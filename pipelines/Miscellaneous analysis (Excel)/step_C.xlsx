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envanbemmelen/work/etdataset/pipelines/Miscellaneous analysis (Excel)/"/>
    </mc:Choice>
  </mc:AlternateContent>
  <xr:revisionPtr revIDLastSave="0" documentId="13_ncr:1_{9E4A915E-05B4-2844-8279-7F402E1BF3EE}" xr6:coauthVersionLast="47" xr6:coauthVersionMax="47" xr10:uidLastSave="{00000000-0000-0000-0000-000000000000}"/>
  <bookViews>
    <workbookView xWindow="1180" yWindow="500" windowWidth="37300" windowHeight="21100" activeTab="2" xr2:uid="{DB1F50ED-32C7-D344-A960-5FA0FDCA823B}"/>
  </bookViews>
  <sheets>
    <sheet name="miscellaneous_data_analysis" sheetId="5" r:id="rId1"/>
    <sheet name="1_buildings_total" sheetId="1" r:id="rId2"/>
    <sheet name="2_land_use" sheetId="2" r:id="rId3"/>
    <sheet name="3_has_tram_metro" sheetId="3" r:id="rId4"/>
    <sheet name="4_number_of_transport" sheetId="4" r:id="rId5"/>
    <sheet name="5_train_share_nl" sheetId="7" r:id="rId6"/>
    <sheet name="6_roof_surface" sheetId="8" r:id="rId7"/>
    <sheet name="7_biomass" sheetId="9" r:id="rId8"/>
    <sheet name="CBS_gemeenten_alfabetisch_2023" sheetId="6" r:id="rId9"/>
  </sheets>
  <definedNames>
    <definedName name="_xlnm._FilterDatabase" localSheetId="0" hidden="1">miscellaneous_data_analysis!$A$1:$S$343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3" i="5" l="1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2" i="5"/>
  <c r="L3" i="5"/>
  <c r="M3" i="5"/>
  <c r="N3" i="5"/>
  <c r="L4" i="5"/>
  <c r="M4" i="5"/>
  <c r="N4" i="5"/>
  <c r="L5" i="5"/>
  <c r="M5" i="5"/>
  <c r="N5" i="5"/>
  <c r="L6" i="5"/>
  <c r="M6" i="5"/>
  <c r="N6" i="5"/>
  <c r="L7" i="5"/>
  <c r="M7" i="5"/>
  <c r="N7" i="5"/>
  <c r="L8" i="5"/>
  <c r="M8" i="5"/>
  <c r="N8" i="5"/>
  <c r="L9" i="5"/>
  <c r="M9" i="5"/>
  <c r="N9" i="5"/>
  <c r="L10" i="5"/>
  <c r="M10" i="5"/>
  <c r="N10" i="5"/>
  <c r="L11" i="5"/>
  <c r="M11" i="5"/>
  <c r="N11" i="5"/>
  <c r="L12" i="5"/>
  <c r="M12" i="5"/>
  <c r="N12" i="5"/>
  <c r="L13" i="5"/>
  <c r="M13" i="5"/>
  <c r="N13" i="5"/>
  <c r="L14" i="5"/>
  <c r="M14" i="5"/>
  <c r="N14" i="5"/>
  <c r="L15" i="5"/>
  <c r="M15" i="5"/>
  <c r="N15" i="5"/>
  <c r="L16" i="5"/>
  <c r="M16" i="5"/>
  <c r="N16" i="5"/>
  <c r="L17" i="5"/>
  <c r="M17" i="5"/>
  <c r="N17" i="5"/>
  <c r="L18" i="5"/>
  <c r="M18" i="5"/>
  <c r="N18" i="5"/>
  <c r="L19" i="5"/>
  <c r="M19" i="5"/>
  <c r="N19" i="5"/>
  <c r="L20" i="5"/>
  <c r="M20" i="5"/>
  <c r="N20" i="5"/>
  <c r="L21" i="5"/>
  <c r="M21" i="5"/>
  <c r="N21" i="5"/>
  <c r="L22" i="5"/>
  <c r="M22" i="5"/>
  <c r="N22" i="5"/>
  <c r="L23" i="5"/>
  <c r="M23" i="5"/>
  <c r="N23" i="5"/>
  <c r="L24" i="5"/>
  <c r="M24" i="5"/>
  <c r="N24" i="5"/>
  <c r="L25" i="5"/>
  <c r="M25" i="5"/>
  <c r="N25" i="5"/>
  <c r="L26" i="5"/>
  <c r="M26" i="5"/>
  <c r="N26" i="5"/>
  <c r="L27" i="5"/>
  <c r="M27" i="5"/>
  <c r="N27" i="5"/>
  <c r="L28" i="5"/>
  <c r="M28" i="5"/>
  <c r="N28" i="5"/>
  <c r="L29" i="5"/>
  <c r="M29" i="5"/>
  <c r="N29" i="5"/>
  <c r="L30" i="5"/>
  <c r="M30" i="5"/>
  <c r="N30" i="5"/>
  <c r="L31" i="5"/>
  <c r="M31" i="5"/>
  <c r="N31" i="5"/>
  <c r="L32" i="5"/>
  <c r="M32" i="5"/>
  <c r="N32" i="5"/>
  <c r="L33" i="5"/>
  <c r="M33" i="5"/>
  <c r="N33" i="5"/>
  <c r="L34" i="5"/>
  <c r="M34" i="5"/>
  <c r="N34" i="5"/>
  <c r="L35" i="5"/>
  <c r="M35" i="5"/>
  <c r="N35" i="5"/>
  <c r="L36" i="5"/>
  <c r="M36" i="5"/>
  <c r="N36" i="5"/>
  <c r="L37" i="5"/>
  <c r="M37" i="5"/>
  <c r="N37" i="5"/>
  <c r="L38" i="5"/>
  <c r="M38" i="5"/>
  <c r="N38" i="5"/>
  <c r="L39" i="5"/>
  <c r="M39" i="5"/>
  <c r="N39" i="5"/>
  <c r="L40" i="5"/>
  <c r="M40" i="5"/>
  <c r="N40" i="5"/>
  <c r="L41" i="5"/>
  <c r="M41" i="5"/>
  <c r="N41" i="5"/>
  <c r="L42" i="5"/>
  <c r="M42" i="5"/>
  <c r="N42" i="5"/>
  <c r="L43" i="5"/>
  <c r="M43" i="5"/>
  <c r="N43" i="5"/>
  <c r="L44" i="5"/>
  <c r="M44" i="5"/>
  <c r="N44" i="5"/>
  <c r="L45" i="5"/>
  <c r="M45" i="5"/>
  <c r="N45" i="5"/>
  <c r="L46" i="5"/>
  <c r="M46" i="5"/>
  <c r="N46" i="5"/>
  <c r="L47" i="5"/>
  <c r="M47" i="5"/>
  <c r="N47" i="5"/>
  <c r="L48" i="5"/>
  <c r="M48" i="5"/>
  <c r="N48" i="5"/>
  <c r="L49" i="5"/>
  <c r="M49" i="5"/>
  <c r="N49" i="5"/>
  <c r="L50" i="5"/>
  <c r="M50" i="5"/>
  <c r="N50" i="5"/>
  <c r="L51" i="5"/>
  <c r="M51" i="5"/>
  <c r="N51" i="5"/>
  <c r="L52" i="5"/>
  <c r="M52" i="5"/>
  <c r="N52" i="5"/>
  <c r="L53" i="5"/>
  <c r="M53" i="5"/>
  <c r="N53" i="5"/>
  <c r="L54" i="5"/>
  <c r="M54" i="5"/>
  <c r="N54" i="5"/>
  <c r="L55" i="5"/>
  <c r="M55" i="5"/>
  <c r="N55" i="5"/>
  <c r="L56" i="5"/>
  <c r="M56" i="5"/>
  <c r="N56" i="5"/>
  <c r="L57" i="5"/>
  <c r="M57" i="5"/>
  <c r="N57" i="5"/>
  <c r="L58" i="5"/>
  <c r="M58" i="5"/>
  <c r="N58" i="5"/>
  <c r="L59" i="5"/>
  <c r="M59" i="5"/>
  <c r="N59" i="5"/>
  <c r="L60" i="5"/>
  <c r="M60" i="5"/>
  <c r="N60" i="5"/>
  <c r="L61" i="5"/>
  <c r="M61" i="5"/>
  <c r="N61" i="5"/>
  <c r="L62" i="5"/>
  <c r="M62" i="5"/>
  <c r="N62" i="5"/>
  <c r="L63" i="5"/>
  <c r="M63" i="5"/>
  <c r="N63" i="5"/>
  <c r="L64" i="5"/>
  <c r="M64" i="5"/>
  <c r="N64" i="5"/>
  <c r="L65" i="5"/>
  <c r="M65" i="5"/>
  <c r="N65" i="5"/>
  <c r="L66" i="5"/>
  <c r="M66" i="5"/>
  <c r="N66" i="5"/>
  <c r="L67" i="5"/>
  <c r="M67" i="5"/>
  <c r="N67" i="5"/>
  <c r="L68" i="5"/>
  <c r="M68" i="5"/>
  <c r="N68" i="5"/>
  <c r="L69" i="5"/>
  <c r="M69" i="5"/>
  <c r="N69" i="5"/>
  <c r="L70" i="5"/>
  <c r="M70" i="5"/>
  <c r="N70" i="5"/>
  <c r="L71" i="5"/>
  <c r="M71" i="5"/>
  <c r="N71" i="5"/>
  <c r="L72" i="5"/>
  <c r="M72" i="5"/>
  <c r="N72" i="5"/>
  <c r="L73" i="5"/>
  <c r="M73" i="5"/>
  <c r="N73" i="5"/>
  <c r="L74" i="5"/>
  <c r="M74" i="5"/>
  <c r="N74" i="5"/>
  <c r="L75" i="5"/>
  <c r="M75" i="5"/>
  <c r="N75" i="5"/>
  <c r="L76" i="5"/>
  <c r="M76" i="5"/>
  <c r="N76" i="5"/>
  <c r="L77" i="5"/>
  <c r="M77" i="5"/>
  <c r="N77" i="5"/>
  <c r="L78" i="5"/>
  <c r="M78" i="5"/>
  <c r="N78" i="5"/>
  <c r="L79" i="5"/>
  <c r="M79" i="5"/>
  <c r="N79" i="5"/>
  <c r="L80" i="5"/>
  <c r="M80" i="5"/>
  <c r="N80" i="5"/>
  <c r="L81" i="5"/>
  <c r="M81" i="5"/>
  <c r="N81" i="5"/>
  <c r="L82" i="5"/>
  <c r="M82" i="5"/>
  <c r="N82" i="5"/>
  <c r="L83" i="5"/>
  <c r="M83" i="5"/>
  <c r="N83" i="5"/>
  <c r="L84" i="5"/>
  <c r="M84" i="5"/>
  <c r="N84" i="5"/>
  <c r="L85" i="5"/>
  <c r="M85" i="5"/>
  <c r="N85" i="5"/>
  <c r="L86" i="5"/>
  <c r="M86" i="5"/>
  <c r="N86" i="5"/>
  <c r="L87" i="5"/>
  <c r="M87" i="5"/>
  <c r="N87" i="5"/>
  <c r="L88" i="5"/>
  <c r="M88" i="5"/>
  <c r="N88" i="5"/>
  <c r="L89" i="5"/>
  <c r="M89" i="5"/>
  <c r="N89" i="5"/>
  <c r="L90" i="5"/>
  <c r="M90" i="5"/>
  <c r="N90" i="5"/>
  <c r="L91" i="5"/>
  <c r="M91" i="5"/>
  <c r="N91" i="5"/>
  <c r="L92" i="5"/>
  <c r="M92" i="5"/>
  <c r="N92" i="5"/>
  <c r="L93" i="5"/>
  <c r="M93" i="5"/>
  <c r="N93" i="5"/>
  <c r="L94" i="5"/>
  <c r="M94" i="5"/>
  <c r="N94" i="5"/>
  <c r="L95" i="5"/>
  <c r="M95" i="5"/>
  <c r="N95" i="5"/>
  <c r="L96" i="5"/>
  <c r="M96" i="5"/>
  <c r="N96" i="5"/>
  <c r="L97" i="5"/>
  <c r="M97" i="5"/>
  <c r="N97" i="5"/>
  <c r="L98" i="5"/>
  <c r="M98" i="5"/>
  <c r="N98" i="5"/>
  <c r="L99" i="5"/>
  <c r="M99" i="5"/>
  <c r="N99" i="5"/>
  <c r="L100" i="5"/>
  <c r="M100" i="5"/>
  <c r="N100" i="5"/>
  <c r="L101" i="5"/>
  <c r="M101" i="5"/>
  <c r="N101" i="5"/>
  <c r="L102" i="5"/>
  <c r="M102" i="5"/>
  <c r="N102" i="5"/>
  <c r="L103" i="5"/>
  <c r="M103" i="5"/>
  <c r="N103" i="5"/>
  <c r="L104" i="5"/>
  <c r="M104" i="5"/>
  <c r="N104" i="5"/>
  <c r="L105" i="5"/>
  <c r="M105" i="5"/>
  <c r="N105" i="5"/>
  <c r="L106" i="5"/>
  <c r="M106" i="5"/>
  <c r="N106" i="5"/>
  <c r="L107" i="5"/>
  <c r="M107" i="5"/>
  <c r="N107" i="5"/>
  <c r="L108" i="5"/>
  <c r="M108" i="5"/>
  <c r="N108" i="5"/>
  <c r="L109" i="5"/>
  <c r="M109" i="5"/>
  <c r="N109" i="5"/>
  <c r="L110" i="5"/>
  <c r="M110" i="5"/>
  <c r="N110" i="5"/>
  <c r="L111" i="5"/>
  <c r="M111" i="5"/>
  <c r="N111" i="5"/>
  <c r="L112" i="5"/>
  <c r="M112" i="5"/>
  <c r="N112" i="5"/>
  <c r="L113" i="5"/>
  <c r="M113" i="5"/>
  <c r="N113" i="5"/>
  <c r="L114" i="5"/>
  <c r="M114" i="5"/>
  <c r="N114" i="5"/>
  <c r="L115" i="5"/>
  <c r="M115" i="5"/>
  <c r="N115" i="5"/>
  <c r="L116" i="5"/>
  <c r="M116" i="5"/>
  <c r="N116" i="5"/>
  <c r="L117" i="5"/>
  <c r="M117" i="5"/>
  <c r="N117" i="5"/>
  <c r="L118" i="5"/>
  <c r="M118" i="5"/>
  <c r="N118" i="5"/>
  <c r="L119" i="5"/>
  <c r="M119" i="5"/>
  <c r="N119" i="5"/>
  <c r="L120" i="5"/>
  <c r="M120" i="5"/>
  <c r="N120" i="5"/>
  <c r="L121" i="5"/>
  <c r="M121" i="5"/>
  <c r="N121" i="5"/>
  <c r="L122" i="5"/>
  <c r="M122" i="5"/>
  <c r="N122" i="5"/>
  <c r="L123" i="5"/>
  <c r="M123" i="5"/>
  <c r="N123" i="5"/>
  <c r="L124" i="5"/>
  <c r="M124" i="5"/>
  <c r="N124" i="5"/>
  <c r="L125" i="5"/>
  <c r="M125" i="5"/>
  <c r="N125" i="5"/>
  <c r="L126" i="5"/>
  <c r="M126" i="5"/>
  <c r="N126" i="5"/>
  <c r="L127" i="5"/>
  <c r="M127" i="5"/>
  <c r="N127" i="5"/>
  <c r="L128" i="5"/>
  <c r="M128" i="5"/>
  <c r="N128" i="5"/>
  <c r="L129" i="5"/>
  <c r="M129" i="5"/>
  <c r="N129" i="5"/>
  <c r="L130" i="5"/>
  <c r="M130" i="5"/>
  <c r="N130" i="5"/>
  <c r="L131" i="5"/>
  <c r="M131" i="5"/>
  <c r="N131" i="5"/>
  <c r="L132" i="5"/>
  <c r="M132" i="5"/>
  <c r="N132" i="5"/>
  <c r="L133" i="5"/>
  <c r="M133" i="5"/>
  <c r="N133" i="5"/>
  <c r="L134" i="5"/>
  <c r="M134" i="5"/>
  <c r="N134" i="5"/>
  <c r="L135" i="5"/>
  <c r="M135" i="5"/>
  <c r="N135" i="5"/>
  <c r="L136" i="5"/>
  <c r="M136" i="5"/>
  <c r="N136" i="5"/>
  <c r="L137" i="5"/>
  <c r="M137" i="5"/>
  <c r="N137" i="5"/>
  <c r="L138" i="5"/>
  <c r="M138" i="5"/>
  <c r="N138" i="5"/>
  <c r="L139" i="5"/>
  <c r="M139" i="5"/>
  <c r="N139" i="5"/>
  <c r="L140" i="5"/>
  <c r="M140" i="5"/>
  <c r="N140" i="5"/>
  <c r="L141" i="5"/>
  <c r="M141" i="5"/>
  <c r="N141" i="5"/>
  <c r="L142" i="5"/>
  <c r="M142" i="5"/>
  <c r="N142" i="5"/>
  <c r="L143" i="5"/>
  <c r="M143" i="5"/>
  <c r="N143" i="5"/>
  <c r="L144" i="5"/>
  <c r="M144" i="5"/>
  <c r="N144" i="5"/>
  <c r="L145" i="5"/>
  <c r="M145" i="5"/>
  <c r="N145" i="5"/>
  <c r="L146" i="5"/>
  <c r="M146" i="5"/>
  <c r="N146" i="5"/>
  <c r="L147" i="5"/>
  <c r="M147" i="5"/>
  <c r="N147" i="5"/>
  <c r="L148" i="5"/>
  <c r="M148" i="5"/>
  <c r="N148" i="5"/>
  <c r="L149" i="5"/>
  <c r="M149" i="5"/>
  <c r="N149" i="5"/>
  <c r="L150" i="5"/>
  <c r="M150" i="5"/>
  <c r="N150" i="5"/>
  <c r="L151" i="5"/>
  <c r="M151" i="5"/>
  <c r="N151" i="5"/>
  <c r="L152" i="5"/>
  <c r="M152" i="5"/>
  <c r="N152" i="5"/>
  <c r="L153" i="5"/>
  <c r="M153" i="5"/>
  <c r="N153" i="5"/>
  <c r="L154" i="5"/>
  <c r="M154" i="5"/>
  <c r="N154" i="5"/>
  <c r="L155" i="5"/>
  <c r="M155" i="5"/>
  <c r="N155" i="5"/>
  <c r="L156" i="5"/>
  <c r="M156" i="5"/>
  <c r="N156" i="5"/>
  <c r="L157" i="5"/>
  <c r="M157" i="5"/>
  <c r="N157" i="5"/>
  <c r="L158" i="5"/>
  <c r="M158" i="5"/>
  <c r="N158" i="5"/>
  <c r="L159" i="5"/>
  <c r="M159" i="5"/>
  <c r="N159" i="5"/>
  <c r="L160" i="5"/>
  <c r="M160" i="5"/>
  <c r="N160" i="5"/>
  <c r="L161" i="5"/>
  <c r="M161" i="5"/>
  <c r="N161" i="5"/>
  <c r="L162" i="5"/>
  <c r="M162" i="5"/>
  <c r="N162" i="5"/>
  <c r="L163" i="5"/>
  <c r="M163" i="5"/>
  <c r="N163" i="5"/>
  <c r="L164" i="5"/>
  <c r="M164" i="5"/>
  <c r="N164" i="5"/>
  <c r="L165" i="5"/>
  <c r="M165" i="5"/>
  <c r="N165" i="5"/>
  <c r="L166" i="5"/>
  <c r="M166" i="5"/>
  <c r="N166" i="5"/>
  <c r="L167" i="5"/>
  <c r="M167" i="5"/>
  <c r="N167" i="5"/>
  <c r="L168" i="5"/>
  <c r="M168" i="5"/>
  <c r="N168" i="5"/>
  <c r="L169" i="5"/>
  <c r="M169" i="5"/>
  <c r="N169" i="5"/>
  <c r="L170" i="5"/>
  <c r="M170" i="5"/>
  <c r="N170" i="5"/>
  <c r="L171" i="5"/>
  <c r="M171" i="5"/>
  <c r="N171" i="5"/>
  <c r="L172" i="5"/>
  <c r="M172" i="5"/>
  <c r="N172" i="5"/>
  <c r="L173" i="5"/>
  <c r="M173" i="5"/>
  <c r="N173" i="5"/>
  <c r="L174" i="5"/>
  <c r="M174" i="5"/>
  <c r="N174" i="5"/>
  <c r="L175" i="5"/>
  <c r="M175" i="5"/>
  <c r="N175" i="5"/>
  <c r="L176" i="5"/>
  <c r="M176" i="5"/>
  <c r="N176" i="5"/>
  <c r="L177" i="5"/>
  <c r="M177" i="5"/>
  <c r="N177" i="5"/>
  <c r="L178" i="5"/>
  <c r="M178" i="5"/>
  <c r="N178" i="5"/>
  <c r="L179" i="5"/>
  <c r="M179" i="5"/>
  <c r="N179" i="5"/>
  <c r="L180" i="5"/>
  <c r="M180" i="5"/>
  <c r="N180" i="5"/>
  <c r="L181" i="5"/>
  <c r="M181" i="5"/>
  <c r="N181" i="5"/>
  <c r="L182" i="5"/>
  <c r="M182" i="5"/>
  <c r="N182" i="5"/>
  <c r="L183" i="5"/>
  <c r="M183" i="5"/>
  <c r="N183" i="5"/>
  <c r="L184" i="5"/>
  <c r="M184" i="5"/>
  <c r="N184" i="5"/>
  <c r="L185" i="5"/>
  <c r="M185" i="5"/>
  <c r="N185" i="5"/>
  <c r="L186" i="5"/>
  <c r="M186" i="5"/>
  <c r="N186" i="5"/>
  <c r="L187" i="5"/>
  <c r="M187" i="5"/>
  <c r="N187" i="5"/>
  <c r="L188" i="5"/>
  <c r="M188" i="5"/>
  <c r="N188" i="5"/>
  <c r="L189" i="5"/>
  <c r="M189" i="5"/>
  <c r="N189" i="5"/>
  <c r="L190" i="5"/>
  <c r="M190" i="5"/>
  <c r="N190" i="5"/>
  <c r="L191" i="5"/>
  <c r="M191" i="5"/>
  <c r="N191" i="5"/>
  <c r="L192" i="5"/>
  <c r="M192" i="5"/>
  <c r="N192" i="5"/>
  <c r="L193" i="5"/>
  <c r="M193" i="5"/>
  <c r="N193" i="5"/>
  <c r="L194" i="5"/>
  <c r="M194" i="5"/>
  <c r="N194" i="5"/>
  <c r="L195" i="5"/>
  <c r="M195" i="5"/>
  <c r="N195" i="5"/>
  <c r="L196" i="5"/>
  <c r="M196" i="5"/>
  <c r="N196" i="5"/>
  <c r="L197" i="5"/>
  <c r="M197" i="5"/>
  <c r="N197" i="5"/>
  <c r="L198" i="5"/>
  <c r="M198" i="5"/>
  <c r="N198" i="5"/>
  <c r="L199" i="5"/>
  <c r="M199" i="5"/>
  <c r="N199" i="5"/>
  <c r="L200" i="5"/>
  <c r="M200" i="5"/>
  <c r="N200" i="5"/>
  <c r="L201" i="5"/>
  <c r="M201" i="5"/>
  <c r="N201" i="5"/>
  <c r="L202" i="5"/>
  <c r="M202" i="5"/>
  <c r="N202" i="5"/>
  <c r="L203" i="5"/>
  <c r="M203" i="5"/>
  <c r="N203" i="5"/>
  <c r="L204" i="5"/>
  <c r="M204" i="5"/>
  <c r="N204" i="5"/>
  <c r="L205" i="5"/>
  <c r="M205" i="5"/>
  <c r="N205" i="5"/>
  <c r="L206" i="5"/>
  <c r="M206" i="5"/>
  <c r="N206" i="5"/>
  <c r="L207" i="5"/>
  <c r="M207" i="5"/>
  <c r="N207" i="5"/>
  <c r="L208" i="5"/>
  <c r="M208" i="5"/>
  <c r="N208" i="5"/>
  <c r="L209" i="5"/>
  <c r="M209" i="5"/>
  <c r="N209" i="5"/>
  <c r="L210" i="5"/>
  <c r="M210" i="5"/>
  <c r="N210" i="5"/>
  <c r="L211" i="5"/>
  <c r="M211" i="5"/>
  <c r="N211" i="5"/>
  <c r="L212" i="5"/>
  <c r="M212" i="5"/>
  <c r="N212" i="5"/>
  <c r="L213" i="5"/>
  <c r="M213" i="5"/>
  <c r="N213" i="5"/>
  <c r="L214" i="5"/>
  <c r="M214" i="5"/>
  <c r="N214" i="5"/>
  <c r="L215" i="5"/>
  <c r="M215" i="5"/>
  <c r="N215" i="5"/>
  <c r="L216" i="5"/>
  <c r="M216" i="5"/>
  <c r="N216" i="5"/>
  <c r="L217" i="5"/>
  <c r="M217" i="5"/>
  <c r="N217" i="5"/>
  <c r="L218" i="5"/>
  <c r="M218" i="5"/>
  <c r="N218" i="5"/>
  <c r="L219" i="5"/>
  <c r="M219" i="5"/>
  <c r="N219" i="5"/>
  <c r="L220" i="5"/>
  <c r="M220" i="5"/>
  <c r="N220" i="5"/>
  <c r="L221" i="5"/>
  <c r="M221" i="5"/>
  <c r="N221" i="5"/>
  <c r="L222" i="5"/>
  <c r="M222" i="5"/>
  <c r="N222" i="5"/>
  <c r="L223" i="5"/>
  <c r="M223" i="5"/>
  <c r="N223" i="5"/>
  <c r="L224" i="5"/>
  <c r="M224" i="5"/>
  <c r="N224" i="5"/>
  <c r="L225" i="5"/>
  <c r="M225" i="5"/>
  <c r="N225" i="5"/>
  <c r="L226" i="5"/>
  <c r="M226" i="5"/>
  <c r="N226" i="5"/>
  <c r="L227" i="5"/>
  <c r="M227" i="5"/>
  <c r="N227" i="5"/>
  <c r="L228" i="5"/>
  <c r="M228" i="5"/>
  <c r="N228" i="5"/>
  <c r="L229" i="5"/>
  <c r="M229" i="5"/>
  <c r="N229" i="5"/>
  <c r="L230" i="5"/>
  <c r="M230" i="5"/>
  <c r="N230" i="5"/>
  <c r="L231" i="5"/>
  <c r="M231" i="5"/>
  <c r="N231" i="5"/>
  <c r="L232" i="5"/>
  <c r="M232" i="5"/>
  <c r="N232" i="5"/>
  <c r="L233" i="5"/>
  <c r="M233" i="5"/>
  <c r="N233" i="5"/>
  <c r="L234" i="5"/>
  <c r="M234" i="5"/>
  <c r="N234" i="5"/>
  <c r="L235" i="5"/>
  <c r="M235" i="5"/>
  <c r="N235" i="5"/>
  <c r="L236" i="5"/>
  <c r="M236" i="5"/>
  <c r="N236" i="5"/>
  <c r="L237" i="5"/>
  <c r="M237" i="5"/>
  <c r="N237" i="5"/>
  <c r="L238" i="5"/>
  <c r="M238" i="5"/>
  <c r="N238" i="5"/>
  <c r="L239" i="5"/>
  <c r="M239" i="5"/>
  <c r="N239" i="5"/>
  <c r="L240" i="5"/>
  <c r="M240" i="5"/>
  <c r="N240" i="5"/>
  <c r="L241" i="5"/>
  <c r="M241" i="5"/>
  <c r="N241" i="5"/>
  <c r="L242" i="5"/>
  <c r="M242" i="5"/>
  <c r="N242" i="5"/>
  <c r="L243" i="5"/>
  <c r="M243" i="5"/>
  <c r="N243" i="5"/>
  <c r="L244" i="5"/>
  <c r="M244" i="5"/>
  <c r="N244" i="5"/>
  <c r="L245" i="5"/>
  <c r="M245" i="5"/>
  <c r="N245" i="5"/>
  <c r="L246" i="5"/>
  <c r="M246" i="5"/>
  <c r="N246" i="5"/>
  <c r="L247" i="5"/>
  <c r="M247" i="5"/>
  <c r="N247" i="5"/>
  <c r="L248" i="5"/>
  <c r="M248" i="5"/>
  <c r="N248" i="5"/>
  <c r="L249" i="5"/>
  <c r="M249" i="5"/>
  <c r="N249" i="5"/>
  <c r="L250" i="5"/>
  <c r="M250" i="5"/>
  <c r="N250" i="5"/>
  <c r="L251" i="5"/>
  <c r="M251" i="5"/>
  <c r="N251" i="5"/>
  <c r="L252" i="5"/>
  <c r="M252" i="5"/>
  <c r="N252" i="5"/>
  <c r="L253" i="5"/>
  <c r="M253" i="5"/>
  <c r="N253" i="5"/>
  <c r="L254" i="5"/>
  <c r="M254" i="5"/>
  <c r="N254" i="5"/>
  <c r="L255" i="5"/>
  <c r="M255" i="5"/>
  <c r="N255" i="5"/>
  <c r="L256" i="5"/>
  <c r="M256" i="5"/>
  <c r="N256" i="5"/>
  <c r="L257" i="5"/>
  <c r="M257" i="5"/>
  <c r="N257" i="5"/>
  <c r="L258" i="5"/>
  <c r="M258" i="5"/>
  <c r="N258" i="5"/>
  <c r="L259" i="5"/>
  <c r="M259" i="5"/>
  <c r="N259" i="5"/>
  <c r="L260" i="5"/>
  <c r="M260" i="5"/>
  <c r="N260" i="5"/>
  <c r="L261" i="5"/>
  <c r="M261" i="5"/>
  <c r="N261" i="5"/>
  <c r="L262" i="5"/>
  <c r="M262" i="5"/>
  <c r="N262" i="5"/>
  <c r="L263" i="5"/>
  <c r="M263" i="5"/>
  <c r="N263" i="5"/>
  <c r="L264" i="5"/>
  <c r="M264" i="5"/>
  <c r="N264" i="5"/>
  <c r="L265" i="5"/>
  <c r="M265" i="5"/>
  <c r="N265" i="5"/>
  <c r="L266" i="5"/>
  <c r="M266" i="5"/>
  <c r="N266" i="5"/>
  <c r="L267" i="5"/>
  <c r="M267" i="5"/>
  <c r="N267" i="5"/>
  <c r="L268" i="5"/>
  <c r="M268" i="5"/>
  <c r="N268" i="5"/>
  <c r="L269" i="5"/>
  <c r="M269" i="5"/>
  <c r="N269" i="5"/>
  <c r="L270" i="5"/>
  <c r="M270" i="5"/>
  <c r="N270" i="5"/>
  <c r="L271" i="5"/>
  <c r="M271" i="5"/>
  <c r="N271" i="5"/>
  <c r="L272" i="5"/>
  <c r="M272" i="5"/>
  <c r="N272" i="5"/>
  <c r="L273" i="5"/>
  <c r="M273" i="5"/>
  <c r="N273" i="5"/>
  <c r="L274" i="5"/>
  <c r="M274" i="5"/>
  <c r="N274" i="5"/>
  <c r="L275" i="5"/>
  <c r="M275" i="5"/>
  <c r="N275" i="5"/>
  <c r="L276" i="5"/>
  <c r="M276" i="5"/>
  <c r="N276" i="5"/>
  <c r="L277" i="5"/>
  <c r="M277" i="5"/>
  <c r="N277" i="5"/>
  <c r="L278" i="5"/>
  <c r="M278" i="5"/>
  <c r="N278" i="5"/>
  <c r="L279" i="5"/>
  <c r="M279" i="5"/>
  <c r="N279" i="5"/>
  <c r="L280" i="5"/>
  <c r="M280" i="5"/>
  <c r="N280" i="5"/>
  <c r="L281" i="5"/>
  <c r="M281" i="5"/>
  <c r="N281" i="5"/>
  <c r="L282" i="5"/>
  <c r="M282" i="5"/>
  <c r="N282" i="5"/>
  <c r="L283" i="5"/>
  <c r="M283" i="5"/>
  <c r="N283" i="5"/>
  <c r="L284" i="5"/>
  <c r="M284" i="5"/>
  <c r="N284" i="5"/>
  <c r="L285" i="5"/>
  <c r="M285" i="5"/>
  <c r="N285" i="5"/>
  <c r="L286" i="5"/>
  <c r="M286" i="5"/>
  <c r="N286" i="5"/>
  <c r="L287" i="5"/>
  <c r="M287" i="5"/>
  <c r="N287" i="5"/>
  <c r="L288" i="5"/>
  <c r="M288" i="5"/>
  <c r="N288" i="5"/>
  <c r="L289" i="5"/>
  <c r="M289" i="5"/>
  <c r="N289" i="5"/>
  <c r="L290" i="5"/>
  <c r="M290" i="5"/>
  <c r="N290" i="5"/>
  <c r="L291" i="5"/>
  <c r="M291" i="5"/>
  <c r="N291" i="5"/>
  <c r="L292" i="5"/>
  <c r="M292" i="5"/>
  <c r="N292" i="5"/>
  <c r="L293" i="5"/>
  <c r="M293" i="5"/>
  <c r="N293" i="5"/>
  <c r="L294" i="5"/>
  <c r="M294" i="5"/>
  <c r="N294" i="5"/>
  <c r="L295" i="5"/>
  <c r="M295" i="5"/>
  <c r="N295" i="5"/>
  <c r="L296" i="5"/>
  <c r="M296" i="5"/>
  <c r="N296" i="5"/>
  <c r="L297" i="5"/>
  <c r="M297" i="5"/>
  <c r="N297" i="5"/>
  <c r="L298" i="5"/>
  <c r="M298" i="5"/>
  <c r="N298" i="5"/>
  <c r="L299" i="5"/>
  <c r="M299" i="5"/>
  <c r="N299" i="5"/>
  <c r="L300" i="5"/>
  <c r="M300" i="5"/>
  <c r="N300" i="5"/>
  <c r="L301" i="5"/>
  <c r="M301" i="5"/>
  <c r="N301" i="5"/>
  <c r="L302" i="5"/>
  <c r="M302" i="5"/>
  <c r="N302" i="5"/>
  <c r="L303" i="5"/>
  <c r="M303" i="5"/>
  <c r="N303" i="5"/>
  <c r="L304" i="5"/>
  <c r="M304" i="5"/>
  <c r="N304" i="5"/>
  <c r="L305" i="5"/>
  <c r="M305" i="5"/>
  <c r="N305" i="5"/>
  <c r="L306" i="5"/>
  <c r="M306" i="5"/>
  <c r="N306" i="5"/>
  <c r="L307" i="5"/>
  <c r="M307" i="5"/>
  <c r="N307" i="5"/>
  <c r="L308" i="5"/>
  <c r="M308" i="5"/>
  <c r="N308" i="5"/>
  <c r="L309" i="5"/>
  <c r="M309" i="5"/>
  <c r="N309" i="5"/>
  <c r="L310" i="5"/>
  <c r="M310" i="5"/>
  <c r="N310" i="5"/>
  <c r="L311" i="5"/>
  <c r="M311" i="5"/>
  <c r="N311" i="5"/>
  <c r="L312" i="5"/>
  <c r="M312" i="5"/>
  <c r="N312" i="5"/>
  <c r="L313" i="5"/>
  <c r="M313" i="5"/>
  <c r="N313" i="5"/>
  <c r="L314" i="5"/>
  <c r="M314" i="5"/>
  <c r="N314" i="5"/>
  <c r="L315" i="5"/>
  <c r="M315" i="5"/>
  <c r="N315" i="5"/>
  <c r="L316" i="5"/>
  <c r="M316" i="5"/>
  <c r="N316" i="5"/>
  <c r="L317" i="5"/>
  <c r="M317" i="5"/>
  <c r="N317" i="5"/>
  <c r="L318" i="5"/>
  <c r="M318" i="5"/>
  <c r="N318" i="5"/>
  <c r="L319" i="5"/>
  <c r="M319" i="5"/>
  <c r="N319" i="5"/>
  <c r="L320" i="5"/>
  <c r="M320" i="5"/>
  <c r="N320" i="5"/>
  <c r="L321" i="5"/>
  <c r="M321" i="5"/>
  <c r="N321" i="5"/>
  <c r="L322" i="5"/>
  <c r="M322" i="5"/>
  <c r="N322" i="5"/>
  <c r="L323" i="5"/>
  <c r="M323" i="5"/>
  <c r="N323" i="5"/>
  <c r="L324" i="5"/>
  <c r="M324" i="5"/>
  <c r="N324" i="5"/>
  <c r="L325" i="5"/>
  <c r="M325" i="5"/>
  <c r="N325" i="5"/>
  <c r="L326" i="5"/>
  <c r="M326" i="5"/>
  <c r="N326" i="5"/>
  <c r="L327" i="5"/>
  <c r="M327" i="5"/>
  <c r="N327" i="5"/>
  <c r="L328" i="5"/>
  <c r="M328" i="5"/>
  <c r="N328" i="5"/>
  <c r="L329" i="5"/>
  <c r="M329" i="5"/>
  <c r="N329" i="5"/>
  <c r="L330" i="5"/>
  <c r="M330" i="5"/>
  <c r="N330" i="5"/>
  <c r="L331" i="5"/>
  <c r="M331" i="5"/>
  <c r="N331" i="5"/>
  <c r="L332" i="5"/>
  <c r="M332" i="5"/>
  <c r="N332" i="5"/>
  <c r="L333" i="5"/>
  <c r="M333" i="5"/>
  <c r="N333" i="5"/>
  <c r="L334" i="5"/>
  <c r="M334" i="5"/>
  <c r="N334" i="5"/>
  <c r="L335" i="5"/>
  <c r="M335" i="5"/>
  <c r="N335" i="5"/>
  <c r="L336" i="5"/>
  <c r="M336" i="5"/>
  <c r="N336" i="5"/>
  <c r="L337" i="5"/>
  <c r="M337" i="5"/>
  <c r="N337" i="5"/>
  <c r="L338" i="5"/>
  <c r="M338" i="5"/>
  <c r="N338" i="5"/>
  <c r="L339" i="5"/>
  <c r="M339" i="5"/>
  <c r="N339" i="5"/>
  <c r="L340" i="5"/>
  <c r="M340" i="5"/>
  <c r="N340" i="5"/>
  <c r="L341" i="5"/>
  <c r="M341" i="5"/>
  <c r="N341" i="5"/>
  <c r="L342" i="5"/>
  <c r="M342" i="5"/>
  <c r="N342" i="5"/>
  <c r="L343" i="5"/>
  <c r="M343" i="5"/>
  <c r="N343" i="5"/>
  <c r="M2" i="5"/>
  <c r="N2" i="5"/>
  <c r="L2" i="5"/>
  <c r="F2" i="5" l="1"/>
  <c r="K2" i="5"/>
  <c r="J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2" i="5"/>
  <c r="R3" i="5" l="1"/>
  <c r="S3" i="5"/>
  <c r="R4" i="5"/>
  <c r="S4" i="5"/>
  <c r="R5" i="5"/>
  <c r="S5" i="5"/>
  <c r="R6" i="5"/>
  <c r="S6" i="5"/>
  <c r="R7" i="5"/>
  <c r="S7" i="5"/>
  <c r="R8" i="5"/>
  <c r="S8" i="5"/>
  <c r="R9" i="5"/>
  <c r="S9" i="5"/>
  <c r="R10" i="5"/>
  <c r="S10" i="5"/>
  <c r="R11" i="5"/>
  <c r="S11" i="5"/>
  <c r="R12" i="5"/>
  <c r="S12" i="5"/>
  <c r="R13" i="5"/>
  <c r="S13" i="5"/>
  <c r="R14" i="5"/>
  <c r="S14" i="5"/>
  <c r="R15" i="5"/>
  <c r="S15" i="5"/>
  <c r="R16" i="5"/>
  <c r="S16" i="5"/>
  <c r="R17" i="5"/>
  <c r="S17" i="5"/>
  <c r="R18" i="5"/>
  <c r="S18" i="5"/>
  <c r="R19" i="5"/>
  <c r="S19" i="5"/>
  <c r="R20" i="5"/>
  <c r="S20" i="5"/>
  <c r="R21" i="5"/>
  <c r="S21" i="5"/>
  <c r="R22" i="5"/>
  <c r="S22" i="5"/>
  <c r="R23" i="5"/>
  <c r="S23" i="5"/>
  <c r="R24" i="5"/>
  <c r="S24" i="5"/>
  <c r="R25" i="5"/>
  <c r="S25" i="5"/>
  <c r="R26" i="5"/>
  <c r="S26" i="5"/>
  <c r="R27" i="5"/>
  <c r="S27" i="5"/>
  <c r="R28" i="5"/>
  <c r="S28" i="5"/>
  <c r="R29" i="5"/>
  <c r="S29" i="5"/>
  <c r="R30" i="5"/>
  <c r="S30" i="5"/>
  <c r="R31" i="5"/>
  <c r="S31" i="5"/>
  <c r="R32" i="5"/>
  <c r="S32" i="5"/>
  <c r="R33" i="5"/>
  <c r="S33" i="5"/>
  <c r="R34" i="5"/>
  <c r="S34" i="5"/>
  <c r="R35" i="5"/>
  <c r="S35" i="5"/>
  <c r="R36" i="5"/>
  <c r="S36" i="5"/>
  <c r="R37" i="5"/>
  <c r="S37" i="5"/>
  <c r="R38" i="5"/>
  <c r="S38" i="5"/>
  <c r="R39" i="5"/>
  <c r="S39" i="5"/>
  <c r="R40" i="5"/>
  <c r="S40" i="5"/>
  <c r="R41" i="5"/>
  <c r="S41" i="5"/>
  <c r="R42" i="5"/>
  <c r="S42" i="5"/>
  <c r="R43" i="5"/>
  <c r="S43" i="5"/>
  <c r="R44" i="5"/>
  <c r="S44" i="5"/>
  <c r="R45" i="5"/>
  <c r="S45" i="5"/>
  <c r="R46" i="5"/>
  <c r="S46" i="5"/>
  <c r="R47" i="5"/>
  <c r="S47" i="5"/>
  <c r="R48" i="5"/>
  <c r="S48" i="5"/>
  <c r="R49" i="5"/>
  <c r="S49" i="5"/>
  <c r="R50" i="5"/>
  <c r="S50" i="5"/>
  <c r="R51" i="5"/>
  <c r="S51" i="5"/>
  <c r="R52" i="5"/>
  <c r="S52" i="5"/>
  <c r="R53" i="5"/>
  <c r="S53" i="5"/>
  <c r="R54" i="5"/>
  <c r="S54" i="5"/>
  <c r="R55" i="5"/>
  <c r="S55" i="5"/>
  <c r="R56" i="5"/>
  <c r="S56" i="5"/>
  <c r="R57" i="5"/>
  <c r="S57" i="5"/>
  <c r="R58" i="5"/>
  <c r="S58" i="5"/>
  <c r="R59" i="5"/>
  <c r="S59" i="5"/>
  <c r="R60" i="5"/>
  <c r="S60" i="5"/>
  <c r="R61" i="5"/>
  <c r="S61" i="5"/>
  <c r="R62" i="5"/>
  <c r="S62" i="5"/>
  <c r="R63" i="5"/>
  <c r="S63" i="5"/>
  <c r="R64" i="5"/>
  <c r="S64" i="5"/>
  <c r="R65" i="5"/>
  <c r="S65" i="5"/>
  <c r="R66" i="5"/>
  <c r="S66" i="5"/>
  <c r="R67" i="5"/>
  <c r="S67" i="5"/>
  <c r="R68" i="5"/>
  <c r="S68" i="5"/>
  <c r="R69" i="5"/>
  <c r="S69" i="5"/>
  <c r="R70" i="5"/>
  <c r="S70" i="5"/>
  <c r="R71" i="5"/>
  <c r="S71" i="5"/>
  <c r="R72" i="5"/>
  <c r="S72" i="5"/>
  <c r="R73" i="5"/>
  <c r="S73" i="5"/>
  <c r="R74" i="5"/>
  <c r="S74" i="5"/>
  <c r="R75" i="5"/>
  <c r="S75" i="5"/>
  <c r="R76" i="5"/>
  <c r="S76" i="5"/>
  <c r="R77" i="5"/>
  <c r="S77" i="5"/>
  <c r="R78" i="5"/>
  <c r="S78" i="5"/>
  <c r="R79" i="5"/>
  <c r="S79" i="5"/>
  <c r="R80" i="5"/>
  <c r="S80" i="5"/>
  <c r="R81" i="5"/>
  <c r="S81" i="5"/>
  <c r="R82" i="5"/>
  <c r="S82" i="5"/>
  <c r="R83" i="5"/>
  <c r="S83" i="5"/>
  <c r="R84" i="5"/>
  <c r="S84" i="5"/>
  <c r="R85" i="5"/>
  <c r="S85" i="5"/>
  <c r="R86" i="5"/>
  <c r="S86" i="5"/>
  <c r="R87" i="5"/>
  <c r="S87" i="5"/>
  <c r="R88" i="5"/>
  <c r="S88" i="5"/>
  <c r="R89" i="5"/>
  <c r="S89" i="5"/>
  <c r="R90" i="5"/>
  <c r="S90" i="5"/>
  <c r="R91" i="5"/>
  <c r="S91" i="5"/>
  <c r="R92" i="5"/>
  <c r="S92" i="5"/>
  <c r="R93" i="5"/>
  <c r="S93" i="5"/>
  <c r="R94" i="5"/>
  <c r="S94" i="5"/>
  <c r="R95" i="5"/>
  <c r="S95" i="5"/>
  <c r="R96" i="5"/>
  <c r="S96" i="5"/>
  <c r="R97" i="5"/>
  <c r="S97" i="5"/>
  <c r="R98" i="5"/>
  <c r="S98" i="5"/>
  <c r="R99" i="5"/>
  <c r="S99" i="5"/>
  <c r="R100" i="5"/>
  <c r="S100" i="5"/>
  <c r="R101" i="5"/>
  <c r="S101" i="5"/>
  <c r="R102" i="5"/>
  <c r="S102" i="5"/>
  <c r="R103" i="5"/>
  <c r="S103" i="5"/>
  <c r="R104" i="5"/>
  <c r="S104" i="5"/>
  <c r="R105" i="5"/>
  <c r="S105" i="5"/>
  <c r="R106" i="5"/>
  <c r="S106" i="5"/>
  <c r="R107" i="5"/>
  <c r="S107" i="5"/>
  <c r="R108" i="5"/>
  <c r="S108" i="5"/>
  <c r="R109" i="5"/>
  <c r="S109" i="5"/>
  <c r="R110" i="5"/>
  <c r="S110" i="5"/>
  <c r="R111" i="5"/>
  <c r="S111" i="5"/>
  <c r="R112" i="5"/>
  <c r="S112" i="5"/>
  <c r="R113" i="5"/>
  <c r="S113" i="5"/>
  <c r="R114" i="5"/>
  <c r="S114" i="5"/>
  <c r="R115" i="5"/>
  <c r="S115" i="5"/>
  <c r="R116" i="5"/>
  <c r="S116" i="5"/>
  <c r="R117" i="5"/>
  <c r="S117" i="5"/>
  <c r="R118" i="5"/>
  <c r="S118" i="5"/>
  <c r="R119" i="5"/>
  <c r="S119" i="5"/>
  <c r="R120" i="5"/>
  <c r="S120" i="5"/>
  <c r="R121" i="5"/>
  <c r="S121" i="5"/>
  <c r="R122" i="5"/>
  <c r="S122" i="5"/>
  <c r="R123" i="5"/>
  <c r="S123" i="5"/>
  <c r="R124" i="5"/>
  <c r="S124" i="5"/>
  <c r="R125" i="5"/>
  <c r="S125" i="5"/>
  <c r="R126" i="5"/>
  <c r="S126" i="5"/>
  <c r="R127" i="5"/>
  <c r="S127" i="5"/>
  <c r="R128" i="5"/>
  <c r="S128" i="5"/>
  <c r="R129" i="5"/>
  <c r="S129" i="5"/>
  <c r="R130" i="5"/>
  <c r="S130" i="5"/>
  <c r="R131" i="5"/>
  <c r="S131" i="5"/>
  <c r="R132" i="5"/>
  <c r="S132" i="5"/>
  <c r="R133" i="5"/>
  <c r="S133" i="5"/>
  <c r="R134" i="5"/>
  <c r="S134" i="5"/>
  <c r="R135" i="5"/>
  <c r="S135" i="5"/>
  <c r="R136" i="5"/>
  <c r="S136" i="5"/>
  <c r="R137" i="5"/>
  <c r="S137" i="5"/>
  <c r="R138" i="5"/>
  <c r="S138" i="5"/>
  <c r="R139" i="5"/>
  <c r="S139" i="5"/>
  <c r="R140" i="5"/>
  <c r="S140" i="5"/>
  <c r="R141" i="5"/>
  <c r="S141" i="5"/>
  <c r="R142" i="5"/>
  <c r="S142" i="5"/>
  <c r="R143" i="5"/>
  <c r="S143" i="5"/>
  <c r="R144" i="5"/>
  <c r="S144" i="5"/>
  <c r="R145" i="5"/>
  <c r="S145" i="5"/>
  <c r="R146" i="5"/>
  <c r="S146" i="5"/>
  <c r="R147" i="5"/>
  <c r="S147" i="5"/>
  <c r="R148" i="5"/>
  <c r="S148" i="5"/>
  <c r="R149" i="5"/>
  <c r="S149" i="5"/>
  <c r="R150" i="5"/>
  <c r="S150" i="5"/>
  <c r="R151" i="5"/>
  <c r="S151" i="5"/>
  <c r="R152" i="5"/>
  <c r="S152" i="5"/>
  <c r="R153" i="5"/>
  <c r="S153" i="5"/>
  <c r="R154" i="5"/>
  <c r="S154" i="5"/>
  <c r="R155" i="5"/>
  <c r="S155" i="5"/>
  <c r="R156" i="5"/>
  <c r="S156" i="5"/>
  <c r="R157" i="5"/>
  <c r="S157" i="5"/>
  <c r="R158" i="5"/>
  <c r="S158" i="5"/>
  <c r="R159" i="5"/>
  <c r="S159" i="5"/>
  <c r="R160" i="5"/>
  <c r="S160" i="5"/>
  <c r="R161" i="5"/>
  <c r="S161" i="5"/>
  <c r="R162" i="5"/>
  <c r="S162" i="5"/>
  <c r="R163" i="5"/>
  <c r="S163" i="5"/>
  <c r="R164" i="5"/>
  <c r="S164" i="5"/>
  <c r="R165" i="5"/>
  <c r="S165" i="5"/>
  <c r="R166" i="5"/>
  <c r="S166" i="5"/>
  <c r="R167" i="5"/>
  <c r="S167" i="5"/>
  <c r="R168" i="5"/>
  <c r="S168" i="5"/>
  <c r="R169" i="5"/>
  <c r="S169" i="5"/>
  <c r="R170" i="5"/>
  <c r="S170" i="5"/>
  <c r="R171" i="5"/>
  <c r="S171" i="5"/>
  <c r="R172" i="5"/>
  <c r="S172" i="5"/>
  <c r="R173" i="5"/>
  <c r="S173" i="5"/>
  <c r="R174" i="5"/>
  <c r="S174" i="5"/>
  <c r="R175" i="5"/>
  <c r="S175" i="5"/>
  <c r="R176" i="5"/>
  <c r="S176" i="5"/>
  <c r="R177" i="5"/>
  <c r="S177" i="5"/>
  <c r="R178" i="5"/>
  <c r="S178" i="5"/>
  <c r="R179" i="5"/>
  <c r="S179" i="5"/>
  <c r="R180" i="5"/>
  <c r="S180" i="5"/>
  <c r="R181" i="5"/>
  <c r="S181" i="5"/>
  <c r="R182" i="5"/>
  <c r="S182" i="5"/>
  <c r="R183" i="5"/>
  <c r="S183" i="5"/>
  <c r="R184" i="5"/>
  <c r="S184" i="5"/>
  <c r="R185" i="5"/>
  <c r="S185" i="5"/>
  <c r="R186" i="5"/>
  <c r="S186" i="5"/>
  <c r="R187" i="5"/>
  <c r="S187" i="5"/>
  <c r="R188" i="5"/>
  <c r="S188" i="5"/>
  <c r="R189" i="5"/>
  <c r="S189" i="5"/>
  <c r="R190" i="5"/>
  <c r="S190" i="5"/>
  <c r="R191" i="5"/>
  <c r="S191" i="5"/>
  <c r="R192" i="5"/>
  <c r="S192" i="5"/>
  <c r="R193" i="5"/>
  <c r="S193" i="5"/>
  <c r="R194" i="5"/>
  <c r="S194" i="5"/>
  <c r="R195" i="5"/>
  <c r="S195" i="5"/>
  <c r="R196" i="5"/>
  <c r="S196" i="5"/>
  <c r="R197" i="5"/>
  <c r="S197" i="5"/>
  <c r="R198" i="5"/>
  <c r="S198" i="5"/>
  <c r="R199" i="5"/>
  <c r="S199" i="5"/>
  <c r="R200" i="5"/>
  <c r="S200" i="5"/>
  <c r="R201" i="5"/>
  <c r="S201" i="5"/>
  <c r="R202" i="5"/>
  <c r="S202" i="5"/>
  <c r="R203" i="5"/>
  <c r="S203" i="5"/>
  <c r="R204" i="5"/>
  <c r="S204" i="5"/>
  <c r="R205" i="5"/>
  <c r="S205" i="5"/>
  <c r="R206" i="5"/>
  <c r="S206" i="5"/>
  <c r="R207" i="5"/>
  <c r="S207" i="5"/>
  <c r="R208" i="5"/>
  <c r="S208" i="5"/>
  <c r="R209" i="5"/>
  <c r="S209" i="5"/>
  <c r="R210" i="5"/>
  <c r="S210" i="5"/>
  <c r="R211" i="5"/>
  <c r="S211" i="5"/>
  <c r="R212" i="5"/>
  <c r="S212" i="5"/>
  <c r="R213" i="5"/>
  <c r="S213" i="5"/>
  <c r="R214" i="5"/>
  <c r="S214" i="5"/>
  <c r="R215" i="5"/>
  <c r="S215" i="5"/>
  <c r="R216" i="5"/>
  <c r="S216" i="5"/>
  <c r="R217" i="5"/>
  <c r="S217" i="5"/>
  <c r="R218" i="5"/>
  <c r="S218" i="5"/>
  <c r="R219" i="5"/>
  <c r="S219" i="5"/>
  <c r="R220" i="5"/>
  <c r="S220" i="5"/>
  <c r="R221" i="5"/>
  <c r="S221" i="5"/>
  <c r="R222" i="5"/>
  <c r="S222" i="5"/>
  <c r="R223" i="5"/>
  <c r="S223" i="5"/>
  <c r="R224" i="5"/>
  <c r="S224" i="5"/>
  <c r="R225" i="5"/>
  <c r="S225" i="5"/>
  <c r="R226" i="5"/>
  <c r="S226" i="5"/>
  <c r="R227" i="5"/>
  <c r="S227" i="5"/>
  <c r="R228" i="5"/>
  <c r="S228" i="5"/>
  <c r="R229" i="5"/>
  <c r="S229" i="5"/>
  <c r="R230" i="5"/>
  <c r="S230" i="5"/>
  <c r="R231" i="5"/>
  <c r="S231" i="5"/>
  <c r="R232" i="5"/>
  <c r="S232" i="5"/>
  <c r="R233" i="5"/>
  <c r="S233" i="5"/>
  <c r="R234" i="5"/>
  <c r="S234" i="5"/>
  <c r="R235" i="5"/>
  <c r="S235" i="5"/>
  <c r="R236" i="5"/>
  <c r="S236" i="5"/>
  <c r="R237" i="5"/>
  <c r="S237" i="5"/>
  <c r="R238" i="5"/>
  <c r="S238" i="5"/>
  <c r="R239" i="5"/>
  <c r="S239" i="5"/>
  <c r="R240" i="5"/>
  <c r="S240" i="5"/>
  <c r="R241" i="5"/>
  <c r="S241" i="5"/>
  <c r="R242" i="5"/>
  <c r="S242" i="5"/>
  <c r="R243" i="5"/>
  <c r="S243" i="5"/>
  <c r="R244" i="5"/>
  <c r="S244" i="5"/>
  <c r="R245" i="5"/>
  <c r="S245" i="5"/>
  <c r="R246" i="5"/>
  <c r="S246" i="5"/>
  <c r="R247" i="5"/>
  <c r="S247" i="5"/>
  <c r="R248" i="5"/>
  <c r="S248" i="5"/>
  <c r="R249" i="5"/>
  <c r="S249" i="5"/>
  <c r="R250" i="5"/>
  <c r="S250" i="5"/>
  <c r="R251" i="5"/>
  <c r="S251" i="5"/>
  <c r="R252" i="5"/>
  <c r="S252" i="5"/>
  <c r="R253" i="5"/>
  <c r="S253" i="5"/>
  <c r="R254" i="5"/>
  <c r="S254" i="5"/>
  <c r="R255" i="5"/>
  <c r="S255" i="5"/>
  <c r="R256" i="5"/>
  <c r="S256" i="5"/>
  <c r="R257" i="5"/>
  <c r="S257" i="5"/>
  <c r="R258" i="5"/>
  <c r="S258" i="5"/>
  <c r="R259" i="5"/>
  <c r="S259" i="5"/>
  <c r="R260" i="5"/>
  <c r="S260" i="5"/>
  <c r="R261" i="5"/>
  <c r="S261" i="5"/>
  <c r="R262" i="5"/>
  <c r="S262" i="5"/>
  <c r="R263" i="5"/>
  <c r="S263" i="5"/>
  <c r="R264" i="5"/>
  <c r="S264" i="5"/>
  <c r="R265" i="5"/>
  <c r="S265" i="5"/>
  <c r="R266" i="5"/>
  <c r="S266" i="5"/>
  <c r="R267" i="5"/>
  <c r="S267" i="5"/>
  <c r="R268" i="5"/>
  <c r="S268" i="5"/>
  <c r="R269" i="5"/>
  <c r="S269" i="5"/>
  <c r="R270" i="5"/>
  <c r="S270" i="5"/>
  <c r="R271" i="5"/>
  <c r="S271" i="5"/>
  <c r="R272" i="5"/>
  <c r="S272" i="5"/>
  <c r="R273" i="5"/>
  <c r="S273" i="5"/>
  <c r="R274" i="5"/>
  <c r="S274" i="5"/>
  <c r="R275" i="5"/>
  <c r="S275" i="5"/>
  <c r="R276" i="5"/>
  <c r="S276" i="5"/>
  <c r="R277" i="5"/>
  <c r="S277" i="5"/>
  <c r="R278" i="5"/>
  <c r="S278" i="5"/>
  <c r="R279" i="5"/>
  <c r="S279" i="5"/>
  <c r="R280" i="5"/>
  <c r="S280" i="5"/>
  <c r="R281" i="5"/>
  <c r="S281" i="5"/>
  <c r="R282" i="5"/>
  <c r="S282" i="5"/>
  <c r="R283" i="5"/>
  <c r="S283" i="5"/>
  <c r="R284" i="5"/>
  <c r="S284" i="5"/>
  <c r="R285" i="5"/>
  <c r="S285" i="5"/>
  <c r="R286" i="5"/>
  <c r="S286" i="5"/>
  <c r="R287" i="5"/>
  <c r="S287" i="5"/>
  <c r="R288" i="5"/>
  <c r="S288" i="5"/>
  <c r="R289" i="5"/>
  <c r="S289" i="5"/>
  <c r="R290" i="5"/>
  <c r="S290" i="5"/>
  <c r="R291" i="5"/>
  <c r="S291" i="5"/>
  <c r="R292" i="5"/>
  <c r="S292" i="5"/>
  <c r="R293" i="5"/>
  <c r="S293" i="5"/>
  <c r="R294" i="5"/>
  <c r="S294" i="5"/>
  <c r="R295" i="5"/>
  <c r="S295" i="5"/>
  <c r="R296" i="5"/>
  <c r="S296" i="5"/>
  <c r="R297" i="5"/>
  <c r="S297" i="5"/>
  <c r="R298" i="5"/>
  <c r="S298" i="5"/>
  <c r="R299" i="5"/>
  <c r="S299" i="5"/>
  <c r="R300" i="5"/>
  <c r="S300" i="5"/>
  <c r="R301" i="5"/>
  <c r="S301" i="5"/>
  <c r="R302" i="5"/>
  <c r="S302" i="5"/>
  <c r="R303" i="5"/>
  <c r="S303" i="5"/>
  <c r="R304" i="5"/>
  <c r="S304" i="5"/>
  <c r="R305" i="5"/>
  <c r="S305" i="5"/>
  <c r="R306" i="5"/>
  <c r="S306" i="5"/>
  <c r="R307" i="5"/>
  <c r="S307" i="5"/>
  <c r="R308" i="5"/>
  <c r="S308" i="5"/>
  <c r="R309" i="5"/>
  <c r="S309" i="5"/>
  <c r="R310" i="5"/>
  <c r="S310" i="5"/>
  <c r="R311" i="5"/>
  <c r="S311" i="5"/>
  <c r="R312" i="5"/>
  <c r="S312" i="5"/>
  <c r="R313" i="5"/>
  <c r="S313" i="5"/>
  <c r="R314" i="5"/>
  <c r="S314" i="5"/>
  <c r="R315" i="5"/>
  <c r="S315" i="5"/>
  <c r="R316" i="5"/>
  <c r="S316" i="5"/>
  <c r="R317" i="5"/>
  <c r="S317" i="5"/>
  <c r="R318" i="5"/>
  <c r="S318" i="5"/>
  <c r="R319" i="5"/>
  <c r="S319" i="5"/>
  <c r="R320" i="5"/>
  <c r="S320" i="5"/>
  <c r="R321" i="5"/>
  <c r="S321" i="5"/>
  <c r="R322" i="5"/>
  <c r="S322" i="5"/>
  <c r="R323" i="5"/>
  <c r="S323" i="5"/>
  <c r="R324" i="5"/>
  <c r="S324" i="5"/>
  <c r="R325" i="5"/>
  <c r="S325" i="5"/>
  <c r="R326" i="5"/>
  <c r="S326" i="5"/>
  <c r="R327" i="5"/>
  <c r="S327" i="5"/>
  <c r="R328" i="5"/>
  <c r="S328" i="5"/>
  <c r="R329" i="5"/>
  <c r="S329" i="5"/>
  <c r="R330" i="5"/>
  <c r="S330" i="5"/>
  <c r="R331" i="5"/>
  <c r="S331" i="5"/>
  <c r="R332" i="5"/>
  <c r="S332" i="5"/>
  <c r="R333" i="5"/>
  <c r="S333" i="5"/>
  <c r="R334" i="5"/>
  <c r="S334" i="5"/>
  <c r="R335" i="5"/>
  <c r="S335" i="5"/>
  <c r="R336" i="5"/>
  <c r="S336" i="5"/>
  <c r="R337" i="5"/>
  <c r="S337" i="5"/>
  <c r="R338" i="5"/>
  <c r="S338" i="5"/>
  <c r="R339" i="5"/>
  <c r="S339" i="5"/>
  <c r="R340" i="5"/>
  <c r="S340" i="5"/>
  <c r="R341" i="5"/>
  <c r="S341" i="5"/>
  <c r="R342" i="5"/>
  <c r="S342" i="5"/>
  <c r="R343" i="5"/>
  <c r="S343" i="5"/>
  <c r="S2" i="5"/>
  <c r="R2" i="5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2" i="5"/>
  <c r="O3" i="5" l="1"/>
  <c r="G3" i="5"/>
  <c r="H3" i="5"/>
  <c r="I3" i="5"/>
  <c r="O4" i="5"/>
  <c r="G4" i="5"/>
  <c r="H4" i="5"/>
  <c r="I4" i="5"/>
  <c r="O5" i="5"/>
  <c r="G5" i="5"/>
  <c r="H5" i="5"/>
  <c r="I5" i="5"/>
  <c r="O6" i="5"/>
  <c r="G6" i="5"/>
  <c r="H6" i="5"/>
  <c r="I6" i="5"/>
  <c r="O7" i="5"/>
  <c r="G7" i="5"/>
  <c r="H7" i="5"/>
  <c r="I7" i="5"/>
  <c r="O8" i="5"/>
  <c r="G8" i="5"/>
  <c r="H8" i="5"/>
  <c r="I8" i="5"/>
  <c r="O9" i="5"/>
  <c r="G9" i="5"/>
  <c r="H9" i="5"/>
  <c r="I9" i="5"/>
  <c r="O10" i="5"/>
  <c r="G10" i="5"/>
  <c r="H10" i="5"/>
  <c r="I10" i="5"/>
  <c r="O11" i="5"/>
  <c r="G11" i="5"/>
  <c r="H11" i="5"/>
  <c r="I11" i="5"/>
  <c r="O12" i="5"/>
  <c r="G12" i="5"/>
  <c r="H12" i="5"/>
  <c r="I12" i="5"/>
  <c r="O13" i="5"/>
  <c r="G13" i="5"/>
  <c r="H13" i="5"/>
  <c r="I13" i="5"/>
  <c r="O14" i="5"/>
  <c r="G14" i="5"/>
  <c r="H14" i="5"/>
  <c r="I14" i="5"/>
  <c r="O15" i="5"/>
  <c r="G15" i="5"/>
  <c r="H15" i="5"/>
  <c r="I15" i="5"/>
  <c r="O16" i="5"/>
  <c r="G16" i="5"/>
  <c r="H16" i="5"/>
  <c r="I16" i="5"/>
  <c r="O17" i="5"/>
  <c r="G17" i="5"/>
  <c r="H17" i="5"/>
  <c r="I17" i="5"/>
  <c r="O18" i="5"/>
  <c r="G18" i="5"/>
  <c r="H18" i="5"/>
  <c r="I18" i="5"/>
  <c r="O19" i="5"/>
  <c r="G19" i="5"/>
  <c r="H19" i="5"/>
  <c r="I19" i="5"/>
  <c r="O20" i="5"/>
  <c r="G20" i="5"/>
  <c r="H20" i="5"/>
  <c r="I20" i="5"/>
  <c r="O21" i="5"/>
  <c r="G21" i="5"/>
  <c r="H21" i="5"/>
  <c r="I21" i="5"/>
  <c r="O22" i="5"/>
  <c r="G22" i="5"/>
  <c r="H22" i="5"/>
  <c r="I22" i="5"/>
  <c r="O23" i="5"/>
  <c r="G23" i="5"/>
  <c r="H23" i="5"/>
  <c r="I23" i="5"/>
  <c r="O24" i="5"/>
  <c r="G24" i="5"/>
  <c r="H24" i="5"/>
  <c r="I24" i="5"/>
  <c r="O25" i="5"/>
  <c r="G25" i="5"/>
  <c r="H25" i="5"/>
  <c r="I25" i="5"/>
  <c r="O26" i="5"/>
  <c r="G26" i="5"/>
  <c r="H26" i="5"/>
  <c r="I26" i="5"/>
  <c r="O27" i="5"/>
  <c r="G27" i="5"/>
  <c r="H27" i="5"/>
  <c r="I27" i="5"/>
  <c r="O28" i="5"/>
  <c r="G28" i="5"/>
  <c r="H28" i="5"/>
  <c r="I28" i="5"/>
  <c r="O29" i="5"/>
  <c r="G29" i="5"/>
  <c r="H29" i="5"/>
  <c r="I29" i="5"/>
  <c r="O30" i="5"/>
  <c r="G30" i="5"/>
  <c r="H30" i="5"/>
  <c r="I30" i="5"/>
  <c r="O31" i="5"/>
  <c r="G31" i="5"/>
  <c r="H31" i="5"/>
  <c r="I31" i="5"/>
  <c r="O32" i="5"/>
  <c r="G32" i="5"/>
  <c r="H32" i="5"/>
  <c r="I32" i="5"/>
  <c r="O33" i="5"/>
  <c r="G33" i="5"/>
  <c r="H33" i="5"/>
  <c r="I33" i="5"/>
  <c r="O34" i="5"/>
  <c r="G34" i="5"/>
  <c r="H34" i="5"/>
  <c r="I34" i="5"/>
  <c r="O35" i="5"/>
  <c r="G35" i="5"/>
  <c r="H35" i="5"/>
  <c r="I35" i="5"/>
  <c r="O36" i="5"/>
  <c r="G36" i="5"/>
  <c r="H36" i="5"/>
  <c r="I36" i="5"/>
  <c r="O37" i="5"/>
  <c r="G37" i="5"/>
  <c r="H37" i="5"/>
  <c r="I37" i="5"/>
  <c r="O38" i="5"/>
  <c r="G38" i="5"/>
  <c r="H38" i="5"/>
  <c r="I38" i="5"/>
  <c r="O39" i="5"/>
  <c r="G39" i="5"/>
  <c r="H39" i="5"/>
  <c r="I39" i="5"/>
  <c r="O40" i="5"/>
  <c r="G40" i="5"/>
  <c r="H40" i="5"/>
  <c r="I40" i="5"/>
  <c r="O41" i="5"/>
  <c r="G41" i="5"/>
  <c r="H41" i="5"/>
  <c r="I41" i="5"/>
  <c r="O42" i="5"/>
  <c r="G42" i="5"/>
  <c r="H42" i="5"/>
  <c r="I42" i="5"/>
  <c r="O43" i="5"/>
  <c r="G43" i="5"/>
  <c r="H43" i="5"/>
  <c r="I43" i="5"/>
  <c r="O44" i="5"/>
  <c r="G44" i="5"/>
  <c r="H44" i="5"/>
  <c r="I44" i="5"/>
  <c r="O45" i="5"/>
  <c r="G45" i="5"/>
  <c r="H45" i="5"/>
  <c r="I45" i="5"/>
  <c r="O46" i="5"/>
  <c r="G46" i="5"/>
  <c r="H46" i="5"/>
  <c r="I46" i="5"/>
  <c r="O47" i="5"/>
  <c r="G47" i="5"/>
  <c r="H47" i="5"/>
  <c r="I47" i="5"/>
  <c r="O48" i="5"/>
  <c r="G48" i="5"/>
  <c r="H48" i="5"/>
  <c r="I48" i="5"/>
  <c r="O49" i="5"/>
  <c r="G49" i="5"/>
  <c r="H49" i="5"/>
  <c r="I49" i="5"/>
  <c r="O50" i="5"/>
  <c r="G50" i="5"/>
  <c r="H50" i="5"/>
  <c r="I50" i="5"/>
  <c r="O51" i="5"/>
  <c r="G51" i="5"/>
  <c r="H51" i="5"/>
  <c r="I51" i="5"/>
  <c r="O52" i="5"/>
  <c r="G52" i="5"/>
  <c r="H52" i="5"/>
  <c r="I52" i="5"/>
  <c r="O53" i="5"/>
  <c r="G53" i="5"/>
  <c r="H53" i="5"/>
  <c r="I53" i="5"/>
  <c r="O54" i="5"/>
  <c r="G54" i="5"/>
  <c r="H54" i="5"/>
  <c r="I54" i="5"/>
  <c r="O55" i="5"/>
  <c r="G55" i="5"/>
  <c r="H55" i="5"/>
  <c r="I55" i="5"/>
  <c r="O56" i="5"/>
  <c r="G56" i="5"/>
  <c r="H56" i="5"/>
  <c r="I56" i="5"/>
  <c r="O57" i="5"/>
  <c r="G57" i="5"/>
  <c r="H57" i="5"/>
  <c r="I57" i="5"/>
  <c r="O58" i="5"/>
  <c r="G58" i="5"/>
  <c r="H58" i="5"/>
  <c r="I58" i="5"/>
  <c r="O59" i="5"/>
  <c r="G59" i="5"/>
  <c r="H59" i="5"/>
  <c r="I59" i="5"/>
  <c r="O60" i="5"/>
  <c r="G60" i="5"/>
  <c r="H60" i="5"/>
  <c r="I60" i="5"/>
  <c r="O61" i="5"/>
  <c r="G61" i="5"/>
  <c r="H61" i="5"/>
  <c r="I61" i="5"/>
  <c r="O62" i="5"/>
  <c r="G62" i="5"/>
  <c r="H62" i="5"/>
  <c r="I62" i="5"/>
  <c r="O63" i="5"/>
  <c r="G63" i="5"/>
  <c r="H63" i="5"/>
  <c r="I63" i="5"/>
  <c r="O64" i="5"/>
  <c r="G64" i="5"/>
  <c r="H64" i="5"/>
  <c r="I64" i="5"/>
  <c r="O65" i="5"/>
  <c r="G65" i="5"/>
  <c r="H65" i="5"/>
  <c r="I65" i="5"/>
  <c r="O66" i="5"/>
  <c r="G66" i="5"/>
  <c r="H66" i="5"/>
  <c r="I66" i="5"/>
  <c r="O67" i="5"/>
  <c r="G67" i="5"/>
  <c r="H67" i="5"/>
  <c r="I67" i="5"/>
  <c r="O68" i="5"/>
  <c r="G68" i="5"/>
  <c r="H68" i="5"/>
  <c r="I68" i="5"/>
  <c r="O69" i="5"/>
  <c r="G69" i="5"/>
  <c r="H69" i="5"/>
  <c r="I69" i="5"/>
  <c r="O70" i="5"/>
  <c r="G70" i="5"/>
  <c r="H70" i="5"/>
  <c r="I70" i="5"/>
  <c r="O71" i="5"/>
  <c r="G71" i="5"/>
  <c r="H71" i="5"/>
  <c r="I71" i="5"/>
  <c r="O72" i="5"/>
  <c r="G72" i="5"/>
  <c r="H72" i="5"/>
  <c r="I72" i="5"/>
  <c r="O73" i="5"/>
  <c r="G73" i="5"/>
  <c r="H73" i="5"/>
  <c r="I73" i="5"/>
  <c r="O74" i="5"/>
  <c r="G74" i="5"/>
  <c r="H74" i="5"/>
  <c r="I74" i="5"/>
  <c r="O75" i="5"/>
  <c r="G75" i="5"/>
  <c r="H75" i="5"/>
  <c r="I75" i="5"/>
  <c r="O76" i="5"/>
  <c r="G76" i="5"/>
  <c r="H76" i="5"/>
  <c r="I76" i="5"/>
  <c r="O77" i="5"/>
  <c r="G77" i="5"/>
  <c r="H77" i="5"/>
  <c r="I77" i="5"/>
  <c r="O78" i="5"/>
  <c r="G78" i="5"/>
  <c r="H78" i="5"/>
  <c r="I78" i="5"/>
  <c r="O79" i="5"/>
  <c r="G79" i="5"/>
  <c r="H79" i="5"/>
  <c r="I79" i="5"/>
  <c r="O80" i="5"/>
  <c r="G80" i="5"/>
  <c r="H80" i="5"/>
  <c r="I80" i="5"/>
  <c r="O81" i="5"/>
  <c r="G81" i="5"/>
  <c r="H81" i="5"/>
  <c r="I81" i="5"/>
  <c r="O82" i="5"/>
  <c r="G82" i="5"/>
  <c r="H82" i="5"/>
  <c r="I82" i="5"/>
  <c r="O83" i="5"/>
  <c r="G83" i="5"/>
  <c r="H83" i="5"/>
  <c r="I83" i="5"/>
  <c r="O84" i="5"/>
  <c r="G84" i="5"/>
  <c r="H84" i="5"/>
  <c r="I84" i="5"/>
  <c r="O85" i="5"/>
  <c r="G85" i="5"/>
  <c r="H85" i="5"/>
  <c r="I85" i="5"/>
  <c r="O86" i="5"/>
  <c r="G86" i="5"/>
  <c r="H86" i="5"/>
  <c r="I86" i="5"/>
  <c r="O87" i="5"/>
  <c r="G87" i="5"/>
  <c r="H87" i="5"/>
  <c r="I87" i="5"/>
  <c r="O88" i="5"/>
  <c r="G88" i="5"/>
  <c r="H88" i="5"/>
  <c r="I88" i="5"/>
  <c r="O89" i="5"/>
  <c r="G89" i="5"/>
  <c r="H89" i="5"/>
  <c r="I89" i="5"/>
  <c r="O90" i="5"/>
  <c r="G90" i="5"/>
  <c r="H90" i="5"/>
  <c r="I90" i="5"/>
  <c r="O91" i="5"/>
  <c r="G91" i="5"/>
  <c r="H91" i="5"/>
  <c r="I91" i="5"/>
  <c r="O92" i="5"/>
  <c r="G92" i="5"/>
  <c r="H92" i="5"/>
  <c r="I92" i="5"/>
  <c r="O93" i="5"/>
  <c r="G93" i="5"/>
  <c r="H93" i="5"/>
  <c r="I93" i="5"/>
  <c r="O94" i="5"/>
  <c r="G94" i="5"/>
  <c r="H94" i="5"/>
  <c r="I94" i="5"/>
  <c r="O95" i="5"/>
  <c r="G95" i="5"/>
  <c r="H95" i="5"/>
  <c r="I95" i="5"/>
  <c r="O96" i="5"/>
  <c r="G96" i="5"/>
  <c r="H96" i="5"/>
  <c r="I96" i="5"/>
  <c r="O97" i="5"/>
  <c r="G97" i="5"/>
  <c r="H97" i="5"/>
  <c r="I97" i="5"/>
  <c r="O98" i="5"/>
  <c r="G98" i="5"/>
  <c r="H98" i="5"/>
  <c r="I98" i="5"/>
  <c r="O99" i="5"/>
  <c r="G99" i="5"/>
  <c r="H99" i="5"/>
  <c r="I99" i="5"/>
  <c r="O100" i="5"/>
  <c r="G100" i="5"/>
  <c r="H100" i="5"/>
  <c r="I100" i="5"/>
  <c r="O101" i="5"/>
  <c r="G101" i="5"/>
  <c r="H101" i="5"/>
  <c r="I101" i="5"/>
  <c r="O102" i="5"/>
  <c r="G102" i="5"/>
  <c r="H102" i="5"/>
  <c r="I102" i="5"/>
  <c r="O103" i="5"/>
  <c r="G103" i="5"/>
  <c r="H103" i="5"/>
  <c r="I103" i="5"/>
  <c r="O104" i="5"/>
  <c r="G104" i="5"/>
  <c r="H104" i="5"/>
  <c r="I104" i="5"/>
  <c r="O105" i="5"/>
  <c r="G105" i="5"/>
  <c r="H105" i="5"/>
  <c r="I105" i="5"/>
  <c r="O106" i="5"/>
  <c r="G106" i="5"/>
  <c r="H106" i="5"/>
  <c r="I106" i="5"/>
  <c r="O107" i="5"/>
  <c r="G107" i="5"/>
  <c r="H107" i="5"/>
  <c r="I107" i="5"/>
  <c r="O108" i="5"/>
  <c r="G108" i="5"/>
  <c r="H108" i="5"/>
  <c r="I108" i="5"/>
  <c r="O109" i="5"/>
  <c r="G109" i="5"/>
  <c r="H109" i="5"/>
  <c r="I109" i="5"/>
  <c r="O110" i="5"/>
  <c r="G110" i="5"/>
  <c r="H110" i="5"/>
  <c r="I110" i="5"/>
  <c r="O111" i="5"/>
  <c r="G111" i="5"/>
  <c r="H111" i="5"/>
  <c r="I111" i="5"/>
  <c r="O112" i="5"/>
  <c r="G112" i="5"/>
  <c r="H112" i="5"/>
  <c r="I112" i="5"/>
  <c r="O113" i="5"/>
  <c r="G113" i="5"/>
  <c r="H113" i="5"/>
  <c r="I113" i="5"/>
  <c r="O114" i="5"/>
  <c r="G114" i="5"/>
  <c r="H114" i="5"/>
  <c r="I114" i="5"/>
  <c r="O115" i="5"/>
  <c r="G115" i="5"/>
  <c r="H115" i="5"/>
  <c r="I115" i="5"/>
  <c r="O116" i="5"/>
  <c r="G116" i="5"/>
  <c r="H116" i="5"/>
  <c r="I116" i="5"/>
  <c r="O117" i="5"/>
  <c r="G117" i="5"/>
  <c r="H117" i="5"/>
  <c r="I117" i="5"/>
  <c r="O118" i="5"/>
  <c r="G118" i="5"/>
  <c r="H118" i="5"/>
  <c r="I118" i="5"/>
  <c r="O119" i="5"/>
  <c r="G119" i="5"/>
  <c r="H119" i="5"/>
  <c r="I119" i="5"/>
  <c r="O120" i="5"/>
  <c r="G120" i="5"/>
  <c r="H120" i="5"/>
  <c r="I120" i="5"/>
  <c r="O121" i="5"/>
  <c r="G121" i="5"/>
  <c r="H121" i="5"/>
  <c r="I121" i="5"/>
  <c r="O122" i="5"/>
  <c r="G122" i="5"/>
  <c r="H122" i="5"/>
  <c r="I122" i="5"/>
  <c r="O123" i="5"/>
  <c r="G123" i="5"/>
  <c r="H123" i="5"/>
  <c r="I123" i="5"/>
  <c r="O124" i="5"/>
  <c r="G124" i="5"/>
  <c r="H124" i="5"/>
  <c r="I124" i="5"/>
  <c r="O125" i="5"/>
  <c r="G125" i="5"/>
  <c r="H125" i="5"/>
  <c r="I125" i="5"/>
  <c r="O126" i="5"/>
  <c r="G126" i="5"/>
  <c r="H126" i="5"/>
  <c r="I126" i="5"/>
  <c r="O127" i="5"/>
  <c r="G127" i="5"/>
  <c r="H127" i="5"/>
  <c r="I127" i="5"/>
  <c r="O128" i="5"/>
  <c r="G128" i="5"/>
  <c r="H128" i="5"/>
  <c r="I128" i="5"/>
  <c r="O129" i="5"/>
  <c r="G129" i="5"/>
  <c r="H129" i="5"/>
  <c r="I129" i="5"/>
  <c r="O130" i="5"/>
  <c r="G130" i="5"/>
  <c r="H130" i="5"/>
  <c r="I130" i="5"/>
  <c r="O131" i="5"/>
  <c r="G131" i="5"/>
  <c r="H131" i="5"/>
  <c r="I131" i="5"/>
  <c r="O132" i="5"/>
  <c r="G132" i="5"/>
  <c r="H132" i="5"/>
  <c r="I132" i="5"/>
  <c r="O133" i="5"/>
  <c r="G133" i="5"/>
  <c r="H133" i="5"/>
  <c r="I133" i="5"/>
  <c r="O134" i="5"/>
  <c r="G134" i="5"/>
  <c r="H134" i="5"/>
  <c r="I134" i="5"/>
  <c r="O135" i="5"/>
  <c r="G135" i="5"/>
  <c r="H135" i="5"/>
  <c r="I135" i="5"/>
  <c r="O136" i="5"/>
  <c r="G136" i="5"/>
  <c r="H136" i="5"/>
  <c r="I136" i="5"/>
  <c r="O137" i="5"/>
  <c r="G137" i="5"/>
  <c r="H137" i="5"/>
  <c r="I137" i="5"/>
  <c r="O138" i="5"/>
  <c r="G138" i="5"/>
  <c r="H138" i="5"/>
  <c r="I138" i="5"/>
  <c r="O139" i="5"/>
  <c r="G139" i="5"/>
  <c r="H139" i="5"/>
  <c r="I139" i="5"/>
  <c r="O140" i="5"/>
  <c r="G140" i="5"/>
  <c r="H140" i="5"/>
  <c r="I140" i="5"/>
  <c r="O141" i="5"/>
  <c r="G141" i="5"/>
  <c r="H141" i="5"/>
  <c r="I141" i="5"/>
  <c r="O142" i="5"/>
  <c r="G142" i="5"/>
  <c r="H142" i="5"/>
  <c r="I142" i="5"/>
  <c r="O143" i="5"/>
  <c r="G143" i="5"/>
  <c r="H143" i="5"/>
  <c r="I143" i="5"/>
  <c r="O144" i="5"/>
  <c r="G144" i="5"/>
  <c r="H144" i="5"/>
  <c r="I144" i="5"/>
  <c r="O145" i="5"/>
  <c r="G145" i="5"/>
  <c r="H145" i="5"/>
  <c r="I145" i="5"/>
  <c r="O146" i="5"/>
  <c r="G146" i="5"/>
  <c r="H146" i="5"/>
  <c r="I146" i="5"/>
  <c r="O147" i="5"/>
  <c r="G147" i="5"/>
  <c r="H147" i="5"/>
  <c r="I147" i="5"/>
  <c r="O148" i="5"/>
  <c r="G148" i="5"/>
  <c r="H148" i="5"/>
  <c r="I148" i="5"/>
  <c r="O149" i="5"/>
  <c r="G149" i="5"/>
  <c r="H149" i="5"/>
  <c r="I149" i="5"/>
  <c r="O150" i="5"/>
  <c r="G150" i="5"/>
  <c r="H150" i="5"/>
  <c r="I150" i="5"/>
  <c r="O151" i="5"/>
  <c r="G151" i="5"/>
  <c r="H151" i="5"/>
  <c r="I151" i="5"/>
  <c r="O152" i="5"/>
  <c r="G152" i="5"/>
  <c r="H152" i="5"/>
  <c r="I152" i="5"/>
  <c r="O153" i="5"/>
  <c r="G153" i="5"/>
  <c r="H153" i="5"/>
  <c r="I153" i="5"/>
  <c r="O154" i="5"/>
  <c r="G154" i="5"/>
  <c r="H154" i="5"/>
  <c r="I154" i="5"/>
  <c r="O155" i="5"/>
  <c r="G155" i="5"/>
  <c r="H155" i="5"/>
  <c r="I155" i="5"/>
  <c r="O156" i="5"/>
  <c r="G156" i="5"/>
  <c r="H156" i="5"/>
  <c r="I156" i="5"/>
  <c r="O157" i="5"/>
  <c r="G157" i="5"/>
  <c r="H157" i="5"/>
  <c r="I157" i="5"/>
  <c r="O158" i="5"/>
  <c r="G158" i="5"/>
  <c r="H158" i="5"/>
  <c r="I158" i="5"/>
  <c r="O159" i="5"/>
  <c r="G159" i="5"/>
  <c r="H159" i="5"/>
  <c r="I159" i="5"/>
  <c r="O160" i="5"/>
  <c r="G160" i="5"/>
  <c r="H160" i="5"/>
  <c r="I160" i="5"/>
  <c r="O161" i="5"/>
  <c r="G161" i="5"/>
  <c r="H161" i="5"/>
  <c r="I161" i="5"/>
  <c r="O162" i="5"/>
  <c r="G162" i="5"/>
  <c r="H162" i="5"/>
  <c r="I162" i="5"/>
  <c r="O163" i="5"/>
  <c r="G163" i="5"/>
  <c r="H163" i="5"/>
  <c r="I163" i="5"/>
  <c r="O164" i="5"/>
  <c r="G164" i="5"/>
  <c r="H164" i="5"/>
  <c r="I164" i="5"/>
  <c r="O165" i="5"/>
  <c r="G165" i="5"/>
  <c r="H165" i="5"/>
  <c r="I165" i="5"/>
  <c r="O166" i="5"/>
  <c r="G166" i="5"/>
  <c r="H166" i="5"/>
  <c r="I166" i="5"/>
  <c r="O167" i="5"/>
  <c r="G167" i="5"/>
  <c r="H167" i="5"/>
  <c r="I167" i="5"/>
  <c r="O168" i="5"/>
  <c r="G168" i="5"/>
  <c r="H168" i="5"/>
  <c r="I168" i="5"/>
  <c r="O169" i="5"/>
  <c r="G169" i="5"/>
  <c r="H169" i="5"/>
  <c r="I169" i="5"/>
  <c r="O170" i="5"/>
  <c r="G170" i="5"/>
  <c r="H170" i="5"/>
  <c r="I170" i="5"/>
  <c r="O171" i="5"/>
  <c r="G171" i="5"/>
  <c r="H171" i="5"/>
  <c r="I171" i="5"/>
  <c r="O172" i="5"/>
  <c r="G172" i="5"/>
  <c r="H172" i="5"/>
  <c r="I172" i="5"/>
  <c r="O173" i="5"/>
  <c r="G173" i="5"/>
  <c r="H173" i="5"/>
  <c r="I173" i="5"/>
  <c r="O174" i="5"/>
  <c r="G174" i="5"/>
  <c r="H174" i="5"/>
  <c r="I174" i="5"/>
  <c r="O175" i="5"/>
  <c r="G175" i="5"/>
  <c r="H175" i="5"/>
  <c r="I175" i="5"/>
  <c r="O176" i="5"/>
  <c r="G176" i="5"/>
  <c r="H176" i="5"/>
  <c r="I176" i="5"/>
  <c r="O177" i="5"/>
  <c r="G177" i="5"/>
  <c r="H177" i="5"/>
  <c r="I177" i="5"/>
  <c r="O178" i="5"/>
  <c r="G178" i="5"/>
  <c r="H178" i="5"/>
  <c r="I178" i="5"/>
  <c r="O179" i="5"/>
  <c r="G179" i="5"/>
  <c r="H179" i="5"/>
  <c r="I179" i="5"/>
  <c r="O180" i="5"/>
  <c r="G180" i="5"/>
  <c r="H180" i="5"/>
  <c r="I180" i="5"/>
  <c r="O181" i="5"/>
  <c r="G181" i="5"/>
  <c r="H181" i="5"/>
  <c r="I181" i="5"/>
  <c r="O182" i="5"/>
  <c r="G182" i="5"/>
  <c r="H182" i="5"/>
  <c r="I182" i="5"/>
  <c r="O183" i="5"/>
  <c r="G183" i="5"/>
  <c r="H183" i="5"/>
  <c r="I183" i="5"/>
  <c r="O184" i="5"/>
  <c r="G184" i="5"/>
  <c r="H184" i="5"/>
  <c r="I184" i="5"/>
  <c r="O185" i="5"/>
  <c r="G185" i="5"/>
  <c r="H185" i="5"/>
  <c r="I185" i="5"/>
  <c r="O186" i="5"/>
  <c r="G186" i="5"/>
  <c r="H186" i="5"/>
  <c r="I186" i="5"/>
  <c r="O187" i="5"/>
  <c r="G187" i="5"/>
  <c r="H187" i="5"/>
  <c r="I187" i="5"/>
  <c r="O188" i="5"/>
  <c r="G188" i="5"/>
  <c r="H188" i="5"/>
  <c r="I188" i="5"/>
  <c r="O189" i="5"/>
  <c r="G189" i="5"/>
  <c r="H189" i="5"/>
  <c r="I189" i="5"/>
  <c r="O190" i="5"/>
  <c r="G190" i="5"/>
  <c r="H190" i="5"/>
  <c r="I190" i="5"/>
  <c r="O191" i="5"/>
  <c r="G191" i="5"/>
  <c r="H191" i="5"/>
  <c r="I191" i="5"/>
  <c r="O192" i="5"/>
  <c r="G192" i="5"/>
  <c r="H192" i="5"/>
  <c r="I192" i="5"/>
  <c r="O193" i="5"/>
  <c r="G193" i="5"/>
  <c r="H193" i="5"/>
  <c r="I193" i="5"/>
  <c r="O194" i="5"/>
  <c r="G194" i="5"/>
  <c r="H194" i="5"/>
  <c r="I194" i="5"/>
  <c r="O195" i="5"/>
  <c r="G195" i="5"/>
  <c r="H195" i="5"/>
  <c r="I195" i="5"/>
  <c r="O196" i="5"/>
  <c r="G196" i="5"/>
  <c r="H196" i="5"/>
  <c r="I196" i="5"/>
  <c r="O197" i="5"/>
  <c r="G197" i="5"/>
  <c r="H197" i="5"/>
  <c r="I197" i="5"/>
  <c r="O198" i="5"/>
  <c r="G198" i="5"/>
  <c r="H198" i="5"/>
  <c r="I198" i="5"/>
  <c r="O199" i="5"/>
  <c r="G199" i="5"/>
  <c r="H199" i="5"/>
  <c r="I199" i="5"/>
  <c r="O200" i="5"/>
  <c r="G200" i="5"/>
  <c r="H200" i="5"/>
  <c r="I200" i="5"/>
  <c r="O201" i="5"/>
  <c r="G201" i="5"/>
  <c r="H201" i="5"/>
  <c r="I201" i="5"/>
  <c r="O202" i="5"/>
  <c r="G202" i="5"/>
  <c r="H202" i="5"/>
  <c r="I202" i="5"/>
  <c r="O203" i="5"/>
  <c r="G203" i="5"/>
  <c r="H203" i="5"/>
  <c r="I203" i="5"/>
  <c r="O204" i="5"/>
  <c r="G204" i="5"/>
  <c r="H204" i="5"/>
  <c r="I204" i="5"/>
  <c r="O205" i="5"/>
  <c r="G205" i="5"/>
  <c r="H205" i="5"/>
  <c r="I205" i="5"/>
  <c r="O206" i="5"/>
  <c r="G206" i="5"/>
  <c r="H206" i="5"/>
  <c r="I206" i="5"/>
  <c r="O207" i="5"/>
  <c r="G207" i="5"/>
  <c r="H207" i="5"/>
  <c r="I207" i="5"/>
  <c r="O208" i="5"/>
  <c r="G208" i="5"/>
  <c r="H208" i="5"/>
  <c r="I208" i="5"/>
  <c r="O209" i="5"/>
  <c r="G209" i="5"/>
  <c r="H209" i="5"/>
  <c r="I209" i="5"/>
  <c r="O210" i="5"/>
  <c r="G210" i="5"/>
  <c r="H210" i="5"/>
  <c r="I210" i="5"/>
  <c r="O211" i="5"/>
  <c r="G211" i="5"/>
  <c r="H211" i="5"/>
  <c r="I211" i="5"/>
  <c r="O212" i="5"/>
  <c r="G212" i="5"/>
  <c r="H212" i="5"/>
  <c r="I212" i="5"/>
  <c r="O213" i="5"/>
  <c r="G213" i="5"/>
  <c r="H213" i="5"/>
  <c r="I213" i="5"/>
  <c r="O214" i="5"/>
  <c r="G214" i="5"/>
  <c r="H214" i="5"/>
  <c r="I214" i="5"/>
  <c r="O215" i="5"/>
  <c r="G215" i="5"/>
  <c r="H215" i="5"/>
  <c r="I215" i="5"/>
  <c r="O216" i="5"/>
  <c r="G216" i="5"/>
  <c r="H216" i="5"/>
  <c r="I216" i="5"/>
  <c r="O217" i="5"/>
  <c r="G217" i="5"/>
  <c r="H217" i="5"/>
  <c r="I217" i="5"/>
  <c r="O218" i="5"/>
  <c r="G218" i="5"/>
  <c r="H218" i="5"/>
  <c r="I218" i="5"/>
  <c r="O219" i="5"/>
  <c r="G219" i="5"/>
  <c r="H219" i="5"/>
  <c r="I219" i="5"/>
  <c r="O220" i="5"/>
  <c r="G220" i="5"/>
  <c r="H220" i="5"/>
  <c r="I220" i="5"/>
  <c r="O221" i="5"/>
  <c r="G221" i="5"/>
  <c r="H221" i="5"/>
  <c r="I221" i="5"/>
  <c r="O222" i="5"/>
  <c r="G222" i="5"/>
  <c r="H222" i="5"/>
  <c r="I222" i="5"/>
  <c r="O223" i="5"/>
  <c r="G223" i="5"/>
  <c r="H223" i="5"/>
  <c r="I223" i="5"/>
  <c r="O224" i="5"/>
  <c r="G224" i="5"/>
  <c r="H224" i="5"/>
  <c r="I224" i="5"/>
  <c r="O225" i="5"/>
  <c r="G225" i="5"/>
  <c r="H225" i="5"/>
  <c r="I225" i="5"/>
  <c r="O226" i="5"/>
  <c r="G226" i="5"/>
  <c r="H226" i="5"/>
  <c r="I226" i="5"/>
  <c r="O227" i="5"/>
  <c r="G227" i="5"/>
  <c r="H227" i="5"/>
  <c r="I227" i="5"/>
  <c r="O228" i="5"/>
  <c r="G228" i="5"/>
  <c r="H228" i="5"/>
  <c r="I228" i="5"/>
  <c r="O229" i="5"/>
  <c r="G229" i="5"/>
  <c r="H229" i="5"/>
  <c r="I229" i="5"/>
  <c r="O230" i="5"/>
  <c r="G230" i="5"/>
  <c r="H230" i="5"/>
  <c r="I230" i="5"/>
  <c r="O231" i="5"/>
  <c r="G231" i="5"/>
  <c r="H231" i="5"/>
  <c r="I231" i="5"/>
  <c r="O232" i="5"/>
  <c r="G232" i="5"/>
  <c r="H232" i="5"/>
  <c r="I232" i="5"/>
  <c r="O233" i="5"/>
  <c r="G233" i="5"/>
  <c r="H233" i="5"/>
  <c r="I233" i="5"/>
  <c r="O234" i="5"/>
  <c r="G234" i="5"/>
  <c r="H234" i="5"/>
  <c r="I234" i="5"/>
  <c r="O235" i="5"/>
  <c r="G235" i="5"/>
  <c r="H235" i="5"/>
  <c r="I235" i="5"/>
  <c r="O236" i="5"/>
  <c r="G236" i="5"/>
  <c r="H236" i="5"/>
  <c r="I236" i="5"/>
  <c r="O237" i="5"/>
  <c r="G237" i="5"/>
  <c r="H237" i="5"/>
  <c r="I237" i="5"/>
  <c r="O238" i="5"/>
  <c r="G238" i="5"/>
  <c r="H238" i="5"/>
  <c r="I238" i="5"/>
  <c r="O239" i="5"/>
  <c r="G239" i="5"/>
  <c r="H239" i="5"/>
  <c r="I239" i="5"/>
  <c r="O240" i="5"/>
  <c r="G240" i="5"/>
  <c r="H240" i="5"/>
  <c r="I240" i="5"/>
  <c r="O241" i="5"/>
  <c r="G241" i="5"/>
  <c r="H241" i="5"/>
  <c r="I241" i="5"/>
  <c r="O242" i="5"/>
  <c r="G242" i="5"/>
  <c r="H242" i="5"/>
  <c r="I242" i="5"/>
  <c r="O243" i="5"/>
  <c r="G243" i="5"/>
  <c r="H243" i="5"/>
  <c r="I243" i="5"/>
  <c r="O244" i="5"/>
  <c r="G244" i="5"/>
  <c r="H244" i="5"/>
  <c r="I244" i="5"/>
  <c r="O245" i="5"/>
  <c r="G245" i="5"/>
  <c r="H245" i="5"/>
  <c r="I245" i="5"/>
  <c r="O246" i="5"/>
  <c r="G246" i="5"/>
  <c r="H246" i="5"/>
  <c r="I246" i="5"/>
  <c r="O247" i="5"/>
  <c r="G247" i="5"/>
  <c r="H247" i="5"/>
  <c r="I247" i="5"/>
  <c r="O248" i="5"/>
  <c r="G248" i="5"/>
  <c r="H248" i="5"/>
  <c r="I248" i="5"/>
  <c r="O249" i="5"/>
  <c r="G249" i="5"/>
  <c r="H249" i="5"/>
  <c r="I249" i="5"/>
  <c r="O250" i="5"/>
  <c r="G250" i="5"/>
  <c r="H250" i="5"/>
  <c r="I250" i="5"/>
  <c r="O251" i="5"/>
  <c r="G251" i="5"/>
  <c r="H251" i="5"/>
  <c r="I251" i="5"/>
  <c r="O252" i="5"/>
  <c r="G252" i="5"/>
  <c r="H252" i="5"/>
  <c r="I252" i="5"/>
  <c r="O253" i="5"/>
  <c r="G253" i="5"/>
  <c r="H253" i="5"/>
  <c r="I253" i="5"/>
  <c r="O254" i="5"/>
  <c r="G254" i="5"/>
  <c r="H254" i="5"/>
  <c r="I254" i="5"/>
  <c r="O255" i="5"/>
  <c r="G255" i="5"/>
  <c r="H255" i="5"/>
  <c r="I255" i="5"/>
  <c r="O256" i="5"/>
  <c r="G256" i="5"/>
  <c r="H256" i="5"/>
  <c r="I256" i="5"/>
  <c r="O257" i="5"/>
  <c r="G257" i="5"/>
  <c r="H257" i="5"/>
  <c r="I257" i="5"/>
  <c r="O258" i="5"/>
  <c r="G258" i="5"/>
  <c r="H258" i="5"/>
  <c r="I258" i="5"/>
  <c r="O259" i="5"/>
  <c r="G259" i="5"/>
  <c r="H259" i="5"/>
  <c r="I259" i="5"/>
  <c r="O260" i="5"/>
  <c r="G260" i="5"/>
  <c r="H260" i="5"/>
  <c r="I260" i="5"/>
  <c r="O261" i="5"/>
  <c r="G261" i="5"/>
  <c r="H261" i="5"/>
  <c r="I261" i="5"/>
  <c r="O262" i="5"/>
  <c r="G262" i="5"/>
  <c r="H262" i="5"/>
  <c r="I262" i="5"/>
  <c r="O263" i="5"/>
  <c r="G263" i="5"/>
  <c r="H263" i="5"/>
  <c r="I263" i="5"/>
  <c r="O264" i="5"/>
  <c r="G264" i="5"/>
  <c r="H264" i="5"/>
  <c r="I264" i="5"/>
  <c r="O265" i="5"/>
  <c r="G265" i="5"/>
  <c r="H265" i="5"/>
  <c r="I265" i="5"/>
  <c r="O266" i="5"/>
  <c r="G266" i="5"/>
  <c r="H266" i="5"/>
  <c r="I266" i="5"/>
  <c r="O267" i="5"/>
  <c r="G267" i="5"/>
  <c r="H267" i="5"/>
  <c r="I267" i="5"/>
  <c r="O268" i="5"/>
  <c r="G268" i="5"/>
  <c r="H268" i="5"/>
  <c r="I268" i="5"/>
  <c r="O269" i="5"/>
  <c r="G269" i="5"/>
  <c r="H269" i="5"/>
  <c r="I269" i="5"/>
  <c r="O270" i="5"/>
  <c r="G270" i="5"/>
  <c r="H270" i="5"/>
  <c r="I270" i="5"/>
  <c r="O271" i="5"/>
  <c r="G271" i="5"/>
  <c r="H271" i="5"/>
  <c r="I271" i="5"/>
  <c r="O272" i="5"/>
  <c r="G272" i="5"/>
  <c r="H272" i="5"/>
  <c r="I272" i="5"/>
  <c r="O273" i="5"/>
  <c r="G273" i="5"/>
  <c r="H273" i="5"/>
  <c r="I273" i="5"/>
  <c r="O274" i="5"/>
  <c r="G274" i="5"/>
  <c r="H274" i="5"/>
  <c r="I274" i="5"/>
  <c r="O275" i="5"/>
  <c r="G275" i="5"/>
  <c r="H275" i="5"/>
  <c r="I275" i="5"/>
  <c r="O276" i="5"/>
  <c r="G276" i="5"/>
  <c r="H276" i="5"/>
  <c r="I276" i="5"/>
  <c r="O277" i="5"/>
  <c r="G277" i="5"/>
  <c r="H277" i="5"/>
  <c r="I277" i="5"/>
  <c r="O278" i="5"/>
  <c r="G278" i="5"/>
  <c r="H278" i="5"/>
  <c r="I278" i="5"/>
  <c r="O279" i="5"/>
  <c r="G279" i="5"/>
  <c r="H279" i="5"/>
  <c r="I279" i="5"/>
  <c r="O280" i="5"/>
  <c r="G280" i="5"/>
  <c r="H280" i="5"/>
  <c r="I280" i="5"/>
  <c r="O281" i="5"/>
  <c r="G281" i="5"/>
  <c r="H281" i="5"/>
  <c r="I281" i="5"/>
  <c r="O282" i="5"/>
  <c r="G282" i="5"/>
  <c r="H282" i="5"/>
  <c r="I282" i="5"/>
  <c r="O283" i="5"/>
  <c r="G283" i="5"/>
  <c r="H283" i="5"/>
  <c r="I283" i="5"/>
  <c r="O284" i="5"/>
  <c r="G284" i="5"/>
  <c r="H284" i="5"/>
  <c r="I284" i="5"/>
  <c r="O285" i="5"/>
  <c r="G285" i="5"/>
  <c r="H285" i="5"/>
  <c r="I285" i="5"/>
  <c r="O286" i="5"/>
  <c r="G286" i="5"/>
  <c r="H286" i="5"/>
  <c r="I286" i="5"/>
  <c r="O287" i="5"/>
  <c r="G287" i="5"/>
  <c r="H287" i="5"/>
  <c r="I287" i="5"/>
  <c r="O288" i="5"/>
  <c r="G288" i="5"/>
  <c r="H288" i="5"/>
  <c r="I288" i="5"/>
  <c r="O289" i="5"/>
  <c r="G289" i="5"/>
  <c r="H289" i="5"/>
  <c r="I289" i="5"/>
  <c r="O290" i="5"/>
  <c r="G290" i="5"/>
  <c r="H290" i="5"/>
  <c r="I290" i="5"/>
  <c r="O291" i="5"/>
  <c r="G291" i="5"/>
  <c r="H291" i="5"/>
  <c r="I291" i="5"/>
  <c r="O292" i="5"/>
  <c r="G292" i="5"/>
  <c r="H292" i="5"/>
  <c r="I292" i="5"/>
  <c r="O293" i="5"/>
  <c r="G293" i="5"/>
  <c r="H293" i="5"/>
  <c r="I293" i="5"/>
  <c r="O294" i="5"/>
  <c r="G294" i="5"/>
  <c r="H294" i="5"/>
  <c r="I294" i="5"/>
  <c r="O295" i="5"/>
  <c r="G295" i="5"/>
  <c r="H295" i="5"/>
  <c r="I295" i="5"/>
  <c r="O296" i="5"/>
  <c r="G296" i="5"/>
  <c r="H296" i="5"/>
  <c r="I296" i="5"/>
  <c r="O297" i="5"/>
  <c r="G297" i="5"/>
  <c r="H297" i="5"/>
  <c r="I297" i="5"/>
  <c r="O298" i="5"/>
  <c r="G298" i="5"/>
  <c r="H298" i="5"/>
  <c r="I298" i="5"/>
  <c r="O299" i="5"/>
  <c r="G299" i="5"/>
  <c r="H299" i="5"/>
  <c r="I299" i="5"/>
  <c r="O300" i="5"/>
  <c r="G300" i="5"/>
  <c r="H300" i="5"/>
  <c r="I300" i="5"/>
  <c r="O301" i="5"/>
  <c r="G301" i="5"/>
  <c r="H301" i="5"/>
  <c r="I301" i="5"/>
  <c r="O302" i="5"/>
  <c r="G302" i="5"/>
  <c r="H302" i="5"/>
  <c r="I302" i="5"/>
  <c r="O303" i="5"/>
  <c r="G303" i="5"/>
  <c r="H303" i="5"/>
  <c r="I303" i="5"/>
  <c r="O304" i="5"/>
  <c r="G304" i="5"/>
  <c r="H304" i="5"/>
  <c r="I304" i="5"/>
  <c r="O305" i="5"/>
  <c r="G305" i="5"/>
  <c r="H305" i="5"/>
  <c r="I305" i="5"/>
  <c r="O306" i="5"/>
  <c r="G306" i="5"/>
  <c r="H306" i="5"/>
  <c r="I306" i="5"/>
  <c r="O307" i="5"/>
  <c r="G307" i="5"/>
  <c r="H307" i="5"/>
  <c r="I307" i="5"/>
  <c r="O308" i="5"/>
  <c r="G308" i="5"/>
  <c r="H308" i="5"/>
  <c r="I308" i="5"/>
  <c r="O309" i="5"/>
  <c r="G309" i="5"/>
  <c r="H309" i="5"/>
  <c r="I309" i="5"/>
  <c r="O310" i="5"/>
  <c r="G310" i="5"/>
  <c r="H310" i="5"/>
  <c r="I310" i="5"/>
  <c r="O311" i="5"/>
  <c r="G311" i="5"/>
  <c r="H311" i="5"/>
  <c r="I311" i="5"/>
  <c r="O312" i="5"/>
  <c r="G312" i="5"/>
  <c r="H312" i="5"/>
  <c r="I312" i="5"/>
  <c r="O313" i="5"/>
  <c r="G313" i="5"/>
  <c r="H313" i="5"/>
  <c r="I313" i="5"/>
  <c r="O314" i="5"/>
  <c r="G314" i="5"/>
  <c r="H314" i="5"/>
  <c r="I314" i="5"/>
  <c r="O315" i="5"/>
  <c r="G315" i="5"/>
  <c r="H315" i="5"/>
  <c r="I315" i="5"/>
  <c r="O316" i="5"/>
  <c r="G316" i="5"/>
  <c r="H316" i="5"/>
  <c r="I316" i="5"/>
  <c r="O317" i="5"/>
  <c r="G317" i="5"/>
  <c r="H317" i="5"/>
  <c r="I317" i="5"/>
  <c r="O318" i="5"/>
  <c r="G318" i="5"/>
  <c r="H318" i="5"/>
  <c r="I318" i="5"/>
  <c r="O319" i="5"/>
  <c r="G319" i="5"/>
  <c r="H319" i="5"/>
  <c r="I319" i="5"/>
  <c r="O320" i="5"/>
  <c r="G320" i="5"/>
  <c r="H320" i="5"/>
  <c r="I320" i="5"/>
  <c r="O321" i="5"/>
  <c r="G321" i="5"/>
  <c r="H321" i="5"/>
  <c r="I321" i="5"/>
  <c r="O322" i="5"/>
  <c r="G322" i="5"/>
  <c r="H322" i="5"/>
  <c r="I322" i="5"/>
  <c r="O323" i="5"/>
  <c r="G323" i="5"/>
  <c r="H323" i="5"/>
  <c r="I323" i="5"/>
  <c r="O324" i="5"/>
  <c r="G324" i="5"/>
  <c r="H324" i="5"/>
  <c r="I324" i="5"/>
  <c r="O325" i="5"/>
  <c r="G325" i="5"/>
  <c r="H325" i="5"/>
  <c r="I325" i="5"/>
  <c r="O326" i="5"/>
  <c r="G326" i="5"/>
  <c r="H326" i="5"/>
  <c r="I326" i="5"/>
  <c r="O327" i="5"/>
  <c r="G327" i="5"/>
  <c r="H327" i="5"/>
  <c r="I327" i="5"/>
  <c r="O328" i="5"/>
  <c r="G328" i="5"/>
  <c r="H328" i="5"/>
  <c r="I328" i="5"/>
  <c r="O329" i="5"/>
  <c r="G329" i="5"/>
  <c r="H329" i="5"/>
  <c r="I329" i="5"/>
  <c r="O330" i="5"/>
  <c r="G330" i="5"/>
  <c r="H330" i="5"/>
  <c r="I330" i="5"/>
  <c r="O331" i="5"/>
  <c r="G331" i="5"/>
  <c r="H331" i="5"/>
  <c r="I331" i="5"/>
  <c r="O332" i="5"/>
  <c r="G332" i="5"/>
  <c r="H332" i="5"/>
  <c r="I332" i="5"/>
  <c r="O333" i="5"/>
  <c r="G333" i="5"/>
  <c r="H333" i="5"/>
  <c r="I333" i="5"/>
  <c r="O334" i="5"/>
  <c r="G334" i="5"/>
  <c r="H334" i="5"/>
  <c r="I334" i="5"/>
  <c r="O335" i="5"/>
  <c r="G335" i="5"/>
  <c r="H335" i="5"/>
  <c r="I335" i="5"/>
  <c r="O336" i="5"/>
  <c r="G336" i="5"/>
  <c r="H336" i="5"/>
  <c r="I336" i="5"/>
  <c r="O337" i="5"/>
  <c r="G337" i="5"/>
  <c r="H337" i="5"/>
  <c r="I337" i="5"/>
  <c r="O338" i="5"/>
  <c r="G338" i="5"/>
  <c r="H338" i="5"/>
  <c r="I338" i="5"/>
  <c r="O339" i="5"/>
  <c r="G339" i="5"/>
  <c r="H339" i="5"/>
  <c r="I339" i="5"/>
  <c r="O340" i="5"/>
  <c r="G340" i="5"/>
  <c r="H340" i="5"/>
  <c r="I340" i="5"/>
  <c r="O341" i="5"/>
  <c r="G341" i="5"/>
  <c r="H341" i="5"/>
  <c r="I341" i="5"/>
  <c r="O342" i="5"/>
  <c r="G342" i="5"/>
  <c r="H342" i="5"/>
  <c r="I342" i="5"/>
  <c r="O343" i="5"/>
  <c r="G343" i="5"/>
  <c r="H343" i="5"/>
  <c r="I343" i="5"/>
  <c r="G2" i="5"/>
  <c r="H2" i="5"/>
  <c r="I2" i="5"/>
  <c r="O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2" i="5"/>
  <c r="K3" i="5"/>
  <c r="J3" i="5"/>
  <c r="K4" i="5"/>
  <c r="J4" i="5"/>
  <c r="K5" i="5"/>
  <c r="J5" i="5"/>
  <c r="K6" i="5"/>
  <c r="J6" i="5"/>
  <c r="K7" i="5"/>
  <c r="J7" i="5"/>
  <c r="K8" i="5"/>
  <c r="J8" i="5"/>
  <c r="K9" i="5"/>
  <c r="J9" i="5"/>
  <c r="K10" i="5"/>
  <c r="J10" i="5"/>
  <c r="K11" i="5"/>
  <c r="J11" i="5"/>
  <c r="K12" i="5"/>
  <c r="J12" i="5"/>
  <c r="K13" i="5"/>
  <c r="J13" i="5"/>
  <c r="K14" i="5"/>
  <c r="J14" i="5"/>
  <c r="K15" i="5"/>
  <c r="J15" i="5"/>
  <c r="K16" i="5"/>
  <c r="J16" i="5"/>
  <c r="K17" i="5"/>
  <c r="J17" i="5"/>
  <c r="K18" i="5"/>
  <c r="J18" i="5"/>
  <c r="K19" i="5"/>
  <c r="J19" i="5"/>
  <c r="K20" i="5"/>
  <c r="J20" i="5"/>
  <c r="K21" i="5"/>
  <c r="J21" i="5"/>
  <c r="K22" i="5"/>
  <c r="J22" i="5"/>
  <c r="K23" i="5"/>
  <c r="J23" i="5"/>
  <c r="K24" i="5"/>
  <c r="J24" i="5"/>
  <c r="K25" i="5"/>
  <c r="J25" i="5"/>
  <c r="K26" i="5"/>
  <c r="J26" i="5"/>
  <c r="K27" i="5"/>
  <c r="J27" i="5"/>
  <c r="K28" i="5"/>
  <c r="J28" i="5"/>
  <c r="K29" i="5"/>
  <c r="J29" i="5"/>
  <c r="K30" i="5"/>
  <c r="J30" i="5"/>
  <c r="K31" i="5"/>
  <c r="J31" i="5"/>
  <c r="K32" i="5"/>
  <c r="J32" i="5"/>
  <c r="K33" i="5"/>
  <c r="J33" i="5"/>
  <c r="K34" i="5"/>
  <c r="J34" i="5"/>
  <c r="K35" i="5"/>
  <c r="J35" i="5"/>
  <c r="K36" i="5"/>
  <c r="J36" i="5"/>
  <c r="K37" i="5"/>
  <c r="J37" i="5"/>
  <c r="K38" i="5"/>
  <c r="J38" i="5"/>
  <c r="K39" i="5"/>
  <c r="J39" i="5"/>
  <c r="K40" i="5"/>
  <c r="J40" i="5"/>
  <c r="K41" i="5"/>
  <c r="J41" i="5"/>
  <c r="K42" i="5"/>
  <c r="J42" i="5"/>
  <c r="K43" i="5"/>
  <c r="J43" i="5"/>
  <c r="K44" i="5"/>
  <c r="J44" i="5"/>
  <c r="K45" i="5"/>
  <c r="J45" i="5"/>
  <c r="K46" i="5"/>
  <c r="J46" i="5"/>
  <c r="K47" i="5"/>
  <c r="J47" i="5"/>
  <c r="K48" i="5"/>
  <c r="J48" i="5"/>
  <c r="K49" i="5"/>
  <c r="J49" i="5"/>
  <c r="K50" i="5"/>
  <c r="J50" i="5"/>
  <c r="K51" i="5"/>
  <c r="J51" i="5"/>
  <c r="K52" i="5"/>
  <c r="J52" i="5"/>
  <c r="K53" i="5"/>
  <c r="J53" i="5"/>
  <c r="K54" i="5"/>
  <c r="J54" i="5"/>
  <c r="K55" i="5"/>
  <c r="J55" i="5"/>
  <c r="K56" i="5"/>
  <c r="J56" i="5"/>
  <c r="K57" i="5"/>
  <c r="J57" i="5"/>
  <c r="K58" i="5"/>
  <c r="J58" i="5"/>
  <c r="K59" i="5"/>
  <c r="J59" i="5"/>
  <c r="K60" i="5"/>
  <c r="J60" i="5"/>
  <c r="K61" i="5"/>
  <c r="J61" i="5"/>
  <c r="K62" i="5"/>
  <c r="J62" i="5"/>
  <c r="K63" i="5"/>
  <c r="J63" i="5"/>
  <c r="K64" i="5"/>
  <c r="J64" i="5"/>
  <c r="K65" i="5"/>
  <c r="J65" i="5"/>
  <c r="K66" i="5"/>
  <c r="J66" i="5"/>
  <c r="K67" i="5"/>
  <c r="J67" i="5"/>
  <c r="K68" i="5"/>
  <c r="J68" i="5"/>
  <c r="K69" i="5"/>
  <c r="J69" i="5"/>
  <c r="K70" i="5"/>
  <c r="J70" i="5"/>
  <c r="K71" i="5"/>
  <c r="J71" i="5"/>
  <c r="K72" i="5"/>
  <c r="J72" i="5"/>
  <c r="K73" i="5"/>
  <c r="J73" i="5"/>
  <c r="K74" i="5"/>
  <c r="J74" i="5"/>
  <c r="K75" i="5"/>
  <c r="J75" i="5"/>
  <c r="K76" i="5"/>
  <c r="J76" i="5"/>
  <c r="K77" i="5"/>
  <c r="J77" i="5"/>
  <c r="K78" i="5"/>
  <c r="J78" i="5"/>
  <c r="K79" i="5"/>
  <c r="J79" i="5"/>
  <c r="K80" i="5"/>
  <c r="J80" i="5"/>
  <c r="K81" i="5"/>
  <c r="J81" i="5"/>
  <c r="K82" i="5"/>
  <c r="J82" i="5"/>
  <c r="K83" i="5"/>
  <c r="J83" i="5"/>
  <c r="K84" i="5"/>
  <c r="J84" i="5"/>
  <c r="K85" i="5"/>
  <c r="J85" i="5"/>
  <c r="K86" i="5"/>
  <c r="J86" i="5"/>
  <c r="K87" i="5"/>
  <c r="J87" i="5"/>
  <c r="K88" i="5"/>
  <c r="J88" i="5"/>
  <c r="K89" i="5"/>
  <c r="J89" i="5"/>
  <c r="K90" i="5"/>
  <c r="J90" i="5"/>
  <c r="K91" i="5"/>
  <c r="J91" i="5"/>
  <c r="K92" i="5"/>
  <c r="J92" i="5"/>
  <c r="K93" i="5"/>
  <c r="J93" i="5"/>
  <c r="K94" i="5"/>
  <c r="J94" i="5"/>
  <c r="K95" i="5"/>
  <c r="J95" i="5"/>
  <c r="K96" i="5"/>
  <c r="J96" i="5"/>
  <c r="K97" i="5"/>
  <c r="J97" i="5"/>
  <c r="K98" i="5"/>
  <c r="J98" i="5"/>
  <c r="K99" i="5"/>
  <c r="J99" i="5"/>
  <c r="K100" i="5"/>
  <c r="J100" i="5"/>
  <c r="K101" i="5"/>
  <c r="J101" i="5"/>
  <c r="K102" i="5"/>
  <c r="J102" i="5"/>
  <c r="K103" i="5"/>
  <c r="J103" i="5"/>
  <c r="K104" i="5"/>
  <c r="J104" i="5"/>
  <c r="K105" i="5"/>
  <c r="J105" i="5"/>
  <c r="K106" i="5"/>
  <c r="J106" i="5"/>
  <c r="K107" i="5"/>
  <c r="J107" i="5"/>
  <c r="K108" i="5"/>
  <c r="J108" i="5"/>
  <c r="K109" i="5"/>
  <c r="J109" i="5"/>
  <c r="K110" i="5"/>
  <c r="J110" i="5"/>
  <c r="K111" i="5"/>
  <c r="J111" i="5"/>
  <c r="K112" i="5"/>
  <c r="J112" i="5"/>
  <c r="K113" i="5"/>
  <c r="J113" i="5"/>
  <c r="K114" i="5"/>
  <c r="J114" i="5"/>
  <c r="K115" i="5"/>
  <c r="J115" i="5"/>
  <c r="K116" i="5"/>
  <c r="J116" i="5"/>
  <c r="K117" i="5"/>
  <c r="J117" i="5"/>
  <c r="K118" i="5"/>
  <c r="J118" i="5"/>
  <c r="K119" i="5"/>
  <c r="J119" i="5"/>
  <c r="K120" i="5"/>
  <c r="J120" i="5"/>
  <c r="K121" i="5"/>
  <c r="J121" i="5"/>
  <c r="K122" i="5"/>
  <c r="J122" i="5"/>
  <c r="K123" i="5"/>
  <c r="J123" i="5"/>
  <c r="K124" i="5"/>
  <c r="J124" i="5"/>
  <c r="K125" i="5"/>
  <c r="J125" i="5"/>
  <c r="K126" i="5"/>
  <c r="J126" i="5"/>
  <c r="K127" i="5"/>
  <c r="J127" i="5"/>
  <c r="K128" i="5"/>
  <c r="J128" i="5"/>
  <c r="K129" i="5"/>
  <c r="J129" i="5"/>
  <c r="K130" i="5"/>
  <c r="J130" i="5"/>
  <c r="K131" i="5"/>
  <c r="J131" i="5"/>
  <c r="K132" i="5"/>
  <c r="J132" i="5"/>
  <c r="K133" i="5"/>
  <c r="J133" i="5"/>
  <c r="K134" i="5"/>
  <c r="J134" i="5"/>
  <c r="K135" i="5"/>
  <c r="J135" i="5"/>
  <c r="K136" i="5"/>
  <c r="J136" i="5"/>
  <c r="K137" i="5"/>
  <c r="J137" i="5"/>
  <c r="K138" i="5"/>
  <c r="J138" i="5"/>
  <c r="K139" i="5"/>
  <c r="J139" i="5"/>
  <c r="K140" i="5"/>
  <c r="J140" i="5"/>
  <c r="K141" i="5"/>
  <c r="J141" i="5"/>
  <c r="K142" i="5"/>
  <c r="J142" i="5"/>
  <c r="K143" i="5"/>
  <c r="J143" i="5"/>
  <c r="K144" i="5"/>
  <c r="J144" i="5"/>
  <c r="K145" i="5"/>
  <c r="J145" i="5"/>
  <c r="K146" i="5"/>
  <c r="J146" i="5"/>
  <c r="K147" i="5"/>
  <c r="J147" i="5"/>
  <c r="K148" i="5"/>
  <c r="J148" i="5"/>
  <c r="K149" i="5"/>
  <c r="J149" i="5"/>
  <c r="K150" i="5"/>
  <c r="J150" i="5"/>
  <c r="K151" i="5"/>
  <c r="J151" i="5"/>
  <c r="K152" i="5"/>
  <c r="J152" i="5"/>
  <c r="K153" i="5"/>
  <c r="J153" i="5"/>
  <c r="K154" i="5"/>
  <c r="J154" i="5"/>
  <c r="K155" i="5"/>
  <c r="J155" i="5"/>
  <c r="K156" i="5"/>
  <c r="J156" i="5"/>
  <c r="K157" i="5"/>
  <c r="J157" i="5"/>
  <c r="K158" i="5"/>
  <c r="J158" i="5"/>
  <c r="K159" i="5"/>
  <c r="J159" i="5"/>
  <c r="K160" i="5"/>
  <c r="J160" i="5"/>
  <c r="K161" i="5"/>
  <c r="J161" i="5"/>
  <c r="K162" i="5"/>
  <c r="J162" i="5"/>
  <c r="K163" i="5"/>
  <c r="J163" i="5"/>
  <c r="K164" i="5"/>
  <c r="J164" i="5"/>
  <c r="K165" i="5"/>
  <c r="J165" i="5"/>
  <c r="K166" i="5"/>
  <c r="J166" i="5"/>
  <c r="K167" i="5"/>
  <c r="J167" i="5"/>
  <c r="K168" i="5"/>
  <c r="J168" i="5"/>
  <c r="K169" i="5"/>
  <c r="J169" i="5"/>
  <c r="K170" i="5"/>
  <c r="J170" i="5"/>
  <c r="K171" i="5"/>
  <c r="J171" i="5"/>
  <c r="K172" i="5"/>
  <c r="J172" i="5"/>
  <c r="K173" i="5"/>
  <c r="J173" i="5"/>
  <c r="K174" i="5"/>
  <c r="J174" i="5"/>
  <c r="K175" i="5"/>
  <c r="J175" i="5"/>
  <c r="K176" i="5"/>
  <c r="J176" i="5"/>
  <c r="K177" i="5"/>
  <c r="J177" i="5"/>
  <c r="K178" i="5"/>
  <c r="J178" i="5"/>
  <c r="K179" i="5"/>
  <c r="J179" i="5"/>
  <c r="K180" i="5"/>
  <c r="J180" i="5"/>
  <c r="K181" i="5"/>
  <c r="J181" i="5"/>
  <c r="K182" i="5"/>
  <c r="J182" i="5"/>
  <c r="K183" i="5"/>
  <c r="J183" i="5"/>
  <c r="K184" i="5"/>
  <c r="J184" i="5"/>
  <c r="K185" i="5"/>
  <c r="J185" i="5"/>
  <c r="K186" i="5"/>
  <c r="J186" i="5"/>
  <c r="K187" i="5"/>
  <c r="J187" i="5"/>
  <c r="K188" i="5"/>
  <c r="J188" i="5"/>
  <c r="K189" i="5"/>
  <c r="J189" i="5"/>
  <c r="K190" i="5"/>
  <c r="J190" i="5"/>
  <c r="K191" i="5"/>
  <c r="J191" i="5"/>
  <c r="K192" i="5"/>
  <c r="J192" i="5"/>
  <c r="K193" i="5"/>
  <c r="J193" i="5"/>
  <c r="K194" i="5"/>
  <c r="J194" i="5"/>
  <c r="K195" i="5"/>
  <c r="J195" i="5"/>
  <c r="K196" i="5"/>
  <c r="J196" i="5"/>
  <c r="K197" i="5"/>
  <c r="J197" i="5"/>
  <c r="K198" i="5"/>
  <c r="J198" i="5"/>
  <c r="K199" i="5"/>
  <c r="J199" i="5"/>
  <c r="K200" i="5"/>
  <c r="J200" i="5"/>
  <c r="K201" i="5"/>
  <c r="J201" i="5"/>
  <c r="K202" i="5"/>
  <c r="J202" i="5"/>
  <c r="K203" i="5"/>
  <c r="J203" i="5"/>
  <c r="K204" i="5"/>
  <c r="J204" i="5"/>
  <c r="K205" i="5"/>
  <c r="J205" i="5"/>
  <c r="K206" i="5"/>
  <c r="J206" i="5"/>
  <c r="K207" i="5"/>
  <c r="J207" i="5"/>
  <c r="K208" i="5"/>
  <c r="J208" i="5"/>
  <c r="K209" i="5"/>
  <c r="J209" i="5"/>
  <c r="K210" i="5"/>
  <c r="J210" i="5"/>
  <c r="K211" i="5"/>
  <c r="J211" i="5"/>
  <c r="K212" i="5"/>
  <c r="J212" i="5"/>
  <c r="K213" i="5"/>
  <c r="J213" i="5"/>
  <c r="K214" i="5"/>
  <c r="J214" i="5"/>
  <c r="K215" i="5"/>
  <c r="J215" i="5"/>
  <c r="K216" i="5"/>
  <c r="J216" i="5"/>
  <c r="K217" i="5"/>
  <c r="J217" i="5"/>
  <c r="K218" i="5"/>
  <c r="J218" i="5"/>
  <c r="K219" i="5"/>
  <c r="J219" i="5"/>
  <c r="K220" i="5"/>
  <c r="J220" i="5"/>
  <c r="K221" i="5"/>
  <c r="J221" i="5"/>
  <c r="K222" i="5"/>
  <c r="J222" i="5"/>
  <c r="K223" i="5"/>
  <c r="J223" i="5"/>
  <c r="K224" i="5"/>
  <c r="J224" i="5"/>
  <c r="K225" i="5"/>
  <c r="J225" i="5"/>
  <c r="K226" i="5"/>
  <c r="J226" i="5"/>
  <c r="K227" i="5"/>
  <c r="J227" i="5"/>
  <c r="K228" i="5"/>
  <c r="J228" i="5"/>
  <c r="K229" i="5"/>
  <c r="J229" i="5"/>
  <c r="K230" i="5"/>
  <c r="J230" i="5"/>
  <c r="K231" i="5"/>
  <c r="J231" i="5"/>
  <c r="K232" i="5"/>
  <c r="J232" i="5"/>
  <c r="K233" i="5"/>
  <c r="J233" i="5"/>
  <c r="K234" i="5"/>
  <c r="J234" i="5"/>
  <c r="K235" i="5"/>
  <c r="J235" i="5"/>
  <c r="K236" i="5"/>
  <c r="J236" i="5"/>
  <c r="K237" i="5"/>
  <c r="J237" i="5"/>
  <c r="K238" i="5"/>
  <c r="J238" i="5"/>
  <c r="K239" i="5"/>
  <c r="J239" i="5"/>
  <c r="K240" i="5"/>
  <c r="J240" i="5"/>
  <c r="K241" i="5"/>
  <c r="J241" i="5"/>
  <c r="K242" i="5"/>
  <c r="J242" i="5"/>
  <c r="K243" i="5"/>
  <c r="J243" i="5"/>
  <c r="K244" i="5"/>
  <c r="J244" i="5"/>
  <c r="K245" i="5"/>
  <c r="J245" i="5"/>
  <c r="K246" i="5"/>
  <c r="J246" i="5"/>
  <c r="K247" i="5"/>
  <c r="J247" i="5"/>
  <c r="K248" i="5"/>
  <c r="J248" i="5"/>
  <c r="K249" i="5"/>
  <c r="J249" i="5"/>
  <c r="K250" i="5"/>
  <c r="J250" i="5"/>
  <c r="K251" i="5"/>
  <c r="J251" i="5"/>
  <c r="K252" i="5"/>
  <c r="J252" i="5"/>
  <c r="K253" i="5"/>
  <c r="J253" i="5"/>
  <c r="K254" i="5"/>
  <c r="J254" i="5"/>
  <c r="K255" i="5"/>
  <c r="J255" i="5"/>
  <c r="K256" i="5"/>
  <c r="J256" i="5"/>
  <c r="K257" i="5"/>
  <c r="J257" i="5"/>
  <c r="K258" i="5"/>
  <c r="J258" i="5"/>
  <c r="K259" i="5"/>
  <c r="J259" i="5"/>
  <c r="K260" i="5"/>
  <c r="J260" i="5"/>
  <c r="K261" i="5"/>
  <c r="J261" i="5"/>
  <c r="K262" i="5"/>
  <c r="J262" i="5"/>
  <c r="K263" i="5"/>
  <c r="J263" i="5"/>
  <c r="K264" i="5"/>
  <c r="J264" i="5"/>
  <c r="K265" i="5"/>
  <c r="J265" i="5"/>
  <c r="K266" i="5"/>
  <c r="J266" i="5"/>
  <c r="K267" i="5"/>
  <c r="J267" i="5"/>
  <c r="K268" i="5"/>
  <c r="J268" i="5"/>
  <c r="K269" i="5"/>
  <c r="J269" i="5"/>
  <c r="K270" i="5"/>
  <c r="J270" i="5"/>
  <c r="K271" i="5"/>
  <c r="J271" i="5"/>
  <c r="K272" i="5"/>
  <c r="J272" i="5"/>
  <c r="K273" i="5"/>
  <c r="J273" i="5"/>
  <c r="K274" i="5"/>
  <c r="J274" i="5"/>
  <c r="K275" i="5"/>
  <c r="J275" i="5"/>
  <c r="K276" i="5"/>
  <c r="J276" i="5"/>
  <c r="K277" i="5"/>
  <c r="J277" i="5"/>
  <c r="K278" i="5"/>
  <c r="J278" i="5"/>
  <c r="K279" i="5"/>
  <c r="J279" i="5"/>
  <c r="K280" i="5"/>
  <c r="J280" i="5"/>
  <c r="K281" i="5"/>
  <c r="J281" i="5"/>
  <c r="K282" i="5"/>
  <c r="J282" i="5"/>
  <c r="K283" i="5"/>
  <c r="J283" i="5"/>
  <c r="K284" i="5"/>
  <c r="J284" i="5"/>
  <c r="K285" i="5"/>
  <c r="J285" i="5"/>
  <c r="K286" i="5"/>
  <c r="J286" i="5"/>
  <c r="K287" i="5"/>
  <c r="J287" i="5"/>
  <c r="K288" i="5"/>
  <c r="J288" i="5"/>
  <c r="K289" i="5"/>
  <c r="J289" i="5"/>
  <c r="K290" i="5"/>
  <c r="J290" i="5"/>
  <c r="K291" i="5"/>
  <c r="J291" i="5"/>
  <c r="K292" i="5"/>
  <c r="J292" i="5"/>
  <c r="K293" i="5"/>
  <c r="J293" i="5"/>
  <c r="K294" i="5"/>
  <c r="J294" i="5"/>
  <c r="K295" i="5"/>
  <c r="J295" i="5"/>
  <c r="K296" i="5"/>
  <c r="J296" i="5"/>
  <c r="K297" i="5"/>
  <c r="J297" i="5"/>
  <c r="K298" i="5"/>
  <c r="J298" i="5"/>
  <c r="K299" i="5"/>
  <c r="J299" i="5"/>
  <c r="K300" i="5"/>
  <c r="J300" i="5"/>
  <c r="K301" i="5"/>
  <c r="J301" i="5"/>
  <c r="K302" i="5"/>
  <c r="J302" i="5"/>
  <c r="K303" i="5"/>
  <c r="J303" i="5"/>
  <c r="K304" i="5"/>
  <c r="J304" i="5"/>
  <c r="K305" i="5"/>
  <c r="J305" i="5"/>
  <c r="K306" i="5"/>
  <c r="J306" i="5"/>
  <c r="K307" i="5"/>
  <c r="J307" i="5"/>
  <c r="K308" i="5"/>
  <c r="J308" i="5"/>
  <c r="K309" i="5"/>
  <c r="J309" i="5"/>
  <c r="K310" i="5"/>
  <c r="J310" i="5"/>
  <c r="K311" i="5"/>
  <c r="J311" i="5"/>
  <c r="K312" i="5"/>
  <c r="J312" i="5"/>
  <c r="K313" i="5"/>
  <c r="J313" i="5"/>
  <c r="K314" i="5"/>
  <c r="J314" i="5"/>
  <c r="K315" i="5"/>
  <c r="J315" i="5"/>
  <c r="K316" i="5"/>
  <c r="J316" i="5"/>
  <c r="K317" i="5"/>
  <c r="J317" i="5"/>
  <c r="K318" i="5"/>
  <c r="J318" i="5"/>
  <c r="K319" i="5"/>
  <c r="J319" i="5"/>
  <c r="K320" i="5"/>
  <c r="J320" i="5"/>
  <c r="K321" i="5"/>
  <c r="J321" i="5"/>
  <c r="K322" i="5"/>
  <c r="J322" i="5"/>
  <c r="K323" i="5"/>
  <c r="J323" i="5"/>
  <c r="K324" i="5"/>
  <c r="J324" i="5"/>
  <c r="K325" i="5"/>
  <c r="J325" i="5"/>
  <c r="K326" i="5"/>
  <c r="J326" i="5"/>
  <c r="K327" i="5"/>
  <c r="J327" i="5"/>
  <c r="K328" i="5"/>
  <c r="J328" i="5"/>
  <c r="K329" i="5"/>
  <c r="J329" i="5"/>
  <c r="K330" i="5"/>
  <c r="J330" i="5"/>
  <c r="K331" i="5"/>
  <c r="J331" i="5"/>
  <c r="K332" i="5"/>
  <c r="J332" i="5"/>
  <c r="K333" i="5"/>
  <c r="J333" i="5"/>
  <c r="K334" i="5"/>
  <c r="J334" i="5"/>
  <c r="K335" i="5"/>
  <c r="J335" i="5"/>
  <c r="K336" i="5"/>
  <c r="J336" i="5"/>
  <c r="K337" i="5"/>
  <c r="J337" i="5"/>
  <c r="K338" i="5"/>
  <c r="J338" i="5"/>
  <c r="K339" i="5"/>
  <c r="J339" i="5"/>
  <c r="K340" i="5"/>
  <c r="J340" i="5"/>
  <c r="K341" i="5"/>
  <c r="J341" i="5"/>
  <c r="K342" i="5"/>
  <c r="J342" i="5"/>
  <c r="K343" i="5"/>
  <c r="J34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2" i="5"/>
</calcChain>
</file>

<file path=xl/sharedStrings.xml><?xml version="1.0" encoding="utf-8"?>
<sst xmlns="http://schemas.openxmlformats.org/spreadsheetml/2006/main" count="3465" uniqueCount="704">
  <si>
    <t>GM_code</t>
  </si>
  <si>
    <t>buildings_total</t>
  </si>
  <si>
    <t>GM1680</t>
  </si>
  <si>
    <t>GM0358</t>
  </si>
  <si>
    <t>GM0197</t>
  </si>
  <si>
    <t>GM0059</t>
  </si>
  <si>
    <t>GM0482</t>
  </si>
  <si>
    <t>GM0613</t>
  </si>
  <si>
    <t>GM0361</t>
  </si>
  <si>
    <t>GM0141</t>
  </si>
  <si>
    <t>GM0034</t>
  </si>
  <si>
    <t>GM0484</t>
  </si>
  <si>
    <t>GM1723</t>
  </si>
  <si>
    <t>GM1959</t>
  </si>
  <si>
    <t>GM0060</t>
  </si>
  <si>
    <t>GM0307</t>
  </si>
  <si>
    <t>GM0362</t>
  </si>
  <si>
    <t>GM0363</t>
  </si>
  <si>
    <t>GM0200</t>
  </si>
  <si>
    <t>GM0202</t>
  </si>
  <si>
    <t>GM0106</t>
  </si>
  <si>
    <t>GM0743</t>
  </si>
  <si>
    <t>GM0744</t>
  </si>
  <si>
    <t>GM0308</t>
  </si>
  <si>
    <t>GM0489</t>
  </si>
  <si>
    <t>GM0203</t>
  </si>
  <si>
    <t>GM0888</t>
  </si>
  <si>
    <t>GM1954</t>
  </si>
  <si>
    <t>GM0889</t>
  </si>
  <si>
    <t>GM1945</t>
  </si>
  <si>
    <t>GM1724</t>
  </si>
  <si>
    <t>GM0893</t>
  </si>
  <si>
    <t>GM0373</t>
  </si>
  <si>
    <t>GM0748</t>
  </si>
  <si>
    <t>GM1859</t>
  </si>
  <si>
    <t>GM1721</t>
  </si>
  <si>
    <t>GM0753</t>
  </si>
  <si>
    <t>GM0209</t>
  </si>
  <si>
    <t>GM0375</t>
  </si>
  <si>
    <t>GM0310</t>
  </si>
  <si>
    <t>GM1728</t>
  </si>
  <si>
    <t>GM0376</t>
  </si>
  <si>
    <t>GM0377</t>
  </si>
  <si>
    <t>GM1901</t>
  </si>
  <si>
    <t>GM0755</t>
  </si>
  <si>
    <t>GM1681</t>
  </si>
  <si>
    <t>GM0147</t>
  </si>
  <si>
    <t>GM0654</t>
  </si>
  <si>
    <t>GM0757</t>
  </si>
  <si>
    <t>GM0758</t>
  </si>
  <si>
    <t>GM1876</t>
  </si>
  <si>
    <t>GM0213</t>
  </si>
  <si>
    <t>GM0899</t>
  </si>
  <si>
    <t>GM0312</t>
  </si>
  <si>
    <t>GM0313</t>
  </si>
  <si>
    <t>GM0214</t>
  </si>
  <si>
    <t>GM0502</t>
  </si>
  <si>
    <t>GM0383</t>
  </si>
  <si>
    <t>GM0109</t>
  </si>
  <si>
    <t>GM1706</t>
  </si>
  <si>
    <t>GM0216</t>
  </si>
  <si>
    <t>GM0148</t>
  </si>
  <si>
    <t>GM1891</t>
  </si>
  <si>
    <t>GM0503</t>
  </si>
  <si>
    <t>GM0762</t>
  </si>
  <si>
    <t>GM0150</t>
  </si>
  <si>
    <t>GM0384</t>
  </si>
  <si>
    <t>GM1980</t>
  </si>
  <si>
    <t>GM1774</t>
  </si>
  <si>
    <t>GM0221</t>
  </si>
  <si>
    <t>GM0222</t>
  </si>
  <si>
    <t>GM0766</t>
  </si>
  <si>
    <t>GM0505</t>
  </si>
  <si>
    <t>GM0498</t>
  </si>
  <si>
    <t>GM1719</t>
  </si>
  <si>
    <t>GM0303</t>
  </si>
  <si>
    <t>GM0225</t>
  </si>
  <si>
    <t>GM0226</t>
  </si>
  <si>
    <t>GM1711</t>
  </si>
  <si>
    <t>GM0385</t>
  </si>
  <si>
    <t>GM0228</t>
  </si>
  <si>
    <t>GM0317</t>
  </si>
  <si>
    <t>GM1979</t>
  </si>
  <si>
    <t>GM0770</t>
  </si>
  <si>
    <t>GM1903</t>
  </si>
  <si>
    <t>GM0772</t>
  </si>
  <si>
    <t>GM0230</t>
  </si>
  <si>
    <t>GM0114</t>
  </si>
  <si>
    <t>GM0388</t>
  </si>
  <si>
    <t>GM0153</t>
  </si>
  <si>
    <t>GM0232</t>
  </si>
  <si>
    <t>GM0233</t>
  </si>
  <si>
    <t>GM0777</t>
  </si>
  <si>
    <t>GM1940</t>
  </si>
  <si>
    <t>GM0779</t>
  </si>
  <si>
    <t>GM1771</t>
  </si>
  <si>
    <t>GM1652</t>
  </si>
  <si>
    <t>GM0907</t>
  </si>
  <si>
    <t>GM0784</t>
  </si>
  <si>
    <t>GM1924</t>
  </si>
  <si>
    <t>GM0664</t>
  </si>
  <si>
    <t>GM0785</t>
  </si>
  <si>
    <t>GM1942</t>
  </si>
  <si>
    <t>GM0512</t>
  </si>
  <si>
    <t>GM0513</t>
  </si>
  <si>
    <t>GM0518</t>
  </si>
  <si>
    <t>GM0014</t>
  </si>
  <si>
    <t>GM1729</t>
  </si>
  <si>
    <t>GM0158</t>
  </si>
  <si>
    <t>GM0392</t>
  </si>
  <si>
    <t>GM0394</t>
  </si>
  <si>
    <t>GM1655</t>
  </si>
  <si>
    <t>GM0160</t>
  </si>
  <si>
    <t>GM0243</t>
  </si>
  <si>
    <t>GM0523</t>
  </si>
  <si>
    <t>GM0072</t>
  </si>
  <si>
    <t>GM0244</t>
  </si>
  <si>
    <t>GM0396</t>
  </si>
  <si>
    <t>GM0397</t>
  </si>
  <si>
    <t>GM0246</t>
  </si>
  <si>
    <t>GM0074</t>
  </si>
  <si>
    <t>GM0917</t>
  </si>
  <si>
    <t>GM1658</t>
  </si>
  <si>
    <t>GM0399</t>
  </si>
  <si>
    <t>GM0400</t>
  </si>
  <si>
    <t>GM0163</t>
  </si>
  <si>
    <t>GM0794</t>
  </si>
  <si>
    <t>GM0531</t>
  </si>
  <si>
    <t>GM0164</t>
  </si>
  <si>
    <t>GM0796</t>
  </si>
  <si>
    <t>GM0252</t>
  </si>
  <si>
    <t>GM0797</t>
  </si>
  <si>
    <t>GM0534</t>
  </si>
  <si>
    <t>GM0798</t>
  </si>
  <si>
    <t>GM0402</t>
  </si>
  <si>
    <t>GM1963</t>
  </si>
  <si>
    <t>GM1735</t>
  </si>
  <si>
    <t>GM1966</t>
  </si>
  <si>
    <t>GM1911</t>
  </si>
  <si>
    <t>GM0118</t>
  </si>
  <si>
    <t>GM0405</t>
  </si>
  <si>
    <t>GM1507</t>
  </si>
  <si>
    <t>GM0321</t>
  </si>
  <si>
    <t>GM0406</t>
  </si>
  <si>
    <t>GM0677</t>
  </si>
  <si>
    <t>GM0353</t>
  </si>
  <si>
    <t>GM1884</t>
  </si>
  <si>
    <t>GM0166</t>
  </si>
  <si>
    <t>GM0678</t>
  </si>
  <si>
    <t>GM0537</t>
  </si>
  <si>
    <t>GM0928</t>
  </si>
  <si>
    <t>GM1598</t>
  </si>
  <si>
    <t>GM0542</t>
  </si>
  <si>
    <t>GM1931</t>
  </si>
  <si>
    <t>GM1659</t>
  </si>
  <si>
    <t>GM1982</t>
  </si>
  <si>
    <t>GM0882</t>
  </si>
  <si>
    <t>GM0415</t>
  </si>
  <si>
    <t>GM1621</t>
  </si>
  <si>
    <t>GM0417</t>
  </si>
  <si>
    <t>GM0080</t>
  </si>
  <si>
    <t>GM0546</t>
  </si>
  <si>
    <t>GM0547</t>
  </si>
  <si>
    <t>GM1916</t>
  </si>
  <si>
    <t>GM0995</t>
  </si>
  <si>
    <t>GM1640</t>
  </si>
  <si>
    <t>GM0327</t>
  </si>
  <si>
    <t>GM1705</t>
  </si>
  <si>
    <t>GM0553</t>
  </si>
  <si>
    <t>GM0262</t>
  </si>
  <si>
    <t>GM0809</t>
  </si>
  <si>
    <t>GM0331</t>
  </si>
  <si>
    <t>GM0168</t>
  </si>
  <si>
    <t>GM0263</t>
  </si>
  <si>
    <t>GM1641</t>
  </si>
  <si>
    <t>GM1991</t>
  </si>
  <si>
    <t>GM0556</t>
  </si>
  <si>
    <t>GM0935</t>
  </si>
  <si>
    <t>GM0420</t>
  </si>
  <si>
    <t>GM0938</t>
  </si>
  <si>
    <t>GM1948</t>
  </si>
  <si>
    <t>GM0119</t>
  </si>
  <si>
    <t>GM0687</t>
  </si>
  <si>
    <t>GM1842</t>
  </si>
  <si>
    <t>GM1731</t>
  </si>
  <si>
    <t>GM1952</t>
  </si>
  <si>
    <t>GM1709</t>
  </si>
  <si>
    <t>GM1978</t>
  </si>
  <si>
    <t>GM1955</t>
  </si>
  <si>
    <t>GM0335</t>
  </si>
  <si>
    <t>GM0944</t>
  </si>
  <si>
    <t>GM1740</t>
  </si>
  <si>
    <t>GM0946</t>
  </si>
  <si>
    <t>GM0356</t>
  </si>
  <si>
    <t>GM0569</t>
  </si>
  <si>
    <t>GM0267</t>
  </si>
  <si>
    <t>GM0268</t>
  </si>
  <si>
    <t>GM1930</t>
  </si>
  <si>
    <t>GM1970</t>
  </si>
  <si>
    <t>GM1695</t>
  </si>
  <si>
    <t>GM1699</t>
  </si>
  <si>
    <t>GM0171</t>
  </si>
  <si>
    <t>GM0575</t>
  </si>
  <si>
    <t>GM0820</t>
  </si>
  <si>
    <t>GM0302</t>
  </si>
  <si>
    <t>GM0579</t>
  </si>
  <si>
    <t>GM0823</t>
  </si>
  <si>
    <t>GM0824</t>
  </si>
  <si>
    <t>GM1895</t>
  </si>
  <si>
    <t>GM0269</t>
  </si>
  <si>
    <t>GM0173</t>
  </si>
  <si>
    <t>GM1773</t>
  </si>
  <si>
    <t>GM0175</t>
  </si>
  <si>
    <t>GM1586</t>
  </si>
  <si>
    <t>GM0826</t>
  </si>
  <si>
    <t>GM0085</t>
  </si>
  <si>
    <t>GM0431</t>
  </si>
  <si>
    <t>GM0432</t>
  </si>
  <si>
    <t>GM0086</t>
  </si>
  <si>
    <t>GM0828</t>
  </si>
  <si>
    <t>GM1509</t>
  </si>
  <si>
    <t>GM0437</t>
  </si>
  <si>
    <t>GM0589</t>
  </si>
  <si>
    <t>GM1734</t>
  </si>
  <si>
    <t>GM0590</t>
  </si>
  <si>
    <t>GM1894</t>
  </si>
  <si>
    <t>GM0765</t>
  </si>
  <si>
    <t>GM1926</t>
  </si>
  <si>
    <t>GM0439</t>
  </si>
  <si>
    <t>GM0273</t>
  </si>
  <si>
    <t>GM0177</t>
  </si>
  <si>
    <t>GM0703</t>
  </si>
  <si>
    <t>GM0274</t>
  </si>
  <si>
    <t>GM0339</t>
  </si>
  <si>
    <t>GM1667</t>
  </si>
  <si>
    <t>GM0275</t>
  </si>
  <si>
    <t>GM0340</t>
  </si>
  <si>
    <t>GM0597</t>
  </si>
  <si>
    <t>GM1742</t>
  </si>
  <si>
    <t>GM0603</t>
  </si>
  <si>
    <t>GM1669</t>
  </si>
  <si>
    <t>GM0957</t>
  </si>
  <si>
    <t>GM0736</t>
  </si>
  <si>
    <t>GM1674</t>
  </si>
  <si>
    <t>GM0599</t>
  </si>
  <si>
    <t>GM0277</t>
  </si>
  <si>
    <t>GM0840</t>
  </si>
  <si>
    <t>GM0441</t>
  </si>
  <si>
    <t>GM0279</t>
  </si>
  <si>
    <t>GM0606</t>
  </si>
  <si>
    <t>GM0088</t>
  </si>
  <si>
    <t>GM1676</t>
  </si>
  <si>
    <t>GM0965</t>
  </si>
  <si>
    <t>GM0845</t>
  </si>
  <si>
    <t>GM1883</t>
  </si>
  <si>
    <t>GM0610</t>
  </si>
  <si>
    <t>GM1714</t>
  </si>
  <si>
    <t>GM0090</t>
  </si>
  <si>
    <t>GM0342</t>
  </si>
  <si>
    <t>GM0847</t>
  </si>
  <si>
    <t>GM0848</t>
  </si>
  <si>
    <t>GM0037</t>
  </si>
  <si>
    <t>GM0180</t>
  </si>
  <si>
    <t>GM0532</t>
  </si>
  <si>
    <t>GM0851</t>
  </si>
  <si>
    <t>GM1708</t>
  </si>
  <si>
    <t>GM0971</t>
  </si>
  <si>
    <t>GM1904</t>
  </si>
  <si>
    <t>GM1900</t>
  </si>
  <si>
    <t>GM0715</t>
  </si>
  <si>
    <t>GM0093</t>
  </si>
  <si>
    <t>GM0448</t>
  </si>
  <si>
    <t>GM1525</t>
  </si>
  <si>
    <t>GM0716</t>
  </si>
  <si>
    <t>GM0281</t>
  </si>
  <si>
    <t>GM0855</t>
  </si>
  <si>
    <t>GM0183</t>
  </si>
  <si>
    <t>GM1700</t>
  </si>
  <si>
    <t>GM1730</t>
  </si>
  <si>
    <t>GM0737</t>
  </si>
  <si>
    <t>GM0450</t>
  </si>
  <si>
    <t>GM0451</t>
  </si>
  <si>
    <t>GM0184</t>
  </si>
  <si>
    <t>GM0344</t>
  </si>
  <si>
    <t>GM1581</t>
  </si>
  <si>
    <t>GM0981</t>
  </si>
  <si>
    <t>GM0994</t>
  </si>
  <si>
    <t>GM0858</t>
  </si>
  <si>
    <t>GM0047</t>
  </si>
  <si>
    <t>GM0345</t>
  </si>
  <si>
    <t>GM0717</t>
  </si>
  <si>
    <t>GM0861</t>
  </si>
  <si>
    <t>GM0453</t>
  </si>
  <si>
    <t>GM0983</t>
  </si>
  <si>
    <t>GM0984</t>
  </si>
  <si>
    <t>GM1961</t>
  </si>
  <si>
    <t>GM0622</t>
  </si>
  <si>
    <t>GM0096</t>
  </si>
  <si>
    <t>GM0718</t>
  </si>
  <si>
    <t>GM0986</t>
  </si>
  <si>
    <t>GM1992</t>
  </si>
  <si>
    <t>GM0626</t>
  </si>
  <si>
    <t>GM0285</t>
  </si>
  <si>
    <t>GM0865</t>
  </si>
  <si>
    <t>GM1949</t>
  </si>
  <si>
    <t>GM0866</t>
  </si>
  <si>
    <t>GM0867</t>
  </si>
  <si>
    <t>GM0627</t>
  </si>
  <si>
    <t>GM0289</t>
  </si>
  <si>
    <t>GM0629</t>
  </si>
  <si>
    <t>GM0852</t>
  </si>
  <si>
    <t>GM0988</t>
  </si>
  <si>
    <t>GM1960</t>
  </si>
  <si>
    <t>GM0668</t>
  </si>
  <si>
    <t>GM1969</t>
  </si>
  <si>
    <t>GM1701</t>
  </si>
  <si>
    <t>GM0293</t>
  </si>
  <si>
    <t>GM1950</t>
  </si>
  <si>
    <t>GM1783</t>
  </si>
  <si>
    <t>GM0098</t>
  </si>
  <si>
    <t>GM0189</t>
  </si>
  <si>
    <t>GM0296</t>
  </si>
  <si>
    <t>GM1696</t>
  </si>
  <si>
    <t>GM0352</t>
  </si>
  <si>
    <t>GM0294</t>
  </si>
  <si>
    <t>GM0873</t>
  </si>
  <si>
    <t>GM0632</t>
  </si>
  <si>
    <t>GM1690</t>
  </si>
  <si>
    <t>GM0880</t>
  </si>
  <si>
    <t>GM0351</t>
  </si>
  <si>
    <t>GM0479</t>
  </si>
  <si>
    <t>GM0297</t>
  </si>
  <si>
    <t>GM0473</t>
  </si>
  <si>
    <t>GM0050</t>
  </si>
  <si>
    <t>GM0355</t>
  </si>
  <si>
    <t>GM0299</t>
  </si>
  <si>
    <t>GM0637</t>
  </si>
  <si>
    <t>GM0638</t>
  </si>
  <si>
    <t>GM1892</t>
  </si>
  <si>
    <t>GM0879</t>
  </si>
  <si>
    <t>GM0301</t>
  </si>
  <si>
    <t>GM1896</t>
  </si>
  <si>
    <t>GM0642</t>
  </si>
  <si>
    <t>GM0193</t>
  </si>
  <si>
    <t>greenhouse_scaled</t>
  </si>
  <si>
    <t>has_tram_metro</t>
  </si>
  <si>
    <t>GemeentecodeGM</t>
  </si>
  <si>
    <t>Gemeentenaam</t>
  </si>
  <si>
    <t>Aa en Hunze</t>
  </si>
  <si>
    <t>Aalsmeer</t>
  </si>
  <si>
    <t>Aalten</t>
  </si>
  <si>
    <t>Achtkarspelen</t>
  </si>
  <si>
    <t>Alblasserdam</t>
  </si>
  <si>
    <t>Albrandswaard</t>
  </si>
  <si>
    <t>Alkmaar</t>
  </si>
  <si>
    <t>Almelo</t>
  </si>
  <si>
    <t>Almere</t>
  </si>
  <si>
    <t>Alphen aan den Rijn</t>
  </si>
  <si>
    <t>Alphen-Chaam</t>
  </si>
  <si>
    <t>Altena</t>
  </si>
  <si>
    <t>Ameland</t>
  </si>
  <si>
    <t>Amersfoort</t>
  </si>
  <si>
    <t>Amstelveen</t>
  </si>
  <si>
    <t>Amsterdam</t>
  </si>
  <si>
    <t>Apeldoorn</t>
  </si>
  <si>
    <t>Arnhem</t>
  </si>
  <si>
    <t>Assen</t>
  </si>
  <si>
    <t>Asten</t>
  </si>
  <si>
    <t>Baarle-Nassau</t>
  </si>
  <si>
    <t>Baarn</t>
  </si>
  <si>
    <t>Barendrecht</t>
  </si>
  <si>
    <t>Barneveld</t>
  </si>
  <si>
    <t>Beek</t>
  </si>
  <si>
    <t>Beekdaelen</t>
  </si>
  <si>
    <t>Beesel</t>
  </si>
  <si>
    <t>Berg en Dal</t>
  </si>
  <si>
    <t>Bergeijk</t>
  </si>
  <si>
    <t>Bergen (L.)</t>
  </si>
  <si>
    <t>Bergen (NH.)</t>
  </si>
  <si>
    <t>Bergen op Zoom</t>
  </si>
  <si>
    <t>Berkelland</t>
  </si>
  <si>
    <t>Bernheze</t>
  </si>
  <si>
    <t>Best</t>
  </si>
  <si>
    <t>Beuningen</t>
  </si>
  <si>
    <t>Beverwijk</t>
  </si>
  <si>
    <t>De Bilt</t>
  </si>
  <si>
    <t>Bladel</t>
  </si>
  <si>
    <t>Blaricum</t>
  </si>
  <si>
    <t>Bloemendaal</t>
  </si>
  <si>
    <t>Bodegraven-Reeuwijk</t>
  </si>
  <si>
    <t>Boekel</t>
  </si>
  <si>
    <t>Borger-Odoorn</t>
  </si>
  <si>
    <t>Borne</t>
  </si>
  <si>
    <t>Borsele</t>
  </si>
  <si>
    <t>Boxtel</t>
  </si>
  <si>
    <t>Breda</t>
  </si>
  <si>
    <t>Bronckhorst</t>
  </si>
  <si>
    <t>Brummen</t>
  </si>
  <si>
    <t>Brunssum</t>
  </si>
  <si>
    <t>Bunnik</t>
  </si>
  <si>
    <t>Bunschoten</t>
  </si>
  <si>
    <t>Buren</t>
  </si>
  <si>
    <t>Capelle aan den IJssel</t>
  </si>
  <si>
    <t>Castricum</t>
  </si>
  <si>
    <t>Coevorden</t>
  </si>
  <si>
    <t>Cranendonck</t>
  </si>
  <si>
    <t>Culemborg</t>
  </si>
  <si>
    <t>Dalfsen</t>
  </si>
  <si>
    <t>Dantumadiel</t>
  </si>
  <si>
    <t>Delft</t>
  </si>
  <si>
    <t>Deurne</t>
  </si>
  <si>
    <t>Deventer</t>
  </si>
  <si>
    <t>Diemen</t>
  </si>
  <si>
    <t>Dijk en Waard</t>
  </si>
  <si>
    <t>Dinkelland</t>
  </si>
  <si>
    <t>Doesburg</t>
  </si>
  <si>
    <t>Doetinchem</t>
  </si>
  <si>
    <t>Dongen</t>
  </si>
  <si>
    <t>Dordrecht</t>
  </si>
  <si>
    <t>Drechterland</t>
  </si>
  <si>
    <t>Drimmelen</t>
  </si>
  <si>
    <t>Dronten</t>
  </si>
  <si>
    <t>Druten</t>
  </si>
  <si>
    <t>Duiven</t>
  </si>
  <si>
    <t>Echt-Susteren</t>
  </si>
  <si>
    <t>Edam-Volendam</t>
  </si>
  <si>
    <t>Ede</t>
  </si>
  <si>
    <t>Eemnes</t>
  </si>
  <si>
    <t>Eemsdelta</t>
  </si>
  <si>
    <t>Eersel</t>
  </si>
  <si>
    <t>Eijsden-Margraten</t>
  </si>
  <si>
    <t>Eindhoven</t>
  </si>
  <si>
    <t>Elburg</t>
  </si>
  <si>
    <t>Emmen</t>
  </si>
  <si>
    <t>Enkhuizen</t>
  </si>
  <si>
    <t>Enschede</t>
  </si>
  <si>
    <t>Epe</t>
  </si>
  <si>
    <t>Ermelo</t>
  </si>
  <si>
    <t>Etten-Leur</t>
  </si>
  <si>
    <t>De Fryske Marren</t>
  </si>
  <si>
    <t>Geertruidenberg</t>
  </si>
  <si>
    <t>Geldrop-Mierlo</t>
  </si>
  <si>
    <t>Gemert-Bakel</t>
  </si>
  <si>
    <t>Gennep</t>
  </si>
  <si>
    <t>Gilze en Rijen</t>
  </si>
  <si>
    <t>Goeree-Overflakkee</t>
  </si>
  <si>
    <t>Goes</t>
  </si>
  <si>
    <t>Goirle</t>
  </si>
  <si>
    <t>Gooise Meren</t>
  </si>
  <si>
    <t>Gorinchem</t>
  </si>
  <si>
    <t>Gouda</t>
  </si>
  <si>
    <t>'s-Gravenhage</t>
  </si>
  <si>
    <t>Groningen</t>
  </si>
  <si>
    <t>Gulpen-Wittem</t>
  </si>
  <si>
    <t>Haaksbergen</t>
  </si>
  <si>
    <t>Haarlem</t>
  </si>
  <si>
    <t>Haarlemmermeer</t>
  </si>
  <si>
    <t>Halderberge</t>
  </si>
  <si>
    <t>Hardenberg</t>
  </si>
  <si>
    <t>Harderwijk</t>
  </si>
  <si>
    <t>Hardinxveld-Giessendam</t>
  </si>
  <si>
    <t>Harlingen</t>
  </si>
  <si>
    <t>Hattem</t>
  </si>
  <si>
    <t>Heemskerk</t>
  </si>
  <si>
    <t>Heemstede</t>
  </si>
  <si>
    <t>Heerde</t>
  </si>
  <si>
    <t>Heerenveen</t>
  </si>
  <si>
    <t>Heerlen</t>
  </si>
  <si>
    <t>Heeze-Leende</t>
  </si>
  <si>
    <t>Heiloo</t>
  </si>
  <si>
    <t>Den Helder</t>
  </si>
  <si>
    <t>Hellendoorn</t>
  </si>
  <si>
    <t>Helmond</t>
  </si>
  <si>
    <t>Hendrik-Ido-Ambacht</t>
  </si>
  <si>
    <t>Hengelo</t>
  </si>
  <si>
    <t>'s-Hertogenbosch</t>
  </si>
  <si>
    <t>Heumen</t>
  </si>
  <si>
    <t>Heusden</t>
  </si>
  <si>
    <t>Hillegom</t>
  </si>
  <si>
    <t>Hilvarenbeek</t>
  </si>
  <si>
    <t>Hilversum</t>
  </si>
  <si>
    <t>Hoeksche Waard</t>
  </si>
  <si>
    <t>Hof van Twente</t>
  </si>
  <si>
    <t>Het Hogeland</t>
  </si>
  <si>
    <t>Hollands Kroon</t>
  </si>
  <si>
    <t>Hoogeveen</t>
  </si>
  <si>
    <t>Hoorn</t>
  </si>
  <si>
    <t>Horst aan de Maas</t>
  </si>
  <si>
    <t>Houten</t>
  </si>
  <si>
    <t>Huizen</t>
  </si>
  <si>
    <t>Hulst</t>
  </si>
  <si>
    <t>IJsselstein</t>
  </si>
  <si>
    <t>Kaag en Braassem</t>
  </si>
  <si>
    <t>Kampen</t>
  </si>
  <si>
    <t>Kapelle</t>
  </si>
  <si>
    <t>Katwijk</t>
  </si>
  <si>
    <t>Kerkrade</t>
  </si>
  <si>
    <t>Koggenland</t>
  </si>
  <si>
    <t>Krimpen aan den IJssel</t>
  </si>
  <si>
    <t>Krimpenerwaard</t>
  </si>
  <si>
    <t>Laarbeek</t>
  </si>
  <si>
    <t>Land van Cuijk</t>
  </si>
  <si>
    <t>Landgraaf</t>
  </si>
  <si>
    <t>Landsmeer</t>
  </si>
  <si>
    <t>Lansingerland</t>
  </si>
  <si>
    <t>Laren</t>
  </si>
  <si>
    <t>Leeuwarden</t>
  </si>
  <si>
    <t>Leiden</t>
  </si>
  <si>
    <t>Leiderdorp</t>
  </si>
  <si>
    <t>Leidschendam-Voorburg</t>
  </si>
  <si>
    <t>Lelystad</t>
  </si>
  <si>
    <t>Leudal</t>
  </si>
  <si>
    <t>Leusden</t>
  </si>
  <si>
    <t>Lingewaard</t>
  </si>
  <si>
    <t>Lisse</t>
  </si>
  <si>
    <t>Lochem</t>
  </si>
  <si>
    <t>Loon op Zand</t>
  </si>
  <si>
    <t>Lopik</t>
  </si>
  <si>
    <t>Losser</t>
  </si>
  <si>
    <t>Maasdriel</t>
  </si>
  <si>
    <t>Maasgouw</t>
  </si>
  <si>
    <t>Maashorst</t>
  </si>
  <si>
    <t>Maassluis</t>
  </si>
  <si>
    <t>Maastricht</t>
  </si>
  <si>
    <t>Medemblik</t>
  </si>
  <si>
    <t>Meerssen</t>
  </si>
  <si>
    <t>Meierijstad</t>
  </si>
  <si>
    <t>Meppel</t>
  </si>
  <si>
    <t>Middelburg</t>
  </si>
  <si>
    <t>Midden-Delfland</t>
  </si>
  <si>
    <t>Midden-Drenthe</t>
  </si>
  <si>
    <t>Midden-Groningen</t>
  </si>
  <si>
    <t>Moerdijk</t>
  </si>
  <si>
    <t>Molenlanden</t>
  </si>
  <si>
    <t>Montferland</t>
  </si>
  <si>
    <t>Montfoort</t>
  </si>
  <si>
    <t>Mook en Middelaar</t>
  </si>
  <si>
    <t>Neder-Betuwe</t>
  </si>
  <si>
    <t>Nederweert</t>
  </si>
  <si>
    <t>Nieuwegein</t>
  </si>
  <si>
    <t>Nieuwkoop</t>
  </si>
  <si>
    <t>Nijkerk</t>
  </si>
  <si>
    <t>Nijmegen</t>
  </si>
  <si>
    <t>Nissewaard</t>
  </si>
  <si>
    <t>Noardeast-Fryslân</t>
  </si>
  <si>
    <t>Noord-Beveland</t>
  </si>
  <si>
    <t>Noordenveld</t>
  </si>
  <si>
    <t>Noordoostpolder</t>
  </si>
  <si>
    <t>Noordwijk</t>
  </si>
  <si>
    <t>Nuenen, Gerwen en Nederwetten</t>
  </si>
  <si>
    <t>Nunspeet</t>
  </si>
  <si>
    <t>Oegstgeest</t>
  </si>
  <si>
    <t>Oirschot</t>
  </si>
  <si>
    <t>Oisterwijk</t>
  </si>
  <si>
    <t>Oldambt</t>
  </si>
  <si>
    <t>Oldebroek</t>
  </si>
  <si>
    <t>Oldenzaal</t>
  </si>
  <si>
    <t>Olst-Wijhe</t>
  </si>
  <si>
    <t>Ommen</t>
  </si>
  <si>
    <t>Oost Gelre</t>
  </si>
  <si>
    <t>Oosterhout</t>
  </si>
  <si>
    <t>Ooststellingwerf</t>
  </si>
  <si>
    <t>Oostzaan</t>
  </si>
  <si>
    <t>Opmeer</t>
  </si>
  <si>
    <t>Opsterland</t>
  </si>
  <si>
    <t>Oss</t>
  </si>
  <si>
    <t>Oude IJsselstreek</t>
  </si>
  <si>
    <t>Ouder-Amstel</t>
  </si>
  <si>
    <t>Oudewater</t>
  </si>
  <si>
    <t>Overbetuwe</t>
  </si>
  <si>
    <t>Papendrecht</t>
  </si>
  <si>
    <t>Peel en Maas</t>
  </si>
  <si>
    <t>Pekela</t>
  </si>
  <si>
    <t>Pijnacker-Nootdorp</t>
  </si>
  <si>
    <t>Purmerend</t>
  </si>
  <si>
    <t>Putten</t>
  </si>
  <si>
    <t>Raalte</t>
  </si>
  <si>
    <t>Reimerswaal</t>
  </si>
  <si>
    <t>Renkum</t>
  </si>
  <si>
    <t>Renswoude</t>
  </si>
  <si>
    <t>Reusel-De Mierden</t>
  </si>
  <si>
    <t>Rheden</t>
  </si>
  <si>
    <t>Rhenen</t>
  </si>
  <si>
    <t>Ridderkerk</t>
  </si>
  <si>
    <t>Rijssen-Holten</t>
  </si>
  <si>
    <t>Rijswijk</t>
  </si>
  <si>
    <t>Roerdalen</t>
  </si>
  <si>
    <t>Roermond</t>
  </si>
  <si>
    <t>De Ronde Venen</t>
  </si>
  <si>
    <t>Roosendaal</t>
  </si>
  <si>
    <t>Rotterdam</t>
  </si>
  <si>
    <t>Rozendaal</t>
  </si>
  <si>
    <t>Rucphen</t>
  </si>
  <si>
    <t>Schagen</t>
  </si>
  <si>
    <t>Scherpenzeel</t>
  </si>
  <si>
    <t>Schiedam</t>
  </si>
  <si>
    <t>Schiermonnikoog</t>
  </si>
  <si>
    <t>Schouwen-Duiveland</t>
  </si>
  <si>
    <t>Simpelveld</t>
  </si>
  <si>
    <t>Sint-Michielsgestel</t>
  </si>
  <si>
    <t>Sittard-Geleen</t>
  </si>
  <si>
    <t>Sliedrecht</t>
  </si>
  <si>
    <t>Sluis</t>
  </si>
  <si>
    <t>Smallingerland</t>
  </si>
  <si>
    <t>Soest</t>
  </si>
  <si>
    <t>Someren</t>
  </si>
  <si>
    <t>Son en Breugel</t>
  </si>
  <si>
    <t>Stadskanaal</t>
  </si>
  <si>
    <t>Staphorst</t>
  </si>
  <si>
    <t>Stede Broec</t>
  </si>
  <si>
    <t>Steenbergen</t>
  </si>
  <si>
    <t>Steenwijkerland</t>
  </si>
  <si>
    <t>Stein</t>
  </si>
  <si>
    <t>Stichtse Vecht</t>
  </si>
  <si>
    <t>Súdwest-Fryslân</t>
  </si>
  <si>
    <t>Terneuzen</t>
  </si>
  <si>
    <t>Terschelling</t>
  </si>
  <si>
    <t>Texel</t>
  </si>
  <si>
    <t>Teylingen</t>
  </si>
  <si>
    <t>Tholen</t>
  </si>
  <si>
    <t>Tiel</t>
  </si>
  <si>
    <t>Tilburg</t>
  </si>
  <si>
    <t>Tubbergen</t>
  </si>
  <si>
    <t>Twenterand</t>
  </si>
  <si>
    <t>Tynaarlo</t>
  </si>
  <si>
    <t>Tytsjerksteradiel</t>
  </si>
  <si>
    <t>Uitgeest</t>
  </si>
  <si>
    <t>Uithoorn</t>
  </si>
  <si>
    <t>Urk</t>
  </si>
  <si>
    <t>Utrecht</t>
  </si>
  <si>
    <t>Utrechtse Heuvelrug</t>
  </si>
  <si>
    <t>Vaals</t>
  </si>
  <si>
    <t>Valkenburg aan de Geul</t>
  </si>
  <si>
    <t>Valkenswaard</t>
  </si>
  <si>
    <t>Veendam</t>
  </si>
  <si>
    <t>Veenendaal</t>
  </si>
  <si>
    <t>Veere</t>
  </si>
  <si>
    <t>Veldhoven</t>
  </si>
  <si>
    <t>Velsen</t>
  </si>
  <si>
    <t>Venlo</t>
  </si>
  <si>
    <t>Venray</t>
  </si>
  <si>
    <t>Vijfheerenlanden</t>
  </si>
  <si>
    <t>Vlaardingen</t>
  </si>
  <si>
    <t>Vlieland</t>
  </si>
  <si>
    <t>Vlissingen</t>
  </si>
  <si>
    <t>Voerendaal</t>
  </si>
  <si>
    <t>Voorne aan Zee</t>
  </si>
  <si>
    <t>Voorschoten</t>
  </si>
  <si>
    <t>Voorst</t>
  </si>
  <si>
    <t>Vught</t>
  </si>
  <si>
    <t>Waadhoeke</t>
  </si>
  <si>
    <t>Waalre</t>
  </si>
  <si>
    <t>Waalwijk</t>
  </si>
  <si>
    <t>Waddinxveen</t>
  </si>
  <si>
    <t>Wageningen</t>
  </si>
  <si>
    <t>Wassenaar</t>
  </si>
  <si>
    <t>Waterland</t>
  </si>
  <si>
    <t>Weert</t>
  </si>
  <si>
    <t>West Betuwe</t>
  </si>
  <si>
    <t>West Maas en Waal</t>
  </si>
  <si>
    <t>Westerkwartier</t>
  </si>
  <si>
    <t>Westerveld</t>
  </si>
  <si>
    <t>Westervoort</t>
  </si>
  <si>
    <t>Westerwolde</t>
  </si>
  <si>
    <t>Westland</t>
  </si>
  <si>
    <t>Weststellingwerf</t>
  </si>
  <si>
    <t>Wierden</t>
  </si>
  <si>
    <t>Wijchen</t>
  </si>
  <si>
    <t>Wijdemeren</t>
  </si>
  <si>
    <t>Wijk bij Duurstede</t>
  </si>
  <si>
    <t>Winterswijk</t>
  </si>
  <si>
    <t>Woensdrecht</t>
  </si>
  <si>
    <t>Woerden</t>
  </si>
  <si>
    <t>De Wolden</t>
  </si>
  <si>
    <t>Wormerland</t>
  </si>
  <si>
    <t>Woudenberg</t>
  </si>
  <si>
    <t>Zaanstad</t>
  </si>
  <si>
    <t>Zaltbommel</t>
  </si>
  <si>
    <t>Zandvoort</t>
  </si>
  <si>
    <t>Zeewolde</t>
  </si>
  <si>
    <t>Zeist</t>
  </si>
  <si>
    <t>Zevenaar</t>
  </si>
  <si>
    <t>Zoetermeer</t>
  </si>
  <si>
    <t>Zoeterwoude</t>
  </si>
  <si>
    <t>Zuidplas</t>
  </si>
  <si>
    <t>Zundert</t>
  </si>
  <si>
    <t>Zutphen</t>
  </si>
  <si>
    <t>Zwartewaterland</t>
  </si>
  <si>
    <t>Zwijndrecht</t>
  </si>
  <si>
    <t>Zwolle</t>
  </si>
  <si>
    <t>train_share_in_nl</t>
  </si>
  <si>
    <t>households_roof_pv_potential</t>
  </si>
  <si>
    <t>buildings_roof_pv_potential</t>
  </si>
  <si>
    <t>arable_land_km2</t>
  </si>
  <si>
    <t>arable_land_scaled</t>
  </si>
  <si>
    <t>number_of_cars_data</t>
  </si>
  <si>
    <t>number_of_vans_data</t>
  </si>
  <si>
    <t>number_of_trucks_data</t>
  </si>
  <si>
    <t>number_of_busses_data</t>
  </si>
  <si>
    <t>wet_biomass_potential</t>
  </si>
  <si>
    <t>dry_biomass_potential</t>
  </si>
  <si>
    <t>oily_biomass_potential</t>
  </si>
  <si>
    <t>total_land_area_km2</t>
  </si>
  <si>
    <t>coast_line_km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</si>
</sst>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center"/>
    </xf>
    <xf numFmtId="0" fontId="3" fillId="0" borderId="2" xfId="1" applyFont="1" applyBorder="1" applyAlignment="1">
      <alignment wrapText="1"/>
    </xf>
    <xf numFmtId="0" fontId="4" fillId="0" borderId="0" xfId="0" applyFont="1"/>
  </cellXfs>
  <cellStyles count="2">
    <cellStyle name="Normal" xfId="0" builtinId="0"/>
    <cellStyle name="Standaard_Gemeenten_alfabetisch_2022" xfId="1" xr:uid="{E61A1D0D-DBA3-3C48-B699-1AEA858652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BB8C-E0A5-5A44-A284-55EE06D34270}">
  <sheetPr>
    <tabColor theme="8"/>
  </sheetPr>
  <dimension ref="A1:V343"/>
  <sheetViews>
    <sheetView topLeftCell="I1" zoomScale="173" zoomScaleNormal="173" workbookViewId="0">
      <pane ySplit="1" topLeftCell="A2" activePane="bottomLeft" state="frozen"/>
      <selection pane="bottomLeft" activeCell="Q2" sqref="Q2"/>
    </sheetView>
  </sheetViews>
  <sheetFormatPr baseColWidth="10" defaultRowHeight="16" x14ac:dyDescent="0.2"/>
  <cols>
    <col min="1" max="2" width="12" customWidth="1"/>
    <col min="6" max="6" width="15.1640625" bestFit="1" customWidth="1"/>
    <col min="11" max="11" width="17.1640625" bestFit="1" customWidth="1"/>
  </cols>
  <sheetData>
    <row r="1" spans="1:22" x14ac:dyDescent="0.2">
      <c r="A1" s="4" t="s">
        <v>346</v>
      </c>
      <c r="B1" s="1" t="s">
        <v>347</v>
      </c>
      <c r="C1" s="1" t="s">
        <v>690</v>
      </c>
      <c r="D1" s="1" t="s">
        <v>345</v>
      </c>
      <c r="E1" s="1" t="s">
        <v>1</v>
      </c>
      <c r="F1" s="1" t="s">
        <v>693</v>
      </c>
      <c r="G1" s="1" t="s">
        <v>696</v>
      </c>
      <c r="H1" s="1" t="s">
        <v>697</v>
      </c>
      <c r="I1" s="1" t="s">
        <v>698</v>
      </c>
      <c r="J1" s="1" t="s">
        <v>344</v>
      </c>
      <c r="K1" s="1" t="s">
        <v>694</v>
      </c>
      <c r="L1" s="1" t="s">
        <v>699</v>
      </c>
      <c r="M1" s="1" t="s">
        <v>700</v>
      </c>
      <c r="N1" s="1" t="s">
        <v>701</v>
      </c>
      <c r="O1" s="1" t="s">
        <v>695</v>
      </c>
      <c r="P1" s="1" t="s">
        <v>702</v>
      </c>
      <c r="Q1" s="1" t="s">
        <v>703</v>
      </c>
      <c r="R1" s="1" t="s">
        <v>691</v>
      </c>
      <c r="S1" s="1" t="s">
        <v>692</v>
      </c>
      <c r="T1" s="1"/>
    </row>
    <row r="2" spans="1:22" x14ac:dyDescent="0.2">
      <c r="A2" t="s">
        <v>2</v>
      </c>
      <c r="B2" t="str">
        <f>INDEX(CBS_gemeenten_alfabetisch_2023!$B:$B,MATCH($A2,CBS_gemeenten_alfabetisch_2023!$A:$A,0))</f>
        <v>Aa en Hunze</v>
      </c>
      <c r="C2">
        <f>INDEX('5_train_share_nl'!$1:$343,MATCH($A2,'5_train_share_nl'!$A:$A,0),MATCH(C$1,'5_train_share_nl'!$1:$1,0))</f>
        <v>0</v>
      </c>
      <c r="D2">
        <f>INDEX('3_has_tram_metro'!$1:$343,MATCH($A2,'3_has_tram_metro'!$A:$A,0),MATCH(D$1,'3_has_tram_metro'!$1:$1,0))</f>
        <v>0</v>
      </c>
      <c r="E2">
        <f>INDEX('1_buildings_total'!$1:$343,MATCH($A2,'1_buildings_total'!$A:$A,0),MATCH(E$1,'1_buildings_total'!$1:$1,0))</f>
        <v>3169.4923846153833</v>
      </c>
      <c r="F2">
        <f>INDEX('2_land_use'!$1:$343,MATCH($A2,'2_land_use'!$A:$A,0),MATCH(F$1,'2_land_use'!$1:$1,0))</f>
        <v>187.48842647030909</v>
      </c>
      <c r="G2">
        <f>INDEX('4_number_of_transport'!$1:$343,MATCH($A2,'4_number_of_transport'!$A:$A,0),MATCH(G$1,'4_number_of_transport'!$1:$1,0))</f>
        <v>1826</v>
      </c>
      <c r="H2">
        <f>INDEX('4_number_of_transport'!$1:$343,MATCH($A2,'4_number_of_transport'!$A:$A,0),MATCH(H$1,'4_number_of_transport'!$1:$1,0))</f>
        <v>101</v>
      </c>
      <c r="I2">
        <f>INDEX('4_number_of_transport'!$1:$343,MATCH($A2,'4_number_of_transport'!$A:$A,0),MATCH(I$1,'4_number_of_transport'!$1:$1,0))</f>
        <v>3</v>
      </c>
      <c r="J2">
        <f>INDEX('2_land_use'!$1:$343,MATCH($A2,'2_land_use'!$A:$A,0),MATCH(J$1,'2_land_use'!$1:$1,0))</f>
        <v>0</v>
      </c>
      <c r="K2">
        <f>INDEX('2_land_use'!$1:$343,MATCH($A2,'2_land_use'!$A:$A,0),MATCH(K$1,'2_land_use'!$1:$1,0))</f>
        <v>8.405868743878997E-3</v>
      </c>
      <c r="L2">
        <f>INDEX('7_biomass'!$1:$343,MATCH($A2,'7_biomass'!$A:$A,0),MATCH(L$1,'7_biomass'!$1:$1,0))</f>
        <v>0.39537228941404168</v>
      </c>
      <c r="M2">
        <f>INDEX('7_biomass'!$1:$343,MATCH($A2,'7_biomass'!$A:$A,0),MATCH(M$1,'7_biomass'!$1:$1,0))</f>
        <v>0.20660893058810922</v>
      </c>
      <c r="N2">
        <f>INDEX('7_biomass'!$1:$343,MATCH($A2,'7_biomass'!$A:$A,0),MATCH(N$1,'7_biomass'!$1:$1,0))</f>
        <v>1.5423590206850845E-2</v>
      </c>
      <c r="O2">
        <f>INDEX('4_number_of_transport'!$1:$343,MATCH($A2,'4_number_of_transport'!$A:$A,0),MATCH(O$1,'4_number_of_transport'!$1:$1,0))</f>
        <v>15568</v>
      </c>
      <c r="P2">
        <f>INDEX('2_land_use'!$1:$343,MATCH($A2,'2_land_use'!$A:$A,0),MATCH(P$1,'2_land_use'!$1:$1,0))</f>
        <v>276.06032316816174</v>
      </c>
      <c r="Q2">
        <f>INDEX('2_land_use'!$1:$343,MATCH($A2,'2_land_use'!$A:$A,0),MATCH(Q$1,'2_land_use'!$1:$1,0))</f>
        <v>0</v>
      </c>
      <c r="R2">
        <f>INDEX('6_roof_surface'!$1:$343,MATCH($A2,'6_roof_surface'!$A:$A,0),MATCH(R$1,'6_roof_surface'!$1:$1,0))</f>
        <v>1.6218600000000001</v>
      </c>
      <c r="S2">
        <f>INDEX('6_roof_surface'!$1:$343,MATCH($A2,'6_roof_surface'!$A:$A,0),MATCH(S$1,'6_roof_surface'!$1:$1,0))</f>
        <v>1.1517090000000001</v>
      </c>
    </row>
    <row r="3" spans="1:22" x14ac:dyDescent="0.2">
      <c r="A3" t="s">
        <v>3</v>
      </c>
      <c r="B3" t="str">
        <f>INDEX(CBS_gemeenten_alfabetisch_2023!$B:$B,MATCH($A3,CBS_gemeenten_alfabetisch_2023!$A:$A,0))</f>
        <v>Aalsmeer</v>
      </c>
      <c r="C3">
        <f>INDEX('5_train_share_nl'!$1:$343,MATCH($A3,'5_train_share_nl'!$A:$A,0),MATCH(C$1,'5_train_share_nl'!$1:$1,0))</f>
        <v>0</v>
      </c>
      <c r="D3">
        <f>INDEX('3_has_tram_metro'!$1:$343,MATCH($A3,'3_has_tram_metro'!$A:$A,0),MATCH(D$1,'3_has_tram_metro'!$1:$1,0))</f>
        <v>0</v>
      </c>
      <c r="E3">
        <f>INDEX('1_buildings_total'!$1:$343,MATCH($A3,'1_buildings_total'!$A:$A,0),MATCH(E$1,'1_buildings_total'!$1:$1,0))</f>
        <v>3228.8456923076928</v>
      </c>
      <c r="F3">
        <f>INDEX('2_land_use'!$1:$343,MATCH($A3,'2_land_use'!$A:$A,0),MATCH(F$1,'2_land_use'!$1:$1,0))</f>
        <v>7.6329903408542199</v>
      </c>
      <c r="G3">
        <f>INDEX('4_number_of_transport'!$1:$343,MATCH($A3,'4_number_of_transport'!$A:$A,0),MATCH(G$1,'4_number_of_transport'!$1:$1,0))</f>
        <v>1963</v>
      </c>
      <c r="H3">
        <f>INDEX('4_number_of_transport'!$1:$343,MATCH($A3,'4_number_of_transport'!$A:$A,0),MATCH(H$1,'4_number_of_transport'!$1:$1,0))</f>
        <v>181</v>
      </c>
      <c r="I3">
        <f>INDEX('4_number_of_transport'!$1:$343,MATCH($A3,'4_number_of_transport'!$A:$A,0),MATCH(I$1,'4_number_of_transport'!$1:$1,0))</f>
        <v>17</v>
      </c>
      <c r="J3">
        <f>INDEX('2_land_use'!$1:$343,MATCH($A3,'2_land_use'!$A:$A,0),MATCH(J$1,'2_land_use'!$1:$1,0))</f>
        <v>1.1068605007412372E-2</v>
      </c>
      <c r="K3">
        <f>INDEX('2_land_use'!$1:$343,MATCH($A3,'2_land_use'!$A:$A,0),MATCH(K$1,'2_land_use'!$1:$1,0))</f>
        <v>3.4221800319326665E-4</v>
      </c>
      <c r="L3">
        <f>INDEX('7_biomass'!$1:$343,MATCH($A3,'7_biomass'!$A:$A,0),MATCH(L$1,'7_biomass'!$1:$1,0))</f>
        <v>0.19287007074076068</v>
      </c>
      <c r="M3">
        <f>INDEX('7_biomass'!$1:$343,MATCH($A3,'7_biomass'!$A:$A,0),MATCH(M$1,'7_biomass'!$1:$1,0))</f>
        <v>8.3722820821381605E-2</v>
      </c>
      <c r="N3">
        <f>INDEX('7_biomass'!$1:$343,MATCH($A3,'7_biomass'!$A:$A,0),MATCH(N$1,'7_biomass'!$1:$1,0))</f>
        <v>1.9276753725792309E-2</v>
      </c>
      <c r="O3">
        <f>INDEX('4_number_of_transport'!$1:$343,MATCH($A3,'4_number_of_transport'!$A:$A,0),MATCH(O$1,'4_number_of_transport'!$1:$1,0))</f>
        <v>17396</v>
      </c>
      <c r="P3">
        <f>INDEX('2_land_use'!$1:$343,MATCH($A3,'2_land_use'!$A:$A,0),MATCH(P$1,'2_land_use'!$1:$1,0))</f>
        <v>20.098981930911101</v>
      </c>
      <c r="Q3">
        <f>INDEX('2_land_use'!$1:$343,MATCH($A3,'2_land_use'!$A:$A,0),MATCH(Q$1,'2_land_use'!$1:$1,0))</f>
        <v>0</v>
      </c>
      <c r="R3">
        <f>INDEX('6_roof_surface'!$1:$343,MATCH($A3,'6_roof_surface'!$A:$A,0),MATCH(R$1,'6_roof_surface'!$1:$1,0))</f>
        <v>1.6787810000000001</v>
      </c>
      <c r="S3">
        <f>INDEX('6_roof_surface'!$1:$343,MATCH($A3,'6_roof_surface'!$A:$A,0),MATCH(S$1,'6_roof_surface'!$1:$1,0))</f>
        <v>2.5855450000000002</v>
      </c>
    </row>
    <row r="4" spans="1:22" x14ac:dyDescent="0.2">
      <c r="A4" t="s">
        <v>4</v>
      </c>
      <c r="B4" t="str">
        <f>INDEX(CBS_gemeenten_alfabetisch_2023!$B:$B,MATCH($A4,CBS_gemeenten_alfabetisch_2023!$A:$A,0))</f>
        <v>Aalten</v>
      </c>
      <c r="C4">
        <f>INDEX('5_train_share_nl'!$1:$343,MATCH($A4,'5_train_share_nl'!$A:$A,0),MATCH(C$1,'5_train_share_nl'!$1:$1,0))</f>
        <v>6.0624419642945531E-4</v>
      </c>
      <c r="D4">
        <f>INDEX('3_has_tram_metro'!$1:$343,MATCH($A4,'3_has_tram_metro'!$A:$A,0),MATCH(D$1,'3_has_tram_metro'!$1:$1,0))</f>
        <v>0</v>
      </c>
      <c r="E4">
        <f>INDEX('1_buildings_total'!$1:$343,MATCH($A4,'1_buildings_total'!$A:$A,0),MATCH(E$1,'1_buildings_total'!$1:$1,0))</f>
        <v>2507.5489230769235</v>
      </c>
      <c r="F4">
        <f>INDEX('2_land_use'!$1:$343,MATCH($A4,'2_land_use'!$A:$A,0),MATCH(F$1,'2_land_use'!$1:$1,0))</f>
        <v>80.464677651704065</v>
      </c>
      <c r="G4">
        <f>INDEX('4_number_of_transport'!$1:$343,MATCH($A4,'4_number_of_transport'!$A:$A,0),MATCH(G$1,'4_number_of_transport'!$1:$1,0))</f>
        <v>1763</v>
      </c>
      <c r="H4">
        <f>INDEX('4_number_of_transport'!$1:$343,MATCH($A4,'4_number_of_transport'!$A:$A,0),MATCH(H$1,'4_number_of_transport'!$1:$1,0))</f>
        <v>91</v>
      </c>
      <c r="I4">
        <f>INDEX('4_number_of_transport'!$1:$343,MATCH($A4,'4_number_of_transport'!$A:$A,0),MATCH(I$1,'4_number_of_transport'!$1:$1,0))</f>
        <v>2</v>
      </c>
      <c r="J4">
        <f>INDEX('2_land_use'!$1:$343,MATCH($A4,'2_land_use'!$A:$A,0),MATCH(J$1,'2_land_use'!$1:$1,0))</f>
        <v>0</v>
      </c>
      <c r="K4">
        <f>INDEX('2_land_use'!$1:$343,MATCH($A4,'2_land_use'!$A:$A,0),MATCH(K$1,'2_land_use'!$1:$1,0))</f>
        <v>3.6075587789194535E-3</v>
      </c>
      <c r="L4">
        <f>INDEX('7_biomass'!$1:$343,MATCH($A4,'7_biomass'!$A:$A,0),MATCH(L$1,'7_biomass'!$1:$1,0))</f>
        <v>0.24652072504147376</v>
      </c>
      <c r="M4">
        <f>INDEX('7_biomass'!$1:$343,MATCH($A4,'7_biomass'!$A:$A,0),MATCH(M$1,'7_biomass'!$1:$1,0))</f>
        <v>0.11779276223418565</v>
      </c>
      <c r="N4">
        <f>INDEX('7_biomass'!$1:$343,MATCH($A4,'7_biomass'!$A:$A,0),MATCH(N$1,'7_biomass'!$1:$1,0))</f>
        <v>1.6410879818689363E-2</v>
      </c>
      <c r="O4">
        <f>INDEX('4_number_of_transport'!$1:$343,MATCH($A4,'4_number_of_transport'!$A:$A,0),MATCH(O$1,'4_number_of_transport'!$1:$1,0))</f>
        <v>14912</v>
      </c>
      <c r="P4">
        <f>INDEX('2_land_use'!$1:$343,MATCH($A4,'2_land_use'!$A:$A,0),MATCH(P$1,'2_land_use'!$1:$1,0))</f>
        <v>96.530352115103554</v>
      </c>
      <c r="Q4">
        <f>INDEX('2_land_use'!$1:$343,MATCH($A4,'2_land_use'!$A:$A,0),MATCH(Q$1,'2_land_use'!$1:$1,0))</f>
        <v>0</v>
      </c>
      <c r="R4">
        <f>INDEX('6_roof_surface'!$1:$343,MATCH($A4,'6_roof_surface'!$A:$A,0),MATCH(R$1,'6_roof_surface'!$1:$1,0))</f>
        <v>1.14036</v>
      </c>
      <c r="S4">
        <f>INDEX('6_roof_surface'!$1:$343,MATCH($A4,'6_roof_surface'!$A:$A,0),MATCH(S$1,'6_roof_surface'!$1:$1,0))</f>
        <v>1.670153</v>
      </c>
    </row>
    <row r="5" spans="1:22" x14ac:dyDescent="0.2">
      <c r="A5" t="s">
        <v>5</v>
      </c>
      <c r="B5" t="str">
        <f>INDEX(CBS_gemeenten_alfabetisch_2023!$B:$B,MATCH($A5,CBS_gemeenten_alfabetisch_2023!$A:$A,0))</f>
        <v>Achtkarspelen</v>
      </c>
      <c r="C5">
        <f>INDEX('5_train_share_nl'!$1:$343,MATCH($A5,'5_train_share_nl'!$A:$A,0),MATCH(C$1,'5_train_share_nl'!$1:$1,0))</f>
        <v>0</v>
      </c>
      <c r="D5">
        <f>INDEX('3_has_tram_metro'!$1:$343,MATCH($A5,'3_has_tram_metro'!$A:$A,0),MATCH(D$1,'3_has_tram_metro'!$1:$1,0))</f>
        <v>0</v>
      </c>
      <c r="E5">
        <f>INDEX('1_buildings_total'!$1:$343,MATCH($A5,'1_buildings_total'!$A:$A,0),MATCH(E$1,'1_buildings_total'!$1:$1,0))</f>
        <v>2582.5209230769228</v>
      </c>
      <c r="F5">
        <f>INDEX('2_land_use'!$1:$343,MATCH($A5,'2_land_use'!$A:$A,0),MATCH(F$1,'2_land_use'!$1:$1,0))</f>
        <v>85.163222537116724</v>
      </c>
      <c r="G5">
        <f>INDEX('4_number_of_transport'!$1:$343,MATCH($A5,'4_number_of_transport'!$A:$A,0),MATCH(G$1,'4_number_of_transport'!$1:$1,0))</f>
        <v>2554</v>
      </c>
      <c r="H5">
        <f>INDEX('4_number_of_transport'!$1:$343,MATCH($A5,'4_number_of_transport'!$A:$A,0),MATCH(H$1,'4_number_of_transport'!$1:$1,0))</f>
        <v>152</v>
      </c>
      <c r="I5">
        <f>INDEX('4_number_of_transport'!$1:$343,MATCH($A5,'4_number_of_transport'!$A:$A,0),MATCH(I$1,'4_number_of_transport'!$1:$1,0))</f>
        <v>40</v>
      </c>
      <c r="J5">
        <f>INDEX('2_land_use'!$1:$343,MATCH($A5,'2_land_use'!$A:$A,0),MATCH(J$1,'2_land_use'!$1:$1,0))</f>
        <v>8.091987041411256E-5</v>
      </c>
      <c r="K5">
        <f>INDEX('2_land_use'!$1:$343,MATCH($A5,'2_land_use'!$A:$A,0),MATCH(K$1,'2_land_use'!$1:$1,0))</f>
        <v>3.8182136568633853E-3</v>
      </c>
      <c r="L5">
        <f>INDEX('7_biomass'!$1:$343,MATCH($A5,'7_biomass'!$A:$A,0),MATCH(L$1,'7_biomass'!$1:$1,0))</f>
        <v>0.20659389199525954</v>
      </c>
      <c r="M5">
        <f>INDEX('7_biomass'!$1:$343,MATCH($A5,'7_biomass'!$A:$A,0),MATCH(M$1,'7_biomass'!$1:$1,0))</f>
        <v>0.1505342622844838</v>
      </c>
      <c r="N5">
        <f>INDEX('7_biomass'!$1:$343,MATCH($A5,'7_biomass'!$A:$A,0),MATCH(N$1,'7_biomass'!$1:$1,0))</f>
        <v>1.6921840165493172E-2</v>
      </c>
      <c r="O5">
        <f>INDEX('4_number_of_transport'!$1:$343,MATCH($A5,'4_number_of_transport'!$A:$A,0),MATCH(O$1,'4_number_of_transport'!$1:$1,0))</f>
        <v>15604</v>
      </c>
      <c r="P5">
        <f>INDEX('2_land_use'!$1:$343,MATCH($A5,'2_land_use'!$A:$A,0),MATCH(P$1,'2_land_use'!$1:$1,0))</f>
        <v>102.20595714229219</v>
      </c>
      <c r="Q5">
        <f>INDEX('2_land_use'!$1:$343,MATCH($A5,'2_land_use'!$A:$A,0),MATCH(Q$1,'2_land_use'!$1:$1,0))</f>
        <v>0</v>
      </c>
      <c r="R5">
        <f>INDEX('6_roof_surface'!$1:$343,MATCH($A5,'6_roof_surface'!$A:$A,0),MATCH(R$1,'6_roof_surface'!$1:$1,0))</f>
        <v>1.2892779999999999</v>
      </c>
      <c r="S5">
        <f>INDEX('6_roof_surface'!$1:$343,MATCH($A5,'6_roof_surface'!$A:$A,0),MATCH(S$1,'6_roof_surface'!$1:$1,0))</f>
        <v>1.4041399999999999</v>
      </c>
      <c r="T5" s="4"/>
      <c r="U5" s="4"/>
      <c r="V5" s="4"/>
    </row>
    <row r="6" spans="1:22" x14ac:dyDescent="0.2">
      <c r="A6" t="s">
        <v>6</v>
      </c>
      <c r="B6" t="str">
        <f>INDEX(CBS_gemeenten_alfabetisch_2023!$B:$B,MATCH($A6,CBS_gemeenten_alfabetisch_2023!$A:$A,0))</f>
        <v>Alblasserdam</v>
      </c>
      <c r="C6">
        <f>INDEX('5_train_share_nl'!$1:$343,MATCH($A6,'5_train_share_nl'!$A:$A,0),MATCH(C$1,'5_train_share_nl'!$1:$1,0))</f>
        <v>0</v>
      </c>
      <c r="D6">
        <f>INDEX('3_has_tram_metro'!$1:$343,MATCH($A6,'3_has_tram_metro'!$A:$A,0),MATCH(D$1,'3_has_tram_metro'!$1:$1,0))</f>
        <v>0</v>
      </c>
      <c r="E6">
        <f>INDEX('1_buildings_total'!$1:$343,MATCH($A6,'1_buildings_total'!$A:$A,0),MATCH(E$1,'1_buildings_total'!$1:$1,0))</f>
        <v>721.36553846153834</v>
      </c>
      <c r="F6">
        <f>INDEX('2_land_use'!$1:$343,MATCH($A6,'2_land_use'!$A:$A,0),MATCH(F$1,'2_land_use'!$1:$1,0))</f>
        <v>2.9173258002609002</v>
      </c>
      <c r="G6">
        <f>INDEX('4_number_of_transport'!$1:$343,MATCH($A6,'4_number_of_transport'!$A:$A,0),MATCH(G$1,'4_number_of_transport'!$1:$1,0))</f>
        <v>1210</v>
      </c>
      <c r="H6">
        <f>INDEX('4_number_of_transport'!$1:$343,MATCH($A6,'4_number_of_transport'!$A:$A,0),MATCH(H$1,'4_number_of_transport'!$1:$1,0))</f>
        <v>83</v>
      </c>
      <c r="I6">
        <f>INDEX('4_number_of_transport'!$1:$343,MATCH($A6,'4_number_of_transport'!$A:$A,0),MATCH(I$1,'4_number_of_transport'!$1:$1,0))</f>
        <v>28</v>
      </c>
      <c r="J6">
        <f>INDEX('2_land_use'!$1:$343,MATCH($A6,'2_land_use'!$A:$A,0),MATCH(J$1,'2_land_use'!$1:$1,0))</f>
        <v>0</v>
      </c>
      <c r="K6">
        <f>INDEX('2_land_use'!$1:$343,MATCH($A6,'2_land_use'!$A:$A,0),MATCH(K$1,'2_land_use'!$1:$1,0))</f>
        <v>1.3079558147557614E-4</v>
      </c>
      <c r="L6">
        <f>INDEX('7_biomass'!$1:$343,MATCH($A6,'7_biomass'!$A:$A,0),MATCH(L$1,'7_biomass'!$1:$1,0))</f>
        <v>4.120192913894629E-2</v>
      </c>
      <c r="M6">
        <f>INDEX('7_biomass'!$1:$343,MATCH($A6,'7_biomass'!$A:$A,0),MATCH(M$1,'7_biomass'!$1:$1,0))</f>
        <v>5.1742699250553074E-2</v>
      </c>
      <c r="N6">
        <f>INDEX('7_biomass'!$1:$343,MATCH($A6,'7_biomass'!$A:$A,0),MATCH(N$1,'7_biomass'!$1:$1,0))</f>
        <v>1.2193178596915212E-2</v>
      </c>
      <c r="O6">
        <f>INDEX('4_number_of_transport'!$1:$343,MATCH($A6,'4_number_of_transport'!$A:$A,0),MATCH(O$1,'4_number_of_transport'!$1:$1,0))</f>
        <v>9531</v>
      </c>
      <c r="P6">
        <f>INDEX('2_land_use'!$1:$343,MATCH($A6,'2_land_use'!$A:$A,0),MATCH(P$1,'2_land_use'!$1:$1,0))</f>
        <v>8.7726386295683465</v>
      </c>
      <c r="Q6">
        <f>INDEX('2_land_use'!$1:$343,MATCH($A6,'2_land_use'!$A:$A,0),MATCH(Q$1,'2_land_use'!$1:$1,0))</f>
        <v>0</v>
      </c>
      <c r="R6">
        <f>INDEX('6_roof_surface'!$1:$343,MATCH($A6,'6_roof_surface'!$A:$A,0),MATCH(R$1,'6_roof_surface'!$1:$1,0))</f>
        <v>0.45585799999999999</v>
      </c>
      <c r="S6">
        <f>INDEX('6_roof_surface'!$1:$343,MATCH($A6,'6_roof_surface'!$A:$A,0),MATCH(S$1,'6_roof_surface'!$1:$1,0))</f>
        <v>0.63334100000000004</v>
      </c>
    </row>
    <row r="7" spans="1:22" x14ac:dyDescent="0.2">
      <c r="A7" t="s">
        <v>7</v>
      </c>
      <c r="B7" t="str">
        <f>INDEX(CBS_gemeenten_alfabetisch_2023!$B:$B,MATCH($A7,CBS_gemeenten_alfabetisch_2023!$A:$A,0))</f>
        <v>Albrandswaard</v>
      </c>
      <c r="C7">
        <f>INDEX('5_train_share_nl'!$1:$343,MATCH($A7,'5_train_share_nl'!$A:$A,0),MATCH(C$1,'5_train_share_nl'!$1:$1,0))</f>
        <v>0</v>
      </c>
      <c r="D7">
        <f>INDEX('3_has_tram_metro'!$1:$343,MATCH($A7,'3_has_tram_metro'!$A:$A,0),MATCH(D$1,'3_has_tram_metro'!$1:$1,0))</f>
        <v>0</v>
      </c>
      <c r="E7">
        <f>INDEX('1_buildings_total'!$1:$343,MATCH($A7,'1_buildings_total'!$A:$A,0),MATCH(E$1,'1_buildings_total'!$1:$1,0))</f>
        <v>1756.4006153846151</v>
      </c>
      <c r="F7">
        <f>INDEX('2_land_use'!$1:$343,MATCH($A7,'2_land_use'!$A:$A,0),MATCH(F$1,'2_land_use'!$1:$1,0))</f>
        <v>10.912898559213502</v>
      </c>
      <c r="G7">
        <f>INDEX('4_number_of_transport'!$1:$343,MATCH($A7,'4_number_of_transport'!$A:$A,0),MATCH(G$1,'4_number_of_transport'!$1:$1,0))</f>
        <v>908</v>
      </c>
      <c r="H7">
        <f>INDEX('4_number_of_transport'!$1:$343,MATCH($A7,'4_number_of_transport'!$A:$A,0),MATCH(H$1,'4_number_of_transport'!$1:$1,0))</f>
        <v>49</v>
      </c>
      <c r="I7">
        <f>INDEX('4_number_of_transport'!$1:$343,MATCH($A7,'4_number_of_transport'!$A:$A,0),MATCH(I$1,'4_number_of_transport'!$1:$1,0))</f>
        <v>4</v>
      </c>
      <c r="J7">
        <f>INDEX('2_land_use'!$1:$343,MATCH($A7,'2_land_use'!$A:$A,0),MATCH(J$1,'2_land_use'!$1:$1,0))</f>
        <v>3.0093901027849031E-4</v>
      </c>
      <c r="K7">
        <f>INDEX('2_land_use'!$1:$343,MATCH($A7,'2_land_use'!$A:$A,0),MATCH(K$1,'2_land_use'!$1:$1,0))</f>
        <v>4.8926962922984354E-4</v>
      </c>
      <c r="L7">
        <f>INDEX('7_biomass'!$1:$343,MATCH($A7,'7_biomass'!$A:$A,0),MATCH(L$1,'7_biomass'!$1:$1,0))</f>
        <v>6.867487596527555E-2</v>
      </c>
      <c r="M7">
        <f>INDEX('7_biomass'!$1:$343,MATCH($A7,'7_biomass'!$A:$A,0),MATCH(M$1,'7_biomass'!$1:$1,0))</f>
        <v>7.4128047560974172E-2</v>
      </c>
      <c r="N7">
        <f>INDEX('7_biomass'!$1:$343,MATCH($A7,'7_biomass'!$A:$A,0),MATCH(N$1,'7_biomass'!$1:$1,0))</f>
        <v>1.5353720480474578E-2</v>
      </c>
      <c r="O7">
        <f>INDEX('4_number_of_transport'!$1:$343,MATCH($A7,'4_number_of_transport'!$A:$A,0),MATCH(O$1,'4_number_of_transport'!$1:$1,0))</f>
        <v>12936</v>
      </c>
      <c r="P7">
        <f>INDEX('2_land_use'!$1:$343,MATCH($A7,'2_land_use'!$A:$A,0),MATCH(P$1,'2_land_use'!$1:$1,0))</f>
        <v>21.665085701468293</v>
      </c>
      <c r="Q7">
        <f>INDEX('2_land_use'!$1:$343,MATCH($A7,'2_land_use'!$A:$A,0),MATCH(Q$1,'2_land_use'!$1:$1,0))</f>
        <v>0</v>
      </c>
      <c r="R7">
        <f>INDEX('6_roof_surface'!$1:$343,MATCH($A7,'6_roof_surface'!$A:$A,0),MATCH(R$1,'6_roof_surface'!$1:$1,0))</f>
        <v>0.72690500000000002</v>
      </c>
      <c r="S7">
        <f>INDEX('6_roof_surface'!$1:$343,MATCH($A7,'6_roof_surface'!$A:$A,0),MATCH(S$1,'6_roof_surface'!$1:$1,0))</f>
        <v>0.63101499999999999</v>
      </c>
    </row>
    <row r="8" spans="1:22" x14ac:dyDescent="0.2">
      <c r="A8" t="s">
        <v>8</v>
      </c>
      <c r="B8" t="str">
        <f>INDEX(CBS_gemeenten_alfabetisch_2023!$B:$B,MATCH($A8,CBS_gemeenten_alfabetisch_2023!$A:$A,0))</f>
        <v>Alkmaar</v>
      </c>
      <c r="C8">
        <f>INDEX('5_train_share_nl'!$1:$343,MATCH($A8,'5_train_share_nl'!$A:$A,0),MATCH(C$1,'5_train_share_nl'!$1:$1,0))</f>
        <v>7.443617507825539E-3</v>
      </c>
      <c r="D8">
        <f>INDEX('3_has_tram_metro'!$1:$343,MATCH($A8,'3_has_tram_metro'!$A:$A,0),MATCH(D$1,'3_has_tram_metro'!$1:$1,0))</f>
        <v>0</v>
      </c>
      <c r="E8">
        <f>INDEX('1_buildings_total'!$1:$343,MATCH($A8,'1_buildings_total'!$A:$A,0),MATCH(E$1,'1_buildings_total'!$1:$1,0))</f>
        <v>7617.2774615384651</v>
      </c>
      <c r="F8">
        <f>INDEX('2_land_use'!$1:$343,MATCH($A8,'2_land_use'!$A:$A,0),MATCH(F$1,'2_land_use'!$1:$1,0))</f>
        <v>77.929015513536655</v>
      </c>
      <c r="G8">
        <f>INDEX('4_number_of_transport'!$1:$343,MATCH($A8,'4_number_of_transport'!$A:$A,0),MATCH(G$1,'4_number_of_transport'!$1:$1,0))</f>
        <v>6290</v>
      </c>
      <c r="H8">
        <f>INDEX('4_number_of_transport'!$1:$343,MATCH($A8,'4_number_of_transport'!$A:$A,0),MATCH(H$1,'4_number_of_transport'!$1:$1,0))</f>
        <v>479</v>
      </c>
      <c r="I8">
        <f>INDEX('4_number_of_transport'!$1:$343,MATCH($A8,'4_number_of_transport'!$A:$A,0),MATCH(I$1,'4_number_of_transport'!$1:$1,0))</f>
        <v>20</v>
      </c>
      <c r="J8">
        <f>INDEX('2_land_use'!$1:$343,MATCH($A8,'2_land_use'!$A:$A,0),MATCH(J$1,'2_land_use'!$1:$1,0))</f>
        <v>3.3622706952999524E-4</v>
      </c>
      <c r="K8">
        <f>INDEX('2_land_use'!$1:$343,MATCH($A8,'2_land_use'!$A:$A,0),MATCH(K$1,'2_land_use'!$1:$1,0))</f>
        <v>3.4938747317837006E-3</v>
      </c>
      <c r="L8">
        <f>INDEX('7_biomass'!$1:$343,MATCH($A8,'7_biomass'!$A:$A,0),MATCH(L$1,'7_biomass'!$1:$1,0))</f>
        <v>0.40545865731968744</v>
      </c>
      <c r="M8">
        <f>INDEX('7_biomass'!$1:$343,MATCH($A8,'7_biomass'!$A:$A,0),MATCH(M$1,'7_biomass'!$1:$1,0))</f>
        <v>0.3170422070606318</v>
      </c>
      <c r="N8">
        <f>INDEX('7_biomass'!$1:$343,MATCH($A8,'7_biomass'!$A:$A,0),MATCH(N$1,'7_biomass'!$1:$1,0))</f>
        <v>6.5955806573517448E-2</v>
      </c>
      <c r="O8">
        <f>INDEX('4_number_of_transport'!$1:$343,MATCH($A8,'4_number_of_transport'!$A:$A,0),MATCH(O$1,'4_number_of_transport'!$1:$1,0))</f>
        <v>58882</v>
      </c>
      <c r="P8">
        <f>INDEX('2_land_use'!$1:$343,MATCH($A8,'2_land_use'!$A:$A,0),MATCH(P$1,'2_land_use'!$1:$1,0))</f>
        <v>110.31265219516035</v>
      </c>
      <c r="Q8">
        <f>INDEX('2_land_use'!$1:$343,MATCH($A8,'2_land_use'!$A:$A,0),MATCH(Q$1,'2_land_use'!$1:$1,0))</f>
        <v>0</v>
      </c>
      <c r="R8">
        <f>INDEX('6_roof_surface'!$1:$343,MATCH($A8,'6_roof_surface'!$A:$A,0),MATCH(R$1,'6_roof_surface'!$1:$1,0))</f>
        <v>2.968289</v>
      </c>
      <c r="S8">
        <f>INDEX('6_roof_surface'!$1:$343,MATCH($A8,'6_roof_surface'!$A:$A,0),MATCH(S$1,'6_roof_surface'!$1:$1,0))</f>
        <v>2.729409</v>
      </c>
    </row>
    <row r="9" spans="1:22" x14ac:dyDescent="0.2">
      <c r="A9" t="s">
        <v>9</v>
      </c>
      <c r="B9" t="str">
        <f>INDEX(CBS_gemeenten_alfabetisch_2023!$B:$B,MATCH($A9,CBS_gemeenten_alfabetisch_2023!$A:$A,0))</f>
        <v>Almelo</v>
      </c>
      <c r="C9">
        <f>INDEX('5_train_share_nl'!$1:$343,MATCH($A9,'5_train_share_nl'!$A:$A,0),MATCH(C$1,'5_train_share_nl'!$1:$1,0))</f>
        <v>2.6633562803295339E-3</v>
      </c>
      <c r="D9">
        <f>INDEX('3_has_tram_metro'!$1:$343,MATCH($A9,'3_has_tram_metro'!$A:$A,0),MATCH(D$1,'3_has_tram_metro'!$1:$1,0))</f>
        <v>0</v>
      </c>
      <c r="E9">
        <f>INDEX('1_buildings_total'!$1:$343,MATCH($A9,'1_buildings_total'!$A:$A,0),MATCH(E$1,'1_buildings_total'!$1:$1,0))</f>
        <v>6098.7483846153855</v>
      </c>
      <c r="F9">
        <f>INDEX('2_land_use'!$1:$343,MATCH($A9,'2_land_use'!$A:$A,0),MATCH(F$1,'2_land_use'!$1:$1,0))</f>
        <v>35.396501019881278</v>
      </c>
      <c r="G9">
        <f>INDEX('4_number_of_transport'!$1:$343,MATCH($A9,'4_number_of_transport'!$A:$A,0),MATCH(G$1,'4_number_of_transport'!$1:$1,0))</f>
        <v>3787</v>
      </c>
      <c r="H9">
        <f>INDEX('4_number_of_transport'!$1:$343,MATCH($A9,'4_number_of_transport'!$A:$A,0),MATCH(H$1,'4_number_of_transport'!$1:$1,0))</f>
        <v>201</v>
      </c>
      <c r="I9">
        <f>INDEX('4_number_of_transport'!$1:$343,MATCH($A9,'4_number_of_transport'!$A:$A,0),MATCH(I$1,'4_number_of_transport'!$1:$1,0))</f>
        <v>5</v>
      </c>
      <c r="J9">
        <f>INDEX('2_land_use'!$1:$343,MATCH($A9,'2_land_use'!$A:$A,0),MATCH(J$1,'2_land_use'!$1:$1,0))</f>
        <v>0</v>
      </c>
      <c r="K9">
        <f>INDEX('2_land_use'!$1:$343,MATCH($A9,'2_land_use'!$A:$A,0),MATCH(K$1,'2_land_use'!$1:$1,0))</f>
        <v>1.5869691114657662E-3</v>
      </c>
      <c r="L9">
        <f>INDEX('7_biomass'!$1:$343,MATCH($A9,'7_biomass'!$A:$A,0),MATCH(L$1,'7_biomass'!$1:$1,0))</f>
        <v>0.2185921508513822</v>
      </c>
      <c r="M9">
        <f>INDEX('7_biomass'!$1:$343,MATCH($A9,'7_biomass'!$A:$A,0),MATCH(M$1,'7_biomass'!$1:$1,0))</f>
        <v>0.22426839019032715</v>
      </c>
      <c r="N9">
        <f>INDEX('7_biomass'!$1:$343,MATCH($A9,'7_biomass'!$A:$A,0),MATCH(N$1,'7_biomass'!$1:$1,0))</f>
        <v>4.4260345189430277E-2</v>
      </c>
      <c r="O9">
        <f>INDEX('4_number_of_transport'!$1:$343,MATCH($A9,'4_number_of_transport'!$A:$A,0),MATCH(O$1,'4_number_of_transport'!$1:$1,0))</f>
        <v>36279</v>
      </c>
      <c r="P9">
        <f>INDEX('2_land_use'!$1:$343,MATCH($A9,'2_land_use'!$A:$A,0),MATCH(P$1,'2_land_use'!$1:$1,0))</f>
        <v>67.180698665028871</v>
      </c>
      <c r="Q9">
        <f>INDEX('2_land_use'!$1:$343,MATCH($A9,'2_land_use'!$A:$A,0),MATCH(Q$1,'2_land_use'!$1:$1,0))</f>
        <v>0</v>
      </c>
      <c r="R9">
        <f>INDEX('6_roof_surface'!$1:$343,MATCH($A9,'6_roof_surface'!$A:$A,0),MATCH(R$1,'6_roof_surface'!$1:$1,0))</f>
        <v>2.4152930000000001</v>
      </c>
      <c r="S9">
        <f>INDEX('6_roof_surface'!$1:$343,MATCH($A9,'6_roof_surface'!$A:$A,0),MATCH(S$1,'6_roof_surface'!$1:$1,0))</f>
        <v>3.387203</v>
      </c>
    </row>
    <row r="10" spans="1:22" x14ac:dyDescent="0.2">
      <c r="A10" t="s">
        <v>10</v>
      </c>
      <c r="B10" t="str">
        <f>INDEX(CBS_gemeenten_alfabetisch_2023!$B:$B,MATCH($A10,CBS_gemeenten_alfabetisch_2023!$A:$A,0))</f>
        <v>Almere</v>
      </c>
      <c r="C10">
        <f>INDEX('5_train_share_nl'!$1:$343,MATCH($A10,'5_train_share_nl'!$A:$A,0),MATCH(C$1,'5_train_share_nl'!$1:$1,0))</f>
        <v>1.9053728441405963E-2</v>
      </c>
      <c r="D10">
        <f>INDEX('3_has_tram_metro'!$1:$343,MATCH($A10,'3_has_tram_metro'!$A:$A,0),MATCH(D$1,'3_has_tram_metro'!$1:$1,0))</f>
        <v>0</v>
      </c>
      <c r="E10">
        <f>INDEX('1_buildings_total'!$1:$343,MATCH($A10,'1_buildings_total'!$A:$A,0),MATCH(E$1,'1_buildings_total'!$1:$1,0))</f>
        <v>7798.1336153846141</v>
      </c>
      <c r="F10">
        <f>INDEX('2_land_use'!$1:$343,MATCH($A10,'2_land_use'!$A:$A,0),MATCH(F$1,'2_land_use'!$1:$1,0))</f>
        <v>32.413440059292292</v>
      </c>
      <c r="G10">
        <f>INDEX('4_number_of_transport'!$1:$343,MATCH($A10,'4_number_of_transport'!$A:$A,0),MATCH(G$1,'4_number_of_transport'!$1:$1,0))</f>
        <v>31940</v>
      </c>
      <c r="H10">
        <f>INDEX('4_number_of_transport'!$1:$343,MATCH($A10,'4_number_of_transport'!$A:$A,0),MATCH(H$1,'4_number_of_transport'!$1:$1,0))</f>
        <v>658</v>
      </c>
      <c r="I10">
        <f>INDEX('4_number_of_transport'!$1:$343,MATCH($A10,'4_number_of_transport'!$A:$A,0),MATCH(I$1,'4_number_of_transport'!$1:$1,0))</f>
        <v>21</v>
      </c>
      <c r="J10">
        <f>INDEX('2_land_use'!$1:$343,MATCH($A10,'2_land_use'!$A:$A,0),MATCH(J$1,'2_land_use'!$1:$1,0))</f>
        <v>8.9035873779613316E-3</v>
      </c>
      <c r="K10">
        <f>INDEX('2_land_use'!$1:$343,MATCH($A10,'2_land_use'!$A:$A,0),MATCH(K$1,'2_land_use'!$1:$1,0))</f>
        <v>1.4532263553833178E-3</v>
      </c>
      <c r="L10">
        <f>INDEX('7_biomass'!$1:$343,MATCH($A10,'7_biomass'!$A:$A,0),MATCH(L$1,'7_biomass'!$1:$1,0))</f>
        <v>0.58857011070467324</v>
      </c>
      <c r="M10">
        <f>INDEX('7_biomass'!$1:$343,MATCH($A10,'7_biomass'!$A:$A,0),MATCH(M$1,'7_biomass'!$1:$1,0))</f>
        <v>0.61069085497330633</v>
      </c>
      <c r="N10">
        <f>INDEX('7_biomass'!$1:$343,MATCH($A10,'7_biomass'!$A:$A,0),MATCH(N$1,'7_biomass'!$1:$1,0))</f>
        <v>0.12631474428287709</v>
      </c>
      <c r="O10">
        <f>INDEX('4_number_of_transport'!$1:$343,MATCH($A10,'4_number_of_transport'!$A:$A,0),MATCH(O$1,'4_number_of_transport'!$1:$1,0))</f>
        <v>258677</v>
      </c>
      <c r="P10">
        <f>INDEX('2_land_use'!$1:$343,MATCH($A10,'2_land_use'!$A:$A,0),MATCH(P$1,'2_land_use'!$1:$1,0))</f>
        <v>129.17945664968752</v>
      </c>
      <c r="Q10">
        <f>INDEX('2_land_use'!$1:$343,MATCH($A10,'2_land_use'!$A:$A,0),MATCH(Q$1,'2_land_use'!$1:$1,0))</f>
        <v>0</v>
      </c>
      <c r="R10">
        <f>INDEX('6_roof_surface'!$1:$343,MATCH($A10,'6_roof_surface'!$A:$A,0),MATCH(R$1,'6_roof_surface'!$1:$1,0))</f>
        <v>5.056762</v>
      </c>
      <c r="S10">
        <f>INDEX('6_roof_surface'!$1:$343,MATCH($A10,'6_roof_surface'!$A:$A,0),MATCH(S$1,'6_roof_surface'!$1:$1,0))</f>
        <v>4.0665459999999998</v>
      </c>
    </row>
    <row r="11" spans="1:22" x14ac:dyDescent="0.2">
      <c r="A11" t="s">
        <v>11</v>
      </c>
      <c r="B11" t="str">
        <f>INDEX(CBS_gemeenten_alfabetisch_2023!$B:$B,MATCH($A11,CBS_gemeenten_alfabetisch_2023!$A:$A,0))</f>
        <v>Alphen aan den Rijn</v>
      </c>
      <c r="C11">
        <f>INDEX('5_train_share_nl'!$1:$343,MATCH($A11,'5_train_share_nl'!$A:$A,0),MATCH(C$1,'5_train_share_nl'!$1:$1,0))</f>
        <v>4.9307333337293129E-3</v>
      </c>
      <c r="D11">
        <f>INDEX('3_has_tram_metro'!$1:$343,MATCH($A11,'3_has_tram_metro'!$A:$A,0),MATCH(D$1,'3_has_tram_metro'!$1:$1,0))</f>
        <v>0</v>
      </c>
      <c r="E11">
        <f>INDEX('1_buildings_total'!$1:$343,MATCH($A11,'1_buildings_total'!$A:$A,0),MATCH(E$1,'1_buildings_total'!$1:$1,0))</f>
        <v>6147.3081538461547</v>
      </c>
      <c r="F11">
        <f>INDEX('2_land_use'!$1:$343,MATCH($A11,'2_land_use'!$A:$A,0),MATCH(F$1,'2_land_use'!$1:$1,0))</f>
        <v>93.385315180046817</v>
      </c>
      <c r="G11">
        <f>INDEX('4_number_of_transport'!$1:$343,MATCH($A11,'4_number_of_transport'!$A:$A,0),MATCH(G$1,'4_number_of_transport'!$1:$1,0))</f>
        <v>6214</v>
      </c>
      <c r="H11">
        <f>INDEX('4_number_of_transport'!$1:$343,MATCH($A11,'4_number_of_transport'!$A:$A,0),MATCH(H$1,'4_number_of_transport'!$1:$1,0))</f>
        <v>557</v>
      </c>
      <c r="I11">
        <f>INDEX('4_number_of_transport'!$1:$343,MATCH($A11,'4_number_of_transport'!$A:$A,0),MATCH(I$1,'4_number_of_transport'!$1:$1,0))</f>
        <v>33</v>
      </c>
      <c r="J11">
        <f>INDEX('2_land_use'!$1:$343,MATCH($A11,'2_land_use'!$A:$A,0),MATCH(J$1,'2_land_use'!$1:$1,0))</f>
        <v>4.7111813387507272E-3</v>
      </c>
      <c r="K11">
        <f>INDEX('2_land_use'!$1:$343,MATCH($A11,'2_land_use'!$A:$A,0),MATCH(K$1,'2_land_use'!$1:$1,0))</f>
        <v>4.1868435123570439E-3</v>
      </c>
      <c r="L11">
        <f>INDEX('7_biomass'!$1:$343,MATCH($A11,'7_biomass'!$A:$A,0),MATCH(L$1,'7_biomass'!$1:$1,0))</f>
        <v>0.4060484683138888</v>
      </c>
      <c r="M11">
        <f>INDEX('7_biomass'!$1:$343,MATCH($A11,'7_biomass'!$A:$A,0),MATCH(M$1,'7_biomass'!$1:$1,0))</f>
        <v>0.31828343890162919</v>
      </c>
      <c r="N11">
        <f>INDEX('7_biomass'!$1:$343,MATCH($A11,'7_biomass'!$A:$A,0),MATCH(N$1,'7_biomass'!$1:$1,0))</f>
        <v>6.7430969144313707E-2</v>
      </c>
      <c r="O11">
        <f>INDEX('4_number_of_transport'!$1:$343,MATCH($A11,'4_number_of_transport'!$A:$A,0),MATCH(O$1,'4_number_of_transport'!$1:$1,0))</f>
        <v>55413</v>
      </c>
      <c r="P11">
        <f>INDEX('2_land_use'!$1:$343,MATCH($A11,'2_land_use'!$A:$A,0),MATCH(P$1,'2_land_use'!$1:$1,0))</f>
        <v>125.92551873681799</v>
      </c>
      <c r="Q11">
        <f>INDEX('2_land_use'!$1:$343,MATCH($A11,'2_land_use'!$A:$A,0),MATCH(Q$1,'2_land_use'!$1:$1,0))</f>
        <v>0</v>
      </c>
      <c r="R11">
        <f>INDEX('6_roof_surface'!$1:$343,MATCH($A11,'6_roof_surface'!$A:$A,0),MATCH(R$1,'6_roof_surface'!$1:$1,0))</f>
        <v>2.9457010000000001</v>
      </c>
      <c r="S11">
        <f>INDEX('6_roof_surface'!$1:$343,MATCH($A11,'6_roof_surface'!$A:$A,0),MATCH(S$1,'6_roof_surface'!$1:$1,0))</f>
        <v>4.1376900000000001</v>
      </c>
    </row>
    <row r="12" spans="1:22" x14ac:dyDescent="0.2">
      <c r="A12" t="s">
        <v>12</v>
      </c>
      <c r="B12" t="str">
        <f>INDEX(CBS_gemeenten_alfabetisch_2023!$B:$B,MATCH($A12,CBS_gemeenten_alfabetisch_2023!$A:$A,0))</f>
        <v>Alphen-Chaam</v>
      </c>
      <c r="C12">
        <f>INDEX('5_train_share_nl'!$1:$343,MATCH($A12,'5_train_share_nl'!$A:$A,0),MATCH(C$1,'5_train_share_nl'!$1:$1,0))</f>
        <v>0</v>
      </c>
      <c r="D12">
        <f>INDEX('3_has_tram_metro'!$1:$343,MATCH($A12,'3_has_tram_metro'!$A:$A,0),MATCH(D$1,'3_has_tram_metro'!$1:$1,0))</f>
        <v>0</v>
      </c>
      <c r="E12">
        <f>INDEX('1_buildings_total'!$1:$343,MATCH($A12,'1_buildings_total'!$A:$A,0),MATCH(E$1,'1_buildings_total'!$1:$1,0))</f>
        <v>1764.1229999999998</v>
      </c>
      <c r="F12">
        <f>INDEX('2_land_use'!$1:$343,MATCH($A12,'2_land_use'!$A:$A,0),MATCH(F$1,'2_land_use'!$1:$1,0))</f>
        <v>65.508470443524118</v>
      </c>
      <c r="G12">
        <f>INDEX('4_number_of_transport'!$1:$343,MATCH($A12,'4_number_of_transport'!$A:$A,0),MATCH(G$1,'4_number_of_transport'!$1:$1,0))</f>
        <v>966</v>
      </c>
      <c r="H12">
        <f>INDEX('4_number_of_transport'!$1:$343,MATCH($A12,'4_number_of_transport'!$A:$A,0),MATCH(H$1,'4_number_of_transport'!$1:$1,0))</f>
        <v>56</v>
      </c>
      <c r="I12">
        <f>INDEX('4_number_of_transport'!$1:$343,MATCH($A12,'4_number_of_transport'!$A:$A,0),MATCH(I$1,'4_number_of_transport'!$1:$1,0))</f>
        <v>0</v>
      </c>
      <c r="J12">
        <f>INDEX('2_land_use'!$1:$343,MATCH($A12,'2_land_use'!$A:$A,0),MATCH(J$1,'2_land_use'!$1:$1,0))</f>
        <v>1.16567595994736E-3</v>
      </c>
      <c r="K12">
        <f>INDEX('2_land_use'!$1:$343,MATCH($A12,'2_land_use'!$A:$A,0),MATCH(K$1,'2_land_use'!$1:$1,0))</f>
        <v>2.9370111773152196E-3</v>
      </c>
      <c r="L12">
        <f>INDEX('7_biomass'!$1:$343,MATCH($A12,'7_biomass'!$A:$A,0),MATCH(L$1,'7_biomass'!$1:$1,0))</f>
        <v>0.20447046866347682</v>
      </c>
      <c r="M12">
        <f>INDEX('7_biomass'!$1:$343,MATCH($A12,'7_biomass'!$A:$A,0),MATCH(M$1,'7_biomass'!$1:$1,0))</f>
        <v>0.10702504969522833</v>
      </c>
      <c r="N12">
        <f>INDEX('7_biomass'!$1:$343,MATCH($A12,'7_biomass'!$A:$A,0),MATCH(N$1,'7_biomass'!$1:$1,0))</f>
        <v>6.1661552434148434E-3</v>
      </c>
      <c r="O12">
        <f>INDEX('4_number_of_transport'!$1:$343,MATCH($A12,'4_number_of_transport'!$A:$A,0),MATCH(O$1,'4_number_of_transport'!$1:$1,0))</f>
        <v>6532</v>
      </c>
      <c r="P12">
        <f>INDEX('2_land_use'!$1:$343,MATCH($A12,'2_land_use'!$A:$A,0),MATCH(P$1,'2_land_use'!$1:$1,0))</f>
        <v>92.980240047021994</v>
      </c>
      <c r="Q12">
        <f>INDEX('2_land_use'!$1:$343,MATCH($A12,'2_land_use'!$A:$A,0),MATCH(Q$1,'2_land_use'!$1:$1,0))</f>
        <v>0</v>
      </c>
      <c r="R12">
        <f>INDEX('6_roof_surface'!$1:$343,MATCH($A12,'6_roof_surface'!$A:$A,0),MATCH(R$1,'6_roof_surface'!$1:$1,0))</f>
        <v>0.58342000000000005</v>
      </c>
      <c r="S12">
        <f>INDEX('6_roof_surface'!$1:$343,MATCH($A12,'6_roof_surface'!$A:$A,0),MATCH(S$1,'6_roof_surface'!$1:$1,0))</f>
        <v>1.2494499999999999</v>
      </c>
    </row>
    <row r="13" spans="1:22" x14ac:dyDescent="0.2">
      <c r="A13" t="s">
        <v>13</v>
      </c>
      <c r="B13" t="str">
        <f>INDEX(CBS_gemeenten_alfabetisch_2023!$B:$B,MATCH($A13,CBS_gemeenten_alfabetisch_2023!$A:$A,0))</f>
        <v>Altena</v>
      </c>
      <c r="C13">
        <f>INDEX('5_train_share_nl'!$1:$343,MATCH($A13,'5_train_share_nl'!$A:$A,0),MATCH(C$1,'5_train_share_nl'!$1:$1,0))</f>
        <v>0</v>
      </c>
      <c r="D13">
        <f>INDEX('3_has_tram_metro'!$1:$343,MATCH($A13,'3_has_tram_metro'!$A:$A,0),MATCH(D$1,'3_has_tram_metro'!$1:$1,0))</f>
        <v>0</v>
      </c>
      <c r="E13">
        <f>INDEX('1_buildings_total'!$1:$343,MATCH($A13,'1_buildings_total'!$A:$A,0),MATCH(E$1,'1_buildings_total'!$1:$1,0))</f>
        <v>4052.5456923076945</v>
      </c>
      <c r="F13">
        <f>INDEX('2_land_use'!$1:$343,MATCH($A13,'2_land_use'!$A:$A,0),MATCH(F$1,'2_land_use'!$1:$1,0))</f>
        <v>154.74114158246991</v>
      </c>
      <c r="G13">
        <f>INDEX('4_number_of_transport'!$1:$343,MATCH($A13,'4_number_of_transport'!$A:$A,0),MATCH(G$1,'4_number_of_transport'!$1:$1,0))</f>
        <v>4893</v>
      </c>
      <c r="H13">
        <f>INDEX('4_number_of_transport'!$1:$343,MATCH($A13,'4_number_of_transport'!$A:$A,0),MATCH(H$1,'4_number_of_transport'!$1:$1,0))</f>
        <v>424</v>
      </c>
      <c r="I13">
        <f>INDEX('4_number_of_transport'!$1:$343,MATCH($A13,'4_number_of_transport'!$A:$A,0),MATCH(I$1,'4_number_of_transport'!$1:$1,0))</f>
        <v>19</v>
      </c>
      <c r="J13">
        <f>INDEX('2_land_use'!$1:$343,MATCH($A13,'2_land_use'!$A:$A,0),MATCH(J$1,'2_land_use'!$1:$1,0))</f>
        <v>2.3249888521817432E-3</v>
      </c>
      <c r="K13">
        <f>INDEX('2_land_use'!$1:$343,MATCH($A13,'2_land_use'!$A:$A,0),MATCH(K$1,'2_land_use'!$1:$1,0))</f>
        <v>6.9376747669607445E-3</v>
      </c>
      <c r="L13">
        <f>INDEX('7_biomass'!$1:$343,MATCH($A13,'7_biomass'!$A:$A,0),MATCH(L$1,'7_biomass'!$1:$1,0))</f>
        <v>0.64329520354208669</v>
      </c>
      <c r="M13">
        <f>INDEX('7_biomass'!$1:$343,MATCH($A13,'7_biomass'!$A:$A,0),MATCH(M$1,'7_biomass'!$1:$1,0))</f>
        <v>0.23217256501502687</v>
      </c>
      <c r="N13">
        <f>INDEX('7_biomass'!$1:$343,MATCH($A13,'7_biomass'!$A:$A,0),MATCH(N$1,'7_biomass'!$1:$1,0))</f>
        <v>3.3650475348485025E-2</v>
      </c>
      <c r="O13">
        <f>INDEX('4_number_of_transport'!$1:$343,MATCH($A13,'4_number_of_transport'!$A:$A,0),MATCH(O$1,'4_number_of_transport'!$1:$1,0))</f>
        <v>31112</v>
      </c>
      <c r="P13">
        <f>INDEX('2_land_use'!$1:$343,MATCH($A13,'2_land_use'!$A:$A,0),MATCH(P$1,'2_land_use'!$1:$1,0))</f>
        <v>199.7398075973073</v>
      </c>
      <c r="Q13">
        <f>INDEX('2_land_use'!$1:$343,MATCH($A13,'2_land_use'!$A:$A,0),MATCH(Q$1,'2_land_use'!$1:$1,0))</f>
        <v>0</v>
      </c>
      <c r="R13">
        <f>INDEX('6_roof_surface'!$1:$343,MATCH($A13,'6_roof_surface'!$A:$A,0),MATCH(R$1,'6_roof_surface'!$1:$1,0))</f>
        <v>2.1051310000000001</v>
      </c>
      <c r="S13">
        <f>INDEX('6_roof_surface'!$1:$343,MATCH($A13,'6_roof_surface'!$A:$A,0),MATCH(S$1,'6_roof_surface'!$1:$1,0))</f>
        <v>2.7551139999999998</v>
      </c>
    </row>
    <row r="14" spans="1:22" x14ac:dyDescent="0.2">
      <c r="A14" t="s">
        <v>14</v>
      </c>
      <c r="B14" t="str">
        <f>INDEX(CBS_gemeenten_alfabetisch_2023!$B:$B,MATCH($A14,CBS_gemeenten_alfabetisch_2023!$A:$A,0))</f>
        <v>Ameland</v>
      </c>
      <c r="C14">
        <f>INDEX('5_train_share_nl'!$1:$343,MATCH($A14,'5_train_share_nl'!$A:$A,0),MATCH(C$1,'5_train_share_nl'!$1:$1,0))</f>
        <v>0</v>
      </c>
      <c r="D14">
        <f>INDEX('3_has_tram_metro'!$1:$343,MATCH($A14,'3_has_tram_metro'!$A:$A,0),MATCH(D$1,'3_has_tram_metro'!$1:$1,0))</f>
        <v>0</v>
      </c>
      <c r="E14">
        <f>INDEX('1_buildings_total'!$1:$343,MATCH($A14,'1_buildings_total'!$A:$A,0),MATCH(E$1,'1_buildings_total'!$1:$1,0))</f>
        <v>2037.8947692307688</v>
      </c>
      <c r="F14">
        <f>INDEX('2_land_use'!$1:$343,MATCH($A14,'2_land_use'!$A:$A,0),MATCH(F$1,'2_land_use'!$1:$1,0))</f>
        <v>19.245650355670733</v>
      </c>
      <c r="G14">
        <f>INDEX('4_number_of_transport'!$1:$343,MATCH($A14,'4_number_of_transport'!$A:$A,0),MATCH(G$1,'4_number_of_transport'!$1:$1,0))</f>
        <v>412</v>
      </c>
      <c r="H14">
        <f>INDEX('4_number_of_transport'!$1:$343,MATCH($A14,'4_number_of_transport'!$A:$A,0),MATCH(H$1,'4_number_of_transport'!$1:$1,0))</f>
        <v>35</v>
      </c>
      <c r="I14">
        <f>INDEX('4_number_of_transport'!$1:$343,MATCH($A14,'4_number_of_transport'!$A:$A,0),MATCH(I$1,'4_number_of_transport'!$1:$1,0))</f>
        <v>0</v>
      </c>
      <c r="J14">
        <f>INDEX('2_land_use'!$1:$343,MATCH($A14,'2_land_use'!$A:$A,0),MATCH(J$1,'2_land_use'!$1:$1,0))</f>
        <v>0</v>
      </c>
      <c r="K14">
        <f>INDEX('2_land_use'!$1:$343,MATCH($A14,'2_land_use'!$A:$A,0),MATCH(K$1,'2_land_use'!$1:$1,0))</f>
        <v>8.6286078466808953E-4</v>
      </c>
      <c r="L14">
        <f>INDEX('7_biomass'!$1:$343,MATCH($A14,'7_biomass'!$A:$A,0),MATCH(L$1,'7_biomass'!$1:$1,0))</f>
        <v>9.5491630549820447E-2</v>
      </c>
      <c r="M14">
        <f>INDEX('7_biomass'!$1:$343,MATCH($A14,'7_biomass'!$A:$A,0),MATCH(M$1,'7_biomass'!$1:$1,0))</f>
        <v>1.704655818329312E-2</v>
      </c>
      <c r="N14">
        <f>INDEX('7_biomass'!$1:$343,MATCH($A14,'7_biomass'!$A:$A,0),MATCH(N$1,'7_biomass'!$1:$1,0))</f>
        <v>2.231578304174078E-3</v>
      </c>
      <c r="O14">
        <f>INDEX('4_number_of_transport'!$1:$343,MATCH($A14,'4_number_of_transport'!$A:$A,0),MATCH(O$1,'4_number_of_transport'!$1:$1,0))</f>
        <v>2007</v>
      </c>
      <c r="P14">
        <f>INDEX('2_land_use'!$1:$343,MATCH($A14,'2_land_use'!$A:$A,0),MATCH(P$1,'2_land_use'!$1:$1,0))</f>
        <v>56.591981678304556</v>
      </c>
      <c r="Q14">
        <f>INDEX('2_land_use'!$1:$343,MATCH($A14,'2_land_use'!$A:$A,0),MATCH(Q$1,'2_land_use'!$1:$1,0))</f>
        <v>211.14660931307256</v>
      </c>
      <c r="R14">
        <f>INDEX('6_roof_surface'!$1:$343,MATCH($A14,'6_roof_surface'!$A:$A,0),MATCH(R$1,'6_roof_surface'!$1:$1,0))</f>
        <v>0.20733799999999999</v>
      </c>
      <c r="S14">
        <f>INDEX('6_roof_surface'!$1:$343,MATCH($A14,'6_roof_surface'!$A:$A,0),MATCH(S$1,'6_roof_surface'!$1:$1,0))</f>
        <v>0.36789899999999998</v>
      </c>
    </row>
    <row r="15" spans="1:22" x14ac:dyDescent="0.2">
      <c r="A15" t="s">
        <v>15</v>
      </c>
      <c r="B15" t="str">
        <f>INDEX(CBS_gemeenten_alfabetisch_2023!$B:$B,MATCH($A15,CBS_gemeenten_alfabetisch_2023!$A:$A,0))</f>
        <v>Amersfoort</v>
      </c>
      <c r="C15">
        <f>INDEX('5_train_share_nl'!$1:$343,MATCH($A15,'5_train_share_nl'!$A:$A,0),MATCH(C$1,'5_train_share_nl'!$1:$1,0))</f>
        <v>2.0565577129823771E-2</v>
      </c>
      <c r="D15">
        <f>INDEX('3_has_tram_metro'!$1:$343,MATCH($A15,'3_has_tram_metro'!$A:$A,0),MATCH(D$1,'3_has_tram_metro'!$1:$1,0))</f>
        <v>0</v>
      </c>
      <c r="E15">
        <f>INDEX('1_buildings_total'!$1:$343,MATCH($A15,'1_buildings_total'!$A:$A,0),MATCH(E$1,'1_buildings_total'!$1:$1,0))</f>
        <v>8849.3960769230798</v>
      </c>
      <c r="F15">
        <f>INDEX('2_land_use'!$1:$343,MATCH($A15,'2_land_use'!$A:$A,0),MATCH(F$1,'2_land_use'!$1:$1,0))</f>
        <v>19.368912306528866</v>
      </c>
      <c r="G15">
        <f>INDEX('4_number_of_transport'!$1:$343,MATCH($A15,'4_number_of_transport'!$A:$A,0),MATCH(G$1,'4_number_of_transport'!$1:$1,0))</f>
        <v>17202</v>
      </c>
      <c r="H15">
        <f>INDEX('4_number_of_transport'!$1:$343,MATCH($A15,'4_number_of_transport'!$A:$A,0),MATCH(H$1,'4_number_of_transport'!$1:$1,0))</f>
        <v>343</v>
      </c>
      <c r="I15">
        <f>INDEX('4_number_of_transport'!$1:$343,MATCH($A15,'4_number_of_transport'!$A:$A,0),MATCH(I$1,'4_number_of_transport'!$1:$1,0))</f>
        <v>613</v>
      </c>
      <c r="J15">
        <f>INDEX('2_land_use'!$1:$343,MATCH($A15,'2_land_use'!$A:$A,0),MATCH(J$1,'2_land_use'!$1:$1,0))</f>
        <v>0</v>
      </c>
      <c r="K15">
        <f>INDEX('2_land_use'!$1:$343,MATCH($A15,'2_land_use'!$A:$A,0),MATCH(K$1,'2_land_use'!$1:$1,0))</f>
        <v>8.6838711927729277E-4</v>
      </c>
      <c r="L15">
        <f>INDEX('7_biomass'!$1:$343,MATCH($A15,'7_biomass'!$A:$A,0),MATCH(L$1,'7_biomass'!$1:$1,0))</f>
        <v>0.30180075938322232</v>
      </c>
      <c r="M15">
        <f>INDEX('7_biomass'!$1:$343,MATCH($A15,'7_biomass'!$A:$A,0),MATCH(M$1,'7_biomass'!$1:$1,0))</f>
        <v>0.41215335406790343</v>
      </c>
      <c r="N15">
        <f>INDEX('7_biomass'!$1:$343,MATCH($A15,'7_biomass'!$A:$A,0),MATCH(N$1,'7_biomass'!$1:$1,0))</f>
        <v>9.4953565708181323E-2</v>
      </c>
      <c r="O15">
        <f>INDEX('4_number_of_transport'!$1:$343,MATCH($A15,'4_number_of_transport'!$A:$A,0),MATCH(O$1,'4_number_of_transport'!$1:$1,0))</f>
        <v>124805</v>
      </c>
      <c r="P15">
        <f>INDEX('2_land_use'!$1:$343,MATCH($A15,'2_land_use'!$A:$A,0),MATCH(P$1,'2_land_use'!$1:$1,0))</f>
        <v>62.491849067000828</v>
      </c>
      <c r="Q15">
        <f>INDEX('2_land_use'!$1:$343,MATCH($A15,'2_land_use'!$A:$A,0),MATCH(Q$1,'2_land_use'!$1:$1,0))</f>
        <v>0</v>
      </c>
      <c r="R15">
        <f>INDEX('6_roof_surface'!$1:$343,MATCH($A15,'6_roof_surface'!$A:$A,0),MATCH(R$1,'6_roof_surface'!$1:$1,0))</f>
        <v>3.7951239999999999</v>
      </c>
      <c r="S15">
        <f>INDEX('6_roof_surface'!$1:$343,MATCH($A15,'6_roof_surface'!$A:$A,0),MATCH(S$1,'6_roof_surface'!$1:$1,0))</f>
        <v>3.0529959999999998</v>
      </c>
    </row>
    <row r="16" spans="1:22" x14ac:dyDescent="0.2">
      <c r="A16" t="s">
        <v>16</v>
      </c>
      <c r="B16" t="str">
        <f>INDEX(CBS_gemeenten_alfabetisch_2023!$B:$B,MATCH($A16,CBS_gemeenten_alfabetisch_2023!$A:$A,0))</f>
        <v>Amstelveen</v>
      </c>
      <c r="C16">
        <f>INDEX('5_train_share_nl'!$1:$343,MATCH($A16,'5_train_share_nl'!$A:$A,0),MATCH(C$1,'5_train_share_nl'!$1:$1,0))</f>
        <v>0</v>
      </c>
      <c r="D16">
        <f>INDEX('3_has_tram_metro'!$1:$343,MATCH($A16,'3_has_tram_metro'!$A:$A,0),MATCH(D$1,'3_has_tram_metro'!$1:$1,0))</f>
        <v>1</v>
      </c>
      <c r="E16">
        <f>INDEX('1_buildings_total'!$1:$343,MATCH($A16,'1_buildings_total'!$A:$A,0),MATCH(E$1,'1_buildings_total'!$1:$1,0))</f>
        <v>5357.1443076923069</v>
      </c>
      <c r="F16">
        <f>INDEX('2_land_use'!$1:$343,MATCH($A16,'2_land_use'!$A:$A,0),MATCH(F$1,'2_land_use'!$1:$1,0))</f>
        <v>15.8029984682228</v>
      </c>
      <c r="G16">
        <f>INDEX('4_number_of_transport'!$1:$343,MATCH($A16,'4_number_of_transport'!$A:$A,0),MATCH(G$1,'4_number_of_transport'!$1:$1,0))</f>
        <v>2105</v>
      </c>
      <c r="H16">
        <f>INDEX('4_number_of_transport'!$1:$343,MATCH($A16,'4_number_of_transport'!$A:$A,0),MATCH(H$1,'4_number_of_transport'!$1:$1,0))</f>
        <v>139</v>
      </c>
      <c r="I16">
        <f>INDEX('4_number_of_transport'!$1:$343,MATCH($A16,'4_number_of_transport'!$A:$A,0),MATCH(I$1,'4_number_of_transport'!$1:$1,0))</f>
        <v>18</v>
      </c>
      <c r="J16">
        <f>INDEX('2_land_use'!$1:$343,MATCH($A16,'2_land_use'!$A:$A,0),MATCH(J$1,'2_land_use'!$1:$1,0))</f>
        <v>7.9027909013034709E-3</v>
      </c>
      <c r="K16">
        <f>INDEX('2_land_use'!$1:$343,MATCH($A16,'2_land_use'!$A:$A,0),MATCH(K$1,'2_land_use'!$1:$1,0))</f>
        <v>7.0851269800719188E-4</v>
      </c>
      <c r="L16">
        <f>INDEX('7_biomass'!$1:$343,MATCH($A16,'7_biomass'!$A:$A,0),MATCH(L$1,'7_biomass'!$1:$1,0))</f>
        <v>0.19983988374014353</v>
      </c>
      <c r="M16">
        <f>INDEX('7_biomass'!$1:$343,MATCH($A16,'7_biomass'!$A:$A,0),MATCH(M$1,'7_biomass'!$1:$1,0))</f>
        <v>0.24417787021031734</v>
      </c>
      <c r="N16">
        <f>INDEX('7_biomass'!$1:$343,MATCH($A16,'7_biomass'!$A:$A,0),MATCH(N$1,'7_biomass'!$1:$1,0))</f>
        <v>5.518979308319219E-2</v>
      </c>
      <c r="O16">
        <f>INDEX('4_number_of_transport'!$1:$343,MATCH($A16,'4_number_of_transport'!$A:$A,0),MATCH(O$1,'4_number_of_transport'!$1:$1,0))</f>
        <v>39013</v>
      </c>
      <c r="P16">
        <f>INDEX('2_land_use'!$1:$343,MATCH($A16,'2_land_use'!$A:$A,0),MATCH(P$1,'2_land_use'!$1:$1,0))</f>
        <v>41.113715183294232</v>
      </c>
      <c r="Q16">
        <f>INDEX('2_land_use'!$1:$343,MATCH($A16,'2_land_use'!$A:$A,0),MATCH(Q$1,'2_land_use'!$1:$1,0))</f>
        <v>0</v>
      </c>
      <c r="R16">
        <f>INDEX('6_roof_surface'!$1:$343,MATCH($A16,'6_roof_surface'!$A:$A,0),MATCH(R$1,'6_roof_surface'!$1:$1,0))</f>
        <v>1.906968</v>
      </c>
      <c r="S16">
        <f>INDEX('6_roof_surface'!$1:$343,MATCH($A16,'6_roof_surface'!$A:$A,0),MATCH(S$1,'6_roof_surface'!$1:$1,0))</f>
        <v>2.3052079999999999</v>
      </c>
    </row>
    <row r="17" spans="1:19" x14ac:dyDescent="0.2">
      <c r="A17" t="s">
        <v>17</v>
      </c>
      <c r="B17" t="str">
        <f>INDEX(CBS_gemeenten_alfabetisch_2023!$B:$B,MATCH($A17,CBS_gemeenten_alfabetisch_2023!$A:$A,0))</f>
        <v>Amsterdam</v>
      </c>
      <c r="C17">
        <f>INDEX('5_train_share_nl'!$1:$343,MATCH($A17,'5_train_share_nl'!$A:$A,0),MATCH(C$1,'5_train_share_nl'!$1:$1,0))</f>
        <v>0.15669650370141586</v>
      </c>
      <c r="D17">
        <f>INDEX('3_has_tram_metro'!$1:$343,MATCH($A17,'3_has_tram_metro'!$A:$A,0),MATCH(D$1,'3_has_tram_metro'!$1:$1,0))</f>
        <v>1</v>
      </c>
      <c r="E17">
        <f>INDEX('1_buildings_total'!$1:$343,MATCH($A17,'1_buildings_total'!$A:$A,0),MATCH(E$1,'1_buildings_total'!$1:$1,0))</f>
        <v>51828.123076923068</v>
      </c>
      <c r="F17">
        <f>INDEX('2_land_use'!$1:$343,MATCH($A17,'2_land_use'!$A:$A,0),MATCH(F$1,'2_land_use'!$1:$1,0))</f>
        <v>44.152688492926117</v>
      </c>
      <c r="G17">
        <f>INDEX('4_number_of_transport'!$1:$343,MATCH($A17,'4_number_of_transport'!$A:$A,0),MATCH(G$1,'4_number_of_transport'!$1:$1,0))</f>
        <v>21249</v>
      </c>
      <c r="H17">
        <f>INDEX('4_number_of_transport'!$1:$343,MATCH($A17,'4_number_of_transport'!$A:$A,0),MATCH(H$1,'4_number_of_transport'!$1:$1,0))</f>
        <v>978</v>
      </c>
      <c r="I17">
        <f>INDEX('4_number_of_transport'!$1:$343,MATCH($A17,'4_number_of_transport'!$A:$A,0),MATCH(I$1,'4_number_of_transport'!$1:$1,0))</f>
        <v>301</v>
      </c>
      <c r="J17">
        <f>INDEX('2_land_use'!$1:$343,MATCH($A17,'2_land_use'!$A:$A,0),MATCH(J$1,'2_land_use'!$1:$1,0))</f>
        <v>1.8033875056239651E-3</v>
      </c>
      <c r="K17">
        <f>INDEX('2_land_use'!$1:$343,MATCH($A17,'2_land_use'!$A:$A,0),MATCH(K$1,'2_land_use'!$1:$1,0))</f>
        <v>1.9795446105559372E-3</v>
      </c>
      <c r="L17">
        <f>INDEX('7_biomass'!$1:$343,MATCH($A17,'7_biomass'!$A:$A,0),MATCH(L$1,'7_biomass'!$1:$1,0))</f>
        <v>1.7264929622671312</v>
      </c>
      <c r="M17">
        <f>INDEX('7_biomass'!$1:$343,MATCH($A17,'7_biomass'!$A:$A,0),MATCH(M$1,'7_biomass'!$1:$1,0))</f>
        <v>2.1943388574166653</v>
      </c>
      <c r="N17">
        <f>INDEX('7_biomass'!$1:$343,MATCH($A17,'7_biomass'!$A:$A,0),MATCH(N$1,'7_biomass'!$1:$1,0))</f>
        <v>0.52430546454167803</v>
      </c>
      <c r="O17">
        <f>INDEX('4_number_of_transport'!$1:$343,MATCH($A17,'4_number_of_transport'!$A:$A,0),MATCH(O$1,'4_number_of_transport'!$1:$1,0))</f>
        <v>249771</v>
      </c>
      <c r="P17">
        <f>INDEX('2_land_use'!$1:$343,MATCH($A17,'2_land_use'!$A:$A,0),MATCH(P$1,'2_land_use'!$1:$1,0))</f>
        <v>188.12228878629364</v>
      </c>
      <c r="Q17">
        <f>INDEX('2_land_use'!$1:$343,MATCH($A17,'2_land_use'!$A:$A,0),MATCH(Q$1,'2_land_use'!$1:$1,0))</f>
        <v>0</v>
      </c>
      <c r="R17">
        <f>INDEX('6_roof_surface'!$1:$343,MATCH($A17,'6_roof_surface'!$A:$A,0),MATCH(R$1,'6_roof_surface'!$1:$1,0))</f>
        <v>12.090522</v>
      </c>
      <c r="S17">
        <f>INDEX('6_roof_surface'!$1:$343,MATCH($A17,'6_roof_surface'!$A:$A,0),MATCH(S$1,'6_roof_surface'!$1:$1,0))</f>
        <v>13.429494999999999</v>
      </c>
    </row>
    <row r="18" spans="1:19" x14ac:dyDescent="0.2">
      <c r="A18" t="s">
        <v>18</v>
      </c>
      <c r="B18" t="str">
        <f>INDEX(CBS_gemeenten_alfabetisch_2023!$B:$B,MATCH($A18,CBS_gemeenten_alfabetisch_2023!$A:$A,0))</f>
        <v>Apeldoorn</v>
      </c>
      <c r="C18">
        <f>INDEX('5_train_share_nl'!$1:$343,MATCH($A18,'5_train_share_nl'!$A:$A,0),MATCH(C$1,'5_train_share_nl'!$1:$1,0))</f>
        <v>5.6601270697339218E-3</v>
      </c>
      <c r="D18">
        <f>INDEX('3_has_tram_metro'!$1:$343,MATCH($A18,'3_has_tram_metro'!$A:$A,0),MATCH(D$1,'3_has_tram_metro'!$1:$1,0))</f>
        <v>0</v>
      </c>
      <c r="E18">
        <f>INDEX('1_buildings_total'!$1:$343,MATCH($A18,'1_buildings_total'!$A:$A,0),MATCH(E$1,'1_buildings_total'!$1:$1,0))</f>
        <v>11557.444615384618</v>
      </c>
      <c r="F18">
        <f>INDEX('2_land_use'!$1:$343,MATCH($A18,'2_land_use'!$A:$A,0),MATCH(F$1,'2_land_use'!$1:$1,0))</f>
        <v>82.736473716488405</v>
      </c>
      <c r="G18">
        <f>INDEX('4_number_of_transport'!$1:$343,MATCH($A18,'4_number_of_transport'!$A:$A,0),MATCH(G$1,'4_number_of_transport'!$1:$1,0))</f>
        <v>8563</v>
      </c>
      <c r="H18">
        <f>INDEX('4_number_of_transport'!$1:$343,MATCH($A18,'4_number_of_transport'!$A:$A,0),MATCH(H$1,'4_number_of_transport'!$1:$1,0))</f>
        <v>961</v>
      </c>
      <c r="I18">
        <f>INDEX('4_number_of_transport'!$1:$343,MATCH($A18,'4_number_of_transport'!$A:$A,0),MATCH(I$1,'4_number_of_transport'!$1:$1,0))</f>
        <v>55</v>
      </c>
      <c r="J18">
        <f>INDEX('2_land_use'!$1:$343,MATCH($A18,'2_land_use'!$A:$A,0),MATCH(J$1,'2_land_use'!$1:$1,0))</f>
        <v>3.3438636068200796E-4</v>
      </c>
      <c r="K18">
        <f>INDEX('2_land_use'!$1:$343,MATCH($A18,'2_land_use'!$A:$A,0),MATCH(K$1,'2_land_use'!$1:$1,0))</f>
        <v>3.7094126367439102E-3</v>
      </c>
      <c r="L18">
        <f>INDEX('7_biomass'!$1:$343,MATCH($A18,'7_biomass'!$A:$A,0),MATCH(L$1,'7_biomass'!$1:$1,0))</f>
        <v>0.53322459775908848</v>
      </c>
      <c r="M18">
        <f>INDEX('7_biomass'!$1:$343,MATCH($A18,'7_biomass'!$A:$A,0),MATCH(M$1,'7_biomass'!$1:$1,0))</f>
        <v>0.60985319821425577</v>
      </c>
      <c r="N18">
        <f>INDEX('7_biomass'!$1:$343,MATCH($A18,'7_biomass'!$A:$A,0),MATCH(N$1,'7_biomass'!$1:$1,0))</f>
        <v>9.8695545227758807E-2</v>
      </c>
      <c r="O18">
        <f>INDEX('4_number_of_transport'!$1:$343,MATCH($A18,'4_number_of_transport'!$A:$A,0),MATCH(O$1,'4_number_of_transport'!$1:$1,0))</f>
        <v>84942</v>
      </c>
      <c r="P18">
        <f>INDEX('2_land_use'!$1:$343,MATCH($A18,'2_land_use'!$A:$A,0),MATCH(P$1,'2_land_use'!$1:$1,0))</f>
        <v>339.86101313860593</v>
      </c>
      <c r="Q18">
        <f>INDEX('2_land_use'!$1:$343,MATCH($A18,'2_land_use'!$A:$A,0),MATCH(Q$1,'2_land_use'!$1:$1,0))</f>
        <v>0</v>
      </c>
      <c r="R18">
        <f>INDEX('6_roof_surface'!$1:$343,MATCH($A18,'6_roof_surface'!$A:$A,0),MATCH(R$1,'6_roof_surface'!$1:$1,0))</f>
        <v>5.109693</v>
      </c>
      <c r="S18">
        <f>INDEX('6_roof_surface'!$1:$343,MATCH($A18,'6_roof_surface'!$A:$A,0),MATCH(S$1,'6_roof_surface'!$1:$1,0))</f>
        <v>5.378241</v>
      </c>
    </row>
    <row r="19" spans="1:19" x14ac:dyDescent="0.2">
      <c r="A19" t="s">
        <v>19</v>
      </c>
      <c r="B19" t="str">
        <f>INDEX(CBS_gemeenten_alfabetisch_2023!$B:$B,MATCH($A19,CBS_gemeenten_alfabetisch_2023!$A:$A,0))</f>
        <v>Arnhem</v>
      </c>
      <c r="C19">
        <f>INDEX('5_train_share_nl'!$1:$343,MATCH($A19,'5_train_share_nl'!$A:$A,0),MATCH(C$1,'5_train_share_nl'!$1:$1,0))</f>
        <v>2.0056743823219033E-2</v>
      </c>
      <c r="D19">
        <f>INDEX('3_has_tram_metro'!$1:$343,MATCH($A19,'3_has_tram_metro'!$A:$A,0),MATCH(D$1,'3_has_tram_metro'!$1:$1,0))</f>
        <v>0</v>
      </c>
      <c r="E19">
        <f>INDEX('1_buildings_total'!$1:$343,MATCH($A19,'1_buildings_total'!$A:$A,0),MATCH(E$1,'1_buildings_total'!$1:$1,0))</f>
        <v>11445.258846153842</v>
      </c>
      <c r="F19">
        <f>INDEX('2_land_use'!$1:$343,MATCH($A19,'2_land_use'!$A:$A,0),MATCH(F$1,'2_land_use'!$1:$1,0))</f>
        <v>15.721138042859431</v>
      </c>
      <c r="G19">
        <f>INDEX('4_number_of_transport'!$1:$343,MATCH($A19,'4_number_of_transport'!$A:$A,0),MATCH(G$1,'4_number_of_transport'!$1:$1,0))</f>
        <v>4725</v>
      </c>
      <c r="H19">
        <f>INDEX('4_number_of_transport'!$1:$343,MATCH($A19,'4_number_of_transport'!$A:$A,0),MATCH(H$1,'4_number_of_transport'!$1:$1,0))</f>
        <v>607</v>
      </c>
      <c r="I19">
        <f>INDEX('4_number_of_transport'!$1:$343,MATCH($A19,'4_number_of_transport'!$A:$A,0),MATCH(I$1,'4_number_of_transport'!$1:$1,0))</f>
        <v>4</v>
      </c>
      <c r="J19">
        <f>INDEX('2_land_use'!$1:$343,MATCH($A19,'2_land_use'!$A:$A,0),MATCH(J$1,'2_land_use'!$1:$1,0))</f>
        <v>8.9847798190023593E-5</v>
      </c>
      <c r="K19">
        <f>INDEX('2_land_use'!$1:$343,MATCH($A19,'2_land_use'!$A:$A,0),MATCH(K$1,'2_land_use'!$1:$1,0))</f>
        <v>7.0484256218133296E-4</v>
      </c>
      <c r="L19">
        <f>INDEX('7_biomass'!$1:$343,MATCH($A19,'7_biomass'!$A:$A,0),MATCH(L$1,'7_biomass'!$1:$1,0))</f>
        <v>0.33621994954151807</v>
      </c>
      <c r="M19">
        <f>INDEX('7_biomass'!$1:$343,MATCH($A19,'7_biomass'!$A:$A,0),MATCH(M$1,'7_biomass'!$1:$1,0))</f>
        <v>0.46065659643044077</v>
      </c>
      <c r="N19">
        <f>INDEX('7_biomass'!$1:$343,MATCH($A19,'7_biomass'!$A:$A,0),MATCH(N$1,'7_biomass'!$1:$1,0))</f>
        <v>9.6763495402745592E-2</v>
      </c>
      <c r="O19">
        <f>INDEX('4_number_of_transport'!$1:$343,MATCH($A19,'4_number_of_transport'!$A:$A,0),MATCH(O$1,'4_number_of_transport'!$1:$1,0))</f>
        <v>69313</v>
      </c>
      <c r="P19">
        <f>INDEX('2_land_use'!$1:$343,MATCH($A19,'2_land_use'!$A:$A,0),MATCH(P$1,'2_land_use'!$1:$1,0))</f>
        <v>97.739964257544329</v>
      </c>
      <c r="Q19">
        <f>INDEX('2_land_use'!$1:$343,MATCH($A19,'2_land_use'!$A:$A,0),MATCH(Q$1,'2_land_use'!$1:$1,0))</f>
        <v>0</v>
      </c>
      <c r="R19">
        <f>INDEX('6_roof_surface'!$1:$343,MATCH($A19,'6_roof_surface'!$A:$A,0),MATCH(R$1,'6_roof_surface'!$1:$1,0))</f>
        <v>3.7515640000000001</v>
      </c>
      <c r="S19">
        <f>INDEX('6_roof_surface'!$1:$343,MATCH($A19,'6_roof_surface'!$A:$A,0),MATCH(S$1,'6_roof_surface'!$1:$1,0))</f>
        <v>3.0197189999999998</v>
      </c>
    </row>
    <row r="20" spans="1:19" x14ac:dyDescent="0.2">
      <c r="A20" t="s">
        <v>20</v>
      </c>
      <c r="B20" t="str">
        <f>INDEX(CBS_gemeenten_alfabetisch_2023!$B:$B,MATCH($A20,CBS_gemeenten_alfabetisch_2023!$A:$A,0))</f>
        <v>Assen</v>
      </c>
      <c r="C20">
        <f>INDEX('5_train_share_nl'!$1:$343,MATCH($A20,'5_train_share_nl'!$A:$A,0),MATCH(C$1,'5_train_share_nl'!$1:$1,0))</f>
        <v>2.9888512048657926E-3</v>
      </c>
      <c r="D20">
        <f>INDEX('3_has_tram_metro'!$1:$343,MATCH($A20,'3_has_tram_metro'!$A:$A,0),MATCH(D$1,'3_has_tram_metro'!$1:$1,0))</f>
        <v>0</v>
      </c>
      <c r="E20">
        <f>INDEX('1_buildings_total'!$1:$343,MATCH($A20,'1_buildings_total'!$A:$A,0),MATCH(E$1,'1_buildings_total'!$1:$1,0))</f>
        <v>4709.59476923077</v>
      </c>
      <c r="F20">
        <f>INDEX('2_land_use'!$1:$343,MATCH($A20,'2_land_use'!$A:$A,0),MATCH(F$1,'2_land_use'!$1:$1,0))</f>
        <v>39.647122560302755</v>
      </c>
      <c r="G20">
        <f>INDEX('4_number_of_transport'!$1:$343,MATCH($A20,'4_number_of_transport'!$A:$A,0),MATCH(G$1,'4_number_of_transport'!$1:$1,0))</f>
        <v>2659</v>
      </c>
      <c r="H20">
        <f>INDEX('4_number_of_transport'!$1:$343,MATCH($A20,'4_number_of_transport'!$A:$A,0),MATCH(H$1,'4_number_of_transport'!$1:$1,0))</f>
        <v>180</v>
      </c>
      <c r="I20">
        <f>INDEX('4_number_of_transport'!$1:$343,MATCH($A20,'4_number_of_transport'!$A:$A,0),MATCH(I$1,'4_number_of_transport'!$1:$1,0))</f>
        <v>48</v>
      </c>
      <c r="J20">
        <f>INDEX('2_land_use'!$1:$343,MATCH($A20,'2_land_use'!$A:$A,0),MATCH(J$1,'2_land_use'!$1:$1,0))</f>
        <v>0</v>
      </c>
      <c r="K20">
        <f>INDEX('2_land_use'!$1:$343,MATCH($A20,'2_land_use'!$A:$A,0),MATCH(K$1,'2_land_use'!$1:$1,0))</f>
        <v>1.7775417639827788E-3</v>
      </c>
      <c r="L20">
        <f>INDEX('7_biomass'!$1:$343,MATCH($A20,'7_biomass'!$A:$A,0),MATCH(L$1,'7_biomass'!$1:$1,0))</f>
        <v>0.17628846503976092</v>
      </c>
      <c r="M20">
        <f>INDEX('7_biomass'!$1:$343,MATCH($A20,'7_biomass'!$A:$A,0),MATCH(M$1,'7_biomass'!$1:$1,0))</f>
        <v>0.20338575694574926</v>
      </c>
      <c r="N20">
        <f>INDEX('7_biomass'!$1:$343,MATCH($A20,'7_biomass'!$A:$A,0),MATCH(N$1,'7_biomass'!$1:$1,0))</f>
        <v>4.1291793162696128E-2</v>
      </c>
      <c r="O20">
        <f>INDEX('4_number_of_transport'!$1:$343,MATCH($A20,'4_number_of_transport'!$A:$A,0),MATCH(O$1,'4_number_of_transport'!$1:$1,0))</f>
        <v>34450</v>
      </c>
      <c r="P20">
        <f>INDEX('2_land_use'!$1:$343,MATCH($A20,'2_land_use'!$A:$A,0),MATCH(P$1,'2_land_use'!$1:$1,0))</f>
        <v>81.877477601711831</v>
      </c>
      <c r="Q20">
        <f>INDEX('2_land_use'!$1:$343,MATCH($A20,'2_land_use'!$A:$A,0),MATCH(Q$1,'2_land_use'!$1:$1,0))</f>
        <v>0</v>
      </c>
      <c r="R20">
        <f>INDEX('6_roof_surface'!$1:$343,MATCH($A20,'6_roof_surface'!$A:$A,0),MATCH(R$1,'6_roof_surface'!$1:$1,0))</f>
        <v>2.2678639999999999</v>
      </c>
      <c r="S20">
        <f>INDEX('6_roof_surface'!$1:$343,MATCH($A20,'6_roof_surface'!$A:$A,0),MATCH(S$1,'6_roof_surface'!$1:$1,0))</f>
        <v>1.742116</v>
      </c>
    </row>
    <row r="21" spans="1:19" x14ac:dyDescent="0.2">
      <c r="A21" t="s">
        <v>21</v>
      </c>
      <c r="B21" t="str">
        <f>INDEX(CBS_gemeenten_alfabetisch_2023!$B:$B,MATCH($A21,CBS_gemeenten_alfabetisch_2023!$A:$A,0))</f>
        <v>Asten</v>
      </c>
      <c r="C21">
        <f>INDEX('5_train_share_nl'!$1:$343,MATCH($A21,'5_train_share_nl'!$A:$A,0),MATCH(C$1,'5_train_share_nl'!$1:$1,0))</f>
        <v>0</v>
      </c>
      <c r="D21">
        <f>INDEX('3_has_tram_metro'!$1:$343,MATCH($A21,'3_has_tram_metro'!$A:$A,0),MATCH(D$1,'3_has_tram_metro'!$1:$1,0))</f>
        <v>0</v>
      </c>
      <c r="E21">
        <f>INDEX('1_buildings_total'!$1:$343,MATCH($A21,'1_buildings_total'!$A:$A,0),MATCH(E$1,'1_buildings_total'!$1:$1,0))</f>
        <v>2627.2494615384626</v>
      </c>
      <c r="F21">
        <f>INDEX('2_land_use'!$1:$343,MATCH($A21,'2_land_use'!$A:$A,0),MATCH(F$1,'2_land_use'!$1:$1,0))</f>
        <v>45.879823398899745</v>
      </c>
      <c r="G21">
        <f>INDEX('4_number_of_transport'!$1:$343,MATCH($A21,'4_number_of_transport'!$A:$A,0),MATCH(G$1,'4_number_of_transport'!$1:$1,0))</f>
        <v>1488</v>
      </c>
      <c r="H21">
        <f>INDEX('4_number_of_transport'!$1:$343,MATCH($A21,'4_number_of_transport'!$A:$A,0),MATCH(H$1,'4_number_of_transport'!$1:$1,0))</f>
        <v>103</v>
      </c>
      <c r="I21">
        <f>INDEX('4_number_of_transport'!$1:$343,MATCH($A21,'4_number_of_transport'!$A:$A,0),MATCH(I$1,'4_number_of_transport'!$1:$1,0))</f>
        <v>2</v>
      </c>
      <c r="J21">
        <f>INDEX('2_land_use'!$1:$343,MATCH($A21,'2_land_use'!$A:$A,0),MATCH(J$1,'2_land_use'!$1:$1,0))</f>
        <v>9.790721306175719E-3</v>
      </c>
      <c r="K21">
        <f>INDEX('2_land_use'!$1:$343,MATCH($A21,'2_land_use'!$A:$A,0),MATCH(K$1,'2_land_use'!$1:$1,0))</f>
        <v>2.0569790932912502E-3</v>
      </c>
      <c r="L21">
        <f>INDEX('7_biomass'!$1:$343,MATCH($A21,'7_biomass'!$A:$A,0),MATCH(L$1,'7_biomass'!$1:$1,0))</f>
        <v>0.24176476529686255</v>
      </c>
      <c r="M21">
        <f>INDEX('7_biomass'!$1:$343,MATCH($A21,'7_biomass'!$A:$A,0),MATCH(M$1,'7_biomass'!$1:$1,0))</f>
        <v>0.15238122903576123</v>
      </c>
      <c r="N21">
        <f>INDEX('7_biomass'!$1:$343,MATCH($A21,'7_biomass'!$A:$A,0),MATCH(N$1,'7_biomass'!$1:$1,0))</f>
        <v>1.0152375023890239E-2</v>
      </c>
      <c r="O21">
        <f>INDEX('4_number_of_transport'!$1:$343,MATCH($A21,'4_number_of_transport'!$A:$A,0),MATCH(O$1,'4_number_of_transport'!$1:$1,0))</f>
        <v>9591</v>
      </c>
      <c r="P21">
        <f>INDEX('2_land_use'!$1:$343,MATCH($A21,'2_land_use'!$A:$A,0),MATCH(P$1,'2_land_use'!$1:$1,0))</f>
        <v>70.211320655465073</v>
      </c>
      <c r="Q21">
        <f>INDEX('2_land_use'!$1:$343,MATCH($A21,'2_land_use'!$A:$A,0),MATCH(Q$1,'2_land_use'!$1:$1,0))</f>
        <v>0</v>
      </c>
      <c r="R21">
        <f>INDEX('6_roof_surface'!$1:$343,MATCH($A21,'6_roof_surface'!$A:$A,0),MATCH(R$1,'6_roof_surface'!$1:$1,0))</f>
        <v>0.78237999999999996</v>
      </c>
      <c r="S21">
        <f>INDEX('6_roof_surface'!$1:$343,MATCH($A21,'6_roof_surface'!$A:$A,0),MATCH(S$1,'6_roof_surface'!$1:$1,0))</f>
        <v>2.6875439999999999</v>
      </c>
    </row>
    <row r="22" spans="1:19" x14ac:dyDescent="0.2">
      <c r="A22" t="s">
        <v>22</v>
      </c>
      <c r="B22" t="str">
        <f>INDEX(CBS_gemeenten_alfabetisch_2023!$B:$B,MATCH($A22,CBS_gemeenten_alfabetisch_2023!$A:$A,0))</f>
        <v>Baarle-Nassau</v>
      </c>
      <c r="C22">
        <f>INDEX('5_train_share_nl'!$1:$343,MATCH($A22,'5_train_share_nl'!$A:$A,0),MATCH(C$1,'5_train_share_nl'!$1:$1,0))</f>
        <v>0</v>
      </c>
      <c r="D22">
        <f>INDEX('3_has_tram_metro'!$1:$343,MATCH($A22,'3_has_tram_metro'!$A:$A,0),MATCH(D$1,'3_has_tram_metro'!$1:$1,0))</f>
        <v>0</v>
      </c>
      <c r="E22">
        <f>INDEX('1_buildings_total'!$1:$343,MATCH($A22,'1_buildings_total'!$A:$A,0),MATCH(E$1,'1_buildings_total'!$1:$1,0))</f>
        <v>1836.3848461538466</v>
      </c>
      <c r="F22">
        <f>INDEX('2_land_use'!$1:$343,MATCH($A22,'2_land_use'!$A:$A,0),MATCH(F$1,'2_land_use'!$1:$1,0))</f>
        <v>62.805504733055677</v>
      </c>
      <c r="G22">
        <f>INDEX('4_number_of_transport'!$1:$343,MATCH($A22,'4_number_of_transport'!$A:$A,0),MATCH(G$1,'4_number_of_transport'!$1:$1,0))</f>
        <v>694</v>
      </c>
      <c r="H22">
        <f>INDEX('4_number_of_transport'!$1:$343,MATCH($A22,'4_number_of_transport'!$A:$A,0),MATCH(H$1,'4_number_of_transport'!$1:$1,0))</f>
        <v>41</v>
      </c>
      <c r="I22">
        <f>INDEX('4_number_of_transport'!$1:$343,MATCH($A22,'4_number_of_transport'!$A:$A,0),MATCH(I$1,'4_number_of_transport'!$1:$1,0))</f>
        <v>4</v>
      </c>
      <c r="J22">
        <f>INDEX('2_land_use'!$1:$343,MATCH($A22,'2_land_use'!$A:$A,0),MATCH(J$1,'2_land_use'!$1:$1,0))</f>
        <v>2.9409068778588483E-4</v>
      </c>
      <c r="K22">
        <f>INDEX('2_land_use'!$1:$343,MATCH($A22,'2_land_use'!$A:$A,0),MATCH(K$1,'2_land_use'!$1:$1,0))</f>
        <v>2.8158262305473108E-3</v>
      </c>
      <c r="L22">
        <f>INDEX('7_biomass'!$1:$343,MATCH($A22,'7_biomass'!$A:$A,0),MATCH(L$1,'7_biomass'!$1:$1,0))</f>
        <v>0.20956700429281172</v>
      </c>
      <c r="M22">
        <f>INDEX('7_biomass'!$1:$343,MATCH($A22,'7_biomass'!$A:$A,0),MATCH(M$1,'7_biomass'!$1:$1,0))</f>
        <v>6.7345904311133312E-2</v>
      </c>
      <c r="N22">
        <f>INDEX('7_biomass'!$1:$343,MATCH($A22,'7_biomass'!$A:$A,0),MATCH(N$1,'7_biomass'!$1:$1,0))</f>
        <v>4.1599827521589744E-3</v>
      </c>
      <c r="O22">
        <f>INDEX('4_number_of_transport'!$1:$343,MATCH($A22,'4_number_of_transport'!$A:$A,0),MATCH(O$1,'4_number_of_transport'!$1:$1,0))</f>
        <v>4372</v>
      </c>
      <c r="P22">
        <f>INDEX('2_land_use'!$1:$343,MATCH($A22,'2_land_use'!$A:$A,0),MATCH(P$1,'2_land_use'!$1:$1,0))</f>
        <v>76.124566310967509</v>
      </c>
      <c r="Q22">
        <f>INDEX('2_land_use'!$1:$343,MATCH($A22,'2_land_use'!$A:$A,0),MATCH(Q$1,'2_land_use'!$1:$1,0))</f>
        <v>0</v>
      </c>
      <c r="R22">
        <f>INDEX('6_roof_surface'!$1:$343,MATCH($A22,'6_roof_surface'!$A:$A,0),MATCH(R$1,'6_roof_surface'!$1:$1,0))</f>
        <v>0.38116699999999998</v>
      </c>
      <c r="S22">
        <f>INDEX('6_roof_surface'!$1:$343,MATCH($A22,'6_roof_surface'!$A:$A,0),MATCH(S$1,'6_roof_surface'!$1:$1,0))</f>
        <v>1.1200889999999999</v>
      </c>
    </row>
    <row r="23" spans="1:19" x14ac:dyDescent="0.2">
      <c r="A23" t="s">
        <v>23</v>
      </c>
      <c r="B23" t="str">
        <f>INDEX(CBS_gemeenten_alfabetisch_2023!$B:$B,MATCH($A23,CBS_gemeenten_alfabetisch_2023!$A:$A,0))</f>
        <v>Baarn</v>
      </c>
      <c r="C23">
        <f>INDEX('5_train_share_nl'!$1:$343,MATCH($A23,'5_train_share_nl'!$A:$A,0),MATCH(C$1,'5_train_share_nl'!$1:$1,0))</f>
        <v>1.6175751420080503E-3</v>
      </c>
      <c r="D23">
        <f>INDEX('3_has_tram_metro'!$1:$343,MATCH($A23,'3_has_tram_metro'!$A:$A,0),MATCH(D$1,'3_has_tram_metro'!$1:$1,0))</f>
        <v>0</v>
      </c>
      <c r="E23">
        <f>INDEX('1_buildings_total'!$1:$343,MATCH($A23,'1_buildings_total'!$A:$A,0),MATCH(E$1,'1_buildings_total'!$1:$1,0))</f>
        <v>1914.7634615384613</v>
      </c>
      <c r="F23">
        <f>INDEX('2_land_use'!$1:$343,MATCH($A23,'2_land_use'!$A:$A,0),MATCH(F$1,'2_land_use'!$1:$1,0))</f>
        <v>7.6360630522261026</v>
      </c>
      <c r="G23">
        <f>INDEX('4_number_of_transport'!$1:$343,MATCH($A23,'4_number_of_transport'!$A:$A,0),MATCH(G$1,'4_number_of_transport'!$1:$1,0))</f>
        <v>935</v>
      </c>
      <c r="H23">
        <f>INDEX('4_number_of_transport'!$1:$343,MATCH($A23,'4_number_of_transport'!$A:$A,0),MATCH(H$1,'4_number_of_transport'!$1:$1,0))</f>
        <v>24</v>
      </c>
      <c r="I23">
        <f>INDEX('4_number_of_transport'!$1:$343,MATCH($A23,'4_number_of_transport'!$A:$A,0),MATCH(I$1,'4_number_of_transport'!$1:$1,0))</f>
        <v>8</v>
      </c>
      <c r="J23">
        <f>INDEX('2_land_use'!$1:$343,MATCH($A23,'2_land_use'!$A:$A,0),MATCH(J$1,'2_land_use'!$1:$1,0))</f>
        <v>0</v>
      </c>
      <c r="K23">
        <f>INDEX('2_land_use'!$1:$343,MATCH($A23,'2_land_use'!$A:$A,0),MATCH(K$1,'2_land_use'!$1:$1,0))</f>
        <v>3.4235576534192896E-4</v>
      </c>
      <c r="L23">
        <f>INDEX('7_biomass'!$1:$343,MATCH($A23,'7_biomass'!$A:$A,0),MATCH(L$1,'7_biomass'!$1:$1,0))</f>
        <v>7.250232798423524E-2</v>
      </c>
      <c r="M23">
        <f>INDEX('7_biomass'!$1:$343,MATCH($A23,'7_biomass'!$A:$A,0),MATCH(M$1,'7_biomass'!$1:$1,0))</f>
        <v>8.163535697695061E-2</v>
      </c>
      <c r="N23">
        <f>INDEX('7_biomass'!$1:$343,MATCH($A23,'7_biomass'!$A:$A,0),MATCH(N$1,'7_biomass'!$1:$1,0))</f>
        <v>1.5047508810095124E-2</v>
      </c>
      <c r="O23">
        <f>INDEX('4_number_of_transport'!$1:$343,MATCH($A23,'4_number_of_transport'!$A:$A,0),MATCH(O$1,'4_number_of_transport'!$1:$1,0))</f>
        <v>12562</v>
      </c>
      <c r="P23">
        <f>INDEX('2_land_use'!$1:$343,MATCH($A23,'2_land_use'!$A:$A,0),MATCH(P$1,'2_land_use'!$1:$1,0))</f>
        <v>32.540049408747294</v>
      </c>
      <c r="Q23">
        <f>INDEX('2_land_use'!$1:$343,MATCH($A23,'2_land_use'!$A:$A,0),MATCH(Q$1,'2_land_use'!$1:$1,0))</f>
        <v>0</v>
      </c>
      <c r="R23">
        <f>INDEX('6_roof_surface'!$1:$343,MATCH($A23,'6_roof_surface'!$A:$A,0),MATCH(R$1,'6_roof_surface'!$1:$1,0))</f>
        <v>0.76936099999999996</v>
      </c>
      <c r="S23">
        <f>INDEX('6_roof_surface'!$1:$343,MATCH($A23,'6_roof_surface'!$A:$A,0),MATCH(S$1,'6_roof_surface'!$1:$1,0))</f>
        <v>0.49923000000000001</v>
      </c>
    </row>
    <row r="24" spans="1:19" x14ac:dyDescent="0.2">
      <c r="A24" t="s">
        <v>24</v>
      </c>
      <c r="B24" t="str">
        <f>INDEX(CBS_gemeenten_alfabetisch_2023!$B:$B,MATCH($A24,CBS_gemeenten_alfabetisch_2023!$A:$A,0))</f>
        <v>Barendrecht</v>
      </c>
      <c r="C24">
        <f>INDEX('5_train_share_nl'!$1:$343,MATCH($A24,'5_train_share_nl'!$A:$A,0),MATCH(C$1,'5_train_share_nl'!$1:$1,0))</f>
        <v>2.0741391906580579E-3</v>
      </c>
      <c r="D24">
        <f>INDEX('3_has_tram_metro'!$1:$343,MATCH($A24,'3_has_tram_metro'!$A:$A,0),MATCH(D$1,'3_has_tram_metro'!$1:$1,0))</f>
        <v>1</v>
      </c>
      <c r="E24">
        <f>INDEX('1_buildings_total'!$1:$343,MATCH($A24,'1_buildings_total'!$A:$A,0),MATCH(E$1,'1_buildings_total'!$1:$1,0))</f>
        <v>1619.0913076923077</v>
      </c>
      <c r="F24">
        <f>INDEX('2_land_use'!$1:$343,MATCH($A24,'2_land_use'!$A:$A,0),MATCH(F$1,'2_land_use'!$1:$1,0))</f>
        <v>3.472410552611743</v>
      </c>
      <c r="G24">
        <f>INDEX('4_number_of_transport'!$1:$343,MATCH($A24,'4_number_of_transport'!$A:$A,0),MATCH(G$1,'4_number_of_transport'!$1:$1,0))</f>
        <v>2326</v>
      </c>
      <c r="H24">
        <f>INDEX('4_number_of_transport'!$1:$343,MATCH($A24,'4_number_of_transport'!$A:$A,0),MATCH(H$1,'4_number_of_transport'!$1:$1,0))</f>
        <v>276</v>
      </c>
      <c r="I24">
        <f>INDEX('4_number_of_transport'!$1:$343,MATCH($A24,'4_number_of_transport'!$A:$A,0),MATCH(I$1,'4_number_of_transport'!$1:$1,0))</f>
        <v>8</v>
      </c>
      <c r="J24">
        <f>INDEX('2_land_use'!$1:$343,MATCH($A24,'2_land_use'!$A:$A,0),MATCH(J$1,'2_land_use'!$1:$1,0))</f>
        <v>1.2320904253928188E-3</v>
      </c>
      <c r="K24">
        <f>INDEX('2_land_use'!$1:$343,MATCH($A24,'2_land_use'!$A:$A,0),MATCH(K$1,'2_land_use'!$1:$1,0))</f>
        <v>1.5568228865975892E-4</v>
      </c>
      <c r="L24">
        <f>INDEX('7_biomass'!$1:$343,MATCH($A24,'7_biomass'!$A:$A,0),MATCH(L$1,'7_biomass'!$1:$1,0))</f>
        <v>9.284525806733869E-2</v>
      </c>
      <c r="M24">
        <f>INDEX('7_biomass'!$1:$343,MATCH($A24,'7_biomass'!$A:$A,0),MATCH(M$1,'7_biomass'!$1:$1,0))</f>
        <v>0.13109559327452319</v>
      </c>
      <c r="N24">
        <f>INDEX('7_biomass'!$1:$343,MATCH($A24,'7_biomass'!$A:$A,0),MATCH(N$1,'7_biomass'!$1:$1,0))</f>
        <v>2.9571906016625352E-2</v>
      </c>
      <c r="O24">
        <f>INDEX('4_number_of_transport'!$1:$343,MATCH($A24,'4_number_of_transport'!$A:$A,0),MATCH(O$1,'4_number_of_transport'!$1:$1,0))</f>
        <v>24077</v>
      </c>
      <c r="P24">
        <f>INDEX('2_land_use'!$1:$343,MATCH($A24,'2_land_use'!$A:$A,0),MATCH(P$1,'2_land_use'!$1:$1,0))</f>
        <v>19.577332271842522</v>
      </c>
      <c r="Q24">
        <f>INDEX('2_land_use'!$1:$343,MATCH($A24,'2_land_use'!$A:$A,0),MATCH(Q$1,'2_land_use'!$1:$1,0))</f>
        <v>0</v>
      </c>
      <c r="R24">
        <f>INDEX('6_roof_surface'!$1:$343,MATCH($A24,'6_roof_surface'!$A:$A,0),MATCH(R$1,'6_roof_surface'!$1:$1,0))</f>
        <v>1.2563770000000001</v>
      </c>
      <c r="S24">
        <f>INDEX('6_roof_surface'!$1:$343,MATCH($A24,'6_roof_surface'!$A:$A,0),MATCH(S$1,'6_roof_surface'!$1:$1,0))</f>
        <v>1.2651110000000001</v>
      </c>
    </row>
    <row r="25" spans="1:19" x14ac:dyDescent="0.2">
      <c r="A25" t="s">
        <v>25</v>
      </c>
      <c r="B25" t="str">
        <f>INDEX(CBS_gemeenten_alfabetisch_2023!$B:$B,MATCH($A25,CBS_gemeenten_alfabetisch_2023!$A:$A,0))</f>
        <v>Barneveld</v>
      </c>
      <c r="C25">
        <f>INDEX('5_train_share_nl'!$1:$343,MATCH($A25,'5_train_share_nl'!$A:$A,0),MATCH(C$1,'5_train_share_nl'!$1:$1,0))</f>
        <v>1.8420953636772213E-3</v>
      </c>
      <c r="D25">
        <f>INDEX('3_has_tram_metro'!$1:$343,MATCH($A25,'3_has_tram_metro'!$A:$A,0),MATCH(D$1,'3_has_tram_metro'!$1:$1,0))</f>
        <v>0</v>
      </c>
      <c r="E25">
        <f>INDEX('1_buildings_total'!$1:$343,MATCH($A25,'1_buildings_total'!$A:$A,0),MATCH(E$1,'1_buildings_total'!$1:$1,0))</f>
        <v>5377.3594615384609</v>
      </c>
      <c r="F25">
        <f>INDEX('2_land_use'!$1:$343,MATCH($A25,'2_land_use'!$A:$A,0),MATCH(F$1,'2_land_use'!$1:$1,0))</f>
        <v>93.89116633491183</v>
      </c>
      <c r="G25">
        <f>INDEX('4_number_of_transport'!$1:$343,MATCH($A25,'4_number_of_transport'!$A:$A,0),MATCH(G$1,'4_number_of_transport'!$1:$1,0))</f>
        <v>5966</v>
      </c>
      <c r="H25">
        <f>INDEX('4_number_of_transport'!$1:$343,MATCH($A25,'4_number_of_transport'!$A:$A,0),MATCH(H$1,'4_number_of_transport'!$1:$1,0))</f>
        <v>396</v>
      </c>
      <c r="I25">
        <f>INDEX('4_number_of_transport'!$1:$343,MATCH($A25,'4_number_of_transport'!$A:$A,0),MATCH(I$1,'4_number_of_transport'!$1:$1,0))</f>
        <v>46</v>
      </c>
      <c r="J25">
        <f>INDEX('2_land_use'!$1:$343,MATCH($A25,'2_land_use'!$A:$A,0),MATCH(J$1,'2_land_use'!$1:$1,0))</f>
        <v>0</v>
      </c>
      <c r="K25">
        <f>INDEX('2_land_use'!$1:$343,MATCH($A25,'2_land_use'!$A:$A,0),MATCH(K$1,'2_land_use'!$1:$1,0))</f>
        <v>4.2095228771145713E-3</v>
      </c>
      <c r="L25">
        <f>INDEX('7_biomass'!$1:$343,MATCH($A25,'7_biomass'!$A:$A,0),MATCH(L$1,'7_biomass'!$1:$1,0))</f>
        <v>0.330408501156853</v>
      </c>
      <c r="M25">
        <f>INDEX('7_biomass'!$1:$343,MATCH($A25,'7_biomass'!$A:$A,0),MATCH(M$1,'7_biomass'!$1:$1,0))</f>
        <v>0.46339949661305863</v>
      </c>
      <c r="N25">
        <f>INDEX('7_biomass'!$1:$343,MATCH($A25,'7_biomass'!$A:$A,0),MATCH(N$1,'7_biomass'!$1:$1,0))</f>
        <v>3.5221025284855836E-2</v>
      </c>
      <c r="O25">
        <f>INDEX('4_number_of_transport'!$1:$343,MATCH($A25,'4_number_of_transport'!$A:$A,0),MATCH(O$1,'4_number_of_transport'!$1:$1,0))</f>
        <v>30757</v>
      </c>
      <c r="P25">
        <f>INDEX('2_land_use'!$1:$343,MATCH($A25,'2_land_use'!$A:$A,0),MATCH(P$1,'2_land_use'!$1:$1,0))</f>
        <v>175.83656621749662</v>
      </c>
      <c r="Q25">
        <f>INDEX('2_land_use'!$1:$343,MATCH($A25,'2_land_use'!$A:$A,0),MATCH(Q$1,'2_land_use'!$1:$1,0))</f>
        <v>0</v>
      </c>
      <c r="R25">
        <f>INDEX('6_roof_surface'!$1:$343,MATCH($A25,'6_roof_surface'!$A:$A,0),MATCH(R$1,'6_roof_surface'!$1:$1,0))</f>
        <v>2.0101010000000001</v>
      </c>
      <c r="S25">
        <f>INDEX('6_roof_surface'!$1:$343,MATCH($A25,'6_roof_surface'!$A:$A,0),MATCH(S$1,'6_roof_surface'!$1:$1,0))</f>
        <v>4.4180260000000002</v>
      </c>
    </row>
    <row r="26" spans="1:19" x14ac:dyDescent="0.2">
      <c r="A26" t="s">
        <v>26</v>
      </c>
      <c r="B26" t="str">
        <f>INDEX(CBS_gemeenten_alfabetisch_2023!$B:$B,MATCH($A26,CBS_gemeenten_alfabetisch_2023!$A:$A,0))</f>
        <v>Beek</v>
      </c>
      <c r="C26">
        <f>INDEX('5_train_share_nl'!$1:$343,MATCH($A26,'5_train_share_nl'!$A:$A,0),MATCH(C$1,'5_train_share_nl'!$1:$1,0))</f>
        <v>8.7432213306089961E-4</v>
      </c>
      <c r="D26">
        <f>INDEX('3_has_tram_metro'!$1:$343,MATCH($A26,'3_has_tram_metro'!$A:$A,0),MATCH(D$1,'3_has_tram_metro'!$1:$1,0))</f>
        <v>0</v>
      </c>
      <c r="E26">
        <f>INDEX('1_buildings_total'!$1:$343,MATCH($A26,'1_buildings_total'!$A:$A,0),MATCH(E$1,'1_buildings_total'!$1:$1,0))</f>
        <v>964.42346153846165</v>
      </c>
      <c r="F26">
        <f>INDEX('2_land_use'!$1:$343,MATCH($A26,'2_land_use'!$A:$A,0),MATCH(F$1,'2_land_use'!$1:$1,0))</f>
        <v>13.094854510543357</v>
      </c>
      <c r="G26">
        <f>INDEX('4_number_of_transport'!$1:$343,MATCH($A26,'4_number_of_transport'!$A:$A,0),MATCH(G$1,'4_number_of_transport'!$1:$1,0))</f>
        <v>811</v>
      </c>
      <c r="H26">
        <f>INDEX('4_number_of_transport'!$1:$343,MATCH($A26,'4_number_of_transport'!$A:$A,0),MATCH(H$1,'4_number_of_transport'!$1:$1,0))</f>
        <v>61</v>
      </c>
      <c r="I26">
        <f>INDEX('4_number_of_transport'!$1:$343,MATCH($A26,'4_number_of_transport'!$A:$A,0),MATCH(I$1,'4_number_of_transport'!$1:$1,0))</f>
        <v>1</v>
      </c>
      <c r="J26">
        <f>INDEX('2_land_use'!$1:$343,MATCH($A26,'2_land_use'!$A:$A,0),MATCH(J$1,'2_land_use'!$1:$1,0))</f>
        <v>0</v>
      </c>
      <c r="K26">
        <f>INDEX('2_land_use'!$1:$343,MATCH($A26,'2_land_use'!$A:$A,0),MATCH(K$1,'2_land_use'!$1:$1,0))</f>
        <v>5.8709558935495518E-4</v>
      </c>
      <c r="L26">
        <f>INDEX('7_biomass'!$1:$343,MATCH($A26,'7_biomass'!$A:$A,0),MATCH(L$1,'7_biomass'!$1:$1,0))</f>
        <v>4.6394811615945296E-2</v>
      </c>
      <c r="M26">
        <f>INDEX('7_biomass'!$1:$343,MATCH($A26,'7_biomass'!$A:$A,0),MATCH(M$1,'7_biomass'!$1:$1,0))</f>
        <v>4.5229136379027292E-2</v>
      </c>
      <c r="N26">
        <f>INDEX('7_biomass'!$1:$343,MATCH($A26,'7_biomass'!$A:$A,0),MATCH(N$1,'7_biomass'!$1:$1,0))</f>
        <v>9.677868447369696E-3</v>
      </c>
      <c r="O26">
        <f>INDEX('4_number_of_transport'!$1:$343,MATCH($A26,'4_number_of_transport'!$A:$A,0),MATCH(O$1,'4_number_of_transport'!$1:$1,0))</f>
        <v>9695</v>
      </c>
      <c r="P26">
        <f>INDEX('2_land_use'!$1:$343,MATCH($A26,'2_land_use'!$A:$A,0),MATCH(P$1,'2_land_use'!$1:$1,0))</f>
        <v>21.069002795312784</v>
      </c>
      <c r="Q26">
        <f>INDEX('2_land_use'!$1:$343,MATCH($A26,'2_land_use'!$A:$A,0),MATCH(Q$1,'2_land_use'!$1:$1,0))</f>
        <v>0</v>
      </c>
      <c r="R26">
        <f>INDEX('6_roof_surface'!$1:$343,MATCH($A26,'6_roof_surface'!$A:$A,0),MATCH(R$1,'6_roof_surface'!$1:$1,0))</f>
        <v>0.672705</v>
      </c>
      <c r="S26">
        <f>INDEX('6_roof_surface'!$1:$343,MATCH($A26,'6_roof_surface'!$A:$A,0),MATCH(S$1,'6_roof_surface'!$1:$1,0))</f>
        <v>0.60946400000000001</v>
      </c>
    </row>
    <row r="27" spans="1:19" x14ac:dyDescent="0.2">
      <c r="A27" t="s">
        <v>27</v>
      </c>
      <c r="B27" t="str">
        <f>INDEX(CBS_gemeenten_alfabetisch_2023!$B:$B,MATCH($A27,CBS_gemeenten_alfabetisch_2023!$A:$A,0))</f>
        <v>Beekdaelen</v>
      </c>
      <c r="C27">
        <f>INDEX('5_train_share_nl'!$1:$343,MATCH($A27,'5_train_share_nl'!$A:$A,0),MATCH(C$1,'5_train_share_nl'!$1:$1,0))</f>
        <v>2.9500452406266769E-4</v>
      </c>
      <c r="D27">
        <f>INDEX('3_has_tram_metro'!$1:$343,MATCH($A27,'3_has_tram_metro'!$A:$A,0),MATCH(D$1,'3_has_tram_metro'!$1:$1,0))</f>
        <v>0</v>
      </c>
      <c r="E27">
        <f>INDEX('1_buildings_total'!$1:$343,MATCH($A27,'1_buildings_total'!$A:$A,0),MATCH(E$1,'1_buildings_total'!$1:$1,0))</f>
        <v>2659.375</v>
      </c>
      <c r="F27">
        <f>INDEX('2_land_use'!$1:$343,MATCH($A27,'2_land_use'!$A:$A,0),MATCH(F$1,'2_land_use'!$1:$1,0))</f>
        <v>56.037879543541884</v>
      </c>
      <c r="G27">
        <f>INDEX('4_number_of_transport'!$1:$343,MATCH($A27,'4_number_of_transport'!$A:$A,0),MATCH(G$1,'4_number_of_transport'!$1:$1,0))</f>
        <v>2074</v>
      </c>
      <c r="H27">
        <f>INDEX('4_number_of_transport'!$1:$343,MATCH($A27,'4_number_of_transport'!$A:$A,0),MATCH(H$1,'4_number_of_transport'!$1:$1,0))</f>
        <v>154</v>
      </c>
      <c r="I27">
        <f>INDEX('4_number_of_transport'!$1:$343,MATCH($A27,'4_number_of_transport'!$A:$A,0),MATCH(I$1,'4_number_of_transport'!$1:$1,0))</f>
        <v>1</v>
      </c>
      <c r="J27">
        <f>INDEX('2_land_use'!$1:$343,MATCH($A27,'2_land_use'!$A:$A,0),MATCH(J$1,'2_land_use'!$1:$1,0))</f>
        <v>0</v>
      </c>
      <c r="K27">
        <f>INDEX('2_land_use'!$1:$343,MATCH($A27,'2_land_use'!$A:$A,0),MATCH(K$1,'2_land_use'!$1:$1,0))</f>
        <v>2.5124060668508014E-3</v>
      </c>
      <c r="L27">
        <f>INDEX('7_biomass'!$1:$343,MATCH($A27,'7_biomass'!$A:$A,0),MATCH(L$1,'7_biomass'!$1:$1,0))</f>
        <v>0.12833466852187952</v>
      </c>
      <c r="M27">
        <f>INDEX('7_biomass'!$1:$343,MATCH($A27,'7_biomass'!$A:$A,0),MATCH(M$1,'7_biomass'!$1:$1,0))</f>
        <v>0.12376642914317235</v>
      </c>
      <c r="N27">
        <f>INDEX('7_biomass'!$1:$343,MATCH($A27,'7_biomass'!$A:$A,0),MATCH(N$1,'7_biomass'!$1:$1,0))</f>
        <v>2.1706397515172147E-2</v>
      </c>
      <c r="O27">
        <f>INDEX('4_number_of_transport'!$1:$343,MATCH($A27,'4_number_of_transport'!$A:$A,0),MATCH(O$1,'4_number_of_transport'!$1:$1,0))</f>
        <v>22365</v>
      </c>
      <c r="P27">
        <f>INDEX('2_land_use'!$1:$343,MATCH($A27,'2_land_use'!$A:$A,0),MATCH(P$1,'2_land_use'!$1:$1,0))</f>
        <v>78.301319703964325</v>
      </c>
      <c r="Q27">
        <f>INDEX('2_land_use'!$1:$343,MATCH($A27,'2_land_use'!$A:$A,0),MATCH(Q$1,'2_land_use'!$1:$1,0))</f>
        <v>0</v>
      </c>
      <c r="R27">
        <f>INDEX('6_roof_surface'!$1:$343,MATCH($A27,'6_roof_surface'!$A:$A,0),MATCH(R$1,'6_roof_surface'!$1:$1,0))</f>
        <v>1.80541</v>
      </c>
      <c r="S27">
        <f>INDEX('6_roof_surface'!$1:$343,MATCH($A27,'6_roof_surface'!$A:$A,0),MATCH(S$1,'6_roof_surface'!$1:$1,0))</f>
        <v>0.94877999999999996</v>
      </c>
    </row>
    <row r="28" spans="1:19" x14ac:dyDescent="0.2">
      <c r="A28" t="s">
        <v>28</v>
      </c>
      <c r="B28" t="str">
        <f>INDEX(CBS_gemeenten_alfabetisch_2023!$B:$B,MATCH($A28,CBS_gemeenten_alfabetisch_2023!$A:$A,0))</f>
        <v>Beesel</v>
      </c>
      <c r="C28">
        <f>INDEX('5_train_share_nl'!$1:$343,MATCH($A28,'5_train_share_nl'!$A:$A,0),MATCH(C$1,'5_train_share_nl'!$1:$1,0))</f>
        <v>1.0932986455530543E-3</v>
      </c>
      <c r="D28">
        <f>INDEX('3_has_tram_metro'!$1:$343,MATCH($A28,'3_has_tram_metro'!$A:$A,0),MATCH(D$1,'3_has_tram_metro'!$1:$1,0))</f>
        <v>0</v>
      </c>
      <c r="E28">
        <f>INDEX('1_buildings_total'!$1:$343,MATCH($A28,'1_buildings_total'!$A:$A,0),MATCH(E$1,'1_buildings_total'!$1:$1,0))</f>
        <v>987.36584615384606</v>
      </c>
      <c r="F28">
        <f>INDEX('2_land_use'!$1:$343,MATCH($A28,'2_land_use'!$A:$A,0),MATCH(F$1,'2_land_use'!$1:$1,0))</f>
        <v>18.157155003734339</v>
      </c>
      <c r="G28">
        <f>INDEX('4_number_of_transport'!$1:$343,MATCH($A28,'4_number_of_transport'!$A:$A,0),MATCH(G$1,'4_number_of_transport'!$1:$1,0))</f>
        <v>548</v>
      </c>
      <c r="H28">
        <f>INDEX('4_number_of_transport'!$1:$343,MATCH($A28,'4_number_of_transport'!$A:$A,0),MATCH(H$1,'4_number_of_transport'!$1:$1,0))</f>
        <v>41</v>
      </c>
      <c r="I28">
        <f>INDEX('4_number_of_transport'!$1:$343,MATCH($A28,'4_number_of_transport'!$A:$A,0),MATCH(I$1,'4_number_of_transport'!$1:$1,0))</f>
        <v>0</v>
      </c>
      <c r="J28">
        <f>INDEX('2_land_use'!$1:$343,MATCH($A28,'2_land_use'!$A:$A,0),MATCH(J$1,'2_land_use'!$1:$1,0))</f>
        <v>7.7136291036807231E-4</v>
      </c>
      <c r="K28">
        <f>INDEX('2_land_use'!$1:$343,MATCH($A28,'2_land_use'!$A:$A,0),MATCH(K$1,'2_land_use'!$1:$1,0))</f>
        <v>8.1405911072503863E-4</v>
      </c>
      <c r="L28">
        <f>INDEX('7_biomass'!$1:$343,MATCH($A28,'7_biomass'!$A:$A,0),MATCH(L$1,'7_biomass'!$1:$1,0))</f>
        <v>6.4245333673379632E-2</v>
      </c>
      <c r="M28">
        <f>INDEX('7_biomass'!$1:$343,MATCH($A28,'7_biomass'!$A:$A,0),MATCH(M$1,'7_biomass'!$1:$1,0))</f>
        <v>4.3796326799641155E-2</v>
      </c>
      <c r="N28">
        <f>INDEX('7_biomass'!$1:$343,MATCH($A28,'7_biomass'!$A:$A,0),MATCH(N$1,'7_biomass'!$1:$1,0))</f>
        <v>8.2136420076584175E-3</v>
      </c>
      <c r="O28">
        <f>INDEX('4_number_of_transport'!$1:$343,MATCH($A28,'4_number_of_transport'!$A:$A,0),MATCH(O$1,'4_number_of_transport'!$1:$1,0))</f>
        <v>7338</v>
      </c>
      <c r="P28">
        <f>INDEX('2_land_use'!$1:$343,MATCH($A28,'2_land_use'!$A:$A,0),MATCH(P$1,'2_land_use'!$1:$1,0))</f>
        <v>27.877943974300692</v>
      </c>
      <c r="Q28">
        <f>INDEX('2_land_use'!$1:$343,MATCH($A28,'2_land_use'!$A:$A,0),MATCH(Q$1,'2_land_use'!$1:$1,0))</f>
        <v>0</v>
      </c>
      <c r="R28">
        <f>INDEX('6_roof_surface'!$1:$343,MATCH($A28,'6_roof_surface'!$A:$A,0),MATCH(R$1,'6_roof_surface'!$1:$1,0))</f>
        <v>0.56696400000000002</v>
      </c>
      <c r="S28">
        <f>INDEX('6_roof_surface'!$1:$343,MATCH($A28,'6_roof_surface'!$A:$A,0),MATCH(S$1,'6_roof_surface'!$1:$1,0))</f>
        <v>0.650536</v>
      </c>
    </row>
    <row r="29" spans="1:19" x14ac:dyDescent="0.2">
      <c r="A29" t="s">
        <v>29</v>
      </c>
      <c r="B29" t="str">
        <f>INDEX(CBS_gemeenten_alfabetisch_2023!$B:$B,MATCH($A29,CBS_gemeenten_alfabetisch_2023!$A:$A,0))</f>
        <v>Berg en Dal</v>
      </c>
      <c r="C29">
        <f>INDEX('5_train_share_nl'!$1:$343,MATCH($A29,'5_train_share_nl'!$A:$A,0),MATCH(C$1,'5_train_share_nl'!$1:$1,0))</f>
        <v>0</v>
      </c>
      <c r="D29">
        <f>INDEX('3_has_tram_metro'!$1:$343,MATCH($A29,'3_has_tram_metro'!$A:$A,0),MATCH(D$1,'3_has_tram_metro'!$1:$1,0))</f>
        <v>0</v>
      </c>
      <c r="E29">
        <f>INDEX('1_buildings_total'!$1:$343,MATCH($A29,'1_buildings_total'!$A:$A,0),MATCH(E$1,'1_buildings_total'!$1:$1,0))</f>
        <v>2512.6153846153843</v>
      </c>
      <c r="F29">
        <f>INDEX('2_land_use'!$1:$343,MATCH($A29,'2_land_use'!$A:$A,0),MATCH(F$1,'2_land_use'!$1:$1,0))</f>
        <v>49.718076912374457</v>
      </c>
      <c r="G29">
        <f>INDEX('4_number_of_transport'!$1:$343,MATCH($A29,'4_number_of_transport'!$A:$A,0),MATCH(G$1,'4_number_of_transport'!$1:$1,0))</f>
        <v>1763</v>
      </c>
      <c r="H29">
        <f>INDEX('4_number_of_transport'!$1:$343,MATCH($A29,'4_number_of_transport'!$A:$A,0),MATCH(H$1,'4_number_of_transport'!$1:$1,0))</f>
        <v>69</v>
      </c>
      <c r="I29">
        <f>INDEX('4_number_of_transport'!$1:$343,MATCH($A29,'4_number_of_transport'!$A:$A,0),MATCH(I$1,'4_number_of_transport'!$1:$1,0))</f>
        <v>10</v>
      </c>
      <c r="J29">
        <f>INDEX('2_land_use'!$1:$343,MATCH($A29,'2_land_use'!$A:$A,0),MATCH(J$1,'2_land_use'!$1:$1,0))</f>
        <v>1.4159861359514995E-4</v>
      </c>
      <c r="K29">
        <f>INDEX('2_land_use'!$1:$343,MATCH($A29,'2_land_use'!$A:$A,0),MATCH(K$1,'2_land_use'!$1:$1,0))</f>
        <v>2.2290636099059871E-3</v>
      </c>
      <c r="L29">
        <f>INDEX('7_biomass'!$1:$343,MATCH($A29,'7_biomass'!$A:$A,0),MATCH(L$1,'7_biomass'!$1:$1,0))</f>
        <v>0.21668798094044917</v>
      </c>
      <c r="M29">
        <f>INDEX('7_biomass'!$1:$343,MATCH($A29,'7_biomass'!$A:$A,0),MATCH(M$1,'7_biomass'!$1:$1,0))</f>
        <v>0.12819981717577131</v>
      </c>
      <c r="N29">
        <f>INDEX('7_biomass'!$1:$343,MATCH($A29,'7_biomass'!$A:$A,0),MATCH(N$1,'7_biomass'!$1:$1,0))</f>
        <v>2.112678256766818E-2</v>
      </c>
      <c r="O29">
        <f>INDEX('4_number_of_transport'!$1:$343,MATCH($A29,'4_number_of_transport'!$A:$A,0),MATCH(O$1,'4_number_of_transport'!$1:$1,0))</f>
        <v>19031</v>
      </c>
      <c r="P29">
        <f>INDEX('2_land_use'!$1:$343,MATCH($A29,'2_land_use'!$A:$A,0),MATCH(P$1,'2_land_use'!$1:$1,0))</f>
        <v>86.388698940498799</v>
      </c>
      <c r="Q29">
        <f>INDEX('2_land_use'!$1:$343,MATCH($A29,'2_land_use'!$A:$A,0),MATCH(Q$1,'2_land_use'!$1:$1,0))</f>
        <v>0</v>
      </c>
      <c r="R29">
        <f>INDEX('6_roof_surface'!$1:$343,MATCH($A29,'6_roof_surface'!$A:$A,0),MATCH(R$1,'6_roof_surface'!$1:$1,0))</f>
        <v>1.327979</v>
      </c>
      <c r="S29">
        <f>INDEX('6_roof_surface'!$1:$343,MATCH($A29,'6_roof_surface'!$A:$A,0),MATCH(S$1,'6_roof_surface'!$1:$1,0))</f>
        <v>1.1202080000000001</v>
      </c>
    </row>
    <row r="30" spans="1:19" x14ac:dyDescent="0.2">
      <c r="A30" t="s">
        <v>30</v>
      </c>
      <c r="B30" t="str">
        <f>INDEX(CBS_gemeenten_alfabetisch_2023!$B:$B,MATCH($A30,CBS_gemeenten_alfabetisch_2023!$A:$A,0))</f>
        <v>Bergeijk</v>
      </c>
      <c r="C30">
        <f>INDEX('5_train_share_nl'!$1:$343,MATCH($A30,'5_train_share_nl'!$A:$A,0),MATCH(C$1,'5_train_share_nl'!$1:$1,0))</f>
        <v>0</v>
      </c>
      <c r="D30">
        <f>INDEX('3_has_tram_metro'!$1:$343,MATCH($A30,'3_has_tram_metro'!$A:$A,0),MATCH(D$1,'3_has_tram_metro'!$1:$1,0))</f>
        <v>0</v>
      </c>
      <c r="E30">
        <f>INDEX('1_buildings_total'!$1:$343,MATCH($A30,'1_buildings_total'!$A:$A,0),MATCH(E$1,'1_buildings_total'!$1:$1,0))</f>
        <v>2422.4130769230769</v>
      </c>
      <c r="F30">
        <f>INDEX('2_land_use'!$1:$343,MATCH($A30,'2_land_use'!$A:$A,0),MATCH(F$1,'2_land_use'!$1:$1,0))</f>
        <v>61.664193836879448</v>
      </c>
      <c r="G30">
        <f>INDEX('4_number_of_transport'!$1:$343,MATCH($A30,'4_number_of_transport'!$A:$A,0),MATCH(G$1,'4_number_of_transport'!$1:$1,0))</f>
        <v>1837</v>
      </c>
      <c r="H30">
        <f>INDEX('4_number_of_transport'!$1:$343,MATCH($A30,'4_number_of_transport'!$A:$A,0),MATCH(H$1,'4_number_of_transport'!$1:$1,0))</f>
        <v>69</v>
      </c>
      <c r="I30">
        <f>INDEX('4_number_of_transport'!$1:$343,MATCH($A30,'4_number_of_transport'!$A:$A,0),MATCH(I$1,'4_number_of_transport'!$1:$1,0))</f>
        <v>19</v>
      </c>
      <c r="J30">
        <f>INDEX('2_land_use'!$1:$343,MATCH($A30,'2_land_use'!$A:$A,0),MATCH(J$1,'2_land_use'!$1:$1,0))</f>
        <v>0</v>
      </c>
      <c r="K30">
        <f>INDEX('2_land_use'!$1:$343,MATCH($A30,'2_land_use'!$A:$A,0),MATCH(K$1,'2_land_use'!$1:$1,0))</f>
        <v>2.7646566209355112E-3</v>
      </c>
      <c r="L30">
        <f>INDEX('7_biomass'!$1:$343,MATCH($A30,'7_biomass'!$A:$A,0),MATCH(L$1,'7_biomass'!$1:$1,0))</f>
        <v>0.239272726648111</v>
      </c>
      <c r="M30">
        <f>INDEX('7_biomass'!$1:$343,MATCH($A30,'7_biomass'!$A:$A,0),MATCH(M$1,'7_biomass'!$1:$1,0))</f>
        <v>0.14774133587438282</v>
      </c>
      <c r="N30">
        <f>INDEX('7_biomass'!$1:$343,MATCH($A30,'7_biomass'!$A:$A,0),MATCH(N$1,'7_biomass'!$1:$1,0))</f>
        <v>1.1234444438465253E-2</v>
      </c>
      <c r="O30">
        <f>INDEX('4_number_of_transport'!$1:$343,MATCH($A30,'4_number_of_transport'!$A:$A,0),MATCH(O$1,'4_number_of_transport'!$1:$1,0))</f>
        <v>11303</v>
      </c>
      <c r="P30">
        <f>INDEX('2_land_use'!$1:$343,MATCH($A30,'2_land_use'!$A:$A,0),MATCH(P$1,'2_land_use'!$1:$1,0))</f>
        <v>101.01835181391904</v>
      </c>
      <c r="Q30">
        <f>INDEX('2_land_use'!$1:$343,MATCH($A30,'2_land_use'!$A:$A,0),MATCH(Q$1,'2_land_use'!$1:$1,0))</f>
        <v>0</v>
      </c>
      <c r="R30">
        <f>INDEX('6_roof_surface'!$1:$343,MATCH($A30,'6_roof_surface'!$A:$A,0),MATCH(R$1,'6_roof_surface'!$1:$1,0))</f>
        <v>0.99138899999999996</v>
      </c>
      <c r="S30">
        <f>INDEX('6_roof_surface'!$1:$343,MATCH($A30,'6_roof_surface'!$A:$A,0),MATCH(S$1,'6_roof_surface'!$1:$1,0))</f>
        <v>1.4438949999999999</v>
      </c>
    </row>
    <row r="31" spans="1:19" x14ac:dyDescent="0.2">
      <c r="A31" t="s">
        <v>31</v>
      </c>
      <c r="B31" t="str">
        <f>INDEX(CBS_gemeenten_alfabetisch_2023!$B:$B,MATCH($A31,CBS_gemeenten_alfabetisch_2023!$A:$A,0))</f>
        <v>Bergen (L.)</v>
      </c>
      <c r="C31">
        <f>INDEX('5_train_share_nl'!$1:$343,MATCH($A31,'5_train_share_nl'!$A:$A,0),MATCH(C$1,'5_train_share_nl'!$1:$1,0))</f>
        <v>0</v>
      </c>
      <c r="D31">
        <f>INDEX('3_has_tram_metro'!$1:$343,MATCH($A31,'3_has_tram_metro'!$A:$A,0),MATCH(D$1,'3_has_tram_metro'!$1:$1,0))</f>
        <v>0</v>
      </c>
      <c r="E31">
        <f>INDEX('1_buildings_total'!$1:$343,MATCH($A31,'1_buildings_total'!$A:$A,0),MATCH(E$1,'1_buildings_total'!$1:$1,0))</f>
        <v>1912.560769230769</v>
      </c>
      <c r="F31">
        <f>INDEX('2_land_use'!$1:$343,MATCH($A31,'2_land_use'!$A:$A,0),MATCH(F$1,'2_land_use'!$1:$1,0))</f>
        <v>55.174813507274308</v>
      </c>
      <c r="G31">
        <f>INDEX('4_number_of_transport'!$1:$343,MATCH($A31,'4_number_of_transport'!$A:$A,0),MATCH(G$1,'4_number_of_transport'!$1:$1,0))</f>
        <v>915</v>
      </c>
      <c r="H31">
        <f>INDEX('4_number_of_transport'!$1:$343,MATCH($A31,'4_number_of_transport'!$A:$A,0),MATCH(H$1,'4_number_of_transport'!$1:$1,0))</f>
        <v>55</v>
      </c>
      <c r="I31">
        <f>INDEX('4_number_of_transport'!$1:$343,MATCH($A31,'4_number_of_transport'!$A:$A,0),MATCH(I$1,'4_number_of_transport'!$1:$1,0))</f>
        <v>1</v>
      </c>
      <c r="J31">
        <f>INDEX('2_land_use'!$1:$343,MATCH($A31,'2_land_use'!$A:$A,0),MATCH(J$1,'2_land_use'!$1:$1,0))</f>
        <v>2.9173257815689494E-3</v>
      </c>
      <c r="K31">
        <f>INDEX('2_land_use'!$1:$343,MATCH($A31,'2_land_use'!$A:$A,0),MATCH(K$1,'2_land_use'!$1:$1,0))</f>
        <v>2.4737113060341169E-3</v>
      </c>
      <c r="L31">
        <f>INDEX('7_biomass'!$1:$343,MATCH($A31,'7_biomass'!$A:$A,0),MATCH(L$1,'7_biomass'!$1:$1,0))</f>
        <v>0.19858002553231743</v>
      </c>
      <c r="M31">
        <f>INDEX('7_biomass'!$1:$343,MATCH($A31,'7_biomass'!$A:$A,0),MATCH(M$1,'7_biomass'!$1:$1,0))</f>
        <v>7.8750260633992986E-2</v>
      </c>
      <c r="N31">
        <f>INDEX('7_biomass'!$1:$343,MATCH($A31,'7_biomass'!$A:$A,0),MATCH(N$1,'7_biomass'!$1:$1,0))</f>
        <v>7.9833756920357716E-3</v>
      </c>
      <c r="O31">
        <f>INDEX('4_number_of_transport'!$1:$343,MATCH($A31,'4_number_of_transport'!$A:$A,0),MATCH(O$1,'4_number_of_transport'!$1:$1,0))</f>
        <v>8123</v>
      </c>
      <c r="P31">
        <f>INDEX('2_land_use'!$1:$343,MATCH($A31,'2_land_use'!$A:$A,0),MATCH(P$1,'2_land_use'!$1:$1,0))</f>
        <v>103.25586194339063</v>
      </c>
      <c r="Q31">
        <f>INDEX('2_land_use'!$1:$343,MATCH($A31,'2_land_use'!$A:$A,0),MATCH(Q$1,'2_land_use'!$1:$1,0))</f>
        <v>0</v>
      </c>
      <c r="R31">
        <f>INDEX('6_roof_surface'!$1:$343,MATCH($A31,'6_roof_surface'!$A:$A,0),MATCH(R$1,'6_roof_surface'!$1:$1,0))</f>
        <v>0.66796699999999998</v>
      </c>
      <c r="S31">
        <f>INDEX('6_roof_surface'!$1:$343,MATCH($A31,'6_roof_surface'!$A:$A,0),MATCH(S$1,'6_roof_surface'!$1:$1,0))</f>
        <v>1.169862</v>
      </c>
    </row>
    <row r="32" spans="1:19" x14ac:dyDescent="0.2">
      <c r="A32" t="s">
        <v>32</v>
      </c>
      <c r="B32" t="str">
        <f>INDEX(CBS_gemeenten_alfabetisch_2023!$B:$B,MATCH($A32,CBS_gemeenten_alfabetisch_2023!$A:$A,0))</f>
        <v>Bergen (NH.)</v>
      </c>
      <c r="C32">
        <f>INDEX('5_train_share_nl'!$1:$343,MATCH($A32,'5_train_share_nl'!$A:$A,0),MATCH(C$1,'5_train_share_nl'!$1:$1,0))</f>
        <v>0</v>
      </c>
      <c r="D32">
        <f>INDEX('3_has_tram_metro'!$1:$343,MATCH($A32,'3_has_tram_metro'!$A:$A,0),MATCH(D$1,'3_has_tram_metro'!$1:$1,0))</f>
        <v>0</v>
      </c>
      <c r="E32">
        <f>INDEX('1_buildings_total'!$1:$343,MATCH($A32,'1_buildings_total'!$A:$A,0),MATCH(E$1,'1_buildings_total'!$1:$1,0))</f>
        <v>3911.7447692307692</v>
      </c>
      <c r="F32">
        <f>INDEX('2_land_use'!$1:$343,MATCH($A32,'2_land_use'!$A:$A,0),MATCH(F$1,'2_land_use'!$1:$1,0))</f>
        <v>41.800120272919791</v>
      </c>
      <c r="G32">
        <f>INDEX('4_number_of_transport'!$1:$343,MATCH($A32,'4_number_of_transport'!$A:$A,0),MATCH(G$1,'4_number_of_transport'!$1:$1,0))</f>
        <v>1395</v>
      </c>
      <c r="H32">
        <f>INDEX('4_number_of_transport'!$1:$343,MATCH($A32,'4_number_of_transport'!$A:$A,0),MATCH(H$1,'4_number_of_transport'!$1:$1,0))</f>
        <v>66</v>
      </c>
      <c r="I32">
        <f>INDEX('4_number_of_transport'!$1:$343,MATCH($A32,'4_number_of_transport'!$A:$A,0),MATCH(I$1,'4_number_of_transport'!$1:$1,0))</f>
        <v>2</v>
      </c>
      <c r="J32">
        <f>INDEX('2_land_use'!$1:$343,MATCH($A32,'2_land_use'!$A:$A,0),MATCH(J$1,'2_land_use'!$1:$1,0))</f>
        <v>0</v>
      </c>
      <c r="K32">
        <f>INDEX('2_land_use'!$1:$343,MATCH($A32,'2_land_use'!$A:$A,0),MATCH(K$1,'2_land_use'!$1:$1,0))</f>
        <v>1.8740694084824596E-3</v>
      </c>
      <c r="L32">
        <f>INDEX('7_biomass'!$1:$343,MATCH($A32,'7_biomass'!$A:$A,0),MATCH(L$1,'7_biomass'!$1:$1,0))</f>
        <v>0.11733836007123571</v>
      </c>
      <c r="M32">
        <f>INDEX('7_biomass'!$1:$343,MATCH($A32,'7_biomass'!$A:$A,0),MATCH(M$1,'7_biomass'!$1:$1,0))</f>
        <v>0.10225069169009413</v>
      </c>
      <c r="N32">
        <f>INDEX('7_biomass'!$1:$343,MATCH($A32,'7_biomass'!$A:$A,0),MATCH(N$1,'7_biomass'!$1:$1,0))</f>
        <v>1.8211088507844767E-2</v>
      </c>
      <c r="O32">
        <f>INDEX('4_number_of_transport'!$1:$343,MATCH($A32,'4_number_of_transport'!$A:$A,0),MATCH(O$1,'4_number_of_transport'!$1:$1,0))</f>
        <v>16520</v>
      </c>
      <c r="P32">
        <f>INDEX('2_land_use'!$1:$343,MATCH($A32,'2_land_use'!$A:$A,0),MATCH(P$1,'2_land_use'!$1:$1,0))</f>
        <v>98.999711780138199</v>
      </c>
      <c r="Q32">
        <f>INDEX('2_land_use'!$1:$343,MATCH($A32,'2_land_use'!$A:$A,0),MATCH(Q$1,'2_land_use'!$1:$1,0))</f>
        <v>20.296734018036435</v>
      </c>
      <c r="R32">
        <f>INDEX('6_roof_surface'!$1:$343,MATCH($A32,'6_roof_surface'!$A:$A,0),MATCH(R$1,'6_roof_surface'!$1:$1,0))</f>
        <v>1.2952889999999999</v>
      </c>
      <c r="S32">
        <f>INDEX('6_roof_surface'!$1:$343,MATCH($A32,'6_roof_surface'!$A:$A,0),MATCH(S$1,'6_roof_surface'!$1:$1,0))</f>
        <v>0.885486</v>
      </c>
    </row>
    <row r="33" spans="1:19" x14ac:dyDescent="0.2">
      <c r="A33" t="s">
        <v>33</v>
      </c>
      <c r="B33" t="str">
        <f>INDEX(CBS_gemeenten_alfabetisch_2023!$B:$B,MATCH($A33,CBS_gemeenten_alfabetisch_2023!$A:$A,0))</f>
        <v>Bergen op Zoom</v>
      </c>
      <c r="C33">
        <f>INDEX('5_train_share_nl'!$1:$343,MATCH($A33,'5_train_share_nl'!$A:$A,0),MATCH(C$1,'5_train_share_nl'!$1:$1,0))</f>
        <v>2.1030456742239302E-3</v>
      </c>
      <c r="D33">
        <f>INDEX('3_has_tram_metro'!$1:$343,MATCH($A33,'3_has_tram_metro'!$A:$A,0),MATCH(D$1,'3_has_tram_metro'!$1:$1,0))</f>
        <v>0</v>
      </c>
      <c r="E33">
        <f>INDEX('1_buildings_total'!$1:$343,MATCH($A33,'1_buildings_total'!$A:$A,0),MATCH(E$1,'1_buildings_total'!$1:$1,0))</f>
        <v>4369.4178461538468</v>
      </c>
      <c r="F33">
        <f>INDEX('2_land_use'!$1:$343,MATCH($A33,'2_land_use'!$A:$A,0),MATCH(F$1,'2_land_use'!$1:$1,0))</f>
        <v>33.293888855412249</v>
      </c>
      <c r="G33">
        <f>INDEX('4_number_of_transport'!$1:$343,MATCH($A33,'4_number_of_transport'!$A:$A,0),MATCH(G$1,'4_number_of_transport'!$1:$1,0))</f>
        <v>2726</v>
      </c>
      <c r="H33">
        <f>INDEX('4_number_of_transport'!$1:$343,MATCH($A33,'4_number_of_transport'!$A:$A,0),MATCH(H$1,'4_number_of_transport'!$1:$1,0))</f>
        <v>241</v>
      </c>
      <c r="I33">
        <f>INDEX('4_number_of_transport'!$1:$343,MATCH($A33,'4_number_of_transport'!$A:$A,0),MATCH(I$1,'4_number_of_transport'!$1:$1,0))</f>
        <v>42</v>
      </c>
      <c r="J33">
        <f>INDEX('2_land_use'!$1:$343,MATCH($A33,'2_land_use'!$A:$A,0),MATCH(J$1,'2_land_use'!$1:$1,0))</f>
        <v>2.6551087230351949E-3</v>
      </c>
      <c r="K33">
        <f>INDEX('2_land_use'!$1:$343,MATCH($A33,'2_land_use'!$A:$A,0),MATCH(K$1,'2_land_use'!$1:$1,0))</f>
        <v>1.4927004560263389E-3</v>
      </c>
      <c r="L33">
        <f>INDEX('7_biomass'!$1:$343,MATCH($A33,'7_biomass'!$A:$A,0),MATCH(L$1,'7_biomass'!$1:$1,0))</f>
        <v>0.39353223463380671</v>
      </c>
      <c r="M33">
        <f>INDEX('7_biomass'!$1:$343,MATCH($A33,'7_biomass'!$A:$A,0),MATCH(M$1,'7_biomass'!$1:$1,0))</f>
        <v>0.19732357553575938</v>
      </c>
      <c r="N33">
        <f>INDEX('7_biomass'!$1:$343,MATCH($A33,'7_biomass'!$A:$A,0),MATCH(N$1,'7_biomass'!$1:$1,0))</f>
        <v>4.0591880773257372E-2</v>
      </c>
      <c r="O33">
        <f>INDEX('4_number_of_transport'!$1:$343,MATCH($A33,'4_number_of_transport'!$A:$A,0),MATCH(O$1,'4_number_of_transport'!$1:$1,0))</f>
        <v>33852</v>
      </c>
      <c r="P33">
        <f>INDEX('2_land_use'!$1:$343,MATCH($A33,'2_land_use'!$A:$A,0),MATCH(P$1,'2_land_use'!$1:$1,0))</f>
        <v>79.969802861501392</v>
      </c>
      <c r="Q33">
        <f>INDEX('2_land_use'!$1:$343,MATCH($A33,'2_land_use'!$A:$A,0),MATCH(Q$1,'2_land_use'!$1:$1,0))</f>
        <v>0</v>
      </c>
      <c r="R33">
        <f>INDEX('6_roof_surface'!$1:$343,MATCH($A33,'6_roof_surface'!$A:$A,0),MATCH(R$1,'6_roof_surface'!$1:$1,0))</f>
        <v>2.080057</v>
      </c>
      <c r="S33">
        <f>INDEX('6_roof_surface'!$1:$343,MATCH($A33,'6_roof_surface'!$A:$A,0),MATCH(S$1,'6_roof_surface'!$1:$1,0))</f>
        <v>2.8775559999999998</v>
      </c>
    </row>
    <row r="34" spans="1:19" x14ac:dyDescent="0.2">
      <c r="A34" t="s">
        <v>34</v>
      </c>
      <c r="B34" t="str">
        <f>INDEX(CBS_gemeenten_alfabetisch_2023!$B:$B,MATCH($A34,CBS_gemeenten_alfabetisch_2023!$A:$A,0))</f>
        <v>Berkelland</v>
      </c>
      <c r="C34">
        <f>INDEX('5_train_share_nl'!$1:$343,MATCH($A34,'5_train_share_nl'!$A:$A,0),MATCH(C$1,'5_train_share_nl'!$1:$1,0))</f>
        <v>0</v>
      </c>
      <c r="D34">
        <f>INDEX('3_has_tram_metro'!$1:$343,MATCH($A34,'3_has_tram_metro'!$A:$A,0),MATCH(D$1,'3_has_tram_metro'!$1:$1,0))</f>
        <v>0</v>
      </c>
      <c r="E34">
        <f>INDEX('1_buildings_total'!$1:$343,MATCH($A34,'1_buildings_total'!$A:$A,0),MATCH(E$1,'1_buildings_total'!$1:$1,0))</f>
        <v>5397.9739230769201</v>
      </c>
      <c r="F34">
        <f>INDEX('2_land_use'!$1:$343,MATCH($A34,'2_land_use'!$A:$A,0),MATCH(F$1,'2_land_use'!$1:$1,0))</f>
        <v>211.59115296449113</v>
      </c>
      <c r="G34">
        <f>INDEX('4_number_of_transport'!$1:$343,MATCH($A34,'4_number_of_transport'!$A:$A,0),MATCH(G$1,'4_number_of_transport'!$1:$1,0))</f>
        <v>3014</v>
      </c>
      <c r="H34">
        <f>INDEX('4_number_of_transport'!$1:$343,MATCH($A34,'4_number_of_transport'!$A:$A,0),MATCH(H$1,'4_number_of_transport'!$1:$1,0))</f>
        <v>195</v>
      </c>
      <c r="I34">
        <f>INDEX('4_number_of_transport'!$1:$343,MATCH($A34,'4_number_of_transport'!$A:$A,0),MATCH(I$1,'4_number_of_transport'!$1:$1,0))</f>
        <v>7</v>
      </c>
      <c r="J34">
        <f>INDEX('2_land_use'!$1:$343,MATCH($A34,'2_land_use'!$A:$A,0),MATCH(J$1,'2_land_use'!$1:$1,0))</f>
        <v>0</v>
      </c>
      <c r="K34">
        <f>INDEX('2_land_use'!$1:$343,MATCH($A34,'2_land_use'!$A:$A,0),MATCH(K$1,'2_land_use'!$1:$1,0))</f>
        <v>9.486492007373044E-3</v>
      </c>
      <c r="L34">
        <f>INDEX('7_biomass'!$1:$343,MATCH($A34,'7_biomass'!$A:$A,0),MATCH(L$1,'7_biomass'!$1:$1,0))</f>
        <v>0.65017688390519557</v>
      </c>
      <c r="M34">
        <f>INDEX('7_biomass'!$1:$343,MATCH($A34,'7_biomass'!$A:$A,0),MATCH(M$1,'7_biomass'!$1:$1,0))</f>
        <v>0.23594050525188034</v>
      </c>
      <c r="N34">
        <f>INDEX('7_biomass'!$1:$343,MATCH($A34,'7_biomass'!$A:$A,0),MATCH(N$1,'7_biomass'!$1:$1,0))</f>
        <v>2.6674438841943569E-2</v>
      </c>
      <c r="O34">
        <f>INDEX('4_number_of_transport'!$1:$343,MATCH($A34,'4_number_of_transport'!$A:$A,0),MATCH(O$1,'4_number_of_transport'!$1:$1,0))</f>
        <v>25664</v>
      </c>
      <c r="P34">
        <f>INDEX('2_land_use'!$1:$343,MATCH($A34,'2_land_use'!$A:$A,0),MATCH(P$1,'2_land_use'!$1:$1,0))</f>
        <v>258.09175602602704</v>
      </c>
      <c r="Q34">
        <f>INDEX('2_land_use'!$1:$343,MATCH($A34,'2_land_use'!$A:$A,0),MATCH(Q$1,'2_land_use'!$1:$1,0))</f>
        <v>0</v>
      </c>
      <c r="R34">
        <f>INDEX('6_roof_surface'!$1:$343,MATCH($A34,'6_roof_surface'!$A:$A,0),MATCH(R$1,'6_roof_surface'!$1:$1,0))</f>
        <v>2.2658999999999998</v>
      </c>
      <c r="S34">
        <f>INDEX('6_roof_surface'!$1:$343,MATCH($A34,'6_roof_surface'!$A:$A,0),MATCH(S$1,'6_roof_surface'!$1:$1,0))</f>
        <v>3.2642799999999998</v>
      </c>
    </row>
    <row r="35" spans="1:19" x14ac:dyDescent="0.2">
      <c r="A35" t="s">
        <v>35</v>
      </c>
      <c r="B35" t="str">
        <f>INDEX(CBS_gemeenten_alfabetisch_2023!$B:$B,MATCH($A35,CBS_gemeenten_alfabetisch_2023!$A:$A,0))</f>
        <v>Bernheze</v>
      </c>
      <c r="C35">
        <f>INDEX('5_train_share_nl'!$1:$343,MATCH($A35,'5_train_share_nl'!$A:$A,0),MATCH(C$1,'5_train_share_nl'!$1:$1,0))</f>
        <v>0</v>
      </c>
      <c r="D35">
        <f>INDEX('3_has_tram_metro'!$1:$343,MATCH($A35,'3_has_tram_metro'!$A:$A,0),MATCH(D$1,'3_has_tram_metro'!$1:$1,0))</f>
        <v>0</v>
      </c>
      <c r="E35">
        <f>INDEX('1_buildings_total'!$1:$343,MATCH($A35,'1_buildings_total'!$A:$A,0),MATCH(E$1,'1_buildings_total'!$1:$1,0))</f>
        <v>2267.3814615384617</v>
      </c>
      <c r="F35">
        <f>INDEX('2_land_use'!$1:$343,MATCH($A35,'2_land_use'!$A:$A,0),MATCH(F$1,'2_land_use'!$1:$1,0))</f>
        <v>65.648802624006819</v>
      </c>
      <c r="G35">
        <f>INDEX('4_number_of_transport'!$1:$343,MATCH($A35,'4_number_of_transport'!$A:$A,0),MATCH(G$1,'4_number_of_transport'!$1:$1,0))</f>
        <v>2975</v>
      </c>
      <c r="H35">
        <f>INDEX('4_number_of_transport'!$1:$343,MATCH($A35,'4_number_of_transport'!$A:$A,0),MATCH(H$1,'4_number_of_transport'!$1:$1,0))</f>
        <v>202</v>
      </c>
      <c r="I35">
        <f>INDEX('4_number_of_transport'!$1:$343,MATCH($A35,'4_number_of_transport'!$A:$A,0),MATCH(I$1,'4_number_of_transport'!$1:$1,0))</f>
        <v>3</v>
      </c>
      <c r="J35">
        <f>INDEX('2_land_use'!$1:$343,MATCH($A35,'2_land_use'!$A:$A,0),MATCH(J$1,'2_land_use'!$1:$1,0))</f>
        <v>1.0183709804024246E-4</v>
      </c>
      <c r="K35">
        <f>INDEX('2_land_use'!$1:$343,MATCH($A35,'2_land_use'!$A:$A,0),MATCH(K$1,'2_land_use'!$1:$1,0))</f>
        <v>2.9433028397494697E-3</v>
      </c>
      <c r="L35">
        <f>INDEX('7_biomass'!$1:$343,MATCH($A35,'7_biomass'!$A:$A,0),MATCH(L$1,'7_biomass'!$1:$1,0))</f>
        <v>0.32423565882639432</v>
      </c>
      <c r="M35">
        <f>INDEX('7_biomass'!$1:$343,MATCH($A35,'7_biomass'!$A:$A,0),MATCH(M$1,'7_biomass'!$1:$1,0))</f>
        <v>0.24095590307619258</v>
      </c>
      <c r="N35">
        <f>INDEX('7_biomass'!$1:$343,MATCH($A35,'7_biomass'!$A:$A,0),MATCH(N$1,'7_biomass'!$1:$1,0))</f>
        <v>1.8716580789106086E-2</v>
      </c>
      <c r="O35">
        <f>INDEX('4_number_of_transport'!$1:$343,MATCH($A35,'4_number_of_transport'!$A:$A,0),MATCH(O$1,'4_number_of_transport'!$1:$1,0))</f>
        <v>17768</v>
      </c>
      <c r="P35">
        <f>INDEX('2_land_use'!$1:$343,MATCH($A35,'2_land_use'!$A:$A,0),MATCH(P$1,'2_land_use'!$1:$1,0))</f>
        <v>89.726368383071133</v>
      </c>
      <c r="Q35">
        <f>INDEX('2_land_use'!$1:$343,MATCH($A35,'2_land_use'!$A:$A,0),MATCH(Q$1,'2_land_use'!$1:$1,0))</f>
        <v>0</v>
      </c>
      <c r="R35">
        <f>INDEX('6_roof_surface'!$1:$343,MATCH($A35,'6_roof_surface'!$A:$A,0),MATCH(R$1,'6_roof_surface'!$1:$1,0))</f>
        <v>1.435826</v>
      </c>
      <c r="S35">
        <f>INDEX('6_roof_surface'!$1:$343,MATCH($A35,'6_roof_surface'!$A:$A,0),MATCH(S$1,'6_roof_surface'!$1:$1,0))</f>
        <v>2.021417</v>
      </c>
    </row>
    <row r="36" spans="1:19" x14ac:dyDescent="0.2">
      <c r="A36" t="s">
        <v>36</v>
      </c>
      <c r="B36" t="str">
        <f>INDEX(CBS_gemeenten_alfabetisch_2023!$B:$B,MATCH($A36,CBS_gemeenten_alfabetisch_2023!$A:$A,0))</f>
        <v>Best</v>
      </c>
      <c r="C36">
        <f>INDEX('5_train_share_nl'!$1:$343,MATCH($A36,'5_train_share_nl'!$A:$A,0),MATCH(C$1,'5_train_share_nl'!$1:$1,0))</f>
        <v>2.0155342650724543E-3</v>
      </c>
      <c r="D36">
        <f>INDEX('3_has_tram_metro'!$1:$343,MATCH($A36,'3_has_tram_metro'!$A:$A,0),MATCH(D$1,'3_has_tram_metro'!$1:$1,0))</f>
        <v>0</v>
      </c>
      <c r="E36">
        <f>INDEX('1_buildings_total'!$1:$343,MATCH($A36,'1_buildings_total'!$A:$A,0),MATCH(E$1,'1_buildings_total'!$1:$1,0))</f>
        <v>1559.4059999999997</v>
      </c>
      <c r="F36">
        <f>INDEX('2_land_use'!$1:$343,MATCH($A36,'2_land_use'!$A:$A,0),MATCH(F$1,'2_land_use'!$1:$1,0))</f>
        <v>14.800787365309784</v>
      </c>
      <c r="G36">
        <f>INDEX('4_number_of_transport'!$1:$343,MATCH($A36,'4_number_of_transport'!$A:$A,0),MATCH(G$1,'4_number_of_transport'!$1:$1,0))</f>
        <v>1436</v>
      </c>
      <c r="H36">
        <f>INDEX('4_number_of_transport'!$1:$343,MATCH($A36,'4_number_of_transport'!$A:$A,0),MATCH(H$1,'4_number_of_transport'!$1:$1,0))</f>
        <v>102</v>
      </c>
      <c r="I36">
        <f>INDEX('4_number_of_transport'!$1:$343,MATCH($A36,'4_number_of_transport'!$A:$A,0),MATCH(I$1,'4_number_of_transport'!$1:$1,0))</f>
        <v>2</v>
      </c>
      <c r="J36">
        <f>INDEX('2_land_use'!$1:$343,MATCH($A36,'2_land_use'!$A:$A,0),MATCH(J$1,'2_land_use'!$1:$1,0))</f>
        <v>0</v>
      </c>
      <c r="K36">
        <f>INDEX('2_land_use'!$1:$343,MATCH($A36,'2_land_use'!$A:$A,0),MATCH(K$1,'2_land_use'!$1:$1,0))</f>
        <v>6.6357949789801532E-4</v>
      </c>
      <c r="L36">
        <f>INDEX('7_biomass'!$1:$343,MATCH($A36,'7_biomass'!$A:$A,0),MATCH(L$1,'7_biomass'!$1:$1,0))</f>
        <v>0.10965476886972883</v>
      </c>
      <c r="M36">
        <f>INDEX('7_biomass'!$1:$343,MATCH($A36,'7_biomass'!$A:$A,0),MATCH(M$1,'7_biomass'!$1:$1,0))</f>
        <v>0.12649778103122256</v>
      </c>
      <c r="N36">
        <f>INDEX('7_biomass'!$1:$343,MATCH($A36,'7_biomass'!$A:$A,0),MATCH(N$1,'7_biomass'!$1:$1,0))</f>
        <v>1.8118131393622429E-2</v>
      </c>
      <c r="O36">
        <f>INDEX('4_number_of_transport'!$1:$343,MATCH($A36,'4_number_of_transport'!$A:$A,0),MATCH(O$1,'4_number_of_transport'!$1:$1,0))</f>
        <v>16148</v>
      </c>
      <c r="P36">
        <f>INDEX('2_land_use'!$1:$343,MATCH($A36,'2_land_use'!$A:$A,0),MATCH(P$1,'2_land_use'!$1:$1,0))</f>
        <v>33.888595099105039</v>
      </c>
      <c r="Q36">
        <f>INDEX('2_land_use'!$1:$343,MATCH($A36,'2_land_use'!$A:$A,0),MATCH(Q$1,'2_land_use'!$1:$1,0))</f>
        <v>0</v>
      </c>
      <c r="R36">
        <f>INDEX('6_roof_surface'!$1:$343,MATCH($A36,'6_roof_surface'!$A:$A,0),MATCH(R$1,'6_roof_surface'!$1:$1,0))</f>
        <v>1.026967</v>
      </c>
      <c r="S36">
        <f>INDEX('6_roof_surface'!$1:$343,MATCH($A36,'6_roof_surface'!$A:$A,0),MATCH(S$1,'6_roof_surface'!$1:$1,0))</f>
        <v>1.3116129999999999</v>
      </c>
    </row>
    <row r="37" spans="1:19" x14ac:dyDescent="0.2">
      <c r="A37" t="s">
        <v>37</v>
      </c>
      <c r="B37" t="str">
        <f>INDEX(CBS_gemeenten_alfabetisch_2023!$B:$B,MATCH($A37,CBS_gemeenten_alfabetisch_2023!$A:$A,0))</f>
        <v>Beuningen</v>
      </c>
      <c r="C37">
        <f>INDEX('5_train_share_nl'!$1:$343,MATCH($A37,'5_train_share_nl'!$A:$A,0),MATCH(C$1,'5_train_share_nl'!$1:$1,0))</f>
        <v>0</v>
      </c>
      <c r="D37">
        <f>INDEX('3_has_tram_metro'!$1:$343,MATCH($A37,'3_has_tram_metro'!$A:$A,0),MATCH(D$1,'3_has_tram_metro'!$1:$1,0))</f>
        <v>0</v>
      </c>
      <c r="E37">
        <f>INDEX('1_buildings_total'!$1:$343,MATCH($A37,'1_buildings_total'!$A:$A,0),MATCH(E$1,'1_buildings_total'!$1:$1,0))</f>
        <v>1742.6308461538465</v>
      </c>
      <c r="F37">
        <f>INDEX('2_land_use'!$1:$343,MATCH($A37,'2_land_use'!$A:$A,0),MATCH(F$1,'2_land_use'!$1:$1,0))</f>
        <v>30.438715086614931</v>
      </c>
      <c r="G37">
        <f>INDEX('4_number_of_transport'!$1:$343,MATCH($A37,'4_number_of_transport'!$A:$A,0),MATCH(G$1,'4_number_of_transport'!$1:$1,0))</f>
        <v>1253</v>
      </c>
      <c r="H37">
        <f>INDEX('4_number_of_transport'!$1:$343,MATCH($A37,'4_number_of_transport'!$A:$A,0),MATCH(H$1,'4_number_of_transport'!$1:$1,0))</f>
        <v>88</v>
      </c>
      <c r="I37">
        <f>INDEX('4_number_of_transport'!$1:$343,MATCH($A37,'4_number_of_transport'!$A:$A,0),MATCH(I$1,'4_number_of_transport'!$1:$1,0))</f>
        <v>0</v>
      </c>
      <c r="J37">
        <f>INDEX('2_land_use'!$1:$343,MATCH($A37,'2_land_use'!$A:$A,0),MATCH(J$1,'2_land_use'!$1:$1,0))</f>
        <v>1.0875759204316408E-4</v>
      </c>
      <c r="K37">
        <f>INDEX('2_land_use'!$1:$343,MATCH($A37,'2_land_use'!$A:$A,0),MATCH(K$1,'2_land_use'!$1:$1,0))</f>
        <v>1.3646914029167205E-3</v>
      </c>
      <c r="L37">
        <f>INDEX('7_biomass'!$1:$343,MATCH($A37,'7_biomass'!$A:$A,0),MATCH(L$1,'7_biomass'!$1:$1,0))</f>
        <v>9.9404341831363541E-2</v>
      </c>
      <c r="M37">
        <f>INDEX('7_biomass'!$1:$343,MATCH($A37,'7_biomass'!$A:$A,0),MATCH(M$1,'7_biomass'!$1:$1,0))</f>
        <v>8.3252581041459967E-2</v>
      </c>
      <c r="N37">
        <f>INDEX('7_biomass'!$1:$343,MATCH($A37,'7_biomass'!$A:$A,0),MATCH(N$1,'7_biomass'!$1:$1,0))</f>
        <v>1.5724941374525864E-2</v>
      </c>
      <c r="O37">
        <f>INDEX('4_number_of_transport'!$1:$343,MATCH($A37,'4_number_of_transport'!$A:$A,0),MATCH(O$1,'4_number_of_transport'!$1:$1,0))</f>
        <v>14289</v>
      </c>
      <c r="P37">
        <f>INDEX('2_land_use'!$1:$343,MATCH($A37,'2_land_use'!$A:$A,0),MATCH(P$1,'2_land_use'!$1:$1,0))</f>
        <v>43.604271207553353</v>
      </c>
      <c r="Q37">
        <f>INDEX('2_land_use'!$1:$343,MATCH($A37,'2_land_use'!$A:$A,0),MATCH(Q$1,'2_land_use'!$1:$1,0))</f>
        <v>0</v>
      </c>
      <c r="R37">
        <f>INDEX('6_roof_surface'!$1:$343,MATCH($A37,'6_roof_surface'!$A:$A,0),MATCH(R$1,'6_roof_surface'!$1:$1,0))</f>
        <v>0.93826399999999999</v>
      </c>
      <c r="S37">
        <f>INDEX('6_roof_surface'!$1:$343,MATCH($A37,'6_roof_surface'!$A:$A,0),MATCH(S$1,'6_roof_surface'!$1:$1,0))</f>
        <v>0.8417</v>
      </c>
    </row>
    <row r="38" spans="1:19" x14ac:dyDescent="0.2">
      <c r="A38" t="s">
        <v>38</v>
      </c>
      <c r="B38" t="str">
        <f>INDEX(CBS_gemeenten_alfabetisch_2023!$B:$B,MATCH($A38,CBS_gemeenten_alfabetisch_2023!$A:$A,0))</f>
        <v>Beverwijk</v>
      </c>
      <c r="C38">
        <f>INDEX('5_train_share_nl'!$1:$343,MATCH($A38,'5_train_share_nl'!$A:$A,0),MATCH(C$1,'5_train_share_nl'!$1:$1,0))</f>
        <v>1.6742001714590052E-3</v>
      </c>
      <c r="D38">
        <f>INDEX('3_has_tram_metro'!$1:$343,MATCH($A38,'3_has_tram_metro'!$A:$A,0),MATCH(D$1,'3_has_tram_metro'!$1:$1,0))</f>
        <v>0</v>
      </c>
      <c r="E38">
        <f>INDEX('1_buildings_total'!$1:$343,MATCH($A38,'1_buildings_total'!$A:$A,0),MATCH(E$1,'1_buildings_total'!$1:$1,0))</f>
        <v>2305.5280000000012</v>
      </c>
      <c r="F38">
        <f>INDEX('2_land_use'!$1:$343,MATCH($A38,'2_land_use'!$A:$A,0),MATCH(F$1,'2_land_use'!$1:$1,0))</f>
        <v>3.896434836818603</v>
      </c>
      <c r="G38">
        <f>INDEX('4_number_of_transport'!$1:$343,MATCH($A38,'4_number_of_transport'!$A:$A,0),MATCH(G$1,'4_number_of_transport'!$1:$1,0))</f>
        <v>2195</v>
      </c>
      <c r="H38">
        <f>INDEX('4_number_of_transport'!$1:$343,MATCH($A38,'4_number_of_transport'!$A:$A,0),MATCH(H$1,'4_number_of_transport'!$1:$1,0))</f>
        <v>270</v>
      </c>
      <c r="I38">
        <f>INDEX('4_number_of_transport'!$1:$343,MATCH($A38,'4_number_of_transport'!$A:$A,0),MATCH(I$1,'4_number_of_transport'!$1:$1,0))</f>
        <v>1</v>
      </c>
      <c r="J38">
        <f>INDEX('2_land_use'!$1:$343,MATCH($A38,'2_land_use'!$A:$A,0),MATCH(J$1,'2_land_use'!$1:$1,0))</f>
        <v>0</v>
      </c>
      <c r="K38">
        <f>INDEX('2_land_use'!$1:$343,MATCH($A38,'2_land_use'!$A:$A,0),MATCH(K$1,'2_land_use'!$1:$1,0))</f>
        <v>1.7469302198534133E-4</v>
      </c>
      <c r="L38">
        <f>INDEX('7_biomass'!$1:$343,MATCH($A38,'7_biomass'!$A:$A,0),MATCH(L$1,'7_biomass'!$1:$1,0))</f>
        <v>7.6219069765715075E-2</v>
      </c>
      <c r="M38">
        <f>INDEX('7_biomass'!$1:$343,MATCH($A38,'7_biomass'!$A:$A,0),MATCH(M$1,'7_biomass'!$1:$1,0))</f>
        <v>0.10782937919082346</v>
      </c>
      <c r="N38">
        <f>INDEX('7_biomass'!$1:$343,MATCH($A38,'7_biomass'!$A:$A,0),MATCH(N$1,'7_biomass'!$1:$1,0))</f>
        <v>2.5017007419730966E-2</v>
      </c>
      <c r="O38">
        <f>INDEX('4_number_of_transport'!$1:$343,MATCH($A38,'4_number_of_transport'!$A:$A,0),MATCH(O$1,'4_number_of_transport'!$1:$1,0))</f>
        <v>20145</v>
      </c>
      <c r="P38">
        <f>INDEX('2_land_use'!$1:$343,MATCH($A38,'2_land_use'!$A:$A,0),MATCH(P$1,'2_land_use'!$1:$1,0))</f>
        <v>18.352453268056934</v>
      </c>
      <c r="Q38">
        <f>INDEX('2_land_use'!$1:$343,MATCH($A38,'2_land_use'!$A:$A,0),MATCH(Q$1,'2_land_use'!$1:$1,0))</f>
        <v>1.2003536019062</v>
      </c>
      <c r="R38">
        <f>INDEX('6_roof_surface'!$1:$343,MATCH($A38,'6_roof_surface'!$A:$A,0),MATCH(R$1,'6_roof_surface'!$1:$1,0))</f>
        <v>0.97116400000000003</v>
      </c>
      <c r="S38">
        <f>INDEX('6_roof_surface'!$1:$343,MATCH($A38,'6_roof_surface'!$A:$A,0),MATCH(S$1,'6_roof_surface'!$1:$1,0))</f>
        <v>1.459417</v>
      </c>
    </row>
    <row r="39" spans="1:19" x14ac:dyDescent="0.2">
      <c r="A39" t="s">
        <v>39</v>
      </c>
      <c r="B39" t="str">
        <f>INDEX(CBS_gemeenten_alfabetisch_2023!$B:$B,MATCH($A39,CBS_gemeenten_alfabetisch_2023!$A:$A,0))</f>
        <v>De Bilt</v>
      </c>
      <c r="C39">
        <f>INDEX('5_train_share_nl'!$1:$343,MATCH($A39,'5_train_share_nl'!$A:$A,0),MATCH(C$1,'5_train_share_nl'!$1:$1,0))</f>
        <v>2.1719460597097078E-3</v>
      </c>
      <c r="D39">
        <f>INDEX('3_has_tram_metro'!$1:$343,MATCH($A39,'3_has_tram_metro'!$A:$A,0),MATCH(D$1,'3_has_tram_metro'!$1:$1,0))</f>
        <v>0</v>
      </c>
      <c r="E39">
        <f>INDEX('1_buildings_total'!$1:$343,MATCH($A39,'1_buildings_total'!$A:$A,0),MATCH(E$1,'1_buildings_total'!$1:$1,0))</f>
        <v>3042.5178461538458</v>
      </c>
      <c r="F39">
        <f>INDEX('2_land_use'!$1:$343,MATCH($A39,'2_land_use'!$A:$A,0),MATCH(F$1,'2_land_use'!$1:$1,0))</f>
        <v>33.915299134301947</v>
      </c>
      <c r="G39">
        <f>INDEX('4_number_of_transport'!$1:$343,MATCH($A39,'4_number_of_transport'!$A:$A,0),MATCH(G$1,'4_number_of_transport'!$1:$1,0))</f>
        <v>1807</v>
      </c>
      <c r="H39">
        <f>INDEX('4_number_of_transport'!$1:$343,MATCH($A39,'4_number_of_transport'!$A:$A,0),MATCH(H$1,'4_number_of_transport'!$1:$1,0))</f>
        <v>107</v>
      </c>
      <c r="I39">
        <f>INDEX('4_number_of_transport'!$1:$343,MATCH($A39,'4_number_of_transport'!$A:$A,0),MATCH(I$1,'4_number_of_transport'!$1:$1,0))</f>
        <v>0</v>
      </c>
      <c r="J39">
        <f>INDEX('2_land_use'!$1:$343,MATCH($A39,'2_land_use'!$A:$A,0),MATCH(J$1,'2_land_use'!$1:$1,0))</f>
        <v>2.451447570227613E-4</v>
      </c>
      <c r="K39">
        <f>INDEX('2_land_use'!$1:$343,MATCH($A39,'2_land_use'!$A:$A,0),MATCH(K$1,'2_land_use'!$1:$1,0))</f>
        <v>1.5205608063358618E-3</v>
      </c>
      <c r="L39">
        <f>INDEX('7_biomass'!$1:$343,MATCH($A39,'7_biomass'!$A:$A,0),MATCH(L$1,'7_biomass'!$1:$1,0))</f>
        <v>0.14749327938748388</v>
      </c>
      <c r="M39">
        <f>INDEX('7_biomass'!$1:$343,MATCH($A39,'7_biomass'!$A:$A,0),MATCH(M$1,'7_biomass'!$1:$1,0))</f>
        <v>0.13808796898506065</v>
      </c>
      <c r="N39">
        <f>INDEX('7_biomass'!$1:$343,MATCH($A39,'7_biomass'!$A:$A,0),MATCH(N$1,'7_biomass'!$1:$1,0))</f>
        <v>2.6018270976844737E-2</v>
      </c>
      <c r="O39">
        <f>INDEX('4_number_of_transport'!$1:$343,MATCH($A39,'4_number_of_transport'!$A:$A,0),MATCH(O$1,'4_number_of_transport'!$1:$1,0))</f>
        <v>21742</v>
      </c>
      <c r="P39">
        <f>INDEX('2_land_use'!$1:$343,MATCH($A39,'2_land_use'!$A:$A,0),MATCH(P$1,'2_land_use'!$1:$1,0))</f>
        <v>66.187747761261704</v>
      </c>
      <c r="Q39">
        <f>INDEX('2_land_use'!$1:$343,MATCH($A39,'2_land_use'!$A:$A,0),MATCH(Q$1,'2_land_use'!$1:$1,0))</f>
        <v>0</v>
      </c>
      <c r="R39">
        <f>INDEX('6_roof_surface'!$1:$343,MATCH($A39,'6_roof_surface'!$A:$A,0),MATCH(R$1,'6_roof_surface'!$1:$1,0))</f>
        <v>1.466315</v>
      </c>
      <c r="S39">
        <f>INDEX('6_roof_surface'!$1:$343,MATCH($A39,'6_roof_surface'!$A:$A,0),MATCH(S$1,'6_roof_surface'!$1:$1,0))</f>
        <v>1.035096</v>
      </c>
    </row>
    <row r="40" spans="1:19" x14ac:dyDescent="0.2">
      <c r="A40" t="s">
        <v>40</v>
      </c>
      <c r="B40" t="str">
        <f>INDEX(CBS_gemeenten_alfabetisch_2023!$B:$B,MATCH($A40,CBS_gemeenten_alfabetisch_2023!$A:$A,0))</f>
        <v>Bladel</v>
      </c>
      <c r="C40">
        <f>INDEX('5_train_share_nl'!$1:$343,MATCH($A40,'5_train_share_nl'!$A:$A,0),MATCH(C$1,'5_train_share_nl'!$1:$1,0))</f>
        <v>0</v>
      </c>
      <c r="D40">
        <f>INDEX('3_has_tram_metro'!$1:$343,MATCH($A40,'3_has_tram_metro'!$A:$A,0),MATCH(D$1,'3_has_tram_metro'!$1:$1,0))</f>
        <v>0</v>
      </c>
      <c r="E40">
        <f>INDEX('1_buildings_total'!$1:$343,MATCH($A40,'1_buildings_total'!$A:$A,0),MATCH(E$1,'1_buildings_total'!$1:$1,0))</f>
        <v>2166.0177692307698</v>
      </c>
      <c r="F40">
        <f>INDEX('2_land_use'!$1:$343,MATCH($A40,'2_land_use'!$A:$A,0),MATCH(F$1,'2_land_use'!$1:$1,0))</f>
        <v>42.144051132953692</v>
      </c>
      <c r="G40">
        <f>INDEX('4_number_of_transport'!$1:$343,MATCH($A40,'4_number_of_transport'!$A:$A,0),MATCH(G$1,'4_number_of_transport'!$1:$1,0))</f>
        <v>1926</v>
      </c>
      <c r="H40">
        <f>INDEX('4_number_of_transport'!$1:$343,MATCH($A40,'4_number_of_transport'!$A:$A,0),MATCH(H$1,'4_number_of_transport'!$1:$1,0))</f>
        <v>141</v>
      </c>
      <c r="I40">
        <f>INDEX('4_number_of_transport'!$1:$343,MATCH($A40,'4_number_of_transport'!$A:$A,0),MATCH(I$1,'4_number_of_transport'!$1:$1,0))</f>
        <v>2</v>
      </c>
      <c r="J40">
        <f>INDEX('2_land_use'!$1:$343,MATCH($A40,'2_land_use'!$A:$A,0),MATCH(J$1,'2_land_use'!$1:$1,0))</f>
        <v>6.3624024115880912E-4</v>
      </c>
      <c r="K40">
        <f>INDEX('2_land_use'!$1:$343,MATCH($A40,'2_land_use'!$A:$A,0),MATCH(K$1,'2_land_use'!$1:$1,0))</f>
        <v>1.8894892278326007E-3</v>
      </c>
      <c r="L40">
        <f>INDEX('7_biomass'!$1:$343,MATCH($A40,'7_biomass'!$A:$A,0),MATCH(L$1,'7_biomass'!$1:$1,0))</f>
        <v>0.20985113636535555</v>
      </c>
      <c r="M40">
        <f>INDEX('7_biomass'!$1:$343,MATCH($A40,'7_biomass'!$A:$A,0),MATCH(M$1,'7_biomass'!$1:$1,0))</f>
        <v>0.12301663941975657</v>
      </c>
      <c r="N40">
        <f>INDEX('7_biomass'!$1:$343,MATCH($A40,'7_biomass'!$A:$A,0),MATCH(N$1,'7_biomass'!$1:$1,0))</f>
        <v>1.2257580257748986E-2</v>
      </c>
      <c r="O40">
        <f>INDEX('4_number_of_transport'!$1:$343,MATCH($A40,'4_number_of_transport'!$A:$A,0),MATCH(O$1,'4_number_of_transport'!$1:$1,0))</f>
        <v>12452</v>
      </c>
      <c r="P40">
        <f>INDEX('2_land_use'!$1:$343,MATCH($A40,'2_land_use'!$A:$A,0),MATCH(P$1,'2_land_use'!$1:$1,0))</f>
        <v>75.333985082654308</v>
      </c>
      <c r="Q40">
        <f>INDEX('2_land_use'!$1:$343,MATCH($A40,'2_land_use'!$A:$A,0),MATCH(Q$1,'2_land_use'!$1:$1,0))</f>
        <v>0</v>
      </c>
      <c r="R40">
        <f>INDEX('6_roof_surface'!$1:$343,MATCH($A40,'6_roof_surface'!$A:$A,0),MATCH(R$1,'6_roof_surface'!$1:$1,0))</f>
        <v>1.0073369999999999</v>
      </c>
      <c r="S40">
        <f>INDEX('6_roof_surface'!$1:$343,MATCH($A40,'6_roof_surface'!$A:$A,0),MATCH(S$1,'6_roof_surface'!$1:$1,0))</f>
        <v>1.7579659999999999</v>
      </c>
    </row>
    <row r="41" spans="1:19" x14ac:dyDescent="0.2">
      <c r="A41" t="s">
        <v>41</v>
      </c>
      <c r="B41" t="str">
        <f>INDEX(CBS_gemeenten_alfabetisch_2023!$B:$B,MATCH($A41,CBS_gemeenten_alfabetisch_2023!$A:$A,0))</f>
        <v>Blaricum</v>
      </c>
      <c r="C41">
        <f>INDEX('5_train_share_nl'!$1:$343,MATCH($A41,'5_train_share_nl'!$A:$A,0),MATCH(C$1,'5_train_share_nl'!$1:$1,0))</f>
        <v>0</v>
      </c>
      <c r="D41">
        <f>INDEX('3_has_tram_metro'!$1:$343,MATCH($A41,'3_has_tram_metro'!$A:$A,0),MATCH(D$1,'3_has_tram_metro'!$1:$1,0))</f>
        <v>0</v>
      </c>
      <c r="E41">
        <f>INDEX('1_buildings_total'!$1:$343,MATCH($A41,'1_buildings_total'!$A:$A,0),MATCH(E$1,'1_buildings_total'!$1:$1,0))</f>
        <v>489.10807692307702</v>
      </c>
      <c r="F41">
        <f>INDEX('2_land_use'!$1:$343,MATCH($A41,'2_land_use'!$A:$A,0),MATCH(F$1,'2_land_use'!$1:$1,0))</f>
        <v>3.323177235779406</v>
      </c>
      <c r="G41">
        <f>INDEX('4_number_of_transport'!$1:$343,MATCH($A41,'4_number_of_transport'!$A:$A,0),MATCH(G$1,'4_number_of_transport'!$1:$1,0))</f>
        <v>388</v>
      </c>
      <c r="H41">
        <f>INDEX('4_number_of_transport'!$1:$343,MATCH($A41,'4_number_of_transport'!$A:$A,0),MATCH(H$1,'4_number_of_transport'!$1:$1,0))</f>
        <v>27</v>
      </c>
      <c r="I41">
        <f>INDEX('4_number_of_transport'!$1:$343,MATCH($A41,'4_number_of_transport'!$A:$A,0),MATCH(I$1,'4_number_of_transport'!$1:$1,0))</f>
        <v>0</v>
      </c>
      <c r="J41">
        <f>INDEX('2_land_use'!$1:$343,MATCH($A41,'2_land_use'!$A:$A,0),MATCH(J$1,'2_land_use'!$1:$1,0))</f>
        <v>0</v>
      </c>
      <c r="K41">
        <f>INDEX('2_land_use'!$1:$343,MATCH($A41,'2_land_use'!$A:$A,0),MATCH(K$1,'2_land_use'!$1:$1,0))</f>
        <v>1.4899155207871994E-4</v>
      </c>
      <c r="L41">
        <f>INDEX('7_biomass'!$1:$343,MATCH($A41,'7_biomass'!$A:$A,0),MATCH(L$1,'7_biomass'!$1:$1,0))</f>
        <v>2.3003790555344895E-2</v>
      </c>
      <c r="M41">
        <f>INDEX('7_biomass'!$1:$343,MATCH($A41,'7_biomass'!$A:$A,0),MATCH(M$1,'7_biomass'!$1:$1,0))</f>
        <v>3.2137314118653004E-2</v>
      </c>
      <c r="N41">
        <f>INDEX('7_biomass'!$1:$343,MATCH($A41,'7_biomass'!$A:$A,0),MATCH(N$1,'7_biomass'!$1:$1,0))</f>
        <v>6.805918911886203E-3</v>
      </c>
      <c r="O41">
        <f>INDEX('4_number_of_transport'!$1:$343,MATCH($A41,'4_number_of_transport'!$A:$A,0),MATCH(O$1,'4_number_of_transport'!$1:$1,0))</f>
        <v>7177</v>
      </c>
      <c r="P41">
        <f>INDEX('2_land_use'!$1:$343,MATCH($A41,'2_land_use'!$A:$A,0),MATCH(P$1,'2_land_use'!$1:$1,0))</f>
        <v>11.073163251155338</v>
      </c>
      <c r="Q41">
        <f>INDEX('2_land_use'!$1:$343,MATCH($A41,'2_land_use'!$A:$A,0),MATCH(Q$1,'2_land_use'!$1:$1,0))</f>
        <v>0</v>
      </c>
      <c r="R41">
        <f>INDEX('6_roof_surface'!$1:$343,MATCH($A41,'6_roof_surface'!$A:$A,0),MATCH(R$1,'6_roof_surface'!$1:$1,0))</f>
        <v>0.470748</v>
      </c>
      <c r="S41">
        <f>INDEX('6_roof_surface'!$1:$343,MATCH($A41,'6_roof_surface'!$A:$A,0),MATCH(S$1,'6_roof_surface'!$1:$1,0))</f>
        <v>0.13850999999999999</v>
      </c>
    </row>
    <row r="42" spans="1:19" x14ac:dyDescent="0.2">
      <c r="A42" t="s">
        <v>42</v>
      </c>
      <c r="B42" t="str">
        <f>INDEX(CBS_gemeenten_alfabetisch_2023!$B:$B,MATCH($A42,CBS_gemeenten_alfabetisch_2023!$A:$A,0))</f>
        <v>Bloemendaal</v>
      </c>
      <c r="C42">
        <f>INDEX('5_train_share_nl'!$1:$343,MATCH($A42,'5_train_share_nl'!$A:$A,0),MATCH(C$1,'5_train_share_nl'!$1:$1,0))</f>
        <v>1.1740784078467243E-3</v>
      </c>
      <c r="D42">
        <f>INDEX('3_has_tram_metro'!$1:$343,MATCH($A42,'3_has_tram_metro'!$A:$A,0),MATCH(D$1,'3_has_tram_metro'!$1:$1,0))</f>
        <v>0</v>
      </c>
      <c r="E42">
        <f>INDEX('1_buildings_total'!$1:$343,MATCH($A42,'1_buildings_total'!$A:$A,0),MATCH(E$1,'1_buildings_total'!$1:$1,0))</f>
        <v>1382.4256923076919</v>
      </c>
      <c r="F42">
        <f>INDEX('2_land_use'!$1:$343,MATCH($A42,'2_land_use'!$A:$A,0),MATCH(F$1,'2_land_use'!$1:$1,0))</f>
        <v>4.2183270317021622</v>
      </c>
      <c r="G42">
        <f>INDEX('4_number_of_transport'!$1:$343,MATCH($A42,'4_number_of_transport'!$A:$A,0),MATCH(G$1,'4_number_of_transport'!$1:$1,0))</f>
        <v>478</v>
      </c>
      <c r="H42">
        <f>INDEX('4_number_of_transport'!$1:$343,MATCH($A42,'4_number_of_transport'!$A:$A,0),MATCH(H$1,'4_number_of_transport'!$1:$1,0))</f>
        <v>6</v>
      </c>
      <c r="I42">
        <f>INDEX('4_number_of_transport'!$1:$343,MATCH($A42,'4_number_of_transport'!$A:$A,0),MATCH(I$1,'4_number_of_transport'!$1:$1,0))</f>
        <v>0</v>
      </c>
      <c r="J42">
        <f>INDEX('2_land_use'!$1:$343,MATCH($A42,'2_land_use'!$A:$A,0),MATCH(J$1,'2_land_use'!$1:$1,0))</f>
        <v>0</v>
      </c>
      <c r="K42">
        <f>INDEX('2_land_use'!$1:$343,MATCH($A42,'2_land_use'!$A:$A,0),MATCH(K$1,'2_land_use'!$1:$1,0))</f>
        <v>1.8912475833733852E-4</v>
      </c>
      <c r="L42">
        <f>INDEX('7_biomass'!$1:$343,MATCH($A42,'7_biomass'!$A:$A,0),MATCH(L$1,'7_biomass'!$1:$1,0))</f>
        <v>5.8499526330365308E-2</v>
      </c>
      <c r="M42">
        <f>INDEX('7_biomass'!$1:$343,MATCH($A42,'7_biomass'!$A:$A,0),MATCH(M$1,'7_biomass'!$1:$1,0))</f>
        <v>7.0611707874379301E-2</v>
      </c>
      <c r="N42">
        <f>INDEX('7_biomass'!$1:$343,MATCH($A42,'7_biomass'!$A:$A,0),MATCH(N$1,'7_biomass'!$1:$1,0))</f>
        <v>1.4223046038855207E-2</v>
      </c>
      <c r="O42">
        <f>INDEX('4_number_of_transport'!$1:$343,MATCH($A42,'4_number_of_transport'!$A:$A,0),MATCH(O$1,'4_number_of_transport'!$1:$1,0))</f>
        <v>12488</v>
      </c>
      <c r="P42">
        <f>INDEX('2_land_use'!$1:$343,MATCH($A42,'2_land_use'!$A:$A,0),MATCH(P$1,'2_land_use'!$1:$1,0))</f>
        <v>39.767135226923749</v>
      </c>
      <c r="Q42">
        <f>INDEX('2_land_use'!$1:$343,MATCH($A42,'2_land_use'!$A:$A,0),MATCH(Q$1,'2_land_use'!$1:$1,0))</f>
        <v>4.6858478766222564</v>
      </c>
      <c r="R42">
        <f>INDEX('6_roof_surface'!$1:$343,MATCH($A42,'6_roof_surface'!$A:$A,0),MATCH(R$1,'6_roof_surface'!$1:$1,0))</f>
        <v>0.89603299999999997</v>
      </c>
      <c r="S42">
        <f>INDEX('6_roof_surface'!$1:$343,MATCH($A42,'6_roof_surface'!$A:$A,0),MATCH(S$1,'6_roof_surface'!$1:$1,0))</f>
        <v>0.31656699999999999</v>
      </c>
    </row>
    <row r="43" spans="1:19" x14ac:dyDescent="0.2">
      <c r="A43" t="s">
        <v>43</v>
      </c>
      <c r="B43" t="str">
        <f>INDEX(CBS_gemeenten_alfabetisch_2023!$B:$B,MATCH($A43,CBS_gemeenten_alfabetisch_2023!$A:$A,0))</f>
        <v>Bodegraven-Reeuwijk</v>
      </c>
      <c r="C43">
        <f>INDEX('5_train_share_nl'!$1:$343,MATCH($A43,'5_train_share_nl'!$A:$A,0),MATCH(C$1,'5_train_share_nl'!$1:$1,0))</f>
        <v>1.1899175769239146E-3</v>
      </c>
      <c r="D43">
        <f>INDEX('3_has_tram_metro'!$1:$343,MATCH($A43,'3_has_tram_metro'!$A:$A,0),MATCH(D$1,'3_has_tram_metro'!$1:$1,0))</f>
        <v>0</v>
      </c>
      <c r="E43">
        <f>INDEX('1_buildings_total'!$1:$343,MATCH($A43,'1_buildings_total'!$A:$A,0),MATCH(E$1,'1_buildings_total'!$1:$1,0))</f>
        <v>2185.0651538461534</v>
      </c>
      <c r="F43">
        <f>INDEX('2_land_use'!$1:$343,MATCH($A43,'2_land_use'!$A:$A,0),MATCH(F$1,'2_land_use'!$1:$1,0))</f>
        <v>62.890349826545737</v>
      </c>
      <c r="G43">
        <f>INDEX('4_number_of_transport'!$1:$343,MATCH($A43,'4_number_of_transport'!$A:$A,0),MATCH(G$1,'4_number_of_transport'!$1:$1,0))</f>
        <v>2587</v>
      </c>
      <c r="H43">
        <f>INDEX('4_number_of_transport'!$1:$343,MATCH($A43,'4_number_of_transport'!$A:$A,0),MATCH(H$1,'4_number_of_transport'!$1:$1,0))</f>
        <v>223</v>
      </c>
      <c r="I43">
        <f>INDEX('4_number_of_transport'!$1:$343,MATCH($A43,'4_number_of_transport'!$A:$A,0),MATCH(I$1,'4_number_of_transport'!$1:$1,0))</f>
        <v>13</v>
      </c>
      <c r="J43">
        <f>INDEX('2_land_use'!$1:$343,MATCH($A43,'2_land_use'!$A:$A,0),MATCH(J$1,'2_land_use'!$1:$1,0))</f>
        <v>5.8230773797331658E-4</v>
      </c>
      <c r="K43">
        <f>INDEX('2_land_use'!$1:$343,MATCH($A43,'2_land_use'!$A:$A,0),MATCH(K$1,'2_land_use'!$1:$1,0))</f>
        <v>2.8196301811850453E-3</v>
      </c>
      <c r="L43">
        <f>INDEX('7_biomass'!$1:$343,MATCH($A43,'7_biomass'!$A:$A,0),MATCH(L$1,'7_biomass'!$1:$1,0))</f>
        <v>0.31618105693934589</v>
      </c>
      <c r="M43">
        <f>INDEX('7_biomass'!$1:$343,MATCH($A43,'7_biomass'!$A:$A,0),MATCH(M$1,'7_biomass'!$1:$1,0))</f>
        <v>0.10945153512670372</v>
      </c>
      <c r="N43">
        <f>INDEX('7_biomass'!$1:$343,MATCH($A43,'7_biomass'!$A:$A,0),MATCH(N$1,'7_biomass'!$1:$1,0))</f>
        <v>2.0937830525033237E-2</v>
      </c>
      <c r="O43">
        <f>INDEX('4_number_of_transport'!$1:$343,MATCH($A43,'4_number_of_transport'!$A:$A,0),MATCH(O$1,'4_number_of_transport'!$1:$1,0))</f>
        <v>17882</v>
      </c>
      <c r="P43">
        <f>INDEX('2_land_use'!$1:$343,MATCH($A43,'2_land_use'!$A:$A,0),MATCH(P$1,'2_land_use'!$1:$1,0))</f>
        <v>75.403604197481215</v>
      </c>
      <c r="Q43">
        <f>INDEX('2_land_use'!$1:$343,MATCH($A43,'2_land_use'!$A:$A,0),MATCH(Q$1,'2_land_use'!$1:$1,0))</f>
        <v>0</v>
      </c>
      <c r="R43">
        <f>INDEX('6_roof_surface'!$1:$343,MATCH($A43,'6_roof_surface'!$A:$A,0),MATCH(R$1,'6_roof_surface'!$1:$1,0))</f>
        <v>1.214437</v>
      </c>
      <c r="S43">
        <f>INDEX('6_roof_surface'!$1:$343,MATCH($A43,'6_roof_surface'!$A:$A,0),MATCH(S$1,'6_roof_surface'!$1:$1,0))</f>
        <v>1.286456</v>
      </c>
    </row>
    <row r="44" spans="1:19" x14ac:dyDescent="0.2">
      <c r="A44" t="s">
        <v>44</v>
      </c>
      <c r="B44" t="str">
        <f>INDEX(CBS_gemeenten_alfabetisch_2023!$B:$B,MATCH($A44,CBS_gemeenten_alfabetisch_2023!$A:$A,0))</f>
        <v>Boekel</v>
      </c>
      <c r="C44">
        <f>INDEX('5_train_share_nl'!$1:$343,MATCH($A44,'5_train_share_nl'!$A:$A,0),MATCH(C$1,'5_train_share_nl'!$1:$1,0))</f>
        <v>0</v>
      </c>
      <c r="D44">
        <f>INDEX('3_has_tram_metro'!$1:$343,MATCH($A44,'3_has_tram_metro'!$A:$A,0),MATCH(D$1,'3_has_tram_metro'!$1:$1,0))</f>
        <v>0</v>
      </c>
      <c r="E44">
        <f>INDEX('1_buildings_total'!$1:$343,MATCH($A44,'1_buildings_total'!$A:$A,0),MATCH(E$1,'1_buildings_total'!$1:$1,0))</f>
        <v>1368.8810769230772</v>
      </c>
      <c r="F44">
        <f>INDEX('2_land_use'!$1:$343,MATCH($A44,'2_land_use'!$A:$A,0),MATCH(F$1,'2_land_use'!$1:$1,0))</f>
        <v>28.917915191156524</v>
      </c>
      <c r="G44">
        <f>INDEX('4_number_of_transport'!$1:$343,MATCH($A44,'4_number_of_transport'!$A:$A,0),MATCH(G$1,'4_number_of_transport'!$1:$1,0))</f>
        <v>1165</v>
      </c>
      <c r="H44">
        <f>INDEX('4_number_of_transport'!$1:$343,MATCH($A44,'4_number_of_transport'!$A:$A,0),MATCH(H$1,'4_number_of_transport'!$1:$1,0))</f>
        <v>56</v>
      </c>
      <c r="I44">
        <f>INDEX('4_number_of_transport'!$1:$343,MATCH($A44,'4_number_of_transport'!$A:$A,0),MATCH(I$1,'4_number_of_transport'!$1:$1,0))</f>
        <v>1</v>
      </c>
      <c r="J44">
        <f>INDEX('2_land_use'!$1:$343,MATCH($A44,'2_land_use'!$A:$A,0),MATCH(J$1,'2_land_use'!$1:$1,0))</f>
        <v>1.444352311622914E-3</v>
      </c>
      <c r="K44">
        <f>INDEX('2_land_use'!$1:$343,MATCH($A44,'2_land_use'!$A:$A,0),MATCH(K$1,'2_land_use'!$1:$1,0))</f>
        <v>1.2965077579440924E-3</v>
      </c>
      <c r="L44">
        <f>INDEX('7_biomass'!$1:$343,MATCH($A44,'7_biomass'!$A:$A,0),MATCH(L$1,'7_biomass'!$1:$1,0))</f>
        <v>0.1451644994888012</v>
      </c>
      <c r="M44">
        <f>INDEX('7_biomass'!$1:$343,MATCH($A44,'7_biomass'!$A:$A,0),MATCH(M$1,'7_biomass'!$1:$1,0))</f>
        <v>6.3332834862508916E-2</v>
      </c>
      <c r="N44">
        <f>INDEX('7_biomass'!$1:$343,MATCH($A44,'7_biomass'!$A:$A,0),MATCH(N$1,'7_biomass'!$1:$1,0))</f>
        <v>6.4328753293207567E-3</v>
      </c>
      <c r="O44">
        <f>INDEX('4_number_of_transport'!$1:$343,MATCH($A44,'4_number_of_transport'!$A:$A,0),MATCH(O$1,'4_number_of_transport'!$1:$1,0))</f>
        <v>6209</v>
      </c>
      <c r="P44">
        <f>INDEX('2_land_use'!$1:$343,MATCH($A44,'2_land_use'!$A:$A,0),MATCH(P$1,'2_land_use'!$1:$1,0))</f>
        <v>34.499204836138439</v>
      </c>
      <c r="Q44">
        <f>INDEX('2_land_use'!$1:$343,MATCH($A44,'2_land_use'!$A:$A,0),MATCH(Q$1,'2_land_use'!$1:$1,0))</f>
        <v>0</v>
      </c>
      <c r="R44">
        <f>INDEX('6_roof_surface'!$1:$343,MATCH($A44,'6_roof_surface'!$A:$A,0),MATCH(R$1,'6_roof_surface'!$1:$1,0))</f>
        <v>0.60128999999999999</v>
      </c>
      <c r="S44">
        <f>INDEX('6_roof_surface'!$1:$343,MATCH($A44,'6_roof_surface'!$A:$A,0),MATCH(S$1,'6_roof_surface'!$1:$1,0))</f>
        <v>1.1535249999999999</v>
      </c>
    </row>
    <row r="45" spans="1:19" x14ac:dyDescent="0.2">
      <c r="A45" t="s">
        <v>45</v>
      </c>
      <c r="B45" t="str">
        <f>INDEX(CBS_gemeenten_alfabetisch_2023!$B:$B,MATCH($A45,CBS_gemeenten_alfabetisch_2023!$A:$A,0))</f>
        <v>Borger-Odoorn</v>
      </c>
      <c r="C45">
        <f>INDEX('5_train_share_nl'!$1:$343,MATCH($A45,'5_train_share_nl'!$A:$A,0),MATCH(C$1,'5_train_share_nl'!$1:$1,0))</f>
        <v>0</v>
      </c>
      <c r="D45">
        <f>INDEX('3_has_tram_metro'!$1:$343,MATCH($A45,'3_has_tram_metro'!$A:$A,0),MATCH(D$1,'3_has_tram_metro'!$1:$1,0))</f>
        <v>0</v>
      </c>
      <c r="E45">
        <f>INDEX('1_buildings_total'!$1:$343,MATCH($A45,'1_buildings_total'!$A:$A,0),MATCH(E$1,'1_buildings_total'!$1:$1,0))</f>
        <v>3067.803230769231</v>
      </c>
      <c r="F45">
        <f>INDEX('2_land_use'!$1:$343,MATCH($A45,'2_land_use'!$A:$A,0),MATCH(F$1,'2_land_use'!$1:$1,0))</f>
        <v>213.11438554296328</v>
      </c>
      <c r="G45">
        <f>INDEX('4_number_of_transport'!$1:$343,MATCH($A45,'4_number_of_transport'!$A:$A,0),MATCH(G$1,'4_number_of_transport'!$1:$1,0))</f>
        <v>2265</v>
      </c>
      <c r="H45">
        <f>INDEX('4_number_of_transport'!$1:$343,MATCH($A45,'4_number_of_transport'!$A:$A,0),MATCH(H$1,'4_number_of_transport'!$1:$1,0))</f>
        <v>127</v>
      </c>
      <c r="I45">
        <f>INDEX('4_number_of_transport'!$1:$343,MATCH($A45,'4_number_of_transport'!$A:$A,0),MATCH(I$1,'4_number_of_transport'!$1:$1,0))</f>
        <v>3</v>
      </c>
      <c r="J45">
        <f>INDEX('2_land_use'!$1:$343,MATCH($A45,'2_land_use'!$A:$A,0),MATCH(J$1,'2_land_use'!$1:$1,0))</f>
        <v>0</v>
      </c>
      <c r="K45">
        <f>INDEX('2_land_use'!$1:$343,MATCH($A45,'2_land_use'!$A:$A,0),MATCH(K$1,'2_land_use'!$1:$1,0))</f>
        <v>9.5547847194198052E-3</v>
      </c>
      <c r="L45">
        <f>INDEX('7_biomass'!$1:$343,MATCH($A45,'7_biomass'!$A:$A,0),MATCH(L$1,'7_biomass'!$1:$1,0))</f>
        <v>0.3868982895498792</v>
      </c>
      <c r="M45">
        <f>INDEX('7_biomass'!$1:$343,MATCH($A45,'7_biomass'!$A:$A,0),MATCH(M$1,'7_biomass'!$1:$1,0))</f>
        <v>0.26631220284289553</v>
      </c>
      <c r="N45">
        <f>INDEX('7_biomass'!$1:$343,MATCH($A45,'7_biomass'!$A:$A,0),MATCH(N$1,'7_biomass'!$1:$1,0))</f>
        <v>1.5415084327118082E-2</v>
      </c>
      <c r="O45">
        <f>INDEX('4_number_of_transport'!$1:$343,MATCH($A45,'4_number_of_transport'!$A:$A,0),MATCH(O$1,'4_number_of_transport'!$1:$1,0))</f>
        <v>15982</v>
      </c>
      <c r="P45">
        <f>INDEX('2_land_use'!$1:$343,MATCH($A45,'2_land_use'!$A:$A,0),MATCH(P$1,'2_land_use'!$1:$1,0))</f>
        <v>274.68570220411311</v>
      </c>
      <c r="Q45">
        <f>INDEX('2_land_use'!$1:$343,MATCH($A45,'2_land_use'!$A:$A,0),MATCH(Q$1,'2_land_use'!$1:$1,0))</f>
        <v>0</v>
      </c>
      <c r="R45">
        <f>INDEX('6_roof_surface'!$1:$343,MATCH($A45,'6_roof_surface'!$A:$A,0),MATCH(R$1,'6_roof_surface'!$1:$1,0))</f>
        <v>1.4499550000000001</v>
      </c>
      <c r="S45">
        <f>INDEX('6_roof_surface'!$1:$343,MATCH($A45,'6_roof_surface'!$A:$A,0),MATCH(S$1,'6_roof_surface'!$1:$1,0))</f>
        <v>1.4445939999999999</v>
      </c>
    </row>
    <row r="46" spans="1:19" x14ac:dyDescent="0.2">
      <c r="A46" t="s">
        <v>46</v>
      </c>
      <c r="B46" t="str">
        <f>INDEX(CBS_gemeenten_alfabetisch_2023!$B:$B,MATCH($A46,CBS_gemeenten_alfabetisch_2023!$A:$A,0))</f>
        <v>Borne</v>
      </c>
      <c r="C46">
        <f>INDEX('5_train_share_nl'!$1:$343,MATCH($A46,'5_train_share_nl'!$A:$A,0),MATCH(C$1,'5_train_share_nl'!$1:$1,0))</f>
        <v>1.1325005890191E-4</v>
      </c>
      <c r="D46">
        <f>INDEX('3_has_tram_metro'!$1:$343,MATCH($A46,'3_has_tram_metro'!$A:$A,0),MATCH(D$1,'3_has_tram_metro'!$1:$1,0))</f>
        <v>0</v>
      </c>
      <c r="E46">
        <f>INDEX('1_buildings_total'!$1:$343,MATCH($A46,'1_buildings_total'!$A:$A,0),MATCH(E$1,'1_buildings_total'!$1:$1,0))</f>
        <v>1553.8691538461537</v>
      </c>
      <c r="F46">
        <f>INDEX('2_land_use'!$1:$343,MATCH($A46,'2_land_use'!$A:$A,0),MATCH(F$1,'2_land_use'!$1:$1,0))</f>
        <v>16.082348313810243</v>
      </c>
      <c r="G46">
        <f>INDEX('4_number_of_transport'!$1:$343,MATCH($A46,'4_number_of_transport'!$A:$A,0),MATCH(G$1,'4_number_of_transport'!$1:$1,0))</f>
        <v>1225</v>
      </c>
      <c r="H46">
        <f>INDEX('4_number_of_transport'!$1:$343,MATCH($A46,'4_number_of_transport'!$A:$A,0),MATCH(H$1,'4_number_of_transport'!$1:$1,0))</f>
        <v>77</v>
      </c>
      <c r="I46">
        <f>INDEX('4_number_of_transport'!$1:$343,MATCH($A46,'4_number_of_transport'!$A:$A,0),MATCH(I$1,'4_number_of_transport'!$1:$1,0))</f>
        <v>7</v>
      </c>
      <c r="J46">
        <f>INDEX('2_land_use'!$1:$343,MATCH($A46,'2_land_use'!$A:$A,0),MATCH(J$1,'2_land_use'!$1:$1,0))</f>
        <v>0</v>
      </c>
      <c r="K46">
        <f>INDEX('2_land_use'!$1:$343,MATCH($A46,'2_land_use'!$A:$A,0),MATCH(K$1,'2_land_use'!$1:$1,0))</f>
        <v>7.2103708780467499E-4</v>
      </c>
      <c r="L46">
        <f>INDEX('7_biomass'!$1:$343,MATCH($A46,'7_biomass'!$A:$A,0),MATCH(L$1,'7_biomass'!$1:$1,0))</f>
        <v>6.8191568271452146E-2</v>
      </c>
      <c r="M46">
        <f>INDEX('7_biomass'!$1:$343,MATCH($A46,'7_biomass'!$A:$A,0),MATCH(M$1,'7_biomass'!$1:$1,0))</f>
        <v>6.6748009569449984E-2</v>
      </c>
      <c r="N46">
        <f>INDEX('7_biomass'!$1:$343,MATCH($A46,'7_biomass'!$A:$A,0),MATCH(N$1,'7_biomass'!$1:$1,0))</f>
        <v>1.4101533471244312E-2</v>
      </c>
      <c r="O46">
        <f>INDEX('4_number_of_transport'!$1:$343,MATCH($A46,'4_number_of_transport'!$A:$A,0),MATCH(O$1,'4_number_of_transport'!$1:$1,0))</f>
        <v>12586</v>
      </c>
      <c r="P46">
        <f>INDEX('2_land_use'!$1:$343,MATCH($A46,'2_land_use'!$A:$A,0),MATCH(P$1,'2_land_use'!$1:$1,0))</f>
        <v>25.989929172112774</v>
      </c>
      <c r="Q46">
        <f>INDEX('2_land_use'!$1:$343,MATCH($A46,'2_land_use'!$A:$A,0),MATCH(Q$1,'2_land_use'!$1:$1,0))</f>
        <v>0</v>
      </c>
      <c r="R46">
        <f>INDEX('6_roof_surface'!$1:$343,MATCH($A46,'6_roof_surface'!$A:$A,0),MATCH(R$1,'6_roof_surface'!$1:$1,0))</f>
        <v>0.87059600000000004</v>
      </c>
      <c r="S46">
        <f>INDEX('6_roof_surface'!$1:$343,MATCH($A46,'6_roof_surface'!$A:$A,0),MATCH(S$1,'6_roof_surface'!$1:$1,0))</f>
        <v>0.57528800000000002</v>
      </c>
    </row>
    <row r="47" spans="1:19" x14ac:dyDescent="0.2">
      <c r="A47" t="s">
        <v>47</v>
      </c>
      <c r="B47" t="str">
        <f>INDEX(CBS_gemeenten_alfabetisch_2023!$B:$B,MATCH($A47,CBS_gemeenten_alfabetisch_2023!$A:$A,0))</f>
        <v>Borsele</v>
      </c>
      <c r="C47">
        <f>INDEX('5_train_share_nl'!$1:$343,MATCH($A47,'5_train_share_nl'!$A:$A,0),MATCH(C$1,'5_train_share_nl'!$1:$1,0))</f>
        <v>0</v>
      </c>
      <c r="D47">
        <f>INDEX('3_has_tram_metro'!$1:$343,MATCH($A47,'3_has_tram_metro'!$A:$A,0),MATCH(D$1,'3_has_tram_metro'!$1:$1,0))</f>
        <v>0</v>
      </c>
      <c r="E47">
        <f>INDEX('1_buildings_total'!$1:$343,MATCH($A47,'1_buildings_total'!$A:$A,0),MATCH(E$1,'1_buildings_total'!$1:$1,0))</f>
        <v>2050.5682307692314</v>
      </c>
      <c r="F47">
        <f>INDEX('2_land_use'!$1:$343,MATCH($A47,'2_land_use'!$A:$A,0),MATCH(F$1,'2_land_use'!$1:$1,0))</f>
        <v>116.63885880063927</v>
      </c>
      <c r="G47">
        <f>INDEX('4_number_of_transport'!$1:$343,MATCH($A47,'4_number_of_transport'!$A:$A,0),MATCH(G$1,'4_number_of_transport'!$1:$1,0))</f>
        <v>2322</v>
      </c>
      <c r="H47">
        <f>INDEX('4_number_of_transport'!$1:$343,MATCH($A47,'4_number_of_transport'!$A:$A,0),MATCH(H$1,'4_number_of_transport'!$1:$1,0))</f>
        <v>139</v>
      </c>
      <c r="I47">
        <f>INDEX('4_number_of_transport'!$1:$343,MATCH($A47,'4_number_of_transport'!$A:$A,0),MATCH(I$1,'4_number_of_transport'!$1:$1,0))</f>
        <v>36</v>
      </c>
      <c r="J47">
        <f>INDEX('2_land_use'!$1:$343,MATCH($A47,'2_land_use'!$A:$A,0),MATCH(J$1,'2_land_use'!$1:$1,0))</f>
        <v>0</v>
      </c>
      <c r="K47">
        <f>INDEX('2_land_use'!$1:$343,MATCH($A47,'2_land_use'!$A:$A,0),MATCH(K$1,'2_land_use'!$1:$1,0))</f>
        <v>5.2293944536852509E-3</v>
      </c>
      <c r="L47">
        <f>INDEX('7_biomass'!$1:$343,MATCH($A47,'7_biomass'!$A:$A,0),MATCH(L$1,'7_biomass'!$1:$1,0))</f>
        <v>0.41207775238342714</v>
      </c>
      <c r="M47">
        <f>INDEX('7_biomass'!$1:$343,MATCH($A47,'7_biomass'!$A:$A,0),MATCH(M$1,'7_biomass'!$1:$1,0))</f>
        <v>0.1259842317513401</v>
      </c>
      <c r="N47">
        <f>INDEX('7_biomass'!$1:$343,MATCH($A47,'7_biomass'!$A:$A,0),MATCH(N$1,'7_biomass'!$1:$1,0))</f>
        <v>1.3852432707641978E-2</v>
      </c>
      <c r="O47">
        <f>INDEX('4_number_of_transport'!$1:$343,MATCH($A47,'4_number_of_transport'!$A:$A,0),MATCH(O$1,'4_number_of_transport'!$1:$1,0))</f>
        <v>13512</v>
      </c>
      <c r="P47">
        <f>INDEX('2_land_use'!$1:$343,MATCH($A47,'2_land_use'!$A:$A,0),MATCH(P$1,'2_land_use'!$1:$1,0))</f>
        <v>141.47138525996314</v>
      </c>
      <c r="Q47">
        <f>INDEX('2_land_use'!$1:$343,MATCH($A47,'2_land_use'!$A:$A,0),MATCH(Q$1,'2_land_use'!$1:$1,0))</f>
        <v>51.74009659251444</v>
      </c>
      <c r="R47">
        <f>INDEX('6_roof_surface'!$1:$343,MATCH($A47,'6_roof_surface'!$A:$A,0),MATCH(R$1,'6_roof_surface'!$1:$1,0))</f>
        <v>0.97327200000000003</v>
      </c>
      <c r="S47">
        <f>INDEX('6_roof_surface'!$1:$343,MATCH($A47,'6_roof_surface'!$A:$A,0),MATCH(S$1,'6_roof_surface'!$1:$1,0))</f>
        <v>1.8721730000000001</v>
      </c>
    </row>
    <row r="48" spans="1:19" x14ac:dyDescent="0.2">
      <c r="A48" t="s">
        <v>48</v>
      </c>
      <c r="B48" t="str">
        <f>INDEX(CBS_gemeenten_alfabetisch_2023!$B:$B,MATCH($A48,CBS_gemeenten_alfabetisch_2023!$A:$A,0))</f>
        <v>Boxtel</v>
      </c>
      <c r="C48">
        <f>INDEX('5_train_share_nl'!$1:$343,MATCH($A48,'5_train_share_nl'!$A:$A,0),MATCH(C$1,'5_train_share_nl'!$1:$1,0))</f>
        <v>2.0678035230271819E-3</v>
      </c>
      <c r="D48">
        <f>INDEX('3_has_tram_metro'!$1:$343,MATCH($A48,'3_has_tram_metro'!$A:$A,0),MATCH(D$1,'3_has_tram_metro'!$1:$1,0))</f>
        <v>0</v>
      </c>
      <c r="E48">
        <f>INDEX('1_buildings_total'!$1:$343,MATCH($A48,'1_buildings_total'!$A:$A,0),MATCH(E$1,'1_buildings_total'!$1:$1,0))</f>
        <v>2254.9693846153846</v>
      </c>
      <c r="F48">
        <f>INDEX('2_land_use'!$1:$343,MATCH($A48,'2_land_use'!$A:$A,0),MATCH(F$1,'2_land_use'!$1:$1,0))</f>
        <v>39.671449985230183</v>
      </c>
      <c r="G48">
        <f>INDEX('4_number_of_transport'!$1:$343,MATCH($A48,'4_number_of_transport'!$A:$A,0),MATCH(G$1,'4_number_of_transport'!$1:$1,0))</f>
        <v>2116</v>
      </c>
      <c r="H48">
        <f>INDEX('4_number_of_transport'!$1:$343,MATCH($A48,'4_number_of_transport'!$A:$A,0),MATCH(H$1,'4_number_of_transport'!$1:$1,0))</f>
        <v>142</v>
      </c>
      <c r="I48">
        <f>INDEX('4_number_of_transport'!$1:$343,MATCH($A48,'4_number_of_transport'!$A:$A,0),MATCH(I$1,'4_number_of_transport'!$1:$1,0))</f>
        <v>5</v>
      </c>
      <c r="J48">
        <f>INDEX('2_land_use'!$1:$343,MATCH($A48,'2_land_use'!$A:$A,0),MATCH(J$1,'2_land_use'!$1:$1,0))</f>
        <v>6.1011728409160525E-4</v>
      </c>
      <c r="K48">
        <f>INDEX('2_land_use'!$1:$343,MATCH($A48,'2_land_use'!$A:$A,0),MATCH(K$1,'2_land_use'!$1:$1,0))</f>
        <v>1.7786324613909676E-3</v>
      </c>
      <c r="L48">
        <f>INDEX('7_biomass'!$1:$343,MATCH($A48,'7_biomass'!$A:$A,0),MATCH(L$1,'7_biomass'!$1:$1,0))</f>
        <v>0.17556673529587688</v>
      </c>
      <c r="M48">
        <f>INDEX('7_biomass'!$1:$343,MATCH($A48,'7_biomass'!$A:$A,0),MATCH(M$1,'7_biomass'!$1:$1,0))</f>
        <v>0.10361126798644775</v>
      </c>
      <c r="N48">
        <f>INDEX('7_biomass'!$1:$343,MATCH($A48,'7_biomass'!$A:$A,0),MATCH(N$1,'7_biomass'!$1:$1,0))</f>
        <v>1.868073458166087E-2</v>
      </c>
      <c r="O48">
        <f>INDEX('4_number_of_transport'!$1:$343,MATCH($A48,'4_number_of_transport'!$A:$A,0),MATCH(O$1,'4_number_of_transport'!$1:$1,0))</f>
        <v>16841</v>
      </c>
      <c r="P48">
        <f>INDEX('2_land_use'!$1:$343,MATCH($A48,'2_land_use'!$A:$A,0),MATCH(P$1,'2_land_use'!$1:$1,0))</f>
        <v>69.012860605230387</v>
      </c>
      <c r="Q48">
        <f>INDEX('2_land_use'!$1:$343,MATCH($A48,'2_land_use'!$A:$A,0),MATCH(Q$1,'2_land_use'!$1:$1,0))</f>
        <v>0</v>
      </c>
      <c r="R48">
        <f>INDEX('6_roof_surface'!$1:$343,MATCH($A48,'6_roof_surface'!$A:$A,0),MATCH(R$1,'6_roof_surface'!$1:$1,0))</f>
        <v>1.2735190000000001</v>
      </c>
      <c r="S48">
        <f>INDEX('6_roof_surface'!$1:$343,MATCH($A48,'6_roof_surface'!$A:$A,0),MATCH(S$1,'6_roof_surface'!$1:$1,0))</f>
        <v>1.3954120000000001</v>
      </c>
    </row>
    <row r="49" spans="1:19" x14ac:dyDescent="0.2">
      <c r="A49" t="s">
        <v>49</v>
      </c>
      <c r="B49" t="str">
        <f>INDEX(CBS_gemeenten_alfabetisch_2023!$B:$B,MATCH($A49,CBS_gemeenten_alfabetisch_2023!$A:$A,0))</f>
        <v>Breda</v>
      </c>
      <c r="C49">
        <f>INDEX('5_train_share_nl'!$1:$343,MATCH($A49,'5_train_share_nl'!$A:$A,0),MATCH(C$1,'5_train_share_nl'!$1:$1,0))</f>
        <v>1.4866644095850732E-2</v>
      </c>
      <c r="D49">
        <f>INDEX('3_has_tram_metro'!$1:$343,MATCH($A49,'3_has_tram_metro'!$A:$A,0),MATCH(D$1,'3_has_tram_metro'!$1:$1,0))</f>
        <v>0</v>
      </c>
      <c r="E49">
        <f>INDEX('1_buildings_total'!$1:$343,MATCH($A49,'1_buildings_total'!$A:$A,0),MATCH(E$1,'1_buildings_total'!$1:$1,0))</f>
        <v>12424.089153846151</v>
      </c>
      <c r="F49">
        <f>INDEX('2_land_use'!$1:$343,MATCH($A49,'2_land_use'!$A:$A,0),MATCH(F$1,'2_land_use'!$1:$1,0))</f>
        <v>56.117209650110809</v>
      </c>
      <c r="G49">
        <f>INDEX('4_number_of_transport'!$1:$343,MATCH($A49,'4_number_of_transport'!$A:$A,0),MATCH(G$1,'4_number_of_transport'!$1:$1,0))</f>
        <v>15376</v>
      </c>
      <c r="H49">
        <f>INDEX('4_number_of_transport'!$1:$343,MATCH($A49,'4_number_of_transport'!$A:$A,0),MATCH(H$1,'4_number_of_transport'!$1:$1,0))</f>
        <v>423</v>
      </c>
      <c r="I49">
        <f>INDEX('4_number_of_transport'!$1:$343,MATCH($A49,'4_number_of_transport'!$A:$A,0),MATCH(I$1,'4_number_of_transport'!$1:$1,0))</f>
        <v>31</v>
      </c>
      <c r="J49">
        <f>INDEX('2_land_use'!$1:$343,MATCH($A49,'2_land_use'!$A:$A,0),MATCH(J$1,'2_land_use'!$1:$1,0))</f>
        <v>7.2127880363927546E-3</v>
      </c>
      <c r="K49">
        <f>INDEX('2_land_use'!$1:$343,MATCH($A49,'2_land_use'!$A:$A,0),MATCH(K$1,'2_land_use'!$1:$1,0))</f>
        <v>2.5159627581933571E-3</v>
      </c>
      <c r="L49">
        <f>INDEX('7_biomass'!$1:$343,MATCH($A49,'7_biomass'!$A:$A,0),MATCH(L$1,'7_biomass'!$1:$1,0))</f>
        <v>0.4421368144636178</v>
      </c>
      <c r="M49">
        <f>INDEX('7_biomass'!$1:$343,MATCH($A49,'7_biomass'!$A:$A,0),MATCH(M$1,'7_biomass'!$1:$1,0))</f>
        <v>0.49464419763566519</v>
      </c>
      <c r="N49">
        <f>INDEX('7_biomass'!$1:$343,MATCH($A49,'7_biomass'!$A:$A,0),MATCH(N$1,'7_biomass'!$1:$1,0))</f>
        <v>0.11171440172159006</v>
      </c>
      <c r="O49">
        <f>INDEX('4_number_of_transport'!$1:$343,MATCH($A49,'4_number_of_transport'!$A:$A,0),MATCH(O$1,'4_number_of_transport'!$1:$1,0))</f>
        <v>148119</v>
      </c>
      <c r="P49">
        <f>INDEX('2_land_use'!$1:$343,MATCH($A49,'2_land_use'!$A:$A,0),MATCH(P$1,'2_land_use'!$1:$1,0))</f>
        <v>125.69177392806185</v>
      </c>
      <c r="Q49">
        <f>INDEX('2_land_use'!$1:$343,MATCH($A49,'2_land_use'!$A:$A,0),MATCH(Q$1,'2_land_use'!$1:$1,0))</f>
        <v>0</v>
      </c>
      <c r="R49">
        <f>INDEX('6_roof_surface'!$1:$343,MATCH($A49,'6_roof_surface'!$A:$A,0),MATCH(R$1,'6_roof_surface'!$1:$1,0))</f>
        <v>5.3565420000000001</v>
      </c>
      <c r="S49">
        <f>INDEX('6_roof_surface'!$1:$343,MATCH($A49,'6_roof_surface'!$A:$A,0),MATCH(S$1,'6_roof_surface'!$1:$1,0))</f>
        <v>6.3727169999999997</v>
      </c>
    </row>
    <row r="50" spans="1:19" x14ac:dyDescent="0.2">
      <c r="A50" t="s">
        <v>50</v>
      </c>
      <c r="B50" t="str">
        <f>INDEX(CBS_gemeenten_alfabetisch_2023!$B:$B,MATCH($A50,CBS_gemeenten_alfabetisch_2023!$A:$A,0))</f>
        <v>Bronckhorst</v>
      </c>
      <c r="C50">
        <f>INDEX('5_train_share_nl'!$1:$343,MATCH($A50,'5_train_share_nl'!$A:$A,0),MATCH(C$1,'5_train_share_nl'!$1:$1,0))</f>
        <v>0</v>
      </c>
      <c r="D50">
        <f>INDEX('3_has_tram_metro'!$1:$343,MATCH($A50,'3_has_tram_metro'!$A:$A,0),MATCH(D$1,'3_has_tram_metro'!$1:$1,0))</f>
        <v>0</v>
      </c>
      <c r="E50">
        <f>INDEX('1_buildings_total'!$1:$343,MATCH($A50,'1_buildings_total'!$A:$A,0),MATCH(E$1,'1_buildings_total'!$1:$1,0))</f>
        <v>5140.8982307692304</v>
      </c>
      <c r="F50">
        <f>INDEX('2_land_use'!$1:$343,MATCH($A50,'2_land_use'!$A:$A,0),MATCH(F$1,'2_land_use'!$1:$1,0))</f>
        <v>226.66500350547471</v>
      </c>
      <c r="G50">
        <f>INDEX('4_number_of_transport'!$1:$343,MATCH($A50,'4_number_of_transport'!$A:$A,0),MATCH(G$1,'4_number_of_transport'!$1:$1,0))</f>
        <v>3402</v>
      </c>
      <c r="H50">
        <f>INDEX('4_number_of_transport'!$1:$343,MATCH($A50,'4_number_of_transport'!$A:$A,0),MATCH(H$1,'4_number_of_transport'!$1:$1,0))</f>
        <v>153</v>
      </c>
      <c r="I50">
        <f>INDEX('4_number_of_transport'!$1:$343,MATCH($A50,'4_number_of_transport'!$A:$A,0),MATCH(I$1,'4_number_of_transport'!$1:$1,0))</f>
        <v>1</v>
      </c>
      <c r="J50">
        <f>INDEX('2_land_use'!$1:$343,MATCH($A50,'2_land_use'!$A:$A,0),MATCH(J$1,'2_land_use'!$1:$1,0))</f>
        <v>1.7506629236517762E-4</v>
      </c>
      <c r="K50">
        <f>INDEX('2_land_use'!$1:$343,MATCH($A50,'2_land_use'!$A:$A,0),MATCH(K$1,'2_land_use'!$1:$1,0))</f>
        <v>1.0162314038086087E-2</v>
      </c>
      <c r="L50">
        <f>INDEX('7_biomass'!$1:$343,MATCH($A50,'7_biomass'!$A:$A,0),MATCH(L$1,'7_biomass'!$1:$1,0))</f>
        <v>0.61353219947548265</v>
      </c>
      <c r="M50">
        <f>INDEX('7_biomass'!$1:$343,MATCH($A50,'7_biomass'!$A:$A,0),MATCH(M$1,'7_biomass'!$1:$1,0))</f>
        <v>0.23055398715265008</v>
      </c>
      <c r="N50">
        <f>INDEX('7_biomass'!$1:$343,MATCH($A50,'7_biomass'!$A:$A,0),MATCH(N$1,'7_biomass'!$1:$1,0))</f>
        <v>2.2001065491628568E-2</v>
      </c>
      <c r="O50">
        <f>INDEX('4_number_of_transport'!$1:$343,MATCH($A50,'4_number_of_transport'!$A:$A,0),MATCH(O$1,'4_number_of_transport'!$1:$1,0))</f>
        <v>22460</v>
      </c>
      <c r="P50">
        <f>INDEX('2_land_use'!$1:$343,MATCH($A50,'2_land_use'!$A:$A,0),MATCH(P$1,'2_land_use'!$1:$1,0))</f>
        <v>283.53268988271174</v>
      </c>
      <c r="Q50">
        <f>INDEX('2_land_use'!$1:$343,MATCH($A50,'2_land_use'!$A:$A,0),MATCH(Q$1,'2_land_use'!$1:$1,0))</f>
        <v>0</v>
      </c>
      <c r="R50">
        <f>INDEX('6_roof_surface'!$1:$343,MATCH($A50,'6_roof_surface'!$A:$A,0),MATCH(R$1,'6_roof_surface'!$1:$1,0))</f>
        <v>1.9528300000000001</v>
      </c>
      <c r="S50">
        <f>INDEX('6_roof_surface'!$1:$343,MATCH($A50,'6_roof_surface'!$A:$A,0),MATCH(S$1,'6_roof_surface'!$1:$1,0))</f>
        <v>2.7365930000000001</v>
      </c>
    </row>
    <row r="51" spans="1:19" x14ac:dyDescent="0.2">
      <c r="A51" t="s">
        <v>51</v>
      </c>
      <c r="B51" t="str">
        <f>INDEX(CBS_gemeenten_alfabetisch_2023!$B:$B,MATCH($A51,CBS_gemeenten_alfabetisch_2023!$A:$A,0))</f>
        <v>Brummen</v>
      </c>
      <c r="C51">
        <f>INDEX('5_train_share_nl'!$1:$343,MATCH($A51,'5_train_share_nl'!$A:$A,0),MATCH(C$1,'5_train_share_nl'!$1:$1,0))</f>
        <v>3.2509894530932909E-4</v>
      </c>
      <c r="D51">
        <f>INDEX('3_has_tram_metro'!$1:$343,MATCH($A51,'3_has_tram_metro'!$A:$A,0),MATCH(D$1,'3_has_tram_metro'!$1:$1,0))</f>
        <v>0</v>
      </c>
      <c r="E51">
        <f>INDEX('1_buildings_total'!$1:$343,MATCH($A51,'1_buildings_total'!$A:$A,0),MATCH(E$1,'1_buildings_total'!$1:$1,0))</f>
        <v>1472.9110769230772</v>
      </c>
      <c r="F51">
        <f>INDEX('2_land_use'!$1:$343,MATCH($A51,'2_land_use'!$A:$A,0),MATCH(F$1,'2_land_use'!$1:$1,0))</f>
        <v>57.798325303934917</v>
      </c>
      <c r="G51">
        <f>INDEX('4_number_of_transport'!$1:$343,MATCH($A51,'4_number_of_transport'!$A:$A,0),MATCH(G$1,'4_number_of_transport'!$1:$1,0))</f>
        <v>1193</v>
      </c>
      <c r="H51">
        <f>INDEX('4_number_of_transport'!$1:$343,MATCH($A51,'4_number_of_transport'!$A:$A,0),MATCH(H$1,'4_number_of_transport'!$1:$1,0))</f>
        <v>67</v>
      </c>
      <c r="I51">
        <f>INDEX('4_number_of_transport'!$1:$343,MATCH($A51,'4_number_of_transport'!$A:$A,0),MATCH(I$1,'4_number_of_transport'!$1:$1,0))</f>
        <v>1</v>
      </c>
      <c r="J51">
        <f>INDEX('2_land_use'!$1:$343,MATCH($A51,'2_land_use'!$A:$A,0),MATCH(J$1,'2_land_use'!$1:$1,0))</f>
        <v>0</v>
      </c>
      <c r="K51">
        <f>INDEX('2_land_use'!$1:$343,MATCH($A51,'2_land_use'!$A:$A,0),MATCH(K$1,'2_land_use'!$1:$1,0))</f>
        <v>2.5913340106773794E-3</v>
      </c>
      <c r="L51">
        <f>INDEX('7_biomass'!$1:$343,MATCH($A51,'7_biomass'!$A:$A,0),MATCH(L$1,'7_biomass'!$1:$1,0))</f>
        <v>0.14641547586823492</v>
      </c>
      <c r="M51">
        <f>INDEX('7_biomass'!$1:$343,MATCH($A51,'7_biomass'!$A:$A,0),MATCH(M$1,'7_biomass'!$1:$1,0))</f>
        <v>8.2156204333437108E-2</v>
      </c>
      <c r="N51">
        <f>INDEX('7_biomass'!$1:$343,MATCH($A51,'7_biomass'!$A:$A,0),MATCH(N$1,'7_biomass'!$1:$1,0))</f>
        <v>1.2575335622051476E-2</v>
      </c>
      <c r="O51">
        <f>INDEX('4_number_of_transport'!$1:$343,MATCH($A51,'4_number_of_transport'!$A:$A,0),MATCH(O$1,'4_number_of_transport'!$1:$1,0))</f>
        <v>11886</v>
      </c>
      <c r="P51">
        <f>INDEX('2_land_use'!$1:$343,MATCH($A51,'2_land_use'!$A:$A,0),MATCH(P$1,'2_land_use'!$1:$1,0))</f>
        <v>83.62839585000296</v>
      </c>
      <c r="Q51">
        <f>INDEX('2_land_use'!$1:$343,MATCH($A51,'2_land_use'!$A:$A,0),MATCH(Q$1,'2_land_use'!$1:$1,0))</f>
        <v>0</v>
      </c>
      <c r="R51">
        <f>INDEX('6_roof_surface'!$1:$343,MATCH($A51,'6_roof_surface'!$A:$A,0),MATCH(R$1,'6_roof_surface'!$1:$1,0))</f>
        <v>0.79600000000000004</v>
      </c>
      <c r="S51">
        <f>INDEX('6_roof_surface'!$1:$343,MATCH($A51,'6_roof_surface'!$A:$A,0),MATCH(S$1,'6_roof_surface'!$1:$1,0))</f>
        <v>1.053072</v>
      </c>
    </row>
    <row r="52" spans="1:19" x14ac:dyDescent="0.2">
      <c r="A52" t="s">
        <v>52</v>
      </c>
      <c r="B52" t="str">
        <f>INDEX(CBS_gemeenten_alfabetisch_2023!$B:$B,MATCH($A52,CBS_gemeenten_alfabetisch_2023!$A:$A,0))</f>
        <v>Brunssum</v>
      </c>
      <c r="C52">
        <f>INDEX('5_train_share_nl'!$1:$343,MATCH($A52,'5_train_share_nl'!$A:$A,0),MATCH(C$1,'5_train_share_nl'!$1:$1,0))</f>
        <v>0</v>
      </c>
      <c r="D52">
        <f>INDEX('3_has_tram_metro'!$1:$343,MATCH($A52,'3_has_tram_metro'!$A:$A,0),MATCH(D$1,'3_has_tram_metro'!$1:$1,0))</f>
        <v>0</v>
      </c>
      <c r="E52">
        <f>INDEX('1_buildings_total'!$1:$343,MATCH($A52,'1_buildings_total'!$A:$A,0),MATCH(E$1,'1_buildings_total'!$1:$1,0))</f>
        <v>2127.5916153846147</v>
      </c>
      <c r="F52">
        <f>INDEX('2_land_use'!$1:$343,MATCH($A52,'2_land_use'!$A:$A,0),MATCH(F$1,'2_land_use'!$1:$1,0))</f>
        <v>1.7687564282447295</v>
      </c>
      <c r="G52">
        <f>INDEX('4_number_of_transport'!$1:$343,MATCH($A52,'4_number_of_transport'!$A:$A,0),MATCH(G$1,'4_number_of_transport'!$1:$1,0))</f>
        <v>1042</v>
      </c>
      <c r="H52">
        <f>INDEX('4_number_of_transport'!$1:$343,MATCH($A52,'4_number_of_transport'!$A:$A,0),MATCH(H$1,'4_number_of_transport'!$1:$1,0))</f>
        <v>49</v>
      </c>
      <c r="I52">
        <f>INDEX('4_number_of_transport'!$1:$343,MATCH($A52,'4_number_of_transport'!$A:$A,0),MATCH(I$1,'4_number_of_transport'!$1:$1,0))</f>
        <v>9</v>
      </c>
      <c r="J52">
        <f>INDEX('2_land_use'!$1:$343,MATCH($A52,'2_land_use'!$A:$A,0),MATCH(J$1,'2_land_use'!$1:$1,0))</f>
        <v>0</v>
      </c>
      <c r="K52">
        <f>INDEX('2_land_use'!$1:$343,MATCH($A52,'2_land_use'!$A:$A,0),MATCH(K$1,'2_land_use'!$1:$1,0))</f>
        <v>7.9300544868949184E-5</v>
      </c>
      <c r="L52">
        <f>INDEX('7_biomass'!$1:$343,MATCH($A52,'7_biomass'!$A:$A,0),MATCH(L$1,'7_biomass'!$1:$1,0))</f>
        <v>4.9652799944443625E-2</v>
      </c>
      <c r="M52">
        <f>INDEX('7_biomass'!$1:$343,MATCH($A52,'7_biomass'!$A:$A,0),MATCH(M$1,'7_biomass'!$1:$1,0))</f>
        <v>7.5994737332157364E-2</v>
      </c>
      <c r="N52">
        <f>INDEX('7_biomass'!$1:$343,MATCH($A52,'7_biomass'!$A:$A,0),MATCH(N$1,'7_biomass'!$1:$1,0))</f>
        <v>1.7074338437844845E-2</v>
      </c>
      <c r="O52">
        <f>INDEX('4_number_of_transport'!$1:$343,MATCH($A52,'4_number_of_transport'!$A:$A,0),MATCH(O$1,'4_number_of_transport'!$1:$1,0))</f>
        <v>15780</v>
      </c>
      <c r="P52">
        <f>INDEX('2_land_use'!$1:$343,MATCH($A52,'2_land_use'!$A:$A,0),MATCH(P$1,'2_land_use'!$1:$1,0))</f>
        <v>17.239431235819094</v>
      </c>
      <c r="Q52">
        <f>INDEX('2_land_use'!$1:$343,MATCH($A52,'2_land_use'!$A:$A,0),MATCH(Q$1,'2_land_use'!$1:$1,0))</f>
        <v>0</v>
      </c>
      <c r="R52">
        <f>INDEX('6_roof_surface'!$1:$343,MATCH($A52,'6_roof_surface'!$A:$A,0),MATCH(R$1,'6_roof_surface'!$1:$1,0))</f>
        <v>1.0228710000000001</v>
      </c>
      <c r="S52">
        <f>INDEX('6_roof_surface'!$1:$343,MATCH($A52,'6_roof_surface'!$A:$A,0),MATCH(S$1,'6_roof_surface'!$1:$1,0))</f>
        <v>0.69404900000000003</v>
      </c>
    </row>
    <row r="53" spans="1:19" x14ac:dyDescent="0.2">
      <c r="A53" t="s">
        <v>53</v>
      </c>
      <c r="B53" t="str">
        <f>INDEX(CBS_gemeenten_alfabetisch_2023!$B:$B,MATCH($A53,CBS_gemeenten_alfabetisch_2023!$A:$A,0))</f>
        <v>Bunnik</v>
      </c>
      <c r="C53">
        <f>INDEX('5_train_share_nl'!$1:$343,MATCH($A53,'5_train_share_nl'!$A:$A,0),MATCH(C$1,'5_train_share_nl'!$1:$1,0))</f>
        <v>7.9473030844801886E-4</v>
      </c>
      <c r="D53">
        <f>INDEX('3_has_tram_metro'!$1:$343,MATCH($A53,'3_has_tram_metro'!$A:$A,0),MATCH(D$1,'3_has_tram_metro'!$1:$1,0))</f>
        <v>0</v>
      </c>
      <c r="E53">
        <f>INDEX('1_buildings_total'!$1:$343,MATCH($A53,'1_buildings_total'!$A:$A,0),MATCH(E$1,'1_buildings_total'!$1:$1,0))</f>
        <v>937.11261538461542</v>
      </c>
      <c r="F53">
        <f>INDEX('2_land_use'!$1:$343,MATCH($A53,'2_land_use'!$A:$A,0),MATCH(F$1,'2_land_use'!$1:$1,0))</f>
        <v>28.238290334213676</v>
      </c>
      <c r="G53">
        <f>INDEX('4_number_of_transport'!$1:$343,MATCH($A53,'4_number_of_transport'!$A:$A,0),MATCH(G$1,'4_number_of_transport'!$1:$1,0))</f>
        <v>882</v>
      </c>
      <c r="H53">
        <f>INDEX('4_number_of_transport'!$1:$343,MATCH($A53,'4_number_of_transport'!$A:$A,0),MATCH(H$1,'4_number_of_transport'!$1:$1,0))</f>
        <v>40</v>
      </c>
      <c r="I53">
        <f>INDEX('4_number_of_transport'!$1:$343,MATCH($A53,'4_number_of_transport'!$A:$A,0),MATCH(I$1,'4_number_of_transport'!$1:$1,0))</f>
        <v>15</v>
      </c>
      <c r="J53">
        <f>INDEX('2_land_use'!$1:$343,MATCH($A53,'2_land_use'!$A:$A,0),MATCH(J$1,'2_land_use'!$1:$1,0))</f>
        <v>0</v>
      </c>
      <c r="K53">
        <f>INDEX('2_land_use'!$1:$343,MATCH($A53,'2_land_use'!$A:$A,0),MATCH(K$1,'2_land_use'!$1:$1,0))</f>
        <v>1.2660374113200898E-3</v>
      </c>
      <c r="L53">
        <f>INDEX('7_biomass'!$1:$343,MATCH($A53,'7_biomass'!$A:$A,0),MATCH(L$1,'7_biomass'!$1:$1,0))</f>
        <v>9.2314968013810395E-2</v>
      </c>
      <c r="M53">
        <f>INDEX('7_biomass'!$1:$343,MATCH($A53,'7_biomass'!$A:$A,0),MATCH(M$1,'7_biomass'!$1:$1,0))</f>
        <v>5.1672101423697964E-2</v>
      </c>
      <c r="N53">
        <f>INDEX('7_biomass'!$1:$343,MATCH($A53,'7_biomass'!$A:$A,0),MATCH(N$1,'7_biomass'!$1:$1,0))</f>
        <v>9.2300946357235496E-3</v>
      </c>
      <c r="O53">
        <f>INDEX('4_number_of_transport'!$1:$343,MATCH($A53,'4_number_of_transport'!$A:$A,0),MATCH(O$1,'4_number_of_transport'!$1:$1,0))</f>
        <v>7576</v>
      </c>
      <c r="P53">
        <f>INDEX('2_land_use'!$1:$343,MATCH($A53,'2_land_use'!$A:$A,0),MATCH(P$1,'2_land_use'!$1:$1,0))</f>
        <v>36.930307777284426</v>
      </c>
      <c r="Q53">
        <f>INDEX('2_land_use'!$1:$343,MATCH($A53,'2_land_use'!$A:$A,0),MATCH(Q$1,'2_land_use'!$1:$1,0))</f>
        <v>0</v>
      </c>
      <c r="R53">
        <f>INDEX('6_roof_surface'!$1:$343,MATCH($A53,'6_roof_surface'!$A:$A,0),MATCH(R$1,'6_roof_surface'!$1:$1,0))</f>
        <v>0.54278099999999996</v>
      </c>
      <c r="S53">
        <f>INDEX('6_roof_surface'!$1:$343,MATCH($A53,'6_roof_surface'!$A:$A,0),MATCH(S$1,'6_roof_surface'!$1:$1,0))</f>
        <v>0.60949200000000003</v>
      </c>
    </row>
    <row r="54" spans="1:19" x14ac:dyDescent="0.2">
      <c r="A54" t="s">
        <v>54</v>
      </c>
      <c r="B54" t="str">
        <f>INDEX(CBS_gemeenten_alfabetisch_2023!$B:$B,MATCH($A54,CBS_gemeenten_alfabetisch_2023!$A:$A,0))</f>
        <v>Bunschoten</v>
      </c>
      <c r="C54">
        <f>INDEX('5_train_share_nl'!$1:$343,MATCH($A54,'5_train_share_nl'!$A:$A,0),MATCH(C$1,'5_train_share_nl'!$1:$1,0))</f>
        <v>0</v>
      </c>
      <c r="D54">
        <f>INDEX('3_has_tram_metro'!$1:$343,MATCH($A54,'3_has_tram_metro'!$A:$A,0),MATCH(D$1,'3_has_tram_metro'!$1:$1,0))</f>
        <v>0</v>
      </c>
      <c r="E54">
        <f>INDEX('1_buildings_total'!$1:$343,MATCH($A54,'1_buildings_total'!$A:$A,0),MATCH(E$1,'1_buildings_total'!$1:$1,0))</f>
        <v>1182.9733846153847</v>
      </c>
      <c r="F54">
        <f>INDEX('2_land_use'!$1:$343,MATCH($A54,'2_land_use'!$A:$A,0),MATCH(F$1,'2_land_use'!$1:$1,0))</f>
        <v>24.271383752774774</v>
      </c>
      <c r="G54">
        <f>INDEX('4_number_of_transport'!$1:$343,MATCH($A54,'4_number_of_transport'!$A:$A,0),MATCH(G$1,'4_number_of_transport'!$1:$1,0))</f>
        <v>1549</v>
      </c>
      <c r="H54">
        <f>INDEX('4_number_of_transport'!$1:$343,MATCH($A54,'4_number_of_transport'!$A:$A,0),MATCH(H$1,'4_number_of_transport'!$1:$1,0))</f>
        <v>217</v>
      </c>
      <c r="I54">
        <f>INDEX('4_number_of_transport'!$1:$343,MATCH($A54,'4_number_of_transport'!$A:$A,0),MATCH(I$1,'4_number_of_transport'!$1:$1,0))</f>
        <v>0</v>
      </c>
      <c r="J54">
        <f>INDEX('2_land_use'!$1:$343,MATCH($A54,'2_land_use'!$A:$A,0),MATCH(J$1,'2_land_use'!$1:$1,0))</f>
        <v>0</v>
      </c>
      <c r="K54">
        <f>INDEX('2_land_use'!$1:$343,MATCH($A54,'2_land_use'!$A:$A,0),MATCH(K$1,'2_land_use'!$1:$1,0))</f>
        <v>1.0881848543886051E-3</v>
      </c>
      <c r="L54">
        <f>INDEX('7_biomass'!$1:$343,MATCH($A54,'7_biomass'!$A:$A,0),MATCH(L$1,'7_biomass'!$1:$1,0))</f>
        <v>9.6149907002621882E-2</v>
      </c>
      <c r="M54">
        <f>INDEX('7_biomass'!$1:$343,MATCH($A54,'7_biomass'!$A:$A,0),MATCH(M$1,'7_biomass'!$1:$1,0))</f>
        <v>6.1420414028197652E-2</v>
      </c>
      <c r="N54">
        <f>INDEX('7_biomass'!$1:$343,MATCH($A54,'7_biomass'!$A:$A,0),MATCH(N$1,'7_biomass'!$1:$1,0))</f>
        <v>1.3108775793863303E-2</v>
      </c>
      <c r="O54">
        <f>INDEX('4_number_of_transport'!$1:$343,MATCH($A54,'4_number_of_transport'!$A:$A,0),MATCH(O$1,'4_number_of_transport'!$1:$1,0))</f>
        <v>10167</v>
      </c>
      <c r="P54">
        <f>INDEX('2_land_use'!$1:$343,MATCH($A54,'2_land_use'!$A:$A,0),MATCH(P$1,'2_land_use'!$1:$1,0))</f>
        <v>30.388726066727529</v>
      </c>
      <c r="Q54">
        <f>INDEX('2_land_use'!$1:$343,MATCH($A54,'2_land_use'!$A:$A,0),MATCH(Q$1,'2_land_use'!$1:$1,0))</f>
        <v>0</v>
      </c>
      <c r="R54">
        <f>INDEX('6_roof_surface'!$1:$343,MATCH($A54,'6_roof_surface'!$A:$A,0),MATCH(R$1,'6_roof_surface'!$1:$1,0))</f>
        <v>0.60326000000000002</v>
      </c>
      <c r="S54">
        <f>INDEX('6_roof_surface'!$1:$343,MATCH($A54,'6_roof_surface'!$A:$A,0),MATCH(S$1,'6_roof_surface'!$1:$1,0))</f>
        <v>0.845194</v>
      </c>
    </row>
    <row r="55" spans="1:19" x14ac:dyDescent="0.2">
      <c r="A55" t="s">
        <v>55</v>
      </c>
      <c r="B55" t="str">
        <f>INDEX(CBS_gemeenten_alfabetisch_2023!$B:$B,MATCH($A55,CBS_gemeenten_alfabetisch_2023!$A:$A,0))</f>
        <v>Buren</v>
      </c>
      <c r="C55">
        <f>INDEX('5_train_share_nl'!$1:$343,MATCH($A55,'5_train_share_nl'!$A:$A,0),MATCH(C$1,'5_train_share_nl'!$1:$1,0))</f>
        <v>0</v>
      </c>
      <c r="D55">
        <f>INDEX('3_has_tram_metro'!$1:$343,MATCH($A55,'3_has_tram_metro'!$A:$A,0),MATCH(D$1,'3_has_tram_metro'!$1:$1,0))</f>
        <v>0</v>
      </c>
      <c r="E55">
        <f>INDEX('1_buildings_total'!$1:$343,MATCH($A55,'1_buildings_total'!$A:$A,0),MATCH(E$1,'1_buildings_total'!$1:$1,0))</f>
        <v>2497.6478461538463</v>
      </c>
      <c r="F55">
        <f>INDEX('2_land_use'!$1:$343,MATCH($A55,'2_land_use'!$A:$A,0),MATCH(F$1,'2_land_use'!$1:$1,0))</f>
        <v>114.61844772712739</v>
      </c>
      <c r="G55">
        <f>INDEX('4_number_of_transport'!$1:$343,MATCH($A55,'4_number_of_transport'!$A:$A,0),MATCH(G$1,'4_number_of_transport'!$1:$1,0))</f>
        <v>2672</v>
      </c>
      <c r="H55">
        <f>INDEX('4_number_of_transport'!$1:$343,MATCH($A55,'4_number_of_transport'!$A:$A,0),MATCH(H$1,'4_number_of_transport'!$1:$1,0))</f>
        <v>284</v>
      </c>
      <c r="I55">
        <f>INDEX('4_number_of_transport'!$1:$343,MATCH($A55,'4_number_of_transport'!$A:$A,0),MATCH(I$1,'4_number_of_transport'!$1:$1,0))</f>
        <v>0</v>
      </c>
      <c r="J55">
        <f>INDEX('2_land_use'!$1:$343,MATCH($A55,'2_land_use'!$A:$A,0),MATCH(J$1,'2_land_use'!$1:$1,0))</f>
        <v>3.0284779999746391E-4</v>
      </c>
      <c r="K55">
        <f>INDEX('2_land_use'!$1:$343,MATCH($A55,'2_land_use'!$A:$A,0),MATCH(K$1,'2_land_use'!$1:$1,0))</f>
        <v>5.1388112074958652E-3</v>
      </c>
      <c r="L55">
        <f>INDEX('7_biomass'!$1:$343,MATCH($A55,'7_biomass'!$A:$A,0),MATCH(L$1,'7_biomass'!$1:$1,0))</f>
        <v>0.25328938510796778</v>
      </c>
      <c r="M55">
        <f>INDEX('7_biomass'!$1:$343,MATCH($A55,'7_biomass'!$A:$A,0),MATCH(M$1,'7_biomass'!$1:$1,0))</f>
        <v>0.10925434201466271</v>
      </c>
      <c r="N55">
        <f>INDEX('7_biomass'!$1:$343,MATCH($A55,'7_biomass'!$A:$A,0),MATCH(N$1,'7_biomass'!$1:$1,0))</f>
        <v>1.6141729481431229E-2</v>
      </c>
      <c r="O55">
        <f>INDEX('4_number_of_transport'!$1:$343,MATCH($A55,'4_number_of_transport'!$A:$A,0),MATCH(O$1,'4_number_of_transport'!$1:$1,0))</f>
        <v>16537</v>
      </c>
      <c r="P55">
        <f>INDEX('2_land_use'!$1:$343,MATCH($A55,'2_land_use'!$A:$A,0),MATCH(P$1,'2_land_use'!$1:$1,0))</f>
        <v>133.59676144534848</v>
      </c>
      <c r="Q55">
        <f>INDEX('2_land_use'!$1:$343,MATCH($A55,'2_land_use'!$A:$A,0),MATCH(Q$1,'2_land_use'!$1:$1,0))</f>
        <v>0</v>
      </c>
      <c r="R55">
        <f>INDEX('6_roof_surface'!$1:$343,MATCH($A55,'6_roof_surface'!$A:$A,0),MATCH(R$1,'6_roof_surface'!$1:$1,0))</f>
        <v>1.2951239999999999</v>
      </c>
      <c r="S55">
        <f>INDEX('6_roof_surface'!$1:$343,MATCH($A55,'6_roof_surface'!$A:$A,0),MATCH(S$1,'6_roof_surface'!$1:$1,0))</f>
        <v>1.5218769999999999</v>
      </c>
    </row>
    <row r="56" spans="1:19" x14ac:dyDescent="0.2">
      <c r="A56" t="s">
        <v>56</v>
      </c>
      <c r="B56" t="str">
        <f>INDEX(CBS_gemeenten_alfabetisch_2023!$B:$B,MATCH($A56,CBS_gemeenten_alfabetisch_2023!$A:$A,0))</f>
        <v>Capelle aan den IJssel</v>
      </c>
      <c r="C56">
        <f>INDEX('5_train_share_nl'!$1:$343,MATCH($A56,'5_train_share_nl'!$A:$A,0),MATCH(C$1,'5_train_share_nl'!$1:$1,0))</f>
        <v>7.6423990797442763E-4</v>
      </c>
      <c r="D56">
        <f>INDEX('3_has_tram_metro'!$1:$343,MATCH($A56,'3_has_tram_metro'!$A:$A,0),MATCH(D$1,'3_has_tram_metro'!$1:$1,0))</f>
        <v>0</v>
      </c>
      <c r="E56">
        <f>INDEX('1_buildings_total'!$1:$343,MATCH($A56,'1_buildings_total'!$A:$A,0),MATCH(E$1,'1_buildings_total'!$1:$1,0))</f>
        <v>2958.3487692307699</v>
      </c>
      <c r="F56">
        <f>INDEX('2_land_use'!$1:$343,MATCH($A56,'2_land_use'!$A:$A,0),MATCH(F$1,'2_land_use'!$1:$1,0))</f>
        <v>0.75160596028947535</v>
      </c>
      <c r="G56">
        <f>INDEX('4_number_of_transport'!$1:$343,MATCH($A56,'4_number_of_transport'!$A:$A,0),MATCH(G$1,'4_number_of_transport'!$1:$1,0))</f>
        <v>2593</v>
      </c>
      <c r="H56">
        <f>INDEX('4_number_of_transport'!$1:$343,MATCH($A56,'4_number_of_transport'!$A:$A,0),MATCH(H$1,'4_number_of_transport'!$1:$1,0))</f>
        <v>97</v>
      </c>
      <c r="I56">
        <f>INDEX('4_number_of_transport'!$1:$343,MATCH($A56,'4_number_of_transport'!$A:$A,0),MATCH(I$1,'4_number_of_transport'!$1:$1,0))</f>
        <v>4</v>
      </c>
      <c r="J56">
        <f>INDEX('2_land_use'!$1:$343,MATCH($A56,'2_land_use'!$A:$A,0),MATCH(J$1,'2_land_use'!$1:$1,0))</f>
        <v>0</v>
      </c>
      <c r="K56">
        <f>INDEX('2_land_use'!$1:$343,MATCH($A56,'2_land_use'!$A:$A,0),MATCH(K$1,'2_land_use'!$1:$1,0))</f>
        <v>3.3697552260971003E-5</v>
      </c>
      <c r="L56">
        <f>INDEX('7_biomass'!$1:$343,MATCH($A56,'7_biomass'!$A:$A,0),MATCH(L$1,'7_biomass'!$1:$1,0))</f>
        <v>0.1196510381536451</v>
      </c>
      <c r="M56">
        <f>INDEX('7_biomass'!$1:$343,MATCH($A56,'7_biomass'!$A:$A,0),MATCH(M$1,'7_biomass'!$1:$1,0))</f>
        <v>0.17402395278624205</v>
      </c>
      <c r="N56">
        <f>INDEX('7_biomass'!$1:$343,MATCH($A56,'7_biomass'!$A:$A,0),MATCH(N$1,'7_biomass'!$1:$1,0))</f>
        <v>4.0596133713123754E-2</v>
      </c>
      <c r="O56">
        <f>INDEX('4_number_of_transport'!$1:$343,MATCH($A56,'4_number_of_transport'!$A:$A,0),MATCH(O$1,'4_number_of_transport'!$1:$1,0))</f>
        <v>31332</v>
      </c>
      <c r="P56">
        <f>INDEX('2_land_use'!$1:$343,MATCH($A56,'2_land_use'!$A:$A,0),MATCH(P$1,'2_land_use'!$1:$1,0))</f>
        <v>14.14249361314101</v>
      </c>
      <c r="Q56">
        <f>INDEX('2_land_use'!$1:$343,MATCH($A56,'2_land_use'!$A:$A,0),MATCH(Q$1,'2_land_use'!$1:$1,0))</f>
        <v>0</v>
      </c>
      <c r="R56">
        <f>INDEX('6_roof_surface'!$1:$343,MATCH($A56,'6_roof_surface'!$A:$A,0),MATCH(R$1,'6_roof_surface'!$1:$1,0))</f>
        <v>1.330252</v>
      </c>
      <c r="S56">
        <f>INDEX('6_roof_surface'!$1:$343,MATCH($A56,'6_roof_surface'!$A:$A,0),MATCH(S$1,'6_roof_surface'!$1:$1,0))</f>
        <v>0.97237300000000004</v>
      </c>
    </row>
    <row r="57" spans="1:19" x14ac:dyDescent="0.2">
      <c r="A57" t="s">
        <v>57</v>
      </c>
      <c r="B57" t="str">
        <f>INDEX(CBS_gemeenten_alfabetisch_2023!$B:$B,MATCH($A57,CBS_gemeenten_alfabetisch_2023!$A:$A,0))</f>
        <v>Castricum</v>
      </c>
      <c r="C57">
        <f>INDEX('5_train_share_nl'!$1:$343,MATCH($A57,'5_train_share_nl'!$A:$A,0),MATCH(C$1,'5_train_share_nl'!$1:$1,0))</f>
        <v>2.5572338475123597E-3</v>
      </c>
      <c r="D57">
        <f>INDEX('3_has_tram_metro'!$1:$343,MATCH($A57,'3_has_tram_metro'!$A:$A,0),MATCH(D$1,'3_has_tram_metro'!$1:$1,0))</f>
        <v>0</v>
      </c>
      <c r="E57">
        <f>INDEX('1_buildings_total'!$1:$343,MATCH($A57,'1_buildings_total'!$A:$A,0),MATCH(E$1,'1_buildings_total'!$1:$1,0))</f>
        <v>1916.3725384615386</v>
      </c>
      <c r="F57">
        <f>INDEX('2_land_use'!$1:$343,MATCH($A57,'2_land_use'!$A:$A,0),MATCH(F$1,'2_land_use'!$1:$1,0))</f>
        <v>22.990972658267424</v>
      </c>
      <c r="G57">
        <f>INDEX('4_number_of_transport'!$1:$343,MATCH($A57,'4_number_of_transport'!$A:$A,0),MATCH(G$1,'4_number_of_transport'!$1:$1,0))</f>
        <v>1548</v>
      </c>
      <c r="H57">
        <f>INDEX('4_number_of_transport'!$1:$343,MATCH($A57,'4_number_of_transport'!$A:$A,0),MATCH(H$1,'4_number_of_transport'!$1:$1,0))</f>
        <v>129</v>
      </c>
      <c r="I57">
        <f>INDEX('4_number_of_transport'!$1:$343,MATCH($A57,'4_number_of_transport'!$A:$A,0),MATCH(I$1,'4_number_of_transport'!$1:$1,0))</f>
        <v>0</v>
      </c>
      <c r="J57">
        <f>INDEX('2_land_use'!$1:$343,MATCH($A57,'2_land_use'!$A:$A,0),MATCH(J$1,'2_land_use'!$1:$1,0))</f>
        <v>7.1424673092829695E-5</v>
      </c>
      <c r="K57">
        <f>INDEX('2_land_use'!$1:$343,MATCH($A57,'2_land_use'!$A:$A,0),MATCH(K$1,'2_land_use'!$1:$1,0))</f>
        <v>1.0307788171133407E-3</v>
      </c>
      <c r="L57">
        <f>INDEX('7_biomass'!$1:$343,MATCH($A57,'7_biomass'!$A:$A,0),MATCH(L$1,'7_biomass'!$1:$1,0))</f>
        <v>0.15150205607099668</v>
      </c>
      <c r="M57">
        <f>INDEX('7_biomass'!$1:$343,MATCH($A57,'7_biomass'!$A:$A,0),MATCH(M$1,'7_biomass'!$1:$1,0))</f>
        <v>0.10433644712164297</v>
      </c>
      <c r="N57">
        <f>INDEX('7_biomass'!$1:$343,MATCH($A57,'7_biomass'!$A:$A,0),MATCH(N$1,'7_biomass'!$1:$1,0))</f>
        <v>2.1733737842884598E-2</v>
      </c>
      <c r="O57">
        <f>INDEX('4_number_of_transport'!$1:$343,MATCH($A57,'4_number_of_transport'!$A:$A,0),MATCH(O$1,'4_number_of_transport'!$1:$1,0))</f>
        <v>18053</v>
      </c>
      <c r="P57">
        <f>INDEX('2_land_use'!$1:$343,MATCH($A57,'2_land_use'!$A:$A,0),MATCH(P$1,'2_land_use'!$1:$1,0))</f>
        <v>49.642566430448042</v>
      </c>
      <c r="Q57">
        <f>INDEX('2_land_use'!$1:$343,MATCH($A57,'2_land_use'!$A:$A,0),MATCH(Q$1,'2_land_use'!$1:$1,0))</f>
        <v>5.1866627521989832</v>
      </c>
      <c r="R57">
        <f>INDEX('6_roof_surface'!$1:$343,MATCH($A57,'6_roof_surface'!$A:$A,0),MATCH(R$1,'6_roof_surface'!$1:$1,0))</f>
        <v>1.250343</v>
      </c>
      <c r="S57">
        <f>INDEX('6_roof_surface'!$1:$343,MATCH($A57,'6_roof_surface'!$A:$A,0),MATCH(S$1,'6_roof_surface'!$1:$1,0))</f>
        <v>0.68361700000000003</v>
      </c>
    </row>
    <row r="58" spans="1:19" x14ac:dyDescent="0.2">
      <c r="A58" t="s">
        <v>58</v>
      </c>
      <c r="B58" t="str">
        <f>INDEX(CBS_gemeenten_alfabetisch_2023!$B:$B,MATCH($A58,CBS_gemeenten_alfabetisch_2023!$A:$A,0))</f>
        <v>Coevorden</v>
      </c>
      <c r="C58">
        <f>INDEX('5_train_share_nl'!$1:$343,MATCH($A58,'5_train_share_nl'!$A:$A,0),MATCH(C$1,'5_train_share_nl'!$1:$1,0))</f>
        <v>6.5415768288795576E-4</v>
      </c>
      <c r="D58">
        <f>INDEX('3_has_tram_metro'!$1:$343,MATCH($A58,'3_has_tram_metro'!$A:$A,0),MATCH(D$1,'3_has_tram_metro'!$1:$1,0))</f>
        <v>0</v>
      </c>
      <c r="E58">
        <f>INDEX('1_buildings_total'!$1:$343,MATCH($A58,'1_buildings_total'!$A:$A,0),MATCH(E$1,'1_buildings_total'!$1:$1,0))</f>
        <v>5200.5762307692303</v>
      </c>
      <c r="F58">
        <f>INDEX('2_land_use'!$1:$343,MATCH($A58,'2_land_use'!$A:$A,0),MATCH(F$1,'2_land_use'!$1:$1,0))</f>
        <v>229.74050034112162</v>
      </c>
      <c r="G58">
        <f>INDEX('4_number_of_transport'!$1:$343,MATCH($A58,'4_number_of_transport'!$A:$A,0),MATCH(G$1,'4_number_of_transport'!$1:$1,0))</f>
        <v>2689</v>
      </c>
      <c r="H58">
        <f>INDEX('4_number_of_transport'!$1:$343,MATCH($A58,'4_number_of_transport'!$A:$A,0),MATCH(H$1,'4_number_of_transport'!$1:$1,0))</f>
        <v>122</v>
      </c>
      <c r="I58">
        <f>INDEX('4_number_of_transport'!$1:$343,MATCH($A58,'4_number_of_transport'!$A:$A,0),MATCH(I$1,'4_number_of_transport'!$1:$1,0))</f>
        <v>1</v>
      </c>
      <c r="J58">
        <f>INDEX('2_land_use'!$1:$343,MATCH($A58,'2_land_use'!$A:$A,0),MATCH(J$1,'2_land_use'!$1:$1,0))</f>
        <v>7.2464947098750204E-5</v>
      </c>
      <c r="K58">
        <f>INDEX('2_land_use'!$1:$343,MATCH($A58,'2_land_use'!$A:$A,0),MATCH(K$1,'2_land_use'!$1:$1,0))</f>
        <v>1.0300201070418491E-2</v>
      </c>
      <c r="L58">
        <f>INDEX('7_biomass'!$1:$343,MATCH($A58,'7_biomass'!$A:$A,0),MATCH(L$1,'7_biomass'!$1:$1,0))</f>
        <v>0.55411024072444282</v>
      </c>
      <c r="M58">
        <f>INDEX('7_biomass'!$1:$343,MATCH($A58,'7_biomass'!$A:$A,0),MATCH(M$1,'7_biomass'!$1:$1,0))</f>
        <v>0.2128469055876599</v>
      </c>
      <c r="N58">
        <f>INDEX('7_biomass'!$1:$343,MATCH($A58,'7_biomass'!$A:$A,0),MATCH(N$1,'7_biomass'!$1:$1,0))</f>
        <v>2.1558152182686852E-2</v>
      </c>
      <c r="O58">
        <f>INDEX('4_number_of_transport'!$1:$343,MATCH($A58,'4_number_of_transport'!$A:$A,0),MATCH(O$1,'4_number_of_transport'!$1:$1,0))</f>
        <v>20478</v>
      </c>
      <c r="P58">
        <f>INDEX('2_land_use'!$1:$343,MATCH($A58,'2_land_use'!$A:$A,0),MATCH(P$1,'2_land_use'!$1:$1,0))</f>
        <v>296.11387458970103</v>
      </c>
      <c r="Q58">
        <f>INDEX('2_land_use'!$1:$343,MATCH($A58,'2_land_use'!$A:$A,0),MATCH(Q$1,'2_land_use'!$1:$1,0))</f>
        <v>0</v>
      </c>
      <c r="R58">
        <f>INDEX('6_roof_surface'!$1:$343,MATCH($A58,'6_roof_surface'!$A:$A,0),MATCH(R$1,'6_roof_surface'!$1:$1,0))</f>
        <v>1.9593970000000001</v>
      </c>
      <c r="S58">
        <f>INDEX('6_roof_surface'!$1:$343,MATCH($A58,'6_roof_surface'!$A:$A,0),MATCH(S$1,'6_roof_surface'!$1:$1,0))</f>
        <v>2.3360880000000002</v>
      </c>
    </row>
    <row r="59" spans="1:19" x14ac:dyDescent="0.2">
      <c r="A59" t="s">
        <v>59</v>
      </c>
      <c r="B59" t="str">
        <f>INDEX(CBS_gemeenten_alfabetisch_2023!$B:$B,MATCH($A59,CBS_gemeenten_alfabetisch_2023!$A:$A,0))</f>
        <v>Cranendonck</v>
      </c>
      <c r="C59">
        <f>INDEX('5_train_share_nl'!$1:$343,MATCH($A59,'5_train_share_nl'!$A:$A,0),MATCH(C$1,'5_train_share_nl'!$1:$1,0))</f>
        <v>4.9537001288912387E-4</v>
      </c>
      <c r="D59">
        <f>INDEX('3_has_tram_metro'!$1:$343,MATCH($A59,'3_has_tram_metro'!$A:$A,0),MATCH(D$1,'3_has_tram_metro'!$1:$1,0))</f>
        <v>0</v>
      </c>
      <c r="E59">
        <f>INDEX('1_buildings_total'!$1:$343,MATCH($A59,'1_buildings_total'!$A:$A,0),MATCH(E$1,'1_buildings_total'!$1:$1,0))</f>
        <v>1909.2684615384615</v>
      </c>
      <c r="F59">
        <f>INDEX('2_land_use'!$1:$343,MATCH($A59,'2_land_use'!$A:$A,0),MATCH(F$1,'2_land_use'!$1:$1,0))</f>
        <v>37.226199936978063</v>
      </c>
      <c r="G59">
        <f>INDEX('4_number_of_transport'!$1:$343,MATCH($A59,'4_number_of_transport'!$A:$A,0),MATCH(G$1,'4_number_of_transport'!$1:$1,0))</f>
        <v>1689</v>
      </c>
      <c r="H59">
        <f>INDEX('4_number_of_transport'!$1:$343,MATCH($A59,'4_number_of_transport'!$A:$A,0),MATCH(H$1,'4_number_of_transport'!$1:$1,0))</f>
        <v>87</v>
      </c>
      <c r="I59">
        <f>INDEX('4_number_of_transport'!$1:$343,MATCH($A59,'4_number_of_transport'!$A:$A,0),MATCH(I$1,'4_number_of_transport'!$1:$1,0))</f>
        <v>0</v>
      </c>
      <c r="J59">
        <f>INDEX('2_land_use'!$1:$343,MATCH($A59,'2_land_use'!$A:$A,0),MATCH(J$1,'2_land_use'!$1:$1,0))</f>
        <v>7.1105958141008847E-4</v>
      </c>
      <c r="K59">
        <f>INDEX('2_land_use'!$1:$343,MATCH($A59,'2_land_use'!$A:$A,0),MATCH(K$1,'2_land_use'!$1:$1,0))</f>
        <v>1.6690019559857385E-3</v>
      </c>
      <c r="L59">
        <f>INDEX('7_biomass'!$1:$343,MATCH($A59,'7_biomass'!$A:$A,0),MATCH(L$1,'7_biomass'!$1:$1,0))</f>
        <v>0.16082887781542268</v>
      </c>
      <c r="M59">
        <f>INDEX('7_biomass'!$1:$343,MATCH($A59,'7_biomass'!$A:$A,0),MATCH(M$1,'7_biomass'!$1:$1,0))</f>
        <v>8.6123764993617832E-2</v>
      </c>
      <c r="N59">
        <f>INDEX('7_biomass'!$1:$343,MATCH($A59,'7_biomass'!$A:$A,0),MATCH(N$1,'7_biomass'!$1:$1,0))</f>
        <v>1.2418584409833422E-2</v>
      </c>
      <c r="O59">
        <f>INDEX('4_number_of_transport'!$1:$343,MATCH($A59,'4_number_of_transport'!$A:$A,0),MATCH(O$1,'4_number_of_transport'!$1:$1,0))</f>
        <v>12459</v>
      </c>
      <c r="P59">
        <f>INDEX('2_land_use'!$1:$343,MATCH($A59,'2_land_use'!$A:$A,0),MATCH(P$1,'2_land_use'!$1:$1,0))</f>
        <v>76.49641500477405</v>
      </c>
      <c r="Q59">
        <f>INDEX('2_land_use'!$1:$343,MATCH($A59,'2_land_use'!$A:$A,0),MATCH(Q$1,'2_land_use'!$1:$1,0))</f>
        <v>0</v>
      </c>
      <c r="R59">
        <f>INDEX('6_roof_surface'!$1:$343,MATCH($A59,'6_roof_surface'!$A:$A,0),MATCH(R$1,'6_roof_surface'!$1:$1,0))</f>
        <v>0.97482599999999997</v>
      </c>
      <c r="S59">
        <f>INDEX('6_roof_surface'!$1:$343,MATCH($A59,'6_roof_surface'!$A:$A,0),MATCH(S$1,'6_roof_surface'!$1:$1,0))</f>
        <v>1.403877</v>
      </c>
    </row>
    <row r="60" spans="1:19" x14ac:dyDescent="0.2">
      <c r="A60" t="s">
        <v>60</v>
      </c>
      <c r="B60" t="str">
        <f>INDEX(CBS_gemeenten_alfabetisch_2023!$B:$B,MATCH($A60,CBS_gemeenten_alfabetisch_2023!$A:$A,0))</f>
        <v>Culemborg</v>
      </c>
      <c r="C60">
        <f>INDEX('5_train_share_nl'!$1:$343,MATCH($A60,'5_train_share_nl'!$A:$A,0),MATCH(C$1,'5_train_share_nl'!$1:$1,0))</f>
        <v>3.1052690975831407E-3</v>
      </c>
      <c r="D60">
        <f>INDEX('3_has_tram_metro'!$1:$343,MATCH($A60,'3_has_tram_metro'!$A:$A,0),MATCH(D$1,'3_has_tram_metro'!$1:$1,0))</f>
        <v>0</v>
      </c>
      <c r="E60">
        <f>INDEX('1_buildings_total'!$1:$343,MATCH($A60,'1_buildings_total'!$A:$A,0),MATCH(E$1,'1_buildings_total'!$1:$1,0))</f>
        <v>1606.4127692307693</v>
      </c>
      <c r="F60">
        <f>INDEX('2_land_use'!$1:$343,MATCH($A60,'2_land_use'!$A:$A,0),MATCH(F$1,'2_land_use'!$1:$1,0))</f>
        <v>18.068999347389084</v>
      </c>
      <c r="G60">
        <f>INDEX('4_number_of_transport'!$1:$343,MATCH($A60,'4_number_of_transport'!$A:$A,0),MATCH(G$1,'4_number_of_transport'!$1:$1,0))</f>
        <v>1211</v>
      </c>
      <c r="H60">
        <f>INDEX('4_number_of_transport'!$1:$343,MATCH($A60,'4_number_of_transport'!$A:$A,0),MATCH(H$1,'4_number_of_transport'!$1:$1,0))</f>
        <v>156</v>
      </c>
      <c r="I60">
        <f>INDEX('4_number_of_transport'!$1:$343,MATCH($A60,'4_number_of_transport'!$A:$A,0),MATCH(I$1,'4_number_of_transport'!$1:$1,0))</f>
        <v>2</v>
      </c>
      <c r="J60">
        <f>INDEX('2_land_use'!$1:$343,MATCH($A60,'2_land_use'!$A:$A,0),MATCH(J$1,'2_land_use'!$1:$1,0))</f>
        <v>0</v>
      </c>
      <c r="K60">
        <f>INDEX('2_land_use'!$1:$343,MATCH($A60,'2_land_use'!$A:$A,0),MATCH(K$1,'2_land_use'!$1:$1,0))</f>
        <v>8.1010673408921433E-4</v>
      </c>
      <c r="L60">
        <f>INDEX('7_biomass'!$1:$343,MATCH($A60,'7_biomass'!$A:$A,0),MATCH(L$1,'7_biomass'!$1:$1,0))</f>
        <v>8.5904843136550807E-2</v>
      </c>
      <c r="M60">
        <f>INDEX('7_biomass'!$1:$343,MATCH($A60,'7_biomass'!$A:$A,0),MATCH(M$1,'7_biomass'!$1:$1,0))</f>
        <v>8.1321026123930343E-2</v>
      </c>
      <c r="N60">
        <f>INDEX('7_biomass'!$1:$343,MATCH($A60,'7_biomass'!$A:$A,0),MATCH(N$1,'7_biomass'!$1:$1,0))</f>
        <v>1.7348956840645469E-2</v>
      </c>
      <c r="O60">
        <f>INDEX('4_number_of_transport'!$1:$343,MATCH($A60,'4_number_of_transport'!$A:$A,0),MATCH(O$1,'4_number_of_transport'!$1:$1,0))</f>
        <v>14009</v>
      </c>
      <c r="P60">
        <f>INDEX('2_land_use'!$1:$343,MATCH($A60,'2_land_use'!$A:$A,0),MATCH(P$1,'2_land_use'!$1:$1,0))</f>
        <v>29.271603488733248</v>
      </c>
      <c r="Q60">
        <f>INDEX('2_land_use'!$1:$343,MATCH($A60,'2_land_use'!$A:$A,0),MATCH(Q$1,'2_land_use'!$1:$1,0))</f>
        <v>0</v>
      </c>
      <c r="R60">
        <f>INDEX('6_roof_surface'!$1:$343,MATCH($A60,'6_roof_surface'!$A:$A,0),MATCH(R$1,'6_roof_surface'!$1:$1,0))</f>
        <v>0.840364</v>
      </c>
      <c r="S60">
        <f>INDEX('6_roof_surface'!$1:$343,MATCH($A60,'6_roof_surface'!$A:$A,0),MATCH(S$1,'6_roof_surface'!$1:$1,0))</f>
        <v>1.023649</v>
      </c>
    </row>
    <row r="61" spans="1:19" x14ac:dyDescent="0.2">
      <c r="A61" t="s">
        <v>61</v>
      </c>
      <c r="B61" t="str">
        <f>INDEX(CBS_gemeenten_alfabetisch_2023!$B:$B,MATCH($A61,CBS_gemeenten_alfabetisch_2023!$A:$A,0))</f>
        <v>Dalfsen</v>
      </c>
      <c r="C61">
        <f>INDEX('5_train_share_nl'!$1:$343,MATCH($A61,'5_train_share_nl'!$A:$A,0),MATCH(C$1,'5_train_share_nl'!$1:$1,0))</f>
        <v>4.541881732884293E-4</v>
      </c>
      <c r="D61">
        <f>INDEX('3_has_tram_metro'!$1:$343,MATCH($A61,'3_has_tram_metro'!$A:$A,0),MATCH(D$1,'3_has_tram_metro'!$1:$1,0))</f>
        <v>0</v>
      </c>
      <c r="E61">
        <f>INDEX('1_buildings_total'!$1:$343,MATCH($A61,'1_buildings_total'!$A:$A,0),MATCH(E$1,'1_buildings_total'!$1:$1,0))</f>
        <v>2936.0619230769234</v>
      </c>
      <c r="F61">
        <f>INDEX('2_land_use'!$1:$343,MATCH($A61,'2_land_use'!$A:$A,0),MATCH(F$1,'2_land_use'!$1:$1,0))</f>
        <v>133.96546414328535</v>
      </c>
      <c r="G61">
        <f>INDEX('4_number_of_transport'!$1:$343,MATCH($A61,'4_number_of_transport'!$A:$A,0),MATCH(G$1,'4_number_of_transport'!$1:$1,0))</f>
        <v>2612</v>
      </c>
      <c r="H61">
        <f>INDEX('4_number_of_transport'!$1:$343,MATCH($A61,'4_number_of_transport'!$A:$A,0),MATCH(H$1,'4_number_of_transport'!$1:$1,0))</f>
        <v>233</v>
      </c>
      <c r="I61">
        <f>INDEX('4_number_of_transport'!$1:$343,MATCH($A61,'4_number_of_transport'!$A:$A,0),MATCH(I$1,'4_number_of_transport'!$1:$1,0))</f>
        <v>127</v>
      </c>
      <c r="J61">
        <f>INDEX('2_land_use'!$1:$343,MATCH($A61,'2_land_use'!$A:$A,0),MATCH(J$1,'2_land_use'!$1:$1,0))</f>
        <v>0</v>
      </c>
      <c r="K61">
        <f>INDEX('2_land_use'!$1:$343,MATCH($A61,'2_land_use'!$A:$A,0),MATCH(K$1,'2_land_use'!$1:$1,0))</f>
        <v>6.0062166449490941E-3</v>
      </c>
      <c r="L61">
        <f>INDEX('7_biomass'!$1:$343,MATCH($A61,'7_biomass'!$A:$A,0),MATCH(L$1,'7_biomass'!$1:$1,0))</f>
        <v>0.38179539417227154</v>
      </c>
      <c r="M61">
        <f>INDEX('7_biomass'!$1:$343,MATCH($A61,'7_biomass'!$A:$A,0),MATCH(M$1,'7_biomass'!$1:$1,0))</f>
        <v>0.17992709259076112</v>
      </c>
      <c r="N61">
        <f>INDEX('7_biomass'!$1:$343,MATCH($A61,'7_biomass'!$A:$A,0),MATCH(N$1,'7_biomass'!$1:$1,0))</f>
        <v>1.7314933321714417E-2</v>
      </c>
      <c r="O61">
        <f>INDEX('4_number_of_transport'!$1:$343,MATCH($A61,'4_number_of_transport'!$A:$A,0),MATCH(O$1,'4_number_of_transport'!$1:$1,0))</f>
        <v>17307</v>
      </c>
      <c r="P61">
        <f>INDEX('2_land_use'!$1:$343,MATCH($A61,'2_land_use'!$A:$A,0),MATCH(P$1,'2_land_use'!$1:$1,0))</f>
        <v>165.01939242129069</v>
      </c>
      <c r="Q61">
        <f>INDEX('2_land_use'!$1:$343,MATCH($A61,'2_land_use'!$A:$A,0),MATCH(Q$1,'2_land_use'!$1:$1,0))</f>
        <v>0</v>
      </c>
      <c r="R61">
        <f>INDEX('6_roof_surface'!$1:$343,MATCH($A61,'6_roof_surface'!$A:$A,0),MATCH(R$1,'6_roof_surface'!$1:$1,0))</f>
        <v>1.3850180000000001</v>
      </c>
      <c r="S61">
        <f>INDEX('6_roof_surface'!$1:$343,MATCH($A61,'6_roof_surface'!$A:$A,0),MATCH(S$1,'6_roof_surface'!$1:$1,0))</f>
        <v>2.0733739999999998</v>
      </c>
    </row>
    <row r="62" spans="1:19" x14ac:dyDescent="0.2">
      <c r="A62" t="s">
        <v>62</v>
      </c>
      <c r="B62" t="str">
        <f>INDEX(CBS_gemeenten_alfabetisch_2023!$B:$B,MATCH($A62,CBS_gemeenten_alfabetisch_2023!$A:$A,0))</f>
        <v>Dantumadiel</v>
      </c>
      <c r="C62">
        <f>INDEX('5_train_share_nl'!$1:$343,MATCH($A62,'5_train_share_nl'!$A:$A,0),MATCH(C$1,'5_train_share_nl'!$1:$1,0))</f>
        <v>0</v>
      </c>
      <c r="D62">
        <f>INDEX('3_has_tram_metro'!$1:$343,MATCH($A62,'3_has_tram_metro'!$A:$A,0),MATCH(D$1,'3_has_tram_metro'!$1:$1,0))</f>
        <v>0</v>
      </c>
      <c r="E62">
        <f>INDEX('1_buildings_total'!$1:$343,MATCH($A62,'1_buildings_total'!$A:$A,0),MATCH(E$1,'1_buildings_total'!$1:$1,0))</f>
        <v>1642.3130769230768</v>
      </c>
      <c r="F62">
        <f>INDEX('2_land_use'!$1:$343,MATCH($A62,'2_land_use'!$A:$A,0),MATCH(F$1,'2_land_use'!$1:$1,0))</f>
        <v>69.908518525795756</v>
      </c>
      <c r="G62">
        <f>INDEX('4_number_of_transport'!$1:$343,MATCH($A62,'4_number_of_transport'!$A:$A,0),MATCH(G$1,'4_number_of_transport'!$1:$1,0))</f>
        <v>1536</v>
      </c>
      <c r="H62">
        <f>INDEX('4_number_of_transport'!$1:$343,MATCH($A62,'4_number_of_transport'!$A:$A,0),MATCH(H$1,'4_number_of_transport'!$1:$1,0))</f>
        <v>58</v>
      </c>
      <c r="I62">
        <f>INDEX('4_number_of_transport'!$1:$343,MATCH($A62,'4_number_of_transport'!$A:$A,0),MATCH(I$1,'4_number_of_transport'!$1:$1,0))</f>
        <v>10</v>
      </c>
      <c r="J62">
        <f>INDEX('2_land_use'!$1:$343,MATCH($A62,'2_land_use'!$A:$A,0),MATCH(J$1,'2_land_use'!$1:$1,0))</f>
        <v>1.7926534665015404E-4</v>
      </c>
      <c r="K62">
        <f>INDEX('2_land_use'!$1:$343,MATCH($A62,'2_land_use'!$A:$A,0),MATCH(K$1,'2_land_use'!$1:$1,0))</f>
        <v>3.1342832294767383E-3</v>
      </c>
      <c r="L62">
        <f>INDEX('7_biomass'!$1:$343,MATCH($A62,'7_biomass'!$A:$A,0),MATCH(L$1,'7_biomass'!$1:$1,0))</f>
        <v>0.2151180167680054</v>
      </c>
      <c r="M62">
        <f>INDEX('7_biomass'!$1:$343,MATCH($A62,'7_biomass'!$A:$A,0),MATCH(M$1,'7_biomass'!$1:$1,0))</f>
        <v>6.9162572459935331E-2</v>
      </c>
      <c r="N62">
        <f>INDEX('7_biomass'!$1:$343,MATCH($A62,'7_biomass'!$A:$A,0),MATCH(N$1,'7_biomass'!$1:$1,0))</f>
        <v>1.1496911584504787E-2</v>
      </c>
      <c r="O62">
        <f>INDEX('4_number_of_transport'!$1:$343,MATCH($A62,'4_number_of_transport'!$A:$A,0),MATCH(O$1,'4_number_of_transport'!$1:$1,0))</f>
        <v>10509</v>
      </c>
      <c r="P62">
        <f>INDEX('2_land_use'!$1:$343,MATCH($A62,'2_land_use'!$A:$A,0),MATCH(P$1,'2_land_use'!$1:$1,0))</f>
        <v>84.597145207571472</v>
      </c>
      <c r="Q62">
        <f>INDEX('2_land_use'!$1:$343,MATCH($A62,'2_land_use'!$A:$A,0),MATCH(Q$1,'2_land_use'!$1:$1,0))</f>
        <v>0</v>
      </c>
      <c r="R62">
        <f>INDEX('6_roof_surface'!$1:$343,MATCH($A62,'6_roof_surface'!$A:$A,0),MATCH(R$1,'6_roof_surface'!$1:$1,0))</f>
        <v>0.97819599999999995</v>
      </c>
      <c r="S62">
        <f>INDEX('6_roof_surface'!$1:$343,MATCH($A62,'6_roof_surface'!$A:$A,0),MATCH(S$1,'6_roof_surface'!$1:$1,0))</f>
        <v>0.664049</v>
      </c>
    </row>
    <row r="63" spans="1:19" x14ac:dyDescent="0.2">
      <c r="A63" t="s">
        <v>63</v>
      </c>
      <c r="B63" t="str">
        <f>INDEX(CBS_gemeenten_alfabetisch_2023!$B:$B,MATCH($A63,CBS_gemeenten_alfabetisch_2023!$A:$A,0))</f>
        <v>Delft</v>
      </c>
      <c r="C63">
        <f>INDEX('5_train_share_nl'!$1:$343,MATCH($A63,'5_train_share_nl'!$A:$A,0),MATCH(C$1,'5_train_share_nl'!$1:$1,0))</f>
        <v>1.5530701259411932E-2</v>
      </c>
      <c r="D63">
        <f>INDEX('3_has_tram_metro'!$1:$343,MATCH($A63,'3_has_tram_metro'!$A:$A,0),MATCH(D$1,'3_has_tram_metro'!$1:$1,0))</f>
        <v>1</v>
      </c>
      <c r="E63">
        <f>INDEX('1_buildings_total'!$1:$343,MATCH($A63,'1_buildings_total'!$A:$A,0),MATCH(E$1,'1_buildings_total'!$1:$1,0))</f>
        <v>6739.7991538461538</v>
      </c>
      <c r="F63">
        <f>INDEX('2_land_use'!$1:$343,MATCH($A63,'2_land_use'!$A:$A,0),MATCH(F$1,'2_land_use'!$1:$1,0))</f>
        <v>2.0863086763951362</v>
      </c>
      <c r="G63">
        <f>INDEX('4_number_of_transport'!$1:$343,MATCH($A63,'4_number_of_transport'!$A:$A,0),MATCH(G$1,'4_number_of_transport'!$1:$1,0))</f>
        <v>2529</v>
      </c>
      <c r="H63">
        <f>INDEX('4_number_of_transport'!$1:$343,MATCH($A63,'4_number_of_transport'!$A:$A,0),MATCH(H$1,'4_number_of_transport'!$1:$1,0))</f>
        <v>106</v>
      </c>
      <c r="I63">
        <f>INDEX('4_number_of_transport'!$1:$343,MATCH($A63,'4_number_of_transport'!$A:$A,0),MATCH(I$1,'4_number_of_transport'!$1:$1,0))</f>
        <v>1</v>
      </c>
      <c r="J63">
        <f>INDEX('2_land_use'!$1:$343,MATCH($A63,'2_land_use'!$A:$A,0),MATCH(J$1,'2_land_use'!$1:$1,0))</f>
        <v>0</v>
      </c>
      <c r="K63">
        <f>INDEX('2_land_use'!$1:$343,MATCH($A63,'2_land_use'!$A:$A,0),MATCH(K$1,'2_land_use'!$1:$1,0))</f>
        <v>9.3537703756720443E-5</v>
      </c>
      <c r="L63">
        <f>INDEX('7_biomass'!$1:$343,MATCH($A63,'7_biomass'!$A:$A,0),MATCH(L$1,'7_biomass'!$1:$1,0))</f>
        <v>0.18799510205179565</v>
      </c>
      <c r="M63">
        <f>INDEX('7_biomass'!$1:$343,MATCH($A63,'7_biomass'!$A:$A,0),MATCH(M$1,'7_biomass'!$1:$1,0))</f>
        <v>0.26807125642415014</v>
      </c>
      <c r="N63">
        <f>INDEX('7_biomass'!$1:$343,MATCH($A63,'7_biomass'!$A:$A,0),MATCH(N$1,'7_biomass'!$1:$1,0))</f>
        <v>6.2678005062213563E-2</v>
      </c>
      <c r="O63">
        <f>INDEX('4_number_of_transport'!$1:$343,MATCH($A63,'4_number_of_transport'!$A:$A,0),MATCH(O$1,'4_number_of_transport'!$1:$1,0))</f>
        <v>34212</v>
      </c>
      <c r="P63">
        <f>INDEX('2_land_use'!$1:$343,MATCH($A63,'2_land_use'!$A:$A,0),MATCH(P$1,'2_land_use'!$1:$1,0))</f>
        <v>22.664705743726717</v>
      </c>
      <c r="Q63">
        <f>INDEX('2_land_use'!$1:$343,MATCH($A63,'2_land_use'!$A:$A,0),MATCH(Q$1,'2_land_use'!$1:$1,0))</f>
        <v>0</v>
      </c>
      <c r="R63">
        <f>INDEX('6_roof_surface'!$1:$343,MATCH($A63,'6_roof_surface'!$A:$A,0),MATCH(R$1,'6_roof_surface'!$1:$1,0))</f>
        <v>1.810325</v>
      </c>
      <c r="S63">
        <f>INDEX('6_roof_surface'!$1:$343,MATCH($A63,'6_roof_surface'!$A:$A,0),MATCH(S$1,'6_roof_surface'!$1:$1,0))</f>
        <v>1.745903</v>
      </c>
    </row>
    <row r="64" spans="1:19" x14ac:dyDescent="0.2">
      <c r="A64" t="s">
        <v>64</v>
      </c>
      <c r="B64" t="str">
        <f>INDEX(CBS_gemeenten_alfabetisch_2023!$B:$B,MATCH($A64,CBS_gemeenten_alfabetisch_2023!$A:$A,0))</f>
        <v>Deurne</v>
      </c>
      <c r="C64">
        <f>INDEX('5_train_share_nl'!$1:$343,MATCH($A64,'5_train_share_nl'!$A:$A,0),MATCH(C$1,'5_train_share_nl'!$1:$1,0))</f>
        <v>1.5316476497642933E-3</v>
      </c>
      <c r="D64">
        <f>INDEX('3_has_tram_metro'!$1:$343,MATCH($A64,'3_has_tram_metro'!$A:$A,0),MATCH(D$1,'3_has_tram_metro'!$1:$1,0))</f>
        <v>0</v>
      </c>
      <c r="E64">
        <f>INDEX('1_buildings_total'!$1:$343,MATCH($A64,'1_buildings_total'!$A:$A,0),MATCH(E$1,'1_buildings_total'!$1:$1,0))</f>
        <v>3422.0053846153842</v>
      </c>
      <c r="F64">
        <f>INDEX('2_land_use'!$1:$343,MATCH($A64,'2_land_use'!$A:$A,0),MATCH(F$1,'2_land_use'!$1:$1,0))</f>
        <v>74.741215986881841</v>
      </c>
      <c r="G64">
        <f>INDEX('4_number_of_transport'!$1:$343,MATCH($A64,'4_number_of_transport'!$A:$A,0),MATCH(G$1,'4_number_of_transport'!$1:$1,0))</f>
        <v>2854</v>
      </c>
      <c r="H64">
        <f>INDEX('4_number_of_transport'!$1:$343,MATCH($A64,'4_number_of_transport'!$A:$A,0),MATCH(H$1,'4_number_of_transport'!$1:$1,0))</f>
        <v>220</v>
      </c>
      <c r="I64">
        <f>INDEX('4_number_of_transport'!$1:$343,MATCH($A64,'4_number_of_transport'!$A:$A,0),MATCH(I$1,'4_number_of_transport'!$1:$1,0))</f>
        <v>20</v>
      </c>
      <c r="J64">
        <f>INDEX('2_land_use'!$1:$343,MATCH($A64,'2_land_use'!$A:$A,0),MATCH(J$1,'2_land_use'!$1:$1,0))</f>
        <v>2.5192580951178263E-3</v>
      </c>
      <c r="K64">
        <f>INDEX('2_land_use'!$1:$343,MATCH($A64,'2_land_use'!$A:$A,0),MATCH(K$1,'2_land_use'!$1:$1,0))</f>
        <v>3.3509527130365676E-3</v>
      </c>
      <c r="L64">
        <f>INDEX('7_biomass'!$1:$343,MATCH($A64,'7_biomass'!$A:$A,0),MATCH(L$1,'7_biomass'!$1:$1,0))</f>
        <v>0.42956409205172541</v>
      </c>
      <c r="M64">
        <f>INDEX('7_biomass'!$1:$343,MATCH($A64,'7_biomass'!$A:$A,0),MATCH(M$1,'7_biomass'!$1:$1,0))</f>
        <v>0.18348218456380405</v>
      </c>
      <c r="N64">
        <f>INDEX('7_biomass'!$1:$343,MATCH($A64,'7_biomass'!$A:$A,0),MATCH(N$1,'7_biomass'!$1:$1,0))</f>
        <v>1.9661948565118846E-2</v>
      </c>
      <c r="O64">
        <f>INDEX('4_number_of_transport'!$1:$343,MATCH($A64,'4_number_of_transport'!$A:$A,0),MATCH(O$1,'4_number_of_transport'!$1:$1,0))</f>
        <v>17766</v>
      </c>
      <c r="P64">
        <f>INDEX('2_land_use'!$1:$343,MATCH($A64,'2_land_use'!$A:$A,0),MATCH(P$1,'2_land_use'!$1:$1,0))</f>
        <v>116.75841898270235</v>
      </c>
      <c r="Q64">
        <f>INDEX('2_land_use'!$1:$343,MATCH($A64,'2_land_use'!$A:$A,0),MATCH(Q$1,'2_land_use'!$1:$1,0))</f>
        <v>0</v>
      </c>
      <c r="R64">
        <f>INDEX('6_roof_surface'!$1:$343,MATCH($A64,'6_roof_surface'!$A:$A,0),MATCH(R$1,'6_roof_surface'!$1:$1,0))</f>
        <v>1.627183</v>
      </c>
      <c r="S64">
        <f>INDEX('6_roof_surface'!$1:$343,MATCH($A64,'6_roof_surface'!$A:$A,0),MATCH(S$1,'6_roof_surface'!$1:$1,0))</f>
        <v>3.1020720000000002</v>
      </c>
    </row>
    <row r="65" spans="1:19" x14ac:dyDescent="0.2">
      <c r="A65" t="s">
        <v>65</v>
      </c>
      <c r="B65" t="str">
        <f>INDEX(CBS_gemeenten_alfabetisch_2023!$B:$B,MATCH($A65,CBS_gemeenten_alfabetisch_2023!$A:$A,0))</f>
        <v>Deventer</v>
      </c>
      <c r="C65">
        <f>INDEX('5_train_share_nl'!$1:$343,MATCH($A65,'5_train_share_nl'!$A:$A,0),MATCH(C$1,'5_train_share_nl'!$1:$1,0))</f>
        <v>8.510781524401231E-3</v>
      </c>
      <c r="D65">
        <f>INDEX('3_has_tram_metro'!$1:$343,MATCH($A65,'3_has_tram_metro'!$A:$A,0),MATCH(D$1,'3_has_tram_metro'!$1:$1,0))</f>
        <v>0</v>
      </c>
      <c r="E65">
        <f>INDEX('1_buildings_total'!$1:$343,MATCH($A65,'1_buildings_total'!$A:$A,0),MATCH(E$1,'1_buildings_total'!$1:$1,0))</f>
        <v>5761.5236153846163</v>
      </c>
      <c r="F65">
        <f>INDEX('2_land_use'!$1:$343,MATCH($A65,'2_land_use'!$A:$A,0),MATCH(F$1,'2_land_use'!$1:$1,0))</f>
        <v>85.02104926751727</v>
      </c>
      <c r="G65">
        <f>INDEX('4_number_of_transport'!$1:$343,MATCH($A65,'4_number_of_transport'!$A:$A,0),MATCH(G$1,'4_number_of_transport'!$1:$1,0))</f>
        <v>3583</v>
      </c>
      <c r="H65">
        <f>INDEX('4_number_of_transport'!$1:$343,MATCH($A65,'4_number_of_transport'!$A:$A,0),MATCH(H$1,'4_number_of_transport'!$1:$1,0))</f>
        <v>171</v>
      </c>
      <c r="I65">
        <f>INDEX('4_number_of_transport'!$1:$343,MATCH($A65,'4_number_of_transport'!$A:$A,0),MATCH(I$1,'4_number_of_transport'!$1:$1,0))</f>
        <v>748</v>
      </c>
      <c r="J65">
        <f>INDEX('2_land_use'!$1:$343,MATCH($A65,'2_land_use'!$A:$A,0),MATCH(J$1,'2_land_use'!$1:$1,0))</f>
        <v>0</v>
      </c>
      <c r="K65">
        <f>INDEX('2_land_use'!$1:$343,MATCH($A65,'2_land_use'!$A:$A,0),MATCH(K$1,'2_land_use'!$1:$1,0))</f>
        <v>3.8118394509156365E-3</v>
      </c>
      <c r="L65">
        <f>INDEX('7_biomass'!$1:$343,MATCH($A65,'7_biomass'!$A:$A,0),MATCH(L$1,'7_biomass'!$1:$1,0))</f>
        <v>0.39008031540187843</v>
      </c>
      <c r="M65">
        <f>INDEX('7_biomass'!$1:$343,MATCH($A65,'7_biomass'!$A:$A,0),MATCH(M$1,'7_biomass'!$1:$1,0))</f>
        <v>0.34777051871264475</v>
      </c>
      <c r="N65">
        <f>INDEX('7_biomass'!$1:$343,MATCH($A65,'7_biomass'!$A:$A,0),MATCH(N$1,'7_biomass'!$1:$1,0))</f>
        <v>6.0730158603410925E-2</v>
      </c>
      <c r="O65">
        <f>INDEX('4_number_of_transport'!$1:$343,MATCH($A65,'4_number_of_transport'!$A:$A,0),MATCH(O$1,'4_number_of_transport'!$1:$1,0))</f>
        <v>47012</v>
      </c>
      <c r="P65">
        <f>INDEX('2_land_use'!$1:$343,MATCH($A65,'2_land_use'!$A:$A,0),MATCH(P$1,'2_land_use'!$1:$1,0))</f>
        <v>130.56337774726845</v>
      </c>
      <c r="Q65">
        <f>INDEX('2_land_use'!$1:$343,MATCH($A65,'2_land_use'!$A:$A,0),MATCH(Q$1,'2_land_use'!$1:$1,0))</f>
        <v>0</v>
      </c>
      <c r="R65">
        <f>INDEX('6_roof_surface'!$1:$343,MATCH($A65,'6_roof_surface'!$A:$A,0),MATCH(R$1,'6_roof_surface'!$1:$1,0))</f>
        <v>2.903937</v>
      </c>
      <c r="S65">
        <f>INDEX('6_roof_surface'!$1:$343,MATCH($A65,'6_roof_surface'!$A:$A,0),MATCH(S$1,'6_roof_surface'!$1:$1,0))</f>
        <v>3.0898539999999999</v>
      </c>
    </row>
    <row r="66" spans="1:19" x14ac:dyDescent="0.2">
      <c r="A66" t="s">
        <v>66</v>
      </c>
      <c r="B66" t="str">
        <f>INDEX(CBS_gemeenten_alfabetisch_2023!$B:$B,MATCH($A66,CBS_gemeenten_alfabetisch_2023!$A:$A,0))</f>
        <v>Diemen</v>
      </c>
      <c r="C66">
        <f>INDEX('5_train_share_nl'!$1:$343,MATCH($A66,'5_train_share_nl'!$A:$A,0),MATCH(C$1,'5_train_share_nl'!$1:$1,0))</f>
        <v>2.3663718601322175E-3</v>
      </c>
      <c r="D66">
        <f>INDEX('3_has_tram_metro'!$1:$343,MATCH($A66,'3_has_tram_metro'!$A:$A,0),MATCH(D$1,'3_has_tram_metro'!$1:$1,0))</f>
        <v>1</v>
      </c>
      <c r="E66">
        <f>INDEX('1_buildings_total'!$1:$343,MATCH($A66,'1_buildings_total'!$A:$A,0),MATCH(E$1,'1_buildings_total'!$1:$1,0))</f>
        <v>1204.5882307692304</v>
      </c>
      <c r="F66">
        <f>INDEX('2_land_use'!$1:$343,MATCH($A66,'2_land_use'!$A:$A,0),MATCH(F$1,'2_land_use'!$1:$1,0))</f>
        <v>2.3259500399698432</v>
      </c>
      <c r="G66">
        <f>INDEX('4_number_of_transport'!$1:$343,MATCH($A66,'4_number_of_transport'!$A:$A,0),MATCH(G$1,'4_number_of_transport'!$1:$1,0))</f>
        <v>951</v>
      </c>
      <c r="H66">
        <f>INDEX('4_number_of_transport'!$1:$343,MATCH($A66,'4_number_of_transport'!$A:$A,0),MATCH(H$1,'4_number_of_transport'!$1:$1,0))</f>
        <v>73</v>
      </c>
      <c r="I66">
        <f>INDEX('4_number_of_transport'!$1:$343,MATCH($A66,'4_number_of_transport'!$A:$A,0),MATCH(I$1,'4_number_of_transport'!$1:$1,0))</f>
        <v>43</v>
      </c>
      <c r="J66">
        <f>INDEX('2_land_use'!$1:$343,MATCH($A66,'2_land_use'!$A:$A,0),MATCH(J$1,'2_land_use'!$1:$1,0))</f>
        <v>0</v>
      </c>
      <c r="K66">
        <f>INDEX('2_land_use'!$1:$343,MATCH($A66,'2_land_use'!$A:$A,0),MATCH(K$1,'2_land_use'!$1:$1,0))</f>
        <v>1.0428180079639652E-4</v>
      </c>
      <c r="L66">
        <f>INDEX('7_biomass'!$1:$343,MATCH($A66,'7_biomass'!$A:$A,0),MATCH(L$1,'7_biomass'!$1:$1,0))</f>
        <v>6.2426028761651882E-2</v>
      </c>
      <c r="M66">
        <f>INDEX('7_biomass'!$1:$343,MATCH($A66,'7_biomass'!$A:$A,0),MATCH(M$1,'7_biomass'!$1:$1,0))</f>
        <v>7.8655133858550608E-2</v>
      </c>
      <c r="N66">
        <f>INDEX('7_biomass'!$1:$343,MATCH($A66,'7_biomass'!$A:$A,0),MATCH(N$1,'7_biomass'!$1:$1,0))</f>
        <v>1.7738404619838385E-2</v>
      </c>
      <c r="O66">
        <f>INDEX('4_number_of_transport'!$1:$343,MATCH($A66,'4_number_of_transport'!$A:$A,0),MATCH(O$1,'4_number_of_transport'!$1:$1,0))</f>
        <v>10737</v>
      </c>
      <c r="P66">
        <f>INDEX('2_land_use'!$1:$343,MATCH($A66,'2_land_use'!$A:$A,0),MATCH(P$1,'2_land_use'!$1:$1,0))</f>
        <v>11.946556089097003</v>
      </c>
      <c r="Q66">
        <f>INDEX('2_land_use'!$1:$343,MATCH($A66,'2_land_use'!$A:$A,0),MATCH(Q$1,'2_land_use'!$1:$1,0))</f>
        <v>0</v>
      </c>
      <c r="R66">
        <f>INDEX('6_roof_surface'!$1:$343,MATCH($A66,'6_roof_surface'!$A:$A,0),MATCH(R$1,'6_roof_surface'!$1:$1,0))</f>
        <v>0.56216699999999997</v>
      </c>
      <c r="S66">
        <f>INDEX('6_roof_surface'!$1:$343,MATCH($A66,'6_roof_surface'!$A:$A,0),MATCH(S$1,'6_roof_surface'!$1:$1,0))</f>
        <v>0.45743600000000001</v>
      </c>
    </row>
    <row r="67" spans="1:19" x14ac:dyDescent="0.2">
      <c r="A67" t="s">
        <v>67</v>
      </c>
      <c r="B67" t="str">
        <f>INDEX(CBS_gemeenten_alfabetisch_2023!$B:$B,MATCH($A67,CBS_gemeenten_alfabetisch_2023!$A:$A,0))</f>
        <v>Dijk en Waard</v>
      </c>
      <c r="C67">
        <f>INDEX('5_train_share_nl'!$1:$343,MATCH($A67,'5_train_share_nl'!$A:$A,0),MATCH(C$1,'5_train_share_nl'!$1:$1,0))</f>
        <v>1.5328355874450826E-3</v>
      </c>
      <c r="D67">
        <f>INDEX('3_has_tram_metro'!$1:$343,MATCH($A67,'3_has_tram_metro'!$A:$A,0),MATCH(D$1,'3_has_tram_metro'!$1:$1,0))</f>
        <v>0</v>
      </c>
      <c r="E67">
        <f>INDEX('1_buildings_total'!$1:$343,MATCH($A67,'1_buildings_total'!$A:$A,0),MATCH(E$1,'1_buildings_total'!$1:$1,0))</f>
        <v>3782.8555384615379</v>
      </c>
      <c r="F67">
        <f>INDEX('2_land_use'!$1:$343,MATCH($A67,'2_land_use'!$A:$A,0),MATCH(F$1,'2_land_use'!$1:$1,0))</f>
        <v>32.636212308831958</v>
      </c>
      <c r="G67">
        <f>INDEX('4_number_of_transport'!$1:$343,MATCH($A67,'4_number_of_transport'!$A:$A,0),MATCH(G$1,'4_number_of_transport'!$1:$1,0))</f>
        <v>4588</v>
      </c>
      <c r="H67">
        <f>INDEX('4_number_of_transport'!$1:$343,MATCH($A67,'4_number_of_transport'!$A:$A,0),MATCH(H$1,'4_number_of_transport'!$1:$1,0))</f>
        <v>275</v>
      </c>
      <c r="I67">
        <f>INDEX('4_number_of_transport'!$1:$343,MATCH($A67,'4_number_of_transport'!$A:$A,0),MATCH(I$1,'4_number_of_transport'!$1:$1,0))</f>
        <v>5</v>
      </c>
      <c r="J67">
        <f>INDEX('2_land_use'!$1:$343,MATCH($A67,'2_land_use'!$A:$A,0),MATCH(J$1,'2_land_use'!$1:$1,0))</f>
        <v>1.2775756525396167E-2</v>
      </c>
      <c r="K67">
        <f>INDEX('2_land_use'!$1:$343,MATCH($A67,'2_land_use'!$A:$A,0),MATCH(K$1,'2_land_use'!$1:$1,0))</f>
        <v>1.4632141414278373E-3</v>
      </c>
      <c r="L67">
        <f>INDEX('7_biomass'!$1:$343,MATCH($A67,'7_biomass'!$A:$A,0),MATCH(L$1,'7_biomass'!$1:$1,0))</f>
        <v>0.10156537706250481</v>
      </c>
      <c r="M67">
        <f>INDEX('7_biomass'!$1:$343,MATCH($A67,'7_biomass'!$A:$A,0),MATCH(M$1,'7_biomass'!$1:$1,0))</f>
        <v>7.4479585741124218E-2</v>
      </c>
      <c r="N67">
        <f>INDEX('7_biomass'!$1:$343,MATCH($A67,'7_biomass'!$A:$A,0),MATCH(N$1,'7_biomass'!$1:$1,0))</f>
        <v>1.7006898962820798E-2</v>
      </c>
      <c r="O67">
        <f>INDEX('4_number_of_transport'!$1:$343,MATCH($A67,'4_number_of_transport'!$A:$A,0),MATCH(O$1,'4_number_of_transport'!$1:$1,0))</f>
        <v>44840</v>
      </c>
      <c r="P67">
        <f>INDEX('2_land_use'!$1:$343,MATCH($A67,'2_land_use'!$A:$A,0),MATCH(P$1,'2_land_use'!$1:$1,0))</f>
        <v>61.899244763458292</v>
      </c>
      <c r="Q67">
        <f>INDEX('2_land_use'!$1:$343,MATCH($A67,'2_land_use'!$A:$A,0),MATCH(Q$1,'2_land_use'!$1:$1,0))</f>
        <v>0</v>
      </c>
      <c r="R67">
        <f>INDEX('6_roof_surface'!$1:$343,MATCH($A67,'6_roof_surface'!$A:$A,0),MATCH(R$1,'6_roof_surface'!$1:$1,0))</f>
        <v>2.673359</v>
      </c>
      <c r="S67">
        <f>INDEX('6_roof_surface'!$1:$343,MATCH($A67,'6_roof_surface'!$A:$A,0),MATCH(S$1,'6_roof_surface'!$1:$1,0))</f>
        <v>3.79087</v>
      </c>
    </row>
    <row r="68" spans="1:19" x14ac:dyDescent="0.2">
      <c r="A68" t="s">
        <v>68</v>
      </c>
      <c r="B68" t="str">
        <f>INDEX(CBS_gemeenten_alfabetisch_2023!$B:$B,MATCH($A68,CBS_gemeenten_alfabetisch_2023!$A:$A,0))</f>
        <v>Dinkelland</v>
      </c>
      <c r="C68">
        <f>INDEX('5_train_share_nl'!$1:$343,MATCH($A68,'5_train_share_nl'!$A:$A,0),MATCH(C$1,'5_train_share_nl'!$1:$1,0))</f>
        <v>0</v>
      </c>
      <c r="D68">
        <f>INDEX('3_has_tram_metro'!$1:$343,MATCH($A68,'3_has_tram_metro'!$A:$A,0),MATCH(D$1,'3_has_tram_metro'!$1:$1,0))</f>
        <v>0</v>
      </c>
      <c r="E68">
        <f>INDEX('1_buildings_total'!$1:$343,MATCH($A68,'1_buildings_total'!$A:$A,0),MATCH(E$1,'1_buildings_total'!$1:$1,0))</f>
        <v>2343.4276153846163</v>
      </c>
      <c r="F68">
        <f>INDEX('2_land_use'!$1:$343,MATCH($A68,'2_land_use'!$A:$A,0),MATCH(F$1,'2_land_use'!$1:$1,0))</f>
        <v>142.77948547957766</v>
      </c>
      <c r="G68">
        <f>INDEX('4_number_of_transport'!$1:$343,MATCH($A68,'4_number_of_transport'!$A:$A,0),MATCH(G$1,'4_number_of_transport'!$1:$1,0))</f>
        <v>2617</v>
      </c>
      <c r="H68">
        <f>INDEX('4_number_of_transport'!$1:$343,MATCH($A68,'4_number_of_transport'!$A:$A,0),MATCH(H$1,'4_number_of_transport'!$1:$1,0))</f>
        <v>197</v>
      </c>
      <c r="I68">
        <f>INDEX('4_number_of_transport'!$1:$343,MATCH($A68,'4_number_of_transport'!$A:$A,0),MATCH(I$1,'4_number_of_transport'!$1:$1,0))</f>
        <v>24</v>
      </c>
      <c r="J68">
        <f>INDEX('2_land_use'!$1:$343,MATCH($A68,'2_land_use'!$A:$A,0),MATCH(J$1,'2_land_use'!$1:$1,0))</f>
        <v>2.3833223008975606E-3</v>
      </c>
      <c r="K68">
        <f>INDEX('2_land_use'!$1:$343,MATCH($A68,'2_land_use'!$A:$A,0),MATCH(K$1,'2_land_use'!$1:$1,0))</f>
        <v>6.4013850713604973E-3</v>
      </c>
      <c r="L68">
        <f>INDEX('7_biomass'!$1:$343,MATCH($A68,'7_biomass'!$A:$A,0),MATCH(L$1,'7_biomass'!$1:$1,0))</f>
        <v>0.41517777225396513</v>
      </c>
      <c r="M68">
        <f>INDEX('7_biomass'!$1:$343,MATCH($A68,'7_biomass'!$A:$A,0),MATCH(M$1,'7_biomass'!$1:$1,0))</f>
        <v>0.14274564396114403</v>
      </c>
      <c r="N68">
        <f>INDEX('7_biomass'!$1:$343,MATCH($A68,'7_biomass'!$A:$A,0),MATCH(N$1,'7_biomass'!$1:$1,0))</f>
        <v>1.6009280782735356E-2</v>
      </c>
      <c r="O68">
        <f>INDEX('4_number_of_transport'!$1:$343,MATCH($A68,'4_number_of_transport'!$A:$A,0),MATCH(O$1,'4_number_of_transport'!$1:$1,0))</f>
        <v>15457</v>
      </c>
      <c r="P68">
        <f>INDEX('2_land_use'!$1:$343,MATCH($A68,'2_land_use'!$A:$A,0),MATCH(P$1,'2_land_use'!$1:$1,0))</f>
        <v>175.72407305876598</v>
      </c>
      <c r="Q68">
        <f>INDEX('2_land_use'!$1:$343,MATCH($A68,'2_land_use'!$A:$A,0),MATCH(Q$1,'2_land_use'!$1:$1,0))</f>
        <v>0</v>
      </c>
      <c r="R68">
        <f>INDEX('6_roof_surface'!$1:$343,MATCH($A68,'6_roof_surface'!$A:$A,0),MATCH(R$1,'6_roof_surface'!$1:$1,0))</f>
        <v>1.3785240000000001</v>
      </c>
      <c r="S68">
        <f>INDEX('6_roof_surface'!$1:$343,MATCH($A68,'6_roof_surface'!$A:$A,0),MATCH(S$1,'6_roof_surface'!$1:$1,0))</f>
        <v>2.2088429999999999</v>
      </c>
    </row>
    <row r="69" spans="1:19" x14ac:dyDescent="0.2">
      <c r="A69" t="s">
        <v>69</v>
      </c>
      <c r="B69" t="str">
        <f>INDEX(CBS_gemeenten_alfabetisch_2023!$B:$B,MATCH($A69,CBS_gemeenten_alfabetisch_2023!$A:$A,0))</f>
        <v>Doesburg</v>
      </c>
      <c r="C69">
        <f>INDEX('5_train_share_nl'!$1:$343,MATCH($A69,'5_train_share_nl'!$A:$A,0),MATCH(C$1,'5_train_share_nl'!$1:$1,0))</f>
        <v>0</v>
      </c>
      <c r="D69">
        <f>INDEX('3_has_tram_metro'!$1:$343,MATCH($A69,'3_has_tram_metro'!$A:$A,0),MATCH(D$1,'3_has_tram_metro'!$1:$1,0))</f>
        <v>0</v>
      </c>
      <c r="E69">
        <f>INDEX('1_buildings_total'!$1:$343,MATCH($A69,'1_buildings_total'!$A:$A,0),MATCH(E$1,'1_buildings_total'!$1:$1,0))</f>
        <v>691.64853846153858</v>
      </c>
      <c r="F69">
        <f>INDEX('2_land_use'!$1:$343,MATCH($A69,'2_land_use'!$A:$A,0),MATCH(F$1,'2_land_use'!$1:$1,0))</f>
        <v>7.3697778263580851</v>
      </c>
      <c r="G69">
        <f>INDEX('4_number_of_transport'!$1:$343,MATCH($A69,'4_number_of_transport'!$A:$A,0),MATCH(G$1,'4_number_of_transport'!$1:$1,0))</f>
        <v>416</v>
      </c>
      <c r="H69">
        <f>INDEX('4_number_of_transport'!$1:$343,MATCH($A69,'4_number_of_transport'!$A:$A,0),MATCH(H$1,'4_number_of_transport'!$1:$1,0))</f>
        <v>28</v>
      </c>
      <c r="I69">
        <f>INDEX('4_number_of_transport'!$1:$343,MATCH($A69,'4_number_of_transport'!$A:$A,0),MATCH(I$1,'4_number_of_transport'!$1:$1,0))</f>
        <v>1</v>
      </c>
      <c r="J69">
        <f>INDEX('2_land_use'!$1:$343,MATCH($A69,'2_land_use'!$A:$A,0),MATCH(J$1,'2_land_use'!$1:$1,0))</f>
        <v>0</v>
      </c>
      <c r="K69">
        <f>INDEX('2_land_use'!$1:$343,MATCH($A69,'2_land_use'!$A:$A,0),MATCH(K$1,'2_land_use'!$1:$1,0))</f>
        <v>3.304171155851388E-4</v>
      </c>
      <c r="L69">
        <f>INDEX('7_biomass'!$1:$343,MATCH($A69,'7_biomass'!$A:$A,0),MATCH(L$1,'7_biomass'!$1:$1,0))</f>
        <v>4.1844984559736308E-2</v>
      </c>
      <c r="M69">
        <f>INDEX('7_biomass'!$1:$343,MATCH($A69,'7_biomass'!$A:$A,0),MATCH(M$1,'7_biomass'!$1:$1,0))</f>
        <v>3.2357928598900347E-2</v>
      </c>
      <c r="N69">
        <f>INDEX('7_biomass'!$1:$343,MATCH($A69,'7_biomass'!$A:$A,0),MATCH(N$1,'7_biomass'!$1:$1,0))</f>
        <v>6.7731105186312618E-3</v>
      </c>
      <c r="O69">
        <f>INDEX('4_number_of_transport'!$1:$343,MATCH($A69,'4_number_of_transport'!$A:$A,0),MATCH(O$1,'4_number_of_transport'!$1:$1,0))</f>
        <v>6066</v>
      </c>
      <c r="P69">
        <f>INDEX('2_land_use'!$1:$343,MATCH($A69,'2_land_use'!$A:$A,0),MATCH(P$1,'2_land_use'!$1:$1,0))</f>
        <v>11.558612893386517</v>
      </c>
      <c r="Q69">
        <f>INDEX('2_land_use'!$1:$343,MATCH($A69,'2_land_use'!$A:$A,0),MATCH(Q$1,'2_land_use'!$1:$1,0))</f>
        <v>0</v>
      </c>
      <c r="R69">
        <f>INDEX('6_roof_surface'!$1:$343,MATCH($A69,'6_roof_surface'!$A:$A,0),MATCH(R$1,'6_roof_surface'!$1:$1,0))</f>
        <v>0.36117500000000002</v>
      </c>
      <c r="S69">
        <f>INDEX('6_roof_surface'!$1:$343,MATCH($A69,'6_roof_surface'!$A:$A,0),MATCH(S$1,'6_roof_surface'!$1:$1,0))</f>
        <v>0.26325999999999999</v>
      </c>
    </row>
    <row r="70" spans="1:19" x14ac:dyDescent="0.2">
      <c r="A70" t="s">
        <v>70</v>
      </c>
      <c r="B70" t="str">
        <f>INDEX(CBS_gemeenten_alfabetisch_2023!$B:$B,MATCH($A70,CBS_gemeenten_alfabetisch_2023!$A:$A,0))</f>
        <v>Doetinchem</v>
      </c>
      <c r="C70">
        <f>INDEX('5_train_share_nl'!$1:$343,MATCH($A70,'5_train_share_nl'!$A:$A,0),MATCH(C$1,'5_train_share_nl'!$1:$1,0))</f>
        <v>3.6061828196492811E-3</v>
      </c>
      <c r="D70">
        <f>INDEX('3_has_tram_metro'!$1:$343,MATCH($A70,'3_has_tram_metro'!$A:$A,0),MATCH(D$1,'3_has_tram_metro'!$1:$1,0))</f>
        <v>0</v>
      </c>
      <c r="E70">
        <f>INDEX('1_buildings_total'!$1:$343,MATCH($A70,'1_buildings_total'!$A:$A,0),MATCH(E$1,'1_buildings_total'!$1:$1,0))</f>
        <v>4150.6694615384631</v>
      </c>
      <c r="F70">
        <f>INDEX('2_land_use'!$1:$343,MATCH($A70,'2_land_use'!$A:$A,0),MATCH(F$1,'2_land_use'!$1:$1,0))</f>
        <v>49.567186036563818</v>
      </c>
      <c r="G70">
        <f>INDEX('4_number_of_transport'!$1:$343,MATCH($A70,'4_number_of_transport'!$A:$A,0),MATCH(G$1,'4_number_of_transport'!$1:$1,0))</f>
        <v>3560</v>
      </c>
      <c r="H70">
        <f>INDEX('4_number_of_transport'!$1:$343,MATCH($A70,'4_number_of_transport'!$A:$A,0),MATCH(H$1,'4_number_of_transport'!$1:$1,0))</f>
        <v>182</v>
      </c>
      <c r="I70">
        <f>INDEX('4_number_of_transport'!$1:$343,MATCH($A70,'4_number_of_transport'!$A:$A,0),MATCH(I$1,'4_number_of_transport'!$1:$1,0))</f>
        <v>6</v>
      </c>
      <c r="J70">
        <f>INDEX('2_land_use'!$1:$343,MATCH($A70,'2_land_use'!$A:$A,0),MATCH(J$1,'2_land_use'!$1:$1,0))</f>
        <v>2.475509978991396E-4</v>
      </c>
      <c r="K70">
        <f>INDEX('2_land_use'!$1:$343,MATCH($A70,'2_land_use'!$A:$A,0),MATCH(K$1,'2_land_use'!$1:$1,0))</f>
        <v>2.2222985582140416E-3</v>
      </c>
      <c r="L70">
        <f>INDEX('7_biomass'!$1:$343,MATCH($A70,'7_biomass'!$A:$A,0),MATCH(L$1,'7_biomass'!$1:$1,0))</f>
        <v>0.22482266688535213</v>
      </c>
      <c r="M70">
        <f>INDEX('7_biomass'!$1:$343,MATCH($A70,'7_biomass'!$A:$A,0),MATCH(M$1,'7_biomass'!$1:$1,0))</f>
        <v>0.19340829714689367</v>
      </c>
      <c r="N70">
        <f>INDEX('7_biomass'!$1:$343,MATCH($A70,'7_biomass'!$A:$A,0),MATCH(N$1,'7_biomass'!$1:$1,0))</f>
        <v>3.4968279144225171E-2</v>
      </c>
      <c r="O70">
        <f>INDEX('4_number_of_transport'!$1:$343,MATCH($A70,'4_number_of_transport'!$A:$A,0),MATCH(O$1,'4_number_of_transport'!$1:$1,0))</f>
        <v>32465</v>
      </c>
      <c r="P70">
        <f>INDEX('2_land_use'!$1:$343,MATCH($A70,'2_land_use'!$A:$A,0),MATCH(P$1,'2_land_use'!$1:$1,0))</f>
        <v>79.043058876808658</v>
      </c>
      <c r="Q70">
        <f>INDEX('2_land_use'!$1:$343,MATCH($A70,'2_land_use'!$A:$A,0),MATCH(Q$1,'2_land_use'!$1:$1,0))</f>
        <v>0</v>
      </c>
      <c r="R70">
        <f>INDEX('6_roof_surface'!$1:$343,MATCH($A70,'6_roof_surface'!$A:$A,0),MATCH(R$1,'6_roof_surface'!$1:$1,0))</f>
        <v>1.9960960000000001</v>
      </c>
      <c r="S70">
        <f>INDEX('6_roof_surface'!$1:$343,MATCH($A70,'6_roof_surface'!$A:$A,0),MATCH(S$1,'6_roof_surface'!$1:$1,0))</f>
        <v>2.4181970000000002</v>
      </c>
    </row>
    <row r="71" spans="1:19" x14ac:dyDescent="0.2">
      <c r="A71" t="s">
        <v>71</v>
      </c>
      <c r="B71" t="str">
        <f>INDEX(CBS_gemeenten_alfabetisch_2023!$B:$B,MATCH($A71,CBS_gemeenten_alfabetisch_2023!$A:$A,0))</f>
        <v>Dongen</v>
      </c>
      <c r="C71">
        <f>INDEX('5_train_share_nl'!$1:$343,MATCH($A71,'5_train_share_nl'!$A:$A,0),MATCH(C$1,'5_train_share_nl'!$1:$1,0))</f>
        <v>0</v>
      </c>
      <c r="D71">
        <f>INDEX('3_has_tram_metro'!$1:$343,MATCH($A71,'3_has_tram_metro'!$A:$A,0),MATCH(D$1,'3_has_tram_metro'!$1:$1,0))</f>
        <v>0</v>
      </c>
      <c r="E71">
        <f>INDEX('1_buildings_total'!$1:$343,MATCH($A71,'1_buildings_total'!$A:$A,0),MATCH(E$1,'1_buildings_total'!$1:$1,0))</f>
        <v>1813.5266153846155</v>
      </c>
      <c r="F71">
        <f>INDEX('2_land_use'!$1:$343,MATCH($A71,'2_land_use'!$A:$A,0),MATCH(F$1,'2_land_use'!$1:$1,0))</f>
        <v>19.970988155547762</v>
      </c>
      <c r="G71">
        <f>INDEX('4_number_of_transport'!$1:$343,MATCH($A71,'4_number_of_transport'!$A:$A,0),MATCH(G$1,'4_number_of_transport'!$1:$1,0))</f>
        <v>1331</v>
      </c>
      <c r="H71">
        <f>INDEX('4_number_of_transport'!$1:$343,MATCH($A71,'4_number_of_transport'!$A:$A,0),MATCH(H$1,'4_number_of_transport'!$1:$1,0))</f>
        <v>125</v>
      </c>
      <c r="I71">
        <f>INDEX('4_number_of_transport'!$1:$343,MATCH($A71,'4_number_of_transport'!$A:$A,0),MATCH(I$1,'4_number_of_transport'!$1:$1,0))</f>
        <v>25</v>
      </c>
      <c r="J71">
        <f>INDEX('2_land_use'!$1:$343,MATCH($A71,'2_land_use'!$A:$A,0),MATCH(J$1,'2_land_use'!$1:$1,0))</f>
        <v>4.2619409896332014E-3</v>
      </c>
      <c r="K71">
        <f>INDEX('2_land_use'!$1:$343,MATCH($A71,'2_land_use'!$A:$A,0),MATCH(K$1,'2_land_use'!$1:$1,0))</f>
        <v>8.9538062845538494E-4</v>
      </c>
      <c r="L71">
        <f>INDEX('7_biomass'!$1:$343,MATCH($A71,'7_biomass'!$A:$A,0),MATCH(L$1,'7_biomass'!$1:$1,0))</f>
        <v>0.12090088237684292</v>
      </c>
      <c r="M71">
        <f>INDEX('7_biomass'!$1:$343,MATCH($A71,'7_biomass'!$A:$A,0),MATCH(M$1,'7_biomass'!$1:$1,0))</f>
        <v>7.3511210049702597E-2</v>
      </c>
      <c r="N71">
        <f>INDEX('7_biomass'!$1:$343,MATCH($A71,'7_biomass'!$A:$A,0),MATCH(N$1,'7_biomass'!$1:$1,0))</f>
        <v>1.5827619494157067E-2</v>
      </c>
      <c r="O71">
        <f>INDEX('4_number_of_transport'!$1:$343,MATCH($A71,'4_number_of_transport'!$A:$A,0),MATCH(O$1,'4_number_of_transport'!$1:$1,0))</f>
        <v>14868</v>
      </c>
      <c r="P71">
        <f>INDEX('2_land_use'!$1:$343,MATCH($A71,'2_land_use'!$A:$A,0),MATCH(P$1,'2_land_use'!$1:$1,0))</f>
        <v>29.233524637715423</v>
      </c>
      <c r="Q71">
        <f>INDEX('2_land_use'!$1:$343,MATCH($A71,'2_land_use'!$A:$A,0),MATCH(Q$1,'2_land_use'!$1:$1,0))</f>
        <v>0</v>
      </c>
      <c r="R71">
        <f>INDEX('6_roof_surface'!$1:$343,MATCH($A71,'6_roof_surface'!$A:$A,0),MATCH(R$1,'6_roof_surface'!$1:$1,0))</f>
        <v>1.1280399999999999</v>
      </c>
      <c r="S71">
        <f>INDEX('6_roof_surface'!$1:$343,MATCH($A71,'6_roof_surface'!$A:$A,0),MATCH(S$1,'6_roof_surface'!$1:$1,0))</f>
        <v>1.5505169999999999</v>
      </c>
    </row>
    <row r="72" spans="1:19" x14ac:dyDescent="0.2">
      <c r="A72" t="s">
        <v>72</v>
      </c>
      <c r="B72" t="str">
        <f>INDEX(CBS_gemeenten_alfabetisch_2023!$B:$B,MATCH($A72,CBS_gemeenten_alfabetisch_2023!$A:$A,0))</f>
        <v>Dordrecht</v>
      </c>
      <c r="C72">
        <f>INDEX('5_train_share_nl'!$1:$343,MATCH($A72,'5_train_share_nl'!$A:$A,0),MATCH(C$1,'5_train_share_nl'!$1:$1,0))</f>
        <v>8.7087711378661063E-3</v>
      </c>
      <c r="D72">
        <f>INDEX('3_has_tram_metro'!$1:$343,MATCH($A72,'3_has_tram_metro'!$A:$A,0),MATCH(D$1,'3_has_tram_metro'!$1:$1,0))</f>
        <v>0</v>
      </c>
      <c r="E72">
        <f>INDEX('1_buildings_total'!$1:$343,MATCH($A72,'1_buildings_total'!$A:$A,0),MATCH(E$1,'1_buildings_total'!$1:$1,0))</f>
        <v>6988.2653846153853</v>
      </c>
      <c r="F72">
        <f>INDEX('2_land_use'!$1:$343,MATCH($A72,'2_land_use'!$A:$A,0),MATCH(F$1,'2_land_use'!$1:$1,0))</f>
        <v>27.780238336877005</v>
      </c>
      <c r="G72">
        <f>INDEX('4_number_of_transport'!$1:$343,MATCH($A72,'4_number_of_transport'!$A:$A,0),MATCH(G$1,'4_number_of_transport'!$1:$1,0))</f>
        <v>6809</v>
      </c>
      <c r="H72">
        <f>INDEX('4_number_of_transport'!$1:$343,MATCH($A72,'4_number_of_transport'!$A:$A,0),MATCH(H$1,'4_number_of_transport'!$1:$1,0))</f>
        <v>296</v>
      </c>
      <c r="I72">
        <f>INDEX('4_number_of_transport'!$1:$343,MATCH($A72,'4_number_of_transport'!$A:$A,0),MATCH(I$1,'4_number_of_transport'!$1:$1,0))</f>
        <v>18</v>
      </c>
      <c r="J72">
        <f>INDEX('2_land_use'!$1:$343,MATCH($A72,'2_land_use'!$A:$A,0),MATCH(J$1,'2_land_use'!$1:$1,0))</f>
        <v>3.8533499366728038E-4</v>
      </c>
      <c r="K72">
        <f>INDEX('2_land_use'!$1:$343,MATCH($A72,'2_land_use'!$A:$A,0),MATCH(K$1,'2_land_use'!$1:$1,0))</f>
        <v>1.2455010772115234E-3</v>
      </c>
      <c r="L72">
        <f>INDEX('7_biomass'!$1:$343,MATCH($A72,'7_biomass'!$A:$A,0),MATCH(L$1,'7_biomass'!$1:$1,0))</f>
        <v>0.41776954869059918</v>
      </c>
      <c r="M72">
        <f>INDEX('7_biomass'!$1:$343,MATCH($A72,'7_biomass'!$A:$A,0),MATCH(M$1,'7_biomass'!$1:$1,0))</f>
        <v>0.32941814765032179</v>
      </c>
      <c r="N72">
        <f>INDEX('7_biomass'!$1:$343,MATCH($A72,'7_biomass'!$A:$A,0),MATCH(N$1,'7_biomass'!$1:$1,0))</f>
        <v>7.20897609865154E-2</v>
      </c>
      <c r="O72">
        <f>INDEX('4_number_of_transport'!$1:$343,MATCH($A72,'4_number_of_transport'!$A:$A,0),MATCH(O$1,'4_number_of_transport'!$1:$1,0))</f>
        <v>60837</v>
      </c>
      <c r="P72">
        <f>INDEX('2_land_use'!$1:$343,MATCH($A72,'2_land_use'!$A:$A,0),MATCH(P$1,'2_land_use'!$1:$1,0))</f>
        <v>77.556489524521737</v>
      </c>
      <c r="Q72">
        <f>INDEX('2_land_use'!$1:$343,MATCH($A72,'2_land_use'!$A:$A,0),MATCH(Q$1,'2_land_use'!$1:$1,0))</f>
        <v>0</v>
      </c>
      <c r="R72">
        <f>INDEX('6_roof_surface'!$1:$343,MATCH($A72,'6_roof_surface'!$A:$A,0),MATCH(R$1,'6_roof_surface'!$1:$1,0))</f>
        <v>2.6049980000000001</v>
      </c>
      <c r="S72">
        <f>INDEX('6_roof_surface'!$1:$343,MATCH($A72,'6_roof_surface'!$A:$A,0),MATCH(S$1,'6_roof_surface'!$1:$1,0))</f>
        <v>2.8176770000000002</v>
      </c>
    </row>
    <row r="73" spans="1:19" x14ac:dyDescent="0.2">
      <c r="A73" t="s">
        <v>73</v>
      </c>
      <c r="B73" t="str">
        <f>INDEX(CBS_gemeenten_alfabetisch_2023!$B:$B,MATCH($A73,CBS_gemeenten_alfabetisch_2023!$A:$A,0))</f>
        <v>Drechterland</v>
      </c>
      <c r="C73">
        <f>INDEX('5_train_share_nl'!$1:$343,MATCH($A73,'5_train_share_nl'!$A:$A,0),MATCH(C$1,'5_train_share_nl'!$1:$1,0))</f>
        <v>5.1065481104861235E-3</v>
      </c>
      <c r="D73">
        <f>INDEX('3_has_tram_metro'!$1:$343,MATCH($A73,'3_has_tram_metro'!$A:$A,0),MATCH(D$1,'3_has_tram_metro'!$1:$1,0))</f>
        <v>0</v>
      </c>
      <c r="E73">
        <f>INDEX('1_buildings_total'!$1:$343,MATCH($A73,'1_buildings_total'!$A:$A,0),MATCH(E$1,'1_buildings_total'!$1:$1,0))</f>
        <v>1681.7270769230768</v>
      </c>
      <c r="F73">
        <f>INDEX('2_land_use'!$1:$343,MATCH($A73,'2_land_use'!$A:$A,0),MATCH(F$1,'2_land_use'!$1:$1,0))</f>
        <v>50.688441534376572</v>
      </c>
      <c r="G73">
        <f>INDEX('4_number_of_transport'!$1:$343,MATCH($A73,'4_number_of_transport'!$A:$A,0),MATCH(G$1,'4_number_of_transport'!$1:$1,0))</f>
        <v>1571</v>
      </c>
      <c r="H73">
        <f>INDEX('4_number_of_transport'!$1:$343,MATCH($A73,'4_number_of_transport'!$A:$A,0),MATCH(H$1,'4_number_of_transport'!$1:$1,0))</f>
        <v>101</v>
      </c>
      <c r="I73">
        <f>INDEX('4_number_of_transport'!$1:$343,MATCH($A73,'4_number_of_transport'!$A:$A,0),MATCH(I$1,'4_number_of_transport'!$1:$1,0))</f>
        <v>4</v>
      </c>
      <c r="J73">
        <f>INDEX('2_land_use'!$1:$343,MATCH($A73,'2_land_use'!$A:$A,0),MATCH(J$1,'2_land_use'!$1:$1,0))</f>
        <v>2.5905683668519608E-3</v>
      </c>
      <c r="K73">
        <f>INDEX('2_land_use'!$1:$343,MATCH($A73,'2_land_use'!$A:$A,0),MATCH(K$1,'2_land_use'!$1:$1,0))</f>
        <v>2.2725690027444365E-3</v>
      </c>
      <c r="L73">
        <f>INDEX('7_biomass'!$1:$343,MATCH($A73,'7_biomass'!$A:$A,0),MATCH(L$1,'7_biomass'!$1:$1,0))</f>
        <v>0.12342854343331446</v>
      </c>
      <c r="M73">
        <f>INDEX('7_biomass'!$1:$343,MATCH($A73,'7_biomass'!$A:$A,0),MATCH(M$1,'7_biomass'!$1:$1,0))</f>
        <v>6.1876526540512594E-2</v>
      </c>
      <c r="N73">
        <f>INDEX('7_biomass'!$1:$343,MATCH($A73,'7_biomass'!$A:$A,0),MATCH(N$1,'7_biomass'!$1:$1,0))</f>
        <v>1.1906408937353502E-2</v>
      </c>
      <c r="O73">
        <f>INDEX('4_number_of_transport'!$1:$343,MATCH($A73,'4_number_of_transport'!$A:$A,0),MATCH(O$1,'4_number_of_transport'!$1:$1,0))</f>
        <v>10583</v>
      </c>
      <c r="P73">
        <f>INDEX('2_land_use'!$1:$343,MATCH($A73,'2_land_use'!$A:$A,0),MATCH(P$1,'2_land_use'!$1:$1,0))</f>
        <v>58.884886834287855</v>
      </c>
      <c r="Q73">
        <f>INDEX('2_land_use'!$1:$343,MATCH($A73,'2_land_use'!$A:$A,0),MATCH(Q$1,'2_land_use'!$1:$1,0))</f>
        <v>0</v>
      </c>
      <c r="R73">
        <f>INDEX('6_roof_surface'!$1:$343,MATCH($A73,'6_roof_surface'!$A:$A,0),MATCH(R$1,'6_roof_surface'!$1:$1,0))</f>
        <v>0.83245000000000002</v>
      </c>
      <c r="S73">
        <f>INDEX('6_roof_surface'!$1:$343,MATCH($A73,'6_roof_surface'!$A:$A,0),MATCH(S$1,'6_roof_surface'!$1:$1,0))</f>
        <v>1.4961899999999999</v>
      </c>
    </row>
    <row r="74" spans="1:19" x14ac:dyDescent="0.2">
      <c r="A74" t="s">
        <v>74</v>
      </c>
      <c r="B74" t="str">
        <f>INDEX(CBS_gemeenten_alfabetisch_2023!$B:$B,MATCH($A74,CBS_gemeenten_alfabetisch_2023!$A:$A,0))</f>
        <v>Drimmelen</v>
      </c>
      <c r="C74">
        <f>INDEX('5_train_share_nl'!$1:$343,MATCH($A74,'5_train_share_nl'!$A:$A,0),MATCH(C$1,'5_train_share_nl'!$1:$1,0))</f>
        <v>3.425220312942383E-4</v>
      </c>
      <c r="D74">
        <f>INDEX('3_has_tram_metro'!$1:$343,MATCH($A74,'3_has_tram_metro'!$A:$A,0),MATCH(D$1,'3_has_tram_metro'!$1:$1,0))</f>
        <v>0</v>
      </c>
      <c r="E74">
        <f>INDEX('1_buildings_total'!$1:$343,MATCH($A74,'1_buildings_total'!$A:$A,0),MATCH(E$1,'1_buildings_total'!$1:$1,0))</f>
        <v>2215.2439999999997</v>
      </c>
      <c r="F74">
        <f>INDEX('2_land_use'!$1:$343,MATCH($A74,'2_land_use'!$A:$A,0),MATCH(F$1,'2_land_use'!$1:$1,0))</f>
        <v>66.908414458408657</v>
      </c>
      <c r="G74">
        <f>INDEX('4_number_of_transport'!$1:$343,MATCH($A74,'4_number_of_transport'!$A:$A,0),MATCH(G$1,'4_number_of_transport'!$1:$1,0))</f>
        <v>2006</v>
      </c>
      <c r="H74">
        <f>INDEX('4_number_of_transport'!$1:$343,MATCH($A74,'4_number_of_transport'!$A:$A,0),MATCH(H$1,'4_number_of_transport'!$1:$1,0))</f>
        <v>84</v>
      </c>
      <c r="I74">
        <f>INDEX('4_number_of_transport'!$1:$343,MATCH($A74,'4_number_of_transport'!$A:$A,0),MATCH(I$1,'4_number_of_transport'!$1:$1,0))</f>
        <v>7</v>
      </c>
      <c r="J74">
        <f>INDEX('2_land_use'!$1:$343,MATCH($A74,'2_land_use'!$A:$A,0),MATCH(J$1,'2_land_use'!$1:$1,0))</f>
        <v>1.2638126457752004E-2</v>
      </c>
      <c r="K74">
        <f>INDEX('2_land_use'!$1:$343,MATCH($A74,'2_land_use'!$A:$A,0),MATCH(K$1,'2_land_use'!$1:$1,0))</f>
        <v>2.9997763615958713E-3</v>
      </c>
      <c r="L74">
        <f>INDEX('7_biomass'!$1:$343,MATCH($A74,'7_biomass'!$A:$A,0),MATCH(L$1,'7_biomass'!$1:$1,0))</f>
        <v>0.47012344104448633</v>
      </c>
      <c r="M74">
        <f>INDEX('7_biomass'!$1:$343,MATCH($A74,'7_biomass'!$A:$A,0),MATCH(M$1,'7_biomass'!$1:$1,0))</f>
        <v>0.11547999751849428</v>
      </c>
      <c r="N74">
        <f>INDEX('7_biomass'!$1:$343,MATCH($A74,'7_biomass'!$A:$A,0),MATCH(N$1,'7_biomass'!$1:$1,0))</f>
        <v>1.6495331053178935E-2</v>
      </c>
      <c r="O74">
        <f>INDEX('4_number_of_transport'!$1:$343,MATCH($A74,'4_number_of_transport'!$A:$A,0),MATCH(O$1,'4_number_of_transport'!$1:$1,0))</f>
        <v>15610</v>
      </c>
      <c r="P74">
        <f>INDEX('2_land_use'!$1:$343,MATCH($A74,'2_land_use'!$A:$A,0),MATCH(P$1,'2_land_use'!$1:$1,0))</f>
        <v>95.051225358775667</v>
      </c>
      <c r="Q74">
        <f>INDEX('2_land_use'!$1:$343,MATCH($A74,'2_land_use'!$A:$A,0),MATCH(Q$1,'2_land_use'!$1:$1,0))</f>
        <v>0</v>
      </c>
      <c r="R74">
        <f>INDEX('6_roof_surface'!$1:$343,MATCH($A74,'6_roof_surface'!$A:$A,0),MATCH(R$1,'6_roof_surface'!$1:$1,0))</f>
        <v>1.070011</v>
      </c>
      <c r="S74">
        <f>INDEX('6_roof_surface'!$1:$343,MATCH($A74,'6_roof_surface'!$A:$A,0),MATCH(S$1,'6_roof_surface'!$1:$1,0))</f>
        <v>2.6500590000000002</v>
      </c>
    </row>
    <row r="75" spans="1:19" x14ac:dyDescent="0.2">
      <c r="A75" t="s">
        <v>75</v>
      </c>
      <c r="B75" t="str">
        <f>INDEX(CBS_gemeenten_alfabetisch_2023!$B:$B,MATCH($A75,CBS_gemeenten_alfabetisch_2023!$A:$A,0))</f>
        <v>Dronten</v>
      </c>
      <c r="C75">
        <f>INDEX('5_train_share_nl'!$1:$343,MATCH($A75,'5_train_share_nl'!$A:$A,0),MATCH(C$1,'5_train_share_nl'!$1:$1,0))</f>
        <v>1.1127016276726122E-3</v>
      </c>
      <c r="D75">
        <f>INDEX('3_has_tram_metro'!$1:$343,MATCH($A75,'3_has_tram_metro'!$A:$A,0),MATCH(D$1,'3_has_tram_metro'!$1:$1,0))</f>
        <v>0</v>
      </c>
      <c r="E75">
        <f>INDEX('1_buildings_total'!$1:$343,MATCH($A75,'1_buildings_total'!$A:$A,0),MATCH(E$1,'1_buildings_total'!$1:$1,0))</f>
        <v>2901.9728461538466</v>
      </c>
      <c r="F75">
        <f>INDEX('2_land_use'!$1:$343,MATCH($A75,'2_land_use'!$A:$A,0),MATCH(F$1,'2_land_use'!$1:$1,0))</f>
        <v>264.18229805317816</v>
      </c>
      <c r="G75">
        <f>INDEX('4_number_of_transport'!$1:$343,MATCH($A75,'4_number_of_transport'!$A:$A,0),MATCH(G$1,'4_number_of_transport'!$1:$1,0))</f>
        <v>2593</v>
      </c>
      <c r="H75">
        <f>INDEX('4_number_of_transport'!$1:$343,MATCH($A75,'4_number_of_transport'!$A:$A,0),MATCH(H$1,'4_number_of_transport'!$1:$1,0))</f>
        <v>154</v>
      </c>
      <c r="I75">
        <f>INDEX('4_number_of_transport'!$1:$343,MATCH($A75,'4_number_of_transport'!$A:$A,0),MATCH(I$1,'4_number_of_transport'!$1:$1,0))</f>
        <v>11</v>
      </c>
      <c r="J75">
        <f>INDEX('2_land_use'!$1:$343,MATCH($A75,'2_land_use'!$A:$A,0),MATCH(J$1,'2_land_use'!$1:$1,0))</f>
        <v>0</v>
      </c>
      <c r="K75">
        <f>INDEX('2_land_use'!$1:$343,MATCH($A75,'2_land_use'!$A:$A,0),MATCH(K$1,'2_land_use'!$1:$1,0))</f>
        <v>1.1844366949460774E-2</v>
      </c>
      <c r="L75">
        <f>INDEX('7_biomass'!$1:$343,MATCH($A75,'7_biomass'!$A:$A,0),MATCH(L$1,'7_biomass'!$1:$1,0))</f>
        <v>1.4119880031970555</v>
      </c>
      <c r="M75">
        <f>INDEX('7_biomass'!$1:$343,MATCH($A75,'7_biomass'!$A:$A,0),MATCH(M$1,'7_biomass'!$1:$1,0))</f>
        <v>0.30369120138497396</v>
      </c>
      <c r="N75">
        <f>INDEX('7_biomass'!$1:$343,MATCH($A75,'7_biomass'!$A:$A,0),MATCH(N$1,'7_biomass'!$1:$1,0))</f>
        <v>2.4797677235193303E-2</v>
      </c>
      <c r="O75">
        <f>INDEX('4_number_of_transport'!$1:$343,MATCH($A75,'4_number_of_transport'!$A:$A,0),MATCH(O$1,'4_number_of_transport'!$1:$1,0))</f>
        <v>22910</v>
      </c>
      <c r="P75">
        <f>INDEX('2_land_use'!$1:$343,MATCH($A75,'2_land_use'!$A:$A,0),MATCH(P$1,'2_land_use'!$1:$1,0))</f>
        <v>333.60196039364638</v>
      </c>
      <c r="Q75">
        <f>INDEX('2_land_use'!$1:$343,MATCH($A75,'2_land_use'!$A:$A,0),MATCH(Q$1,'2_land_use'!$1:$1,0))</f>
        <v>0</v>
      </c>
      <c r="R75">
        <f>INDEX('6_roof_surface'!$1:$343,MATCH($A75,'6_roof_surface'!$A:$A,0),MATCH(R$1,'6_roof_surface'!$1:$1,0))</f>
        <v>1.4910410000000001</v>
      </c>
      <c r="S75">
        <f>INDEX('6_roof_surface'!$1:$343,MATCH($A75,'6_roof_surface'!$A:$A,0),MATCH(S$1,'6_roof_surface'!$1:$1,0))</f>
        <v>2.5313729999999999</v>
      </c>
    </row>
    <row r="76" spans="1:19" x14ac:dyDescent="0.2">
      <c r="A76" t="s">
        <v>76</v>
      </c>
      <c r="B76" t="str">
        <f>INDEX(CBS_gemeenten_alfabetisch_2023!$B:$B,MATCH($A76,CBS_gemeenten_alfabetisch_2023!$A:$A,0))</f>
        <v>Druten</v>
      </c>
      <c r="C76">
        <f>INDEX('5_train_share_nl'!$1:$343,MATCH($A76,'5_train_share_nl'!$A:$A,0),MATCH(C$1,'5_train_share_nl'!$1:$1,0))</f>
        <v>0</v>
      </c>
      <c r="D76">
        <f>INDEX('3_has_tram_metro'!$1:$343,MATCH($A76,'3_has_tram_metro'!$A:$A,0),MATCH(D$1,'3_has_tram_metro'!$1:$1,0))</f>
        <v>0</v>
      </c>
      <c r="E76">
        <f>INDEX('1_buildings_total'!$1:$343,MATCH($A76,'1_buildings_total'!$A:$A,0),MATCH(E$1,'1_buildings_total'!$1:$1,0))</f>
        <v>1560.8426923076922</v>
      </c>
      <c r="F76">
        <f>INDEX('2_land_use'!$1:$343,MATCH($A76,'2_land_use'!$A:$A,0),MATCH(F$1,'2_land_use'!$1:$1,0))</f>
        <v>27.540796667033007</v>
      </c>
      <c r="G76">
        <f>INDEX('4_number_of_transport'!$1:$343,MATCH($A76,'4_number_of_transport'!$A:$A,0),MATCH(G$1,'4_number_of_transport'!$1:$1,0))</f>
        <v>1322</v>
      </c>
      <c r="H76">
        <f>INDEX('4_number_of_transport'!$1:$343,MATCH($A76,'4_number_of_transport'!$A:$A,0),MATCH(H$1,'4_number_of_transport'!$1:$1,0))</f>
        <v>99</v>
      </c>
      <c r="I76">
        <f>INDEX('4_number_of_transport'!$1:$343,MATCH($A76,'4_number_of_transport'!$A:$A,0),MATCH(I$1,'4_number_of_transport'!$1:$1,0))</f>
        <v>2</v>
      </c>
      <c r="J76">
        <f>INDEX('2_land_use'!$1:$343,MATCH($A76,'2_land_use'!$A:$A,0),MATCH(J$1,'2_land_use'!$1:$1,0))</f>
        <v>2.1684844320682894E-4</v>
      </c>
      <c r="K76">
        <f>INDEX('2_land_use'!$1:$343,MATCH($A76,'2_land_use'!$A:$A,0),MATCH(K$1,'2_land_use'!$1:$1,0))</f>
        <v>1.2347659332540236E-3</v>
      </c>
      <c r="L76">
        <f>INDEX('7_biomass'!$1:$343,MATCH($A76,'7_biomass'!$A:$A,0),MATCH(L$1,'7_biomass'!$1:$1,0))</f>
        <v>0.1196524814402477</v>
      </c>
      <c r="M76">
        <f>INDEX('7_biomass'!$1:$343,MATCH($A76,'7_biomass'!$A:$A,0),MATCH(M$1,'7_biomass'!$1:$1,0))</f>
        <v>6.4544694358767862E-2</v>
      </c>
      <c r="N76">
        <f>INDEX('7_biomass'!$1:$343,MATCH($A76,'7_biomass'!$A:$A,0),MATCH(N$1,'7_biomass'!$1:$1,0))</f>
        <v>1.1420358666909923E-2</v>
      </c>
      <c r="O76">
        <f>INDEX('4_number_of_transport'!$1:$343,MATCH($A76,'4_number_of_transport'!$A:$A,0),MATCH(O$1,'4_number_of_transport'!$1:$1,0))</f>
        <v>10649</v>
      </c>
      <c r="P76">
        <f>INDEX('2_land_use'!$1:$343,MATCH($A76,'2_land_use'!$A:$A,0),MATCH(P$1,'2_land_use'!$1:$1,0))</f>
        <v>37.521089857453191</v>
      </c>
      <c r="Q76">
        <f>INDEX('2_land_use'!$1:$343,MATCH($A76,'2_land_use'!$A:$A,0),MATCH(Q$1,'2_land_use'!$1:$1,0))</f>
        <v>0</v>
      </c>
      <c r="R76">
        <f>INDEX('6_roof_surface'!$1:$343,MATCH($A76,'6_roof_surface'!$A:$A,0),MATCH(R$1,'6_roof_surface'!$1:$1,0))</f>
        <v>0.74462799999999996</v>
      </c>
      <c r="S76">
        <f>INDEX('6_roof_surface'!$1:$343,MATCH($A76,'6_roof_surface'!$A:$A,0),MATCH(S$1,'6_roof_surface'!$1:$1,0))</f>
        <v>0.75660300000000003</v>
      </c>
    </row>
    <row r="77" spans="1:19" x14ac:dyDescent="0.2">
      <c r="A77" t="s">
        <v>77</v>
      </c>
      <c r="B77" t="str">
        <f>INDEX(CBS_gemeenten_alfabetisch_2023!$B:$B,MATCH($A77,CBS_gemeenten_alfabetisch_2023!$A:$A,0))</f>
        <v>Duiven</v>
      </c>
      <c r="C77">
        <f>INDEX('5_train_share_nl'!$1:$343,MATCH($A77,'5_train_share_nl'!$A:$A,0),MATCH(C$1,'5_train_share_nl'!$1:$1,0))</f>
        <v>1.2924761966987212E-3</v>
      </c>
      <c r="D77">
        <f>INDEX('3_has_tram_metro'!$1:$343,MATCH($A77,'3_has_tram_metro'!$A:$A,0),MATCH(D$1,'3_has_tram_metro'!$1:$1,0))</f>
        <v>0</v>
      </c>
      <c r="E77">
        <f>INDEX('1_buildings_total'!$1:$343,MATCH($A77,'1_buildings_total'!$A:$A,0),MATCH(E$1,'1_buildings_total'!$1:$1,0))</f>
        <v>1110.9256153846154</v>
      </c>
      <c r="F77">
        <f>INDEX('2_land_use'!$1:$343,MATCH($A77,'2_land_use'!$A:$A,0),MATCH(F$1,'2_land_use'!$1:$1,0))</f>
        <v>23.037099570399395</v>
      </c>
      <c r="G77">
        <f>INDEX('4_number_of_transport'!$1:$343,MATCH($A77,'4_number_of_transport'!$A:$A,0),MATCH(G$1,'4_number_of_transport'!$1:$1,0))</f>
        <v>1113</v>
      </c>
      <c r="H77">
        <f>INDEX('4_number_of_transport'!$1:$343,MATCH($A77,'4_number_of_transport'!$A:$A,0),MATCH(H$1,'4_number_of_transport'!$1:$1,0))</f>
        <v>159</v>
      </c>
      <c r="I77">
        <f>INDEX('4_number_of_transport'!$1:$343,MATCH($A77,'4_number_of_transport'!$A:$A,0),MATCH(I$1,'4_number_of_transport'!$1:$1,0))</f>
        <v>0</v>
      </c>
      <c r="J77">
        <f>INDEX('2_land_use'!$1:$343,MATCH($A77,'2_land_use'!$A:$A,0),MATCH(J$1,'2_land_use'!$1:$1,0))</f>
        <v>8.1793632199424551E-4</v>
      </c>
      <c r="K77">
        <f>INDEX('2_land_use'!$1:$343,MATCH($A77,'2_land_use'!$A:$A,0),MATCH(K$1,'2_land_use'!$1:$1,0))</f>
        <v>1.0328468741995372E-3</v>
      </c>
      <c r="L77">
        <f>INDEX('7_biomass'!$1:$343,MATCH($A77,'7_biomass'!$A:$A,0),MATCH(L$1,'7_biomass'!$1:$1,0))</f>
        <v>7.5266300467132258E-2</v>
      </c>
      <c r="M77">
        <f>INDEX('7_biomass'!$1:$343,MATCH($A77,'7_biomass'!$A:$A,0),MATCH(M$1,'7_biomass'!$1:$1,0))</f>
        <v>7.5408714820610623E-2</v>
      </c>
      <c r="N77">
        <f>INDEX('7_biomass'!$1:$343,MATCH($A77,'7_biomass'!$A:$A,0),MATCH(N$1,'7_biomass'!$1:$1,0))</f>
        <v>1.5390781813595902E-2</v>
      </c>
      <c r="O77">
        <f>INDEX('4_number_of_transport'!$1:$343,MATCH($A77,'4_number_of_transport'!$A:$A,0),MATCH(O$1,'4_number_of_transport'!$1:$1,0))</f>
        <v>13492</v>
      </c>
      <c r="P77">
        <f>INDEX('2_land_use'!$1:$343,MATCH($A77,'2_land_use'!$A:$A,0),MATCH(P$1,'2_land_use'!$1:$1,0))</f>
        <v>33.87941234209503</v>
      </c>
      <c r="Q77">
        <f>INDEX('2_land_use'!$1:$343,MATCH($A77,'2_land_use'!$A:$A,0),MATCH(Q$1,'2_land_use'!$1:$1,0))</f>
        <v>0</v>
      </c>
      <c r="R77">
        <f>INDEX('6_roof_surface'!$1:$343,MATCH($A77,'6_roof_surface'!$A:$A,0),MATCH(R$1,'6_roof_surface'!$1:$1,0))</f>
        <v>0.88054299999999996</v>
      </c>
      <c r="S77">
        <f>INDEX('6_roof_surface'!$1:$343,MATCH($A77,'6_roof_surface'!$A:$A,0),MATCH(S$1,'6_roof_surface'!$1:$1,0))</f>
        <v>1.2677099999999999</v>
      </c>
    </row>
    <row r="78" spans="1:19" x14ac:dyDescent="0.2">
      <c r="A78" t="s">
        <v>78</v>
      </c>
      <c r="B78" t="str">
        <f>INDEX(CBS_gemeenten_alfabetisch_2023!$B:$B,MATCH($A78,CBS_gemeenten_alfabetisch_2023!$A:$A,0))</f>
        <v>Echt-Susteren</v>
      </c>
      <c r="C78">
        <f>INDEX('5_train_share_nl'!$1:$343,MATCH($A78,'5_train_share_nl'!$A:$A,0),MATCH(C$1,'5_train_share_nl'!$1:$1,0))</f>
        <v>1.1629909894926912E-3</v>
      </c>
      <c r="D78">
        <f>INDEX('3_has_tram_metro'!$1:$343,MATCH($A78,'3_has_tram_metro'!$A:$A,0),MATCH(D$1,'3_has_tram_metro'!$1:$1,0))</f>
        <v>0</v>
      </c>
      <c r="E78">
        <f>INDEX('1_buildings_total'!$1:$343,MATCH($A78,'1_buildings_total'!$A:$A,0),MATCH(E$1,'1_buildings_total'!$1:$1,0))</f>
        <v>3265.5707692307692</v>
      </c>
      <c r="F78">
        <f>INDEX('2_land_use'!$1:$343,MATCH($A78,'2_land_use'!$A:$A,0),MATCH(F$1,'2_land_use'!$1:$1,0))</f>
        <v>70.471523382832117</v>
      </c>
      <c r="G78">
        <f>INDEX('4_number_of_transport'!$1:$343,MATCH($A78,'4_number_of_transport'!$A:$A,0),MATCH(G$1,'4_number_of_transport'!$1:$1,0))</f>
        <v>1969</v>
      </c>
      <c r="H78">
        <f>INDEX('4_number_of_transport'!$1:$343,MATCH($A78,'4_number_of_transport'!$A:$A,0),MATCH(H$1,'4_number_of_transport'!$1:$1,0))</f>
        <v>138</v>
      </c>
      <c r="I78">
        <f>INDEX('4_number_of_transport'!$1:$343,MATCH($A78,'4_number_of_transport'!$A:$A,0),MATCH(I$1,'4_number_of_transport'!$1:$1,0))</f>
        <v>16</v>
      </c>
      <c r="J78">
        <f>INDEX('2_land_use'!$1:$343,MATCH($A78,'2_land_use'!$A:$A,0),MATCH(J$1,'2_land_use'!$1:$1,0))</f>
        <v>0</v>
      </c>
      <c r="K78">
        <f>INDEX('2_land_use'!$1:$343,MATCH($A78,'2_land_use'!$A:$A,0),MATCH(K$1,'2_land_use'!$1:$1,0))</f>
        <v>3.1595250271679864E-3</v>
      </c>
      <c r="L78">
        <f>INDEX('7_biomass'!$1:$343,MATCH($A78,'7_biomass'!$A:$A,0),MATCH(L$1,'7_biomass'!$1:$1,0))</f>
        <v>0.23813623053504179</v>
      </c>
      <c r="M78">
        <f>INDEX('7_biomass'!$1:$343,MATCH($A78,'7_biomass'!$A:$A,0),MATCH(M$1,'7_biomass'!$1:$1,0))</f>
        <v>0.13240936064295453</v>
      </c>
      <c r="N78">
        <f>INDEX('7_biomass'!$1:$343,MATCH($A78,'7_biomass'!$A:$A,0),MATCH(N$1,'7_biomass'!$1:$1,0))</f>
        <v>1.9222073070367409E-2</v>
      </c>
      <c r="O78">
        <f>INDEX('4_number_of_transport'!$1:$343,MATCH($A78,'4_number_of_transport'!$A:$A,0),MATCH(O$1,'4_number_of_transport'!$1:$1,0))</f>
        <v>19395</v>
      </c>
      <c r="P78">
        <f>INDEX('2_land_use'!$1:$343,MATCH($A78,'2_land_use'!$A:$A,0),MATCH(P$1,'2_land_use'!$1:$1,0))</f>
        <v>103.02282996085204</v>
      </c>
      <c r="Q78">
        <f>INDEX('2_land_use'!$1:$343,MATCH($A78,'2_land_use'!$A:$A,0),MATCH(Q$1,'2_land_use'!$1:$1,0))</f>
        <v>0</v>
      </c>
      <c r="R78">
        <f>INDEX('6_roof_surface'!$1:$343,MATCH($A78,'6_roof_surface'!$A:$A,0),MATCH(R$1,'6_roof_surface'!$1:$1,0))</f>
        <v>1.6253709999999999</v>
      </c>
      <c r="S78">
        <f>INDEX('6_roof_surface'!$1:$343,MATCH($A78,'6_roof_surface'!$A:$A,0),MATCH(S$1,'6_roof_surface'!$1:$1,0))</f>
        <v>1.4373549999999999</v>
      </c>
    </row>
    <row r="79" spans="1:19" x14ac:dyDescent="0.2">
      <c r="A79" t="s">
        <v>79</v>
      </c>
      <c r="B79" t="str">
        <f>INDEX(CBS_gemeenten_alfabetisch_2023!$B:$B,MATCH($A79,CBS_gemeenten_alfabetisch_2023!$A:$A,0))</f>
        <v>Edam-Volendam</v>
      </c>
      <c r="C79">
        <f>INDEX('5_train_share_nl'!$1:$343,MATCH($A79,'5_train_share_nl'!$A:$A,0),MATCH(C$1,'5_train_share_nl'!$1:$1,0))</f>
        <v>0</v>
      </c>
      <c r="D79">
        <f>INDEX('3_has_tram_metro'!$1:$343,MATCH($A79,'3_has_tram_metro'!$A:$A,0),MATCH(D$1,'3_has_tram_metro'!$1:$1,0))</f>
        <v>0</v>
      </c>
      <c r="E79">
        <f>INDEX('1_buildings_total'!$1:$343,MATCH($A79,'1_buildings_total'!$A:$A,0),MATCH(E$1,'1_buildings_total'!$1:$1,0))</f>
        <v>1874.1294615384613</v>
      </c>
      <c r="F79">
        <f>INDEX('2_land_use'!$1:$343,MATCH($A79,'2_land_use'!$A:$A,0),MATCH(F$1,'2_land_use'!$1:$1,0))</f>
        <v>43.913922188083532</v>
      </c>
      <c r="G79">
        <f>INDEX('4_number_of_transport'!$1:$343,MATCH($A79,'4_number_of_transport'!$A:$A,0),MATCH(G$1,'4_number_of_transport'!$1:$1,0))</f>
        <v>2973</v>
      </c>
      <c r="H79">
        <f>INDEX('4_number_of_transport'!$1:$343,MATCH($A79,'4_number_of_transport'!$A:$A,0),MATCH(H$1,'4_number_of_transport'!$1:$1,0))</f>
        <v>118</v>
      </c>
      <c r="I79">
        <f>INDEX('4_number_of_transport'!$1:$343,MATCH($A79,'4_number_of_transport'!$A:$A,0),MATCH(I$1,'4_number_of_transport'!$1:$1,0))</f>
        <v>21</v>
      </c>
      <c r="J79">
        <f>INDEX('2_land_use'!$1:$343,MATCH($A79,'2_land_use'!$A:$A,0),MATCH(J$1,'2_land_use'!$1:$1,0))</f>
        <v>0</v>
      </c>
      <c r="K79">
        <f>INDEX('2_land_use'!$1:$343,MATCH($A79,'2_land_use'!$A:$A,0),MATCH(K$1,'2_land_use'!$1:$1,0))</f>
        <v>1.9688397459584118E-3</v>
      </c>
      <c r="L79">
        <f>INDEX('7_biomass'!$1:$343,MATCH($A79,'7_biomass'!$A:$A,0),MATCH(L$1,'7_biomass'!$1:$1,0))</f>
        <v>0.12089201513267291</v>
      </c>
      <c r="M79">
        <f>INDEX('7_biomass'!$1:$343,MATCH($A79,'7_biomass'!$A:$A,0),MATCH(M$1,'7_biomass'!$1:$1,0))</f>
        <v>9.9381128225103366E-2</v>
      </c>
      <c r="N79">
        <f>INDEX('7_biomass'!$1:$343,MATCH($A79,'7_biomass'!$A:$A,0),MATCH(N$1,'7_biomass'!$1:$1,0))</f>
        <v>2.193241089092841E-2</v>
      </c>
      <c r="O79">
        <f>INDEX('4_number_of_transport'!$1:$343,MATCH($A79,'4_number_of_transport'!$A:$A,0),MATCH(O$1,'4_number_of_transport'!$1:$1,0))</f>
        <v>15856</v>
      </c>
      <c r="P79">
        <f>INDEX('2_land_use'!$1:$343,MATCH($A79,'2_land_use'!$A:$A,0),MATCH(P$1,'2_land_use'!$1:$1,0))</f>
        <v>54.321552169300546</v>
      </c>
      <c r="Q79">
        <f>INDEX('2_land_use'!$1:$343,MATCH($A79,'2_land_use'!$A:$A,0),MATCH(Q$1,'2_land_use'!$1:$1,0))</f>
        <v>0</v>
      </c>
      <c r="R79">
        <f>INDEX('6_roof_surface'!$1:$343,MATCH($A79,'6_roof_surface'!$A:$A,0),MATCH(R$1,'6_roof_surface'!$1:$1,0))</f>
        <v>1.2016709999999999</v>
      </c>
      <c r="S79">
        <f>INDEX('6_roof_surface'!$1:$343,MATCH($A79,'6_roof_surface'!$A:$A,0),MATCH(S$1,'6_roof_surface'!$1:$1,0))</f>
        <v>0.83431999999999995</v>
      </c>
    </row>
    <row r="80" spans="1:19" x14ac:dyDescent="0.2">
      <c r="A80" t="s">
        <v>80</v>
      </c>
      <c r="B80" t="str">
        <f>INDEX(CBS_gemeenten_alfabetisch_2023!$B:$B,MATCH($A80,CBS_gemeenten_alfabetisch_2023!$A:$A,0))</f>
        <v>Ede</v>
      </c>
      <c r="C80">
        <f>INDEX('5_train_share_nl'!$1:$343,MATCH($A80,'5_train_share_nl'!$A:$A,0),MATCH(C$1,'5_train_share_nl'!$1:$1,0))</f>
        <v>6.0766972164640245E-3</v>
      </c>
      <c r="D80">
        <f>INDEX('3_has_tram_metro'!$1:$343,MATCH($A80,'3_has_tram_metro'!$A:$A,0),MATCH(D$1,'3_has_tram_metro'!$1:$1,0))</f>
        <v>0</v>
      </c>
      <c r="E80">
        <f>INDEX('1_buildings_total'!$1:$343,MATCH($A80,'1_buildings_total'!$A:$A,0),MATCH(E$1,'1_buildings_total'!$1:$1,0))</f>
        <v>8319.9830769230775</v>
      </c>
      <c r="F80">
        <f>INDEX('2_land_use'!$1:$343,MATCH($A80,'2_land_use'!$A:$A,0),MATCH(F$1,'2_land_use'!$1:$1,0))</f>
        <v>108.04053468842739</v>
      </c>
      <c r="G80">
        <f>INDEX('4_number_of_transport'!$1:$343,MATCH($A80,'4_number_of_transport'!$A:$A,0),MATCH(G$1,'4_number_of_transport'!$1:$1,0))</f>
        <v>8561</v>
      </c>
      <c r="H80">
        <f>INDEX('4_number_of_transport'!$1:$343,MATCH($A80,'4_number_of_transport'!$A:$A,0),MATCH(H$1,'4_number_of_transport'!$1:$1,0))</f>
        <v>849</v>
      </c>
      <c r="I80">
        <f>INDEX('4_number_of_transport'!$1:$343,MATCH($A80,'4_number_of_transport'!$A:$A,0),MATCH(I$1,'4_number_of_transport'!$1:$1,0))</f>
        <v>22</v>
      </c>
      <c r="J80">
        <f>INDEX('2_land_use'!$1:$343,MATCH($A80,'2_land_use'!$A:$A,0),MATCH(J$1,'2_land_use'!$1:$1,0))</f>
        <v>0</v>
      </c>
      <c r="K80">
        <f>INDEX('2_land_use'!$1:$343,MATCH($A80,'2_land_use'!$A:$A,0),MATCH(K$1,'2_land_use'!$1:$1,0))</f>
        <v>4.843896611150267E-3</v>
      </c>
      <c r="L80">
        <f>INDEX('7_biomass'!$1:$343,MATCH($A80,'7_biomass'!$A:$A,0),MATCH(L$1,'7_biomass'!$1:$1,0))</f>
        <v>0.51401909817853941</v>
      </c>
      <c r="M80">
        <f>INDEX('7_biomass'!$1:$343,MATCH($A80,'7_biomass'!$A:$A,0),MATCH(M$1,'7_biomass'!$1:$1,0))</f>
        <v>0.65934156140615363</v>
      </c>
      <c r="N80">
        <f>INDEX('7_biomass'!$1:$343,MATCH($A80,'7_biomass'!$A:$A,0),MATCH(N$1,'7_biomass'!$1:$1,0))</f>
        <v>7.0301095991283036E-2</v>
      </c>
      <c r="O80">
        <f>INDEX('4_number_of_transport'!$1:$343,MATCH($A80,'4_number_of_transport'!$A:$A,0),MATCH(O$1,'4_number_of_transport'!$1:$1,0))</f>
        <v>61460</v>
      </c>
      <c r="P80">
        <f>INDEX('2_land_use'!$1:$343,MATCH($A80,'2_land_use'!$A:$A,0),MATCH(P$1,'2_land_use'!$1:$1,0))</f>
        <v>318.14513928119197</v>
      </c>
      <c r="Q80">
        <f>INDEX('2_land_use'!$1:$343,MATCH($A80,'2_land_use'!$A:$A,0),MATCH(Q$1,'2_land_use'!$1:$1,0))</f>
        <v>0</v>
      </c>
      <c r="R80">
        <f>INDEX('6_roof_surface'!$1:$343,MATCH($A80,'6_roof_surface'!$A:$A,0),MATCH(R$1,'6_roof_surface'!$1:$1,0))</f>
        <v>3.6361379999999999</v>
      </c>
      <c r="S80">
        <f>INDEX('6_roof_surface'!$1:$343,MATCH($A80,'6_roof_surface'!$A:$A,0),MATCH(S$1,'6_roof_surface'!$1:$1,0))</f>
        <v>5.4615400000000003</v>
      </c>
    </row>
    <row r="81" spans="1:19" x14ac:dyDescent="0.2">
      <c r="A81" t="s">
        <v>81</v>
      </c>
      <c r="B81" t="str">
        <f>INDEX(CBS_gemeenten_alfabetisch_2023!$B:$B,MATCH($A81,CBS_gemeenten_alfabetisch_2023!$A:$A,0))</f>
        <v>Eemnes</v>
      </c>
      <c r="C81">
        <f>INDEX('5_train_share_nl'!$1:$343,MATCH($A81,'5_train_share_nl'!$A:$A,0),MATCH(C$1,'5_train_share_nl'!$1:$1,0))</f>
        <v>0</v>
      </c>
      <c r="D81">
        <f>INDEX('3_has_tram_metro'!$1:$343,MATCH($A81,'3_has_tram_metro'!$A:$A,0),MATCH(D$1,'3_has_tram_metro'!$1:$1,0))</f>
        <v>0</v>
      </c>
      <c r="E81">
        <f>INDEX('1_buildings_total'!$1:$343,MATCH($A81,'1_buildings_total'!$A:$A,0),MATCH(E$1,'1_buildings_total'!$1:$1,0))</f>
        <v>623.68153846153837</v>
      </c>
      <c r="F81">
        <f>INDEX('2_land_use'!$1:$343,MATCH($A81,'2_land_use'!$A:$A,0),MATCH(F$1,'2_land_use'!$1:$1,0))</f>
        <v>25.359512190481809</v>
      </c>
      <c r="G81">
        <f>INDEX('4_number_of_transport'!$1:$343,MATCH($A81,'4_number_of_transport'!$A:$A,0),MATCH(G$1,'4_number_of_transport'!$1:$1,0))</f>
        <v>742</v>
      </c>
      <c r="H81">
        <f>INDEX('4_number_of_transport'!$1:$343,MATCH($A81,'4_number_of_transport'!$A:$A,0),MATCH(H$1,'4_number_of_transport'!$1:$1,0))</f>
        <v>46</v>
      </c>
      <c r="I81">
        <f>INDEX('4_number_of_transport'!$1:$343,MATCH($A81,'4_number_of_transport'!$A:$A,0),MATCH(I$1,'4_number_of_transport'!$1:$1,0))</f>
        <v>0</v>
      </c>
      <c r="J81">
        <f>INDEX('2_land_use'!$1:$343,MATCH($A81,'2_land_use'!$A:$A,0),MATCH(J$1,'2_land_use'!$1:$1,0))</f>
        <v>0</v>
      </c>
      <c r="K81">
        <f>INDEX('2_land_use'!$1:$343,MATCH($A81,'2_land_use'!$A:$A,0),MATCH(K$1,'2_land_use'!$1:$1,0))</f>
        <v>1.136970078074377E-3</v>
      </c>
      <c r="L81">
        <f>INDEX('7_biomass'!$1:$343,MATCH($A81,'7_biomass'!$A:$A,0),MATCH(L$1,'7_biomass'!$1:$1,0))</f>
        <v>4.8351380230761638E-2</v>
      </c>
      <c r="M81">
        <f>INDEX('7_biomass'!$1:$343,MATCH($A81,'7_biomass'!$A:$A,0),MATCH(M$1,'7_biomass'!$1:$1,0))</f>
        <v>2.9115338606624179E-2</v>
      </c>
      <c r="N81">
        <f>INDEX('7_biomass'!$1:$343,MATCH($A81,'7_biomass'!$A:$A,0),MATCH(N$1,'7_biomass'!$1:$1,0))</f>
        <v>5.5367201431904102E-3</v>
      </c>
      <c r="O81">
        <f>INDEX('4_number_of_transport'!$1:$343,MATCH($A81,'4_number_of_transport'!$A:$A,0),MATCH(O$1,'4_number_of_transport'!$1:$1,0))</f>
        <v>5335</v>
      </c>
      <c r="P81">
        <f>INDEX('2_land_use'!$1:$343,MATCH($A81,'2_land_use'!$A:$A,0),MATCH(P$1,'2_land_use'!$1:$1,0))</f>
        <v>31.038686315206046</v>
      </c>
      <c r="Q81">
        <f>INDEX('2_land_use'!$1:$343,MATCH($A81,'2_land_use'!$A:$A,0),MATCH(Q$1,'2_land_use'!$1:$1,0))</f>
        <v>0</v>
      </c>
      <c r="R81">
        <f>INDEX('6_roof_surface'!$1:$343,MATCH($A81,'6_roof_surface'!$A:$A,0),MATCH(R$1,'6_roof_surface'!$1:$1,0))</f>
        <v>0.32289899999999999</v>
      </c>
      <c r="S81">
        <f>INDEX('6_roof_surface'!$1:$343,MATCH($A81,'6_roof_surface'!$A:$A,0),MATCH(S$1,'6_roof_surface'!$1:$1,0))</f>
        <v>0.25486599999999998</v>
      </c>
    </row>
    <row r="82" spans="1:19" x14ac:dyDescent="0.2">
      <c r="A82" t="s">
        <v>82</v>
      </c>
      <c r="B82" t="str">
        <f>INDEX(CBS_gemeenten_alfabetisch_2023!$B:$B,MATCH($A82,CBS_gemeenten_alfabetisch_2023!$A:$A,0))</f>
        <v>Eemsdelta</v>
      </c>
      <c r="C82">
        <f>INDEX('5_train_share_nl'!$1:$343,MATCH($A82,'5_train_share_nl'!$A:$A,0),MATCH(C$1,'5_train_share_nl'!$1:$1,0))</f>
        <v>1.4991773531560534E-3</v>
      </c>
      <c r="D82">
        <f>INDEX('3_has_tram_metro'!$1:$343,MATCH($A82,'3_has_tram_metro'!$A:$A,0),MATCH(D$1,'3_has_tram_metro'!$1:$1,0))</f>
        <v>0</v>
      </c>
      <c r="E82">
        <f>INDEX('1_buildings_total'!$1:$343,MATCH($A82,'1_buildings_total'!$A:$A,0),MATCH(E$1,'1_buildings_total'!$1:$1,0))</f>
        <v>6531.9302307692305</v>
      </c>
      <c r="F82">
        <f>INDEX('2_land_use'!$1:$343,MATCH($A82,'2_land_use'!$A:$A,0),MATCH(F$1,'2_land_use'!$1:$1,0))</f>
        <v>225.54356009591081</v>
      </c>
      <c r="G82">
        <f>INDEX('4_number_of_transport'!$1:$343,MATCH($A82,'4_number_of_transport'!$A:$A,0),MATCH(G$1,'4_number_of_transport'!$1:$1,0))</f>
        <v>2504</v>
      </c>
      <c r="H82">
        <f>INDEX('4_number_of_transport'!$1:$343,MATCH($A82,'4_number_of_transport'!$A:$A,0),MATCH(H$1,'4_number_of_transport'!$1:$1,0))</f>
        <v>77</v>
      </c>
      <c r="I82">
        <f>INDEX('4_number_of_transport'!$1:$343,MATCH($A82,'4_number_of_transport'!$A:$A,0),MATCH(I$1,'4_number_of_transport'!$1:$1,0))</f>
        <v>1</v>
      </c>
      <c r="J82">
        <f>INDEX('2_land_use'!$1:$343,MATCH($A82,'2_land_use'!$A:$A,0),MATCH(J$1,'2_land_use'!$1:$1,0))</f>
        <v>0</v>
      </c>
      <c r="K82">
        <f>INDEX('2_land_use'!$1:$343,MATCH($A82,'2_land_use'!$A:$A,0),MATCH(K$1,'2_land_use'!$1:$1,0))</f>
        <v>1.0112035168707581E-2</v>
      </c>
      <c r="L82">
        <f>INDEX('7_biomass'!$1:$343,MATCH($A82,'7_biomass'!$A:$A,0),MATCH(L$1,'7_biomass'!$1:$1,0))</f>
        <v>0.63648365992322109</v>
      </c>
      <c r="M82">
        <f>INDEX('7_biomass'!$1:$343,MATCH($A82,'7_biomass'!$A:$A,0),MATCH(M$1,'7_biomass'!$1:$1,0))</f>
        <v>0.35862879796139679</v>
      </c>
      <c r="N82">
        <f>INDEX('7_biomass'!$1:$343,MATCH($A82,'7_biomass'!$A:$A,0),MATCH(N$1,'7_biomass'!$1:$1,0))</f>
        <v>2.7978876255246525E-2</v>
      </c>
      <c r="O82">
        <f>INDEX('4_number_of_transport'!$1:$343,MATCH($A82,'4_number_of_transport'!$A:$A,0),MATCH(O$1,'4_number_of_transport'!$1:$1,0))</f>
        <v>24198</v>
      </c>
      <c r="P82">
        <f>INDEX('2_land_use'!$1:$343,MATCH($A82,'2_land_use'!$A:$A,0),MATCH(P$1,'2_land_use'!$1:$1,0))</f>
        <v>268.07011451303754</v>
      </c>
      <c r="Q82">
        <f>INDEX('2_land_use'!$1:$343,MATCH($A82,'2_land_use'!$A:$A,0),MATCH(Q$1,'2_land_use'!$1:$1,0))</f>
        <v>91.198267377227452</v>
      </c>
      <c r="R82">
        <f>INDEX('6_roof_surface'!$1:$343,MATCH($A82,'6_roof_surface'!$A:$A,0),MATCH(R$1,'6_roof_surface'!$1:$1,0))</f>
        <v>2.5317280000000002</v>
      </c>
      <c r="S82">
        <f>INDEX('6_roof_surface'!$1:$343,MATCH($A82,'6_roof_surface'!$A:$A,0),MATCH(S$1,'6_roof_surface'!$1:$1,0))</f>
        <v>2.4023620000000001</v>
      </c>
    </row>
    <row r="83" spans="1:19" x14ac:dyDescent="0.2">
      <c r="A83" t="s">
        <v>83</v>
      </c>
      <c r="B83" t="str">
        <f>INDEX(CBS_gemeenten_alfabetisch_2023!$B:$B,MATCH($A83,CBS_gemeenten_alfabetisch_2023!$A:$A,0))</f>
        <v>Eersel</v>
      </c>
      <c r="C83">
        <f>INDEX('5_train_share_nl'!$1:$343,MATCH($A83,'5_train_share_nl'!$A:$A,0),MATCH(C$1,'5_train_share_nl'!$1:$1,0))</f>
        <v>0</v>
      </c>
      <c r="D83">
        <f>INDEX('3_has_tram_metro'!$1:$343,MATCH($A83,'3_has_tram_metro'!$A:$A,0),MATCH(D$1,'3_has_tram_metro'!$1:$1,0))</f>
        <v>0</v>
      </c>
      <c r="E83">
        <f>INDEX('1_buildings_total'!$1:$343,MATCH($A83,'1_buildings_total'!$A:$A,0),MATCH(E$1,'1_buildings_total'!$1:$1,0))</f>
        <v>2051.9411538461536</v>
      </c>
      <c r="F83">
        <f>INDEX('2_land_use'!$1:$343,MATCH($A83,'2_land_use'!$A:$A,0),MATCH(F$1,'2_land_use'!$1:$1,0))</f>
        <v>49.947112432116384</v>
      </c>
      <c r="G83">
        <f>INDEX('4_number_of_transport'!$1:$343,MATCH($A83,'4_number_of_transport'!$A:$A,0),MATCH(G$1,'4_number_of_transport'!$1:$1,0))</f>
        <v>1709</v>
      </c>
      <c r="H83">
        <f>INDEX('4_number_of_transport'!$1:$343,MATCH($A83,'4_number_of_transport'!$A:$A,0),MATCH(H$1,'4_number_of_transport'!$1:$1,0))</f>
        <v>114</v>
      </c>
      <c r="I83">
        <f>INDEX('4_number_of_transport'!$1:$343,MATCH($A83,'4_number_of_transport'!$A:$A,0),MATCH(I$1,'4_number_of_transport'!$1:$1,0))</f>
        <v>1</v>
      </c>
      <c r="J83">
        <f>INDEX('2_land_use'!$1:$343,MATCH($A83,'2_land_use'!$A:$A,0),MATCH(J$1,'2_land_use'!$1:$1,0))</f>
        <v>0</v>
      </c>
      <c r="K83">
        <f>INDEX('2_land_use'!$1:$343,MATCH($A83,'2_land_use'!$A:$A,0),MATCH(K$1,'2_land_use'!$1:$1,0))</f>
        <v>2.2393322038287253E-3</v>
      </c>
      <c r="L83">
        <f>INDEX('7_biomass'!$1:$343,MATCH($A83,'7_biomass'!$A:$A,0),MATCH(L$1,'7_biomass'!$1:$1,0))</f>
        <v>0.24405061058582031</v>
      </c>
      <c r="M83">
        <f>INDEX('7_biomass'!$1:$343,MATCH($A83,'7_biomass'!$A:$A,0),MATCH(M$1,'7_biomass'!$1:$1,0))</f>
        <v>0.14880486255960373</v>
      </c>
      <c r="N83">
        <f>INDEX('7_biomass'!$1:$343,MATCH($A83,'7_biomass'!$A:$A,0),MATCH(N$1,'7_biomass'!$1:$1,0))</f>
        <v>1.1610525835220974E-2</v>
      </c>
      <c r="O83">
        <f>INDEX('4_number_of_transport'!$1:$343,MATCH($A83,'4_number_of_transport'!$A:$A,0),MATCH(O$1,'4_number_of_transport'!$1:$1,0))</f>
        <v>11707</v>
      </c>
      <c r="P83">
        <f>INDEX('2_land_use'!$1:$343,MATCH($A83,'2_land_use'!$A:$A,0),MATCH(P$1,'2_land_use'!$1:$1,0))</f>
        <v>82.466347572362977</v>
      </c>
      <c r="Q83">
        <f>INDEX('2_land_use'!$1:$343,MATCH($A83,'2_land_use'!$A:$A,0),MATCH(Q$1,'2_land_use'!$1:$1,0))</f>
        <v>0</v>
      </c>
      <c r="R83">
        <f>INDEX('6_roof_surface'!$1:$343,MATCH($A83,'6_roof_surface'!$A:$A,0),MATCH(R$1,'6_roof_surface'!$1:$1,0))</f>
        <v>0.98946199999999995</v>
      </c>
      <c r="S83">
        <f>INDEX('6_roof_surface'!$1:$343,MATCH($A83,'6_roof_surface'!$A:$A,0),MATCH(S$1,'6_roof_surface'!$1:$1,0))</f>
        <v>1.275687</v>
      </c>
    </row>
    <row r="84" spans="1:19" x14ac:dyDescent="0.2">
      <c r="A84" t="s">
        <v>84</v>
      </c>
      <c r="B84" t="str">
        <f>INDEX(CBS_gemeenten_alfabetisch_2023!$B:$B,MATCH($A84,CBS_gemeenten_alfabetisch_2023!$A:$A,0))</f>
        <v>Eijsden-Margraten</v>
      </c>
      <c r="C84">
        <f>INDEX('5_train_share_nl'!$1:$343,MATCH($A84,'5_train_share_nl'!$A:$A,0),MATCH(C$1,'5_train_share_nl'!$1:$1,0))</f>
        <v>6.3356676308760847E-5</v>
      </c>
      <c r="D84">
        <f>INDEX('3_has_tram_metro'!$1:$343,MATCH($A84,'3_has_tram_metro'!$A:$A,0),MATCH(D$1,'3_has_tram_metro'!$1:$1,0))</f>
        <v>0</v>
      </c>
      <c r="E84">
        <f>INDEX('1_buildings_total'!$1:$343,MATCH($A84,'1_buildings_total'!$A:$A,0),MATCH(E$1,'1_buildings_total'!$1:$1,0))</f>
        <v>2064.4740000000002</v>
      </c>
      <c r="F84">
        <f>INDEX('2_land_use'!$1:$343,MATCH($A84,'2_land_use'!$A:$A,0),MATCH(F$1,'2_land_use'!$1:$1,0))</f>
        <v>60.620538576157429</v>
      </c>
      <c r="G84">
        <f>INDEX('4_number_of_transport'!$1:$343,MATCH($A84,'4_number_of_transport'!$A:$A,0),MATCH(G$1,'4_number_of_transport'!$1:$1,0))</f>
        <v>1386</v>
      </c>
      <c r="H84">
        <f>INDEX('4_number_of_transport'!$1:$343,MATCH($A84,'4_number_of_transport'!$A:$A,0),MATCH(H$1,'4_number_of_transport'!$1:$1,0))</f>
        <v>130</v>
      </c>
      <c r="I84">
        <f>INDEX('4_number_of_transport'!$1:$343,MATCH($A84,'4_number_of_transport'!$A:$A,0),MATCH(I$1,'4_number_of_transport'!$1:$1,0))</f>
        <v>2</v>
      </c>
      <c r="J84">
        <f>INDEX('2_land_use'!$1:$343,MATCH($A84,'2_land_use'!$A:$A,0),MATCH(J$1,'2_land_use'!$1:$1,0))</f>
        <v>0</v>
      </c>
      <c r="K84">
        <f>INDEX('2_land_use'!$1:$343,MATCH($A84,'2_land_use'!$A:$A,0),MATCH(K$1,'2_land_use'!$1:$1,0))</f>
        <v>2.7178653106629419E-3</v>
      </c>
      <c r="L84">
        <f>INDEX('7_biomass'!$1:$343,MATCH($A84,'7_biomass'!$A:$A,0),MATCH(L$1,'7_biomass'!$1:$1,0))</f>
        <v>0.15398132362769815</v>
      </c>
      <c r="M84">
        <f>INDEX('7_biomass'!$1:$343,MATCH($A84,'7_biomass'!$A:$A,0),MATCH(M$1,'7_biomass'!$1:$1,0))</f>
        <v>9.5060103721117603E-2</v>
      </c>
      <c r="N84">
        <f>INDEX('7_biomass'!$1:$343,MATCH($A84,'7_biomass'!$A:$A,0),MATCH(N$1,'7_biomass'!$1:$1,0))</f>
        <v>1.5588847298801662E-2</v>
      </c>
      <c r="O84">
        <f>INDEX('4_number_of_transport'!$1:$343,MATCH($A84,'4_number_of_transport'!$A:$A,0),MATCH(O$1,'4_number_of_transport'!$1:$1,0))</f>
        <v>15129</v>
      </c>
      <c r="P84">
        <f>INDEX('2_land_use'!$1:$343,MATCH($A84,'2_land_use'!$A:$A,0),MATCH(P$1,'2_land_use'!$1:$1,0))</f>
        <v>77.556931684694405</v>
      </c>
      <c r="Q84">
        <f>INDEX('2_land_use'!$1:$343,MATCH($A84,'2_land_use'!$A:$A,0),MATCH(Q$1,'2_land_use'!$1:$1,0))</f>
        <v>0</v>
      </c>
      <c r="R84">
        <f>INDEX('6_roof_surface'!$1:$343,MATCH($A84,'6_roof_surface'!$A:$A,0),MATCH(R$1,'6_roof_surface'!$1:$1,0))</f>
        <v>1.2954159999999999</v>
      </c>
      <c r="S84">
        <f>INDEX('6_roof_surface'!$1:$343,MATCH($A84,'6_roof_surface'!$A:$A,0),MATCH(S$1,'6_roof_surface'!$1:$1,0))</f>
        <v>0.95429600000000003</v>
      </c>
    </row>
    <row r="85" spans="1:19" x14ac:dyDescent="0.2">
      <c r="A85" t="s">
        <v>85</v>
      </c>
      <c r="B85" t="str">
        <f>INDEX(CBS_gemeenten_alfabetisch_2023!$B:$B,MATCH($A85,CBS_gemeenten_alfabetisch_2023!$A:$A,0))</f>
        <v>Eindhoven</v>
      </c>
      <c r="C85">
        <f>INDEX('5_train_share_nl'!$1:$343,MATCH($A85,'5_train_share_nl'!$A:$A,0),MATCH(C$1,'5_train_share_nl'!$1:$1,0))</f>
        <v>2.669652350037717E-2</v>
      </c>
      <c r="D85">
        <f>INDEX('3_has_tram_metro'!$1:$343,MATCH($A85,'3_has_tram_metro'!$A:$A,0),MATCH(D$1,'3_has_tram_metro'!$1:$1,0))</f>
        <v>0</v>
      </c>
      <c r="E85">
        <f>INDEX('1_buildings_total'!$1:$343,MATCH($A85,'1_buildings_total'!$A:$A,0),MATCH(E$1,'1_buildings_total'!$1:$1,0))</f>
        <v>13911.808692307695</v>
      </c>
      <c r="F85">
        <f>INDEX('2_land_use'!$1:$343,MATCH($A85,'2_land_use'!$A:$A,0),MATCH(F$1,'2_land_use'!$1:$1,0))</f>
        <v>12.943546540523357</v>
      </c>
      <c r="G85">
        <f>INDEX('4_number_of_transport'!$1:$343,MATCH($A85,'4_number_of_transport'!$A:$A,0),MATCH(G$1,'4_number_of_transport'!$1:$1,0))</f>
        <v>8986</v>
      </c>
      <c r="H85">
        <f>INDEX('4_number_of_transport'!$1:$343,MATCH($A85,'4_number_of_transport'!$A:$A,0),MATCH(H$1,'4_number_of_transport'!$1:$1,0))</f>
        <v>1533</v>
      </c>
      <c r="I85">
        <f>INDEX('4_number_of_transport'!$1:$343,MATCH($A85,'4_number_of_transport'!$A:$A,0),MATCH(I$1,'4_number_of_transport'!$1:$1,0))</f>
        <v>22</v>
      </c>
      <c r="J85">
        <f>INDEX('2_land_use'!$1:$343,MATCH($A85,'2_land_use'!$A:$A,0),MATCH(J$1,'2_land_use'!$1:$1,0))</f>
        <v>6.7088750333715034E-5</v>
      </c>
      <c r="K85">
        <f>INDEX('2_land_use'!$1:$343,MATCH($A85,'2_land_use'!$A:$A,0),MATCH(K$1,'2_land_use'!$1:$1,0))</f>
        <v>5.8031183763312662E-4</v>
      </c>
      <c r="L85">
        <f>INDEX('7_biomass'!$1:$343,MATCH($A85,'7_biomass'!$A:$A,0),MATCH(L$1,'7_biomass'!$1:$1,0))</f>
        <v>0.40268014055363427</v>
      </c>
      <c r="M85">
        <f>INDEX('7_biomass'!$1:$343,MATCH($A85,'7_biomass'!$A:$A,0),MATCH(M$1,'7_biomass'!$1:$1,0))</f>
        <v>0.61495074351740897</v>
      </c>
      <c r="N85">
        <f>INDEX('7_biomass'!$1:$343,MATCH($A85,'7_biomass'!$A:$A,0),MATCH(N$1,'7_biomass'!$1:$1,0))</f>
        <v>0.14073707093261417</v>
      </c>
      <c r="O85">
        <f>INDEX('4_number_of_transport'!$1:$343,MATCH($A85,'4_number_of_transport'!$A:$A,0),MATCH(O$1,'4_number_of_transport'!$1:$1,0))</f>
        <v>104234</v>
      </c>
      <c r="P85">
        <f>INDEX('2_land_use'!$1:$343,MATCH($A85,'2_land_use'!$A:$A,0),MATCH(P$1,'2_land_use'!$1:$1,0))</f>
        <v>88.015589266133986</v>
      </c>
      <c r="Q85">
        <f>INDEX('2_land_use'!$1:$343,MATCH($A85,'2_land_use'!$A:$A,0),MATCH(Q$1,'2_land_use'!$1:$1,0))</f>
        <v>0</v>
      </c>
      <c r="R85">
        <f>INDEX('6_roof_surface'!$1:$343,MATCH($A85,'6_roof_surface'!$A:$A,0),MATCH(R$1,'6_roof_surface'!$1:$1,0))</f>
        <v>6.2585699999999997</v>
      </c>
      <c r="S85">
        <f>INDEX('6_roof_surface'!$1:$343,MATCH($A85,'6_roof_surface'!$A:$A,0),MATCH(S$1,'6_roof_surface'!$1:$1,0))</f>
        <v>6.3234519999999996</v>
      </c>
    </row>
    <row r="86" spans="1:19" x14ac:dyDescent="0.2">
      <c r="A86" t="s">
        <v>86</v>
      </c>
      <c r="B86" t="str">
        <f>INDEX(CBS_gemeenten_alfabetisch_2023!$B:$B,MATCH($A86,CBS_gemeenten_alfabetisch_2023!$A:$A,0))</f>
        <v>Elburg</v>
      </c>
      <c r="C86">
        <f>INDEX('5_train_share_nl'!$1:$343,MATCH($A86,'5_train_share_nl'!$A:$A,0),MATCH(C$1,'5_train_share_nl'!$1:$1,0))</f>
        <v>4.7636300999649559E-4</v>
      </c>
      <c r="D86">
        <f>INDEX('3_has_tram_metro'!$1:$343,MATCH($A86,'3_has_tram_metro'!$A:$A,0),MATCH(D$1,'3_has_tram_metro'!$1:$1,0))</f>
        <v>0</v>
      </c>
      <c r="E86">
        <f>INDEX('1_buildings_total'!$1:$343,MATCH($A86,'1_buildings_total'!$A:$A,0),MATCH(E$1,'1_buildings_total'!$1:$1,0))</f>
        <v>1883.2800769230769</v>
      </c>
      <c r="F86">
        <f>INDEX('2_land_use'!$1:$343,MATCH($A86,'2_land_use'!$A:$A,0),MATCH(F$1,'2_land_use'!$1:$1,0))</f>
        <v>29.478345059071092</v>
      </c>
      <c r="G86">
        <f>INDEX('4_number_of_transport'!$1:$343,MATCH($A86,'4_number_of_transport'!$A:$A,0),MATCH(G$1,'4_number_of_transport'!$1:$1,0))</f>
        <v>1579</v>
      </c>
      <c r="H86">
        <f>INDEX('4_number_of_transport'!$1:$343,MATCH($A86,'4_number_of_transport'!$A:$A,0),MATCH(H$1,'4_number_of_transport'!$1:$1,0))</f>
        <v>74</v>
      </c>
      <c r="I86">
        <f>INDEX('4_number_of_transport'!$1:$343,MATCH($A86,'4_number_of_transport'!$A:$A,0),MATCH(I$1,'4_number_of_transport'!$1:$1,0))</f>
        <v>0</v>
      </c>
      <c r="J86">
        <f>INDEX('2_land_use'!$1:$343,MATCH($A86,'2_land_use'!$A:$A,0),MATCH(J$1,'2_land_use'!$1:$1,0))</f>
        <v>0</v>
      </c>
      <c r="K86">
        <f>INDEX('2_land_use'!$1:$343,MATCH($A86,'2_land_use'!$A:$A,0),MATCH(K$1,'2_land_use'!$1:$1,0))</f>
        <v>1.3216341083995714E-3</v>
      </c>
      <c r="L86">
        <f>INDEX('7_biomass'!$1:$343,MATCH($A86,'7_biomass'!$A:$A,0),MATCH(L$1,'7_biomass'!$1:$1,0))</f>
        <v>9.8845995042497012E-2</v>
      </c>
      <c r="M86">
        <f>INDEX('7_biomass'!$1:$343,MATCH($A86,'7_biomass'!$A:$A,0),MATCH(M$1,'7_biomass'!$1:$1,0))</f>
        <v>8.6079863665254788E-2</v>
      </c>
      <c r="N86">
        <f>INDEX('7_biomass'!$1:$343,MATCH($A86,'7_biomass'!$A:$A,0),MATCH(N$1,'7_biomass'!$1:$1,0))</f>
        <v>1.4026195679325558E-2</v>
      </c>
      <c r="O86">
        <f>INDEX('4_number_of_transport'!$1:$343,MATCH($A86,'4_number_of_transport'!$A:$A,0),MATCH(O$1,'4_number_of_transport'!$1:$1,0))</f>
        <v>12668</v>
      </c>
      <c r="P86">
        <f>INDEX('2_land_use'!$1:$343,MATCH($A86,'2_land_use'!$A:$A,0),MATCH(P$1,'2_land_use'!$1:$1,0))</f>
        <v>63.815822310179165</v>
      </c>
      <c r="Q86">
        <f>INDEX('2_land_use'!$1:$343,MATCH($A86,'2_land_use'!$A:$A,0),MATCH(Q$1,'2_land_use'!$1:$1,0))</f>
        <v>0</v>
      </c>
      <c r="R86">
        <f>INDEX('6_roof_surface'!$1:$343,MATCH($A86,'6_roof_surface'!$A:$A,0),MATCH(R$1,'6_roof_surface'!$1:$1,0))</f>
        <v>0.77285499999999996</v>
      </c>
      <c r="S86">
        <f>INDEX('6_roof_surface'!$1:$343,MATCH($A86,'6_roof_surface'!$A:$A,0),MATCH(S$1,'6_roof_surface'!$1:$1,0))</f>
        <v>0.91090000000000004</v>
      </c>
    </row>
    <row r="87" spans="1:19" x14ac:dyDescent="0.2">
      <c r="A87" t="s">
        <v>87</v>
      </c>
      <c r="B87" t="str">
        <f>INDEX(CBS_gemeenten_alfabetisch_2023!$B:$B,MATCH($A87,CBS_gemeenten_alfabetisch_2023!$A:$A,0))</f>
        <v>Emmen</v>
      </c>
      <c r="C87">
        <f>INDEX('5_train_share_nl'!$1:$343,MATCH($A87,'5_train_share_nl'!$A:$A,0),MATCH(C$1,'5_train_share_nl'!$1:$1,0))</f>
        <v>1.2227838527590843E-3</v>
      </c>
      <c r="D87">
        <f>INDEX('3_has_tram_metro'!$1:$343,MATCH($A87,'3_has_tram_metro'!$A:$A,0),MATCH(D$1,'3_has_tram_metro'!$1:$1,0))</f>
        <v>0</v>
      </c>
      <c r="E87">
        <f>INDEX('1_buildings_total'!$1:$343,MATCH($A87,'1_buildings_total'!$A:$A,0),MATCH(E$1,'1_buildings_total'!$1:$1,0))</f>
        <v>8360.906384615384</v>
      </c>
      <c r="F87">
        <f>INDEX('2_land_use'!$1:$343,MATCH($A87,'2_land_use'!$A:$A,0),MATCH(F$1,'2_land_use'!$1:$1,0))</f>
        <v>234.60203403556403</v>
      </c>
      <c r="G87">
        <f>INDEX('4_number_of_transport'!$1:$343,MATCH($A87,'4_number_of_transport'!$A:$A,0),MATCH(G$1,'4_number_of_transport'!$1:$1,0))</f>
        <v>6749</v>
      </c>
      <c r="H87">
        <f>INDEX('4_number_of_transport'!$1:$343,MATCH($A87,'4_number_of_transport'!$A:$A,0),MATCH(H$1,'4_number_of_transport'!$1:$1,0))</f>
        <v>397</v>
      </c>
      <c r="I87">
        <f>INDEX('4_number_of_transport'!$1:$343,MATCH($A87,'4_number_of_transport'!$A:$A,0),MATCH(I$1,'4_number_of_transport'!$1:$1,0))</f>
        <v>5</v>
      </c>
      <c r="J87">
        <f>INDEX('2_land_use'!$1:$343,MATCH($A87,'2_land_use'!$A:$A,0),MATCH(J$1,'2_land_use'!$1:$1,0))</f>
        <v>2.0579550253819402E-2</v>
      </c>
      <c r="K87">
        <f>INDEX('2_land_use'!$1:$343,MATCH($A87,'2_land_use'!$A:$A,0),MATCH(K$1,'2_land_use'!$1:$1,0))</f>
        <v>1.0518163399607379E-2</v>
      </c>
      <c r="L87">
        <f>INDEX('7_biomass'!$1:$343,MATCH($A87,'7_biomass'!$A:$A,0),MATCH(L$1,'7_biomass'!$1:$1,0))</f>
        <v>0.70669016942804463</v>
      </c>
      <c r="M87">
        <f>INDEX('7_biomass'!$1:$343,MATCH($A87,'7_biomass'!$A:$A,0),MATCH(M$1,'7_biomass'!$1:$1,0))</f>
        <v>0.44355532925128666</v>
      </c>
      <c r="N87">
        <f>INDEX('7_biomass'!$1:$343,MATCH($A87,'7_biomass'!$A:$A,0),MATCH(N$1,'7_biomass'!$1:$1,0))</f>
        <v>6.5077878272528741E-2</v>
      </c>
      <c r="O87">
        <f>INDEX('4_number_of_transport'!$1:$343,MATCH($A87,'4_number_of_transport'!$A:$A,0),MATCH(O$1,'4_number_of_transport'!$1:$1,0))</f>
        <v>58987</v>
      </c>
      <c r="P87">
        <f>INDEX('2_land_use'!$1:$343,MATCH($A87,'2_land_use'!$A:$A,0),MATCH(P$1,'2_land_use'!$1:$1,0))</f>
        <v>335.33164429722126</v>
      </c>
      <c r="Q87">
        <f>INDEX('2_land_use'!$1:$343,MATCH($A87,'2_land_use'!$A:$A,0),MATCH(Q$1,'2_land_use'!$1:$1,0))</f>
        <v>0</v>
      </c>
      <c r="R87">
        <f>INDEX('6_roof_surface'!$1:$343,MATCH($A87,'6_roof_surface'!$A:$A,0),MATCH(R$1,'6_roof_surface'!$1:$1,0))</f>
        <v>4.7586849999999998</v>
      </c>
      <c r="S87">
        <f>INDEX('6_roof_surface'!$1:$343,MATCH($A87,'6_roof_surface'!$A:$A,0),MATCH(S$1,'6_roof_surface'!$1:$1,0))</f>
        <v>6.9266779999999999</v>
      </c>
    </row>
    <row r="88" spans="1:19" x14ac:dyDescent="0.2">
      <c r="A88" t="s">
        <v>88</v>
      </c>
      <c r="B88" t="str">
        <f>INDEX(CBS_gemeenten_alfabetisch_2023!$B:$B,MATCH($A88,CBS_gemeenten_alfabetisch_2023!$A:$A,0))</f>
        <v>Enkhuizen</v>
      </c>
      <c r="C88">
        <f>INDEX('5_train_share_nl'!$1:$343,MATCH($A88,'5_train_share_nl'!$A:$A,0),MATCH(C$1,'5_train_share_nl'!$1:$1,0))</f>
        <v>6.3633861767611671E-4</v>
      </c>
      <c r="D88">
        <f>INDEX('3_has_tram_metro'!$1:$343,MATCH($A88,'3_has_tram_metro'!$A:$A,0),MATCH(D$1,'3_has_tram_metro'!$1:$1,0))</f>
        <v>0</v>
      </c>
      <c r="E88">
        <f>INDEX('1_buildings_total'!$1:$343,MATCH($A88,'1_buildings_total'!$A:$A,0),MATCH(E$1,'1_buildings_total'!$1:$1,0))</f>
        <v>1181.8789999999999</v>
      </c>
      <c r="F88">
        <f>INDEX('2_land_use'!$1:$343,MATCH($A88,'2_land_use'!$A:$A,0),MATCH(F$1,'2_land_use'!$1:$1,0))</f>
        <v>6.8381019794170985</v>
      </c>
      <c r="G88">
        <f>INDEX('4_number_of_transport'!$1:$343,MATCH($A88,'4_number_of_transport'!$A:$A,0),MATCH(G$1,'4_number_of_transport'!$1:$1,0))</f>
        <v>908</v>
      </c>
      <c r="H88">
        <f>INDEX('4_number_of_transport'!$1:$343,MATCH($A88,'4_number_of_transport'!$A:$A,0),MATCH(H$1,'4_number_of_transport'!$1:$1,0))</f>
        <v>25</v>
      </c>
      <c r="I88">
        <f>INDEX('4_number_of_transport'!$1:$343,MATCH($A88,'4_number_of_transport'!$A:$A,0),MATCH(I$1,'4_number_of_transport'!$1:$1,0))</f>
        <v>0</v>
      </c>
      <c r="J88">
        <f>INDEX('2_land_use'!$1:$343,MATCH($A88,'2_land_use'!$A:$A,0),MATCH(J$1,'2_land_use'!$1:$1,0))</f>
        <v>1.5354029460427233E-3</v>
      </c>
      <c r="K88">
        <f>INDEX('2_land_use'!$1:$343,MATCH($A88,'2_land_use'!$A:$A,0),MATCH(K$1,'2_land_use'!$1:$1,0))</f>
        <v>3.065799248432112E-4</v>
      </c>
      <c r="L88">
        <f>INDEX('7_biomass'!$1:$343,MATCH($A88,'7_biomass'!$A:$A,0),MATCH(L$1,'7_biomass'!$1:$1,0))</f>
        <v>4.6223851577717412E-2</v>
      </c>
      <c r="M88">
        <f>INDEX('7_biomass'!$1:$343,MATCH($A88,'7_biomass'!$A:$A,0),MATCH(M$1,'7_biomass'!$1:$1,0))</f>
        <v>5.10560476878444E-2</v>
      </c>
      <c r="N88">
        <f>INDEX('7_biomass'!$1:$343,MATCH($A88,'7_biomass'!$A:$A,0),MATCH(N$1,'7_biomass'!$1:$1,0))</f>
        <v>1.1244165443874125E-2</v>
      </c>
      <c r="O88">
        <f>INDEX('4_number_of_transport'!$1:$343,MATCH($A88,'4_number_of_transport'!$A:$A,0),MATCH(O$1,'4_number_of_transport'!$1:$1,0))</f>
        <v>8436</v>
      </c>
      <c r="P88">
        <f>INDEX('2_land_use'!$1:$343,MATCH($A88,'2_land_use'!$A:$A,0),MATCH(P$1,'2_land_use'!$1:$1,0))</f>
        <v>12.664444396442176</v>
      </c>
      <c r="Q88">
        <f>INDEX('2_land_use'!$1:$343,MATCH($A88,'2_land_use'!$A:$A,0),MATCH(Q$1,'2_land_use'!$1:$1,0))</f>
        <v>0</v>
      </c>
      <c r="R88">
        <f>INDEX('6_roof_surface'!$1:$343,MATCH($A88,'6_roof_surface'!$A:$A,0),MATCH(R$1,'6_roof_surface'!$1:$1,0))</f>
        <v>0.58261300000000005</v>
      </c>
      <c r="S88">
        <f>INDEX('6_roof_surface'!$1:$343,MATCH($A88,'6_roof_surface'!$A:$A,0),MATCH(S$1,'6_roof_surface'!$1:$1,0))</f>
        <v>0.79520299999999999</v>
      </c>
    </row>
    <row r="89" spans="1:19" x14ac:dyDescent="0.2">
      <c r="A89" t="s">
        <v>89</v>
      </c>
      <c r="B89" t="str">
        <f>INDEX(CBS_gemeenten_alfabetisch_2023!$B:$B,MATCH($A89,CBS_gemeenten_alfabetisch_2023!$A:$A,0))</f>
        <v>Enschede</v>
      </c>
      <c r="C89">
        <f>INDEX('5_train_share_nl'!$1:$343,MATCH($A89,'5_train_share_nl'!$A:$A,0),MATCH(C$1,'5_train_share_nl'!$1:$1,0))</f>
        <v>3.4576906095506229E-3</v>
      </c>
      <c r="D89">
        <f>INDEX('3_has_tram_metro'!$1:$343,MATCH($A89,'3_has_tram_metro'!$A:$A,0),MATCH(D$1,'3_has_tram_metro'!$1:$1,0))</f>
        <v>0</v>
      </c>
      <c r="E89">
        <f>INDEX('1_buildings_total'!$1:$343,MATCH($A89,'1_buildings_total'!$A:$A,0),MATCH(E$1,'1_buildings_total'!$1:$1,0))</f>
        <v>10203.403692307695</v>
      </c>
      <c r="F89">
        <f>INDEX('2_land_use'!$1:$343,MATCH($A89,'2_land_use'!$A:$A,0),MATCH(F$1,'2_land_use'!$1:$1,0))</f>
        <v>68.372859143868766</v>
      </c>
      <c r="G89">
        <f>INDEX('4_number_of_transport'!$1:$343,MATCH($A89,'4_number_of_transport'!$A:$A,0),MATCH(G$1,'4_number_of_transport'!$1:$1,0))</f>
        <v>5791</v>
      </c>
      <c r="H89">
        <f>INDEX('4_number_of_transport'!$1:$343,MATCH($A89,'4_number_of_transport'!$A:$A,0),MATCH(H$1,'4_number_of_transport'!$1:$1,0))</f>
        <v>511</v>
      </c>
      <c r="I89">
        <f>INDEX('4_number_of_transport'!$1:$343,MATCH($A89,'4_number_of_transport'!$A:$A,0),MATCH(I$1,'4_number_of_transport'!$1:$1,0))</f>
        <v>2</v>
      </c>
      <c r="J89">
        <f>INDEX('2_land_use'!$1:$343,MATCH($A89,'2_land_use'!$A:$A,0),MATCH(J$1,'2_land_use'!$1:$1,0))</f>
        <v>1.0442342791484661E-4</v>
      </c>
      <c r="K89">
        <f>INDEX('2_land_use'!$1:$343,MATCH($A89,'2_land_use'!$A:$A,0),MATCH(K$1,'2_land_use'!$1:$1,0))</f>
        <v>3.0654333732866609E-3</v>
      </c>
      <c r="L89">
        <f>INDEX('7_biomass'!$1:$343,MATCH($A89,'7_biomass'!$A:$A,0),MATCH(L$1,'7_biomass'!$1:$1,0))</f>
        <v>0.37464382532054735</v>
      </c>
      <c r="M89">
        <f>INDEX('7_biomass'!$1:$343,MATCH($A89,'7_biomass'!$A:$A,0),MATCH(M$1,'7_biomass'!$1:$1,0))</f>
        <v>0.46145506070278614</v>
      </c>
      <c r="N89">
        <f>INDEX('7_biomass'!$1:$343,MATCH($A89,'7_biomass'!$A:$A,0),MATCH(N$1,'7_biomass'!$1:$1,0))</f>
        <v>9.6593985370928392E-2</v>
      </c>
      <c r="O89">
        <f>INDEX('4_number_of_transport'!$1:$343,MATCH($A89,'4_number_of_transport'!$A:$A,0),MATCH(O$1,'4_number_of_transport'!$1:$1,0))</f>
        <v>70551</v>
      </c>
      <c r="P89">
        <f>INDEX('2_land_use'!$1:$343,MATCH($A89,'2_land_use'!$A:$A,0),MATCH(P$1,'2_land_use'!$1:$1,0))</f>
        <v>140.7280983291613</v>
      </c>
      <c r="Q89">
        <f>INDEX('2_land_use'!$1:$343,MATCH($A89,'2_land_use'!$A:$A,0),MATCH(Q$1,'2_land_use'!$1:$1,0))</f>
        <v>0</v>
      </c>
      <c r="R89">
        <f>INDEX('6_roof_surface'!$1:$343,MATCH($A89,'6_roof_surface'!$A:$A,0),MATCH(R$1,'6_roof_surface'!$1:$1,0))</f>
        <v>4.7601360000000001</v>
      </c>
      <c r="S89">
        <f>INDEX('6_roof_surface'!$1:$343,MATCH($A89,'6_roof_surface'!$A:$A,0),MATCH(S$1,'6_roof_surface'!$1:$1,0))</f>
        <v>4.4868600000000001</v>
      </c>
    </row>
    <row r="90" spans="1:19" x14ac:dyDescent="0.2">
      <c r="A90" t="s">
        <v>90</v>
      </c>
      <c r="B90" t="str">
        <f>INDEX(CBS_gemeenten_alfabetisch_2023!$B:$B,MATCH($A90,CBS_gemeenten_alfabetisch_2023!$A:$A,0))</f>
        <v>Epe</v>
      </c>
      <c r="C90">
        <f>INDEX('5_train_share_nl'!$1:$343,MATCH($A90,'5_train_share_nl'!$A:$A,0),MATCH(C$1,'5_train_share_nl'!$1:$1,0))</f>
        <v>0</v>
      </c>
      <c r="D90">
        <f>INDEX('3_has_tram_metro'!$1:$343,MATCH($A90,'3_has_tram_metro'!$A:$A,0),MATCH(D$1,'3_has_tram_metro'!$1:$1,0))</f>
        <v>0</v>
      </c>
      <c r="E90">
        <f>INDEX('1_buildings_total'!$1:$343,MATCH($A90,'1_buildings_total'!$A:$A,0),MATCH(E$1,'1_buildings_total'!$1:$1,0))</f>
        <v>3261.4054615384607</v>
      </c>
      <c r="F90">
        <f>INDEX('2_land_use'!$1:$343,MATCH($A90,'2_land_use'!$A:$A,0),MATCH(F$1,'2_land_use'!$1:$1,0))</f>
        <v>68.195269578597461</v>
      </c>
      <c r="G90">
        <f>INDEX('4_number_of_transport'!$1:$343,MATCH($A90,'4_number_of_transport'!$A:$A,0),MATCH(G$1,'4_number_of_transport'!$1:$1,0))</f>
        <v>2358</v>
      </c>
      <c r="H90">
        <f>INDEX('4_number_of_transport'!$1:$343,MATCH($A90,'4_number_of_transport'!$A:$A,0),MATCH(H$1,'4_number_of_transport'!$1:$1,0))</f>
        <v>136</v>
      </c>
      <c r="I90">
        <f>INDEX('4_number_of_transport'!$1:$343,MATCH($A90,'4_number_of_transport'!$A:$A,0),MATCH(I$1,'4_number_of_transport'!$1:$1,0))</f>
        <v>0</v>
      </c>
      <c r="J90">
        <f>INDEX('2_land_use'!$1:$343,MATCH($A90,'2_land_use'!$A:$A,0),MATCH(J$1,'2_land_use'!$1:$1,0))</f>
        <v>2.0396660695850061E-4</v>
      </c>
      <c r="K90">
        <f>INDEX('2_land_use'!$1:$343,MATCH($A90,'2_land_use'!$A:$A,0),MATCH(K$1,'2_land_use'!$1:$1,0))</f>
        <v>3.0574713107526866E-3</v>
      </c>
      <c r="L90">
        <f>INDEX('7_biomass'!$1:$343,MATCH($A90,'7_biomass'!$A:$A,0),MATCH(L$1,'7_biomass'!$1:$1,0))</f>
        <v>0.20768935758322499</v>
      </c>
      <c r="M90">
        <f>INDEX('7_biomass'!$1:$343,MATCH($A90,'7_biomass'!$A:$A,0),MATCH(M$1,'7_biomass'!$1:$1,0))</f>
        <v>0.19227472008149943</v>
      </c>
      <c r="N90">
        <f>INDEX('7_biomass'!$1:$343,MATCH($A90,'7_biomass'!$A:$A,0),MATCH(N$1,'7_biomass'!$1:$1,0))</f>
        <v>2.0137670267315496E-2</v>
      </c>
      <c r="O90">
        <f>INDEX('4_number_of_transport'!$1:$343,MATCH($A90,'4_number_of_transport'!$A:$A,0),MATCH(O$1,'4_number_of_transport'!$1:$1,0))</f>
        <v>19091</v>
      </c>
      <c r="P90">
        <f>INDEX('2_land_use'!$1:$343,MATCH($A90,'2_land_use'!$A:$A,0),MATCH(P$1,'2_land_use'!$1:$1,0))</f>
        <v>156.12126957288288</v>
      </c>
      <c r="Q90">
        <f>INDEX('2_land_use'!$1:$343,MATCH($A90,'2_land_use'!$A:$A,0),MATCH(Q$1,'2_land_use'!$1:$1,0))</f>
        <v>0</v>
      </c>
      <c r="R90">
        <f>INDEX('6_roof_surface'!$1:$343,MATCH($A90,'6_roof_surface'!$A:$A,0),MATCH(R$1,'6_roof_surface'!$1:$1,0))</f>
        <v>1.2974619999999999</v>
      </c>
      <c r="S90">
        <f>INDEX('6_roof_surface'!$1:$343,MATCH($A90,'6_roof_surface'!$A:$A,0),MATCH(S$1,'6_roof_surface'!$1:$1,0))</f>
        <v>1.676272</v>
      </c>
    </row>
    <row r="91" spans="1:19" x14ac:dyDescent="0.2">
      <c r="A91" t="s">
        <v>91</v>
      </c>
      <c r="B91" t="str">
        <f>INDEX(CBS_gemeenten_alfabetisch_2023!$B:$B,MATCH($A91,CBS_gemeenten_alfabetisch_2023!$A:$A,0))</f>
        <v>Ermelo</v>
      </c>
      <c r="C91">
        <f>INDEX('5_train_share_nl'!$1:$343,MATCH($A91,'5_train_share_nl'!$A:$A,0),MATCH(C$1,'5_train_share_nl'!$1:$1,0))</f>
        <v>8.826376968264245E-4</v>
      </c>
      <c r="D91">
        <f>INDEX('3_has_tram_metro'!$1:$343,MATCH($A91,'3_has_tram_metro'!$A:$A,0),MATCH(D$1,'3_has_tram_metro'!$1:$1,0))</f>
        <v>0</v>
      </c>
      <c r="E91">
        <f>INDEX('1_buildings_total'!$1:$343,MATCH($A91,'1_buildings_total'!$A:$A,0),MATCH(E$1,'1_buildings_total'!$1:$1,0))</f>
        <v>3627.9691538461534</v>
      </c>
      <c r="F91">
        <f>INDEX('2_land_use'!$1:$343,MATCH($A91,'2_land_use'!$A:$A,0),MATCH(F$1,'2_land_use'!$1:$1,0))</f>
        <v>19.845070440298077</v>
      </c>
      <c r="G91">
        <f>INDEX('4_number_of_transport'!$1:$343,MATCH($A91,'4_number_of_transport'!$A:$A,0),MATCH(G$1,'4_number_of_transport'!$1:$1,0))</f>
        <v>1596</v>
      </c>
      <c r="H91">
        <f>INDEX('4_number_of_transport'!$1:$343,MATCH($A91,'4_number_of_transport'!$A:$A,0),MATCH(H$1,'4_number_of_transport'!$1:$1,0))</f>
        <v>207</v>
      </c>
      <c r="I91">
        <f>INDEX('4_number_of_transport'!$1:$343,MATCH($A91,'4_number_of_transport'!$A:$A,0),MATCH(I$1,'4_number_of_transport'!$1:$1,0))</f>
        <v>5</v>
      </c>
      <c r="J91">
        <f>INDEX('2_land_use'!$1:$343,MATCH($A91,'2_land_use'!$A:$A,0),MATCH(J$1,'2_land_use'!$1:$1,0))</f>
        <v>8.7412265478302193E-5</v>
      </c>
      <c r="K91">
        <f>INDEX('2_land_use'!$1:$343,MATCH($A91,'2_land_use'!$A:$A,0),MATCH(K$1,'2_land_use'!$1:$1,0))</f>
        <v>8.8973522512652615E-4</v>
      </c>
      <c r="L91">
        <f>INDEX('7_biomass'!$1:$343,MATCH($A91,'7_biomass'!$A:$A,0),MATCH(L$1,'7_biomass'!$1:$1,0))</f>
        <v>0.10841848300528362</v>
      </c>
      <c r="M91">
        <f>INDEX('7_biomass'!$1:$343,MATCH($A91,'7_biomass'!$A:$A,0),MATCH(M$1,'7_biomass'!$1:$1,0))</f>
        <v>0.11471908103870618</v>
      </c>
      <c r="N91">
        <f>INDEX('7_biomass'!$1:$343,MATCH($A91,'7_biomass'!$A:$A,0),MATCH(N$1,'7_biomass'!$1:$1,0))</f>
        <v>1.6317922704467028E-2</v>
      </c>
      <c r="O91">
        <f>INDEX('4_number_of_transport'!$1:$343,MATCH($A91,'4_number_of_transport'!$A:$A,0),MATCH(O$1,'4_number_of_transport'!$1:$1,0))</f>
        <v>14211</v>
      </c>
      <c r="P91">
        <f>INDEX('2_land_use'!$1:$343,MATCH($A91,'2_land_use'!$A:$A,0),MATCH(P$1,'2_land_use'!$1:$1,0))</f>
        <v>85.636074431539157</v>
      </c>
      <c r="Q91">
        <f>INDEX('2_land_use'!$1:$343,MATCH($A91,'2_land_use'!$A:$A,0),MATCH(Q$1,'2_land_use'!$1:$1,0))</f>
        <v>0</v>
      </c>
      <c r="R91">
        <f>INDEX('6_roof_surface'!$1:$343,MATCH($A91,'6_roof_surface'!$A:$A,0),MATCH(R$1,'6_roof_surface'!$1:$1,0))</f>
        <v>1.0168489999999999</v>
      </c>
      <c r="S91">
        <f>INDEX('6_roof_surface'!$1:$343,MATCH($A91,'6_roof_surface'!$A:$A,0),MATCH(S$1,'6_roof_surface'!$1:$1,0))</f>
        <v>1.3146139999999999</v>
      </c>
    </row>
    <row r="92" spans="1:19" x14ac:dyDescent="0.2">
      <c r="A92" t="s">
        <v>92</v>
      </c>
      <c r="B92" t="str">
        <f>INDEX(CBS_gemeenten_alfabetisch_2023!$B:$B,MATCH($A92,CBS_gemeenten_alfabetisch_2023!$A:$A,0))</f>
        <v>Etten-Leur</v>
      </c>
      <c r="C92">
        <f>INDEX('5_train_share_nl'!$1:$343,MATCH($A92,'5_train_share_nl'!$A:$A,0),MATCH(C$1,'5_train_share_nl'!$1:$1,0))</f>
        <v>1.1618030518119019E-3</v>
      </c>
      <c r="D92">
        <f>INDEX('3_has_tram_metro'!$1:$343,MATCH($A92,'3_has_tram_metro'!$A:$A,0),MATCH(D$1,'3_has_tram_metro'!$1:$1,0))</f>
        <v>0</v>
      </c>
      <c r="E92">
        <f>INDEX('1_buildings_total'!$1:$343,MATCH($A92,'1_buildings_total'!$A:$A,0),MATCH(E$1,'1_buildings_total'!$1:$1,0))</f>
        <v>2277.8263846153841</v>
      </c>
      <c r="F92">
        <f>INDEX('2_land_use'!$1:$343,MATCH($A92,'2_land_use'!$A:$A,0),MATCH(F$1,'2_land_use'!$1:$1,0))</f>
        <v>37.975767092614724</v>
      </c>
      <c r="G92">
        <f>INDEX('4_number_of_transport'!$1:$343,MATCH($A92,'4_number_of_transport'!$A:$A,0),MATCH(G$1,'4_number_of_transport'!$1:$1,0))</f>
        <v>2084</v>
      </c>
      <c r="H92">
        <f>INDEX('4_number_of_transport'!$1:$343,MATCH($A92,'4_number_of_transport'!$A:$A,0),MATCH(H$1,'4_number_of_transport'!$1:$1,0))</f>
        <v>217</v>
      </c>
      <c r="I92">
        <f>INDEX('4_number_of_transport'!$1:$343,MATCH($A92,'4_number_of_transport'!$A:$A,0),MATCH(I$1,'4_number_of_transport'!$1:$1,0))</f>
        <v>4</v>
      </c>
      <c r="J92">
        <f>INDEX('2_land_use'!$1:$343,MATCH($A92,'2_land_use'!$A:$A,0),MATCH(J$1,'2_land_use'!$1:$1,0))</f>
        <v>6.1815701787597353E-3</v>
      </c>
      <c r="K92">
        <f>INDEX('2_land_use'!$1:$343,MATCH($A92,'2_land_use'!$A:$A,0),MATCH(K$1,'2_land_use'!$1:$1,0))</f>
        <v>1.7026081003415465E-3</v>
      </c>
      <c r="L92">
        <f>INDEX('7_biomass'!$1:$343,MATCH($A92,'7_biomass'!$A:$A,0),MATCH(L$1,'7_biomass'!$1:$1,0))</f>
        <v>0.16981043944662633</v>
      </c>
      <c r="M92">
        <f>INDEX('7_biomass'!$1:$343,MATCH($A92,'7_biomass'!$A:$A,0),MATCH(M$1,'7_biomass'!$1:$1,0))</f>
        <v>0.12662267878286787</v>
      </c>
      <c r="N92">
        <f>INDEX('7_biomass'!$1:$343,MATCH($A92,'7_biomass'!$A:$A,0),MATCH(N$1,'7_biomass'!$1:$1,0))</f>
        <v>2.6595455672996485E-2</v>
      </c>
      <c r="O92">
        <f>INDEX('4_number_of_transport'!$1:$343,MATCH($A92,'4_number_of_transport'!$A:$A,0),MATCH(O$1,'4_number_of_transport'!$1:$1,0))</f>
        <v>22913</v>
      </c>
      <c r="P92">
        <f>INDEX('2_land_use'!$1:$343,MATCH($A92,'2_land_use'!$A:$A,0),MATCH(P$1,'2_land_use'!$1:$1,0))</f>
        <v>55.291716216490322</v>
      </c>
      <c r="Q92">
        <f>INDEX('2_land_use'!$1:$343,MATCH($A92,'2_land_use'!$A:$A,0),MATCH(Q$1,'2_land_use'!$1:$1,0))</f>
        <v>0</v>
      </c>
      <c r="R92">
        <f>INDEX('6_roof_surface'!$1:$343,MATCH($A92,'6_roof_surface'!$A:$A,0),MATCH(R$1,'6_roof_surface'!$1:$1,0))</f>
        <v>1.4358390000000001</v>
      </c>
      <c r="S92">
        <f>INDEX('6_roof_surface'!$1:$343,MATCH($A92,'6_roof_surface'!$A:$A,0),MATCH(S$1,'6_roof_surface'!$1:$1,0))</f>
        <v>3.027892</v>
      </c>
    </row>
    <row r="93" spans="1:19" x14ac:dyDescent="0.2">
      <c r="A93" t="s">
        <v>93</v>
      </c>
      <c r="B93" t="str">
        <f>INDEX(CBS_gemeenten_alfabetisch_2023!$B:$B,MATCH($A93,CBS_gemeenten_alfabetisch_2023!$A:$A,0))</f>
        <v>De Fryske Marren</v>
      </c>
      <c r="C93">
        <f>INDEX('5_train_share_nl'!$1:$343,MATCH($A93,'5_train_share_nl'!$A:$A,0),MATCH(C$1,'5_train_share_nl'!$1:$1,0))</f>
        <v>0</v>
      </c>
      <c r="D93">
        <f>INDEX('3_has_tram_metro'!$1:$343,MATCH($A93,'3_has_tram_metro'!$A:$A,0),MATCH(D$1,'3_has_tram_metro'!$1:$1,0))</f>
        <v>0</v>
      </c>
      <c r="E93">
        <f>INDEX('1_buildings_total'!$1:$343,MATCH($A93,'1_buildings_total'!$A:$A,0),MATCH(E$1,'1_buildings_total'!$1:$1,0))</f>
        <v>7905.8107692307713</v>
      </c>
      <c r="F93">
        <f>INDEX('2_land_use'!$1:$343,MATCH($A93,'2_land_use'!$A:$A,0),MATCH(F$1,'2_land_use'!$1:$1,0))</f>
        <v>291.76625501540428</v>
      </c>
      <c r="G93">
        <f>INDEX('4_number_of_transport'!$1:$343,MATCH($A93,'4_number_of_transport'!$A:$A,0),MATCH(G$1,'4_number_of_transport'!$1:$1,0))</f>
        <v>4399</v>
      </c>
      <c r="H93">
        <f>INDEX('4_number_of_transport'!$1:$343,MATCH($A93,'4_number_of_transport'!$A:$A,0),MATCH(H$1,'4_number_of_transport'!$1:$1,0))</f>
        <v>224</v>
      </c>
      <c r="I93">
        <f>INDEX('4_number_of_transport'!$1:$343,MATCH($A93,'4_number_of_transport'!$A:$A,0),MATCH(I$1,'4_number_of_transport'!$1:$1,0))</f>
        <v>23</v>
      </c>
      <c r="J93">
        <f>INDEX('2_land_use'!$1:$343,MATCH($A93,'2_land_use'!$A:$A,0),MATCH(J$1,'2_land_use'!$1:$1,0))</f>
        <v>1.9532312921577659E-5</v>
      </c>
      <c r="K93">
        <f>INDEX('2_land_use'!$1:$343,MATCH($A93,'2_land_use'!$A:$A,0),MATCH(K$1,'2_land_use'!$1:$1,0))</f>
        <v>1.3081067934297289E-2</v>
      </c>
      <c r="L93">
        <f>INDEX('7_biomass'!$1:$343,MATCH($A93,'7_biomass'!$A:$A,0),MATCH(L$1,'7_biomass'!$1:$1,0))</f>
        <v>1.496436485158118</v>
      </c>
      <c r="M93">
        <f>INDEX('7_biomass'!$1:$343,MATCH($A93,'7_biomass'!$A:$A,0),MATCH(M$1,'7_biomass'!$1:$1,0))</f>
        <v>0.25956901450938091</v>
      </c>
      <c r="N93">
        <f>INDEX('7_biomass'!$1:$343,MATCH($A93,'7_biomass'!$A:$A,0),MATCH(N$1,'7_biomass'!$1:$1,0))</f>
        <v>3.1246956761141528E-2</v>
      </c>
      <c r="O93">
        <f>INDEX('4_number_of_transport'!$1:$343,MATCH($A93,'4_number_of_transport'!$A:$A,0),MATCH(O$1,'4_number_of_transport'!$1:$1,0))</f>
        <v>29481</v>
      </c>
      <c r="P93">
        <f>INDEX('2_land_use'!$1:$343,MATCH($A93,'2_land_use'!$A:$A,0),MATCH(P$1,'2_land_use'!$1:$1,0))</f>
        <v>351.21015657638969</v>
      </c>
      <c r="Q93">
        <f>INDEX('2_land_use'!$1:$343,MATCH($A93,'2_land_use'!$A:$A,0),MATCH(Q$1,'2_land_use'!$1:$1,0))</f>
        <v>0</v>
      </c>
      <c r="R93">
        <f>INDEX('6_roof_surface'!$1:$343,MATCH($A93,'6_roof_surface'!$A:$A,0),MATCH(R$1,'6_roof_surface'!$1:$1,0))</f>
        <v>2.9339390000000001</v>
      </c>
      <c r="S93">
        <f>INDEX('6_roof_surface'!$1:$343,MATCH($A93,'6_roof_surface'!$A:$A,0),MATCH(S$1,'6_roof_surface'!$1:$1,0))</f>
        <v>2.6128170000000002</v>
      </c>
    </row>
    <row r="94" spans="1:19" x14ac:dyDescent="0.2">
      <c r="A94" t="s">
        <v>94</v>
      </c>
      <c r="B94" t="str">
        <f>INDEX(CBS_gemeenten_alfabetisch_2023!$B:$B,MATCH($A94,CBS_gemeenten_alfabetisch_2023!$A:$A,0))</f>
        <v>Geertruidenberg</v>
      </c>
      <c r="C94">
        <f>INDEX('5_train_share_nl'!$1:$343,MATCH($A94,'5_train_share_nl'!$A:$A,0),MATCH(C$1,'5_train_share_nl'!$1:$1,0))</f>
        <v>0</v>
      </c>
      <c r="D94">
        <f>INDEX('3_has_tram_metro'!$1:$343,MATCH($A94,'3_has_tram_metro'!$A:$A,0),MATCH(D$1,'3_has_tram_metro'!$1:$1,0))</f>
        <v>0</v>
      </c>
      <c r="E94">
        <f>INDEX('1_buildings_total'!$1:$343,MATCH($A94,'1_buildings_total'!$A:$A,0),MATCH(E$1,'1_buildings_total'!$1:$1,0))</f>
        <v>1208.8899230769234</v>
      </c>
      <c r="F94">
        <f>INDEX('2_land_use'!$1:$343,MATCH($A94,'2_land_use'!$A:$A,0),MATCH(F$1,'2_land_use'!$1:$1,0))</f>
        <v>15.982406857325334</v>
      </c>
      <c r="G94">
        <f>INDEX('4_number_of_transport'!$1:$343,MATCH($A94,'4_number_of_transport'!$A:$A,0),MATCH(G$1,'4_number_of_transport'!$1:$1,0))</f>
        <v>1245</v>
      </c>
      <c r="H94">
        <f>INDEX('4_number_of_transport'!$1:$343,MATCH($A94,'4_number_of_transport'!$A:$A,0),MATCH(H$1,'4_number_of_transport'!$1:$1,0))</f>
        <v>59</v>
      </c>
      <c r="I94">
        <f>INDEX('4_number_of_transport'!$1:$343,MATCH($A94,'4_number_of_transport'!$A:$A,0),MATCH(I$1,'4_number_of_transport'!$1:$1,0))</f>
        <v>4</v>
      </c>
      <c r="J94">
        <f>INDEX('2_land_use'!$1:$343,MATCH($A94,'2_land_use'!$A:$A,0),MATCH(J$1,'2_land_use'!$1:$1,0))</f>
        <v>2.7863547692586843E-4</v>
      </c>
      <c r="K94">
        <f>INDEX('2_land_use'!$1:$343,MATCH($A94,'2_land_use'!$A:$A,0),MATCH(K$1,'2_land_use'!$1:$1,0))</f>
        <v>7.1655630581135402E-4</v>
      </c>
      <c r="L94">
        <f>INDEX('7_biomass'!$1:$343,MATCH($A94,'7_biomass'!$A:$A,0),MATCH(L$1,'7_biomass'!$1:$1,0))</f>
        <v>0.11646328168489696</v>
      </c>
      <c r="M94">
        <f>INDEX('7_biomass'!$1:$343,MATCH($A94,'7_biomass'!$A:$A,0),MATCH(M$1,'7_biomass'!$1:$1,0))</f>
        <v>8.6890725938067792E-2</v>
      </c>
      <c r="N94">
        <f>INDEX('7_biomass'!$1:$343,MATCH($A94,'7_biomass'!$A:$A,0),MATCH(N$1,'7_biomass'!$1:$1,0))</f>
        <v>1.3071714460741979E-2</v>
      </c>
      <c r="O94">
        <f>INDEX('4_number_of_transport'!$1:$343,MATCH($A94,'4_number_of_transport'!$A:$A,0),MATCH(O$1,'4_number_of_transport'!$1:$1,0))</f>
        <v>11974</v>
      </c>
      <c r="P94">
        <f>INDEX('2_land_use'!$1:$343,MATCH($A94,'2_land_use'!$A:$A,0),MATCH(P$1,'2_land_use'!$1:$1,0))</f>
        <v>26.597301943185716</v>
      </c>
      <c r="Q94">
        <f>INDEX('2_land_use'!$1:$343,MATCH($A94,'2_land_use'!$A:$A,0),MATCH(Q$1,'2_land_use'!$1:$1,0))</f>
        <v>0</v>
      </c>
      <c r="R94">
        <f>INDEX('6_roof_surface'!$1:$343,MATCH($A94,'6_roof_surface'!$A:$A,0),MATCH(R$1,'6_roof_surface'!$1:$1,0))</f>
        <v>0.71310700000000005</v>
      </c>
      <c r="S94">
        <f>INDEX('6_roof_surface'!$1:$343,MATCH($A94,'6_roof_surface'!$A:$A,0),MATCH(S$1,'6_roof_surface'!$1:$1,0))</f>
        <v>1.30769</v>
      </c>
    </row>
    <row r="95" spans="1:19" x14ac:dyDescent="0.2">
      <c r="A95" t="s">
        <v>95</v>
      </c>
      <c r="B95" t="str">
        <f>INDEX(CBS_gemeenten_alfabetisch_2023!$B:$B,MATCH($A95,CBS_gemeenten_alfabetisch_2023!$A:$A,0))</f>
        <v>Geldrop-Mierlo</v>
      </c>
      <c r="C95">
        <f>INDEX('5_train_share_nl'!$1:$343,MATCH($A95,'5_train_share_nl'!$A:$A,0),MATCH(C$1,'5_train_share_nl'!$1:$1,0))</f>
        <v>5.9594873652928169E-4</v>
      </c>
      <c r="D95">
        <f>INDEX('3_has_tram_metro'!$1:$343,MATCH($A95,'3_has_tram_metro'!$A:$A,0),MATCH(D$1,'3_has_tram_metro'!$1:$1,0))</f>
        <v>0</v>
      </c>
      <c r="E95">
        <f>INDEX('1_buildings_total'!$1:$343,MATCH($A95,'1_buildings_total'!$A:$A,0),MATCH(E$1,'1_buildings_total'!$1:$1,0))</f>
        <v>2247.6194615384616</v>
      </c>
      <c r="F95">
        <f>INDEX('2_land_use'!$1:$343,MATCH($A95,'2_land_use'!$A:$A,0),MATCH(F$1,'2_land_use'!$1:$1,0))</f>
        <v>10.393079603125441</v>
      </c>
      <c r="G95">
        <f>INDEX('4_number_of_transport'!$1:$343,MATCH($A95,'4_number_of_transport'!$A:$A,0),MATCH(G$1,'4_number_of_transport'!$1:$1,0))</f>
        <v>2380</v>
      </c>
      <c r="H95">
        <f>INDEX('4_number_of_transport'!$1:$343,MATCH($A95,'4_number_of_transport'!$A:$A,0),MATCH(H$1,'4_number_of_transport'!$1:$1,0))</f>
        <v>115</v>
      </c>
      <c r="I95">
        <f>INDEX('4_number_of_transport'!$1:$343,MATCH($A95,'4_number_of_transport'!$A:$A,0),MATCH(I$1,'4_number_of_transport'!$1:$1,0))</f>
        <v>7</v>
      </c>
      <c r="J95">
        <f>INDEX('2_land_use'!$1:$343,MATCH($A95,'2_land_use'!$A:$A,0),MATCH(J$1,'2_land_use'!$1:$1,0))</f>
        <v>0</v>
      </c>
      <c r="K95">
        <f>INDEX('2_land_use'!$1:$343,MATCH($A95,'2_land_use'!$A:$A,0),MATCH(K$1,'2_land_use'!$1:$1,0))</f>
        <v>4.659640311312409E-4</v>
      </c>
      <c r="L95">
        <f>INDEX('7_biomass'!$1:$343,MATCH($A95,'7_biomass'!$A:$A,0),MATCH(L$1,'7_biomass'!$1:$1,0))</f>
        <v>0.10135744196763279</v>
      </c>
      <c r="M95">
        <f>INDEX('7_biomass'!$1:$343,MATCH($A95,'7_biomass'!$A:$A,0),MATCH(M$1,'7_biomass'!$1:$1,0))</f>
        <v>0.11327529389597961</v>
      </c>
      <c r="N95">
        <f>INDEX('7_biomass'!$1:$343,MATCH($A95,'7_biomass'!$A:$A,0),MATCH(N$1,'7_biomass'!$1:$1,0))</f>
        <v>2.4056450572766844E-2</v>
      </c>
      <c r="O95">
        <f>INDEX('4_number_of_transport'!$1:$343,MATCH($A95,'4_number_of_transport'!$A:$A,0),MATCH(O$1,'4_number_of_transport'!$1:$1,0))</f>
        <v>22240</v>
      </c>
      <c r="P95">
        <f>INDEX('2_land_use'!$1:$343,MATCH($A95,'2_land_use'!$A:$A,0),MATCH(P$1,'2_land_use'!$1:$1,0))</f>
        <v>31.014497218788883</v>
      </c>
      <c r="Q95">
        <f>INDEX('2_land_use'!$1:$343,MATCH($A95,'2_land_use'!$A:$A,0),MATCH(Q$1,'2_land_use'!$1:$1,0))</f>
        <v>0</v>
      </c>
      <c r="R95">
        <f>INDEX('6_roof_surface'!$1:$343,MATCH($A95,'6_roof_surface'!$A:$A,0),MATCH(R$1,'6_roof_surface'!$1:$1,0))</f>
        <v>1.4053469999999999</v>
      </c>
      <c r="S95">
        <f>INDEX('6_roof_surface'!$1:$343,MATCH($A95,'6_roof_surface'!$A:$A,0),MATCH(S$1,'6_roof_surface'!$1:$1,0))</f>
        <v>1.147656</v>
      </c>
    </row>
    <row r="96" spans="1:19" x14ac:dyDescent="0.2">
      <c r="A96" t="s">
        <v>96</v>
      </c>
      <c r="B96" t="str">
        <f>INDEX(CBS_gemeenten_alfabetisch_2023!$B:$B,MATCH($A96,CBS_gemeenten_alfabetisch_2023!$A:$A,0))</f>
        <v>Gemert-Bakel</v>
      </c>
      <c r="C96">
        <f>INDEX('5_train_share_nl'!$1:$343,MATCH($A96,'5_train_share_nl'!$A:$A,0),MATCH(C$1,'5_train_share_nl'!$1:$1,0))</f>
        <v>0</v>
      </c>
      <c r="D96">
        <f>INDEX('3_has_tram_metro'!$1:$343,MATCH($A96,'3_has_tram_metro'!$A:$A,0),MATCH(D$1,'3_has_tram_metro'!$1:$1,0))</f>
        <v>0</v>
      </c>
      <c r="E96">
        <f>INDEX('1_buildings_total'!$1:$343,MATCH($A96,'1_buildings_total'!$A:$A,0),MATCH(E$1,'1_buildings_total'!$1:$1,0))</f>
        <v>4033.9834615384621</v>
      </c>
      <c r="F96">
        <f>INDEX('2_land_use'!$1:$343,MATCH($A96,'2_land_use'!$A:$A,0),MATCH(F$1,'2_land_use'!$1:$1,0))</f>
        <v>77.698565718055946</v>
      </c>
      <c r="G96">
        <f>INDEX('4_number_of_transport'!$1:$343,MATCH($A96,'4_number_of_transport'!$A:$A,0),MATCH(G$1,'4_number_of_transport'!$1:$1,0))</f>
        <v>2712</v>
      </c>
      <c r="H96">
        <f>INDEX('4_number_of_transport'!$1:$343,MATCH($A96,'4_number_of_transport'!$A:$A,0),MATCH(H$1,'4_number_of_transport'!$1:$1,0))</f>
        <v>208</v>
      </c>
      <c r="I96">
        <f>INDEX('4_number_of_transport'!$1:$343,MATCH($A96,'4_number_of_transport'!$A:$A,0),MATCH(I$1,'4_number_of_transport'!$1:$1,0))</f>
        <v>4</v>
      </c>
      <c r="J96">
        <f>INDEX('2_land_use'!$1:$343,MATCH($A96,'2_land_use'!$A:$A,0),MATCH(J$1,'2_land_use'!$1:$1,0))</f>
        <v>1.018132738297136E-3</v>
      </c>
      <c r="K96">
        <f>INDEX('2_land_use'!$1:$343,MATCH($A96,'2_land_use'!$A:$A,0),MATCH(K$1,'2_land_use'!$1:$1,0))</f>
        <v>3.483542730127207E-3</v>
      </c>
      <c r="L96">
        <f>INDEX('7_biomass'!$1:$343,MATCH($A96,'7_biomass'!$A:$A,0),MATCH(L$1,'7_biomass'!$1:$1,0))</f>
        <v>0.40799698234102572</v>
      </c>
      <c r="M96">
        <f>INDEX('7_biomass'!$1:$343,MATCH($A96,'7_biomass'!$A:$A,0),MATCH(M$1,'7_biomass'!$1:$1,0))</f>
        <v>0.20265415843027146</v>
      </c>
      <c r="N96">
        <f>INDEX('7_biomass'!$1:$343,MATCH($A96,'7_biomass'!$A:$A,0),MATCH(N$1,'7_biomass'!$1:$1,0))</f>
        <v>1.849846573024453E-2</v>
      </c>
      <c r="O96">
        <f>INDEX('4_number_of_transport'!$1:$343,MATCH($A96,'4_number_of_transport'!$A:$A,0),MATCH(O$1,'4_number_of_transport'!$1:$1,0))</f>
        <v>17310</v>
      </c>
      <c r="P96">
        <f>INDEX('2_land_use'!$1:$343,MATCH($A96,'2_land_use'!$A:$A,0),MATCH(P$1,'2_land_use'!$1:$1,0))</f>
        <v>122.06547014241615</v>
      </c>
      <c r="Q96">
        <f>INDEX('2_land_use'!$1:$343,MATCH($A96,'2_land_use'!$A:$A,0),MATCH(Q$1,'2_land_use'!$1:$1,0))</f>
        <v>0</v>
      </c>
      <c r="R96">
        <f>INDEX('6_roof_surface'!$1:$343,MATCH($A96,'6_roof_surface'!$A:$A,0),MATCH(R$1,'6_roof_surface'!$1:$1,0))</f>
        <v>1.4900249999999999</v>
      </c>
      <c r="S96">
        <f>INDEX('6_roof_surface'!$1:$343,MATCH($A96,'6_roof_surface'!$A:$A,0),MATCH(S$1,'6_roof_surface'!$1:$1,0))</f>
        <v>2.5846710000000002</v>
      </c>
    </row>
    <row r="97" spans="1:19" x14ac:dyDescent="0.2">
      <c r="A97" t="s">
        <v>97</v>
      </c>
      <c r="B97" t="str">
        <f>INDEX(CBS_gemeenten_alfabetisch_2023!$B:$B,MATCH($A97,CBS_gemeenten_alfabetisch_2023!$A:$A,0))</f>
        <v>Gennep</v>
      </c>
      <c r="C97">
        <f>INDEX('5_train_share_nl'!$1:$343,MATCH($A97,'5_train_share_nl'!$A:$A,0),MATCH(C$1,'5_train_share_nl'!$1:$1,0))</f>
        <v>0</v>
      </c>
      <c r="D97">
        <f>INDEX('3_has_tram_metro'!$1:$343,MATCH($A97,'3_has_tram_metro'!$A:$A,0),MATCH(D$1,'3_has_tram_metro'!$1:$1,0))</f>
        <v>0</v>
      </c>
      <c r="E97">
        <f>INDEX('1_buildings_total'!$1:$343,MATCH($A97,'1_buildings_total'!$A:$A,0),MATCH(E$1,'1_buildings_total'!$1:$1,0))</f>
        <v>1644.6216923076922</v>
      </c>
      <c r="F97">
        <f>INDEX('2_land_use'!$1:$343,MATCH($A97,'2_land_use'!$A:$A,0),MATCH(F$1,'2_land_use'!$1:$1,0))</f>
        <v>31.754765849001853</v>
      </c>
      <c r="G97">
        <f>INDEX('4_number_of_transport'!$1:$343,MATCH($A97,'4_number_of_transport'!$A:$A,0),MATCH(G$1,'4_number_of_transport'!$1:$1,0))</f>
        <v>972</v>
      </c>
      <c r="H97">
        <f>INDEX('4_number_of_transport'!$1:$343,MATCH($A97,'4_number_of_transport'!$A:$A,0),MATCH(H$1,'4_number_of_transport'!$1:$1,0))</f>
        <v>117</v>
      </c>
      <c r="I97">
        <f>INDEX('4_number_of_transport'!$1:$343,MATCH($A97,'4_number_of_transport'!$A:$A,0),MATCH(I$1,'4_number_of_transport'!$1:$1,0))</f>
        <v>0</v>
      </c>
      <c r="J97">
        <f>INDEX('2_land_use'!$1:$343,MATCH($A97,'2_land_use'!$A:$A,0),MATCH(J$1,'2_land_use'!$1:$1,0))</f>
        <v>9.2719896746656374E-5</v>
      </c>
      <c r="K97">
        <f>INDEX('2_land_use'!$1:$343,MATCH($A97,'2_land_use'!$A:$A,0),MATCH(K$1,'2_land_use'!$1:$1,0))</f>
        <v>1.4236953114628208E-3</v>
      </c>
      <c r="L97">
        <f>INDEX('7_biomass'!$1:$343,MATCH($A97,'7_biomass'!$A:$A,0),MATCH(L$1,'7_biomass'!$1:$1,0))</f>
        <v>0.10980503993536793</v>
      </c>
      <c r="M97">
        <f>INDEX('7_biomass'!$1:$343,MATCH($A97,'7_biomass'!$A:$A,0),MATCH(M$1,'7_biomass'!$1:$1,0))</f>
        <v>8.132685776065586E-2</v>
      </c>
      <c r="N97">
        <f>INDEX('7_biomass'!$1:$343,MATCH($A97,'7_biomass'!$A:$A,0),MATCH(N$1,'7_biomass'!$1:$1,0))</f>
        <v>1.0371705208427902E-2</v>
      </c>
      <c r="O97">
        <f>INDEX('4_number_of_transport'!$1:$343,MATCH($A97,'4_number_of_transport'!$A:$A,0),MATCH(O$1,'4_number_of_transport'!$1:$1,0))</f>
        <v>9799</v>
      </c>
      <c r="P97">
        <f>INDEX('2_land_use'!$1:$343,MATCH($A97,'2_land_use'!$A:$A,0),MATCH(P$1,'2_land_use'!$1:$1,0))</f>
        <v>47.568142549713954</v>
      </c>
      <c r="Q97">
        <f>INDEX('2_land_use'!$1:$343,MATCH($A97,'2_land_use'!$A:$A,0),MATCH(Q$1,'2_land_use'!$1:$1,0))</f>
        <v>0</v>
      </c>
      <c r="R97">
        <f>INDEX('6_roof_surface'!$1:$343,MATCH($A97,'6_roof_surface'!$A:$A,0),MATCH(R$1,'6_roof_surface'!$1:$1,0))</f>
        <v>0.73277400000000004</v>
      </c>
      <c r="S97">
        <f>INDEX('6_roof_surface'!$1:$343,MATCH($A97,'6_roof_surface'!$A:$A,0),MATCH(S$1,'6_roof_surface'!$1:$1,0))</f>
        <v>1.1515010000000001</v>
      </c>
    </row>
    <row r="98" spans="1:19" x14ac:dyDescent="0.2">
      <c r="A98" t="s">
        <v>98</v>
      </c>
      <c r="B98" t="str">
        <f>INDEX(CBS_gemeenten_alfabetisch_2023!$B:$B,MATCH($A98,CBS_gemeenten_alfabetisch_2023!$A:$A,0))</f>
        <v>Gilze en Rijen</v>
      </c>
      <c r="C98">
        <f>INDEX('5_train_share_nl'!$1:$343,MATCH($A98,'5_train_share_nl'!$A:$A,0),MATCH(C$1,'5_train_share_nl'!$1:$1,0))</f>
        <v>1.7767587912338118E-3</v>
      </c>
      <c r="D98">
        <f>INDEX('3_has_tram_metro'!$1:$343,MATCH($A98,'3_has_tram_metro'!$A:$A,0),MATCH(D$1,'3_has_tram_metro'!$1:$1,0))</f>
        <v>0</v>
      </c>
      <c r="E98">
        <f>INDEX('1_buildings_total'!$1:$343,MATCH($A98,'1_buildings_total'!$A:$A,0),MATCH(E$1,'1_buildings_total'!$1:$1,0))</f>
        <v>2081.4771538461541</v>
      </c>
      <c r="F98">
        <f>INDEX('2_land_use'!$1:$343,MATCH($A98,'2_land_use'!$A:$A,0),MATCH(F$1,'2_land_use'!$1:$1,0))</f>
        <v>36.554573052491605</v>
      </c>
      <c r="G98">
        <f>INDEX('4_number_of_transport'!$1:$343,MATCH($A98,'4_number_of_transport'!$A:$A,0),MATCH(G$1,'4_number_of_transport'!$1:$1,0))</f>
        <v>1518</v>
      </c>
      <c r="H98">
        <f>INDEX('4_number_of_transport'!$1:$343,MATCH($A98,'4_number_of_transport'!$A:$A,0),MATCH(H$1,'4_number_of_transport'!$1:$1,0))</f>
        <v>98</v>
      </c>
      <c r="I98">
        <f>INDEX('4_number_of_transport'!$1:$343,MATCH($A98,'4_number_of_transport'!$A:$A,0),MATCH(I$1,'4_number_of_transport'!$1:$1,0))</f>
        <v>1</v>
      </c>
      <c r="J98">
        <f>INDEX('2_land_use'!$1:$343,MATCH($A98,'2_land_use'!$A:$A,0),MATCH(J$1,'2_land_use'!$1:$1,0))</f>
        <v>6.8443333146412245E-4</v>
      </c>
      <c r="K98">
        <f>INDEX('2_land_use'!$1:$343,MATCH($A98,'2_land_use'!$A:$A,0),MATCH(K$1,'2_land_use'!$1:$1,0))</f>
        <v>1.6388901909976869E-3</v>
      </c>
      <c r="L98">
        <f>INDEX('7_biomass'!$1:$343,MATCH($A98,'7_biomass'!$A:$A,0),MATCH(L$1,'7_biomass'!$1:$1,0))</f>
        <v>0.163312124778136</v>
      </c>
      <c r="M98">
        <f>INDEX('7_biomass'!$1:$343,MATCH($A98,'7_biomass'!$A:$A,0),MATCH(M$1,'7_biomass'!$1:$1,0))</f>
        <v>0.11989636465592671</v>
      </c>
      <c r="N98">
        <f>INDEX('7_biomass'!$1:$343,MATCH($A98,'7_biomass'!$A:$A,0),MATCH(N$1,'7_biomass'!$1:$1,0))</f>
        <v>1.6058493372617767E-2</v>
      </c>
      <c r="O98">
        <f>INDEX('4_number_of_transport'!$1:$343,MATCH($A98,'4_number_of_transport'!$A:$A,0),MATCH(O$1,'4_number_of_transport'!$1:$1,0))</f>
        <v>14443</v>
      </c>
      <c r="P98">
        <f>INDEX('2_land_use'!$1:$343,MATCH($A98,'2_land_use'!$A:$A,0),MATCH(P$1,'2_land_use'!$1:$1,0))</f>
        <v>65.383203546074625</v>
      </c>
      <c r="Q98">
        <f>INDEX('2_land_use'!$1:$343,MATCH($A98,'2_land_use'!$A:$A,0),MATCH(Q$1,'2_land_use'!$1:$1,0))</f>
        <v>0</v>
      </c>
      <c r="R98">
        <f>INDEX('6_roof_surface'!$1:$343,MATCH($A98,'6_roof_surface'!$A:$A,0),MATCH(R$1,'6_roof_surface'!$1:$1,0))</f>
        <v>0.98999400000000004</v>
      </c>
      <c r="S98">
        <f>INDEX('6_roof_surface'!$1:$343,MATCH($A98,'6_roof_surface'!$A:$A,0),MATCH(S$1,'6_roof_surface'!$1:$1,0))</f>
        <v>1.630209</v>
      </c>
    </row>
    <row r="99" spans="1:19" x14ac:dyDescent="0.2">
      <c r="A99" t="s">
        <v>99</v>
      </c>
      <c r="B99" t="str">
        <f>INDEX(CBS_gemeenten_alfabetisch_2023!$B:$B,MATCH($A99,CBS_gemeenten_alfabetisch_2023!$A:$A,0))</f>
        <v>Goeree-Overflakkee</v>
      </c>
      <c r="C99">
        <f>INDEX('5_train_share_nl'!$1:$343,MATCH($A99,'5_train_share_nl'!$A:$A,0),MATCH(C$1,'5_train_share_nl'!$1:$1,0))</f>
        <v>0</v>
      </c>
      <c r="D99">
        <f>INDEX('3_has_tram_metro'!$1:$343,MATCH($A99,'3_has_tram_metro'!$A:$A,0),MATCH(D$1,'3_has_tram_metro'!$1:$1,0))</f>
        <v>0</v>
      </c>
      <c r="E99">
        <f>INDEX('1_buildings_total'!$1:$343,MATCH($A99,'1_buildings_total'!$A:$A,0),MATCH(E$1,'1_buildings_total'!$1:$1,0))</f>
        <v>6090.4641538461547</v>
      </c>
      <c r="F99">
        <f>INDEX('2_land_use'!$1:$343,MATCH($A99,'2_land_use'!$A:$A,0),MATCH(F$1,'2_land_use'!$1:$1,0))</f>
        <v>180.32958511372794</v>
      </c>
      <c r="G99">
        <f>INDEX('4_number_of_transport'!$1:$343,MATCH($A99,'4_number_of_transport'!$A:$A,0),MATCH(G$1,'4_number_of_transport'!$1:$1,0))</f>
        <v>3716</v>
      </c>
      <c r="H99">
        <f>INDEX('4_number_of_transport'!$1:$343,MATCH($A99,'4_number_of_transport'!$A:$A,0),MATCH(H$1,'4_number_of_transport'!$1:$1,0))</f>
        <v>197</v>
      </c>
      <c r="I99">
        <f>INDEX('4_number_of_transport'!$1:$343,MATCH($A99,'4_number_of_transport'!$A:$A,0),MATCH(I$1,'4_number_of_transport'!$1:$1,0))</f>
        <v>79</v>
      </c>
      <c r="J99">
        <f>INDEX('2_land_use'!$1:$343,MATCH($A99,'2_land_use'!$A:$A,0),MATCH(J$1,'2_land_use'!$1:$1,0))</f>
        <v>2.4462142707077014E-3</v>
      </c>
      <c r="K99">
        <f>INDEX('2_land_use'!$1:$343,MATCH($A99,'2_land_use'!$A:$A,0),MATCH(K$1,'2_land_use'!$1:$1,0))</f>
        <v>8.0849087681910924E-3</v>
      </c>
      <c r="L99">
        <f>INDEX('7_biomass'!$1:$343,MATCH($A99,'7_biomass'!$A:$A,0),MATCH(L$1,'7_biomass'!$1:$1,0))</f>
        <v>0.88377795290577676</v>
      </c>
      <c r="M99">
        <f>INDEX('7_biomass'!$1:$343,MATCH($A99,'7_biomass'!$A:$A,0),MATCH(M$1,'7_biomass'!$1:$1,0))</f>
        <v>0.21023075403157598</v>
      </c>
      <c r="N99">
        <f>INDEX('7_biomass'!$1:$343,MATCH($A99,'7_biomass'!$A:$A,0),MATCH(N$1,'7_biomass'!$1:$1,0))</f>
        <v>3.0141799958720444E-2</v>
      </c>
      <c r="O99">
        <f>INDEX('4_number_of_transport'!$1:$343,MATCH($A99,'4_number_of_transport'!$A:$A,0),MATCH(O$1,'4_number_of_transport'!$1:$1,0))</f>
        <v>28379</v>
      </c>
      <c r="P99">
        <f>INDEX('2_land_use'!$1:$343,MATCH($A99,'2_land_use'!$A:$A,0),MATCH(P$1,'2_land_use'!$1:$1,0))</f>
        <v>262.20188414135885</v>
      </c>
      <c r="Q99">
        <f>INDEX('2_land_use'!$1:$343,MATCH($A99,'2_land_use'!$A:$A,0),MATCH(Q$1,'2_land_use'!$1:$1,0))</f>
        <v>43.968544754637925</v>
      </c>
      <c r="R99">
        <f>INDEX('6_roof_surface'!$1:$343,MATCH($A99,'6_roof_surface'!$A:$A,0),MATCH(R$1,'6_roof_surface'!$1:$1,0))</f>
        <v>1.86798</v>
      </c>
      <c r="S99">
        <f>INDEX('6_roof_surface'!$1:$343,MATCH($A99,'6_roof_surface'!$A:$A,0),MATCH(S$1,'6_roof_surface'!$1:$1,0))</f>
        <v>2.70871</v>
      </c>
    </row>
    <row r="100" spans="1:19" x14ac:dyDescent="0.2">
      <c r="A100" t="s">
        <v>100</v>
      </c>
      <c r="B100" t="str">
        <f>INDEX(CBS_gemeenten_alfabetisch_2023!$B:$B,MATCH($A100,CBS_gemeenten_alfabetisch_2023!$A:$A,0))</f>
        <v>Goes</v>
      </c>
      <c r="C100">
        <f>INDEX('5_train_share_nl'!$1:$343,MATCH($A100,'5_train_share_nl'!$A:$A,0),MATCH(C$1,'5_train_share_nl'!$1:$1,0))</f>
        <v>2.2911358070155639E-3</v>
      </c>
      <c r="D100">
        <f>INDEX('3_has_tram_metro'!$1:$343,MATCH($A100,'3_has_tram_metro'!$A:$A,0),MATCH(D$1,'3_has_tram_metro'!$1:$1,0))</f>
        <v>0</v>
      </c>
      <c r="E100">
        <f>INDEX('1_buildings_total'!$1:$343,MATCH($A100,'1_buildings_total'!$A:$A,0),MATCH(E$1,'1_buildings_total'!$1:$1,0))</f>
        <v>3435.7604615384616</v>
      </c>
      <c r="F100">
        <f>INDEX('2_land_use'!$1:$343,MATCH($A100,'2_land_use'!$A:$A,0),MATCH(F$1,'2_land_use'!$1:$1,0))</f>
        <v>69.325287362814791</v>
      </c>
      <c r="G100">
        <f>INDEX('4_number_of_transport'!$1:$343,MATCH($A100,'4_number_of_transport'!$A:$A,0),MATCH(G$1,'4_number_of_transport'!$1:$1,0))</f>
        <v>2483</v>
      </c>
      <c r="H100">
        <f>INDEX('4_number_of_transport'!$1:$343,MATCH($A100,'4_number_of_transport'!$A:$A,0),MATCH(H$1,'4_number_of_transport'!$1:$1,0))</f>
        <v>130</v>
      </c>
      <c r="I100">
        <f>INDEX('4_number_of_transport'!$1:$343,MATCH($A100,'4_number_of_transport'!$A:$A,0),MATCH(I$1,'4_number_of_transport'!$1:$1,0))</f>
        <v>1</v>
      </c>
      <c r="J100">
        <f>INDEX('2_land_use'!$1:$343,MATCH($A100,'2_land_use'!$A:$A,0),MATCH(J$1,'2_land_use'!$1:$1,0))</f>
        <v>0</v>
      </c>
      <c r="K100">
        <f>INDEX('2_land_use'!$1:$343,MATCH($A100,'2_land_use'!$A:$A,0),MATCH(K$1,'2_land_use'!$1:$1,0))</f>
        <v>3.1081346042220789E-3</v>
      </c>
      <c r="L100">
        <f>INDEX('7_biomass'!$1:$343,MATCH($A100,'7_biomass'!$A:$A,0),MATCH(L$1,'7_biomass'!$1:$1,0))</f>
        <v>0.28547478873826415</v>
      </c>
      <c r="M100">
        <f>INDEX('7_biomass'!$1:$343,MATCH($A100,'7_biomass'!$A:$A,0),MATCH(M$1,'7_biomass'!$1:$1,0))</f>
        <v>0.14721124191271467</v>
      </c>
      <c r="N100">
        <f>INDEX('7_biomass'!$1:$343,MATCH($A100,'7_biomass'!$A:$A,0),MATCH(N$1,'7_biomass'!$1:$1,0))</f>
        <v>2.287656354126506E-2</v>
      </c>
      <c r="O100">
        <f>INDEX('4_number_of_transport'!$1:$343,MATCH($A100,'4_number_of_transport'!$A:$A,0),MATCH(O$1,'4_number_of_transport'!$1:$1,0))</f>
        <v>21617</v>
      </c>
      <c r="P100">
        <f>INDEX('2_land_use'!$1:$343,MATCH($A100,'2_land_use'!$A:$A,0),MATCH(P$1,'2_land_use'!$1:$1,0))</f>
        <v>92.475490921089019</v>
      </c>
      <c r="Q100">
        <f>INDEX('2_land_use'!$1:$343,MATCH($A100,'2_land_use'!$A:$A,0),MATCH(Q$1,'2_land_use'!$1:$1,0))</f>
        <v>3.1201733050502747</v>
      </c>
      <c r="R100">
        <f>INDEX('6_roof_surface'!$1:$343,MATCH($A100,'6_roof_surface'!$A:$A,0),MATCH(R$1,'6_roof_surface'!$1:$1,0))</f>
        <v>1.348652</v>
      </c>
      <c r="S100">
        <f>INDEX('6_roof_surface'!$1:$343,MATCH($A100,'6_roof_surface'!$A:$A,0),MATCH(S$1,'6_roof_surface'!$1:$1,0))</f>
        <v>1.380722</v>
      </c>
    </row>
    <row r="101" spans="1:19" x14ac:dyDescent="0.2">
      <c r="A101" t="s">
        <v>101</v>
      </c>
      <c r="B101" t="str">
        <f>INDEX(CBS_gemeenten_alfabetisch_2023!$B:$B,MATCH($A101,CBS_gemeenten_alfabetisch_2023!$A:$A,0))</f>
        <v>Goirle</v>
      </c>
      <c r="C101">
        <f>INDEX('5_train_share_nl'!$1:$343,MATCH($A101,'5_train_share_nl'!$A:$A,0),MATCH(C$1,'5_train_share_nl'!$1:$1,0))</f>
        <v>0</v>
      </c>
      <c r="D101">
        <f>INDEX('3_has_tram_metro'!$1:$343,MATCH($A101,'3_has_tram_metro'!$A:$A,0),MATCH(D$1,'3_has_tram_metro'!$1:$1,0))</f>
        <v>0</v>
      </c>
      <c r="E101">
        <f>INDEX('1_buildings_total'!$1:$343,MATCH($A101,'1_buildings_total'!$A:$A,0),MATCH(E$1,'1_buildings_total'!$1:$1,0))</f>
        <v>1468.0720000000001</v>
      </c>
      <c r="F101">
        <f>INDEX('2_land_use'!$1:$343,MATCH($A101,'2_land_use'!$A:$A,0),MATCH(F$1,'2_land_use'!$1:$1,0))</f>
        <v>24.550024974905469</v>
      </c>
      <c r="G101">
        <f>INDEX('4_number_of_transport'!$1:$343,MATCH($A101,'4_number_of_transport'!$A:$A,0),MATCH(G$1,'4_number_of_transport'!$1:$1,0))</f>
        <v>1146</v>
      </c>
      <c r="H101">
        <f>INDEX('4_number_of_transport'!$1:$343,MATCH($A101,'4_number_of_transport'!$A:$A,0),MATCH(H$1,'4_number_of_transport'!$1:$1,0))</f>
        <v>85</v>
      </c>
      <c r="I101">
        <f>INDEX('4_number_of_transport'!$1:$343,MATCH($A101,'4_number_of_transport'!$A:$A,0),MATCH(I$1,'4_number_of_transport'!$1:$1,0))</f>
        <v>2</v>
      </c>
      <c r="J101">
        <f>INDEX('2_land_use'!$1:$343,MATCH($A101,'2_land_use'!$A:$A,0),MATCH(J$1,'2_land_use'!$1:$1,0))</f>
        <v>0</v>
      </c>
      <c r="K101">
        <f>INDEX('2_land_use'!$1:$343,MATCH($A101,'2_land_use'!$A:$A,0),MATCH(K$1,'2_land_use'!$1:$1,0))</f>
        <v>1.1006774737142868E-3</v>
      </c>
      <c r="L101">
        <f>INDEX('7_biomass'!$1:$343,MATCH($A101,'7_biomass'!$A:$A,0),MATCH(L$1,'7_biomass'!$1:$1,0))</f>
        <v>0.11269965182309268</v>
      </c>
      <c r="M101">
        <f>INDEX('7_biomass'!$1:$343,MATCH($A101,'7_biomass'!$A:$A,0),MATCH(M$1,'7_biomass'!$1:$1,0))</f>
        <v>9.0162338544412454E-2</v>
      </c>
      <c r="N101">
        <f>INDEX('7_biomass'!$1:$343,MATCH($A101,'7_biomass'!$A:$A,0),MATCH(N$1,'7_biomass'!$1:$1,0))</f>
        <v>1.4455742605830069E-2</v>
      </c>
      <c r="O101">
        <f>INDEX('4_number_of_transport'!$1:$343,MATCH($A101,'4_number_of_transport'!$A:$A,0),MATCH(O$1,'4_number_of_transport'!$1:$1,0))</f>
        <v>12645</v>
      </c>
      <c r="P101">
        <f>INDEX('2_land_use'!$1:$343,MATCH($A101,'2_land_use'!$A:$A,0),MATCH(P$1,'2_land_use'!$1:$1,0))</f>
        <v>42.973911882014633</v>
      </c>
      <c r="Q101">
        <f>INDEX('2_land_use'!$1:$343,MATCH($A101,'2_land_use'!$A:$A,0),MATCH(Q$1,'2_land_use'!$1:$1,0))</f>
        <v>0</v>
      </c>
      <c r="R101">
        <f>INDEX('6_roof_surface'!$1:$343,MATCH($A101,'6_roof_surface'!$A:$A,0),MATCH(R$1,'6_roof_surface'!$1:$1,0))</f>
        <v>0.91234899999999997</v>
      </c>
      <c r="S101">
        <f>INDEX('6_roof_surface'!$1:$343,MATCH($A101,'6_roof_surface'!$A:$A,0),MATCH(S$1,'6_roof_surface'!$1:$1,0))</f>
        <v>0.78710100000000005</v>
      </c>
    </row>
    <row r="102" spans="1:19" x14ac:dyDescent="0.2">
      <c r="A102" t="s">
        <v>102</v>
      </c>
      <c r="B102" t="str">
        <f>INDEX(CBS_gemeenten_alfabetisch_2023!$B:$B,MATCH($A102,CBS_gemeenten_alfabetisch_2023!$A:$A,0))</f>
        <v>Gooise Meren</v>
      </c>
      <c r="C102">
        <f>INDEX('5_train_share_nl'!$1:$343,MATCH($A102,'5_train_share_nl'!$A:$A,0),MATCH(C$1,'5_train_share_nl'!$1:$1,0))</f>
        <v>4.9556800250258872E-3</v>
      </c>
      <c r="D102">
        <f>INDEX('3_has_tram_metro'!$1:$343,MATCH($A102,'3_has_tram_metro'!$A:$A,0),MATCH(D$1,'3_has_tram_metro'!$1:$1,0))</f>
        <v>0</v>
      </c>
      <c r="E102">
        <f>INDEX('1_buildings_total'!$1:$343,MATCH($A102,'1_buildings_total'!$A:$A,0),MATCH(E$1,'1_buildings_total'!$1:$1,0))</f>
        <v>3895.2193846153846</v>
      </c>
      <c r="F102">
        <f>INDEX('2_land_use'!$1:$343,MATCH($A102,'2_land_use'!$A:$A,0),MATCH(F$1,'2_land_use'!$1:$1,0))</f>
        <v>13.222762612256536</v>
      </c>
      <c r="G102">
        <f>INDEX('4_number_of_transport'!$1:$343,MATCH($A102,'4_number_of_transport'!$A:$A,0),MATCH(G$1,'4_number_of_transport'!$1:$1,0))</f>
        <v>1838</v>
      </c>
      <c r="H102">
        <f>INDEX('4_number_of_transport'!$1:$343,MATCH($A102,'4_number_of_transport'!$A:$A,0),MATCH(H$1,'4_number_of_transport'!$1:$1,0))</f>
        <v>47</v>
      </c>
      <c r="I102">
        <f>INDEX('4_number_of_transport'!$1:$343,MATCH($A102,'4_number_of_transport'!$A:$A,0),MATCH(I$1,'4_number_of_transport'!$1:$1,0))</f>
        <v>0</v>
      </c>
      <c r="J102">
        <f>INDEX('2_land_use'!$1:$343,MATCH($A102,'2_land_use'!$A:$A,0),MATCH(J$1,'2_land_use'!$1:$1,0))</f>
        <v>0</v>
      </c>
      <c r="K102">
        <f>INDEX('2_land_use'!$1:$343,MATCH($A102,'2_land_use'!$A:$A,0),MATCH(K$1,'2_land_use'!$1:$1,0))</f>
        <v>5.9283022980461504E-4</v>
      </c>
      <c r="L102">
        <f>INDEX('7_biomass'!$1:$343,MATCH($A102,'7_biomass'!$A:$A,0),MATCH(L$1,'7_biomass'!$1:$1,0))</f>
        <v>0.18160581891075198</v>
      </c>
      <c r="M102">
        <f>INDEX('7_biomass'!$1:$343,MATCH($A102,'7_biomass'!$A:$A,0),MATCH(M$1,'7_biomass'!$1:$1,0))</f>
        <v>0.15836167839101969</v>
      </c>
      <c r="N102">
        <f>INDEX('7_biomass'!$1:$343,MATCH($A102,'7_biomass'!$A:$A,0),MATCH(N$1,'7_biomass'!$1:$1,0))</f>
        <v>3.5065489198313891E-2</v>
      </c>
      <c r="O102">
        <f>INDEX('4_number_of_transport'!$1:$343,MATCH($A102,'4_number_of_transport'!$A:$A,0),MATCH(O$1,'4_number_of_transport'!$1:$1,0))</f>
        <v>29412</v>
      </c>
      <c r="P102">
        <f>INDEX('2_land_use'!$1:$343,MATCH($A102,'2_land_use'!$A:$A,0),MATCH(P$1,'2_land_use'!$1:$1,0))</f>
        <v>41.434410523423395</v>
      </c>
      <c r="Q102">
        <f>INDEX('2_land_use'!$1:$343,MATCH($A102,'2_land_use'!$A:$A,0),MATCH(Q$1,'2_land_use'!$1:$1,0))</f>
        <v>0</v>
      </c>
      <c r="R102">
        <f>INDEX('6_roof_surface'!$1:$343,MATCH($A102,'6_roof_surface'!$A:$A,0),MATCH(R$1,'6_roof_surface'!$1:$1,0))</f>
        <v>1.724145</v>
      </c>
      <c r="S102">
        <f>INDEX('6_roof_surface'!$1:$343,MATCH($A102,'6_roof_surface'!$A:$A,0),MATCH(S$1,'6_roof_surface'!$1:$1,0))</f>
        <v>1.009728</v>
      </c>
    </row>
    <row r="103" spans="1:19" x14ac:dyDescent="0.2">
      <c r="A103" t="s">
        <v>103</v>
      </c>
      <c r="B103" t="str">
        <f>INDEX(CBS_gemeenten_alfabetisch_2023!$B:$B,MATCH($A103,CBS_gemeenten_alfabetisch_2023!$A:$A,0))</f>
        <v>Gorinchem</v>
      </c>
      <c r="C103">
        <f>INDEX('5_train_share_nl'!$1:$343,MATCH($A103,'5_train_share_nl'!$A:$A,0),MATCH(C$1,'5_train_share_nl'!$1:$1,0))</f>
        <v>6.5732551670339377E-4</v>
      </c>
      <c r="D103">
        <f>INDEX('3_has_tram_metro'!$1:$343,MATCH($A103,'3_has_tram_metro'!$A:$A,0),MATCH(D$1,'3_has_tram_metro'!$1:$1,0))</f>
        <v>0</v>
      </c>
      <c r="E103">
        <f>INDEX('1_buildings_total'!$1:$343,MATCH($A103,'1_buildings_total'!$A:$A,0),MATCH(E$1,'1_buildings_total'!$1:$1,0))</f>
        <v>2630.927076923077</v>
      </c>
      <c r="F103">
        <f>INDEX('2_land_use'!$1:$343,MATCH($A103,'2_land_use'!$A:$A,0),MATCH(F$1,'2_land_use'!$1:$1,0))</f>
        <v>7.1139992714291145</v>
      </c>
      <c r="G103">
        <f>INDEX('4_number_of_transport'!$1:$343,MATCH($A103,'4_number_of_transport'!$A:$A,0),MATCH(G$1,'4_number_of_transport'!$1:$1,0))</f>
        <v>1901</v>
      </c>
      <c r="H103">
        <f>INDEX('4_number_of_transport'!$1:$343,MATCH($A103,'4_number_of_transport'!$A:$A,0),MATCH(H$1,'4_number_of_transport'!$1:$1,0))</f>
        <v>97</v>
      </c>
      <c r="I103">
        <f>INDEX('4_number_of_transport'!$1:$343,MATCH($A103,'4_number_of_transport'!$A:$A,0),MATCH(I$1,'4_number_of_transport'!$1:$1,0))</f>
        <v>5</v>
      </c>
      <c r="J103">
        <f>INDEX('2_land_use'!$1:$343,MATCH($A103,'2_land_use'!$A:$A,0),MATCH(J$1,'2_land_use'!$1:$1,0))</f>
        <v>0</v>
      </c>
      <c r="K103">
        <f>INDEX('2_land_use'!$1:$343,MATCH($A103,'2_land_use'!$A:$A,0),MATCH(K$1,'2_land_use'!$1:$1,0))</f>
        <v>3.1894952262108748E-4</v>
      </c>
      <c r="L103">
        <f>INDEX('7_biomass'!$1:$343,MATCH($A103,'7_biomass'!$A:$A,0),MATCH(L$1,'7_biomass'!$1:$1,0))</f>
        <v>8.6850654801330113E-2</v>
      </c>
      <c r="M103">
        <f>INDEX('7_biomass'!$1:$343,MATCH($A103,'7_biomass'!$A:$A,0),MATCH(M$1,'7_biomass'!$1:$1,0))</f>
        <v>9.906936911486186E-2</v>
      </c>
      <c r="N103">
        <f>INDEX('7_biomass'!$1:$343,MATCH($A103,'7_biomass'!$A:$A,0),MATCH(N$1,'7_biomass'!$1:$1,0))</f>
        <v>2.2286620025514167E-2</v>
      </c>
      <c r="O103">
        <f>INDEX('4_number_of_transport'!$1:$343,MATCH($A103,'4_number_of_transport'!$A:$A,0),MATCH(O$1,'4_number_of_transport'!$1:$1,0))</f>
        <v>17719</v>
      </c>
      <c r="P103">
        <f>INDEX('2_land_use'!$1:$343,MATCH($A103,'2_land_use'!$A:$A,0),MATCH(P$1,'2_land_use'!$1:$1,0))</f>
        <v>18.713698779777406</v>
      </c>
      <c r="Q103">
        <f>INDEX('2_land_use'!$1:$343,MATCH($A103,'2_land_use'!$A:$A,0),MATCH(Q$1,'2_land_use'!$1:$1,0))</f>
        <v>0</v>
      </c>
      <c r="R103">
        <f>INDEX('6_roof_surface'!$1:$343,MATCH($A103,'6_roof_surface'!$A:$A,0),MATCH(R$1,'6_roof_surface'!$1:$1,0))</f>
        <v>0.873332</v>
      </c>
      <c r="S103">
        <f>INDEX('6_roof_surface'!$1:$343,MATCH($A103,'6_roof_surface'!$A:$A,0),MATCH(S$1,'6_roof_surface'!$1:$1,0))</f>
        <v>1.153151</v>
      </c>
    </row>
    <row r="104" spans="1:19" x14ac:dyDescent="0.2">
      <c r="A104" t="s">
        <v>104</v>
      </c>
      <c r="B104" t="str">
        <f>INDEX(CBS_gemeenten_alfabetisch_2023!$B:$B,MATCH($A104,CBS_gemeenten_alfabetisch_2023!$A:$A,0))</f>
        <v>Gouda</v>
      </c>
      <c r="C104">
        <f>INDEX('5_train_share_nl'!$1:$343,MATCH($A104,'5_train_share_nl'!$A:$A,0),MATCH(C$1,'5_train_share_nl'!$1:$1,0))</f>
        <v>1.2169233602005239E-2</v>
      </c>
      <c r="D104">
        <f>INDEX('3_has_tram_metro'!$1:$343,MATCH($A104,'3_has_tram_metro'!$A:$A,0),MATCH(D$1,'3_has_tram_metro'!$1:$1,0))</f>
        <v>0</v>
      </c>
      <c r="E104">
        <f>INDEX('1_buildings_total'!$1:$343,MATCH($A104,'1_buildings_total'!$A:$A,0),MATCH(E$1,'1_buildings_total'!$1:$1,0))</f>
        <v>4767.4884615384617</v>
      </c>
      <c r="F104">
        <f>INDEX('2_land_use'!$1:$343,MATCH($A104,'2_land_use'!$A:$A,0),MATCH(F$1,'2_land_use'!$1:$1,0))</f>
        <v>2.9848483640896148</v>
      </c>
      <c r="G104">
        <f>INDEX('4_number_of_transport'!$1:$343,MATCH($A104,'4_number_of_transport'!$A:$A,0),MATCH(G$1,'4_number_of_transport'!$1:$1,0))</f>
        <v>2498</v>
      </c>
      <c r="H104">
        <f>INDEX('4_number_of_transport'!$1:$343,MATCH($A104,'4_number_of_transport'!$A:$A,0),MATCH(H$1,'4_number_of_transport'!$1:$1,0))</f>
        <v>94</v>
      </c>
      <c r="I104">
        <f>INDEX('4_number_of_transport'!$1:$343,MATCH($A104,'4_number_of_transport'!$A:$A,0),MATCH(I$1,'4_number_of_transport'!$1:$1,0))</f>
        <v>3</v>
      </c>
      <c r="J104">
        <f>INDEX('2_land_use'!$1:$343,MATCH($A104,'2_land_use'!$A:$A,0),MATCH(J$1,'2_land_use'!$1:$1,0))</f>
        <v>0</v>
      </c>
      <c r="K104">
        <f>INDEX('2_land_use'!$1:$343,MATCH($A104,'2_land_use'!$A:$A,0),MATCH(K$1,'2_land_use'!$1:$1,0))</f>
        <v>1.3382289265141692E-4</v>
      </c>
      <c r="L104">
        <f>INDEX('7_biomass'!$1:$343,MATCH($A104,'7_biomass'!$A:$A,0),MATCH(L$1,'7_biomass'!$1:$1,0))</f>
        <v>0.13213914927156861</v>
      </c>
      <c r="M104">
        <f>INDEX('7_biomass'!$1:$343,MATCH($A104,'7_biomass'!$A:$A,0),MATCH(M$1,'7_biomass'!$1:$1,0))</f>
        <v>0.18414991241020115</v>
      </c>
      <c r="N104">
        <f>INDEX('7_biomass'!$1:$343,MATCH($A104,'7_biomass'!$A:$A,0),MATCH(N$1,'7_biomass'!$1:$1,0))</f>
        <v>4.4462056051664367E-2</v>
      </c>
      <c r="O104">
        <f>INDEX('4_number_of_transport'!$1:$343,MATCH($A104,'4_number_of_transport'!$A:$A,0),MATCH(O$1,'4_number_of_transport'!$1:$1,0))</f>
        <v>29676</v>
      </c>
      <c r="P104">
        <f>INDEX('2_land_use'!$1:$343,MATCH($A104,'2_land_use'!$A:$A,0),MATCH(P$1,'2_land_use'!$1:$1,0))</f>
        <v>16.498846295895035</v>
      </c>
      <c r="Q104">
        <f>INDEX('2_land_use'!$1:$343,MATCH($A104,'2_land_use'!$A:$A,0),MATCH(Q$1,'2_land_use'!$1:$1,0))</f>
        <v>0</v>
      </c>
      <c r="R104">
        <f>INDEX('6_roof_surface'!$1:$343,MATCH($A104,'6_roof_surface'!$A:$A,0),MATCH(R$1,'6_roof_surface'!$1:$1,0))</f>
        <v>1.6049819999999999</v>
      </c>
      <c r="S104">
        <f>INDEX('6_roof_surface'!$1:$343,MATCH($A104,'6_roof_surface'!$A:$A,0),MATCH(S$1,'6_roof_surface'!$1:$1,0))</f>
        <v>1.1805140000000001</v>
      </c>
    </row>
    <row r="105" spans="1:19" x14ac:dyDescent="0.2">
      <c r="A105" t="s">
        <v>105</v>
      </c>
      <c r="B105" t="str">
        <f>INDEX(CBS_gemeenten_alfabetisch_2023!$B:$B,MATCH($A105,CBS_gemeenten_alfabetisch_2023!$A:$A,0))</f>
        <v>'s-Gravenhage</v>
      </c>
      <c r="C105">
        <f>INDEX('5_train_share_nl'!$1:$343,MATCH($A105,'5_train_share_nl'!$A:$A,0),MATCH(C$1,'5_train_share_nl'!$1:$1,0))</f>
        <v>5.345521573938232E-2</v>
      </c>
      <c r="D105">
        <f>INDEX('3_has_tram_metro'!$1:$343,MATCH($A105,'3_has_tram_metro'!$A:$A,0),MATCH(D$1,'3_has_tram_metro'!$1:$1,0))</f>
        <v>1</v>
      </c>
      <c r="E105">
        <f>INDEX('1_buildings_total'!$1:$343,MATCH($A105,'1_buildings_total'!$A:$A,0),MATCH(E$1,'1_buildings_total'!$1:$1,0))</f>
        <v>29826.918461538469</v>
      </c>
      <c r="F105">
        <f>INDEX('2_land_use'!$1:$343,MATCH($A105,'2_land_use'!$A:$A,0),MATCH(F$1,'2_land_use'!$1:$1,0))</f>
        <v>1.7675393427219539</v>
      </c>
      <c r="G105">
        <f>INDEX('4_number_of_transport'!$1:$343,MATCH($A105,'4_number_of_transport'!$A:$A,0),MATCH(G$1,'4_number_of_transport'!$1:$1,0))</f>
        <v>20724</v>
      </c>
      <c r="H105">
        <f>INDEX('4_number_of_transport'!$1:$343,MATCH($A105,'4_number_of_transport'!$A:$A,0),MATCH(H$1,'4_number_of_transport'!$1:$1,0))</f>
        <v>486</v>
      </c>
      <c r="I105">
        <f>INDEX('4_number_of_transport'!$1:$343,MATCH($A105,'4_number_of_transport'!$A:$A,0),MATCH(I$1,'4_number_of_transport'!$1:$1,0))</f>
        <v>156</v>
      </c>
      <c r="J105">
        <f>INDEX('2_land_use'!$1:$343,MATCH($A105,'2_land_use'!$A:$A,0),MATCH(J$1,'2_land_use'!$1:$1,0))</f>
        <v>5.8318693867423456E-4</v>
      </c>
      <c r="K105">
        <f>INDEX('2_land_use'!$1:$343,MATCH($A105,'2_land_use'!$A:$A,0),MATCH(K$1,'2_land_use'!$1:$1,0))</f>
        <v>7.9245977974623326E-5</v>
      </c>
      <c r="L105">
        <f>INDEX('7_biomass'!$1:$343,MATCH($A105,'7_biomass'!$A:$A,0),MATCH(L$1,'7_biomass'!$1:$1,0))</f>
        <v>0.87632154982549071</v>
      </c>
      <c r="M105">
        <f>INDEX('7_biomass'!$1:$343,MATCH($A105,'7_biomass'!$A:$A,0),MATCH(M$1,'7_biomass'!$1:$1,0))</f>
        <v>1.3478638092620112</v>
      </c>
      <c r="N105">
        <f>INDEX('7_biomass'!$1:$343,MATCH($A105,'7_biomass'!$A:$A,0),MATCH(N$1,'7_biomass'!$1:$1,0))</f>
        <v>0.32676734387935125</v>
      </c>
      <c r="O105">
        <f>INDEX('4_number_of_transport'!$1:$343,MATCH($A105,'4_number_of_transport'!$A:$A,0),MATCH(O$1,'4_number_of_transport'!$1:$1,0))</f>
        <v>203451</v>
      </c>
      <c r="P105">
        <f>INDEX('2_land_use'!$1:$343,MATCH($A105,'2_land_use'!$A:$A,0),MATCH(P$1,'2_land_use'!$1:$1,0))</f>
        <v>82.441743355257017</v>
      </c>
      <c r="Q105">
        <f>INDEX('2_land_use'!$1:$343,MATCH($A105,'2_land_use'!$A:$A,0),MATCH(Q$1,'2_land_use'!$1:$1,0))</f>
        <v>12.52226543498686</v>
      </c>
      <c r="R105">
        <f>INDEX('6_roof_surface'!$1:$343,MATCH($A105,'6_roof_surface'!$A:$A,0),MATCH(R$1,'6_roof_surface'!$1:$1,0))</f>
        <v>9.800414</v>
      </c>
      <c r="S105">
        <f>INDEX('6_roof_surface'!$1:$343,MATCH($A105,'6_roof_surface'!$A:$A,0),MATCH(S$1,'6_roof_surface'!$1:$1,0))</f>
        <v>5.9363619999999999</v>
      </c>
    </row>
    <row r="106" spans="1:19" x14ac:dyDescent="0.2">
      <c r="A106" t="s">
        <v>106</v>
      </c>
      <c r="B106" t="str">
        <f>INDEX(CBS_gemeenten_alfabetisch_2023!$B:$B,MATCH($A106,CBS_gemeenten_alfabetisch_2023!$A:$A,0))</f>
        <v>Groningen</v>
      </c>
      <c r="C106">
        <f>INDEX('5_train_share_nl'!$1:$343,MATCH($A106,'5_train_share_nl'!$A:$A,0),MATCH(C$1,'5_train_share_nl'!$1:$1,0))</f>
        <v>8.5733462422561326E-3</v>
      </c>
      <c r="D106">
        <f>INDEX('3_has_tram_metro'!$1:$343,MATCH($A106,'3_has_tram_metro'!$A:$A,0),MATCH(D$1,'3_has_tram_metro'!$1:$1,0))</f>
        <v>0</v>
      </c>
      <c r="E106">
        <f>INDEX('1_buildings_total'!$1:$343,MATCH($A106,'1_buildings_total'!$A:$A,0),MATCH(E$1,'1_buildings_total'!$1:$1,0))</f>
        <v>14752.964230769234</v>
      </c>
      <c r="F106">
        <f>INDEX('2_land_use'!$1:$343,MATCH($A106,'2_land_use'!$A:$A,0),MATCH(F$1,'2_land_use'!$1:$1,0))</f>
        <v>107.77586438640375</v>
      </c>
      <c r="G106">
        <f>INDEX('4_number_of_transport'!$1:$343,MATCH($A106,'4_number_of_transport'!$A:$A,0),MATCH(G$1,'4_number_of_transport'!$1:$1,0))</f>
        <v>11095</v>
      </c>
      <c r="H106">
        <f>INDEX('4_number_of_transport'!$1:$343,MATCH($A106,'4_number_of_transport'!$A:$A,0),MATCH(H$1,'4_number_of_transport'!$1:$1,0))</f>
        <v>412</v>
      </c>
      <c r="I106">
        <f>INDEX('4_number_of_transport'!$1:$343,MATCH($A106,'4_number_of_transport'!$A:$A,0),MATCH(I$1,'4_number_of_transport'!$1:$1,0))</f>
        <v>308</v>
      </c>
      <c r="J106">
        <f>INDEX('2_land_use'!$1:$343,MATCH($A106,'2_land_use'!$A:$A,0),MATCH(J$1,'2_land_use'!$1:$1,0))</f>
        <v>7.3827627326495881E-5</v>
      </c>
      <c r="K106">
        <f>INDEX('2_land_use'!$1:$343,MATCH($A106,'2_land_use'!$A:$A,0),MATCH(K$1,'2_land_use'!$1:$1,0))</f>
        <v>4.8320303649979175E-3</v>
      </c>
      <c r="L106">
        <f>INDEX('7_biomass'!$1:$343,MATCH($A106,'7_biomass'!$A:$A,0),MATCH(L$1,'7_biomass'!$1:$1,0))</f>
        <v>0.39986242791387738</v>
      </c>
      <c r="M106">
        <f>INDEX('7_biomass'!$1:$343,MATCH($A106,'7_biomass'!$A:$A,0),MATCH(M$1,'7_biomass'!$1:$1,0))</f>
        <v>0.5372888038478032</v>
      </c>
      <c r="N106">
        <f>INDEX('7_biomass'!$1:$343,MATCH($A106,'7_biomass'!$A:$A,0),MATCH(N$1,'7_biomass'!$1:$1,0))</f>
        <v>0.12383285008942457</v>
      </c>
      <c r="O106">
        <f>INDEX('4_number_of_transport'!$1:$343,MATCH($A106,'4_number_of_transport'!$A:$A,0),MATCH(O$1,'4_number_of_transport'!$1:$1,0))</f>
        <v>97287</v>
      </c>
      <c r="P106">
        <f>INDEX('2_land_use'!$1:$343,MATCH($A106,'2_land_use'!$A:$A,0),MATCH(P$1,'2_land_use'!$1:$1,0))</f>
        <v>185.52543901989941</v>
      </c>
      <c r="Q106">
        <f>INDEX('2_land_use'!$1:$343,MATCH($A106,'2_land_use'!$A:$A,0),MATCH(Q$1,'2_land_use'!$1:$1,0))</f>
        <v>0</v>
      </c>
      <c r="R106">
        <f>INDEX('6_roof_surface'!$1:$343,MATCH($A106,'6_roof_surface'!$A:$A,0),MATCH(R$1,'6_roof_surface'!$1:$1,0))</f>
        <v>5.9141069999999996</v>
      </c>
      <c r="S106">
        <f>INDEX('6_roof_surface'!$1:$343,MATCH($A106,'6_roof_surface'!$A:$A,0),MATCH(S$1,'6_roof_surface'!$1:$1,0))</f>
        <v>4.6800750000000004</v>
      </c>
    </row>
    <row r="107" spans="1:19" x14ac:dyDescent="0.2">
      <c r="A107" t="s">
        <v>107</v>
      </c>
      <c r="B107" t="str">
        <f>INDEX(CBS_gemeenten_alfabetisch_2023!$B:$B,MATCH($A107,CBS_gemeenten_alfabetisch_2023!$A:$A,0))</f>
        <v>Gulpen-Wittem</v>
      </c>
      <c r="C107">
        <f>INDEX('5_train_share_nl'!$1:$343,MATCH($A107,'5_train_share_nl'!$A:$A,0),MATCH(C$1,'5_train_share_nl'!$1:$1,0))</f>
        <v>0</v>
      </c>
      <c r="D107">
        <f>INDEX('3_has_tram_metro'!$1:$343,MATCH($A107,'3_has_tram_metro'!$A:$A,0),MATCH(D$1,'3_has_tram_metro'!$1:$1,0))</f>
        <v>0</v>
      </c>
      <c r="E107">
        <f>INDEX('1_buildings_total'!$1:$343,MATCH($A107,'1_buildings_total'!$A:$A,0),MATCH(E$1,'1_buildings_total'!$1:$1,0))</f>
        <v>1833.1795384615389</v>
      </c>
      <c r="F107">
        <f>INDEX('2_land_use'!$1:$343,MATCH($A107,'2_land_use'!$A:$A,0),MATCH(F$1,'2_land_use'!$1:$1,0))</f>
        <v>58.417349020811969</v>
      </c>
      <c r="G107">
        <f>INDEX('4_number_of_transport'!$1:$343,MATCH($A107,'4_number_of_transport'!$A:$A,0),MATCH(G$1,'4_number_of_transport'!$1:$1,0))</f>
        <v>750</v>
      </c>
      <c r="H107">
        <f>INDEX('4_number_of_transport'!$1:$343,MATCH($A107,'4_number_of_transport'!$A:$A,0),MATCH(H$1,'4_number_of_transport'!$1:$1,0))</f>
        <v>45</v>
      </c>
      <c r="I107">
        <f>INDEX('4_number_of_transport'!$1:$343,MATCH($A107,'4_number_of_transport'!$A:$A,0),MATCH(I$1,'4_number_of_transport'!$1:$1,0))</f>
        <v>2</v>
      </c>
      <c r="J107">
        <f>INDEX('2_land_use'!$1:$343,MATCH($A107,'2_land_use'!$A:$A,0),MATCH(J$1,'2_land_use'!$1:$1,0))</f>
        <v>0</v>
      </c>
      <c r="K107">
        <f>INDEX('2_land_use'!$1:$343,MATCH($A107,'2_land_use'!$A:$A,0),MATCH(K$1,'2_land_use'!$1:$1,0))</f>
        <v>2.6190873617048397E-3</v>
      </c>
      <c r="L107">
        <f>INDEX('7_biomass'!$1:$343,MATCH($A107,'7_biomass'!$A:$A,0),MATCH(L$1,'7_biomass'!$1:$1,0))</f>
        <v>0.11368480723573229</v>
      </c>
      <c r="M107">
        <f>INDEX('7_biomass'!$1:$343,MATCH($A107,'7_biomass'!$A:$A,0),MATCH(M$1,'7_biomass'!$1:$1,0))</f>
        <v>7.29896947404782E-2</v>
      </c>
      <c r="N107">
        <f>INDEX('7_biomass'!$1:$343,MATCH($A107,'7_biomass'!$A:$A,0),MATCH(N$1,'7_biomass'!$1:$1,0))</f>
        <v>8.6553401909240171E-3</v>
      </c>
      <c r="O107">
        <f>INDEX('4_number_of_transport'!$1:$343,MATCH($A107,'4_number_of_transport'!$A:$A,0),MATCH(O$1,'4_number_of_transport'!$1:$1,0))</f>
        <v>8458</v>
      </c>
      <c r="P107">
        <f>INDEX('2_land_use'!$1:$343,MATCH($A107,'2_land_use'!$A:$A,0),MATCH(P$1,'2_land_use'!$1:$1,0))</f>
        <v>73.180766813427468</v>
      </c>
      <c r="Q107">
        <f>INDEX('2_land_use'!$1:$343,MATCH($A107,'2_land_use'!$A:$A,0),MATCH(Q$1,'2_land_use'!$1:$1,0))</f>
        <v>0</v>
      </c>
      <c r="R107">
        <f>INDEX('6_roof_surface'!$1:$343,MATCH($A107,'6_roof_surface'!$A:$A,0),MATCH(R$1,'6_roof_surface'!$1:$1,0))</f>
        <v>0.74612699999999998</v>
      </c>
      <c r="S107">
        <f>INDEX('6_roof_surface'!$1:$343,MATCH($A107,'6_roof_surface'!$A:$A,0),MATCH(S$1,'6_roof_surface'!$1:$1,0))</f>
        <v>0.46332499999999999</v>
      </c>
    </row>
    <row r="108" spans="1:19" x14ac:dyDescent="0.2">
      <c r="A108" t="s">
        <v>108</v>
      </c>
      <c r="B108" t="str">
        <f>INDEX(CBS_gemeenten_alfabetisch_2023!$B:$B,MATCH($A108,CBS_gemeenten_alfabetisch_2023!$A:$A,0))</f>
        <v>Haaksbergen</v>
      </c>
      <c r="C108">
        <f>INDEX('5_train_share_nl'!$1:$343,MATCH($A108,'5_train_share_nl'!$A:$A,0),MATCH(C$1,'5_train_share_nl'!$1:$1,0))</f>
        <v>0</v>
      </c>
      <c r="D108">
        <f>INDEX('3_has_tram_metro'!$1:$343,MATCH($A108,'3_has_tram_metro'!$A:$A,0),MATCH(D$1,'3_has_tram_metro'!$1:$1,0))</f>
        <v>0</v>
      </c>
      <c r="E108">
        <f>INDEX('1_buildings_total'!$1:$343,MATCH($A108,'1_buildings_total'!$A:$A,0),MATCH(E$1,'1_buildings_total'!$1:$1,0))</f>
        <v>2404.4422307692303</v>
      </c>
      <c r="F108">
        <f>INDEX('2_land_use'!$1:$343,MATCH($A108,'2_land_use'!$A:$A,0),MATCH(F$1,'2_land_use'!$1:$1,0))</f>
        <v>71.193729035508113</v>
      </c>
      <c r="G108">
        <f>INDEX('4_number_of_transport'!$1:$343,MATCH($A108,'4_number_of_transport'!$A:$A,0),MATCH(G$1,'4_number_of_transport'!$1:$1,0))</f>
        <v>1631</v>
      </c>
      <c r="H108">
        <f>INDEX('4_number_of_transport'!$1:$343,MATCH($A108,'4_number_of_transport'!$A:$A,0),MATCH(H$1,'4_number_of_transport'!$1:$1,0))</f>
        <v>86</v>
      </c>
      <c r="I108">
        <f>INDEX('4_number_of_transport'!$1:$343,MATCH($A108,'4_number_of_transport'!$A:$A,0),MATCH(I$1,'4_number_of_transport'!$1:$1,0))</f>
        <v>0</v>
      </c>
      <c r="J108">
        <f>INDEX('2_land_use'!$1:$343,MATCH($A108,'2_land_use'!$A:$A,0),MATCH(J$1,'2_land_use'!$1:$1,0))</f>
        <v>0</v>
      </c>
      <c r="K108">
        <f>INDEX('2_land_use'!$1:$343,MATCH($A108,'2_land_use'!$A:$A,0),MATCH(K$1,'2_land_use'!$1:$1,0))</f>
        <v>3.191904444056651E-3</v>
      </c>
      <c r="L108">
        <f>INDEX('7_biomass'!$1:$343,MATCH($A108,'7_biomass'!$A:$A,0),MATCH(L$1,'7_biomass'!$1:$1,0))</f>
        <v>0.2577566561167472</v>
      </c>
      <c r="M108">
        <f>INDEX('7_biomass'!$1:$343,MATCH($A108,'7_biomass'!$A:$A,0),MATCH(M$1,'7_biomass'!$1:$1,0))</f>
        <v>0.10837059342506045</v>
      </c>
      <c r="N108">
        <f>INDEX('7_biomass'!$1:$343,MATCH($A108,'7_biomass'!$A:$A,0),MATCH(N$1,'7_biomass'!$1:$1,0))</f>
        <v>1.4749803019448435E-2</v>
      </c>
      <c r="O108">
        <f>INDEX('4_number_of_transport'!$1:$343,MATCH($A108,'4_number_of_transport'!$A:$A,0),MATCH(O$1,'4_number_of_transport'!$1:$1,0))</f>
        <v>13663</v>
      </c>
      <c r="P108">
        <f>INDEX('2_land_use'!$1:$343,MATCH($A108,'2_land_use'!$A:$A,0),MATCH(P$1,'2_land_use'!$1:$1,0))</f>
        <v>104.78101760147196</v>
      </c>
      <c r="Q108">
        <f>INDEX('2_land_use'!$1:$343,MATCH($A108,'2_land_use'!$A:$A,0),MATCH(Q$1,'2_land_use'!$1:$1,0))</f>
        <v>0</v>
      </c>
      <c r="R108">
        <f>INDEX('6_roof_surface'!$1:$343,MATCH($A108,'6_roof_surface'!$A:$A,0),MATCH(R$1,'6_roof_surface'!$1:$1,0))</f>
        <v>1.0136069999999999</v>
      </c>
      <c r="S108">
        <f>INDEX('6_roof_surface'!$1:$343,MATCH($A108,'6_roof_surface'!$A:$A,0),MATCH(S$1,'6_roof_surface'!$1:$1,0))</f>
        <v>1.55369</v>
      </c>
    </row>
    <row r="109" spans="1:19" x14ac:dyDescent="0.2">
      <c r="A109" t="s">
        <v>109</v>
      </c>
      <c r="B109" t="str">
        <f>INDEX(CBS_gemeenten_alfabetisch_2023!$B:$B,MATCH($A109,CBS_gemeenten_alfabetisch_2023!$A:$A,0))</f>
        <v>Haarlem</v>
      </c>
      <c r="C109">
        <f>INDEX('5_train_share_nl'!$1:$343,MATCH($A109,'5_train_share_nl'!$A:$A,0),MATCH(C$1,'5_train_share_nl'!$1:$1,0))</f>
        <v>1.5902921732725901E-2</v>
      </c>
      <c r="D109">
        <f>INDEX('3_has_tram_metro'!$1:$343,MATCH($A109,'3_has_tram_metro'!$A:$A,0),MATCH(D$1,'3_has_tram_metro'!$1:$1,0))</f>
        <v>0</v>
      </c>
      <c r="E109">
        <f>INDEX('1_buildings_total'!$1:$343,MATCH($A109,'1_buildings_total'!$A:$A,0),MATCH(E$1,'1_buildings_total'!$1:$1,0))</f>
        <v>8766.0378461538439</v>
      </c>
      <c r="F109">
        <f>INDEX('2_land_use'!$1:$343,MATCH($A109,'2_land_use'!$A:$A,0),MATCH(F$1,'2_land_use'!$1:$1,0))</f>
        <v>4.0949479066104022</v>
      </c>
      <c r="G109">
        <f>INDEX('4_number_of_transport'!$1:$343,MATCH($A109,'4_number_of_transport'!$A:$A,0),MATCH(G$1,'4_number_of_transport'!$1:$1,0))</f>
        <v>5030</v>
      </c>
      <c r="H109">
        <f>INDEX('4_number_of_transport'!$1:$343,MATCH($A109,'4_number_of_transport'!$A:$A,0),MATCH(H$1,'4_number_of_transport'!$1:$1,0))</f>
        <v>247</v>
      </c>
      <c r="I109">
        <f>INDEX('4_number_of_transport'!$1:$343,MATCH($A109,'4_number_of_transport'!$A:$A,0),MATCH(I$1,'4_number_of_transport'!$1:$1,0))</f>
        <v>95</v>
      </c>
      <c r="J109">
        <f>INDEX('2_land_use'!$1:$343,MATCH($A109,'2_land_use'!$A:$A,0),MATCH(J$1,'2_land_use'!$1:$1,0))</f>
        <v>6.6248161985937826E-5</v>
      </c>
      <c r="K109">
        <f>INDEX('2_land_use'!$1:$343,MATCH($A109,'2_land_use'!$A:$A,0),MATCH(K$1,'2_land_use'!$1:$1,0))</f>
        <v>1.8359317033065056E-4</v>
      </c>
      <c r="L109">
        <f>INDEX('7_biomass'!$1:$343,MATCH($A109,'7_biomass'!$A:$A,0),MATCH(L$1,'7_biomass'!$1:$1,0))</f>
        <v>0.28908084732178047</v>
      </c>
      <c r="M109">
        <f>INDEX('7_biomass'!$1:$343,MATCH($A109,'7_biomass'!$A:$A,0),MATCH(M$1,'7_biomass'!$1:$1,0))</f>
        <v>0.4075014187684789</v>
      </c>
      <c r="N109">
        <f>INDEX('7_biomass'!$1:$343,MATCH($A109,'7_biomass'!$A:$A,0),MATCH(N$1,'7_biomass'!$1:$1,0))</f>
        <v>9.797862107885455E-2</v>
      </c>
      <c r="O109">
        <f>INDEX('4_number_of_transport'!$1:$343,MATCH($A109,'4_number_of_transport'!$A:$A,0),MATCH(O$1,'4_number_of_transport'!$1:$1,0))</f>
        <v>64102</v>
      </c>
      <c r="P109">
        <f>INDEX('2_land_use'!$1:$343,MATCH($A109,'2_land_use'!$A:$A,0),MATCH(P$1,'2_land_use'!$1:$1,0))</f>
        <v>29.212163456993313</v>
      </c>
      <c r="Q109">
        <f>INDEX('2_land_use'!$1:$343,MATCH($A109,'2_land_use'!$A:$A,0),MATCH(Q$1,'2_land_use'!$1:$1,0))</f>
        <v>0</v>
      </c>
      <c r="R109">
        <f>INDEX('6_roof_surface'!$1:$343,MATCH($A109,'6_roof_surface'!$A:$A,0),MATCH(R$1,'6_roof_surface'!$1:$1,0))</f>
        <v>3.6299160000000001</v>
      </c>
      <c r="S109">
        <f>INDEX('6_roof_surface'!$1:$343,MATCH($A109,'6_roof_surface'!$A:$A,0),MATCH(S$1,'6_roof_surface'!$1:$1,0))</f>
        <v>2.3985280000000002</v>
      </c>
    </row>
    <row r="110" spans="1:19" x14ac:dyDescent="0.2">
      <c r="A110" t="s">
        <v>110</v>
      </c>
      <c r="B110" t="str">
        <f>INDEX(CBS_gemeenten_alfabetisch_2023!$B:$B,MATCH($A110,CBS_gemeenten_alfabetisch_2023!$A:$A,0))</f>
        <v>Haarlemmermeer</v>
      </c>
      <c r="C110">
        <f>INDEX('5_train_share_nl'!$1:$343,MATCH($A110,'5_train_share_nl'!$A:$A,0),MATCH(C$1,'5_train_share_nl'!$1:$1,0))</f>
        <v>3.9426067708488013E-2</v>
      </c>
      <c r="D110">
        <f>INDEX('3_has_tram_metro'!$1:$343,MATCH($A110,'3_has_tram_metro'!$A:$A,0),MATCH(D$1,'3_has_tram_metro'!$1:$1,0))</f>
        <v>0</v>
      </c>
      <c r="E110">
        <f>INDEX('1_buildings_total'!$1:$343,MATCH($A110,'1_buildings_total'!$A:$A,0),MATCH(E$1,'1_buildings_total'!$1:$1,0))</f>
        <v>7073.9758461538449</v>
      </c>
      <c r="F110">
        <f>INDEX('2_land_use'!$1:$343,MATCH($A110,'2_land_use'!$A:$A,0),MATCH(F$1,'2_land_use'!$1:$1,0))</f>
        <v>115.14336187119153</v>
      </c>
      <c r="G110">
        <f>INDEX('4_number_of_transport'!$1:$343,MATCH($A110,'4_number_of_transport'!$A:$A,0),MATCH(G$1,'4_number_of_transport'!$1:$1,0))</f>
        <v>20457</v>
      </c>
      <c r="H110">
        <f>INDEX('4_number_of_transport'!$1:$343,MATCH($A110,'4_number_of_transport'!$A:$A,0),MATCH(H$1,'4_number_of_transport'!$1:$1,0))</f>
        <v>1098</v>
      </c>
      <c r="I110">
        <f>INDEX('4_number_of_transport'!$1:$343,MATCH($A110,'4_number_of_transport'!$A:$A,0),MATCH(I$1,'4_number_of_transport'!$1:$1,0))</f>
        <v>44</v>
      </c>
      <c r="J110">
        <f>INDEX('2_land_use'!$1:$343,MATCH($A110,'2_land_use'!$A:$A,0),MATCH(J$1,'2_land_use'!$1:$1,0))</f>
        <v>1.0920586724130994E-2</v>
      </c>
      <c r="K110">
        <f>INDEX('2_land_use'!$1:$343,MATCH($A110,'2_land_use'!$A:$A,0),MATCH(K$1,'2_land_use'!$1:$1,0))</f>
        <v>5.1623452435954611E-3</v>
      </c>
      <c r="L110">
        <f>INDEX('7_biomass'!$1:$343,MATCH($A110,'7_biomass'!$A:$A,0),MATCH(L$1,'7_biomass'!$1:$1,0))</f>
        <v>0.46114545038713317</v>
      </c>
      <c r="M110">
        <f>INDEX('7_biomass'!$1:$343,MATCH($A110,'7_biomass'!$A:$A,0),MATCH(M$1,'7_biomass'!$1:$1,0))</f>
        <v>0.47316694513442431</v>
      </c>
      <c r="N110">
        <f>INDEX('7_biomass'!$1:$343,MATCH($A110,'7_biomass'!$A:$A,0),MATCH(N$1,'7_biomass'!$1:$1,0))</f>
        <v>8.996061430504966E-2</v>
      </c>
      <c r="O110">
        <f>INDEX('4_number_of_transport'!$1:$343,MATCH($A110,'4_number_of_transport'!$A:$A,0),MATCH(O$1,'4_number_of_transport'!$1:$1,0))</f>
        <v>126589</v>
      </c>
      <c r="P110">
        <f>INDEX('2_land_use'!$1:$343,MATCH($A110,'2_land_use'!$A:$A,0),MATCH(P$1,'2_land_use'!$1:$1,0))</f>
        <v>197.21476682005294</v>
      </c>
      <c r="Q110">
        <f>INDEX('2_land_use'!$1:$343,MATCH($A110,'2_land_use'!$A:$A,0),MATCH(Q$1,'2_land_use'!$1:$1,0))</f>
        <v>0</v>
      </c>
      <c r="R110">
        <f>INDEX('6_roof_surface'!$1:$343,MATCH($A110,'6_roof_surface'!$A:$A,0),MATCH(R$1,'6_roof_surface'!$1:$1,0))</f>
        <v>4.3459820000000002</v>
      </c>
      <c r="S110">
        <f>INDEX('6_roof_surface'!$1:$343,MATCH($A110,'6_roof_surface'!$A:$A,0),MATCH(S$1,'6_roof_surface'!$1:$1,0))</f>
        <v>8.1223329999999994</v>
      </c>
    </row>
    <row r="111" spans="1:19" x14ac:dyDescent="0.2">
      <c r="A111" t="s">
        <v>111</v>
      </c>
      <c r="B111" t="str">
        <f>INDEX(CBS_gemeenten_alfabetisch_2023!$B:$B,MATCH($A111,CBS_gemeenten_alfabetisch_2023!$A:$A,0))</f>
        <v>Halderberge</v>
      </c>
      <c r="C111">
        <f>INDEX('5_train_share_nl'!$1:$343,MATCH($A111,'5_train_share_nl'!$A:$A,0),MATCH(C$1,'5_train_share_nl'!$1:$1,0))</f>
        <v>4.1221437523387522E-4</v>
      </c>
      <c r="D111">
        <f>INDEX('3_has_tram_metro'!$1:$343,MATCH($A111,'3_has_tram_metro'!$A:$A,0),MATCH(D$1,'3_has_tram_metro'!$1:$1,0))</f>
        <v>0</v>
      </c>
      <c r="E111">
        <f>INDEX('1_buildings_total'!$1:$343,MATCH($A111,'1_buildings_total'!$A:$A,0),MATCH(E$1,'1_buildings_total'!$1:$1,0))</f>
        <v>2523.985923076923</v>
      </c>
      <c r="F111">
        <f>INDEX('2_land_use'!$1:$343,MATCH($A111,'2_land_use'!$A:$A,0),MATCH(F$1,'2_land_use'!$1:$1,0))</f>
        <v>57.756972043825499</v>
      </c>
      <c r="G111">
        <f>INDEX('4_number_of_transport'!$1:$343,MATCH($A111,'4_number_of_transport'!$A:$A,0),MATCH(G$1,'4_number_of_transport'!$1:$1,0))</f>
        <v>1955</v>
      </c>
      <c r="H111">
        <f>INDEX('4_number_of_transport'!$1:$343,MATCH($A111,'4_number_of_transport'!$A:$A,0),MATCH(H$1,'4_number_of_transport'!$1:$1,0))</f>
        <v>135</v>
      </c>
      <c r="I111">
        <f>INDEX('4_number_of_transport'!$1:$343,MATCH($A111,'4_number_of_transport'!$A:$A,0),MATCH(I$1,'4_number_of_transport'!$1:$1,0))</f>
        <v>8</v>
      </c>
      <c r="J111">
        <f>INDEX('2_land_use'!$1:$343,MATCH($A111,'2_land_use'!$A:$A,0),MATCH(J$1,'2_land_use'!$1:$1,0))</f>
        <v>2.1069706180160512E-3</v>
      </c>
      <c r="K111">
        <f>INDEX('2_land_use'!$1:$343,MATCH($A111,'2_land_use'!$A:$A,0),MATCH(K$1,'2_land_use'!$1:$1,0))</f>
        <v>2.5894799758275737E-3</v>
      </c>
      <c r="L111">
        <f>INDEX('7_biomass'!$1:$343,MATCH($A111,'7_biomass'!$A:$A,0),MATCH(L$1,'7_biomass'!$1:$1,0))</f>
        <v>0.24741751920843788</v>
      </c>
      <c r="M111">
        <f>INDEX('7_biomass'!$1:$343,MATCH($A111,'7_biomass'!$A:$A,0),MATCH(M$1,'7_biomass'!$1:$1,0))</f>
        <v>0.10418779713210809</v>
      </c>
      <c r="N111">
        <f>INDEX('7_biomass'!$1:$343,MATCH($A111,'7_biomass'!$A:$A,0),MATCH(N$1,'7_biomass'!$1:$1,0))</f>
        <v>1.834475233221675E-2</v>
      </c>
      <c r="O111">
        <f>INDEX('4_number_of_transport'!$1:$343,MATCH($A111,'4_number_of_transport'!$A:$A,0),MATCH(O$1,'4_number_of_transport'!$1:$1,0))</f>
        <v>17657</v>
      </c>
      <c r="P111">
        <f>INDEX('2_land_use'!$1:$343,MATCH($A111,'2_land_use'!$A:$A,0),MATCH(P$1,'2_land_use'!$1:$1,0))</f>
        <v>74.443246769027752</v>
      </c>
      <c r="Q111">
        <f>INDEX('2_land_use'!$1:$343,MATCH($A111,'2_land_use'!$A:$A,0),MATCH(Q$1,'2_land_use'!$1:$1,0))</f>
        <v>0</v>
      </c>
      <c r="R111">
        <f>INDEX('6_roof_surface'!$1:$343,MATCH($A111,'6_roof_surface'!$A:$A,0),MATCH(R$1,'6_roof_surface'!$1:$1,0))</f>
        <v>1.3017570000000001</v>
      </c>
      <c r="S111">
        <f>INDEX('6_roof_surface'!$1:$343,MATCH($A111,'6_roof_surface'!$A:$A,0),MATCH(S$1,'6_roof_surface'!$1:$1,0))</f>
        <v>2.0892460000000002</v>
      </c>
    </row>
    <row r="112" spans="1:19" x14ac:dyDescent="0.2">
      <c r="A112" t="s">
        <v>112</v>
      </c>
      <c r="B112" t="str">
        <f>INDEX(CBS_gemeenten_alfabetisch_2023!$B:$B,MATCH($A112,CBS_gemeenten_alfabetisch_2023!$A:$A,0))</f>
        <v>Hardenberg</v>
      </c>
      <c r="C112">
        <f>INDEX('5_train_share_nl'!$1:$343,MATCH($A112,'5_train_share_nl'!$A:$A,0),MATCH(C$1,'5_train_share_nl'!$1:$1,0))</f>
        <v>1.3431615377457299E-3</v>
      </c>
      <c r="D112">
        <f>INDEX('3_has_tram_metro'!$1:$343,MATCH($A112,'3_has_tram_metro'!$A:$A,0),MATCH(D$1,'3_has_tram_metro'!$1:$1,0))</f>
        <v>0</v>
      </c>
      <c r="E112">
        <f>INDEX('1_buildings_total'!$1:$343,MATCH($A112,'1_buildings_total'!$A:$A,0),MATCH(E$1,'1_buildings_total'!$1:$1,0))</f>
        <v>5998.9859999999999</v>
      </c>
      <c r="F112">
        <f>INDEX('2_land_use'!$1:$343,MATCH($A112,'2_land_use'!$A:$A,0),MATCH(F$1,'2_land_use'!$1:$1,0))</f>
        <v>254.73029249563788</v>
      </c>
      <c r="G112">
        <f>INDEX('4_number_of_transport'!$1:$343,MATCH($A112,'4_number_of_transport'!$A:$A,0),MATCH(G$1,'4_number_of_transport'!$1:$1,0))</f>
        <v>4799</v>
      </c>
      <c r="H112">
        <f>INDEX('4_number_of_transport'!$1:$343,MATCH($A112,'4_number_of_transport'!$A:$A,0),MATCH(H$1,'4_number_of_transport'!$1:$1,0))</f>
        <v>339</v>
      </c>
      <c r="I112">
        <f>INDEX('4_number_of_transport'!$1:$343,MATCH($A112,'4_number_of_transport'!$A:$A,0),MATCH(I$1,'4_number_of_transport'!$1:$1,0))</f>
        <v>1</v>
      </c>
      <c r="J112">
        <f>INDEX('2_land_use'!$1:$343,MATCH($A112,'2_land_use'!$A:$A,0),MATCH(J$1,'2_land_use'!$1:$1,0))</f>
        <v>4.4400212717631136E-5</v>
      </c>
      <c r="K112">
        <f>INDEX('2_land_use'!$1:$343,MATCH($A112,'2_land_use'!$A:$A,0),MATCH(K$1,'2_land_use'!$1:$1,0))</f>
        <v>1.1420595095491533E-2</v>
      </c>
      <c r="L112">
        <f>INDEX('7_biomass'!$1:$343,MATCH($A112,'7_biomass'!$A:$A,0),MATCH(L$1,'7_biomass'!$1:$1,0))</f>
        <v>0.69103142440213761</v>
      </c>
      <c r="M112">
        <f>INDEX('7_biomass'!$1:$343,MATCH($A112,'7_biomass'!$A:$A,0),MATCH(M$1,'7_biomass'!$1:$1,0))</f>
        <v>0.41243193123973632</v>
      </c>
      <c r="N112">
        <f>INDEX('7_biomass'!$1:$343,MATCH($A112,'7_biomass'!$A:$A,0),MATCH(N$1,'7_biomass'!$1:$1,0))</f>
        <v>3.6802511352311627E-2</v>
      </c>
      <c r="O112">
        <f>INDEX('4_number_of_transport'!$1:$343,MATCH($A112,'4_number_of_transport'!$A:$A,0),MATCH(O$1,'4_number_of_transport'!$1:$1,0))</f>
        <v>34363</v>
      </c>
      <c r="P112">
        <f>INDEX('2_land_use'!$1:$343,MATCH($A112,'2_land_use'!$A:$A,0),MATCH(P$1,'2_land_use'!$1:$1,0))</f>
        <v>312.159552631049</v>
      </c>
      <c r="Q112">
        <f>INDEX('2_land_use'!$1:$343,MATCH($A112,'2_land_use'!$A:$A,0),MATCH(Q$1,'2_land_use'!$1:$1,0))</f>
        <v>0</v>
      </c>
      <c r="R112">
        <f>INDEX('6_roof_surface'!$1:$343,MATCH($A112,'6_roof_surface'!$A:$A,0),MATCH(R$1,'6_roof_surface'!$1:$1,0))</f>
        <v>2.622064</v>
      </c>
      <c r="S112">
        <f>INDEX('6_roof_surface'!$1:$343,MATCH($A112,'6_roof_surface'!$A:$A,0),MATCH(S$1,'6_roof_surface'!$1:$1,0))</f>
        <v>4.0289060000000001</v>
      </c>
    </row>
    <row r="113" spans="1:19" x14ac:dyDescent="0.2">
      <c r="A113" t="s">
        <v>113</v>
      </c>
      <c r="B113" t="str">
        <f>INDEX(CBS_gemeenten_alfabetisch_2023!$B:$B,MATCH($A113,CBS_gemeenten_alfabetisch_2023!$A:$A,0))</f>
        <v>Harderwijk</v>
      </c>
      <c r="C113">
        <f>INDEX('5_train_share_nl'!$1:$343,MATCH($A113,'5_train_share_nl'!$A:$A,0),MATCH(C$1,'5_train_share_nl'!$1:$1,0))</f>
        <v>1.9771242800602682E-3</v>
      </c>
      <c r="D113">
        <f>INDEX('3_has_tram_metro'!$1:$343,MATCH($A113,'3_has_tram_metro'!$A:$A,0),MATCH(D$1,'3_has_tram_metro'!$1:$1,0))</f>
        <v>0</v>
      </c>
      <c r="E113">
        <f>INDEX('1_buildings_total'!$1:$343,MATCH($A113,'1_buildings_total'!$A:$A,0),MATCH(E$1,'1_buildings_total'!$1:$1,0))</f>
        <v>2949.9303846153848</v>
      </c>
      <c r="F113">
        <f>INDEX('2_land_use'!$1:$343,MATCH($A113,'2_land_use'!$A:$A,0),MATCH(F$1,'2_land_use'!$1:$1,0))</f>
        <v>8.4131240697540406</v>
      </c>
      <c r="G113">
        <f>INDEX('4_number_of_transport'!$1:$343,MATCH($A113,'4_number_of_transport'!$A:$A,0),MATCH(G$1,'4_number_of_transport'!$1:$1,0))</f>
        <v>2459</v>
      </c>
      <c r="H113">
        <f>INDEX('4_number_of_transport'!$1:$343,MATCH($A113,'4_number_of_transport'!$A:$A,0),MATCH(H$1,'4_number_of_transport'!$1:$1,0))</f>
        <v>124</v>
      </c>
      <c r="I113">
        <f>INDEX('4_number_of_transport'!$1:$343,MATCH($A113,'4_number_of_transport'!$A:$A,0),MATCH(I$1,'4_number_of_transport'!$1:$1,0))</f>
        <v>1</v>
      </c>
      <c r="J113">
        <f>INDEX('2_land_use'!$1:$343,MATCH($A113,'2_land_use'!$A:$A,0),MATCH(J$1,'2_land_use'!$1:$1,0))</f>
        <v>2.8061070065552691E-4</v>
      </c>
      <c r="K113">
        <f>INDEX('2_land_use'!$1:$343,MATCH($A113,'2_land_use'!$A:$A,0),MATCH(K$1,'2_land_use'!$1:$1,0))</f>
        <v>3.7719457135409264E-4</v>
      </c>
      <c r="L113">
        <f>INDEX('7_biomass'!$1:$343,MATCH($A113,'7_biomass'!$A:$A,0),MATCH(L$1,'7_biomass'!$1:$1,0))</f>
        <v>9.5394836439883515E-2</v>
      </c>
      <c r="M113">
        <f>INDEX('7_biomass'!$1:$343,MATCH($A113,'7_biomass'!$A:$A,0),MATCH(M$1,'7_biomass'!$1:$1,0))</f>
        <v>0.13611713531867184</v>
      </c>
      <c r="N113">
        <f>INDEX('7_biomass'!$1:$343,MATCH($A113,'7_biomass'!$A:$A,0),MATCH(N$1,'7_biomass'!$1:$1,0))</f>
        <v>2.8908447397469866E-2</v>
      </c>
      <c r="O113">
        <f>INDEX('4_number_of_transport'!$1:$343,MATCH($A113,'4_number_of_transport'!$A:$A,0),MATCH(O$1,'4_number_of_transport'!$1:$1,0))</f>
        <v>23473</v>
      </c>
      <c r="P113">
        <f>INDEX('2_land_use'!$1:$343,MATCH($A113,'2_land_use'!$A:$A,0),MATCH(P$1,'2_land_use'!$1:$1,0))</f>
        <v>38.924963627040476</v>
      </c>
      <c r="Q113">
        <f>INDEX('2_land_use'!$1:$343,MATCH($A113,'2_land_use'!$A:$A,0),MATCH(Q$1,'2_land_use'!$1:$1,0))</f>
        <v>0</v>
      </c>
      <c r="R113">
        <f>INDEX('6_roof_surface'!$1:$343,MATCH($A113,'6_roof_surface'!$A:$A,0),MATCH(R$1,'6_roof_surface'!$1:$1,0))</f>
        <v>1.344503</v>
      </c>
      <c r="S113">
        <f>INDEX('6_roof_surface'!$1:$343,MATCH($A113,'6_roof_surface'!$A:$A,0),MATCH(S$1,'6_roof_surface'!$1:$1,0))</f>
        <v>1.524939</v>
      </c>
    </row>
    <row r="114" spans="1:19" x14ac:dyDescent="0.2">
      <c r="A114" t="s">
        <v>114</v>
      </c>
      <c r="B114" t="str">
        <f>INDEX(CBS_gemeenten_alfabetisch_2023!$B:$B,MATCH($A114,CBS_gemeenten_alfabetisch_2023!$A:$A,0))</f>
        <v>Hardinxveld-Giessendam</v>
      </c>
      <c r="C114">
        <f>INDEX('5_train_share_nl'!$1:$343,MATCH($A114,'5_train_share_nl'!$A:$A,0),MATCH(C$1,'5_train_share_nl'!$1:$1,0))</f>
        <v>4.9457805443526431E-4</v>
      </c>
      <c r="D114">
        <f>INDEX('3_has_tram_metro'!$1:$343,MATCH($A114,'3_has_tram_metro'!$A:$A,0),MATCH(D$1,'3_has_tram_metro'!$1:$1,0))</f>
        <v>0</v>
      </c>
      <c r="E114">
        <f>INDEX('1_buildings_total'!$1:$343,MATCH($A114,'1_buildings_total'!$A:$A,0),MATCH(E$1,'1_buildings_total'!$1:$1,0))</f>
        <v>832.10707692307676</v>
      </c>
      <c r="F114">
        <f>INDEX('2_land_use'!$1:$343,MATCH($A114,'2_land_use'!$A:$A,0),MATCH(F$1,'2_land_use'!$1:$1,0))</f>
        <v>10.777038092795975</v>
      </c>
      <c r="G114">
        <f>INDEX('4_number_of_transport'!$1:$343,MATCH($A114,'4_number_of_transport'!$A:$A,0),MATCH(G$1,'4_number_of_transport'!$1:$1,0))</f>
        <v>1420</v>
      </c>
      <c r="H114">
        <f>INDEX('4_number_of_transport'!$1:$343,MATCH($A114,'4_number_of_transport'!$A:$A,0),MATCH(H$1,'4_number_of_transport'!$1:$1,0))</f>
        <v>115</v>
      </c>
      <c r="I114">
        <f>INDEX('4_number_of_transport'!$1:$343,MATCH($A114,'4_number_of_transport'!$A:$A,0),MATCH(I$1,'4_number_of_transport'!$1:$1,0))</f>
        <v>16</v>
      </c>
      <c r="J114">
        <f>INDEX('2_land_use'!$1:$343,MATCH($A114,'2_land_use'!$A:$A,0),MATCH(J$1,'2_land_use'!$1:$1,0))</f>
        <v>0</v>
      </c>
      <c r="K114">
        <f>INDEX('2_land_use'!$1:$343,MATCH($A114,'2_land_use'!$A:$A,0),MATCH(K$1,'2_land_use'!$1:$1,0))</f>
        <v>4.8317845192526057E-4</v>
      </c>
      <c r="L114">
        <f>INDEX('7_biomass'!$1:$343,MATCH($A114,'7_biomass'!$A:$A,0),MATCH(L$1,'7_biomass'!$1:$1,0))</f>
        <v>6.7055027594344604E-2</v>
      </c>
      <c r="M114">
        <f>INDEX('7_biomass'!$1:$343,MATCH($A114,'7_biomass'!$A:$A,0),MATCH(M$1,'7_biomass'!$1:$1,0))</f>
        <v>4.8973347556639298E-2</v>
      </c>
      <c r="N114">
        <f>INDEX('7_biomass'!$1:$343,MATCH($A114,'7_biomass'!$A:$A,0),MATCH(N$1,'7_biomass'!$1:$1,0))</f>
        <v>1.0967116789721286E-2</v>
      </c>
      <c r="O114">
        <f>INDEX('4_number_of_transport'!$1:$343,MATCH($A114,'4_number_of_transport'!$A:$A,0),MATCH(O$1,'4_number_of_transport'!$1:$1,0))</f>
        <v>8979</v>
      </c>
      <c r="P114">
        <f>INDEX('2_land_use'!$1:$343,MATCH($A114,'2_land_use'!$A:$A,0),MATCH(P$1,'2_land_use'!$1:$1,0))</f>
        <v>16.857726296777663</v>
      </c>
      <c r="Q114">
        <f>INDEX('2_land_use'!$1:$343,MATCH($A114,'2_land_use'!$A:$A,0),MATCH(Q$1,'2_land_use'!$1:$1,0))</f>
        <v>0</v>
      </c>
      <c r="R114">
        <f>INDEX('6_roof_surface'!$1:$343,MATCH($A114,'6_roof_surface'!$A:$A,0),MATCH(R$1,'6_roof_surface'!$1:$1,0))</f>
        <v>0.50745399999999996</v>
      </c>
      <c r="S114">
        <f>INDEX('6_roof_surface'!$1:$343,MATCH($A114,'6_roof_surface'!$A:$A,0),MATCH(S$1,'6_roof_surface'!$1:$1,0))</f>
        <v>0.60350199999999998</v>
      </c>
    </row>
    <row r="115" spans="1:19" x14ac:dyDescent="0.2">
      <c r="A115" t="s">
        <v>115</v>
      </c>
      <c r="B115" t="str">
        <f>INDEX(CBS_gemeenten_alfabetisch_2023!$B:$B,MATCH($A115,CBS_gemeenten_alfabetisch_2023!$A:$A,0))</f>
        <v>Harlingen</v>
      </c>
      <c r="C115">
        <f>INDEX('5_train_share_nl'!$1:$343,MATCH($A115,'5_train_share_nl'!$A:$A,0),MATCH(C$1,'5_train_share_nl'!$1:$1,0))</f>
        <v>8.3512018959485388E-4</v>
      </c>
      <c r="D115">
        <f>INDEX('3_has_tram_metro'!$1:$343,MATCH($A115,'3_has_tram_metro'!$A:$A,0),MATCH(D$1,'3_has_tram_metro'!$1:$1,0))</f>
        <v>0</v>
      </c>
      <c r="E115">
        <f>INDEX('1_buildings_total'!$1:$343,MATCH($A115,'1_buildings_total'!$A:$A,0),MATCH(E$1,'1_buildings_total'!$1:$1,0))</f>
        <v>1262.2943846153848</v>
      </c>
      <c r="F115">
        <f>INDEX('2_land_use'!$1:$343,MATCH($A115,'2_land_use'!$A:$A,0),MATCH(F$1,'2_land_use'!$1:$1,0))</f>
        <v>16.643181453467498</v>
      </c>
      <c r="G115">
        <f>INDEX('4_number_of_transport'!$1:$343,MATCH($A115,'4_number_of_transport'!$A:$A,0),MATCH(G$1,'4_number_of_transport'!$1:$1,0))</f>
        <v>962</v>
      </c>
      <c r="H115">
        <f>INDEX('4_number_of_transport'!$1:$343,MATCH($A115,'4_number_of_transport'!$A:$A,0),MATCH(H$1,'4_number_of_transport'!$1:$1,0))</f>
        <v>67</v>
      </c>
      <c r="I115">
        <f>INDEX('4_number_of_transport'!$1:$343,MATCH($A115,'4_number_of_transport'!$A:$A,0),MATCH(I$1,'4_number_of_transport'!$1:$1,0))</f>
        <v>3</v>
      </c>
      <c r="J115">
        <f>INDEX('2_land_use'!$1:$343,MATCH($A115,'2_land_use'!$A:$A,0),MATCH(J$1,'2_land_use'!$1:$1,0))</f>
        <v>0</v>
      </c>
      <c r="K115">
        <f>INDEX('2_land_use'!$1:$343,MATCH($A115,'2_land_use'!$A:$A,0),MATCH(K$1,'2_land_use'!$1:$1,0))</f>
        <v>7.4618151857263498E-4</v>
      </c>
      <c r="L115">
        <f>INDEX('7_biomass'!$1:$343,MATCH($A115,'7_biomass'!$A:$A,0),MATCH(L$1,'7_biomass'!$1:$1,0))</f>
        <v>7.5143256405590012E-2</v>
      </c>
      <c r="M115">
        <f>INDEX('7_biomass'!$1:$343,MATCH($A115,'7_biomass'!$A:$A,0),MATCH(M$1,'7_biomass'!$1:$1,0))</f>
        <v>4.7885000416000786E-2</v>
      </c>
      <c r="N115">
        <f>INDEX('7_biomass'!$1:$343,MATCH($A115,'7_biomass'!$A:$A,0),MATCH(N$1,'7_biomass'!$1:$1,0))</f>
        <v>9.5739752020623809E-3</v>
      </c>
      <c r="O115">
        <f>INDEX('4_number_of_transport'!$1:$343,MATCH($A115,'4_number_of_transport'!$A:$A,0),MATCH(O$1,'4_number_of_transport'!$1:$1,0))</f>
        <v>7605</v>
      </c>
      <c r="P115">
        <f>INDEX('2_land_use'!$1:$343,MATCH($A115,'2_land_use'!$A:$A,0),MATCH(P$1,'2_land_use'!$1:$1,0))</f>
        <v>24.961534998076878</v>
      </c>
      <c r="Q115">
        <f>INDEX('2_land_use'!$1:$343,MATCH($A115,'2_land_use'!$A:$A,0),MATCH(Q$1,'2_land_use'!$1:$1,0))</f>
        <v>361.83092671452499</v>
      </c>
      <c r="R115">
        <f>INDEX('6_roof_surface'!$1:$343,MATCH($A115,'6_roof_surface'!$A:$A,0),MATCH(R$1,'6_roof_surface'!$1:$1,0))</f>
        <v>0.59136500000000003</v>
      </c>
      <c r="S115">
        <f>INDEX('6_roof_surface'!$1:$343,MATCH($A115,'6_roof_surface'!$A:$A,0),MATCH(S$1,'6_roof_surface'!$1:$1,0))</f>
        <v>0.66145500000000002</v>
      </c>
    </row>
    <row r="116" spans="1:19" x14ac:dyDescent="0.2">
      <c r="A116" t="s">
        <v>116</v>
      </c>
      <c r="B116" t="str">
        <f>INDEX(CBS_gemeenten_alfabetisch_2023!$B:$B,MATCH($A116,CBS_gemeenten_alfabetisch_2023!$A:$A,0))</f>
        <v>Hattem</v>
      </c>
      <c r="C116">
        <f>INDEX('5_train_share_nl'!$1:$343,MATCH($A116,'5_train_share_nl'!$A:$A,0),MATCH(C$1,'5_train_share_nl'!$1:$1,0))</f>
        <v>0</v>
      </c>
      <c r="D116">
        <f>INDEX('3_has_tram_metro'!$1:$343,MATCH($A116,'3_has_tram_metro'!$A:$A,0),MATCH(D$1,'3_has_tram_metro'!$1:$1,0))</f>
        <v>0</v>
      </c>
      <c r="E116">
        <f>INDEX('1_buildings_total'!$1:$343,MATCH($A116,'1_buildings_total'!$A:$A,0),MATCH(E$1,'1_buildings_total'!$1:$1,0))</f>
        <v>830.27861538461548</v>
      </c>
      <c r="F116">
        <f>INDEX('2_land_use'!$1:$343,MATCH($A116,'2_land_use'!$A:$A,0),MATCH(F$1,'2_land_use'!$1:$1,0))</f>
        <v>12.485283717108954</v>
      </c>
      <c r="G116">
        <f>INDEX('4_number_of_transport'!$1:$343,MATCH($A116,'4_number_of_transport'!$A:$A,0),MATCH(G$1,'4_number_of_transport'!$1:$1,0))</f>
        <v>564</v>
      </c>
      <c r="H116">
        <f>INDEX('4_number_of_transport'!$1:$343,MATCH($A116,'4_number_of_transport'!$A:$A,0),MATCH(H$1,'4_number_of_transport'!$1:$1,0))</f>
        <v>30</v>
      </c>
      <c r="I116">
        <f>INDEX('4_number_of_transport'!$1:$343,MATCH($A116,'4_number_of_transport'!$A:$A,0),MATCH(I$1,'4_number_of_transport'!$1:$1,0))</f>
        <v>0</v>
      </c>
      <c r="J116">
        <f>INDEX('2_land_use'!$1:$343,MATCH($A116,'2_land_use'!$A:$A,0),MATCH(J$1,'2_land_use'!$1:$1,0))</f>
        <v>0</v>
      </c>
      <c r="K116">
        <f>INDEX('2_land_use'!$1:$343,MATCH($A116,'2_land_use'!$A:$A,0),MATCH(K$1,'2_land_use'!$1:$1,0))</f>
        <v>5.5976605133398725E-4</v>
      </c>
      <c r="L116">
        <f>INDEX('7_biomass'!$1:$343,MATCH($A116,'7_biomass'!$A:$A,0),MATCH(L$1,'7_biomass'!$1:$1,0))</f>
        <v>4.74966685053895E-2</v>
      </c>
      <c r="M116">
        <f>INDEX('7_biomass'!$1:$343,MATCH($A116,'7_biomass'!$A:$A,0),MATCH(M$1,'7_biomass'!$1:$1,0))</f>
        <v>3.7899229016419428E-2</v>
      </c>
      <c r="N116">
        <f>INDEX('7_biomass'!$1:$343,MATCH($A116,'7_biomass'!$A:$A,0),MATCH(N$1,'7_biomass'!$1:$1,0))</f>
        <v>7.3958624276370963E-3</v>
      </c>
      <c r="O116">
        <f>INDEX('4_number_of_transport'!$1:$343,MATCH($A116,'4_number_of_transport'!$A:$A,0),MATCH(O$1,'4_number_of_transport'!$1:$1,0))</f>
        <v>6399</v>
      </c>
      <c r="P116">
        <f>INDEX('2_land_use'!$1:$343,MATCH($A116,'2_land_use'!$A:$A,0),MATCH(P$1,'2_land_use'!$1:$1,0))</f>
        <v>23.069233376110265</v>
      </c>
      <c r="Q116">
        <f>INDEX('2_land_use'!$1:$343,MATCH($A116,'2_land_use'!$A:$A,0),MATCH(Q$1,'2_land_use'!$1:$1,0))</f>
        <v>0</v>
      </c>
      <c r="R116">
        <f>INDEX('6_roof_surface'!$1:$343,MATCH($A116,'6_roof_surface'!$A:$A,0),MATCH(R$1,'6_roof_surface'!$1:$1,0))</f>
        <v>0.46233999999999997</v>
      </c>
      <c r="S116">
        <f>INDEX('6_roof_surface'!$1:$343,MATCH($A116,'6_roof_surface'!$A:$A,0),MATCH(S$1,'6_roof_surface'!$1:$1,0))</f>
        <v>0.32574599999999998</v>
      </c>
    </row>
    <row r="117" spans="1:19" x14ac:dyDescent="0.2">
      <c r="A117" t="s">
        <v>117</v>
      </c>
      <c r="B117" t="str">
        <f>INDEX(CBS_gemeenten_alfabetisch_2023!$B:$B,MATCH($A117,CBS_gemeenten_alfabetisch_2023!$A:$A,0))</f>
        <v>Heemskerk</v>
      </c>
      <c r="C117">
        <f>INDEX('5_train_share_nl'!$1:$343,MATCH($A117,'5_train_share_nl'!$A:$A,0),MATCH(C$1,'5_train_share_nl'!$1:$1,0))</f>
        <v>9.099602634845776E-4</v>
      </c>
      <c r="D117">
        <f>INDEX('3_has_tram_metro'!$1:$343,MATCH($A117,'3_has_tram_metro'!$A:$A,0),MATCH(D$1,'3_has_tram_metro'!$1:$1,0))</f>
        <v>0</v>
      </c>
      <c r="E117">
        <f>INDEX('1_buildings_total'!$1:$343,MATCH($A117,'1_buildings_total'!$A:$A,0),MATCH(E$1,'1_buildings_total'!$1:$1,0))</f>
        <v>1991.9560000000006</v>
      </c>
      <c r="F117">
        <f>INDEX('2_land_use'!$1:$343,MATCH($A117,'2_land_use'!$A:$A,0),MATCH(F$1,'2_land_use'!$1:$1,0))</f>
        <v>6.6699013840182388</v>
      </c>
      <c r="G117">
        <f>INDEX('4_number_of_transport'!$1:$343,MATCH($A117,'4_number_of_transport'!$A:$A,0),MATCH(G$1,'4_number_of_transport'!$1:$1,0))</f>
        <v>1559</v>
      </c>
      <c r="H117">
        <f>INDEX('4_number_of_transport'!$1:$343,MATCH($A117,'4_number_of_transport'!$A:$A,0),MATCH(H$1,'4_number_of_transport'!$1:$1,0))</f>
        <v>49</v>
      </c>
      <c r="I117">
        <f>INDEX('4_number_of_transport'!$1:$343,MATCH($A117,'4_number_of_transport'!$A:$A,0),MATCH(I$1,'4_number_of_transport'!$1:$1,0))</f>
        <v>1</v>
      </c>
      <c r="J117">
        <f>INDEX('2_land_use'!$1:$343,MATCH($A117,'2_land_use'!$A:$A,0),MATCH(J$1,'2_land_use'!$1:$1,0))</f>
        <v>1.6256203105506947E-3</v>
      </c>
      <c r="K117">
        <f>INDEX('2_land_use'!$1:$343,MATCH($A117,'2_land_use'!$A:$A,0),MATCH(K$1,'2_land_use'!$1:$1,0))</f>
        <v>2.9903880801705328E-4</v>
      </c>
      <c r="L117">
        <f>INDEX('7_biomass'!$1:$343,MATCH($A117,'7_biomass'!$A:$A,0),MATCH(L$1,'7_biomass'!$1:$1,0))</f>
        <v>7.7706147117131003E-2</v>
      </c>
      <c r="M117">
        <f>INDEX('7_biomass'!$1:$343,MATCH($A117,'7_biomass'!$A:$A,0),MATCH(M$1,'7_biomass'!$1:$1,0))</f>
        <v>0.11034357347485098</v>
      </c>
      <c r="N117">
        <f>INDEX('7_biomass'!$1:$343,MATCH($A117,'7_biomass'!$A:$A,0),MATCH(N$1,'7_biomass'!$1:$1,0))</f>
        <v>2.3794590989565371E-2</v>
      </c>
      <c r="O117">
        <f>INDEX('4_number_of_transport'!$1:$343,MATCH($A117,'4_number_of_transport'!$A:$A,0),MATCH(O$1,'4_number_of_transport'!$1:$1,0))</f>
        <v>19366</v>
      </c>
      <c r="P117">
        <f>INDEX('2_land_use'!$1:$343,MATCH($A117,'2_land_use'!$A:$A,0),MATCH(P$1,'2_land_use'!$1:$1,0))</f>
        <v>27.271261407577803</v>
      </c>
      <c r="Q117">
        <f>INDEX('2_land_use'!$1:$343,MATCH($A117,'2_land_use'!$A:$A,0),MATCH(Q$1,'2_land_use'!$1:$1,0))</f>
        <v>3.9718404139393599</v>
      </c>
      <c r="R117">
        <f>INDEX('6_roof_surface'!$1:$343,MATCH($A117,'6_roof_surface'!$A:$A,0),MATCH(R$1,'6_roof_surface'!$1:$1,0))</f>
        <v>1.0384500000000001</v>
      </c>
      <c r="S117">
        <f>INDEX('6_roof_surface'!$1:$343,MATCH($A117,'6_roof_surface'!$A:$A,0),MATCH(S$1,'6_roof_surface'!$1:$1,0))</f>
        <v>0.86505299999999996</v>
      </c>
    </row>
    <row r="118" spans="1:19" x14ac:dyDescent="0.2">
      <c r="A118" t="s">
        <v>118</v>
      </c>
      <c r="B118" t="str">
        <f>INDEX(CBS_gemeenten_alfabetisch_2023!$B:$B,MATCH($A118,CBS_gemeenten_alfabetisch_2023!$A:$A,0))</f>
        <v>Heemstede</v>
      </c>
      <c r="C118">
        <f>INDEX('5_train_share_nl'!$1:$343,MATCH($A118,'5_train_share_nl'!$A:$A,0),MATCH(C$1,'5_train_share_nl'!$1:$1,0))</f>
        <v>2.4776420228994787E-3</v>
      </c>
      <c r="D118">
        <f>INDEX('3_has_tram_metro'!$1:$343,MATCH($A118,'3_has_tram_metro'!$A:$A,0),MATCH(D$1,'3_has_tram_metro'!$1:$1,0))</f>
        <v>0</v>
      </c>
      <c r="E118">
        <f>INDEX('1_buildings_total'!$1:$343,MATCH($A118,'1_buildings_total'!$A:$A,0),MATCH(E$1,'1_buildings_total'!$1:$1,0))</f>
        <v>1671.3317692307694</v>
      </c>
      <c r="F118">
        <f>INDEX('2_land_use'!$1:$343,MATCH($A118,'2_land_use'!$A:$A,0),MATCH(F$1,'2_land_use'!$1:$1,0))</f>
        <v>1.5018102715469872</v>
      </c>
      <c r="G118">
        <f>INDEX('4_number_of_transport'!$1:$343,MATCH($A118,'4_number_of_transport'!$A:$A,0),MATCH(G$1,'4_number_of_transport'!$1:$1,0))</f>
        <v>523</v>
      </c>
      <c r="H118">
        <f>INDEX('4_number_of_transport'!$1:$343,MATCH($A118,'4_number_of_transport'!$A:$A,0),MATCH(H$1,'4_number_of_transport'!$1:$1,0))</f>
        <v>52</v>
      </c>
      <c r="I118">
        <f>INDEX('4_number_of_transport'!$1:$343,MATCH($A118,'4_number_of_transport'!$A:$A,0),MATCH(I$1,'4_number_of_transport'!$1:$1,0))</f>
        <v>0</v>
      </c>
      <c r="J118">
        <f>INDEX('2_land_use'!$1:$343,MATCH($A118,'2_land_use'!$A:$A,0),MATCH(J$1,'2_land_use'!$1:$1,0))</f>
        <v>1.2403108814267581E-4</v>
      </c>
      <c r="K118">
        <f>INDEX('2_land_use'!$1:$343,MATCH($A118,'2_land_use'!$A:$A,0),MATCH(K$1,'2_land_use'!$1:$1,0))</f>
        <v>6.7332262894810764E-5</v>
      </c>
      <c r="L118">
        <f>INDEX('7_biomass'!$1:$343,MATCH($A118,'7_biomass'!$A:$A,0),MATCH(L$1,'7_biomass'!$1:$1,0))</f>
        <v>5.0883182992003853E-2</v>
      </c>
      <c r="M118">
        <f>INDEX('7_biomass'!$1:$343,MATCH($A118,'7_biomass'!$A:$A,0),MATCH(M$1,'7_biomass'!$1:$1,0))</f>
        <v>7.052604031488606E-2</v>
      </c>
      <c r="N118">
        <f>INDEX('7_biomass'!$1:$343,MATCH($A118,'7_biomass'!$A:$A,0),MATCH(N$1,'7_biomass'!$1:$1,0))</f>
        <v>1.6577959599154344E-2</v>
      </c>
      <c r="O118">
        <f>INDEX('4_number_of_transport'!$1:$343,MATCH($A118,'4_number_of_transport'!$A:$A,0),MATCH(O$1,'4_number_of_transport'!$1:$1,0))</f>
        <v>13628</v>
      </c>
      <c r="P118">
        <f>INDEX('2_land_use'!$1:$343,MATCH($A118,'2_land_use'!$A:$A,0),MATCH(P$1,'2_land_use'!$1:$1,0))</f>
        <v>9.1717099360630243</v>
      </c>
      <c r="Q118">
        <f>INDEX('2_land_use'!$1:$343,MATCH($A118,'2_land_use'!$A:$A,0),MATCH(Q$1,'2_land_use'!$1:$1,0))</f>
        <v>0</v>
      </c>
      <c r="R118">
        <f>INDEX('6_roof_surface'!$1:$343,MATCH($A118,'6_roof_surface'!$A:$A,0),MATCH(R$1,'6_roof_surface'!$1:$1,0))</f>
        <v>0.83099999999999996</v>
      </c>
      <c r="S118">
        <f>INDEX('6_roof_surface'!$1:$343,MATCH($A118,'6_roof_surface'!$A:$A,0),MATCH(S$1,'6_roof_surface'!$1:$1,0))</f>
        <v>0.40239399999999997</v>
      </c>
    </row>
    <row r="119" spans="1:19" x14ac:dyDescent="0.2">
      <c r="A119" t="s">
        <v>119</v>
      </c>
      <c r="B119" t="str">
        <f>INDEX(CBS_gemeenten_alfabetisch_2023!$B:$B,MATCH($A119,CBS_gemeenten_alfabetisch_2023!$A:$A,0))</f>
        <v>Heerde</v>
      </c>
      <c r="C119">
        <f>INDEX('5_train_share_nl'!$1:$343,MATCH($A119,'5_train_share_nl'!$A:$A,0),MATCH(C$1,'5_train_share_nl'!$1:$1,0))</f>
        <v>0</v>
      </c>
      <c r="D119">
        <f>INDEX('3_has_tram_metro'!$1:$343,MATCH($A119,'3_has_tram_metro'!$A:$A,0),MATCH(D$1,'3_has_tram_metro'!$1:$1,0))</f>
        <v>0</v>
      </c>
      <c r="E119">
        <f>INDEX('1_buildings_total'!$1:$343,MATCH($A119,'1_buildings_total'!$A:$A,0),MATCH(E$1,'1_buildings_total'!$1:$1,0))</f>
        <v>1442.8583846153847</v>
      </c>
      <c r="F119">
        <f>INDEX('2_land_use'!$1:$343,MATCH($A119,'2_land_use'!$A:$A,0),MATCH(F$1,'2_land_use'!$1:$1,0))</f>
        <v>39.613484231427499</v>
      </c>
      <c r="G119">
        <f>INDEX('4_number_of_transport'!$1:$343,MATCH($A119,'4_number_of_transport'!$A:$A,0),MATCH(G$1,'4_number_of_transport'!$1:$1,0))</f>
        <v>1204</v>
      </c>
      <c r="H119">
        <f>INDEX('4_number_of_transport'!$1:$343,MATCH($A119,'4_number_of_transport'!$A:$A,0),MATCH(H$1,'4_number_of_transport'!$1:$1,0))</f>
        <v>75</v>
      </c>
      <c r="I119">
        <f>INDEX('4_number_of_transport'!$1:$343,MATCH($A119,'4_number_of_transport'!$A:$A,0),MATCH(I$1,'4_number_of_transport'!$1:$1,0))</f>
        <v>4</v>
      </c>
      <c r="J119">
        <f>INDEX('2_land_use'!$1:$343,MATCH($A119,'2_land_use'!$A:$A,0),MATCH(J$1,'2_land_use'!$1:$1,0))</f>
        <v>3.7948282222082869E-4</v>
      </c>
      <c r="K119">
        <f>INDEX('2_land_use'!$1:$343,MATCH($A119,'2_land_use'!$A:$A,0),MATCH(K$1,'2_land_use'!$1:$1,0))</f>
        <v>1.7760336208796973E-3</v>
      </c>
      <c r="L119">
        <f>INDEX('7_biomass'!$1:$343,MATCH($A119,'7_biomass'!$A:$A,0),MATCH(L$1,'7_biomass'!$1:$1,0))</f>
        <v>0.11720674251645907</v>
      </c>
      <c r="M119">
        <f>INDEX('7_biomass'!$1:$343,MATCH($A119,'7_biomass'!$A:$A,0),MATCH(M$1,'7_biomass'!$1:$1,0))</f>
        <v>8.3847731673902054E-2</v>
      </c>
      <c r="N119">
        <f>INDEX('7_biomass'!$1:$343,MATCH($A119,'7_biomass'!$A:$A,0),MATCH(N$1,'7_biomass'!$1:$1,0))</f>
        <v>1.1267860394558252E-2</v>
      </c>
      <c r="O119">
        <f>INDEX('4_number_of_transport'!$1:$343,MATCH($A119,'4_number_of_transport'!$A:$A,0),MATCH(O$1,'4_number_of_transport'!$1:$1,0))</f>
        <v>10621</v>
      </c>
      <c r="P119">
        <f>INDEX('2_land_use'!$1:$343,MATCH($A119,'2_land_use'!$A:$A,0),MATCH(P$1,'2_land_use'!$1:$1,0))</f>
        <v>78.545222122870285</v>
      </c>
      <c r="Q119">
        <f>INDEX('2_land_use'!$1:$343,MATCH($A119,'2_land_use'!$A:$A,0),MATCH(Q$1,'2_land_use'!$1:$1,0))</f>
        <v>0</v>
      </c>
      <c r="R119">
        <f>INDEX('6_roof_surface'!$1:$343,MATCH($A119,'6_roof_surface'!$A:$A,0),MATCH(R$1,'6_roof_surface'!$1:$1,0))</f>
        <v>0.75131199999999998</v>
      </c>
      <c r="S119">
        <f>INDEX('6_roof_surface'!$1:$343,MATCH($A119,'6_roof_surface'!$A:$A,0),MATCH(S$1,'6_roof_surface'!$1:$1,0))</f>
        <v>0.87812800000000002</v>
      </c>
    </row>
    <row r="120" spans="1:19" x14ac:dyDescent="0.2">
      <c r="A120" t="s">
        <v>120</v>
      </c>
      <c r="B120" t="str">
        <f>INDEX(CBS_gemeenten_alfabetisch_2023!$B:$B,MATCH($A120,CBS_gemeenten_alfabetisch_2023!$A:$A,0))</f>
        <v>Heerenveen</v>
      </c>
      <c r="C120">
        <f>INDEX('5_train_share_nl'!$1:$343,MATCH($A120,'5_train_share_nl'!$A:$A,0),MATCH(C$1,'5_train_share_nl'!$1:$1,0))</f>
        <v>4.8139194617850354E-3</v>
      </c>
      <c r="D120">
        <f>INDEX('3_has_tram_metro'!$1:$343,MATCH($A120,'3_has_tram_metro'!$A:$A,0),MATCH(D$1,'3_has_tram_metro'!$1:$1,0))</f>
        <v>0</v>
      </c>
      <c r="E120">
        <f>INDEX('1_buildings_total'!$1:$343,MATCH($A120,'1_buildings_total'!$A:$A,0),MATCH(E$1,'1_buildings_total'!$1:$1,0))</f>
        <v>5742.3323076923079</v>
      </c>
      <c r="F120">
        <f>INDEX('2_land_use'!$1:$343,MATCH($A120,'2_land_use'!$A:$A,0),MATCH(F$1,'2_land_use'!$1:$1,0))</f>
        <v>146.15501373964958</v>
      </c>
      <c r="G120">
        <f>INDEX('4_number_of_transport'!$1:$343,MATCH($A120,'4_number_of_transport'!$A:$A,0),MATCH(G$1,'4_number_of_transport'!$1:$1,0))</f>
        <v>3258</v>
      </c>
      <c r="H120">
        <f>INDEX('4_number_of_transport'!$1:$343,MATCH($A120,'4_number_of_transport'!$A:$A,0),MATCH(H$1,'4_number_of_transport'!$1:$1,0))</f>
        <v>321</v>
      </c>
      <c r="I120">
        <f>INDEX('4_number_of_transport'!$1:$343,MATCH($A120,'4_number_of_transport'!$A:$A,0),MATCH(I$1,'4_number_of_transport'!$1:$1,0))</f>
        <v>1180</v>
      </c>
      <c r="J120">
        <f>INDEX('2_land_use'!$1:$343,MATCH($A120,'2_land_use'!$A:$A,0),MATCH(J$1,'2_land_use'!$1:$1,0))</f>
        <v>0</v>
      </c>
      <c r="K120">
        <f>INDEX('2_land_use'!$1:$343,MATCH($A120,'2_land_use'!$A:$A,0),MATCH(K$1,'2_land_use'!$1:$1,0))</f>
        <v>6.5527237327893516E-3</v>
      </c>
      <c r="L120">
        <f>INDEX('7_biomass'!$1:$343,MATCH($A120,'7_biomass'!$A:$A,0),MATCH(L$1,'7_biomass'!$1:$1,0))</f>
        <v>0.50200930624471574</v>
      </c>
      <c r="M120">
        <f>INDEX('7_biomass'!$1:$343,MATCH($A120,'7_biomass'!$A:$A,0),MATCH(M$1,'7_biomass'!$1:$1,0))</f>
        <v>0.23204633994292131</v>
      </c>
      <c r="N120">
        <f>INDEX('7_biomass'!$1:$343,MATCH($A120,'7_biomass'!$A:$A,0),MATCH(N$1,'7_biomass'!$1:$1,0))</f>
        <v>3.0534285552103635E-2</v>
      </c>
      <c r="O120">
        <f>INDEX('4_number_of_transport'!$1:$343,MATCH($A120,'4_number_of_transport'!$A:$A,0),MATCH(O$1,'4_number_of_transport'!$1:$1,0))</f>
        <v>27468</v>
      </c>
      <c r="P120">
        <f>INDEX('2_land_use'!$1:$343,MATCH($A120,'2_land_use'!$A:$A,0),MATCH(P$1,'2_land_use'!$1:$1,0))</f>
        <v>189.96621279943272</v>
      </c>
      <c r="Q120">
        <f>INDEX('2_land_use'!$1:$343,MATCH($A120,'2_land_use'!$A:$A,0),MATCH(Q$1,'2_land_use'!$1:$1,0))</f>
        <v>0</v>
      </c>
      <c r="R120">
        <f>INDEX('6_roof_surface'!$1:$343,MATCH($A120,'6_roof_surface'!$A:$A,0),MATCH(R$1,'6_roof_surface'!$1:$1,0))</f>
        <v>2.2902719999999999</v>
      </c>
      <c r="S120">
        <f>INDEX('6_roof_surface'!$1:$343,MATCH($A120,'6_roof_surface'!$A:$A,0),MATCH(S$1,'6_roof_surface'!$1:$1,0))</f>
        <v>2.3601809999999999</v>
      </c>
    </row>
    <row r="121" spans="1:19" x14ac:dyDescent="0.2">
      <c r="A121" t="s">
        <v>121</v>
      </c>
      <c r="B121" t="str">
        <f>INDEX(CBS_gemeenten_alfabetisch_2023!$B:$B,MATCH($A121,CBS_gemeenten_alfabetisch_2023!$A:$A,0))</f>
        <v>Heerlen</v>
      </c>
      <c r="C121">
        <f>INDEX('5_train_share_nl'!$1:$343,MATCH($A121,'5_train_share_nl'!$A:$A,0),MATCH(C$1,'5_train_share_nl'!$1:$1,0))</f>
        <v>1.0774594764758642E-3</v>
      </c>
      <c r="D121">
        <f>INDEX('3_has_tram_metro'!$1:$343,MATCH($A121,'3_has_tram_metro'!$A:$A,0),MATCH(D$1,'3_has_tram_metro'!$1:$1,0))</f>
        <v>0</v>
      </c>
      <c r="E121">
        <f>INDEX('1_buildings_total'!$1:$343,MATCH($A121,'1_buildings_total'!$A:$A,0),MATCH(E$1,'1_buildings_total'!$1:$1,0))</f>
        <v>6635.5543846153878</v>
      </c>
      <c r="F121">
        <f>INDEX('2_land_use'!$1:$343,MATCH($A121,'2_land_use'!$A:$A,0),MATCH(F$1,'2_land_use'!$1:$1,0))</f>
        <v>7.8080097987348935</v>
      </c>
      <c r="G121">
        <f>INDEX('4_number_of_transport'!$1:$343,MATCH($A121,'4_number_of_transport'!$A:$A,0),MATCH(G$1,'4_number_of_transport'!$1:$1,0))</f>
        <v>3225</v>
      </c>
      <c r="H121">
        <f>INDEX('4_number_of_transport'!$1:$343,MATCH($A121,'4_number_of_transport'!$A:$A,0),MATCH(H$1,'4_number_of_transport'!$1:$1,0))</f>
        <v>248</v>
      </c>
      <c r="I121">
        <f>INDEX('4_number_of_transport'!$1:$343,MATCH($A121,'4_number_of_transport'!$A:$A,0),MATCH(I$1,'4_number_of_transport'!$1:$1,0))</f>
        <v>8</v>
      </c>
      <c r="J121">
        <f>INDEX('2_land_use'!$1:$343,MATCH($A121,'2_land_use'!$A:$A,0),MATCH(J$1,'2_land_use'!$1:$1,0))</f>
        <v>0</v>
      </c>
      <c r="K121">
        <f>INDEX('2_land_use'!$1:$343,MATCH($A121,'2_land_use'!$A:$A,0),MATCH(K$1,'2_land_use'!$1:$1,0))</f>
        <v>3.5006483735933598E-4</v>
      </c>
      <c r="L121">
        <f>INDEX('7_biomass'!$1:$343,MATCH($A121,'7_biomass'!$A:$A,0),MATCH(L$1,'7_biomass'!$1:$1,0))</f>
        <v>0.16056318282420964</v>
      </c>
      <c r="M121">
        <f>INDEX('7_biomass'!$1:$343,MATCH($A121,'7_biomass'!$A:$A,0),MATCH(M$1,'7_biomass'!$1:$1,0))</f>
        <v>0.25856199499997051</v>
      </c>
      <c r="N121">
        <f>INDEX('7_biomass'!$1:$343,MATCH($A121,'7_biomass'!$A:$A,0),MATCH(N$1,'7_biomass'!$1:$1,0))</f>
        <v>5.2755896353945973E-2</v>
      </c>
      <c r="O121">
        <f>INDEX('4_number_of_transport'!$1:$343,MATCH($A121,'4_number_of_transport'!$A:$A,0),MATCH(O$1,'4_number_of_transport'!$1:$1,0))</f>
        <v>45757</v>
      </c>
      <c r="P121">
        <f>INDEX('2_land_use'!$1:$343,MATCH($A121,'2_land_use'!$A:$A,0),MATCH(P$1,'2_land_use'!$1:$1,0))</f>
        <v>44.906352551259531</v>
      </c>
      <c r="Q121">
        <f>INDEX('2_land_use'!$1:$343,MATCH($A121,'2_land_use'!$A:$A,0),MATCH(Q$1,'2_land_use'!$1:$1,0))</f>
        <v>0</v>
      </c>
      <c r="R121">
        <f>INDEX('6_roof_surface'!$1:$343,MATCH($A121,'6_roof_surface'!$A:$A,0),MATCH(R$1,'6_roof_surface'!$1:$1,0))</f>
        <v>2.74654</v>
      </c>
      <c r="S121">
        <f>INDEX('6_roof_surface'!$1:$343,MATCH($A121,'6_roof_surface'!$A:$A,0),MATCH(S$1,'6_roof_surface'!$1:$1,0))</f>
        <v>2.5264630000000001</v>
      </c>
    </row>
    <row r="122" spans="1:19" x14ac:dyDescent="0.2">
      <c r="A122" t="s">
        <v>122</v>
      </c>
      <c r="B122" t="str">
        <f>INDEX(CBS_gemeenten_alfabetisch_2023!$B:$B,MATCH($A122,CBS_gemeenten_alfabetisch_2023!$A:$A,0))</f>
        <v>Heeze-Leende</v>
      </c>
      <c r="C122">
        <f>INDEX('5_train_share_nl'!$1:$343,MATCH($A122,'5_train_share_nl'!$A:$A,0),MATCH(C$1,'5_train_share_nl'!$1:$1,0))</f>
        <v>1.6183671004619097E-3</v>
      </c>
      <c r="D122">
        <f>INDEX('3_has_tram_metro'!$1:$343,MATCH($A122,'3_has_tram_metro'!$A:$A,0),MATCH(D$1,'3_has_tram_metro'!$1:$1,0))</f>
        <v>0</v>
      </c>
      <c r="E122">
        <f>INDEX('1_buildings_total'!$1:$343,MATCH($A122,'1_buildings_total'!$A:$A,0),MATCH(E$1,'1_buildings_total'!$1:$1,0))</f>
        <v>1744.8271538461538</v>
      </c>
      <c r="F122">
        <f>INDEX('2_land_use'!$1:$343,MATCH($A122,'2_land_use'!$A:$A,0),MATCH(F$1,'2_land_use'!$1:$1,0))</f>
        <v>44.360953184083982</v>
      </c>
      <c r="G122">
        <f>INDEX('4_number_of_transport'!$1:$343,MATCH($A122,'4_number_of_transport'!$A:$A,0),MATCH(G$1,'4_number_of_transport'!$1:$1,0))</f>
        <v>1169</v>
      </c>
      <c r="H122">
        <f>INDEX('4_number_of_transport'!$1:$343,MATCH($A122,'4_number_of_transport'!$A:$A,0),MATCH(H$1,'4_number_of_transport'!$1:$1,0))</f>
        <v>58</v>
      </c>
      <c r="I122">
        <f>INDEX('4_number_of_transport'!$1:$343,MATCH($A122,'4_number_of_transport'!$A:$A,0),MATCH(I$1,'4_number_of_transport'!$1:$1,0))</f>
        <v>3</v>
      </c>
      <c r="J122">
        <f>INDEX('2_land_use'!$1:$343,MATCH($A122,'2_land_use'!$A:$A,0),MATCH(J$1,'2_land_use'!$1:$1,0))</f>
        <v>0</v>
      </c>
      <c r="K122">
        <f>INDEX('2_land_use'!$1:$343,MATCH($A122,'2_land_use'!$A:$A,0),MATCH(K$1,'2_land_use'!$1:$1,0))</f>
        <v>1.9888819637505608E-3</v>
      </c>
      <c r="L122">
        <f>INDEX('7_biomass'!$1:$343,MATCH($A122,'7_biomass'!$A:$A,0),MATCH(L$1,'7_biomass'!$1:$1,0))</f>
        <v>0.20642522168391603</v>
      </c>
      <c r="M122">
        <f>INDEX('7_biomass'!$1:$343,MATCH($A122,'7_biomass'!$A:$A,0),MATCH(M$1,'7_biomass'!$1:$1,0))</f>
        <v>0.12796684335850142</v>
      </c>
      <c r="N122">
        <f>INDEX('7_biomass'!$1:$343,MATCH($A122,'7_biomass'!$A:$A,0),MATCH(N$1,'7_biomass'!$1:$1,0))</f>
        <v>9.6991331467016027E-3</v>
      </c>
      <c r="O122">
        <f>INDEX('4_number_of_transport'!$1:$343,MATCH($A122,'4_number_of_transport'!$A:$A,0),MATCH(O$1,'4_number_of_transport'!$1:$1,0))</f>
        <v>9702</v>
      </c>
      <c r="P122">
        <f>INDEX('2_land_use'!$1:$343,MATCH($A122,'2_land_use'!$A:$A,0),MATCH(P$1,'2_land_use'!$1:$1,0))</f>
        <v>103.9230460680202</v>
      </c>
      <c r="Q122">
        <f>INDEX('2_land_use'!$1:$343,MATCH($A122,'2_land_use'!$A:$A,0),MATCH(Q$1,'2_land_use'!$1:$1,0))</f>
        <v>0</v>
      </c>
      <c r="R122">
        <f>INDEX('6_roof_surface'!$1:$343,MATCH($A122,'6_roof_surface'!$A:$A,0),MATCH(R$1,'6_roof_surface'!$1:$1,0))</f>
        <v>0.81258799999999998</v>
      </c>
      <c r="S122">
        <f>INDEX('6_roof_surface'!$1:$343,MATCH($A122,'6_roof_surface'!$A:$A,0),MATCH(S$1,'6_roof_surface'!$1:$1,0))</f>
        <v>0.97178299999999995</v>
      </c>
    </row>
    <row r="123" spans="1:19" x14ac:dyDescent="0.2">
      <c r="A123" t="s">
        <v>123</v>
      </c>
      <c r="B123" t="str">
        <f>INDEX(CBS_gemeenten_alfabetisch_2023!$B:$B,MATCH($A123,CBS_gemeenten_alfabetisch_2023!$A:$A,0))</f>
        <v>Heiloo</v>
      </c>
      <c r="C123">
        <f>INDEX('5_train_share_nl'!$1:$343,MATCH($A123,'5_train_share_nl'!$A:$A,0),MATCH(C$1,'5_train_share_nl'!$1:$1,0))</f>
        <v>2.8074927189319649E-4</v>
      </c>
      <c r="D123">
        <f>INDEX('3_has_tram_metro'!$1:$343,MATCH($A123,'3_has_tram_metro'!$A:$A,0),MATCH(D$1,'3_has_tram_metro'!$1:$1,0))</f>
        <v>0</v>
      </c>
      <c r="E123">
        <f>INDEX('1_buildings_total'!$1:$343,MATCH($A123,'1_buildings_total'!$A:$A,0),MATCH(E$1,'1_buildings_total'!$1:$1,0))</f>
        <v>1213.5378461538457</v>
      </c>
      <c r="F123">
        <f>INDEX('2_land_use'!$1:$343,MATCH($A123,'2_land_use'!$A:$A,0),MATCH(F$1,'2_land_use'!$1:$1,0))</f>
        <v>9.5512160500175654</v>
      </c>
      <c r="G123">
        <f>INDEX('4_number_of_transport'!$1:$343,MATCH($A123,'4_number_of_transport'!$A:$A,0),MATCH(G$1,'4_number_of_transport'!$1:$1,0))</f>
        <v>881</v>
      </c>
      <c r="H123">
        <f>INDEX('4_number_of_transport'!$1:$343,MATCH($A123,'4_number_of_transport'!$A:$A,0),MATCH(H$1,'4_number_of_transport'!$1:$1,0))</f>
        <v>47</v>
      </c>
      <c r="I123">
        <f>INDEX('4_number_of_transport'!$1:$343,MATCH($A123,'4_number_of_transport'!$A:$A,0),MATCH(I$1,'4_number_of_transport'!$1:$1,0))</f>
        <v>1</v>
      </c>
      <c r="J123">
        <f>INDEX('2_land_use'!$1:$343,MATCH($A123,'2_land_use'!$A:$A,0),MATCH(J$1,'2_land_use'!$1:$1,0))</f>
        <v>3.0222916374783636E-4</v>
      </c>
      <c r="K123">
        <f>INDEX('2_land_use'!$1:$343,MATCH($A123,'2_land_use'!$A:$A,0),MATCH(K$1,'2_land_use'!$1:$1,0))</f>
        <v>4.2821986387299644E-4</v>
      </c>
      <c r="L123">
        <f>INDEX('7_biomass'!$1:$343,MATCH($A123,'7_biomass'!$A:$A,0),MATCH(L$1,'7_biomass'!$1:$1,0))</f>
        <v>5.4586764786048153E-2</v>
      </c>
      <c r="M123">
        <f>INDEX('7_biomass'!$1:$343,MATCH($A123,'7_biomass'!$A:$A,0),MATCH(M$1,'7_biomass'!$1:$1,0))</f>
        <v>6.3384461591559388E-2</v>
      </c>
      <c r="N123">
        <f>INDEX('7_biomass'!$1:$343,MATCH($A123,'7_biomass'!$A:$A,0),MATCH(N$1,'7_biomass'!$1:$1,0))</f>
        <v>1.4255854432110146E-2</v>
      </c>
      <c r="O123">
        <f>INDEX('4_number_of_transport'!$1:$343,MATCH($A123,'4_number_of_transport'!$A:$A,0),MATCH(O$1,'4_number_of_transport'!$1:$1,0))</f>
        <v>12107</v>
      </c>
      <c r="P123">
        <f>INDEX('2_land_use'!$1:$343,MATCH($A123,'2_land_use'!$A:$A,0),MATCH(P$1,'2_land_use'!$1:$1,0))</f>
        <v>18.705400839253159</v>
      </c>
      <c r="Q123">
        <f>INDEX('2_land_use'!$1:$343,MATCH($A123,'2_land_use'!$A:$A,0),MATCH(Q$1,'2_land_use'!$1:$1,0))</f>
        <v>0</v>
      </c>
      <c r="R123">
        <f>INDEX('6_roof_surface'!$1:$343,MATCH($A123,'6_roof_surface'!$A:$A,0),MATCH(R$1,'6_roof_surface'!$1:$1,0))</f>
        <v>0.808728</v>
      </c>
      <c r="S123">
        <f>INDEX('6_roof_surface'!$1:$343,MATCH($A123,'6_roof_surface'!$A:$A,0),MATCH(S$1,'6_roof_surface'!$1:$1,0))</f>
        <v>0.47938500000000001</v>
      </c>
    </row>
    <row r="124" spans="1:19" x14ac:dyDescent="0.2">
      <c r="A124" t="s">
        <v>124</v>
      </c>
      <c r="B124" t="str">
        <f>INDEX(CBS_gemeenten_alfabetisch_2023!$B:$B,MATCH($A124,CBS_gemeenten_alfabetisch_2023!$A:$A,0))</f>
        <v>Den Helder</v>
      </c>
      <c r="C124">
        <f>INDEX('5_train_share_nl'!$1:$343,MATCH($A124,'5_train_share_nl'!$A:$A,0),MATCH(C$1,'5_train_share_nl'!$1:$1,0))</f>
        <v>1.9181233752477347E-3</v>
      </c>
      <c r="D124">
        <f>INDEX('3_has_tram_metro'!$1:$343,MATCH($A124,'3_has_tram_metro'!$A:$A,0),MATCH(D$1,'3_has_tram_metro'!$1:$1,0))</f>
        <v>0</v>
      </c>
      <c r="E124">
        <f>INDEX('1_buildings_total'!$1:$343,MATCH($A124,'1_buildings_total'!$A:$A,0),MATCH(E$1,'1_buildings_total'!$1:$1,0))</f>
        <v>5100.2568461538467</v>
      </c>
      <c r="F124">
        <f>INDEX('2_land_use'!$1:$343,MATCH($A124,'2_land_use'!$A:$A,0),MATCH(F$1,'2_land_use'!$1:$1,0))</f>
        <v>17.20185698426717</v>
      </c>
      <c r="G124">
        <f>INDEX('4_number_of_transport'!$1:$343,MATCH($A124,'4_number_of_transport'!$A:$A,0),MATCH(G$1,'4_number_of_transport'!$1:$1,0))</f>
        <v>2107</v>
      </c>
      <c r="H124">
        <f>INDEX('4_number_of_transport'!$1:$343,MATCH($A124,'4_number_of_transport'!$A:$A,0),MATCH(H$1,'4_number_of_transport'!$1:$1,0))</f>
        <v>67</v>
      </c>
      <c r="I124">
        <f>INDEX('4_number_of_transport'!$1:$343,MATCH($A124,'4_number_of_transport'!$A:$A,0),MATCH(I$1,'4_number_of_transport'!$1:$1,0))</f>
        <v>10</v>
      </c>
      <c r="J124">
        <f>INDEX('2_land_use'!$1:$343,MATCH($A124,'2_land_use'!$A:$A,0),MATCH(J$1,'2_land_use'!$1:$1,0))</f>
        <v>0</v>
      </c>
      <c r="K124">
        <f>INDEX('2_land_use'!$1:$343,MATCH($A124,'2_land_use'!$A:$A,0),MATCH(K$1,'2_land_use'!$1:$1,0))</f>
        <v>7.7122921495971128E-4</v>
      </c>
      <c r="L124">
        <f>INDEX('7_biomass'!$1:$343,MATCH($A124,'7_biomass'!$A:$A,0),MATCH(L$1,'7_biomass'!$1:$1,0))</f>
        <v>0.13842781423878434</v>
      </c>
      <c r="M124">
        <f>INDEX('7_biomass'!$1:$343,MATCH($A124,'7_biomass'!$A:$A,0),MATCH(M$1,'7_biomass'!$1:$1,0))</f>
        <v>0.15448853912489946</v>
      </c>
      <c r="N124">
        <f>INDEX('7_biomass'!$1:$343,MATCH($A124,'7_biomass'!$A:$A,0),MATCH(N$1,'7_biomass'!$1:$1,0))</f>
        <v>3.3782924047180904E-2</v>
      </c>
      <c r="O124">
        <f>INDEX('4_number_of_transport'!$1:$343,MATCH($A124,'4_number_of_transport'!$A:$A,0),MATCH(O$1,'4_number_of_transport'!$1:$1,0))</f>
        <v>26441</v>
      </c>
      <c r="P124">
        <f>INDEX('2_land_use'!$1:$343,MATCH($A124,'2_land_use'!$A:$A,0),MATCH(P$1,'2_land_use'!$1:$1,0))</f>
        <v>45.10239665611639</v>
      </c>
      <c r="Q124">
        <f>INDEX('2_land_use'!$1:$343,MATCH($A124,'2_land_use'!$A:$A,0),MATCH(Q$1,'2_land_use'!$1:$1,0))</f>
        <v>131.45155982945974</v>
      </c>
      <c r="R124">
        <f>INDEX('6_roof_surface'!$1:$343,MATCH($A124,'6_roof_surface'!$A:$A,0),MATCH(R$1,'6_roof_surface'!$1:$1,0))</f>
        <v>1.734834</v>
      </c>
      <c r="S124">
        <f>INDEX('6_roof_surface'!$1:$343,MATCH($A124,'6_roof_surface'!$A:$A,0),MATCH(S$1,'6_roof_surface'!$1:$1,0))</f>
        <v>1.62707</v>
      </c>
    </row>
    <row r="125" spans="1:19" x14ac:dyDescent="0.2">
      <c r="A125" t="s">
        <v>125</v>
      </c>
      <c r="B125" t="str">
        <f>INDEX(CBS_gemeenten_alfabetisch_2023!$B:$B,MATCH($A125,CBS_gemeenten_alfabetisch_2023!$A:$A,0))</f>
        <v>Hellendoorn</v>
      </c>
      <c r="C125">
        <f>INDEX('5_train_share_nl'!$1:$343,MATCH($A125,'5_train_share_nl'!$A:$A,0),MATCH(C$1,'5_train_share_nl'!$1:$1,0))</f>
        <v>1.2334752918861877E-3</v>
      </c>
      <c r="D125">
        <f>INDEX('3_has_tram_metro'!$1:$343,MATCH($A125,'3_has_tram_metro'!$A:$A,0),MATCH(D$1,'3_has_tram_metro'!$1:$1,0))</f>
        <v>0</v>
      </c>
      <c r="E125">
        <f>INDEX('1_buildings_total'!$1:$343,MATCH($A125,'1_buildings_total'!$A:$A,0),MATCH(E$1,'1_buildings_total'!$1:$1,0))</f>
        <v>3387.5062307692315</v>
      </c>
      <c r="F125">
        <f>INDEX('2_land_use'!$1:$343,MATCH($A125,'2_land_use'!$A:$A,0),MATCH(F$1,'2_land_use'!$1:$1,0))</f>
        <v>81.584624491643751</v>
      </c>
      <c r="G125">
        <f>INDEX('4_number_of_transport'!$1:$343,MATCH($A125,'4_number_of_transport'!$A:$A,0),MATCH(G$1,'4_number_of_transport'!$1:$1,0))</f>
        <v>2174</v>
      </c>
      <c r="H125">
        <f>INDEX('4_number_of_transport'!$1:$343,MATCH($A125,'4_number_of_transport'!$A:$A,0),MATCH(H$1,'4_number_of_transport'!$1:$1,0))</f>
        <v>105</v>
      </c>
      <c r="I125">
        <f>INDEX('4_number_of_transport'!$1:$343,MATCH($A125,'4_number_of_transport'!$A:$A,0),MATCH(I$1,'4_number_of_transport'!$1:$1,0))</f>
        <v>8</v>
      </c>
      <c r="J125">
        <f>INDEX('2_land_use'!$1:$343,MATCH($A125,'2_land_use'!$A:$A,0),MATCH(J$1,'2_land_use'!$1:$1,0))</f>
        <v>0</v>
      </c>
      <c r="K125">
        <f>INDEX('2_land_use'!$1:$343,MATCH($A125,'2_land_use'!$A:$A,0),MATCH(K$1,'2_land_use'!$1:$1,0))</f>
        <v>3.6577705509946005E-3</v>
      </c>
      <c r="L125">
        <f>INDEX('7_biomass'!$1:$343,MATCH($A125,'7_biomass'!$A:$A,0),MATCH(L$1,'7_biomass'!$1:$1,0))</f>
        <v>0.30083778731791644</v>
      </c>
      <c r="M125">
        <f>INDEX('7_biomass'!$1:$343,MATCH($A125,'7_biomass'!$A:$A,0),MATCH(M$1,'7_biomass'!$1:$1,0))</f>
        <v>0.17883577388523525</v>
      </c>
      <c r="N125">
        <f>INDEX('7_biomass'!$1:$343,MATCH($A125,'7_biomass'!$A:$A,0),MATCH(N$1,'7_biomass'!$1:$1,0))</f>
        <v>2.1755610105054557E-2</v>
      </c>
      <c r="O125">
        <f>INDEX('4_number_of_transport'!$1:$343,MATCH($A125,'4_number_of_transport'!$A:$A,0),MATCH(O$1,'4_number_of_transport'!$1:$1,0))</f>
        <v>20609</v>
      </c>
      <c r="P125">
        <f>INDEX('2_land_use'!$1:$343,MATCH($A125,'2_land_use'!$A:$A,0),MATCH(P$1,'2_land_use'!$1:$1,0))</f>
        <v>137.93113188372433</v>
      </c>
      <c r="Q125">
        <f>INDEX('2_land_use'!$1:$343,MATCH($A125,'2_land_use'!$A:$A,0),MATCH(Q$1,'2_land_use'!$1:$1,0))</f>
        <v>0</v>
      </c>
      <c r="R125">
        <f>INDEX('6_roof_surface'!$1:$343,MATCH($A125,'6_roof_surface'!$A:$A,0),MATCH(R$1,'6_roof_surface'!$1:$1,0))</f>
        <v>1.3979029999999999</v>
      </c>
      <c r="S125">
        <f>INDEX('6_roof_surface'!$1:$343,MATCH($A125,'6_roof_surface'!$A:$A,0),MATCH(S$1,'6_roof_surface'!$1:$1,0))</f>
        <v>1.902855</v>
      </c>
    </row>
    <row r="126" spans="1:19" x14ac:dyDescent="0.2">
      <c r="A126" t="s">
        <v>126</v>
      </c>
      <c r="B126" t="str">
        <f>INDEX(CBS_gemeenten_alfabetisch_2023!$B:$B,MATCH($A126,CBS_gemeenten_alfabetisch_2023!$A:$A,0))</f>
        <v>Helmond</v>
      </c>
      <c r="C126">
        <f>INDEX('5_train_share_nl'!$1:$343,MATCH($A126,'5_train_share_nl'!$A:$A,0),MATCH(C$1,'5_train_share_nl'!$1:$1,0))</f>
        <v>1.6999388212094394E-3</v>
      </c>
      <c r="D126">
        <f>INDEX('3_has_tram_metro'!$1:$343,MATCH($A126,'3_has_tram_metro'!$A:$A,0),MATCH(D$1,'3_has_tram_metro'!$1:$1,0))</f>
        <v>0</v>
      </c>
      <c r="E126">
        <f>INDEX('1_buildings_total'!$1:$343,MATCH($A126,'1_buildings_total'!$A:$A,0),MATCH(E$1,'1_buildings_total'!$1:$1,0))</f>
        <v>4925.3214615384632</v>
      </c>
      <c r="F126">
        <f>INDEX('2_land_use'!$1:$343,MATCH($A126,'2_land_use'!$A:$A,0),MATCH(F$1,'2_land_use'!$1:$1,0))</f>
        <v>14.93424421215655</v>
      </c>
      <c r="G126">
        <f>INDEX('4_number_of_transport'!$1:$343,MATCH($A126,'4_number_of_transport'!$A:$A,0),MATCH(G$1,'4_number_of_transport'!$1:$1,0))</f>
        <v>4308</v>
      </c>
      <c r="H126">
        <f>INDEX('4_number_of_transport'!$1:$343,MATCH($A126,'4_number_of_transport'!$A:$A,0),MATCH(H$1,'4_number_of_transport'!$1:$1,0))</f>
        <v>215</v>
      </c>
      <c r="I126">
        <f>INDEX('4_number_of_transport'!$1:$343,MATCH($A126,'4_number_of_transport'!$A:$A,0),MATCH(I$1,'4_number_of_transport'!$1:$1,0))</f>
        <v>13</v>
      </c>
      <c r="J126">
        <f>INDEX('2_land_use'!$1:$343,MATCH($A126,'2_land_use'!$A:$A,0),MATCH(J$1,'2_land_use'!$1:$1,0))</f>
        <v>1.9965504122548424E-3</v>
      </c>
      <c r="K126">
        <f>INDEX('2_land_use'!$1:$343,MATCH($A126,'2_land_use'!$A:$A,0),MATCH(K$1,'2_land_use'!$1:$1,0))</f>
        <v>6.6956291116082567E-4</v>
      </c>
      <c r="L126">
        <f>INDEX('7_biomass'!$1:$343,MATCH($A126,'7_biomass'!$A:$A,0),MATCH(L$1,'7_biomass'!$1:$1,0))</f>
        <v>0.19809098703168632</v>
      </c>
      <c r="M126">
        <f>INDEX('7_biomass'!$1:$343,MATCH($A126,'7_biomass'!$A:$A,0),MATCH(M$1,'7_biomass'!$1:$1,0))</f>
        <v>0.25259016790557132</v>
      </c>
      <c r="N126">
        <f>INDEX('7_biomass'!$1:$343,MATCH($A126,'7_biomass'!$A:$A,0),MATCH(N$1,'7_biomass'!$1:$1,0))</f>
        <v>5.5606581190097558E-2</v>
      </c>
      <c r="O126">
        <f>INDEX('4_number_of_transport'!$1:$343,MATCH($A126,'4_number_of_transport'!$A:$A,0),MATCH(O$1,'4_number_of_transport'!$1:$1,0))</f>
        <v>46215</v>
      </c>
      <c r="P126">
        <f>INDEX('2_land_use'!$1:$343,MATCH($A126,'2_land_use'!$A:$A,0),MATCH(P$1,'2_land_use'!$1:$1,0))</f>
        <v>53.166478627600107</v>
      </c>
      <c r="Q126">
        <f>INDEX('2_land_use'!$1:$343,MATCH($A126,'2_land_use'!$A:$A,0),MATCH(Q$1,'2_land_use'!$1:$1,0))</f>
        <v>0</v>
      </c>
      <c r="R126">
        <f>INDEX('6_roof_surface'!$1:$343,MATCH($A126,'6_roof_surface'!$A:$A,0),MATCH(R$1,'6_roof_surface'!$1:$1,0))</f>
        <v>2.8999619999999999</v>
      </c>
      <c r="S126">
        <f>INDEX('6_roof_surface'!$1:$343,MATCH($A126,'6_roof_surface'!$A:$A,0),MATCH(S$1,'6_roof_surface'!$1:$1,0))</f>
        <v>3.3496489999999999</v>
      </c>
    </row>
    <row r="127" spans="1:19" x14ac:dyDescent="0.2">
      <c r="A127" t="s">
        <v>127</v>
      </c>
      <c r="B127" t="str">
        <f>INDEX(CBS_gemeenten_alfabetisch_2023!$B:$B,MATCH($A127,CBS_gemeenten_alfabetisch_2023!$A:$A,0))</f>
        <v>Hendrik-Ido-Ambacht</v>
      </c>
      <c r="C127">
        <f>INDEX('5_train_share_nl'!$1:$343,MATCH($A127,'5_train_share_nl'!$A:$A,0),MATCH(C$1,'5_train_share_nl'!$1:$1,0))</f>
        <v>0</v>
      </c>
      <c r="D127">
        <f>INDEX('3_has_tram_metro'!$1:$343,MATCH($A127,'3_has_tram_metro'!$A:$A,0),MATCH(D$1,'3_has_tram_metro'!$1:$1,0))</f>
        <v>0</v>
      </c>
      <c r="E127">
        <f>INDEX('1_buildings_total'!$1:$343,MATCH($A127,'1_buildings_total'!$A:$A,0),MATCH(E$1,'1_buildings_total'!$1:$1,0))</f>
        <v>885.56338461538462</v>
      </c>
      <c r="F127">
        <f>INDEX('2_land_use'!$1:$343,MATCH($A127,'2_land_use'!$A:$A,0),MATCH(F$1,'2_land_use'!$1:$1,0))</f>
        <v>2.3477819112961953</v>
      </c>
      <c r="G127">
        <f>INDEX('4_number_of_transport'!$1:$343,MATCH($A127,'4_number_of_transport'!$A:$A,0),MATCH(G$1,'4_number_of_transport'!$1:$1,0))</f>
        <v>1047</v>
      </c>
      <c r="H127">
        <f>INDEX('4_number_of_transport'!$1:$343,MATCH($A127,'4_number_of_transport'!$A:$A,0),MATCH(H$1,'4_number_of_transport'!$1:$1,0))</f>
        <v>25</v>
      </c>
      <c r="I127">
        <f>INDEX('4_number_of_transport'!$1:$343,MATCH($A127,'4_number_of_transport'!$A:$A,0),MATCH(I$1,'4_number_of_transport'!$1:$1,0))</f>
        <v>0</v>
      </c>
      <c r="J127">
        <f>INDEX('2_land_use'!$1:$343,MATCH($A127,'2_land_use'!$A:$A,0),MATCH(J$1,'2_land_use'!$1:$1,0))</f>
        <v>1.7901130134020716E-3</v>
      </c>
      <c r="K127">
        <f>INDEX('2_land_use'!$1:$343,MATCH($A127,'2_land_use'!$A:$A,0),MATCH(K$1,'2_land_use'!$1:$1,0))</f>
        <v>1.0526061238630355E-4</v>
      </c>
      <c r="L127">
        <f>INDEX('7_biomass'!$1:$343,MATCH($A127,'7_biomass'!$A:$A,0),MATCH(L$1,'7_biomass'!$1:$1,0))</f>
        <v>5.3183467442854467E-2</v>
      </c>
      <c r="M127">
        <f>INDEX('7_biomass'!$1:$343,MATCH($A127,'7_biomass'!$A:$A,0),MATCH(M$1,'7_biomass'!$1:$1,0))</f>
        <v>7.8222006385551698E-2</v>
      </c>
      <c r="N127">
        <f>INDEX('7_biomass'!$1:$343,MATCH($A127,'7_biomass'!$A:$A,0),MATCH(N$1,'7_biomass'!$1:$1,0))</f>
        <v>1.8813790843194803E-2</v>
      </c>
      <c r="O127">
        <f>INDEX('4_number_of_transport'!$1:$343,MATCH($A127,'4_number_of_transport'!$A:$A,0),MATCH(O$1,'4_number_of_transport'!$1:$1,0))</f>
        <v>15048</v>
      </c>
      <c r="P127">
        <f>INDEX('2_land_use'!$1:$343,MATCH($A127,'2_land_use'!$A:$A,0),MATCH(P$1,'2_land_use'!$1:$1,0))</f>
        <v>10.186659609621266</v>
      </c>
      <c r="Q127">
        <f>INDEX('2_land_use'!$1:$343,MATCH($A127,'2_land_use'!$A:$A,0),MATCH(Q$1,'2_land_use'!$1:$1,0))</f>
        <v>0</v>
      </c>
      <c r="R127">
        <f>INDEX('6_roof_surface'!$1:$343,MATCH($A127,'6_roof_surface'!$A:$A,0),MATCH(R$1,'6_roof_surface'!$1:$1,0))</f>
        <v>0.72286899999999998</v>
      </c>
      <c r="S127">
        <f>INDEX('6_roof_surface'!$1:$343,MATCH($A127,'6_roof_surface'!$A:$A,0),MATCH(S$1,'6_roof_surface'!$1:$1,0))</f>
        <v>0.65250399999999997</v>
      </c>
    </row>
    <row r="128" spans="1:19" x14ac:dyDescent="0.2">
      <c r="A128" t="s">
        <v>128</v>
      </c>
      <c r="B128" t="str">
        <f>INDEX(CBS_gemeenten_alfabetisch_2023!$B:$B,MATCH($A128,CBS_gemeenten_alfabetisch_2023!$A:$A,0))</f>
        <v>Hengelo</v>
      </c>
      <c r="C128">
        <f>INDEX('5_train_share_nl'!$1:$343,MATCH($A128,'5_train_share_nl'!$A:$A,0),MATCH(C$1,'5_train_share_nl'!$1:$1,0))</f>
        <v>2.4883334620265821E-2</v>
      </c>
      <c r="D128">
        <f>INDEX('3_has_tram_metro'!$1:$343,MATCH($A128,'3_has_tram_metro'!$A:$A,0),MATCH(D$1,'3_has_tram_metro'!$1:$1,0))</f>
        <v>0</v>
      </c>
      <c r="E128">
        <f>INDEX('1_buildings_total'!$1:$343,MATCH($A128,'1_buildings_total'!$A:$A,0),MATCH(E$1,'1_buildings_total'!$1:$1,0))</f>
        <v>5438.824461538461</v>
      </c>
      <c r="F128">
        <f>INDEX('2_land_use'!$1:$343,MATCH($A128,'2_land_use'!$A:$A,0),MATCH(F$1,'2_land_use'!$1:$1,0))</f>
        <v>25.266086644476403</v>
      </c>
      <c r="G128">
        <f>INDEX('4_number_of_transport'!$1:$343,MATCH($A128,'4_number_of_transport'!$A:$A,0),MATCH(G$1,'4_number_of_transport'!$1:$1,0))</f>
        <v>4390</v>
      </c>
      <c r="H128">
        <f>INDEX('4_number_of_transport'!$1:$343,MATCH($A128,'4_number_of_transport'!$A:$A,0),MATCH(H$1,'4_number_of_transport'!$1:$1,0))</f>
        <v>267</v>
      </c>
      <c r="I128">
        <f>INDEX('4_number_of_transport'!$1:$343,MATCH($A128,'4_number_of_transport'!$A:$A,0),MATCH(I$1,'4_number_of_transport'!$1:$1,0))</f>
        <v>9</v>
      </c>
      <c r="J128">
        <f>INDEX('2_land_use'!$1:$343,MATCH($A128,'2_land_use'!$A:$A,0),MATCH(J$1,'2_land_use'!$1:$1,0))</f>
        <v>7.5085423906853118E-5</v>
      </c>
      <c r="K128">
        <f>INDEX('2_land_use'!$1:$343,MATCH($A128,'2_land_use'!$A:$A,0),MATCH(K$1,'2_land_use'!$1:$1,0))</f>
        <v>1.1327814308504853E-3</v>
      </c>
      <c r="L128">
        <f>INDEX('7_biomass'!$1:$343,MATCH($A128,'7_biomass'!$A:$A,0),MATCH(L$1,'7_biomass'!$1:$1,0))</f>
        <v>0.17855317728409237</v>
      </c>
      <c r="M128">
        <f>INDEX('7_biomass'!$1:$343,MATCH($A128,'7_biomass'!$A:$A,0),MATCH(M$1,'7_biomass'!$1:$1,0))</f>
        <v>0.21971202302478593</v>
      </c>
      <c r="N128">
        <f>INDEX('7_biomass'!$1:$343,MATCH($A128,'7_biomass'!$A:$A,0),MATCH(N$1,'7_biomass'!$1:$1,0))</f>
        <v>4.9019992462749018E-2</v>
      </c>
      <c r="O128">
        <f>INDEX('4_number_of_transport'!$1:$343,MATCH($A128,'4_number_of_transport'!$A:$A,0),MATCH(O$1,'4_number_of_transport'!$1:$1,0))</f>
        <v>49781</v>
      </c>
      <c r="P128">
        <f>INDEX('2_land_use'!$1:$343,MATCH($A128,'2_land_use'!$A:$A,0),MATCH(P$1,'2_land_use'!$1:$1,0))</f>
        <v>60.841271004611514</v>
      </c>
      <c r="Q128">
        <f>INDEX('2_land_use'!$1:$343,MATCH($A128,'2_land_use'!$A:$A,0),MATCH(Q$1,'2_land_use'!$1:$1,0))</f>
        <v>0</v>
      </c>
      <c r="R128">
        <f>INDEX('6_roof_surface'!$1:$343,MATCH($A128,'6_roof_surface'!$A:$A,0),MATCH(R$1,'6_roof_surface'!$1:$1,0))</f>
        <v>2.6613540000000002</v>
      </c>
      <c r="S128">
        <f>INDEX('6_roof_surface'!$1:$343,MATCH($A128,'6_roof_surface'!$A:$A,0),MATCH(S$1,'6_roof_surface'!$1:$1,0))</f>
        <v>2.6773920000000002</v>
      </c>
    </row>
    <row r="129" spans="1:19" x14ac:dyDescent="0.2">
      <c r="A129" t="s">
        <v>129</v>
      </c>
      <c r="B129" t="str">
        <f>INDEX(CBS_gemeenten_alfabetisch_2023!$B:$B,MATCH($A129,CBS_gemeenten_alfabetisch_2023!$A:$A,0))</f>
        <v>'s-Hertogenbosch</v>
      </c>
      <c r="C129">
        <f>INDEX('5_train_share_nl'!$1:$343,MATCH($A129,'5_train_share_nl'!$A:$A,0),MATCH(C$1,'5_train_share_nl'!$1:$1,0))</f>
        <v>2.0325613718304341E-3</v>
      </c>
      <c r="D129">
        <f>INDEX('3_has_tram_metro'!$1:$343,MATCH($A129,'3_has_tram_metro'!$A:$A,0),MATCH(D$1,'3_has_tram_metro'!$1:$1,0))</f>
        <v>0</v>
      </c>
      <c r="E129">
        <f>INDEX('1_buildings_total'!$1:$343,MATCH($A129,'1_buildings_total'!$A:$A,0),MATCH(E$1,'1_buildings_total'!$1:$1,0))</f>
        <v>10230.297692307693</v>
      </c>
      <c r="F129">
        <f>INDEX('2_land_use'!$1:$343,MATCH($A129,'2_land_use'!$A:$A,0),MATCH(F$1,'2_land_use'!$1:$1,0))</f>
        <v>54.350588042539755</v>
      </c>
      <c r="G129">
        <f>INDEX('4_number_of_transport'!$1:$343,MATCH($A129,'4_number_of_transport'!$A:$A,0),MATCH(G$1,'4_number_of_transport'!$1:$1,0))</f>
        <v>8574</v>
      </c>
      <c r="H129">
        <f>INDEX('4_number_of_transport'!$1:$343,MATCH($A129,'4_number_of_transport'!$A:$A,0),MATCH(H$1,'4_number_of_transport'!$1:$1,0))</f>
        <v>714</v>
      </c>
      <c r="I129">
        <f>INDEX('4_number_of_transport'!$1:$343,MATCH($A129,'4_number_of_transport'!$A:$A,0),MATCH(I$1,'4_number_of_transport'!$1:$1,0))</f>
        <v>7</v>
      </c>
      <c r="J129">
        <f>INDEX('2_land_use'!$1:$343,MATCH($A129,'2_land_use'!$A:$A,0),MATCH(J$1,'2_land_use'!$1:$1,0))</f>
        <v>2.0593934024335262E-4</v>
      </c>
      <c r="K129">
        <f>INDEX('2_land_use'!$1:$343,MATCH($A129,'2_land_use'!$A:$A,0),MATCH(K$1,'2_land_use'!$1:$1,0))</f>
        <v>2.4367579260183188E-3</v>
      </c>
      <c r="L129">
        <f>INDEX('7_biomass'!$1:$343,MATCH($A129,'7_biomass'!$A:$A,0),MATCH(L$1,'7_biomass'!$1:$1,0))</f>
        <v>0.47227760205276254</v>
      </c>
      <c r="M129">
        <f>INDEX('7_biomass'!$1:$343,MATCH($A129,'7_biomass'!$A:$A,0),MATCH(M$1,'7_biomass'!$1:$1,0))</f>
        <v>0.42696321367607964</v>
      </c>
      <c r="N129">
        <f>INDEX('7_biomass'!$1:$343,MATCH($A129,'7_biomass'!$A:$A,0),MATCH(N$1,'7_biomass'!$1:$1,0))</f>
        <v>9.3689227442189965E-2</v>
      </c>
      <c r="O129">
        <f>INDEX('4_number_of_transport'!$1:$343,MATCH($A129,'4_number_of_transport'!$A:$A,0),MATCH(O$1,'4_number_of_transport'!$1:$1,0))</f>
        <v>84703</v>
      </c>
      <c r="P129">
        <f>INDEX('2_land_use'!$1:$343,MATCH($A129,'2_land_use'!$A:$A,0),MATCH(P$1,'2_land_use'!$1:$1,0))</f>
        <v>109.48325302416399</v>
      </c>
      <c r="Q129">
        <f>INDEX('2_land_use'!$1:$343,MATCH($A129,'2_land_use'!$A:$A,0),MATCH(Q$1,'2_land_use'!$1:$1,0))</f>
        <v>0</v>
      </c>
      <c r="R129">
        <f>INDEX('6_roof_surface'!$1:$343,MATCH($A129,'6_roof_surface'!$A:$A,0),MATCH(R$1,'6_roof_surface'!$1:$1,0))</f>
        <v>4.6411930000000003</v>
      </c>
      <c r="S129">
        <f>INDEX('6_roof_surface'!$1:$343,MATCH($A129,'6_roof_surface'!$A:$A,0),MATCH(S$1,'6_roof_surface'!$1:$1,0))</f>
        <v>4.2446020000000004</v>
      </c>
    </row>
    <row r="130" spans="1:19" x14ac:dyDescent="0.2">
      <c r="A130" t="s">
        <v>130</v>
      </c>
      <c r="B130" t="str">
        <f>INDEX(CBS_gemeenten_alfabetisch_2023!$B:$B,MATCH($A130,CBS_gemeenten_alfabetisch_2023!$A:$A,0))</f>
        <v>Heumen</v>
      </c>
      <c r="C130">
        <f>INDEX('5_train_share_nl'!$1:$343,MATCH($A130,'5_train_share_nl'!$A:$A,0),MATCH(C$1,'5_train_share_nl'!$1:$1,0))</f>
        <v>0</v>
      </c>
      <c r="D130">
        <f>INDEX('3_has_tram_metro'!$1:$343,MATCH($A130,'3_has_tram_metro'!$A:$A,0),MATCH(D$1,'3_has_tram_metro'!$1:$1,0))</f>
        <v>0</v>
      </c>
      <c r="E130">
        <f>INDEX('1_buildings_total'!$1:$343,MATCH($A130,'1_buildings_total'!$A:$A,0),MATCH(E$1,'1_buildings_total'!$1:$1,0))</f>
        <v>1056.6260769230771</v>
      </c>
      <c r="F130">
        <f>INDEX('2_land_use'!$1:$343,MATCH($A130,'2_land_use'!$A:$A,0),MATCH(F$1,'2_land_use'!$1:$1,0))</f>
        <v>23.253884326115948</v>
      </c>
      <c r="G130">
        <f>INDEX('4_number_of_transport'!$1:$343,MATCH($A130,'4_number_of_transport'!$A:$A,0),MATCH(G$1,'4_number_of_transport'!$1:$1,0))</f>
        <v>726</v>
      </c>
      <c r="H130">
        <f>INDEX('4_number_of_transport'!$1:$343,MATCH($A130,'4_number_of_transport'!$A:$A,0),MATCH(H$1,'4_number_of_transport'!$1:$1,0))</f>
        <v>43</v>
      </c>
      <c r="I130">
        <f>INDEX('4_number_of_transport'!$1:$343,MATCH($A130,'4_number_of_transport'!$A:$A,0),MATCH(I$1,'4_number_of_transport'!$1:$1,0))</f>
        <v>15</v>
      </c>
      <c r="J130">
        <f>INDEX('2_land_use'!$1:$343,MATCH($A130,'2_land_use'!$A:$A,0),MATCH(J$1,'2_land_use'!$1:$1,0))</f>
        <v>0</v>
      </c>
      <c r="K130">
        <f>INDEX('2_land_use'!$1:$343,MATCH($A130,'2_land_use'!$A:$A,0),MATCH(K$1,'2_land_use'!$1:$1,0))</f>
        <v>1.0425662165426009E-3</v>
      </c>
      <c r="L130">
        <f>INDEX('7_biomass'!$1:$343,MATCH($A130,'7_biomass'!$A:$A,0),MATCH(L$1,'7_biomass'!$1:$1,0))</f>
        <v>8.6056421593908639E-2</v>
      </c>
      <c r="M130">
        <f>INDEX('7_biomass'!$1:$343,MATCH($A130,'7_biomass'!$A:$A,0),MATCH(M$1,'7_biomass'!$1:$1,0))</f>
        <v>5.7017616887987538E-2</v>
      </c>
      <c r="N130">
        <f>INDEX('7_biomass'!$1:$343,MATCH($A130,'7_biomass'!$A:$A,0),MATCH(N$1,'7_biomass'!$1:$1,0))</f>
        <v>1.0016280948166036E-2</v>
      </c>
      <c r="O130">
        <f>INDEX('4_number_of_transport'!$1:$343,MATCH($A130,'4_number_of_transport'!$A:$A,0),MATCH(O$1,'4_number_of_transport'!$1:$1,0))</f>
        <v>8904</v>
      </c>
      <c r="P130">
        <f>INDEX('2_land_use'!$1:$343,MATCH($A130,'2_land_use'!$A:$A,0),MATCH(P$1,'2_land_use'!$1:$1,0))</f>
        <v>39.728603710473436</v>
      </c>
      <c r="Q130">
        <f>INDEX('2_land_use'!$1:$343,MATCH($A130,'2_land_use'!$A:$A,0),MATCH(Q$1,'2_land_use'!$1:$1,0))</f>
        <v>0</v>
      </c>
      <c r="R130">
        <f>INDEX('6_roof_surface'!$1:$343,MATCH($A130,'6_roof_surface'!$A:$A,0),MATCH(R$1,'6_roof_surface'!$1:$1,0))</f>
        <v>0.68394699999999997</v>
      </c>
      <c r="S130">
        <f>INDEX('6_roof_surface'!$1:$343,MATCH($A130,'6_roof_surface'!$A:$A,0),MATCH(S$1,'6_roof_surface'!$1:$1,0))</f>
        <v>0.60572400000000004</v>
      </c>
    </row>
    <row r="131" spans="1:19" x14ac:dyDescent="0.2">
      <c r="A131" t="s">
        <v>131</v>
      </c>
      <c r="B131" t="str">
        <f>INDEX(CBS_gemeenten_alfabetisch_2023!$B:$B,MATCH($A131,CBS_gemeenten_alfabetisch_2023!$A:$A,0))</f>
        <v>Heusden</v>
      </c>
      <c r="C131">
        <f>INDEX('5_train_share_nl'!$1:$343,MATCH($A131,'5_train_share_nl'!$A:$A,0),MATCH(C$1,'5_train_share_nl'!$1:$1,0))</f>
        <v>0</v>
      </c>
      <c r="D131">
        <f>INDEX('3_has_tram_metro'!$1:$343,MATCH($A131,'3_has_tram_metro'!$A:$A,0),MATCH(D$1,'3_has_tram_metro'!$1:$1,0))</f>
        <v>0</v>
      </c>
      <c r="E131">
        <f>INDEX('1_buildings_total'!$1:$343,MATCH($A131,'1_buildings_total'!$A:$A,0),MATCH(E$1,'1_buildings_total'!$1:$1,0))</f>
        <v>3349.8580000000002</v>
      </c>
      <c r="F131">
        <f>INDEX('2_land_use'!$1:$343,MATCH($A131,'2_land_use'!$A:$A,0),MATCH(F$1,'2_land_use'!$1:$1,0))</f>
        <v>46.082515523278644</v>
      </c>
      <c r="G131">
        <f>INDEX('4_number_of_transport'!$1:$343,MATCH($A131,'4_number_of_transport'!$A:$A,0),MATCH(G$1,'4_number_of_transport'!$1:$1,0))</f>
        <v>2861</v>
      </c>
      <c r="H131">
        <f>INDEX('4_number_of_transport'!$1:$343,MATCH($A131,'4_number_of_transport'!$A:$A,0),MATCH(H$1,'4_number_of_transport'!$1:$1,0))</f>
        <v>175</v>
      </c>
      <c r="I131">
        <f>INDEX('4_number_of_transport'!$1:$343,MATCH($A131,'4_number_of_transport'!$A:$A,0),MATCH(I$1,'4_number_of_transport'!$1:$1,0))</f>
        <v>3</v>
      </c>
      <c r="J131">
        <f>INDEX('2_land_use'!$1:$343,MATCH($A131,'2_land_use'!$A:$A,0),MATCH(J$1,'2_land_use'!$1:$1,0))</f>
        <v>6.6810350378554246E-3</v>
      </c>
      <c r="K131">
        <f>INDEX('2_land_use'!$1:$343,MATCH($A131,'2_land_use'!$A:$A,0),MATCH(K$1,'2_land_use'!$1:$1,0))</f>
        <v>2.0660666056514696E-3</v>
      </c>
      <c r="L131">
        <f>INDEX('7_biomass'!$1:$343,MATCH($A131,'7_biomass'!$A:$A,0),MATCH(L$1,'7_biomass'!$1:$1,0))</f>
        <v>0.18127585469922358</v>
      </c>
      <c r="M131">
        <f>INDEX('7_biomass'!$1:$343,MATCH($A131,'7_biomass'!$A:$A,0),MATCH(M$1,'7_biomass'!$1:$1,0))</f>
        <v>0.14777561515695031</v>
      </c>
      <c r="N131">
        <f>INDEX('7_biomass'!$1:$343,MATCH($A131,'7_biomass'!$A:$A,0),MATCH(N$1,'7_biomass'!$1:$1,0))</f>
        <v>2.6814785857534152E-2</v>
      </c>
      <c r="O131">
        <f>INDEX('4_number_of_transport'!$1:$343,MATCH($A131,'4_number_of_transport'!$A:$A,0),MATCH(O$1,'4_number_of_transport'!$1:$1,0))</f>
        <v>25750</v>
      </c>
      <c r="P131">
        <f>INDEX('2_land_use'!$1:$343,MATCH($A131,'2_land_use'!$A:$A,0),MATCH(P$1,'2_land_use'!$1:$1,0))</f>
        <v>78.856163840336592</v>
      </c>
      <c r="Q131">
        <f>INDEX('2_land_use'!$1:$343,MATCH($A131,'2_land_use'!$A:$A,0),MATCH(Q$1,'2_land_use'!$1:$1,0))</f>
        <v>0</v>
      </c>
      <c r="R131">
        <f>INDEX('6_roof_surface'!$1:$343,MATCH($A131,'6_roof_surface'!$A:$A,0),MATCH(R$1,'6_roof_surface'!$1:$1,0))</f>
        <v>1.7330669999999999</v>
      </c>
      <c r="S131">
        <f>INDEX('6_roof_surface'!$1:$343,MATCH($A131,'6_roof_surface'!$A:$A,0),MATCH(S$1,'6_roof_surface'!$1:$1,0))</f>
        <v>2.7480349999999998</v>
      </c>
    </row>
    <row r="132" spans="1:19" x14ac:dyDescent="0.2">
      <c r="A132" t="s">
        <v>132</v>
      </c>
      <c r="B132" t="str">
        <f>INDEX(CBS_gemeenten_alfabetisch_2023!$B:$B,MATCH($A132,CBS_gemeenten_alfabetisch_2023!$A:$A,0))</f>
        <v>Hillegom</v>
      </c>
      <c r="C132">
        <f>INDEX('5_train_share_nl'!$1:$343,MATCH($A132,'5_train_share_nl'!$A:$A,0),MATCH(C$1,'5_train_share_nl'!$1:$1,0))</f>
        <v>9.8761178988550254E-3</v>
      </c>
      <c r="D132">
        <f>INDEX('3_has_tram_metro'!$1:$343,MATCH($A132,'3_has_tram_metro'!$A:$A,0),MATCH(D$1,'3_has_tram_metro'!$1:$1,0))</f>
        <v>0</v>
      </c>
      <c r="E132">
        <f>INDEX('1_buildings_total'!$1:$343,MATCH($A132,'1_buildings_total'!$A:$A,0),MATCH(E$1,'1_buildings_total'!$1:$1,0))</f>
        <v>1299.6298461538463</v>
      </c>
      <c r="F132">
        <f>INDEX('2_land_use'!$1:$343,MATCH($A132,'2_land_use'!$A:$A,0),MATCH(F$1,'2_land_use'!$1:$1,0))</f>
        <v>7.4634289259606099</v>
      </c>
      <c r="G132">
        <f>INDEX('4_number_of_transport'!$1:$343,MATCH($A132,'4_number_of_transport'!$A:$A,0),MATCH(G$1,'4_number_of_transport'!$1:$1,0))</f>
        <v>1142</v>
      </c>
      <c r="H132">
        <f>INDEX('4_number_of_transport'!$1:$343,MATCH($A132,'4_number_of_transport'!$A:$A,0),MATCH(H$1,'4_number_of_transport'!$1:$1,0))</f>
        <v>102</v>
      </c>
      <c r="I132">
        <f>INDEX('4_number_of_transport'!$1:$343,MATCH($A132,'4_number_of_transport'!$A:$A,0),MATCH(I$1,'4_number_of_transport'!$1:$1,0))</f>
        <v>0</v>
      </c>
      <c r="J132">
        <f>INDEX('2_land_use'!$1:$343,MATCH($A132,'2_land_use'!$A:$A,0),MATCH(J$1,'2_land_use'!$1:$1,0))</f>
        <v>7.1124982662144887E-4</v>
      </c>
      <c r="K132">
        <f>INDEX('2_land_use'!$1:$343,MATCH($A132,'2_land_use'!$A:$A,0),MATCH(K$1,'2_land_use'!$1:$1,0))</f>
        <v>3.3461587529419972E-4</v>
      </c>
      <c r="L132">
        <f>INDEX('7_biomass'!$1:$343,MATCH($A132,'7_biomass'!$A:$A,0),MATCH(L$1,'7_biomass'!$1:$1,0))</f>
        <v>4.7570255695377275E-2</v>
      </c>
      <c r="M132">
        <f>INDEX('7_biomass'!$1:$343,MATCH($A132,'7_biomass'!$A:$A,0),MATCH(M$1,'7_biomass'!$1:$1,0))</f>
        <v>5.5402552162340898E-2</v>
      </c>
      <c r="N132">
        <f>INDEX('7_biomass'!$1:$343,MATCH($A132,'7_biomass'!$A:$A,0),MATCH(N$1,'7_biomass'!$1:$1,0))</f>
        <v>1.3345725300704547E-2</v>
      </c>
      <c r="O132">
        <f>INDEX('4_number_of_transport'!$1:$343,MATCH($A132,'4_number_of_transport'!$A:$A,0),MATCH(O$1,'4_number_of_transport'!$1:$1,0))</f>
        <v>11957</v>
      </c>
      <c r="P132">
        <f>INDEX('2_land_use'!$1:$343,MATCH($A132,'2_land_use'!$A:$A,0),MATCH(P$1,'2_land_use'!$1:$1,0))</f>
        <v>12.855136969305642</v>
      </c>
      <c r="Q132">
        <f>INDEX('2_land_use'!$1:$343,MATCH($A132,'2_land_use'!$A:$A,0),MATCH(Q$1,'2_land_use'!$1:$1,0))</f>
        <v>0</v>
      </c>
      <c r="R132">
        <f>INDEX('6_roof_surface'!$1:$343,MATCH($A132,'6_roof_surface'!$A:$A,0),MATCH(R$1,'6_roof_surface'!$1:$1,0))</f>
        <v>0.63271699999999997</v>
      </c>
      <c r="S132">
        <f>INDEX('6_roof_surface'!$1:$343,MATCH($A132,'6_roof_surface'!$A:$A,0),MATCH(S$1,'6_roof_surface'!$1:$1,0))</f>
        <v>0.84483399999999997</v>
      </c>
    </row>
    <row r="133" spans="1:19" x14ac:dyDescent="0.2">
      <c r="A133" t="s">
        <v>133</v>
      </c>
      <c r="B133" t="str">
        <f>INDEX(CBS_gemeenten_alfabetisch_2023!$B:$B,MATCH($A133,CBS_gemeenten_alfabetisch_2023!$A:$A,0))</f>
        <v>Hilvarenbeek</v>
      </c>
      <c r="C133">
        <f>INDEX('5_train_share_nl'!$1:$343,MATCH($A133,'5_train_share_nl'!$A:$A,0),MATCH(C$1,'5_train_share_nl'!$1:$1,0))</f>
        <v>0</v>
      </c>
      <c r="D133">
        <f>INDEX('3_has_tram_metro'!$1:$343,MATCH($A133,'3_has_tram_metro'!$A:$A,0),MATCH(D$1,'3_has_tram_metro'!$1:$1,0))</f>
        <v>0</v>
      </c>
      <c r="E133">
        <f>INDEX('1_buildings_total'!$1:$343,MATCH($A133,'1_buildings_total'!$A:$A,0),MATCH(E$1,'1_buildings_total'!$1:$1,0))</f>
        <v>1976.7147692307692</v>
      </c>
      <c r="F133">
        <f>INDEX('2_land_use'!$1:$343,MATCH($A133,'2_land_use'!$A:$A,0),MATCH(F$1,'2_land_use'!$1:$1,0))</f>
        <v>56.579512307153273</v>
      </c>
      <c r="G133">
        <f>INDEX('4_number_of_transport'!$1:$343,MATCH($A133,'4_number_of_transport'!$A:$A,0),MATCH(G$1,'4_number_of_transport'!$1:$1,0))</f>
        <v>1450</v>
      </c>
      <c r="H133">
        <f>INDEX('4_number_of_transport'!$1:$343,MATCH($A133,'4_number_of_transport'!$A:$A,0),MATCH(H$1,'4_number_of_transport'!$1:$1,0))</f>
        <v>129</v>
      </c>
      <c r="I133">
        <f>INDEX('4_number_of_transport'!$1:$343,MATCH($A133,'4_number_of_transport'!$A:$A,0),MATCH(I$1,'4_number_of_transport'!$1:$1,0))</f>
        <v>1</v>
      </c>
      <c r="J133">
        <f>INDEX('2_land_use'!$1:$343,MATCH($A133,'2_land_use'!$A:$A,0),MATCH(J$1,'2_land_use'!$1:$1,0))</f>
        <v>1.359943342107794E-4</v>
      </c>
      <c r="K133">
        <f>INDEX('2_land_use'!$1:$343,MATCH($A133,'2_land_use'!$A:$A,0),MATCH(K$1,'2_land_use'!$1:$1,0))</f>
        <v>2.5366896666655491E-3</v>
      </c>
      <c r="L133">
        <f>INDEX('7_biomass'!$1:$343,MATCH($A133,'7_biomass'!$A:$A,0),MATCH(L$1,'7_biomass'!$1:$1,0))</f>
        <v>0.31838280902085192</v>
      </c>
      <c r="M133">
        <f>INDEX('7_biomass'!$1:$343,MATCH($A133,'7_biomass'!$A:$A,0),MATCH(M$1,'7_biomass'!$1:$1,0))</f>
        <v>0.10362709311222564</v>
      </c>
      <c r="N133">
        <f>INDEX('7_biomass'!$1:$343,MATCH($A133,'7_biomass'!$A:$A,0),MATCH(N$1,'7_biomass'!$1:$1,0))</f>
        <v>9.3163685587272834E-3</v>
      </c>
      <c r="O133">
        <f>INDEX('4_number_of_transport'!$1:$343,MATCH($A133,'4_number_of_transport'!$A:$A,0),MATCH(O$1,'4_number_of_transport'!$1:$1,0))</f>
        <v>9322</v>
      </c>
      <c r="P133">
        <f>INDEX('2_land_use'!$1:$343,MATCH($A133,'2_land_use'!$A:$A,0),MATCH(P$1,'2_land_use'!$1:$1,0))</f>
        <v>94.866811394775596</v>
      </c>
      <c r="Q133">
        <f>INDEX('2_land_use'!$1:$343,MATCH($A133,'2_land_use'!$A:$A,0),MATCH(Q$1,'2_land_use'!$1:$1,0))</f>
        <v>0</v>
      </c>
      <c r="R133">
        <f>INDEX('6_roof_surface'!$1:$343,MATCH($A133,'6_roof_surface'!$A:$A,0),MATCH(R$1,'6_roof_surface'!$1:$1,0))</f>
        <v>0.819415</v>
      </c>
      <c r="S133">
        <f>INDEX('6_roof_surface'!$1:$343,MATCH($A133,'6_roof_surface'!$A:$A,0),MATCH(S$1,'6_roof_surface'!$1:$1,0))</f>
        <v>1.3319700000000001</v>
      </c>
    </row>
    <row r="134" spans="1:19" x14ac:dyDescent="0.2">
      <c r="A134" t="s">
        <v>134</v>
      </c>
      <c r="B134" t="str">
        <f>INDEX(CBS_gemeenten_alfabetisch_2023!$B:$B,MATCH($A134,CBS_gemeenten_alfabetisch_2023!$A:$A,0))</f>
        <v>Hilversum</v>
      </c>
      <c r="C134">
        <f>INDEX('5_train_share_nl'!$1:$343,MATCH($A134,'5_train_share_nl'!$A:$A,0),MATCH(C$1,'5_train_share_nl'!$1:$1,0))</f>
        <v>3.8829722992731802E-3</v>
      </c>
      <c r="D134">
        <f>INDEX('3_has_tram_metro'!$1:$343,MATCH($A134,'3_has_tram_metro'!$A:$A,0),MATCH(D$1,'3_has_tram_metro'!$1:$1,0))</f>
        <v>0</v>
      </c>
      <c r="E134">
        <f>INDEX('1_buildings_total'!$1:$343,MATCH($A134,'1_buildings_total'!$A:$A,0),MATCH(E$1,'1_buildings_total'!$1:$1,0))</f>
        <v>5488.4402307692299</v>
      </c>
      <c r="F134">
        <f>INDEX('2_land_use'!$1:$343,MATCH($A134,'2_land_use'!$A:$A,0),MATCH(F$1,'2_land_use'!$1:$1,0))</f>
        <v>5.7028829498417943</v>
      </c>
      <c r="G134">
        <f>INDEX('4_number_of_transport'!$1:$343,MATCH($A134,'4_number_of_transport'!$A:$A,0),MATCH(G$1,'4_number_of_transport'!$1:$1,0))</f>
        <v>3190</v>
      </c>
      <c r="H134">
        <f>INDEX('4_number_of_transport'!$1:$343,MATCH($A134,'4_number_of_transport'!$A:$A,0),MATCH(H$1,'4_number_of_transport'!$1:$1,0))</f>
        <v>107</v>
      </c>
      <c r="I134">
        <f>INDEX('4_number_of_transport'!$1:$343,MATCH($A134,'4_number_of_transport'!$A:$A,0),MATCH(I$1,'4_number_of_transport'!$1:$1,0))</f>
        <v>1414</v>
      </c>
      <c r="J134">
        <f>INDEX('2_land_use'!$1:$343,MATCH($A134,'2_land_use'!$A:$A,0),MATCH(J$1,'2_land_use'!$1:$1,0))</f>
        <v>0</v>
      </c>
      <c r="K134">
        <f>INDEX('2_land_use'!$1:$343,MATCH($A134,'2_land_use'!$A:$A,0),MATCH(K$1,'2_land_use'!$1:$1,0))</f>
        <v>2.5568343838902006E-4</v>
      </c>
      <c r="L134">
        <f>INDEX('7_biomass'!$1:$343,MATCH($A134,'7_biomass'!$A:$A,0),MATCH(L$1,'7_biomass'!$1:$1,0))</f>
        <v>0.17343744867569669</v>
      </c>
      <c r="M134">
        <f>INDEX('7_biomass'!$1:$343,MATCH($A134,'7_biomass'!$A:$A,0),MATCH(M$1,'7_biomass'!$1:$1,0))</f>
        <v>0.23919425038438652</v>
      </c>
      <c r="N134">
        <f>INDEX('7_biomass'!$1:$343,MATCH($A134,'7_biomass'!$A:$A,0),MATCH(N$1,'7_biomass'!$1:$1,0))</f>
        <v>5.4825255380359511E-2</v>
      </c>
      <c r="O134">
        <f>INDEX('4_number_of_transport'!$1:$343,MATCH($A134,'4_number_of_transport'!$A:$A,0),MATCH(O$1,'4_number_of_transport'!$1:$1,0))</f>
        <v>41060</v>
      </c>
      <c r="P134">
        <f>INDEX('2_land_use'!$1:$343,MATCH($A134,'2_land_use'!$A:$A,0),MATCH(P$1,'2_land_use'!$1:$1,0))</f>
        <v>45.609861533720768</v>
      </c>
      <c r="Q134">
        <f>INDEX('2_land_use'!$1:$343,MATCH($A134,'2_land_use'!$A:$A,0),MATCH(Q$1,'2_land_use'!$1:$1,0))</f>
        <v>0</v>
      </c>
      <c r="R134">
        <f>INDEX('6_roof_surface'!$1:$343,MATCH($A134,'6_roof_surface'!$A:$A,0),MATCH(R$1,'6_roof_surface'!$1:$1,0))</f>
        <v>2.3548589999999998</v>
      </c>
      <c r="S134">
        <f>INDEX('6_roof_surface'!$1:$343,MATCH($A134,'6_roof_surface'!$A:$A,0),MATCH(S$1,'6_roof_surface'!$1:$1,0))</f>
        <v>1.6982870000000001</v>
      </c>
    </row>
    <row r="135" spans="1:19" x14ac:dyDescent="0.2">
      <c r="A135" t="s">
        <v>135</v>
      </c>
      <c r="B135" t="str">
        <f>INDEX(CBS_gemeenten_alfabetisch_2023!$B:$B,MATCH($A135,CBS_gemeenten_alfabetisch_2023!$A:$A,0))</f>
        <v>Hoeksche Waard</v>
      </c>
      <c r="C135">
        <f>INDEX('5_train_share_nl'!$1:$343,MATCH($A135,'5_train_share_nl'!$A:$A,0),MATCH(C$1,'5_train_share_nl'!$1:$1,0))</f>
        <v>0</v>
      </c>
      <c r="D135">
        <f>INDEX('3_has_tram_metro'!$1:$343,MATCH($A135,'3_has_tram_metro'!$A:$A,0),MATCH(D$1,'3_has_tram_metro'!$1:$1,0))</f>
        <v>0</v>
      </c>
      <c r="E135">
        <f>INDEX('1_buildings_total'!$1:$343,MATCH($A135,'1_buildings_total'!$A:$A,0),MATCH(E$1,'1_buildings_total'!$1:$1,0))</f>
        <v>5020.1335384615386</v>
      </c>
      <c r="F135">
        <f>INDEX('2_land_use'!$1:$343,MATCH($A135,'2_land_use'!$A:$A,0),MATCH(F$1,'2_land_use'!$1:$1,0))</f>
        <v>213.97384359388656</v>
      </c>
      <c r="G135">
        <f>INDEX('4_number_of_transport'!$1:$343,MATCH($A135,'4_number_of_transport'!$A:$A,0),MATCH(G$1,'4_number_of_transport'!$1:$1,0))</f>
        <v>5521</v>
      </c>
      <c r="H135">
        <f>INDEX('4_number_of_transport'!$1:$343,MATCH($A135,'4_number_of_transport'!$A:$A,0),MATCH(H$1,'4_number_of_transport'!$1:$1,0))</f>
        <v>319</v>
      </c>
      <c r="I135">
        <f>INDEX('4_number_of_transport'!$1:$343,MATCH($A135,'4_number_of_transport'!$A:$A,0),MATCH(I$1,'4_number_of_transport'!$1:$1,0))</f>
        <v>22</v>
      </c>
      <c r="J135">
        <f>INDEX('2_land_use'!$1:$343,MATCH($A135,'2_land_use'!$A:$A,0),MATCH(J$1,'2_land_use'!$1:$1,0))</f>
        <v>5.0332208207168033E-3</v>
      </c>
      <c r="K135">
        <f>INDEX('2_land_use'!$1:$343,MATCH($A135,'2_land_use'!$A:$A,0),MATCH(K$1,'2_land_use'!$1:$1,0))</f>
        <v>9.5933177195784858E-3</v>
      </c>
      <c r="L135">
        <f>INDEX('7_biomass'!$1:$343,MATCH($A135,'7_biomass'!$A:$A,0),MATCH(L$1,'7_biomass'!$1:$1,0))</f>
        <v>0.88208486440825706</v>
      </c>
      <c r="M135">
        <f>INDEX('7_biomass'!$1:$343,MATCH($A135,'7_biomass'!$A:$A,0),MATCH(M$1,'7_biomass'!$1:$1,0))</f>
        <v>0.33528093788622187</v>
      </c>
      <c r="N135">
        <f>INDEX('7_biomass'!$1:$343,MATCH($A135,'7_biomass'!$A:$A,0),MATCH(N$1,'7_biomass'!$1:$1,0))</f>
        <v>5.2648965294448388E-2</v>
      </c>
      <c r="O135">
        <f>INDEX('4_number_of_transport'!$1:$343,MATCH($A135,'4_number_of_transport'!$A:$A,0),MATCH(O$1,'4_number_of_transport'!$1:$1,0))</f>
        <v>48613</v>
      </c>
      <c r="P135">
        <f>INDEX('2_land_use'!$1:$343,MATCH($A135,'2_land_use'!$A:$A,0),MATCH(P$1,'2_land_use'!$1:$1,0))</f>
        <v>268.54000919820652</v>
      </c>
      <c r="Q135">
        <f>INDEX('2_land_use'!$1:$343,MATCH($A135,'2_land_use'!$A:$A,0),MATCH(Q$1,'2_land_use'!$1:$1,0))</f>
        <v>0</v>
      </c>
      <c r="R135">
        <f>INDEX('6_roof_surface'!$1:$343,MATCH($A135,'6_roof_surface'!$A:$A,0),MATCH(R$1,'6_roof_surface'!$1:$1,0))</f>
        <v>3.0087890000000002</v>
      </c>
      <c r="S135">
        <f>INDEX('6_roof_surface'!$1:$343,MATCH($A135,'6_roof_surface'!$A:$A,0),MATCH(S$1,'6_roof_surface'!$1:$1,0))</f>
        <v>3.6596000000000002</v>
      </c>
    </row>
    <row r="136" spans="1:19" x14ac:dyDescent="0.2">
      <c r="A136" t="s">
        <v>136</v>
      </c>
      <c r="B136" t="str">
        <f>INDEX(CBS_gemeenten_alfabetisch_2023!$B:$B,MATCH($A136,CBS_gemeenten_alfabetisch_2023!$A:$A,0))</f>
        <v>Hof van Twente</v>
      </c>
      <c r="C136">
        <f>INDEX('5_train_share_nl'!$1:$343,MATCH($A136,'5_train_share_nl'!$A:$A,0),MATCH(C$1,'5_train_share_nl'!$1:$1,0))</f>
        <v>0</v>
      </c>
      <c r="D136">
        <f>INDEX('3_has_tram_metro'!$1:$343,MATCH($A136,'3_has_tram_metro'!$A:$A,0),MATCH(D$1,'3_has_tram_metro'!$1:$1,0))</f>
        <v>0</v>
      </c>
      <c r="E136">
        <f>INDEX('1_buildings_total'!$1:$343,MATCH($A136,'1_buildings_total'!$A:$A,0),MATCH(E$1,'1_buildings_total'!$1:$1,0))</f>
        <v>3586.6223076923084</v>
      </c>
      <c r="F136">
        <f>INDEX('2_land_use'!$1:$343,MATCH($A136,'2_land_use'!$A:$A,0),MATCH(F$1,'2_land_use'!$1:$1,0))</f>
        <v>156.85794790346876</v>
      </c>
      <c r="G136">
        <f>INDEX('4_number_of_transport'!$1:$343,MATCH($A136,'4_number_of_transport'!$A:$A,0),MATCH(G$1,'4_number_of_transport'!$1:$1,0))</f>
        <v>2569</v>
      </c>
      <c r="H136">
        <f>INDEX('4_number_of_transport'!$1:$343,MATCH($A136,'4_number_of_transport'!$A:$A,0),MATCH(H$1,'4_number_of_transport'!$1:$1,0))</f>
        <v>107</v>
      </c>
      <c r="I136">
        <f>INDEX('4_number_of_transport'!$1:$343,MATCH($A136,'4_number_of_transport'!$A:$A,0),MATCH(I$1,'4_number_of_transport'!$1:$1,0))</f>
        <v>18</v>
      </c>
      <c r="J136">
        <f>INDEX('2_land_use'!$1:$343,MATCH($A136,'2_land_use'!$A:$A,0),MATCH(J$1,'2_land_use'!$1:$1,0))</f>
        <v>0</v>
      </c>
      <c r="K136">
        <f>INDEX('2_land_use'!$1:$343,MATCH($A136,'2_land_use'!$A:$A,0),MATCH(K$1,'2_land_use'!$1:$1,0))</f>
        <v>7.0325798041703212E-3</v>
      </c>
      <c r="L136">
        <f>INDEX('7_biomass'!$1:$343,MATCH($A136,'7_biomass'!$A:$A,0),MATCH(L$1,'7_biomass'!$1:$1,0))</f>
        <v>0.49884197352656212</v>
      </c>
      <c r="M136">
        <f>INDEX('7_biomass'!$1:$343,MATCH($A136,'7_biomass'!$A:$A,0),MATCH(M$1,'7_biomass'!$1:$1,0))</f>
        <v>0.28201255861175828</v>
      </c>
      <c r="N136">
        <f>INDEX('7_biomass'!$1:$343,MATCH($A136,'7_biomass'!$A:$A,0),MATCH(N$1,'7_biomass'!$1:$1,0))</f>
        <v>2.1228245561623279E-2</v>
      </c>
      <c r="O136">
        <f>INDEX('4_number_of_transport'!$1:$343,MATCH($A136,'4_number_of_transport'!$A:$A,0),MATCH(O$1,'4_number_of_transport'!$1:$1,0))</f>
        <v>20660</v>
      </c>
      <c r="P136">
        <f>INDEX('2_land_use'!$1:$343,MATCH($A136,'2_land_use'!$A:$A,0),MATCH(P$1,'2_land_use'!$1:$1,0))</f>
        <v>212.43296672545057</v>
      </c>
      <c r="Q136">
        <f>INDEX('2_land_use'!$1:$343,MATCH($A136,'2_land_use'!$A:$A,0),MATCH(Q$1,'2_land_use'!$1:$1,0))</f>
        <v>0</v>
      </c>
      <c r="R136">
        <f>INDEX('6_roof_surface'!$1:$343,MATCH($A136,'6_roof_surface'!$A:$A,0),MATCH(R$1,'6_roof_surface'!$1:$1,0))</f>
        <v>1.5890629999999999</v>
      </c>
      <c r="S136">
        <f>INDEX('6_roof_surface'!$1:$343,MATCH($A136,'6_roof_surface'!$A:$A,0),MATCH(S$1,'6_roof_surface'!$1:$1,0))</f>
        <v>3.002939</v>
      </c>
    </row>
    <row r="137" spans="1:19" x14ac:dyDescent="0.2">
      <c r="A137" t="s">
        <v>137</v>
      </c>
      <c r="B137" t="str">
        <f>INDEX(CBS_gemeenten_alfabetisch_2023!$B:$B,MATCH($A137,CBS_gemeenten_alfabetisch_2023!$A:$A,0))</f>
        <v>Het Hogeland</v>
      </c>
      <c r="C137">
        <f>INDEX('5_train_share_nl'!$1:$343,MATCH($A137,'5_train_share_nl'!$A:$A,0),MATCH(C$1,'5_train_share_nl'!$1:$1,0))</f>
        <v>2.3620160886359902E-3</v>
      </c>
      <c r="D137">
        <f>INDEX('3_has_tram_metro'!$1:$343,MATCH($A137,'3_has_tram_metro'!$A:$A,0),MATCH(D$1,'3_has_tram_metro'!$1:$1,0))</f>
        <v>0</v>
      </c>
      <c r="E137">
        <f>INDEX('1_buildings_total'!$1:$343,MATCH($A137,'1_buildings_total'!$A:$A,0),MATCH(E$1,'1_buildings_total'!$1:$1,0))</f>
        <v>8630.4074615384598</v>
      </c>
      <c r="F137">
        <f>INDEX('2_land_use'!$1:$343,MATCH($A137,'2_land_use'!$A:$A,0),MATCH(F$1,'2_land_use'!$1:$1,0))</f>
        <v>385.2723773471227</v>
      </c>
      <c r="G137">
        <f>INDEX('4_number_of_transport'!$1:$343,MATCH($A137,'4_number_of_transport'!$A:$A,0),MATCH(G$1,'4_number_of_transport'!$1:$1,0))</f>
        <v>3350</v>
      </c>
      <c r="H137">
        <f>INDEX('4_number_of_transport'!$1:$343,MATCH($A137,'4_number_of_transport'!$A:$A,0),MATCH(H$1,'4_number_of_transport'!$1:$1,0))</f>
        <v>115</v>
      </c>
      <c r="I137">
        <f>INDEX('4_number_of_transport'!$1:$343,MATCH($A137,'4_number_of_transport'!$A:$A,0),MATCH(I$1,'4_number_of_transport'!$1:$1,0))</f>
        <v>8</v>
      </c>
      <c r="J137">
        <f>INDEX('2_land_use'!$1:$343,MATCH($A137,'2_land_use'!$A:$A,0),MATCH(J$1,'2_land_use'!$1:$1,0))</f>
        <v>5.85775335416607E-4</v>
      </c>
      <c r="K137">
        <f>INDEX('2_land_use'!$1:$343,MATCH($A137,'2_land_use'!$A:$A,0),MATCH(K$1,'2_land_use'!$1:$1,0))</f>
        <v>1.7273327722631421E-2</v>
      </c>
      <c r="L137">
        <f>INDEX('7_biomass'!$1:$343,MATCH($A137,'7_biomass'!$A:$A,0),MATCH(L$1,'7_biomass'!$1:$1,0))</f>
        <v>5.9918523243419664</v>
      </c>
      <c r="M137">
        <f>INDEX('7_biomass'!$1:$343,MATCH($A137,'7_biomass'!$A:$A,0),MATCH(M$1,'7_biomass'!$1:$1,0))</f>
        <v>0.39252842660118065</v>
      </c>
      <c r="N137">
        <f>INDEX('7_biomass'!$1:$343,MATCH($A137,'7_biomass'!$A:$A,0),MATCH(N$1,'7_biomass'!$1:$1,0))</f>
        <v>3.0041552090441456E-2</v>
      </c>
      <c r="O137">
        <f>INDEX('4_number_of_transport'!$1:$343,MATCH($A137,'4_number_of_transport'!$A:$A,0),MATCH(O$1,'4_number_of_transport'!$1:$1,0))</f>
        <v>25586</v>
      </c>
      <c r="P137">
        <f>INDEX('2_land_use'!$1:$343,MATCH($A137,'2_land_use'!$A:$A,0),MATCH(P$1,'2_land_use'!$1:$1,0))</f>
        <v>476.74325988701298</v>
      </c>
      <c r="Q137">
        <f>INDEX('2_land_use'!$1:$343,MATCH($A137,'2_land_use'!$A:$A,0),MATCH(Q$1,'2_land_use'!$1:$1,0))</f>
        <v>408.51588145626062</v>
      </c>
      <c r="R137">
        <f>INDEX('6_roof_surface'!$1:$343,MATCH($A137,'6_roof_surface'!$A:$A,0),MATCH(R$1,'6_roof_surface'!$1:$1,0))</f>
        <v>3.2957049999999999</v>
      </c>
      <c r="S137">
        <f>INDEX('6_roof_surface'!$1:$343,MATCH($A137,'6_roof_surface'!$A:$A,0),MATCH(S$1,'6_roof_surface'!$1:$1,0))</f>
        <v>2.9930219999999998</v>
      </c>
    </row>
    <row r="138" spans="1:19" x14ac:dyDescent="0.2">
      <c r="A138" t="s">
        <v>138</v>
      </c>
      <c r="B138" t="str">
        <f>INDEX(CBS_gemeenten_alfabetisch_2023!$B:$B,MATCH($A138,CBS_gemeenten_alfabetisch_2023!$A:$A,0))</f>
        <v>Hollands Kroon</v>
      </c>
      <c r="C138">
        <f>INDEX('5_train_share_nl'!$1:$343,MATCH($A138,'5_train_share_nl'!$A:$A,0),MATCH(C$1,'5_train_share_nl'!$1:$1,0))</f>
        <v>6.3039892927217039E-4</v>
      </c>
      <c r="D138">
        <f>INDEX('3_has_tram_metro'!$1:$343,MATCH($A138,'3_has_tram_metro'!$A:$A,0),MATCH(D$1,'3_has_tram_metro'!$1:$1,0))</f>
        <v>0</v>
      </c>
      <c r="E138">
        <f>INDEX('1_buildings_total'!$1:$343,MATCH($A138,'1_buildings_total'!$A:$A,0),MATCH(E$1,'1_buildings_total'!$1:$1,0))</f>
        <v>6468.5330769230759</v>
      </c>
      <c r="F138">
        <f>INDEX('2_land_use'!$1:$343,MATCH($A138,'2_land_use'!$A:$A,0),MATCH(F$1,'2_land_use'!$1:$1,0))</f>
        <v>316.63735138222785</v>
      </c>
      <c r="G138">
        <f>INDEX('4_number_of_transport'!$1:$343,MATCH($A138,'4_number_of_transport'!$A:$A,0),MATCH(G$1,'4_number_of_transport'!$1:$1,0))</f>
        <v>4574</v>
      </c>
      <c r="H138">
        <f>INDEX('4_number_of_transport'!$1:$343,MATCH($A138,'4_number_of_transport'!$A:$A,0),MATCH(H$1,'4_number_of_transport'!$1:$1,0))</f>
        <v>443</v>
      </c>
      <c r="I138">
        <f>INDEX('4_number_of_transport'!$1:$343,MATCH($A138,'4_number_of_transport'!$A:$A,0),MATCH(I$1,'4_number_of_transport'!$1:$1,0))</f>
        <v>21</v>
      </c>
      <c r="J138">
        <f>INDEX('2_land_use'!$1:$343,MATCH($A138,'2_land_use'!$A:$A,0),MATCH(J$1,'2_land_use'!$1:$1,0))</f>
        <v>2.704745803167324E-2</v>
      </c>
      <c r="K138">
        <f>INDEX('2_land_use'!$1:$343,MATCH($A138,'2_land_use'!$A:$A,0),MATCH(K$1,'2_land_use'!$1:$1,0))</f>
        <v>1.4196140344428121E-2</v>
      </c>
      <c r="L138">
        <f>INDEX('7_biomass'!$1:$343,MATCH($A138,'7_biomass'!$A:$A,0),MATCH(L$1,'7_biomass'!$1:$1,0))</f>
        <v>0.9645742022461169</v>
      </c>
      <c r="M138">
        <f>INDEX('7_biomass'!$1:$343,MATCH($A138,'7_biomass'!$A:$A,0),MATCH(M$1,'7_biomass'!$1:$1,0))</f>
        <v>0.28574194810780257</v>
      </c>
      <c r="N138">
        <f>INDEX('7_biomass'!$1:$343,MATCH($A138,'7_biomass'!$A:$A,0),MATCH(N$1,'7_biomass'!$1:$1,0))</f>
        <v>2.9050617101574614E-2</v>
      </c>
      <c r="O138">
        <f>INDEX('4_number_of_transport'!$1:$343,MATCH($A138,'4_number_of_transport'!$A:$A,0),MATCH(O$1,'4_number_of_transport'!$1:$1,0))</f>
        <v>27912</v>
      </c>
      <c r="P138">
        <f>INDEX('2_land_use'!$1:$343,MATCH($A138,'2_land_use'!$A:$A,0),MATCH(P$1,'2_land_use'!$1:$1,0))</f>
        <v>357.63239796268215</v>
      </c>
      <c r="Q138">
        <f>INDEX('2_land_use'!$1:$343,MATCH($A138,'2_land_use'!$A:$A,0),MATCH(Q$1,'2_land_use'!$1:$1,0))</f>
        <v>178.48801292899211</v>
      </c>
      <c r="R138">
        <f>INDEX('6_roof_surface'!$1:$343,MATCH($A138,'6_roof_surface'!$A:$A,0),MATCH(R$1,'6_roof_surface'!$1:$1,0))</f>
        <v>2.4122300000000001</v>
      </c>
      <c r="S138">
        <f>INDEX('6_roof_surface'!$1:$343,MATCH($A138,'6_roof_surface'!$A:$A,0),MATCH(S$1,'6_roof_surface'!$1:$1,0))</f>
        <v>7.539034</v>
      </c>
    </row>
    <row r="139" spans="1:19" x14ac:dyDescent="0.2">
      <c r="A139" t="s">
        <v>139</v>
      </c>
      <c r="B139" t="str">
        <f>INDEX(CBS_gemeenten_alfabetisch_2023!$B:$B,MATCH($A139,CBS_gemeenten_alfabetisch_2023!$A:$A,0))</f>
        <v>Hoogeveen</v>
      </c>
      <c r="C139">
        <f>INDEX('5_train_share_nl'!$1:$343,MATCH($A139,'5_train_share_nl'!$A:$A,0),MATCH(C$1,'5_train_share_nl'!$1:$1,0))</f>
        <v>3.833078916680031E-4</v>
      </c>
      <c r="D139">
        <f>INDEX('3_has_tram_metro'!$1:$343,MATCH($A139,'3_has_tram_metro'!$A:$A,0),MATCH(D$1,'3_has_tram_metro'!$1:$1,0))</f>
        <v>0</v>
      </c>
      <c r="E139">
        <f>INDEX('1_buildings_total'!$1:$343,MATCH($A139,'1_buildings_total'!$A:$A,0),MATCH(E$1,'1_buildings_total'!$1:$1,0))</f>
        <v>4732.6073076923094</v>
      </c>
      <c r="F139">
        <f>INDEX('2_land_use'!$1:$343,MATCH($A139,'2_land_use'!$A:$A,0),MATCH(F$1,'2_land_use'!$1:$1,0))</f>
        <v>87.706570186718039</v>
      </c>
      <c r="G139">
        <f>INDEX('4_number_of_transport'!$1:$343,MATCH($A139,'4_number_of_transport'!$A:$A,0),MATCH(G$1,'4_number_of_transport'!$1:$1,0))</f>
        <v>3998</v>
      </c>
      <c r="H139">
        <f>INDEX('4_number_of_transport'!$1:$343,MATCH($A139,'4_number_of_transport'!$A:$A,0),MATCH(H$1,'4_number_of_transport'!$1:$1,0))</f>
        <v>204</v>
      </c>
      <c r="I139">
        <f>INDEX('4_number_of_transport'!$1:$343,MATCH($A139,'4_number_of_transport'!$A:$A,0),MATCH(I$1,'4_number_of_transport'!$1:$1,0))</f>
        <v>28</v>
      </c>
      <c r="J139">
        <f>INDEX('2_land_use'!$1:$343,MATCH($A139,'2_land_use'!$A:$A,0),MATCH(J$1,'2_land_use'!$1:$1,0))</f>
        <v>0</v>
      </c>
      <c r="K139">
        <f>INDEX('2_land_use'!$1:$343,MATCH($A139,'2_land_use'!$A:$A,0),MATCH(K$1,'2_land_use'!$1:$1,0))</f>
        <v>3.9322422767365563E-3</v>
      </c>
      <c r="L139">
        <f>INDEX('7_biomass'!$1:$343,MATCH($A139,'7_biomass'!$A:$A,0),MATCH(L$1,'7_biomass'!$1:$1,0))</f>
        <v>0.26978370044004157</v>
      </c>
      <c r="M139">
        <f>INDEX('7_biomass'!$1:$343,MATCH($A139,'7_biomass'!$A:$A,0),MATCH(M$1,'7_biomass'!$1:$1,0))</f>
        <v>0.19755345046049061</v>
      </c>
      <c r="N139">
        <f>INDEX('7_biomass'!$1:$343,MATCH($A139,'7_biomass'!$A:$A,0),MATCH(N$1,'7_biomass'!$1:$1,0))</f>
        <v>3.3818162691788056E-2</v>
      </c>
      <c r="O139">
        <f>INDEX('4_number_of_transport'!$1:$343,MATCH($A139,'4_number_of_transport'!$A:$A,0),MATCH(O$1,'4_number_of_transport'!$1:$1,0))</f>
        <v>29044</v>
      </c>
      <c r="P139">
        <f>INDEX('2_land_use'!$1:$343,MATCH($A139,'2_land_use'!$A:$A,0),MATCH(P$1,'2_land_use'!$1:$1,0))</f>
        <v>127.54361879986234</v>
      </c>
      <c r="Q139">
        <f>INDEX('2_land_use'!$1:$343,MATCH($A139,'2_land_use'!$A:$A,0),MATCH(Q$1,'2_land_use'!$1:$1,0))</f>
        <v>0</v>
      </c>
      <c r="R139">
        <f>INDEX('6_roof_surface'!$1:$343,MATCH($A139,'6_roof_surface'!$A:$A,0),MATCH(R$1,'6_roof_surface'!$1:$1,0))</f>
        <v>2.114922</v>
      </c>
      <c r="S139">
        <f>INDEX('6_roof_surface'!$1:$343,MATCH($A139,'6_roof_surface'!$A:$A,0),MATCH(S$1,'6_roof_surface'!$1:$1,0))</f>
        <v>2.4113889999999998</v>
      </c>
    </row>
    <row r="140" spans="1:19" x14ac:dyDescent="0.2">
      <c r="A140" t="s">
        <v>140</v>
      </c>
      <c r="B140" t="str">
        <f>INDEX(CBS_gemeenten_alfabetisch_2023!$B:$B,MATCH($A140,CBS_gemeenten_alfabetisch_2023!$A:$A,0))</f>
        <v>Hoorn</v>
      </c>
      <c r="C140">
        <f>INDEX('5_train_share_nl'!$1:$343,MATCH($A140,'5_train_share_nl'!$A:$A,0),MATCH(C$1,'5_train_share_nl'!$1:$1,0))</f>
        <v>2.4907093373881606E-3</v>
      </c>
      <c r="D140">
        <f>INDEX('3_has_tram_metro'!$1:$343,MATCH($A140,'3_has_tram_metro'!$A:$A,0),MATCH(D$1,'3_has_tram_metro'!$1:$1,0))</f>
        <v>0</v>
      </c>
      <c r="E140">
        <f>INDEX('1_buildings_total'!$1:$343,MATCH($A140,'1_buildings_total'!$A:$A,0),MATCH(E$1,'1_buildings_total'!$1:$1,0))</f>
        <v>4075.7452307692306</v>
      </c>
      <c r="F140">
        <f>INDEX('2_land_use'!$1:$343,MATCH($A140,'2_land_use'!$A:$A,0),MATCH(F$1,'2_land_use'!$1:$1,0))</f>
        <v>2.3357524402259489</v>
      </c>
      <c r="G140">
        <f>INDEX('4_number_of_transport'!$1:$343,MATCH($A140,'4_number_of_transport'!$A:$A,0),MATCH(G$1,'4_number_of_transport'!$1:$1,0))</f>
        <v>4814</v>
      </c>
      <c r="H140">
        <f>INDEX('4_number_of_transport'!$1:$343,MATCH($A140,'4_number_of_transport'!$A:$A,0),MATCH(H$1,'4_number_of_transport'!$1:$1,0))</f>
        <v>183</v>
      </c>
      <c r="I140">
        <f>INDEX('4_number_of_transport'!$1:$343,MATCH($A140,'4_number_of_transport'!$A:$A,0),MATCH(I$1,'4_number_of_transport'!$1:$1,0))</f>
        <v>0</v>
      </c>
      <c r="J140">
        <f>INDEX('2_land_use'!$1:$343,MATCH($A140,'2_land_use'!$A:$A,0),MATCH(J$1,'2_land_use'!$1:$1,0))</f>
        <v>7.5595561383202278E-5</v>
      </c>
      <c r="K140">
        <f>INDEX('2_land_use'!$1:$343,MATCH($A140,'2_land_use'!$A:$A,0),MATCH(K$1,'2_land_use'!$1:$1,0))</f>
        <v>1.047212822698881E-4</v>
      </c>
      <c r="L140">
        <f>INDEX('7_biomass'!$1:$343,MATCH($A140,'7_biomass'!$A:$A,0),MATCH(L$1,'7_biomass'!$1:$1,0))</f>
        <v>0.12421933550391068</v>
      </c>
      <c r="M140">
        <f>INDEX('7_biomass'!$1:$343,MATCH($A140,'7_biomass'!$A:$A,0),MATCH(M$1,'7_biomass'!$1:$1,0))</f>
        <v>0.18766936492230685</v>
      </c>
      <c r="N140">
        <f>INDEX('7_biomass'!$1:$343,MATCH($A140,'7_biomass'!$A:$A,0),MATCH(N$1,'7_biomass'!$1:$1,0))</f>
        <v>4.4354517429328721E-2</v>
      </c>
      <c r="O140">
        <f>INDEX('4_number_of_transport'!$1:$343,MATCH($A140,'4_number_of_transport'!$A:$A,0),MATCH(O$1,'4_number_of_transport'!$1:$1,0))</f>
        <v>34648</v>
      </c>
      <c r="P140">
        <f>INDEX('2_land_use'!$1:$343,MATCH($A140,'2_land_use'!$A:$A,0),MATCH(P$1,'2_land_use'!$1:$1,0))</f>
        <v>20.374904995172518</v>
      </c>
      <c r="Q140">
        <f>INDEX('2_land_use'!$1:$343,MATCH($A140,'2_land_use'!$A:$A,0),MATCH(Q$1,'2_land_use'!$1:$1,0))</f>
        <v>0</v>
      </c>
      <c r="R140">
        <f>INDEX('6_roof_surface'!$1:$343,MATCH($A140,'6_roof_surface'!$A:$A,0),MATCH(R$1,'6_roof_surface'!$1:$1,0))</f>
        <v>2.0069970000000001</v>
      </c>
      <c r="S140">
        <f>INDEX('6_roof_surface'!$1:$343,MATCH($A140,'6_roof_surface'!$A:$A,0),MATCH(S$1,'6_roof_surface'!$1:$1,0))</f>
        <v>1.4918009999999999</v>
      </c>
    </row>
    <row r="141" spans="1:19" x14ac:dyDescent="0.2">
      <c r="A141" t="s">
        <v>141</v>
      </c>
      <c r="B141" t="str">
        <f>INDEX(CBS_gemeenten_alfabetisch_2023!$B:$B,MATCH($A141,CBS_gemeenten_alfabetisch_2023!$A:$A,0))</f>
        <v>Horst aan de Maas</v>
      </c>
      <c r="C141">
        <f>INDEX('5_train_share_nl'!$1:$343,MATCH($A141,'5_train_share_nl'!$A:$A,0),MATCH(C$1,'5_train_share_nl'!$1:$1,0))</f>
        <v>2.4134933881368582E-3</v>
      </c>
      <c r="D141">
        <f>INDEX('3_has_tram_metro'!$1:$343,MATCH($A141,'3_has_tram_metro'!$A:$A,0),MATCH(D$1,'3_has_tram_metro'!$1:$1,0))</f>
        <v>0</v>
      </c>
      <c r="E141">
        <f>INDEX('1_buildings_total'!$1:$343,MATCH($A141,'1_buildings_total'!$A:$A,0),MATCH(E$1,'1_buildings_total'!$1:$1,0))</f>
        <v>5769.0156153846156</v>
      </c>
      <c r="F141">
        <f>INDEX('2_land_use'!$1:$343,MATCH($A141,'2_land_use'!$A:$A,0),MATCH(F$1,'2_land_use'!$1:$1,0))</f>
        <v>130.84153334230703</v>
      </c>
      <c r="G141">
        <f>INDEX('4_number_of_transport'!$1:$343,MATCH($A141,'4_number_of_transport'!$A:$A,0),MATCH(G$1,'4_number_of_transport'!$1:$1,0))</f>
        <v>2943</v>
      </c>
      <c r="H141">
        <f>INDEX('4_number_of_transport'!$1:$343,MATCH($A141,'4_number_of_transport'!$A:$A,0),MATCH(H$1,'4_number_of_transport'!$1:$1,0))</f>
        <v>269</v>
      </c>
      <c r="I141">
        <f>INDEX('4_number_of_transport'!$1:$343,MATCH($A141,'4_number_of_transport'!$A:$A,0),MATCH(I$1,'4_number_of_transport'!$1:$1,0))</f>
        <v>24</v>
      </c>
      <c r="J141">
        <f>INDEX('2_land_use'!$1:$343,MATCH($A141,'2_land_use'!$A:$A,0),MATCH(J$1,'2_land_use'!$1:$1,0))</f>
        <v>2.441188433909542E-2</v>
      </c>
      <c r="K141">
        <f>INDEX('2_land_use'!$1:$343,MATCH($A141,'2_land_use'!$A:$A,0),MATCH(K$1,'2_land_use'!$1:$1,0))</f>
        <v>5.8661581209519184E-3</v>
      </c>
      <c r="L141">
        <f>INDEX('7_biomass'!$1:$343,MATCH($A141,'7_biomass'!$A:$A,0),MATCH(L$1,'7_biomass'!$1:$1,0))</f>
        <v>0.44179165001809151</v>
      </c>
      <c r="M141">
        <f>INDEX('7_biomass'!$1:$343,MATCH($A141,'7_biomass'!$A:$A,0),MATCH(M$1,'7_biomass'!$1:$1,0))</f>
        <v>0.25039072936856854</v>
      </c>
      <c r="N141">
        <f>INDEX('7_biomass'!$1:$343,MATCH($A141,'7_biomass'!$A:$A,0),MATCH(N$1,'7_biomass'!$1:$1,0))</f>
        <v>2.5694439984161703E-2</v>
      </c>
      <c r="O141">
        <f>INDEX('4_number_of_transport'!$1:$343,MATCH($A141,'4_number_of_transport'!$A:$A,0),MATCH(O$1,'4_number_of_transport'!$1:$1,0))</f>
        <v>25862</v>
      </c>
      <c r="P141">
        <f>INDEX('2_land_use'!$1:$343,MATCH($A141,'2_land_use'!$A:$A,0),MATCH(P$1,'2_land_use'!$1:$1,0))</f>
        <v>188.67493216300332</v>
      </c>
      <c r="Q141">
        <f>INDEX('2_land_use'!$1:$343,MATCH($A141,'2_land_use'!$A:$A,0),MATCH(Q$1,'2_land_use'!$1:$1,0))</f>
        <v>0</v>
      </c>
      <c r="R141">
        <f>INDEX('6_roof_surface'!$1:$343,MATCH($A141,'6_roof_surface'!$A:$A,0),MATCH(R$1,'6_roof_surface'!$1:$1,0))</f>
        <v>2.2922129999999998</v>
      </c>
      <c r="S141">
        <f>INDEX('6_roof_surface'!$1:$343,MATCH($A141,'6_roof_surface'!$A:$A,0),MATCH(S$1,'6_roof_surface'!$1:$1,0))</f>
        <v>7.16927</v>
      </c>
    </row>
    <row r="142" spans="1:19" x14ac:dyDescent="0.2">
      <c r="A142" t="s">
        <v>142</v>
      </c>
      <c r="B142" t="str">
        <f>INDEX(CBS_gemeenten_alfabetisch_2023!$B:$B,MATCH($A142,CBS_gemeenten_alfabetisch_2023!$A:$A,0))</f>
        <v>Houten</v>
      </c>
      <c r="C142">
        <f>INDEX('5_train_share_nl'!$1:$343,MATCH($A142,'5_train_share_nl'!$A:$A,0),MATCH(C$1,'5_train_share_nl'!$1:$1,0))</f>
        <v>1.9830639684642144E-3</v>
      </c>
      <c r="D142">
        <f>INDEX('3_has_tram_metro'!$1:$343,MATCH($A142,'3_has_tram_metro'!$A:$A,0),MATCH(D$1,'3_has_tram_metro'!$1:$1,0))</f>
        <v>0</v>
      </c>
      <c r="E142">
        <f>INDEX('1_buildings_total'!$1:$343,MATCH($A142,'1_buildings_total'!$A:$A,0),MATCH(E$1,'1_buildings_total'!$1:$1,0))</f>
        <v>2266.3461538461538</v>
      </c>
      <c r="F142">
        <f>INDEX('2_land_use'!$1:$343,MATCH($A142,'2_land_use'!$A:$A,0),MATCH(F$1,'2_land_use'!$1:$1,0))</f>
        <v>38.758069212991387</v>
      </c>
      <c r="G142">
        <f>INDEX('4_number_of_transport'!$1:$343,MATCH($A142,'4_number_of_transport'!$A:$A,0),MATCH(G$1,'4_number_of_transport'!$1:$1,0))</f>
        <v>8749</v>
      </c>
      <c r="H142">
        <f>INDEX('4_number_of_transport'!$1:$343,MATCH($A142,'4_number_of_transport'!$A:$A,0),MATCH(H$1,'4_number_of_transport'!$1:$1,0))</f>
        <v>163</v>
      </c>
      <c r="I142">
        <f>INDEX('4_number_of_transport'!$1:$343,MATCH($A142,'4_number_of_transport'!$A:$A,0),MATCH(I$1,'4_number_of_transport'!$1:$1,0))</f>
        <v>1</v>
      </c>
      <c r="J142">
        <f>INDEX('2_land_use'!$1:$343,MATCH($A142,'2_land_use'!$A:$A,0),MATCH(J$1,'2_land_use'!$1:$1,0))</f>
        <v>2.0470098856857342E-3</v>
      </c>
      <c r="K142">
        <f>INDEX('2_land_use'!$1:$343,MATCH($A142,'2_land_use'!$A:$A,0),MATCH(K$1,'2_land_use'!$1:$1,0))</f>
        <v>1.7376818863119345E-3</v>
      </c>
      <c r="L142">
        <f>INDEX('7_biomass'!$1:$343,MATCH($A142,'7_biomass'!$A:$A,0),MATCH(L$1,'7_biomass'!$1:$1,0))</f>
        <v>0.17722554206986446</v>
      </c>
      <c r="M142">
        <f>INDEX('7_biomass'!$1:$343,MATCH($A142,'7_biomass'!$A:$A,0),MATCH(M$1,'7_biomass'!$1:$1,0))</f>
        <v>0.14955834877192598</v>
      </c>
      <c r="N142">
        <f>INDEX('7_biomass'!$1:$343,MATCH($A142,'7_biomass'!$A:$A,0),MATCH(N$1,'7_biomass'!$1:$1,0))</f>
        <v>3.0324068810136787E-2</v>
      </c>
      <c r="O142">
        <f>INDEX('4_number_of_transport'!$1:$343,MATCH($A142,'4_number_of_transport'!$A:$A,0),MATCH(O$1,'4_number_of_transport'!$1:$1,0))</f>
        <v>73318</v>
      </c>
      <c r="P142">
        <f>INDEX('2_land_use'!$1:$343,MATCH($A142,'2_land_use'!$A:$A,0),MATCH(P$1,'2_land_use'!$1:$1,0))</f>
        <v>54.901557039245539</v>
      </c>
      <c r="Q142">
        <f>INDEX('2_land_use'!$1:$343,MATCH($A142,'2_land_use'!$A:$A,0),MATCH(Q$1,'2_land_use'!$1:$1,0))</f>
        <v>0</v>
      </c>
      <c r="R142">
        <f>INDEX('6_roof_surface'!$1:$343,MATCH($A142,'6_roof_surface'!$A:$A,0),MATCH(R$1,'6_roof_surface'!$1:$1,0))</f>
        <v>1.4442349999999999</v>
      </c>
      <c r="S142">
        <f>INDEX('6_roof_surface'!$1:$343,MATCH($A142,'6_roof_surface'!$A:$A,0),MATCH(S$1,'6_roof_surface'!$1:$1,0))</f>
        <v>1.449055</v>
      </c>
    </row>
    <row r="143" spans="1:19" x14ac:dyDescent="0.2">
      <c r="A143" t="s">
        <v>143</v>
      </c>
      <c r="B143" t="str">
        <f>INDEX(CBS_gemeenten_alfabetisch_2023!$B:$B,MATCH($A143,CBS_gemeenten_alfabetisch_2023!$A:$A,0))</f>
        <v>Huizen</v>
      </c>
      <c r="C143">
        <f>INDEX('5_train_share_nl'!$1:$343,MATCH($A143,'5_train_share_nl'!$A:$A,0),MATCH(C$1,'5_train_share_nl'!$1:$1,0))</f>
        <v>0</v>
      </c>
      <c r="D143">
        <f>INDEX('3_has_tram_metro'!$1:$343,MATCH($A143,'3_has_tram_metro'!$A:$A,0),MATCH(D$1,'3_has_tram_metro'!$1:$1,0))</f>
        <v>0</v>
      </c>
      <c r="E143">
        <f>INDEX('1_buildings_total'!$1:$343,MATCH($A143,'1_buildings_total'!$A:$A,0),MATCH(E$1,'1_buildings_total'!$1:$1,0))</f>
        <v>1654.201615384615</v>
      </c>
      <c r="F143">
        <f>INDEX('2_land_use'!$1:$343,MATCH($A143,'2_land_use'!$A:$A,0),MATCH(F$1,'2_land_use'!$1:$1,0))</f>
        <v>1.0885681727547294</v>
      </c>
      <c r="G143">
        <f>INDEX('4_number_of_transport'!$1:$343,MATCH($A143,'4_number_of_transport'!$A:$A,0),MATCH(G$1,'4_number_of_transport'!$1:$1,0))</f>
        <v>1553</v>
      </c>
      <c r="H143">
        <f>INDEX('4_number_of_transport'!$1:$343,MATCH($A143,'4_number_of_transport'!$A:$A,0),MATCH(H$1,'4_number_of_transport'!$1:$1,0))</f>
        <v>38</v>
      </c>
      <c r="I143">
        <f>INDEX('4_number_of_transport'!$1:$343,MATCH($A143,'4_number_of_transport'!$A:$A,0),MATCH(I$1,'4_number_of_transport'!$1:$1,0))</f>
        <v>0</v>
      </c>
      <c r="J143">
        <f>INDEX('2_land_use'!$1:$343,MATCH($A143,'2_land_use'!$A:$A,0),MATCH(J$1,'2_land_use'!$1:$1,0))</f>
        <v>0</v>
      </c>
      <c r="K143">
        <f>INDEX('2_land_use'!$1:$343,MATCH($A143,'2_land_use'!$A:$A,0),MATCH(K$1,'2_land_use'!$1:$1,0))</f>
        <v>4.8804938796526272E-5</v>
      </c>
      <c r="L143">
        <f>INDEX('7_biomass'!$1:$343,MATCH($A143,'7_biomass'!$A:$A,0),MATCH(L$1,'7_biomass'!$1:$1,0))</f>
        <v>7.3081480129814413E-2</v>
      </c>
      <c r="M143">
        <f>INDEX('7_biomass'!$1:$343,MATCH($A143,'7_biomass'!$A:$A,0),MATCH(M$1,'7_biomass'!$1:$1,0))</f>
        <v>0.10952401201627633</v>
      </c>
      <c r="N143">
        <f>INDEX('7_biomass'!$1:$343,MATCH($A143,'7_biomass'!$A:$A,0),MATCH(N$1,'7_biomass'!$1:$1,0))</f>
        <v>2.5075941015022248E-2</v>
      </c>
      <c r="O143">
        <f>INDEX('4_number_of_transport'!$1:$343,MATCH($A143,'4_number_of_transport'!$A:$A,0),MATCH(O$1,'4_number_of_transport'!$1:$1,0))</f>
        <v>22066</v>
      </c>
      <c r="P143">
        <f>INDEX('2_land_use'!$1:$343,MATCH($A143,'2_land_use'!$A:$A,0),MATCH(P$1,'2_land_use'!$1:$1,0))</f>
        <v>15.81048946783582</v>
      </c>
      <c r="Q143">
        <f>INDEX('2_land_use'!$1:$343,MATCH($A143,'2_land_use'!$A:$A,0),MATCH(Q$1,'2_land_use'!$1:$1,0))</f>
        <v>0</v>
      </c>
      <c r="R143">
        <f>INDEX('6_roof_surface'!$1:$343,MATCH($A143,'6_roof_surface'!$A:$A,0),MATCH(R$1,'6_roof_surface'!$1:$1,0))</f>
        <v>1.1802060000000001</v>
      </c>
      <c r="S143">
        <f>INDEX('6_roof_surface'!$1:$343,MATCH($A143,'6_roof_surface'!$A:$A,0),MATCH(S$1,'6_roof_surface'!$1:$1,0))</f>
        <v>0.526335</v>
      </c>
    </row>
    <row r="144" spans="1:19" x14ac:dyDescent="0.2">
      <c r="A144" t="s">
        <v>144</v>
      </c>
      <c r="B144" t="str">
        <f>INDEX(CBS_gemeenten_alfabetisch_2023!$B:$B,MATCH($A144,CBS_gemeenten_alfabetisch_2023!$A:$A,0))</f>
        <v>Hulst</v>
      </c>
      <c r="C144">
        <f>INDEX('5_train_share_nl'!$1:$343,MATCH($A144,'5_train_share_nl'!$A:$A,0),MATCH(C$1,'5_train_share_nl'!$1:$1,0))</f>
        <v>0</v>
      </c>
      <c r="D144">
        <f>INDEX('3_has_tram_metro'!$1:$343,MATCH($A144,'3_has_tram_metro'!$A:$A,0),MATCH(D$1,'3_has_tram_metro'!$1:$1,0))</f>
        <v>0</v>
      </c>
      <c r="E144">
        <f>INDEX('1_buildings_total'!$1:$343,MATCH($A144,'1_buildings_total'!$A:$A,0),MATCH(E$1,'1_buildings_total'!$1:$1,0))</f>
        <v>1931.2483846153846</v>
      </c>
      <c r="F144">
        <f>INDEX('2_land_use'!$1:$343,MATCH($A144,'2_land_use'!$A:$A,0),MATCH(F$1,'2_land_use'!$1:$1,0))</f>
        <v>154.1930040090414</v>
      </c>
      <c r="G144">
        <f>INDEX('4_number_of_transport'!$1:$343,MATCH($A144,'4_number_of_transport'!$A:$A,0),MATCH(G$1,'4_number_of_transport'!$1:$1,0))</f>
        <v>1539</v>
      </c>
      <c r="H144">
        <f>INDEX('4_number_of_transport'!$1:$343,MATCH($A144,'4_number_of_transport'!$A:$A,0),MATCH(H$1,'4_number_of_transport'!$1:$1,0))</f>
        <v>102</v>
      </c>
      <c r="I144">
        <f>INDEX('4_number_of_transport'!$1:$343,MATCH($A144,'4_number_of_transport'!$A:$A,0),MATCH(I$1,'4_number_of_transport'!$1:$1,0))</f>
        <v>1</v>
      </c>
      <c r="J144">
        <f>INDEX('2_land_use'!$1:$343,MATCH($A144,'2_land_use'!$A:$A,0),MATCH(J$1,'2_land_use'!$1:$1,0))</f>
        <v>0</v>
      </c>
      <c r="K144">
        <f>INDEX('2_land_use'!$1:$343,MATCH($A144,'2_land_use'!$A:$A,0),MATCH(K$1,'2_land_use'!$1:$1,0))</f>
        <v>6.9130995300644123E-3</v>
      </c>
      <c r="L144">
        <f>INDEX('7_biomass'!$1:$343,MATCH($A144,'7_biomass'!$A:$A,0),MATCH(L$1,'7_biomass'!$1:$1,0))</f>
        <v>0.78860925409762972</v>
      </c>
      <c r="M144">
        <f>INDEX('7_biomass'!$1:$343,MATCH($A144,'7_biomass'!$A:$A,0),MATCH(M$1,'7_biomass'!$1:$1,0))</f>
        <v>0.16979589726731953</v>
      </c>
      <c r="N144">
        <f>INDEX('7_biomass'!$1:$343,MATCH($A144,'7_biomass'!$A:$A,0),MATCH(N$1,'7_biomass'!$1:$1,0))</f>
        <v>1.6722559554611306E-2</v>
      </c>
      <c r="O144">
        <f>INDEX('4_number_of_transport'!$1:$343,MATCH($A144,'4_number_of_transport'!$A:$A,0),MATCH(O$1,'4_number_of_transport'!$1:$1,0))</f>
        <v>16652</v>
      </c>
      <c r="P144">
        <f>INDEX('2_land_use'!$1:$343,MATCH($A144,'2_land_use'!$A:$A,0),MATCH(P$1,'2_land_use'!$1:$1,0))</f>
        <v>201.26175456169352</v>
      </c>
      <c r="Q144">
        <f>INDEX('2_land_use'!$1:$343,MATCH($A144,'2_land_use'!$A:$A,0),MATCH(Q$1,'2_land_use'!$1:$1,0))</f>
        <v>47.28585368325237</v>
      </c>
      <c r="R144">
        <f>INDEX('6_roof_surface'!$1:$343,MATCH($A144,'6_roof_surface'!$A:$A,0),MATCH(R$1,'6_roof_surface'!$1:$1,0))</f>
        <v>1.3392189999999999</v>
      </c>
      <c r="S144">
        <f>INDEX('6_roof_surface'!$1:$343,MATCH($A144,'6_roof_surface'!$A:$A,0),MATCH(S$1,'6_roof_surface'!$1:$1,0))</f>
        <v>1.5802099999999999</v>
      </c>
    </row>
    <row r="145" spans="1:19" x14ac:dyDescent="0.2">
      <c r="A145" t="s">
        <v>145</v>
      </c>
      <c r="B145" t="str">
        <f>INDEX(CBS_gemeenten_alfabetisch_2023!$B:$B,MATCH($A145,CBS_gemeenten_alfabetisch_2023!$A:$A,0))</f>
        <v>IJsselstein</v>
      </c>
      <c r="C145">
        <f>INDEX('5_train_share_nl'!$1:$343,MATCH($A145,'5_train_share_nl'!$A:$A,0),MATCH(C$1,'5_train_share_nl'!$1:$1,0))</f>
        <v>0</v>
      </c>
      <c r="D145">
        <f>INDEX('3_has_tram_metro'!$1:$343,MATCH($A145,'3_has_tram_metro'!$A:$A,0),MATCH(D$1,'3_has_tram_metro'!$1:$1,0))</f>
        <v>1</v>
      </c>
      <c r="E145">
        <f>INDEX('1_buildings_total'!$1:$343,MATCH($A145,'1_buildings_total'!$A:$A,0),MATCH(E$1,'1_buildings_total'!$1:$1,0))</f>
        <v>1304.7920769230768</v>
      </c>
      <c r="F145">
        <f>INDEX('2_land_use'!$1:$343,MATCH($A145,'2_land_use'!$A:$A,0),MATCH(F$1,'2_land_use'!$1:$1,0))</f>
        <v>13.126999965480509</v>
      </c>
      <c r="G145">
        <f>INDEX('4_number_of_transport'!$1:$343,MATCH($A145,'4_number_of_transport'!$A:$A,0),MATCH(G$1,'4_number_of_transport'!$1:$1,0))</f>
        <v>1335</v>
      </c>
      <c r="H145">
        <f>INDEX('4_number_of_transport'!$1:$343,MATCH($A145,'4_number_of_transport'!$A:$A,0),MATCH(H$1,'4_number_of_transport'!$1:$1,0))</f>
        <v>67</v>
      </c>
      <c r="I145">
        <f>INDEX('4_number_of_transport'!$1:$343,MATCH($A145,'4_number_of_transport'!$A:$A,0),MATCH(I$1,'4_number_of_transport'!$1:$1,0))</f>
        <v>0</v>
      </c>
      <c r="J145">
        <f>INDEX('2_land_use'!$1:$343,MATCH($A145,'2_land_use'!$A:$A,0),MATCH(J$1,'2_land_use'!$1:$1,0))</f>
        <v>0</v>
      </c>
      <c r="K145">
        <f>INDEX('2_land_use'!$1:$343,MATCH($A145,'2_land_use'!$A:$A,0),MATCH(K$1,'2_land_use'!$1:$1,0))</f>
        <v>5.8853680084731779E-4</v>
      </c>
      <c r="L145">
        <f>INDEX('7_biomass'!$1:$343,MATCH($A145,'7_biomass'!$A:$A,0),MATCH(L$1,'7_biomass'!$1:$1,0))</f>
        <v>8.5100249158424068E-2</v>
      </c>
      <c r="M145">
        <f>INDEX('7_biomass'!$1:$343,MATCH($A145,'7_biomass'!$A:$A,0),MATCH(M$1,'7_biomass'!$1:$1,0))</f>
        <v>9.0055593736202338E-2</v>
      </c>
      <c r="N145">
        <f>INDEX('7_biomass'!$1:$343,MATCH($A145,'7_biomass'!$A:$A,0),MATCH(N$1,'7_biomass'!$1:$1,0))</f>
        <v>2.0754346547940786E-2</v>
      </c>
      <c r="O145">
        <f>INDEX('4_number_of_transport'!$1:$343,MATCH($A145,'4_number_of_transport'!$A:$A,0),MATCH(O$1,'4_number_of_transport'!$1:$1,0))</f>
        <v>15587</v>
      </c>
      <c r="P145">
        <f>INDEX('2_land_use'!$1:$343,MATCH($A145,'2_land_use'!$A:$A,0),MATCH(P$1,'2_land_use'!$1:$1,0))</f>
        <v>21.011514657808466</v>
      </c>
      <c r="Q145">
        <f>INDEX('2_land_use'!$1:$343,MATCH($A145,'2_land_use'!$A:$A,0),MATCH(Q$1,'2_land_use'!$1:$1,0))</f>
        <v>0</v>
      </c>
      <c r="R145">
        <f>INDEX('6_roof_surface'!$1:$343,MATCH($A145,'6_roof_surface'!$A:$A,0),MATCH(R$1,'6_roof_surface'!$1:$1,0))</f>
        <v>0.90505400000000003</v>
      </c>
      <c r="S145">
        <f>INDEX('6_roof_surface'!$1:$343,MATCH($A145,'6_roof_surface'!$A:$A,0),MATCH(S$1,'6_roof_surface'!$1:$1,0))</f>
        <v>0.622776</v>
      </c>
    </row>
    <row r="146" spans="1:19" x14ac:dyDescent="0.2">
      <c r="A146" t="s">
        <v>146</v>
      </c>
      <c r="B146" t="str">
        <f>INDEX(CBS_gemeenten_alfabetisch_2023!$B:$B,MATCH($A146,CBS_gemeenten_alfabetisch_2023!$A:$A,0))</f>
        <v>Kaag en Braassem</v>
      </c>
      <c r="C146">
        <f>INDEX('5_train_share_nl'!$1:$343,MATCH($A146,'5_train_share_nl'!$A:$A,0),MATCH(C$1,'5_train_share_nl'!$1:$1,0))</f>
        <v>0</v>
      </c>
      <c r="D146">
        <f>INDEX('3_has_tram_metro'!$1:$343,MATCH($A146,'3_has_tram_metro'!$A:$A,0),MATCH(D$1,'3_has_tram_metro'!$1:$1,0))</f>
        <v>0</v>
      </c>
      <c r="E146">
        <f>INDEX('1_buildings_total'!$1:$343,MATCH($A146,'1_buildings_total'!$A:$A,0),MATCH(E$1,'1_buildings_total'!$1:$1,0))</f>
        <v>2833.8058461538453</v>
      </c>
      <c r="F146">
        <f>INDEX('2_land_use'!$1:$343,MATCH($A146,'2_land_use'!$A:$A,0),MATCH(F$1,'2_land_use'!$1:$1,0))</f>
        <v>53.803730457071673</v>
      </c>
      <c r="G146">
        <f>INDEX('4_number_of_transport'!$1:$343,MATCH($A146,'4_number_of_transport'!$A:$A,0),MATCH(G$1,'4_number_of_transport'!$1:$1,0))</f>
        <v>1888</v>
      </c>
      <c r="H146">
        <f>INDEX('4_number_of_transport'!$1:$343,MATCH($A146,'4_number_of_transport'!$A:$A,0),MATCH(H$1,'4_number_of_transport'!$1:$1,0))</f>
        <v>183</v>
      </c>
      <c r="I146">
        <f>INDEX('4_number_of_transport'!$1:$343,MATCH($A146,'4_number_of_transport'!$A:$A,0),MATCH(I$1,'4_number_of_transport'!$1:$1,0))</f>
        <v>0</v>
      </c>
      <c r="J146">
        <f>INDEX('2_land_use'!$1:$343,MATCH($A146,'2_land_use'!$A:$A,0),MATCH(J$1,'2_land_use'!$1:$1,0))</f>
        <v>1.039177422750176E-2</v>
      </c>
      <c r="K146">
        <f>INDEX('2_land_use'!$1:$343,MATCH($A146,'2_land_use'!$A:$A,0),MATCH(K$1,'2_land_use'!$1:$1,0))</f>
        <v>2.4122400761884401E-3</v>
      </c>
      <c r="L146">
        <f>INDEX('7_biomass'!$1:$343,MATCH($A146,'7_biomass'!$A:$A,0),MATCH(L$1,'7_biomass'!$1:$1,0))</f>
        <v>0.25318593448181353</v>
      </c>
      <c r="M146">
        <f>INDEX('7_biomass'!$1:$343,MATCH($A146,'7_biomass'!$A:$A,0),MATCH(M$1,'7_biomass'!$1:$1,0))</f>
        <v>8.5713416089746489E-2</v>
      </c>
      <c r="N146">
        <f>INDEX('7_biomass'!$1:$343,MATCH($A146,'7_biomass'!$A:$A,0),MATCH(N$1,'7_biomass'!$1:$1,0))</f>
        <v>1.6322783207171464E-2</v>
      </c>
      <c r="O146">
        <f>INDEX('4_number_of_transport'!$1:$343,MATCH($A146,'4_number_of_transport'!$A:$A,0),MATCH(O$1,'4_number_of_transport'!$1:$1,0))</f>
        <v>15061</v>
      </c>
      <c r="P146">
        <f>INDEX('2_land_use'!$1:$343,MATCH($A146,'2_land_use'!$A:$A,0),MATCH(P$1,'2_land_use'!$1:$1,0))</f>
        <v>63.134650204362835</v>
      </c>
      <c r="Q146">
        <f>INDEX('2_land_use'!$1:$343,MATCH($A146,'2_land_use'!$A:$A,0),MATCH(Q$1,'2_land_use'!$1:$1,0))</f>
        <v>0</v>
      </c>
      <c r="R146">
        <f>INDEX('6_roof_surface'!$1:$343,MATCH($A146,'6_roof_surface'!$A:$A,0),MATCH(R$1,'6_roof_surface'!$1:$1,0))</f>
        <v>1.0117510000000001</v>
      </c>
      <c r="S146">
        <f>INDEX('6_roof_surface'!$1:$343,MATCH($A146,'6_roof_surface'!$A:$A,0),MATCH(S$1,'6_roof_surface'!$1:$1,0))</f>
        <v>2.1929720000000001</v>
      </c>
    </row>
    <row r="147" spans="1:19" x14ac:dyDescent="0.2">
      <c r="A147" t="s">
        <v>147</v>
      </c>
      <c r="B147" t="str">
        <f>INDEX(CBS_gemeenten_alfabetisch_2023!$B:$B,MATCH($A147,CBS_gemeenten_alfabetisch_2023!$A:$A,0))</f>
        <v>Kampen</v>
      </c>
      <c r="C147">
        <f>INDEX('5_train_share_nl'!$1:$343,MATCH($A147,'5_train_share_nl'!$A:$A,0),MATCH(C$1,'5_train_share_nl'!$1:$1,0))</f>
        <v>6.3831851381076544E-4</v>
      </c>
      <c r="D147">
        <f>INDEX('3_has_tram_metro'!$1:$343,MATCH($A147,'3_has_tram_metro'!$A:$A,0),MATCH(D$1,'3_has_tram_metro'!$1:$1,0))</f>
        <v>0</v>
      </c>
      <c r="E147">
        <f>INDEX('1_buildings_total'!$1:$343,MATCH($A147,'1_buildings_total'!$A:$A,0),MATCH(E$1,'1_buildings_total'!$1:$1,0))</f>
        <v>4384.2084615384611</v>
      </c>
      <c r="F147">
        <f>INDEX('2_land_use'!$1:$343,MATCH($A147,'2_land_use'!$A:$A,0),MATCH(F$1,'2_land_use'!$1:$1,0))</f>
        <v>112.6527669652222</v>
      </c>
      <c r="G147">
        <f>INDEX('4_number_of_transport'!$1:$343,MATCH($A147,'4_number_of_transport'!$A:$A,0),MATCH(G$1,'4_number_of_transport'!$1:$1,0))</f>
        <v>3209</v>
      </c>
      <c r="H147">
        <f>INDEX('4_number_of_transport'!$1:$343,MATCH($A147,'4_number_of_transport'!$A:$A,0),MATCH(H$1,'4_number_of_transport'!$1:$1,0))</f>
        <v>195</v>
      </c>
      <c r="I147">
        <f>INDEX('4_number_of_transport'!$1:$343,MATCH($A147,'4_number_of_transport'!$A:$A,0),MATCH(I$1,'4_number_of_transport'!$1:$1,0))</f>
        <v>0</v>
      </c>
      <c r="J147">
        <f>INDEX('2_land_use'!$1:$343,MATCH($A147,'2_land_use'!$A:$A,0),MATCH(J$1,'2_land_use'!$1:$1,0))</f>
        <v>8.0714793975219853E-3</v>
      </c>
      <c r="K147">
        <f>INDEX('2_land_use'!$1:$343,MATCH($A147,'2_land_use'!$A:$A,0),MATCH(K$1,'2_land_use'!$1:$1,0))</f>
        <v>5.0506817437843557E-3</v>
      </c>
      <c r="L147">
        <f>INDEX('7_biomass'!$1:$343,MATCH($A147,'7_biomass'!$A:$A,0),MATCH(L$1,'7_biomass'!$1:$1,0))</f>
        <v>0.41951792287432499</v>
      </c>
      <c r="M147">
        <f>INDEX('7_biomass'!$1:$343,MATCH($A147,'7_biomass'!$A:$A,0),MATCH(M$1,'7_biomass'!$1:$1,0))</f>
        <v>0.18794938778110787</v>
      </c>
      <c r="N147">
        <f>INDEX('7_biomass'!$1:$343,MATCH($A147,'7_biomass'!$A:$A,0),MATCH(N$1,'7_biomass'!$1:$1,0))</f>
        <v>3.2674121867731484E-2</v>
      </c>
      <c r="O147">
        <f>INDEX('4_number_of_transport'!$1:$343,MATCH($A147,'4_number_of_transport'!$A:$A,0),MATCH(O$1,'4_number_of_transport'!$1:$1,0))</f>
        <v>24565</v>
      </c>
      <c r="P147">
        <f>INDEX('2_land_use'!$1:$343,MATCH($A147,'2_land_use'!$A:$A,0),MATCH(P$1,'2_land_use'!$1:$1,0))</f>
        <v>141.2331602236732</v>
      </c>
      <c r="Q147">
        <f>INDEX('2_land_use'!$1:$343,MATCH($A147,'2_land_use'!$A:$A,0),MATCH(Q$1,'2_land_use'!$1:$1,0))</f>
        <v>0</v>
      </c>
      <c r="R147">
        <f>INDEX('6_roof_surface'!$1:$343,MATCH($A147,'6_roof_surface'!$A:$A,0),MATCH(R$1,'6_roof_surface'!$1:$1,0))</f>
        <v>1.799342</v>
      </c>
      <c r="S147">
        <f>INDEX('6_roof_surface'!$1:$343,MATCH($A147,'6_roof_surface'!$A:$A,0),MATCH(S$1,'6_roof_surface'!$1:$1,0))</f>
        <v>3.087253</v>
      </c>
    </row>
    <row r="148" spans="1:19" x14ac:dyDescent="0.2">
      <c r="A148" t="s">
        <v>148</v>
      </c>
      <c r="B148" t="str">
        <f>INDEX(CBS_gemeenten_alfabetisch_2023!$B:$B,MATCH($A148,CBS_gemeenten_alfabetisch_2023!$A:$A,0))</f>
        <v>Kapelle</v>
      </c>
      <c r="C148">
        <f>INDEX('5_train_share_nl'!$1:$343,MATCH($A148,'5_train_share_nl'!$A:$A,0),MATCH(C$1,'5_train_share_nl'!$1:$1,0))</f>
        <v>3.8093201630642459E-4</v>
      </c>
      <c r="D148">
        <f>INDEX('3_has_tram_metro'!$1:$343,MATCH($A148,'3_has_tram_metro'!$A:$A,0),MATCH(D$1,'3_has_tram_metro'!$1:$1,0))</f>
        <v>0</v>
      </c>
      <c r="E148">
        <f>INDEX('1_buildings_total'!$1:$343,MATCH($A148,'1_buildings_total'!$A:$A,0),MATCH(E$1,'1_buildings_total'!$1:$1,0))</f>
        <v>1066.2848461538463</v>
      </c>
      <c r="F148">
        <f>INDEX('2_land_use'!$1:$343,MATCH($A148,'2_land_use'!$A:$A,0),MATCH(F$1,'2_land_use'!$1:$1,0))</f>
        <v>27.763022170847037</v>
      </c>
      <c r="G148">
        <f>INDEX('4_number_of_transport'!$1:$343,MATCH($A148,'4_number_of_transport'!$A:$A,0),MATCH(G$1,'4_number_of_transport'!$1:$1,0))</f>
        <v>909</v>
      </c>
      <c r="H148">
        <f>INDEX('4_number_of_transport'!$1:$343,MATCH($A148,'4_number_of_transport'!$A:$A,0),MATCH(H$1,'4_number_of_transport'!$1:$1,0))</f>
        <v>39</v>
      </c>
      <c r="I148">
        <f>INDEX('4_number_of_transport'!$1:$343,MATCH($A148,'4_number_of_transport'!$A:$A,0),MATCH(I$1,'4_number_of_transport'!$1:$1,0))</f>
        <v>30</v>
      </c>
      <c r="J148">
        <f>INDEX('2_land_use'!$1:$343,MATCH($A148,'2_land_use'!$A:$A,0),MATCH(J$1,'2_land_use'!$1:$1,0))</f>
        <v>5.6220187966384639E-3</v>
      </c>
      <c r="K148">
        <f>INDEX('2_land_use'!$1:$343,MATCH($A148,'2_land_use'!$A:$A,0),MATCH(K$1,'2_land_use'!$1:$1,0))</f>
        <v>1.2447292064638447E-3</v>
      </c>
      <c r="L148">
        <f>INDEX('7_biomass'!$1:$343,MATCH($A148,'7_biomass'!$A:$A,0),MATCH(L$1,'7_biomass'!$1:$1,0))</f>
        <v>0.11127201909048472</v>
      </c>
      <c r="M148">
        <f>INDEX('7_biomass'!$1:$343,MATCH($A148,'7_biomass'!$A:$A,0),MATCH(M$1,'7_biomass'!$1:$1,0))</f>
        <v>4.8719860456113616E-2</v>
      </c>
      <c r="N148">
        <f>INDEX('7_biomass'!$1:$343,MATCH($A148,'7_biomass'!$A:$A,0),MATCH(N$1,'7_biomass'!$1:$1,0))</f>
        <v>7.7676908845264337E-3</v>
      </c>
      <c r="O148">
        <f>INDEX('4_number_of_transport'!$1:$343,MATCH($A148,'4_number_of_transport'!$A:$A,0),MATCH(O$1,'4_number_of_transport'!$1:$1,0))</f>
        <v>7227</v>
      </c>
      <c r="P148">
        <f>INDEX('2_land_use'!$1:$343,MATCH($A148,'2_land_use'!$A:$A,0),MATCH(P$1,'2_land_use'!$1:$1,0))</f>
        <v>37.13450101268775</v>
      </c>
      <c r="Q148">
        <f>INDEX('2_land_use'!$1:$343,MATCH($A148,'2_land_use'!$A:$A,0),MATCH(Q$1,'2_land_use'!$1:$1,0))</f>
        <v>11.514021110197374</v>
      </c>
      <c r="R148">
        <f>INDEX('6_roof_surface'!$1:$343,MATCH($A148,'6_roof_surface'!$A:$A,0),MATCH(R$1,'6_roof_surface'!$1:$1,0))</f>
        <v>0.48567900000000003</v>
      </c>
      <c r="S148">
        <f>INDEX('6_roof_surface'!$1:$343,MATCH($A148,'6_roof_surface'!$A:$A,0),MATCH(S$1,'6_roof_surface'!$1:$1,0))</f>
        <v>1.4305589999999999</v>
      </c>
    </row>
    <row r="149" spans="1:19" x14ac:dyDescent="0.2">
      <c r="A149" t="s">
        <v>149</v>
      </c>
      <c r="B149" t="str">
        <f>INDEX(CBS_gemeenten_alfabetisch_2023!$B:$B,MATCH($A149,CBS_gemeenten_alfabetisch_2023!$A:$A,0))</f>
        <v>Katwijk</v>
      </c>
      <c r="C149">
        <f>INDEX('5_train_share_nl'!$1:$343,MATCH($A149,'5_train_share_nl'!$A:$A,0),MATCH(C$1,'5_train_share_nl'!$1:$1,0))</f>
        <v>0</v>
      </c>
      <c r="D149">
        <f>INDEX('3_has_tram_metro'!$1:$343,MATCH($A149,'3_has_tram_metro'!$A:$A,0),MATCH(D$1,'3_has_tram_metro'!$1:$1,0))</f>
        <v>0</v>
      </c>
      <c r="E149">
        <f>INDEX('1_buildings_total'!$1:$343,MATCH($A149,'1_buildings_total'!$A:$A,0),MATCH(E$1,'1_buildings_total'!$1:$1,0))</f>
        <v>3856.8030769230768</v>
      </c>
      <c r="F149">
        <f>INDEX('2_land_use'!$1:$343,MATCH($A149,'2_land_use'!$A:$A,0),MATCH(F$1,'2_land_use'!$1:$1,0))</f>
        <v>6.1847245583206014</v>
      </c>
      <c r="G149">
        <f>INDEX('4_number_of_transport'!$1:$343,MATCH($A149,'4_number_of_transport'!$A:$A,0),MATCH(G$1,'4_number_of_transport'!$1:$1,0))</f>
        <v>3027</v>
      </c>
      <c r="H149">
        <f>INDEX('4_number_of_transport'!$1:$343,MATCH($A149,'4_number_of_transport'!$A:$A,0),MATCH(H$1,'4_number_of_transport'!$1:$1,0))</f>
        <v>486</v>
      </c>
      <c r="I149">
        <f>INDEX('4_number_of_transport'!$1:$343,MATCH($A149,'4_number_of_transport'!$A:$A,0),MATCH(I$1,'4_number_of_transport'!$1:$1,0))</f>
        <v>19</v>
      </c>
      <c r="J149">
        <f>INDEX('2_land_use'!$1:$343,MATCH($A149,'2_land_use'!$A:$A,0),MATCH(J$1,'2_land_use'!$1:$1,0))</f>
        <v>7.0013731121634252E-3</v>
      </c>
      <c r="K149">
        <f>INDEX('2_land_use'!$1:$343,MATCH($A149,'2_land_use'!$A:$A,0),MATCH(K$1,'2_land_use'!$1:$1,0))</f>
        <v>2.7728635752629168E-4</v>
      </c>
      <c r="L149">
        <f>INDEX('7_biomass'!$1:$343,MATCH($A149,'7_biomass'!$A:$A,0),MATCH(L$1,'7_biomass'!$1:$1,0))</f>
        <v>0.12164297342239475</v>
      </c>
      <c r="M149">
        <f>INDEX('7_biomass'!$1:$343,MATCH($A149,'7_biomass'!$A:$A,0),MATCH(M$1,'7_biomass'!$1:$1,0))</f>
        <v>0.16488679106664619</v>
      </c>
      <c r="N149">
        <f>INDEX('7_biomass'!$1:$343,MATCH($A149,'7_biomass'!$A:$A,0),MATCH(N$1,'7_biomass'!$1:$1,0))</f>
        <v>3.9675068450633177E-2</v>
      </c>
      <c r="O149">
        <f>INDEX('4_number_of_transport'!$1:$343,MATCH($A149,'4_number_of_transport'!$A:$A,0),MATCH(O$1,'4_number_of_transport'!$1:$1,0))</f>
        <v>27215</v>
      </c>
      <c r="P149">
        <f>INDEX('2_land_use'!$1:$343,MATCH($A149,'2_land_use'!$A:$A,0),MATCH(P$1,'2_land_use'!$1:$1,0))</f>
        <v>24.806679359597901</v>
      </c>
      <c r="Q149">
        <f>INDEX('2_land_use'!$1:$343,MATCH($A149,'2_land_use'!$A:$A,0),MATCH(Q$1,'2_land_use'!$1:$1,0))</f>
        <v>4.787786228875091</v>
      </c>
      <c r="R149">
        <f>INDEX('6_roof_surface'!$1:$343,MATCH($A149,'6_roof_surface'!$A:$A,0),MATCH(R$1,'6_roof_surface'!$1:$1,0))</f>
        <v>1.548098</v>
      </c>
      <c r="S149">
        <f>INDEX('6_roof_surface'!$1:$343,MATCH($A149,'6_roof_surface'!$A:$A,0),MATCH(S$1,'6_roof_surface'!$1:$1,0))</f>
        <v>2.374806</v>
      </c>
    </row>
    <row r="150" spans="1:19" x14ac:dyDescent="0.2">
      <c r="A150" t="s">
        <v>150</v>
      </c>
      <c r="B150" t="str">
        <f>INDEX(CBS_gemeenten_alfabetisch_2023!$B:$B,MATCH($A150,CBS_gemeenten_alfabetisch_2023!$A:$A,0))</f>
        <v>Kerkrade</v>
      </c>
      <c r="C150">
        <f>INDEX('5_train_share_nl'!$1:$343,MATCH($A150,'5_train_share_nl'!$A:$A,0),MATCH(C$1,'5_train_share_nl'!$1:$1,0))</f>
        <v>0</v>
      </c>
      <c r="D150">
        <f>INDEX('3_has_tram_metro'!$1:$343,MATCH($A150,'3_has_tram_metro'!$A:$A,0),MATCH(D$1,'3_has_tram_metro'!$1:$1,0))</f>
        <v>0</v>
      </c>
      <c r="E150">
        <f>INDEX('1_buildings_total'!$1:$343,MATCH($A150,'1_buildings_total'!$A:$A,0),MATCH(E$1,'1_buildings_total'!$1:$1,0))</f>
        <v>3076.2904615384614</v>
      </c>
      <c r="F150">
        <f>INDEX('2_land_use'!$1:$343,MATCH($A150,'2_land_use'!$A:$A,0),MATCH(F$1,'2_land_use'!$1:$1,0))</f>
        <v>3.7006355368719199</v>
      </c>
      <c r="G150">
        <f>INDEX('4_number_of_transport'!$1:$343,MATCH($A150,'4_number_of_transport'!$A:$A,0),MATCH(G$1,'4_number_of_transport'!$1:$1,0))</f>
        <v>1711</v>
      </c>
      <c r="H150">
        <f>INDEX('4_number_of_transport'!$1:$343,MATCH($A150,'4_number_of_transport'!$A:$A,0),MATCH(H$1,'4_number_of_transport'!$1:$1,0))</f>
        <v>104</v>
      </c>
      <c r="I150">
        <f>INDEX('4_number_of_transport'!$1:$343,MATCH($A150,'4_number_of_transport'!$A:$A,0),MATCH(I$1,'4_number_of_transport'!$1:$1,0))</f>
        <v>21</v>
      </c>
      <c r="J150">
        <f>INDEX('2_land_use'!$1:$343,MATCH($A150,'2_land_use'!$A:$A,0),MATCH(J$1,'2_land_use'!$1:$1,0))</f>
        <v>0</v>
      </c>
      <c r="K150">
        <f>INDEX('2_land_use'!$1:$343,MATCH($A150,'2_land_use'!$A:$A,0),MATCH(K$1,'2_land_use'!$1:$1,0))</f>
        <v>1.6591454298010068E-4</v>
      </c>
      <c r="L150">
        <f>INDEX('7_biomass'!$1:$343,MATCH($A150,'7_biomass'!$A:$A,0),MATCH(L$1,'7_biomass'!$1:$1,0))</f>
        <v>8.4247534001914773E-2</v>
      </c>
      <c r="M150">
        <f>INDEX('7_biomass'!$1:$343,MATCH($A150,'7_biomass'!$A:$A,0),MATCH(M$1,'7_biomass'!$1:$1,0))</f>
        <v>0.12746662585882712</v>
      </c>
      <c r="N150">
        <f>INDEX('7_biomass'!$1:$343,MATCH($A150,'7_biomass'!$A:$A,0),MATCH(N$1,'7_biomass'!$1:$1,0))</f>
        <v>2.7730383054482242E-2</v>
      </c>
      <c r="O150">
        <f>INDEX('4_number_of_transport'!$1:$343,MATCH($A150,'4_number_of_transport'!$A:$A,0),MATCH(O$1,'4_number_of_transport'!$1:$1,0))</f>
        <v>24608</v>
      </c>
      <c r="P150">
        <f>INDEX('2_land_use'!$1:$343,MATCH($A150,'2_land_use'!$A:$A,0),MATCH(P$1,'2_land_use'!$1:$1,0))</f>
        <v>21.908525979752362</v>
      </c>
      <c r="Q150">
        <f>INDEX('2_land_use'!$1:$343,MATCH($A150,'2_land_use'!$A:$A,0),MATCH(Q$1,'2_land_use'!$1:$1,0))</f>
        <v>0</v>
      </c>
      <c r="R150">
        <f>INDEX('6_roof_surface'!$1:$343,MATCH($A150,'6_roof_surface'!$A:$A,0),MATCH(R$1,'6_roof_surface'!$1:$1,0))</f>
        <v>1.6326940000000001</v>
      </c>
      <c r="S150">
        <f>INDEX('6_roof_surface'!$1:$343,MATCH($A150,'6_roof_surface'!$A:$A,0),MATCH(S$1,'6_roof_surface'!$1:$1,0))</f>
        <v>1.349664</v>
      </c>
    </row>
    <row r="151" spans="1:19" x14ac:dyDescent="0.2">
      <c r="A151" t="s">
        <v>151</v>
      </c>
      <c r="B151" t="str">
        <f>INDEX(CBS_gemeenten_alfabetisch_2023!$B:$B,MATCH($A151,CBS_gemeenten_alfabetisch_2023!$A:$A,0))</f>
        <v>Koggenland</v>
      </c>
      <c r="C151">
        <f>INDEX('5_train_share_nl'!$1:$343,MATCH($A151,'5_train_share_nl'!$A:$A,0),MATCH(C$1,'5_train_share_nl'!$1:$1,0))</f>
        <v>4.2250983513404889E-4</v>
      </c>
      <c r="D151">
        <f>INDEX('3_has_tram_metro'!$1:$343,MATCH($A151,'3_has_tram_metro'!$A:$A,0),MATCH(D$1,'3_has_tram_metro'!$1:$1,0))</f>
        <v>0</v>
      </c>
      <c r="E151">
        <f>INDEX('1_buildings_total'!$1:$343,MATCH($A151,'1_buildings_total'!$A:$A,0),MATCH(E$1,'1_buildings_total'!$1:$1,0))</f>
        <v>1588.4919230769237</v>
      </c>
      <c r="F151">
        <f>INDEX('2_land_use'!$1:$343,MATCH($A151,'2_land_use'!$A:$A,0),MATCH(F$1,'2_land_use'!$1:$1,0))</f>
        <v>69.457288852798911</v>
      </c>
      <c r="G151">
        <f>INDEX('4_number_of_transport'!$1:$343,MATCH($A151,'4_number_of_transport'!$A:$A,0),MATCH(G$1,'4_number_of_transport'!$1:$1,0))</f>
        <v>2220</v>
      </c>
      <c r="H151">
        <f>INDEX('4_number_of_transport'!$1:$343,MATCH($A151,'4_number_of_transport'!$A:$A,0),MATCH(H$1,'4_number_of_transport'!$1:$1,0))</f>
        <v>168</v>
      </c>
      <c r="I151">
        <f>INDEX('4_number_of_transport'!$1:$343,MATCH($A151,'4_number_of_transport'!$A:$A,0),MATCH(I$1,'4_number_of_transport'!$1:$1,0))</f>
        <v>3</v>
      </c>
      <c r="J151">
        <f>INDEX('2_land_use'!$1:$343,MATCH($A151,'2_land_use'!$A:$A,0),MATCH(J$1,'2_land_use'!$1:$1,0))</f>
        <v>3.8218233079480553E-3</v>
      </c>
      <c r="K151">
        <f>INDEX('2_land_use'!$1:$343,MATCH($A151,'2_land_use'!$A:$A,0),MATCH(K$1,'2_land_use'!$1:$1,0))</f>
        <v>3.1140527679172584E-3</v>
      </c>
      <c r="L151">
        <f>INDEX('7_biomass'!$1:$343,MATCH($A151,'7_biomass'!$A:$A,0),MATCH(L$1,'7_biomass'!$1:$1,0))</f>
        <v>0.23431267267110781</v>
      </c>
      <c r="M151">
        <f>INDEX('7_biomass'!$1:$343,MATCH($A151,'7_biomass'!$A:$A,0),MATCH(M$1,'7_biomass'!$1:$1,0))</f>
        <v>7.6284792522974737E-2</v>
      </c>
      <c r="N151">
        <f>INDEX('7_biomass'!$1:$343,MATCH($A151,'7_biomass'!$A:$A,0),MATCH(N$1,'7_biomass'!$1:$1,0))</f>
        <v>1.38147638116826E-2</v>
      </c>
      <c r="O151">
        <f>INDEX('4_number_of_transport'!$1:$343,MATCH($A151,'4_number_of_transport'!$A:$A,0),MATCH(O$1,'4_number_of_transport'!$1:$1,0))</f>
        <v>12898</v>
      </c>
      <c r="P151">
        <f>INDEX('2_land_use'!$1:$343,MATCH($A151,'2_land_use'!$A:$A,0),MATCH(P$1,'2_land_use'!$1:$1,0))</f>
        <v>80.255394285738632</v>
      </c>
      <c r="Q151">
        <f>INDEX('2_land_use'!$1:$343,MATCH($A151,'2_land_use'!$A:$A,0),MATCH(Q$1,'2_land_use'!$1:$1,0))</f>
        <v>0</v>
      </c>
      <c r="R151">
        <f>INDEX('6_roof_surface'!$1:$343,MATCH($A151,'6_roof_surface'!$A:$A,0),MATCH(R$1,'6_roof_surface'!$1:$1,0))</f>
        <v>0.93553799999999998</v>
      </c>
      <c r="S151">
        <f>INDEX('6_roof_surface'!$1:$343,MATCH($A151,'6_roof_surface'!$A:$A,0),MATCH(S$1,'6_roof_surface'!$1:$1,0))</f>
        <v>1.6027769999999999</v>
      </c>
    </row>
    <row r="152" spans="1:19" x14ac:dyDescent="0.2">
      <c r="A152" t="s">
        <v>152</v>
      </c>
      <c r="B152" t="str">
        <f>INDEX(CBS_gemeenten_alfabetisch_2023!$B:$B,MATCH($A152,CBS_gemeenten_alfabetisch_2023!$A:$A,0))</f>
        <v>Krimpen aan den IJssel</v>
      </c>
      <c r="C152">
        <f>INDEX('5_train_share_nl'!$1:$343,MATCH($A152,'5_train_share_nl'!$A:$A,0),MATCH(C$1,'5_train_share_nl'!$1:$1,0))</f>
        <v>0</v>
      </c>
      <c r="D152">
        <f>INDEX('3_has_tram_metro'!$1:$343,MATCH($A152,'3_has_tram_metro'!$A:$A,0),MATCH(D$1,'3_has_tram_metro'!$1:$1,0))</f>
        <v>0</v>
      </c>
      <c r="E152">
        <f>INDEX('1_buildings_total'!$1:$343,MATCH($A152,'1_buildings_total'!$A:$A,0),MATCH(E$1,'1_buildings_total'!$1:$1,0))</f>
        <v>1294.2393846153848</v>
      </c>
      <c r="F152">
        <f>INDEX('2_land_use'!$1:$343,MATCH($A152,'2_land_use'!$A:$A,0),MATCH(F$1,'2_land_use'!$1:$1,0))</f>
        <v>0.41330670143927117</v>
      </c>
      <c r="G152">
        <f>INDEX('4_number_of_transport'!$1:$343,MATCH($A152,'4_number_of_transport'!$A:$A,0),MATCH(G$1,'4_number_of_transport'!$1:$1,0))</f>
        <v>1029</v>
      </c>
      <c r="H152">
        <f>INDEX('4_number_of_transport'!$1:$343,MATCH($A152,'4_number_of_transport'!$A:$A,0),MATCH(H$1,'4_number_of_transport'!$1:$1,0))</f>
        <v>98</v>
      </c>
      <c r="I152">
        <f>INDEX('4_number_of_transport'!$1:$343,MATCH($A152,'4_number_of_transport'!$A:$A,0),MATCH(I$1,'4_number_of_transport'!$1:$1,0))</f>
        <v>0</v>
      </c>
      <c r="J152">
        <f>INDEX('2_land_use'!$1:$343,MATCH($A152,'2_land_use'!$A:$A,0),MATCH(J$1,'2_land_use'!$1:$1,0))</f>
        <v>0</v>
      </c>
      <c r="K152">
        <f>INDEX('2_land_use'!$1:$343,MATCH($A152,'2_land_use'!$A:$A,0),MATCH(K$1,'2_land_use'!$1:$1,0))</f>
        <v>1.8530220497713106E-5</v>
      </c>
      <c r="L152">
        <f>INDEX('7_biomass'!$1:$343,MATCH($A152,'7_biomass'!$A:$A,0),MATCH(L$1,'7_biomass'!$1:$1,0))</f>
        <v>5.6162528942513688E-2</v>
      </c>
      <c r="M152">
        <f>INDEX('7_biomass'!$1:$343,MATCH($A152,'7_biomass'!$A:$A,0),MATCH(M$1,'7_biomass'!$1:$1,0))</f>
        <v>7.5603822903391155E-2</v>
      </c>
      <c r="N152">
        <f>INDEX('7_biomass'!$1:$343,MATCH($A152,'7_biomass'!$A:$A,0),MATCH(N$1,'7_biomass'!$1:$1,0))</f>
        <v>1.7847765930688188E-2</v>
      </c>
      <c r="O152">
        <f>INDEX('4_number_of_transport'!$1:$343,MATCH($A152,'4_number_of_transport'!$A:$A,0),MATCH(O$1,'4_number_of_transport'!$1:$1,0))</f>
        <v>13987</v>
      </c>
      <c r="P152">
        <f>INDEX('2_land_use'!$1:$343,MATCH($A152,'2_land_use'!$A:$A,0),MATCH(P$1,'2_land_use'!$1:$1,0))</f>
        <v>7.6736574001028783</v>
      </c>
      <c r="Q152">
        <f>INDEX('2_land_use'!$1:$343,MATCH($A152,'2_land_use'!$A:$A,0),MATCH(Q$1,'2_land_use'!$1:$1,0))</f>
        <v>0</v>
      </c>
      <c r="R152">
        <f>INDEX('6_roof_surface'!$1:$343,MATCH($A152,'6_roof_surface'!$A:$A,0),MATCH(R$1,'6_roof_surface'!$1:$1,0))</f>
        <v>0.75375599999999998</v>
      </c>
      <c r="S152">
        <f>INDEX('6_roof_surface'!$1:$343,MATCH($A152,'6_roof_surface'!$A:$A,0),MATCH(S$1,'6_roof_surface'!$1:$1,0))</f>
        <v>0.53451300000000002</v>
      </c>
    </row>
    <row r="153" spans="1:19" x14ac:dyDescent="0.2">
      <c r="A153" t="s">
        <v>153</v>
      </c>
      <c r="B153" t="str">
        <f>INDEX(CBS_gemeenten_alfabetisch_2023!$B:$B,MATCH($A153,CBS_gemeenten_alfabetisch_2023!$A:$A,0))</f>
        <v>Krimpenerwaard</v>
      </c>
      <c r="C153">
        <f>INDEX('5_train_share_nl'!$1:$343,MATCH($A153,'5_train_share_nl'!$A:$A,0),MATCH(C$1,'5_train_share_nl'!$1:$1,0))</f>
        <v>0</v>
      </c>
      <c r="D153">
        <f>INDEX('3_has_tram_metro'!$1:$343,MATCH($A153,'3_has_tram_metro'!$A:$A,0),MATCH(D$1,'3_has_tram_metro'!$1:$1,0))</f>
        <v>0</v>
      </c>
      <c r="E153">
        <f>INDEX('1_buildings_total'!$1:$343,MATCH($A153,'1_buildings_total'!$A:$A,0),MATCH(E$1,'1_buildings_total'!$1:$1,0))</f>
        <v>3242.4783846153846</v>
      </c>
      <c r="F153">
        <f>INDEX('2_land_use'!$1:$343,MATCH($A153,'2_land_use'!$A:$A,0),MATCH(F$1,'2_land_use'!$1:$1,0))</f>
        <v>128.32422063175952</v>
      </c>
      <c r="G153">
        <f>INDEX('4_number_of_transport'!$1:$343,MATCH($A153,'4_number_of_transport'!$A:$A,0),MATCH(G$1,'4_number_of_transport'!$1:$1,0))</f>
        <v>4194</v>
      </c>
      <c r="H153">
        <f>INDEX('4_number_of_transport'!$1:$343,MATCH($A153,'4_number_of_transport'!$A:$A,0),MATCH(H$1,'4_number_of_transport'!$1:$1,0))</f>
        <v>288</v>
      </c>
      <c r="I153">
        <f>INDEX('4_number_of_transport'!$1:$343,MATCH($A153,'4_number_of_transport'!$A:$A,0),MATCH(I$1,'4_number_of_transport'!$1:$1,0))</f>
        <v>0</v>
      </c>
      <c r="J153">
        <f>INDEX('2_land_use'!$1:$343,MATCH($A153,'2_land_use'!$A:$A,0),MATCH(J$1,'2_land_use'!$1:$1,0))</f>
        <v>0</v>
      </c>
      <c r="K153">
        <f>INDEX('2_land_use'!$1:$343,MATCH($A153,'2_land_use'!$A:$A,0),MATCH(K$1,'2_land_use'!$1:$1,0))</f>
        <v>5.753296753290317E-3</v>
      </c>
      <c r="L153">
        <f>INDEX('7_biomass'!$1:$343,MATCH($A153,'7_biomass'!$A:$A,0),MATCH(L$1,'7_biomass'!$1:$1,0))</f>
        <v>0.4161449357173907</v>
      </c>
      <c r="M153">
        <f>INDEX('7_biomass'!$1:$343,MATCH($A153,'7_biomass'!$A:$A,0),MATCH(M$1,'7_biomass'!$1:$1,0))</f>
        <v>0.18209589527917747</v>
      </c>
      <c r="N153">
        <f>INDEX('7_biomass'!$1:$343,MATCH($A153,'7_biomass'!$A:$A,0),MATCH(N$1,'7_biomass'!$1:$1,0))</f>
        <v>3.4052681947277084E-2</v>
      </c>
      <c r="O153">
        <f>INDEX('4_number_of_transport'!$1:$343,MATCH($A153,'4_number_of_transport'!$A:$A,0),MATCH(O$1,'4_number_of_transport'!$1:$1,0))</f>
        <v>28953</v>
      </c>
      <c r="P153">
        <f>INDEX('2_land_use'!$1:$343,MATCH($A153,'2_land_use'!$A:$A,0),MATCH(P$1,'2_land_use'!$1:$1,0))</f>
        <v>148.31997927308242</v>
      </c>
      <c r="Q153">
        <f>INDEX('2_land_use'!$1:$343,MATCH($A153,'2_land_use'!$A:$A,0),MATCH(Q$1,'2_land_use'!$1:$1,0))</f>
        <v>0</v>
      </c>
      <c r="R153">
        <f>INDEX('6_roof_surface'!$1:$343,MATCH($A153,'6_roof_surface'!$A:$A,0),MATCH(R$1,'6_roof_surface'!$1:$1,0))</f>
        <v>1.8124819999999999</v>
      </c>
      <c r="S153">
        <f>INDEX('6_roof_surface'!$1:$343,MATCH($A153,'6_roof_surface'!$A:$A,0),MATCH(S$1,'6_roof_surface'!$1:$1,0))</f>
        <v>2.067755</v>
      </c>
    </row>
    <row r="154" spans="1:19" x14ac:dyDescent="0.2">
      <c r="A154" t="s">
        <v>154</v>
      </c>
      <c r="B154" t="str">
        <f>INDEX(CBS_gemeenten_alfabetisch_2023!$B:$B,MATCH($A154,CBS_gemeenten_alfabetisch_2023!$A:$A,0))</f>
        <v>Laarbeek</v>
      </c>
      <c r="C154">
        <f>INDEX('5_train_share_nl'!$1:$343,MATCH($A154,'5_train_share_nl'!$A:$A,0),MATCH(C$1,'5_train_share_nl'!$1:$1,0))</f>
        <v>0</v>
      </c>
      <c r="D154">
        <f>INDEX('3_has_tram_metro'!$1:$343,MATCH($A154,'3_has_tram_metro'!$A:$A,0),MATCH(D$1,'3_has_tram_metro'!$1:$1,0))</f>
        <v>0</v>
      </c>
      <c r="E154">
        <f>INDEX('1_buildings_total'!$1:$343,MATCH($A154,'1_buildings_total'!$A:$A,0),MATCH(E$1,'1_buildings_total'!$1:$1,0))</f>
        <v>3841.9869230769232</v>
      </c>
      <c r="F154">
        <f>INDEX('2_land_use'!$1:$343,MATCH($A154,'2_land_use'!$A:$A,0),MATCH(F$1,'2_land_use'!$1:$1,0))</f>
        <v>38.442436606368467</v>
      </c>
      <c r="G154">
        <f>INDEX('4_number_of_transport'!$1:$343,MATCH($A154,'4_number_of_transport'!$A:$A,0),MATCH(G$1,'4_number_of_transport'!$1:$1,0))</f>
        <v>1703</v>
      </c>
      <c r="H154">
        <f>INDEX('4_number_of_transport'!$1:$343,MATCH($A154,'4_number_of_transport'!$A:$A,0),MATCH(H$1,'4_number_of_transport'!$1:$1,0))</f>
        <v>168</v>
      </c>
      <c r="I154">
        <f>INDEX('4_number_of_transport'!$1:$343,MATCH($A154,'4_number_of_transport'!$A:$A,0),MATCH(I$1,'4_number_of_transport'!$1:$1,0))</f>
        <v>0</v>
      </c>
      <c r="J154">
        <f>INDEX('2_land_use'!$1:$343,MATCH($A154,'2_land_use'!$A:$A,0),MATCH(J$1,'2_land_use'!$1:$1,0))</f>
        <v>2.5483411960367411E-3</v>
      </c>
      <c r="K154">
        <f>INDEX('2_land_use'!$1:$343,MATCH($A154,'2_land_use'!$A:$A,0),MATCH(K$1,'2_land_use'!$1:$1,0))</f>
        <v>1.7235307927617369E-3</v>
      </c>
      <c r="L154">
        <f>INDEX('7_biomass'!$1:$343,MATCH($A154,'7_biomass'!$A:$A,0),MATCH(L$1,'7_biomass'!$1:$1,0))</f>
        <v>0.17067014954975643</v>
      </c>
      <c r="M154">
        <f>INDEX('7_biomass'!$1:$343,MATCH($A154,'7_biomass'!$A:$A,0),MATCH(M$1,'7_biomass'!$1:$1,0))</f>
        <v>0.10194270142437969</v>
      </c>
      <c r="N154">
        <f>INDEX('7_biomass'!$1:$343,MATCH($A154,'7_biomass'!$A:$A,0),MATCH(N$1,'7_biomass'!$1:$1,0))</f>
        <v>1.3568700862270539E-2</v>
      </c>
      <c r="O154">
        <f>INDEX('4_number_of_transport'!$1:$343,MATCH($A154,'4_number_of_transport'!$A:$A,0),MATCH(O$1,'4_number_of_transport'!$1:$1,0))</f>
        <v>12970</v>
      </c>
      <c r="P154">
        <f>INDEX('2_land_use'!$1:$343,MATCH($A154,'2_land_use'!$A:$A,0),MATCH(P$1,'2_land_use'!$1:$1,0))</f>
        <v>55.351120704882035</v>
      </c>
      <c r="Q154">
        <f>INDEX('2_land_use'!$1:$343,MATCH($A154,'2_land_use'!$A:$A,0),MATCH(Q$1,'2_land_use'!$1:$1,0))</f>
        <v>0</v>
      </c>
      <c r="R154">
        <f>INDEX('6_roof_surface'!$1:$343,MATCH($A154,'6_roof_surface'!$A:$A,0),MATCH(R$1,'6_roof_surface'!$1:$1,0))</f>
        <v>0.96957300000000002</v>
      </c>
      <c r="S154">
        <f>INDEX('6_roof_surface'!$1:$343,MATCH($A154,'6_roof_surface'!$A:$A,0),MATCH(S$1,'6_roof_surface'!$1:$1,0))</f>
        <v>1.706577</v>
      </c>
    </row>
    <row r="155" spans="1:19" x14ac:dyDescent="0.2">
      <c r="A155" t="s">
        <v>155</v>
      </c>
      <c r="B155" t="str">
        <f>INDEX(CBS_gemeenten_alfabetisch_2023!$B:$B,MATCH($A155,CBS_gemeenten_alfabetisch_2023!$A:$A,0))</f>
        <v>Land van Cuijk</v>
      </c>
      <c r="C155">
        <f>INDEX('5_train_share_nl'!$1:$343,MATCH($A155,'5_train_share_nl'!$A:$A,0),MATCH(C$1,'5_train_share_nl'!$1:$1,0))</f>
        <v>2.7928414875355639E-3</v>
      </c>
      <c r="D155">
        <f>INDEX('3_has_tram_metro'!$1:$343,MATCH($A155,'3_has_tram_metro'!$A:$A,0),MATCH(D$1,'3_has_tram_metro'!$1:$1,0))</f>
        <v>0</v>
      </c>
      <c r="E155">
        <f>INDEX('1_buildings_total'!$1:$343,MATCH($A155,'1_buildings_total'!$A:$A,0),MATCH(E$1,'1_buildings_total'!$1:$1,0))</f>
        <v>10168.627769230767</v>
      </c>
      <c r="F155">
        <f>INDEX('2_land_use'!$1:$343,MATCH($A155,'2_land_use'!$A:$A,0),MATCH(F$1,'2_land_use'!$1:$1,0))</f>
        <v>252.35299424517959</v>
      </c>
      <c r="G155">
        <f>INDEX('4_number_of_transport'!$1:$343,MATCH($A155,'4_number_of_transport'!$A:$A,0),MATCH(G$1,'4_number_of_transport'!$1:$1,0))</f>
        <v>5881</v>
      </c>
      <c r="H155">
        <f>INDEX('4_number_of_transport'!$1:$343,MATCH($A155,'4_number_of_transport'!$A:$A,0),MATCH(H$1,'4_number_of_transport'!$1:$1,0))</f>
        <v>614</v>
      </c>
      <c r="I155">
        <f>INDEX('4_number_of_transport'!$1:$343,MATCH($A155,'4_number_of_transport'!$A:$A,0),MATCH(I$1,'4_number_of_transport'!$1:$1,0))</f>
        <v>13</v>
      </c>
      <c r="J155">
        <f>INDEX('2_land_use'!$1:$343,MATCH($A155,'2_land_use'!$A:$A,0),MATCH(J$1,'2_land_use'!$1:$1,0))</f>
        <v>1.8875727009770786E-3</v>
      </c>
      <c r="K155">
        <f>INDEX('2_land_use'!$1:$343,MATCH($A155,'2_land_use'!$A:$A,0),MATCH(K$1,'2_land_use'!$1:$1,0))</f>
        <v>1.1314011145566655E-2</v>
      </c>
      <c r="L155">
        <f>INDEX('7_biomass'!$1:$343,MATCH($A155,'7_biomass'!$A:$A,0),MATCH(L$1,'7_biomass'!$1:$1,0))</f>
        <v>0.43055013646808088</v>
      </c>
      <c r="M155">
        <f>INDEX('7_biomass'!$1:$343,MATCH($A155,'7_biomass'!$A:$A,0),MATCH(M$1,'7_biomass'!$1:$1,0))</f>
        <v>0.1076501192745089</v>
      </c>
      <c r="N155">
        <f>INDEX('7_biomass'!$1:$343,MATCH($A155,'7_biomass'!$A:$A,0),MATCH(N$1,'7_biomass'!$1:$1,0))</f>
        <v>7.0513742984602097E-3</v>
      </c>
      <c r="O155">
        <f>INDEX('4_number_of_transport'!$1:$343,MATCH($A155,'4_number_of_transport'!$A:$A,0),MATCH(O$1,'4_number_of_transport'!$1:$1,0))</f>
        <v>52033</v>
      </c>
      <c r="P155">
        <f>INDEX('2_land_use'!$1:$343,MATCH($A155,'2_land_use'!$A:$A,0),MATCH(P$1,'2_land_use'!$1:$1,0))</f>
        <v>341.26222393210134</v>
      </c>
      <c r="Q155">
        <f>INDEX('2_land_use'!$1:$343,MATCH($A155,'2_land_use'!$A:$A,0),MATCH(Q$1,'2_land_use'!$1:$1,0))</f>
        <v>0</v>
      </c>
      <c r="R155">
        <f>INDEX('6_roof_surface'!$1:$343,MATCH($A155,'6_roof_surface'!$A:$A,0),MATCH(R$1,'6_roof_surface'!$1:$1,0))</f>
        <v>3.9601860000000002</v>
      </c>
      <c r="S155">
        <f>INDEX('6_roof_surface'!$1:$343,MATCH($A155,'6_roof_surface'!$A:$A,0),MATCH(S$1,'6_roof_surface'!$1:$1,0))</f>
        <v>6.8094340000000004</v>
      </c>
    </row>
    <row r="156" spans="1:19" x14ac:dyDescent="0.2">
      <c r="A156" t="s">
        <v>156</v>
      </c>
      <c r="B156" t="str">
        <f>INDEX(CBS_gemeenten_alfabetisch_2023!$B:$B,MATCH($A156,CBS_gemeenten_alfabetisch_2023!$A:$A,0))</f>
        <v>Landgraaf</v>
      </c>
      <c r="C156">
        <f>INDEX('5_train_share_nl'!$1:$343,MATCH($A156,'5_train_share_nl'!$A:$A,0),MATCH(C$1,'5_train_share_nl'!$1:$1,0))</f>
        <v>0</v>
      </c>
      <c r="D156">
        <f>INDEX('3_has_tram_metro'!$1:$343,MATCH($A156,'3_has_tram_metro'!$A:$A,0),MATCH(D$1,'3_has_tram_metro'!$1:$1,0))</f>
        <v>0</v>
      </c>
      <c r="E156">
        <f>INDEX('1_buildings_total'!$1:$343,MATCH($A156,'1_buildings_total'!$A:$A,0),MATCH(E$1,'1_buildings_total'!$1:$1,0))</f>
        <v>2215.9685384615391</v>
      </c>
      <c r="F156">
        <f>INDEX('2_land_use'!$1:$343,MATCH($A156,'2_land_use'!$A:$A,0),MATCH(F$1,'2_land_use'!$1:$1,0))</f>
        <v>7.4389564098424641</v>
      </c>
      <c r="G156">
        <f>INDEX('4_number_of_transport'!$1:$343,MATCH($A156,'4_number_of_transport'!$A:$A,0),MATCH(G$1,'4_number_of_transport'!$1:$1,0))</f>
        <v>1438</v>
      </c>
      <c r="H156">
        <f>INDEX('4_number_of_transport'!$1:$343,MATCH($A156,'4_number_of_transport'!$A:$A,0),MATCH(H$1,'4_number_of_transport'!$1:$1,0))</f>
        <v>93</v>
      </c>
      <c r="I156">
        <f>INDEX('4_number_of_transport'!$1:$343,MATCH($A156,'4_number_of_transport'!$A:$A,0),MATCH(I$1,'4_number_of_transport'!$1:$1,0))</f>
        <v>0</v>
      </c>
      <c r="J156">
        <f>INDEX('2_land_use'!$1:$343,MATCH($A156,'2_land_use'!$A:$A,0),MATCH(J$1,'2_land_use'!$1:$1,0))</f>
        <v>0</v>
      </c>
      <c r="K156">
        <f>INDEX('2_land_use'!$1:$343,MATCH($A156,'2_land_use'!$A:$A,0),MATCH(K$1,'2_land_use'!$1:$1,0))</f>
        <v>3.3351867285779134E-4</v>
      </c>
      <c r="L156">
        <f>INDEX('7_biomass'!$1:$343,MATCH($A156,'7_biomass'!$A:$A,0),MATCH(L$1,'7_biomass'!$1:$1,0))</f>
        <v>7.0357422401018735E-2</v>
      </c>
      <c r="M156">
        <f>INDEX('7_biomass'!$1:$343,MATCH($A156,'7_biomass'!$A:$A,0),MATCH(M$1,'7_biomass'!$1:$1,0))</f>
        <v>0.10660108874583597</v>
      </c>
      <c r="N156">
        <f>INDEX('7_biomass'!$1:$343,MATCH($A156,'7_biomass'!$A:$A,0),MATCH(N$1,'7_biomass'!$1:$1,0))</f>
        <v>2.2838894645305686E-2</v>
      </c>
      <c r="O156">
        <f>INDEX('4_number_of_transport'!$1:$343,MATCH($A156,'4_number_of_transport'!$A:$A,0),MATCH(O$1,'4_number_of_transport'!$1:$1,0))</f>
        <v>21428</v>
      </c>
      <c r="P156">
        <f>INDEX('2_land_use'!$1:$343,MATCH($A156,'2_land_use'!$A:$A,0),MATCH(P$1,'2_land_use'!$1:$1,0))</f>
        <v>24.58345798594452</v>
      </c>
      <c r="Q156">
        <f>INDEX('2_land_use'!$1:$343,MATCH($A156,'2_land_use'!$A:$A,0),MATCH(Q$1,'2_land_use'!$1:$1,0))</f>
        <v>0</v>
      </c>
      <c r="R156">
        <f>INDEX('6_roof_surface'!$1:$343,MATCH($A156,'6_roof_surface'!$A:$A,0),MATCH(R$1,'6_roof_surface'!$1:$1,0))</f>
        <v>1.4519040000000001</v>
      </c>
      <c r="S156">
        <f>INDEX('6_roof_surface'!$1:$343,MATCH($A156,'6_roof_surface'!$A:$A,0),MATCH(S$1,'6_roof_surface'!$1:$1,0))</f>
        <v>0.73620300000000005</v>
      </c>
    </row>
    <row r="157" spans="1:19" x14ac:dyDescent="0.2">
      <c r="A157" t="s">
        <v>157</v>
      </c>
      <c r="B157" t="str">
        <f>INDEX(CBS_gemeenten_alfabetisch_2023!$B:$B,MATCH($A157,CBS_gemeenten_alfabetisch_2023!$A:$A,0))</f>
        <v>Landsmeer</v>
      </c>
      <c r="C157">
        <f>INDEX('5_train_share_nl'!$1:$343,MATCH($A157,'5_train_share_nl'!$A:$A,0),MATCH(C$1,'5_train_share_nl'!$1:$1,0))</f>
        <v>0</v>
      </c>
      <c r="D157">
        <f>INDEX('3_has_tram_metro'!$1:$343,MATCH($A157,'3_has_tram_metro'!$A:$A,0),MATCH(D$1,'3_has_tram_metro'!$1:$1,0))</f>
        <v>0</v>
      </c>
      <c r="E157">
        <f>INDEX('1_buildings_total'!$1:$343,MATCH($A157,'1_buildings_total'!$A:$A,0),MATCH(E$1,'1_buildings_total'!$1:$1,0))</f>
        <v>567.72469230769229</v>
      </c>
      <c r="F157">
        <f>INDEX('2_land_use'!$1:$343,MATCH($A157,'2_land_use'!$A:$A,0),MATCH(F$1,'2_land_use'!$1:$1,0))</f>
        <v>15.152176129077624</v>
      </c>
      <c r="G157">
        <f>INDEX('4_number_of_transport'!$1:$343,MATCH($A157,'4_number_of_transport'!$A:$A,0),MATCH(G$1,'4_number_of_transport'!$1:$1,0))</f>
        <v>539</v>
      </c>
      <c r="H157">
        <f>INDEX('4_number_of_transport'!$1:$343,MATCH($A157,'4_number_of_transport'!$A:$A,0),MATCH(H$1,'4_number_of_transport'!$1:$1,0))</f>
        <v>13</v>
      </c>
      <c r="I157">
        <f>INDEX('4_number_of_transport'!$1:$343,MATCH($A157,'4_number_of_transport'!$A:$A,0),MATCH(I$1,'4_number_of_transport'!$1:$1,0))</f>
        <v>1</v>
      </c>
      <c r="J157">
        <f>INDEX('2_land_use'!$1:$343,MATCH($A157,'2_land_use'!$A:$A,0),MATCH(J$1,'2_land_use'!$1:$1,0))</f>
        <v>0</v>
      </c>
      <c r="K157">
        <f>INDEX('2_land_use'!$1:$343,MATCH($A157,'2_land_use'!$A:$A,0),MATCH(K$1,'2_land_use'!$1:$1,0))</f>
        <v>6.7933368540661944E-4</v>
      </c>
      <c r="L157">
        <f>INDEX('7_biomass'!$1:$343,MATCH($A157,'7_biomass'!$A:$A,0),MATCH(L$1,'7_biomass'!$1:$1,0))</f>
        <v>0.10103783271513626</v>
      </c>
      <c r="M157">
        <f>INDEX('7_biomass'!$1:$343,MATCH($A157,'7_biomass'!$A:$A,0),MATCH(M$1,'7_biomass'!$1:$1,0))</f>
        <v>3.1844012610771841E-2</v>
      </c>
      <c r="N157">
        <f>INDEX('7_biomass'!$1:$343,MATCH($A157,'7_biomass'!$A:$A,0),MATCH(N$1,'7_biomass'!$1:$1,0))</f>
        <v>6.9796818835697822E-3</v>
      </c>
      <c r="O157">
        <f>INDEX('4_number_of_transport'!$1:$343,MATCH($A157,'4_number_of_transport'!$A:$A,0),MATCH(O$1,'4_number_of_transport'!$1:$1,0))</f>
        <v>5678</v>
      </c>
      <c r="P157">
        <f>INDEX('2_land_use'!$1:$343,MATCH($A157,'2_land_use'!$A:$A,0),MATCH(P$1,'2_land_use'!$1:$1,0))</f>
        <v>22.438720314639351</v>
      </c>
      <c r="Q157">
        <f>INDEX('2_land_use'!$1:$343,MATCH($A157,'2_land_use'!$A:$A,0),MATCH(Q$1,'2_land_use'!$1:$1,0))</f>
        <v>0</v>
      </c>
      <c r="R157">
        <f>INDEX('6_roof_surface'!$1:$343,MATCH($A157,'6_roof_surface'!$A:$A,0),MATCH(R$1,'6_roof_surface'!$1:$1,0))</f>
        <v>0.37240600000000001</v>
      </c>
      <c r="S157">
        <f>INDEX('6_roof_surface'!$1:$343,MATCH($A157,'6_roof_surface'!$A:$A,0),MATCH(S$1,'6_roof_surface'!$1:$1,0))</f>
        <v>0.21550900000000001</v>
      </c>
    </row>
    <row r="158" spans="1:19" x14ac:dyDescent="0.2">
      <c r="A158" t="s">
        <v>158</v>
      </c>
      <c r="B158" t="str">
        <f>INDEX(CBS_gemeenten_alfabetisch_2023!$B:$B,MATCH($A158,CBS_gemeenten_alfabetisch_2023!$A:$A,0))</f>
        <v>Lansingerland</v>
      </c>
      <c r="C158">
        <f>INDEX('5_train_share_nl'!$1:$343,MATCH($A158,'5_train_share_nl'!$A:$A,0),MATCH(C$1,'5_train_share_nl'!$1:$1,0))</f>
        <v>0</v>
      </c>
      <c r="D158">
        <f>INDEX('3_has_tram_metro'!$1:$343,MATCH($A158,'3_has_tram_metro'!$A:$A,0),MATCH(D$1,'3_has_tram_metro'!$1:$1,0))</f>
        <v>0</v>
      </c>
      <c r="E158">
        <f>INDEX('1_buildings_total'!$1:$343,MATCH($A158,'1_buildings_total'!$A:$A,0),MATCH(E$1,'1_buildings_total'!$1:$1,0))</f>
        <v>2816.7917692307688</v>
      </c>
      <c r="F158">
        <f>INDEX('2_land_use'!$1:$343,MATCH($A158,'2_land_use'!$A:$A,0),MATCH(F$1,'2_land_use'!$1:$1,0))</f>
        <v>29.464497123292986</v>
      </c>
      <c r="G158">
        <f>INDEX('4_number_of_transport'!$1:$343,MATCH($A158,'4_number_of_transport'!$A:$A,0),MATCH(G$1,'4_number_of_transport'!$1:$1,0))</f>
        <v>3557</v>
      </c>
      <c r="H158">
        <f>INDEX('4_number_of_transport'!$1:$343,MATCH($A158,'4_number_of_transport'!$A:$A,0),MATCH(H$1,'4_number_of_transport'!$1:$1,0))</f>
        <v>340</v>
      </c>
      <c r="I158">
        <f>INDEX('4_number_of_transport'!$1:$343,MATCH($A158,'4_number_of_transport'!$A:$A,0),MATCH(I$1,'4_number_of_transport'!$1:$1,0))</f>
        <v>6</v>
      </c>
      <c r="J158">
        <f>INDEX('2_land_use'!$1:$343,MATCH($A158,'2_land_use'!$A:$A,0),MATCH(J$1,'2_land_use'!$1:$1,0))</f>
        <v>7.5475284078914032E-2</v>
      </c>
      <c r="K158">
        <f>INDEX('2_land_use'!$1:$343,MATCH($A158,'2_land_use'!$A:$A,0),MATCH(K$1,'2_land_use'!$1:$1,0))</f>
        <v>1.3210132491139298E-3</v>
      </c>
      <c r="L158">
        <f>INDEX('7_biomass'!$1:$343,MATCH($A158,'7_biomass'!$A:$A,0),MATCH(L$1,'7_biomass'!$1:$1,0))</f>
        <v>0.15711356521181194</v>
      </c>
      <c r="M158">
        <f>INDEX('7_biomass'!$1:$343,MATCH($A158,'7_biomass'!$A:$A,0),MATCH(M$1,'7_biomass'!$1:$1,0))</f>
        <v>0.16405134048691858</v>
      </c>
      <c r="N158">
        <f>INDEX('7_biomass'!$1:$343,MATCH($A158,'7_biomass'!$A:$A,0),MATCH(N$1,'7_biomass'!$1:$1,0))</f>
        <v>3.7426478386993575E-2</v>
      </c>
      <c r="O158">
        <f>INDEX('4_number_of_transport'!$1:$343,MATCH($A158,'4_number_of_transport'!$A:$A,0),MATCH(O$1,'4_number_of_transport'!$1:$1,0))</f>
        <v>32099</v>
      </c>
      <c r="P158">
        <f>INDEX('2_land_use'!$1:$343,MATCH($A158,'2_land_use'!$A:$A,0),MATCH(P$1,'2_land_use'!$1:$1,0))</f>
        <v>53.272435617192123</v>
      </c>
      <c r="Q158">
        <f>INDEX('2_land_use'!$1:$343,MATCH($A158,'2_land_use'!$A:$A,0),MATCH(Q$1,'2_land_use'!$1:$1,0))</f>
        <v>0</v>
      </c>
      <c r="R158">
        <f>INDEX('6_roof_surface'!$1:$343,MATCH($A158,'6_roof_surface'!$A:$A,0),MATCH(R$1,'6_roof_surface'!$1:$1,0))</f>
        <v>1.7303379999999999</v>
      </c>
      <c r="S158">
        <f>INDEX('6_roof_surface'!$1:$343,MATCH($A158,'6_roof_surface'!$A:$A,0),MATCH(S$1,'6_roof_surface'!$1:$1,0))</f>
        <v>11.350783</v>
      </c>
    </row>
    <row r="159" spans="1:19" x14ac:dyDescent="0.2">
      <c r="A159" t="s">
        <v>159</v>
      </c>
      <c r="B159" t="str">
        <f>INDEX(CBS_gemeenten_alfabetisch_2023!$B:$B,MATCH($A159,CBS_gemeenten_alfabetisch_2023!$A:$A,0))</f>
        <v>Laren</v>
      </c>
      <c r="C159">
        <f>INDEX('5_train_share_nl'!$1:$343,MATCH($A159,'5_train_share_nl'!$A:$A,0),MATCH(C$1,'5_train_share_nl'!$1:$1,0))</f>
        <v>0</v>
      </c>
      <c r="D159">
        <f>INDEX('3_has_tram_metro'!$1:$343,MATCH($A159,'3_has_tram_metro'!$A:$A,0),MATCH(D$1,'3_has_tram_metro'!$1:$1,0))</f>
        <v>0</v>
      </c>
      <c r="E159">
        <f>INDEX('1_buildings_total'!$1:$343,MATCH($A159,'1_buildings_total'!$A:$A,0),MATCH(E$1,'1_buildings_total'!$1:$1,0))</f>
        <v>878.51530769230749</v>
      </c>
      <c r="F159">
        <f>INDEX('2_land_use'!$1:$343,MATCH($A159,'2_land_use'!$A:$A,0),MATCH(F$1,'2_land_use'!$1:$1,0))</f>
        <v>0.46107839081198276</v>
      </c>
      <c r="G159">
        <f>INDEX('4_number_of_transport'!$1:$343,MATCH($A159,'4_number_of_transport'!$A:$A,0),MATCH(G$1,'4_number_of_transport'!$1:$1,0))</f>
        <v>396</v>
      </c>
      <c r="H159">
        <f>INDEX('4_number_of_transport'!$1:$343,MATCH($A159,'4_number_of_transport'!$A:$A,0),MATCH(H$1,'4_number_of_transport'!$1:$1,0))</f>
        <v>12</v>
      </c>
      <c r="I159">
        <f>INDEX('4_number_of_transport'!$1:$343,MATCH($A159,'4_number_of_transport'!$A:$A,0),MATCH(I$1,'4_number_of_transport'!$1:$1,0))</f>
        <v>0</v>
      </c>
      <c r="J159">
        <f>INDEX('2_land_use'!$1:$343,MATCH($A159,'2_land_use'!$A:$A,0),MATCH(J$1,'2_land_use'!$1:$1,0))</f>
        <v>0</v>
      </c>
      <c r="K159">
        <f>INDEX('2_land_use'!$1:$343,MATCH($A159,'2_land_use'!$A:$A,0),MATCH(K$1,'2_land_use'!$1:$1,0))</f>
        <v>2.0672019637533422E-5</v>
      </c>
      <c r="L159">
        <f>INDEX('7_biomass'!$1:$343,MATCH($A159,'7_biomass'!$A:$A,0),MATCH(L$1,'7_biomass'!$1:$1,0))</f>
        <v>2.1415163133013018E-2</v>
      </c>
      <c r="M159">
        <f>INDEX('7_biomass'!$1:$343,MATCH($A159,'7_biomass'!$A:$A,0),MATCH(M$1,'7_biomass'!$1:$1,0))</f>
        <v>3.2030384319426522E-2</v>
      </c>
      <c r="N159">
        <f>INDEX('7_biomass'!$1:$343,MATCH($A159,'7_biomass'!$A:$A,0),MATCH(N$1,'7_biomass'!$1:$1,0))</f>
        <v>6.8016659720198224E-3</v>
      </c>
      <c r="O159">
        <f>INDEX('4_number_of_transport'!$1:$343,MATCH($A159,'4_number_of_transport'!$A:$A,0),MATCH(O$1,'4_number_of_transport'!$1:$1,0))</f>
        <v>6932</v>
      </c>
      <c r="P159">
        <f>INDEX('2_land_use'!$1:$343,MATCH($A159,'2_land_use'!$A:$A,0),MATCH(P$1,'2_land_use'!$1:$1,0))</f>
        <v>12.410486094763888</v>
      </c>
      <c r="Q159">
        <f>INDEX('2_land_use'!$1:$343,MATCH($A159,'2_land_use'!$A:$A,0),MATCH(Q$1,'2_land_use'!$1:$1,0))</f>
        <v>0</v>
      </c>
      <c r="R159">
        <f>INDEX('6_roof_surface'!$1:$343,MATCH($A159,'6_roof_surface'!$A:$A,0),MATCH(R$1,'6_roof_surface'!$1:$1,0))</f>
        <v>0.53057900000000002</v>
      </c>
      <c r="S159">
        <f>INDEX('6_roof_surface'!$1:$343,MATCH($A159,'6_roof_surface'!$A:$A,0),MATCH(S$1,'6_roof_surface'!$1:$1,0))</f>
        <v>0.221939</v>
      </c>
    </row>
    <row r="160" spans="1:19" x14ac:dyDescent="0.2">
      <c r="A160" t="s">
        <v>160</v>
      </c>
      <c r="B160" t="str">
        <f>INDEX(CBS_gemeenten_alfabetisch_2023!$B:$B,MATCH($A160,CBS_gemeenten_alfabetisch_2023!$A:$A,0))</f>
        <v>Leeuwarden</v>
      </c>
      <c r="C160">
        <f>INDEX('5_train_share_nl'!$1:$343,MATCH($A160,'5_train_share_nl'!$A:$A,0),MATCH(C$1,'5_train_share_nl'!$1:$1,0))</f>
        <v>3.8671331301959899E-3</v>
      </c>
      <c r="D160">
        <f>INDEX('3_has_tram_metro'!$1:$343,MATCH($A160,'3_has_tram_metro'!$A:$A,0),MATCH(D$1,'3_has_tram_metro'!$1:$1,0))</f>
        <v>0</v>
      </c>
      <c r="E160">
        <f>INDEX('1_buildings_total'!$1:$343,MATCH($A160,'1_buildings_total'!$A:$A,0),MATCH(E$1,'1_buildings_total'!$1:$1,0))</f>
        <v>11032.829615384617</v>
      </c>
      <c r="F160">
        <f>INDEX('2_land_use'!$1:$343,MATCH($A160,'2_land_use'!$A:$A,0),MATCH(F$1,'2_land_use'!$1:$1,0))</f>
        <v>178.47708403311091</v>
      </c>
      <c r="G160">
        <f>INDEX('4_number_of_transport'!$1:$343,MATCH($A160,'4_number_of_transport'!$A:$A,0),MATCH(G$1,'4_number_of_transport'!$1:$1,0))</f>
        <v>6119</v>
      </c>
      <c r="H160">
        <f>INDEX('4_number_of_transport'!$1:$343,MATCH($A160,'4_number_of_transport'!$A:$A,0),MATCH(H$1,'4_number_of_transport'!$1:$1,0))</f>
        <v>410</v>
      </c>
      <c r="I160">
        <f>INDEX('4_number_of_transport'!$1:$343,MATCH($A160,'4_number_of_transport'!$A:$A,0),MATCH(I$1,'4_number_of_transport'!$1:$1,0))</f>
        <v>9</v>
      </c>
      <c r="J160">
        <f>INDEX('2_land_use'!$1:$343,MATCH($A160,'2_land_use'!$A:$A,0),MATCH(J$1,'2_land_use'!$1:$1,0))</f>
        <v>1.5601957724502007E-4</v>
      </c>
      <c r="K160">
        <f>INDEX('2_land_use'!$1:$343,MATCH($A160,'2_land_use'!$A:$A,0),MATCH(K$1,'2_land_use'!$1:$1,0))</f>
        <v>8.0018536099356209E-3</v>
      </c>
      <c r="L160">
        <f>INDEX('7_biomass'!$1:$343,MATCH($A160,'7_biomass'!$A:$A,0),MATCH(L$1,'7_biomass'!$1:$1,0))</f>
        <v>0.78098563828074896</v>
      </c>
      <c r="M160">
        <f>INDEX('7_biomass'!$1:$343,MATCH($A160,'7_biomass'!$A:$A,0),MATCH(M$1,'7_biomass'!$1:$1,0))</f>
        <v>0.38366373872107229</v>
      </c>
      <c r="N160">
        <f>INDEX('7_biomass'!$1:$343,MATCH($A160,'7_biomass'!$A:$A,0),MATCH(N$1,'7_biomass'!$1:$1,0))</f>
        <v>7.4795238304371972E-2</v>
      </c>
      <c r="O160">
        <f>INDEX('4_number_of_transport'!$1:$343,MATCH($A160,'4_number_of_transport'!$A:$A,0),MATCH(O$1,'4_number_of_transport'!$1:$1,0))</f>
        <v>57846</v>
      </c>
      <c r="P160">
        <f>INDEX('2_land_use'!$1:$343,MATCH($A160,'2_land_use'!$A:$A,0),MATCH(P$1,'2_land_use'!$1:$1,0))</f>
        <v>237.55444095273234</v>
      </c>
      <c r="Q160">
        <f>INDEX('2_land_use'!$1:$343,MATCH($A160,'2_land_use'!$A:$A,0),MATCH(Q$1,'2_land_use'!$1:$1,0))</f>
        <v>0</v>
      </c>
      <c r="R160">
        <f>INDEX('6_roof_surface'!$1:$343,MATCH($A160,'6_roof_surface'!$A:$A,0),MATCH(R$1,'6_roof_surface'!$1:$1,0))</f>
        <v>4.2945529999999996</v>
      </c>
      <c r="S160">
        <f>INDEX('6_roof_surface'!$1:$343,MATCH($A160,'6_roof_surface'!$A:$A,0),MATCH(S$1,'6_roof_surface'!$1:$1,0))</f>
        <v>3.775684</v>
      </c>
    </row>
    <row r="161" spans="1:19" x14ac:dyDescent="0.2">
      <c r="A161" t="s">
        <v>161</v>
      </c>
      <c r="B161" t="str">
        <f>INDEX(CBS_gemeenten_alfabetisch_2023!$B:$B,MATCH($A161,CBS_gemeenten_alfabetisch_2023!$A:$A,0))</f>
        <v>Leiden</v>
      </c>
      <c r="C161">
        <f>INDEX('5_train_share_nl'!$1:$343,MATCH($A161,'5_train_share_nl'!$A:$A,0),MATCH(C$1,'5_train_share_nl'!$1:$1,0))</f>
        <v>3.470678728193919E-2</v>
      </c>
      <c r="D161">
        <f>INDEX('3_has_tram_metro'!$1:$343,MATCH($A161,'3_has_tram_metro'!$A:$A,0),MATCH(D$1,'3_has_tram_metro'!$1:$1,0))</f>
        <v>0</v>
      </c>
      <c r="E161">
        <f>INDEX('1_buildings_total'!$1:$343,MATCH($A161,'1_buildings_total'!$A:$A,0),MATCH(E$1,'1_buildings_total'!$1:$1,0))</f>
        <v>7081.3492307692313</v>
      </c>
      <c r="F161">
        <f>INDEX('2_land_use'!$1:$343,MATCH($A161,'2_land_use'!$A:$A,0),MATCH(F$1,'2_land_use'!$1:$1,0))</f>
        <v>2.1568463157632816</v>
      </c>
      <c r="G161">
        <f>INDEX('4_number_of_transport'!$1:$343,MATCH($A161,'4_number_of_transport'!$A:$A,0),MATCH(G$1,'4_number_of_transport'!$1:$1,0))</f>
        <v>3195</v>
      </c>
      <c r="H161">
        <f>INDEX('4_number_of_transport'!$1:$343,MATCH($A161,'4_number_of_transport'!$A:$A,0),MATCH(H$1,'4_number_of_transport'!$1:$1,0))</f>
        <v>129</v>
      </c>
      <c r="I161">
        <f>INDEX('4_number_of_transport'!$1:$343,MATCH($A161,'4_number_of_transport'!$A:$A,0),MATCH(I$1,'4_number_of_transport'!$1:$1,0))</f>
        <v>0</v>
      </c>
      <c r="J161">
        <f>INDEX('2_land_use'!$1:$343,MATCH($A161,'2_land_use'!$A:$A,0),MATCH(J$1,'2_land_use'!$1:$1,0))</f>
        <v>0</v>
      </c>
      <c r="K161">
        <f>INDEX('2_land_use'!$1:$343,MATCH($A161,'2_land_use'!$A:$A,0),MATCH(K$1,'2_land_use'!$1:$1,0))</f>
        <v>9.6700193032428345E-5</v>
      </c>
      <c r="L161">
        <f>INDEX('7_biomass'!$1:$343,MATCH($A161,'7_biomass'!$A:$A,0),MATCH(L$1,'7_biomass'!$1:$1,0))</f>
        <v>0.21052085911369639</v>
      </c>
      <c r="M161">
        <f>INDEX('7_biomass'!$1:$343,MATCH($A161,'7_biomass'!$A:$A,0),MATCH(M$1,'7_biomass'!$1:$1,0))</f>
        <v>0.31241195065545513</v>
      </c>
      <c r="N161">
        <f>INDEX('7_biomass'!$1:$343,MATCH($A161,'7_biomass'!$A:$A,0),MATCH(N$1,'7_biomass'!$1:$1,0))</f>
        <v>7.5883990910165594E-2</v>
      </c>
      <c r="O161">
        <f>INDEX('4_number_of_transport'!$1:$343,MATCH($A161,'4_number_of_transport'!$A:$A,0),MATCH(O$1,'4_number_of_transport'!$1:$1,0))</f>
        <v>40657</v>
      </c>
      <c r="P161">
        <f>INDEX('2_land_use'!$1:$343,MATCH($A161,'2_land_use'!$A:$A,0),MATCH(P$1,'2_land_use'!$1:$1,0))</f>
        <v>21.852276839843668</v>
      </c>
      <c r="Q161">
        <f>INDEX('2_land_use'!$1:$343,MATCH($A161,'2_land_use'!$A:$A,0),MATCH(Q$1,'2_land_use'!$1:$1,0))</f>
        <v>0</v>
      </c>
      <c r="R161">
        <f>INDEX('6_roof_surface'!$1:$343,MATCH($A161,'6_roof_surface'!$A:$A,0),MATCH(R$1,'6_roof_surface'!$1:$1,0))</f>
        <v>2.4845259999999998</v>
      </c>
      <c r="S161">
        <f>INDEX('6_roof_surface'!$1:$343,MATCH($A161,'6_roof_surface'!$A:$A,0),MATCH(S$1,'6_roof_surface'!$1:$1,0))</f>
        <v>1.770472</v>
      </c>
    </row>
    <row r="162" spans="1:19" x14ac:dyDescent="0.2">
      <c r="A162" t="s">
        <v>162</v>
      </c>
      <c r="B162" t="str">
        <f>INDEX(CBS_gemeenten_alfabetisch_2023!$B:$B,MATCH($A162,CBS_gemeenten_alfabetisch_2023!$A:$A,0))</f>
        <v>Leiderdorp</v>
      </c>
      <c r="C162">
        <f>INDEX('5_train_share_nl'!$1:$343,MATCH($A162,'5_train_share_nl'!$A:$A,0),MATCH(C$1,'5_train_share_nl'!$1:$1,0))</f>
        <v>0</v>
      </c>
      <c r="D162">
        <f>INDEX('3_has_tram_metro'!$1:$343,MATCH($A162,'3_has_tram_metro'!$A:$A,0),MATCH(D$1,'3_has_tram_metro'!$1:$1,0))</f>
        <v>0</v>
      </c>
      <c r="E162">
        <f>INDEX('1_buildings_total'!$1:$343,MATCH($A162,'1_buildings_total'!$A:$A,0),MATCH(E$1,'1_buildings_total'!$1:$1,0))</f>
        <v>1624.4420769230769</v>
      </c>
      <c r="F162">
        <f>INDEX('2_land_use'!$1:$343,MATCH($A162,'2_land_use'!$A:$A,0),MATCH(F$1,'2_land_use'!$1:$1,0))</f>
        <v>5.2055787249715149</v>
      </c>
      <c r="G162">
        <f>INDEX('4_number_of_transport'!$1:$343,MATCH($A162,'4_number_of_transport'!$A:$A,0),MATCH(G$1,'4_number_of_transport'!$1:$1,0))</f>
        <v>1100</v>
      </c>
      <c r="H162">
        <f>INDEX('4_number_of_transport'!$1:$343,MATCH($A162,'4_number_of_transport'!$A:$A,0),MATCH(H$1,'4_number_of_transport'!$1:$1,0))</f>
        <v>26</v>
      </c>
      <c r="I162">
        <f>INDEX('4_number_of_transport'!$1:$343,MATCH($A162,'4_number_of_transport'!$A:$A,0),MATCH(I$1,'4_number_of_transport'!$1:$1,0))</f>
        <v>0</v>
      </c>
      <c r="J162">
        <f>INDEX('2_land_use'!$1:$343,MATCH($A162,'2_land_use'!$A:$A,0),MATCH(J$1,'2_land_use'!$1:$1,0))</f>
        <v>0</v>
      </c>
      <c r="K162">
        <f>INDEX('2_land_use'!$1:$343,MATCH($A162,'2_land_use'!$A:$A,0),MATCH(K$1,'2_land_use'!$1:$1,0))</f>
        <v>2.3338726726670255E-4</v>
      </c>
      <c r="L162">
        <f>INDEX('7_biomass'!$1:$343,MATCH($A162,'7_biomass'!$A:$A,0),MATCH(L$1,'7_biomass'!$1:$1,0))</f>
        <v>5.7403091542497023E-2</v>
      </c>
      <c r="M162">
        <f>INDEX('7_biomass'!$1:$343,MATCH($A162,'7_biomass'!$A:$A,0),MATCH(M$1,'7_biomass'!$1:$1,0))</f>
        <v>7.0630826191114382E-2</v>
      </c>
      <c r="N162">
        <f>INDEX('7_biomass'!$1:$343,MATCH($A162,'7_biomass'!$A:$A,0),MATCH(N$1,'7_biomass'!$1:$1,0))</f>
        <v>1.6470420976818702E-2</v>
      </c>
      <c r="O162">
        <f>INDEX('4_number_of_transport'!$1:$343,MATCH($A162,'4_number_of_transport'!$A:$A,0),MATCH(O$1,'4_number_of_transport'!$1:$1,0))</f>
        <v>13131</v>
      </c>
      <c r="P162">
        <f>INDEX('2_land_use'!$1:$343,MATCH($A162,'2_land_use'!$A:$A,0),MATCH(P$1,'2_land_use'!$1:$1,0))</f>
        <v>11.496369052972273</v>
      </c>
      <c r="Q162">
        <f>INDEX('2_land_use'!$1:$343,MATCH($A162,'2_land_use'!$A:$A,0),MATCH(Q$1,'2_land_use'!$1:$1,0))</f>
        <v>0</v>
      </c>
      <c r="R162">
        <f>INDEX('6_roof_surface'!$1:$343,MATCH($A162,'6_roof_surface'!$A:$A,0),MATCH(R$1,'6_roof_surface'!$1:$1,0))</f>
        <v>0.65597300000000003</v>
      </c>
      <c r="S162">
        <f>INDEX('6_roof_surface'!$1:$343,MATCH($A162,'6_roof_surface'!$A:$A,0),MATCH(S$1,'6_roof_surface'!$1:$1,0))</f>
        <v>0.41381400000000002</v>
      </c>
    </row>
    <row r="163" spans="1:19" x14ac:dyDescent="0.2">
      <c r="A163" t="s">
        <v>163</v>
      </c>
      <c r="B163" t="str">
        <f>INDEX(CBS_gemeenten_alfabetisch_2023!$B:$B,MATCH($A163,CBS_gemeenten_alfabetisch_2023!$A:$A,0))</f>
        <v>Leidschendam-Voorburg</v>
      </c>
      <c r="C163">
        <f>INDEX('5_train_share_nl'!$1:$343,MATCH($A163,'5_train_share_nl'!$A:$A,0),MATCH(C$1,'5_train_share_nl'!$1:$1,0))</f>
        <v>5.3615587326288862E-4</v>
      </c>
      <c r="D163">
        <f>INDEX('3_has_tram_metro'!$1:$343,MATCH($A163,'3_has_tram_metro'!$A:$A,0),MATCH(D$1,'3_has_tram_metro'!$1:$1,0))</f>
        <v>1</v>
      </c>
      <c r="E163">
        <f>INDEX('1_buildings_total'!$1:$343,MATCH($A163,'1_buildings_total'!$A:$A,0),MATCH(E$1,'1_buildings_total'!$1:$1,0))</f>
        <v>4318.451384615385</v>
      </c>
      <c r="F163">
        <f>INDEX('2_land_use'!$1:$343,MATCH($A163,'2_land_use'!$A:$A,0),MATCH(F$1,'2_land_use'!$1:$1,0))</f>
        <v>16.919892105692096</v>
      </c>
      <c r="G163">
        <f>INDEX('4_number_of_transport'!$1:$343,MATCH($A163,'4_number_of_transport'!$A:$A,0),MATCH(G$1,'4_number_of_transport'!$1:$1,0))</f>
        <v>3136</v>
      </c>
      <c r="H163">
        <f>INDEX('4_number_of_transport'!$1:$343,MATCH($A163,'4_number_of_transport'!$A:$A,0),MATCH(H$1,'4_number_of_transport'!$1:$1,0))</f>
        <v>90</v>
      </c>
      <c r="I163">
        <f>INDEX('4_number_of_transport'!$1:$343,MATCH($A163,'4_number_of_transport'!$A:$A,0),MATCH(I$1,'4_number_of_transport'!$1:$1,0))</f>
        <v>1</v>
      </c>
      <c r="J163">
        <f>INDEX('2_land_use'!$1:$343,MATCH($A163,'2_land_use'!$A:$A,0),MATCH(J$1,'2_land_use'!$1:$1,0))</f>
        <v>1.9417433891766333E-3</v>
      </c>
      <c r="K163">
        <f>INDEX('2_land_use'!$1:$343,MATCH($A163,'2_land_use'!$A:$A,0),MATCH(K$1,'2_land_use'!$1:$1,0))</f>
        <v>7.5858758259708008E-4</v>
      </c>
      <c r="L163">
        <f>INDEX('7_biomass'!$1:$343,MATCH($A163,'7_biomass'!$A:$A,0),MATCH(L$1,'7_biomass'!$1:$1,0))</f>
        <v>0.17687775448492868</v>
      </c>
      <c r="M163">
        <f>INDEX('7_biomass'!$1:$343,MATCH($A163,'7_biomass'!$A:$A,0),MATCH(M$1,'7_biomass'!$1:$1,0))</f>
        <v>0.19601136997933094</v>
      </c>
      <c r="N163">
        <f>INDEX('7_biomass'!$1:$343,MATCH($A163,'7_biomass'!$A:$A,0),MATCH(N$1,'7_biomass'!$1:$1,0))</f>
        <v>4.5825427060258599E-2</v>
      </c>
      <c r="O163">
        <f>INDEX('4_number_of_transport'!$1:$343,MATCH($A163,'4_number_of_transport'!$A:$A,0),MATCH(O$1,'4_number_of_transport'!$1:$1,0))</f>
        <v>36033</v>
      </c>
      <c r="P163">
        <f>INDEX('2_land_use'!$1:$343,MATCH($A163,'2_land_use'!$A:$A,0),MATCH(P$1,'2_land_use'!$1:$1,0))</f>
        <v>32.609868564741127</v>
      </c>
      <c r="Q163">
        <f>INDEX('2_land_use'!$1:$343,MATCH($A163,'2_land_use'!$A:$A,0),MATCH(Q$1,'2_land_use'!$1:$1,0))</f>
        <v>0</v>
      </c>
      <c r="R163">
        <f>INDEX('6_roof_surface'!$1:$343,MATCH($A163,'6_roof_surface'!$A:$A,0),MATCH(R$1,'6_roof_surface'!$1:$1,0))</f>
        <v>1.7435400000000001</v>
      </c>
      <c r="S163">
        <f>INDEX('6_roof_surface'!$1:$343,MATCH($A163,'6_roof_surface'!$A:$A,0),MATCH(S$1,'6_roof_surface'!$1:$1,0))</f>
        <v>1.136341</v>
      </c>
    </row>
    <row r="164" spans="1:19" x14ac:dyDescent="0.2">
      <c r="A164" t="s">
        <v>164</v>
      </c>
      <c r="B164" t="str">
        <f>INDEX(CBS_gemeenten_alfabetisch_2023!$B:$B,MATCH($A164,CBS_gemeenten_alfabetisch_2023!$A:$A,0))</f>
        <v>Lelystad</v>
      </c>
      <c r="C164">
        <f>INDEX('5_train_share_nl'!$1:$343,MATCH($A164,'5_train_share_nl'!$A:$A,0),MATCH(C$1,'5_train_share_nl'!$1:$1,0))</f>
        <v>4.9861704254994784E-3</v>
      </c>
      <c r="D164">
        <f>INDEX('3_has_tram_metro'!$1:$343,MATCH($A164,'3_has_tram_metro'!$A:$A,0),MATCH(D$1,'3_has_tram_metro'!$1:$1,0))</f>
        <v>0</v>
      </c>
      <c r="E164">
        <f>INDEX('1_buildings_total'!$1:$343,MATCH($A164,'1_buildings_total'!$A:$A,0),MATCH(E$1,'1_buildings_total'!$1:$1,0))</f>
        <v>4312.8283846153845</v>
      </c>
      <c r="F164">
        <f>INDEX('2_land_use'!$1:$343,MATCH($A164,'2_land_use'!$A:$A,0),MATCH(F$1,'2_land_use'!$1:$1,0))</f>
        <v>113.24555219365075</v>
      </c>
      <c r="G164">
        <f>INDEX('4_number_of_transport'!$1:$343,MATCH($A164,'4_number_of_transport'!$A:$A,0),MATCH(G$1,'4_number_of_transport'!$1:$1,0))</f>
        <v>3330</v>
      </c>
      <c r="H164">
        <f>INDEX('4_number_of_transport'!$1:$343,MATCH($A164,'4_number_of_transport'!$A:$A,0),MATCH(H$1,'4_number_of_transport'!$1:$1,0))</f>
        <v>84</v>
      </c>
      <c r="I164">
        <f>INDEX('4_number_of_transport'!$1:$343,MATCH($A164,'4_number_of_transport'!$A:$A,0),MATCH(I$1,'4_number_of_transport'!$1:$1,0))</f>
        <v>10</v>
      </c>
      <c r="J164">
        <f>INDEX('2_land_use'!$1:$343,MATCH($A164,'2_land_use'!$A:$A,0),MATCH(J$1,'2_land_use'!$1:$1,0))</f>
        <v>0</v>
      </c>
      <c r="K164">
        <f>INDEX('2_land_use'!$1:$343,MATCH($A164,'2_land_use'!$A:$A,0),MATCH(K$1,'2_land_use'!$1:$1,0))</f>
        <v>5.0772587166529708E-3</v>
      </c>
      <c r="L164">
        <f>INDEX('7_biomass'!$1:$343,MATCH($A164,'7_biomass'!$A:$A,0),MATCH(L$1,'7_biomass'!$1:$1,0))</f>
        <v>1.1912035265664163</v>
      </c>
      <c r="M164">
        <f>INDEX('7_biomass'!$1:$343,MATCH($A164,'7_biomass'!$A:$A,0),MATCH(M$1,'7_biomass'!$1:$1,0))</f>
        <v>0.32868983713987127</v>
      </c>
      <c r="N164">
        <f>INDEX('7_biomass'!$1:$343,MATCH($A164,'7_biomass'!$A:$A,0),MATCH(N$1,'7_biomass'!$1:$1,0))</f>
        <v>4.7324892144577038E-2</v>
      </c>
      <c r="O164">
        <f>INDEX('4_number_of_transport'!$1:$343,MATCH($A164,'4_number_of_transport'!$A:$A,0),MATCH(O$1,'4_number_of_transport'!$1:$1,0))</f>
        <v>37988</v>
      </c>
      <c r="P164">
        <f>INDEX('2_land_use'!$1:$343,MATCH($A164,'2_land_use'!$A:$A,0),MATCH(P$1,'2_land_use'!$1:$1,0))</f>
        <v>228.99871207083163</v>
      </c>
      <c r="Q164">
        <f>INDEX('2_land_use'!$1:$343,MATCH($A164,'2_land_use'!$A:$A,0),MATCH(Q$1,'2_land_use'!$1:$1,0))</f>
        <v>0</v>
      </c>
      <c r="R164">
        <f>INDEX('6_roof_surface'!$1:$343,MATCH($A164,'6_roof_surface'!$A:$A,0),MATCH(R$1,'6_roof_surface'!$1:$1,0))</f>
        <v>2.4109940000000001</v>
      </c>
      <c r="S164">
        <f>INDEX('6_roof_surface'!$1:$343,MATCH($A164,'6_roof_surface'!$A:$A,0),MATCH(S$1,'6_roof_surface'!$1:$1,0))</f>
        <v>2.4386570000000001</v>
      </c>
    </row>
    <row r="165" spans="1:19" x14ac:dyDescent="0.2">
      <c r="A165" t="s">
        <v>165</v>
      </c>
      <c r="B165" t="str">
        <f>INDEX(CBS_gemeenten_alfabetisch_2023!$B:$B,MATCH($A165,CBS_gemeenten_alfabetisch_2023!$A:$A,0))</f>
        <v>Leudal</v>
      </c>
      <c r="C165">
        <f>INDEX('5_train_share_nl'!$1:$343,MATCH($A165,'5_train_share_nl'!$A:$A,0),MATCH(C$1,'5_train_share_nl'!$1:$1,0))</f>
        <v>0</v>
      </c>
      <c r="D165">
        <f>INDEX('3_has_tram_metro'!$1:$343,MATCH($A165,'3_has_tram_metro'!$A:$A,0),MATCH(D$1,'3_has_tram_metro'!$1:$1,0))</f>
        <v>0</v>
      </c>
      <c r="E165">
        <f>INDEX('1_buildings_total'!$1:$343,MATCH($A165,'1_buildings_total'!$A:$A,0),MATCH(E$1,'1_buildings_total'!$1:$1,0))</f>
        <v>5652.0126923076941</v>
      </c>
      <c r="F165">
        <f>INDEX('2_land_use'!$1:$343,MATCH($A165,'2_land_use'!$A:$A,0),MATCH(F$1,'2_land_use'!$1:$1,0))</f>
        <v>112.90387718679402</v>
      </c>
      <c r="G165">
        <f>INDEX('4_number_of_transport'!$1:$343,MATCH($A165,'4_number_of_transport'!$A:$A,0),MATCH(G$1,'4_number_of_transport'!$1:$1,0))</f>
        <v>2638</v>
      </c>
      <c r="H165">
        <f>INDEX('4_number_of_transport'!$1:$343,MATCH($A165,'4_number_of_transport'!$A:$A,0),MATCH(H$1,'4_number_of_transport'!$1:$1,0))</f>
        <v>237</v>
      </c>
      <c r="I165">
        <f>INDEX('4_number_of_transport'!$1:$343,MATCH($A165,'4_number_of_transport'!$A:$A,0),MATCH(I$1,'4_number_of_transport'!$1:$1,0))</f>
        <v>26</v>
      </c>
      <c r="J165">
        <f>INDEX('2_land_use'!$1:$343,MATCH($A165,'2_land_use'!$A:$A,0),MATCH(J$1,'2_land_use'!$1:$1,0))</f>
        <v>2.7846929576483964E-3</v>
      </c>
      <c r="K165">
        <f>INDEX('2_land_use'!$1:$343,MATCH($A165,'2_land_use'!$A:$A,0),MATCH(K$1,'2_land_use'!$1:$1,0))</f>
        <v>5.0619400363761564E-3</v>
      </c>
      <c r="L165">
        <f>INDEX('7_biomass'!$1:$343,MATCH($A165,'7_biomass'!$A:$A,0),MATCH(L$1,'7_biomass'!$1:$1,0))</f>
        <v>0.51629012663713869</v>
      </c>
      <c r="M165">
        <f>INDEX('7_biomass'!$1:$343,MATCH($A165,'7_biomass'!$A:$A,0),MATCH(M$1,'7_biomass'!$1:$1,0))</f>
        <v>0.35058681498321725</v>
      </c>
      <c r="N165">
        <f>INDEX('7_biomass'!$1:$343,MATCH($A165,'7_biomass'!$A:$A,0),MATCH(N$1,'7_biomass'!$1:$1,0))</f>
        <v>2.1678449624621638E-2</v>
      </c>
      <c r="O165">
        <f>INDEX('4_number_of_transport'!$1:$343,MATCH($A165,'4_number_of_transport'!$A:$A,0),MATCH(O$1,'4_number_of_transport'!$1:$1,0))</f>
        <v>21858</v>
      </c>
      <c r="P165">
        <f>INDEX('2_land_use'!$1:$343,MATCH($A165,'2_land_use'!$A:$A,0),MATCH(P$1,'2_land_use'!$1:$1,0))</f>
        <v>162.5081077402875</v>
      </c>
      <c r="Q165">
        <f>INDEX('2_land_use'!$1:$343,MATCH($A165,'2_land_use'!$A:$A,0),MATCH(Q$1,'2_land_use'!$1:$1,0))</f>
        <v>0</v>
      </c>
      <c r="R165">
        <f>INDEX('6_roof_surface'!$1:$343,MATCH($A165,'6_roof_surface'!$A:$A,0),MATCH(R$1,'6_roof_surface'!$1:$1,0))</f>
        <v>2.0583879999999999</v>
      </c>
      <c r="S165">
        <f>INDEX('6_roof_surface'!$1:$343,MATCH($A165,'6_roof_surface'!$A:$A,0),MATCH(S$1,'6_roof_surface'!$1:$1,0))</f>
        <v>2.8626510000000001</v>
      </c>
    </row>
    <row r="166" spans="1:19" x14ac:dyDescent="0.2">
      <c r="A166" t="s">
        <v>166</v>
      </c>
      <c r="B166" t="str">
        <f>INDEX(CBS_gemeenten_alfabetisch_2023!$B:$B,MATCH($A166,CBS_gemeenten_alfabetisch_2023!$A:$A,0))</f>
        <v>Leusden</v>
      </c>
      <c r="C166">
        <f>INDEX('5_train_share_nl'!$1:$343,MATCH($A166,'5_train_share_nl'!$A:$A,0),MATCH(C$1,'5_train_share_nl'!$1:$1,0))</f>
        <v>0</v>
      </c>
      <c r="D166">
        <f>INDEX('3_has_tram_metro'!$1:$343,MATCH($A166,'3_has_tram_metro'!$A:$A,0),MATCH(D$1,'3_has_tram_metro'!$1:$1,0))</f>
        <v>0</v>
      </c>
      <c r="E166">
        <f>INDEX('1_buildings_total'!$1:$343,MATCH($A166,'1_buildings_total'!$A:$A,0),MATCH(E$1,'1_buildings_total'!$1:$1,0))</f>
        <v>1627.4709230769229</v>
      </c>
      <c r="F166">
        <f>INDEX('2_land_use'!$1:$343,MATCH($A166,'2_land_use'!$A:$A,0),MATCH(F$1,'2_land_use'!$1:$1,0))</f>
        <v>27.992906957828197</v>
      </c>
      <c r="G166">
        <f>INDEX('4_number_of_transport'!$1:$343,MATCH($A166,'4_number_of_transport'!$A:$A,0),MATCH(G$1,'4_number_of_transport'!$1:$1,0))</f>
        <v>1167</v>
      </c>
      <c r="H166">
        <f>INDEX('4_number_of_transport'!$1:$343,MATCH($A166,'4_number_of_transport'!$A:$A,0),MATCH(H$1,'4_number_of_transport'!$1:$1,0))</f>
        <v>34</v>
      </c>
      <c r="I166">
        <f>INDEX('4_number_of_transport'!$1:$343,MATCH($A166,'4_number_of_transport'!$A:$A,0),MATCH(I$1,'4_number_of_transport'!$1:$1,0))</f>
        <v>0</v>
      </c>
      <c r="J166">
        <f>INDEX('2_land_use'!$1:$343,MATCH($A166,'2_land_use'!$A:$A,0),MATCH(J$1,'2_land_use'!$1:$1,0))</f>
        <v>0</v>
      </c>
      <c r="K166">
        <f>INDEX('2_land_use'!$1:$343,MATCH($A166,'2_land_use'!$A:$A,0),MATCH(K$1,'2_land_use'!$1:$1,0))</f>
        <v>1.2550358764912034E-3</v>
      </c>
      <c r="L166">
        <f>INDEX('7_biomass'!$1:$343,MATCH($A166,'7_biomass'!$A:$A,0),MATCH(L$1,'7_biomass'!$1:$1,0))</f>
        <v>0.11709328424300272</v>
      </c>
      <c r="M166">
        <f>INDEX('7_biomass'!$1:$343,MATCH($A166,'7_biomass'!$A:$A,0),MATCH(M$1,'7_biomass'!$1:$1,0))</f>
        <v>0.10409760805639384</v>
      </c>
      <c r="N166">
        <f>INDEX('7_biomass'!$1:$343,MATCH($A166,'7_biomass'!$A:$A,0),MATCH(N$1,'7_biomass'!$1:$1,0))</f>
        <v>1.8245112026775815E-2</v>
      </c>
      <c r="O166">
        <f>INDEX('4_number_of_transport'!$1:$343,MATCH($A166,'4_number_of_transport'!$A:$A,0),MATCH(O$1,'4_number_of_transport'!$1:$1,0))</f>
        <v>16235</v>
      </c>
      <c r="P166">
        <f>INDEX('2_land_use'!$1:$343,MATCH($A166,'2_land_use'!$A:$A,0),MATCH(P$1,'2_land_use'!$1:$1,0))</f>
        <v>58.506151853970067</v>
      </c>
      <c r="Q166">
        <f>INDEX('2_land_use'!$1:$343,MATCH($A166,'2_land_use'!$A:$A,0),MATCH(Q$1,'2_land_use'!$1:$1,0))</f>
        <v>0</v>
      </c>
      <c r="R166">
        <f>INDEX('6_roof_surface'!$1:$343,MATCH($A166,'6_roof_surface'!$A:$A,0),MATCH(R$1,'6_roof_surface'!$1:$1,0))</f>
        <v>0.98410299999999995</v>
      </c>
      <c r="S166">
        <f>INDEX('6_roof_surface'!$1:$343,MATCH($A166,'6_roof_surface'!$A:$A,0),MATCH(S$1,'6_roof_surface'!$1:$1,0))</f>
        <v>0.80015099999999995</v>
      </c>
    </row>
    <row r="167" spans="1:19" x14ac:dyDescent="0.2">
      <c r="A167" t="s">
        <v>167</v>
      </c>
      <c r="B167" t="str">
        <f>INDEX(CBS_gemeenten_alfabetisch_2023!$B:$B,MATCH($A167,CBS_gemeenten_alfabetisch_2023!$A:$A,0))</f>
        <v>Lingewaard</v>
      </c>
      <c r="C167">
        <f>INDEX('5_train_share_nl'!$1:$343,MATCH($A167,'5_train_share_nl'!$A:$A,0),MATCH(C$1,'5_train_share_nl'!$1:$1,0))</f>
        <v>0</v>
      </c>
      <c r="D167">
        <f>INDEX('3_has_tram_metro'!$1:$343,MATCH($A167,'3_has_tram_metro'!$A:$A,0),MATCH(D$1,'3_has_tram_metro'!$1:$1,0))</f>
        <v>0</v>
      </c>
      <c r="E167">
        <f>INDEX('1_buildings_total'!$1:$343,MATCH($A167,'1_buildings_total'!$A:$A,0),MATCH(E$1,'1_buildings_total'!$1:$1,0))</f>
        <v>3311.8016153846147</v>
      </c>
      <c r="F167">
        <f>INDEX('2_land_use'!$1:$343,MATCH($A167,'2_land_use'!$A:$A,0),MATCH(F$1,'2_land_use'!$1:$1,0))</f>
        <v>45.447439605994987</v>
      </c>
      <c r="G167">
        <f>INDEX('4_number_of_transport'!$1:$343,MATCH($A167,'4_number_of_transport'!$A:$A,0),MATCH(G$1,'4_number_of_transport'!$1:$1,0))</f>
        <v>2217</v>
      </c>
      <c r="H167">
        <f>INDEX('4_number_of_transport'!$1:$343,MATCH($A167,'4_number_of_transport'!$A:$A,0),MATCH(H$1,'4_number_of_transport'!$1:$1,0))</f>
        <v>203</v>
      </c>
      <c r="I167">
        <f>INDEX('4_number_of_transport'!$1:$343,MATCH($A167,'4_number_of_transport'!$A:$A,0),MATCH(I$1,'4_number_of_transport'!$1:$1,0))</f>
        <v>0</v>
      </c>
      <c r="J167">
        <f>INDEX('2_land_use'!$1:$343,MATCH($A167,'2_land_use'!$A:$A,0),MATCH(J$1,'2_land_use'!$1:$1,0))</f>
        <v>1.4314388682204898E-2</v>
      </c>
      <c r="K167">
        <f>INDEX('2_land_use'!$1:$343,MATCH($A167,'2_land_use'!$A:$A,0),MATCH(K$1,'2_land_use'!$1:$1,0))</f>
        <v>2.0375935691895075E-3</v>
      </c>
      <c r="L167">
        <f>INDEX('7_biomass'!$1:$343,MATCH($A167,'7_biomass'!$A:$A,0),MATCH(L$1,'7_biomass'!$1:$1,0))</f>
        <v>0.14830268405529196</v>
      </c>
      <c r="M167">
        <f>INDEX('7_biomass'!$1:$343,MATCH($A167,'7_biomass'!$A:$A,0),MATCH(M$1,'7_biomass'!$1:$1,0))</f>
        <v>0.13820311227867846</v>
      </c>
      <c r="N167">
        <f>INDEX('7_biomass'!$1:$343,MATCH($A167,'7_biomass'!$A:$A,0),MATCH(N$1,'7_biomass'!$1:$1,0))</f>
        <v>2.8236482898581619E-2</v>
      </c>
      <c r="O167">
        <f>INDEX('4_number_of_transport'!$1:$343,MATCH($A167,'4_number_of_transport'!$A:$A,0),MATCH(O$1,'4_number_of_transport'!$1:$1,0))</f>
        <v>24972</v>
      </c>
      <c r="P167">
        <f>INDEX('2_land_use'!$1:$343,MATCH($A167,'2_land_use'!$A:$A,0),MATCH(P$1,'2_land_use'!$1:$1,0))</f>
        <v>61.964813203863599</v>
      </c>
      <c r="Q167">
        <f>INDEX('2_land_use'!$1:$343,MATCH($A167,'2_land_use'!$A:$A,0),MATCH(Q$1,'2_land_use'!$1:$1,0))</f>
        <v>0</v>
      </c>
      <c r="R167">
        <f>INDEX('6_roof_surface'!$1:$343,MATCH($A167,'6_roof_surface'!$A:$A,0),MATCH(R$1,'6_roof_surface'!$1:$1,0))</f>
        <v>1.733414</v>
      </c>
      <c r="S167">
        <f>INDEX('6_roof_surface'!$1:$343,MATCH($A167,'6_roof_surface'!$A:$A,0),MATCH(S$1,'6_roof_surface'!$1:$1,0))</f>
        <v>3.286842</v>
      </c>
    </row>
    <row r="168" spans="1:19" x14ac:dyDescent="0.2">
      <c r="A168" t="s">
        <v>168</v>
      </c>
      <c r="B168" t="str">
        <f>INDEX(CBS_gemeenten_alfabetisch_2023!$B:$B,MATCH($A168,CBS_gemeenten_alfabetisch_2023!$A:$A,0))</f>
        <v>Lisse</v>
      </c>
      <c r="C168">
        <f>INDEX('5_train_share_nl'!$1:$343,MATCH($A168,'5_train_share_nl'!$A:$A,0),MATCH(C$1,'5_train_share_nl'!$1:$1,0))</f>
        <v>0</v>
      </c>
      <c r="D168">
        <f>INDEX('3_has_tram_metro'!$1:$343,MATCH($A168,'3_has_tram_metro'!$A:$A,0),MATCH(D$1,'3_has_tram_metro'!$1:$1,0))</f>
        <v>0</v>
      </c>
      <c r="E168">
        <f>INDEX('1_buildings_total'!$1:$343,MATCH($A168,'1_buildings_total'!$A:$A,0),MATCH(E$1,'1_buildings_total'!$1:$1,0))</f>
        <v>1361.2356923076925</v>
      </c>
      <c r="F168">
        <f>INDEX('2_land_use'!$1:$343,MATCH($A168,'2_land_use'!$A:$A,0),MATCH(F$1,'2_land_use'!$1:$1,0))</f>
        <v>8.1966495584660954</v>
      </c>
      <c r="G168">
        <f>INDEX('4_number_of_transport'!$1:$343,MATCH($A168,'4_number_of_transport'!$A:$A,0),MATCH(G$1,'4_number_of_transport'!$1:$1,0))</f>
        <v>1221</v>
      </c>
      <c r="H168">
        <f>INDEX('4_number_of_transport'!$1:$343,MATCH($A168,'4_number_of_transport'!$A:$A,0),MATCH(H$1,'4_number_of_transport'!$1:$1,0))</f>
        <v>83</v>
      </c>
      <c r="I168">
        <f>INDEX('4_number_of_transport'!$1:$343,MATCH($A168,'4_number_of_transport'!$A:$A,0),MATCH(I$1,'4_number_of_transport'!$1:$1,0))</f>
        <v>0</v>
      </c>
      <c r="J168">
        <f>INDEX('2_land_use'!$1:$343,MATCH($A168,'2_land_use'!$A:$A,0),MATCH(J$1,'2_land_use'!$1:$1,0))</f>
        <v>5.9848930141499334E-4</v>
      </c>
      <c r="K168">
        <f>INDEX('2_land_use'!$1:$343,MATCH($A168,'2_land_use'!$A:$A,0),MATCH(K$1,'2_land_use'!$1:$1,0))</f>
        <v>3.6748913853064321E-4</v>
      </c>
      <c r="L168">
        <f>INDEX('7_biomass'!$1:$343,MATCH($A168,'7_biomass'!$A:$A,0),MATCH(L$1,'7_biomass'!$1:$1,0))</f>
        <v>5.2211125971136606E-2</v>
      </c>
      <c r="M168">
        <f>INDEX('7_biomass'!$1:$343,MATCH($A168,'7_biomass'!$A:$A,0),MATCH(M$1,'7_biomass'!$1:$1,0))</f>
        <v>6.0258245696590093E-2</v>
      </c>
      <c r="N168">
        <f>INDEX('7_biomass'!$1:$343,MATCH($A168,'7_biomass'!$A:$A,0),MATCH(N$1,'7_biomass'!$1:$1,0))</f>
        <v>1.3852432707641978E-2</v>
      </c>
      <c r="O168">
        <f>INDEX('4_number_of_transport'!$1:$343,MATCH($A168,'4_number_of_transport'!$A:$A,0),MATCH(O$1,'4_number_of_transport'!$1:$1,0))</f>
        <v>12078</v>
      </c>
      <c r="P168">
        <f>INDEX('2_land_use'!$1:$343,MATCH($A168,'2_land_use'!$A:$A,0),MATCH(P$1,'2_land_use'!$1:$1,0))</f>
        <v>15.698628687520124</v>
      </c>
      <c r="Q168">
        <f>INDEX('2_land_use'!$1:$343,MATCH($A168,'2_land_use'!$A:$A,0),MATCH(Q$1,'2_land_use'!$1:$1,0))</f>
        <v>0</v>
      </c>
      <c r="R168">
        <f>INDEX('6_roof_surface'!$1:$343,MATCH($A168,'6_roof_surface'!$A:$A,0),MATCH(R$1,'6_roof_surface'!$1:$1,0))</f>
        <v>0.60979099999999997</v>
      </c>
      <c r="S168">
        <f>INDEX('6_roof_surface'!$1:$343,MATCH($A168,'6_roof_surface'!$A:$A,0),MATCH(S$1,'6_roof_surface'!$1:$1,0))</f>
        <v>0.85768299999999997</v>
      </c>
    </row>
    <row r="169" spans="1:19" x14ac:dyDescent="0.2">
      <c r="A169" t="s">
        <v>169</v>
      </c>
      <c r="B169" t="str">
        <f>INDEX(CBS_gemeenten_alfabetisch_2023!$B:$B,MATCH($A169,CBS_gemeenten_alfabetisch_2023!$A:$A,0))</f>
        <v>Lochem</v>
      </c>
      <c r="C169">
        <f>INDEX('5_train_share_nl'!$1:$343,MATCH($A169,'5_train_share_nl'!$A:$A,0),MATCH(C$1,'5_train_share_nl'!$1:$1,0))</f>
        <v>0</v>
      </c>
      <c r="D169">
        <f>INDEX('3_has_tram_metro'!$1:$343,MATCH($A169,'3_has_tram_metro'!$A:$A,0),MATCH(D$1,'3_has_tram_metro'!$1:$1,0))</f>
        <v>0</v>
      </c>
      <c r="E169">
        <f>INDEX('1_buildings_total'!$1:$343,MATCH($A169,'1_buildings_total'!$A:$A,0),MATCH(E$1,'1_buildings_total'!$1:$1,0))</f>
        <v>4284.7996923076926</v>
      </c>
      <c r="F169">
        <f>INDEX('2_land_use'!$1:$343,MATCH($A169,'2_land_use'!$A:$A,0),MATCH(F$1,'2_land_use'!$1:$1,0))</f>
        <v>159.17027934000811</v>
      </c>
      <c r="G169">
        <f>INDEX('4_number_of_transport'!$1:$343,MATCH($A169,'4_number_of_transport'!$A:$A,0),MATCH(G$1,'4_number_of_transport'!$1:$1,0))</f>
        <v>1858</v>
      </c>
      <c r="H169">
        <f>INDEX('4_number_of_transport'!$1:$343,MATCH($A169,'4_number_of_transport'!$A:$A,0),MATCH(H$1,'4_number_of_transport'!$1:$1,0))</f>
        <v>110</v>
      </c>
      <c r="I169">
        <f>INDEX('4_number_of_transport'!$1:$343,MATCH($A169,'4_number_of_transport'!$A:$A,0),MATCH(I$1,'4_number_of_transport'!$1:$1,0))</f>
        <v>0</v>
      </c>
      <c r="J169">
        <f>INDEX('2_land_use'!$1:$343,MATCH($A169,'2_land_use'!$A:$A,0),MATCH(J$1,'2_land_use'!$1:$1,0))</f>
        <v>6.8713219530129987E-5</v>
      </c>
      <c r="K169">
        <f>INDEX('2_land_use'!$1:$343,MATCH($A169,'2_land_use'!$A:$A,0),MATCH(K$1,'2_land_use'!$1:$1,0))</f>
        <v>7.1362510275829998E-3</v>
      </c>
      <c r="L169">
        <f>INDEX('7_biomass'!$1:$343,MATCH($A169,'7_biomass'!$A:$A,0),MATCH(L$1,'7_biomass'!$1:$1,0))</f>
        <v>0.40765022792793687</v>
      </c>
      <c r="M169">
        <f>INDEX('7_biomass'!$1:$343,MATCH($A169,'7_biomass'!$A:$A,0),MATCH(M$1,'7_biomass'!$1:$1,0))</f>
        <v>0.20050886825931349</v>
      </c>
      <c r="N169">
        <f>INDEX('7_biomass'!$1:$343,MATCH($A169,'7_biomass'!$A:$A,0),MATCH(N$1,'7_biomass'!$1:$1,0))</f>
        <v>2.0408035730249737E-2</v>
      </c>
      <c r="O169">
        <f>INDEX('4_number_of_transport'!$1:$343,MATCH($A169,'4_number_of_transport'!$A:$A,0),MATCH(O$1,'4_number_of_transport'!$1:$1,0))</f>
        <v>20069</v>
      </c>
      <c r="P169">
        <f>INDEX('2_land_use'!$1:$343,MATCH($A169,'2_land_use'!$A:$A,0),MATCH(P$1,'2_land_use'!$1:$1,0))</f>
        <v>213.0462125088057</v>
      </c>
      <c r="Q169">
        <f>INDEX('2_land_use'!$1:$343,MATCH($A169,'2_land_use'!$A:$A,0),MATCH(Q$1,'2_land_use'!$1:$1,0))</f>
        <v>0</v>
      </c>
      <c r="R169">
        <f>INDEX('6_roof_surface'!$1:$343,MATCH($A169,'6_roof_surface'!$A:$A,0),MATCH(R$1,'6_roof_surface'!$1:$1,0))</f>
        <v>1.728694</v>
      </c>
      <c r="S169">
        <f>INDEX('6_roof_surface'!$1:$343,MATCH($A169,'6_roof_surface'!$A:$A,0),MATCH(S$1,'6_roof_surface'!$1:$1,0))</f>
        <v>2.1125039999999999</v>
      </c>
    </row>
    <row r="170" spans="1:19" x14ac:dyDescent="0.2">
      <c r="A170" t="s">
        <v>170</v>
      </c>
      <c r="B170" t="str">
        <f>INDEX(CBS_gemeenten_alfabetisch_2023!$B:$B,MATCH($A170,CBS_gemeenten_alfabetisch_2023!$A:$A,0))</f>
        <v>Loon op Zand</v>
      </c>
      <c r="C170">
        <f>INDEX('5_train_share_nl'!$1:$343,MATCH($A170,'5_train_share_nl'!$A:$A,0),MATCH(C$1,'5_train_share_nl'!$1:$1,0))</f>
        <v>0</v>
      </c>
      <c r="D170">
        <f>INDEX('3_has_tram_metro'!$1:$343,MATCH($A170,'3_has_tram_metro'!$A:$A,0),MATCH(D$1,'3_has_tram_metro'!$1:$1,0))</f>
        <v>0</v>
      </c>
      <c r="E170">
        <f>INDEX('1_buildings_total'!$1:$343,MATCH($A170,'1_buildings_total'!$A:$A,0),MATCH(E$1,'1_buildings_total'!$1:$1,0))</f>
        <v>1614.4108461538467</v>
      </c>
      <c r="F170">
        <f>INDEX('2_land_use'!$1:$343,MATCH($A170,'2_land_use'!$A:$A,0),MATCH(F$1,'2_land_use'!$1:$1,0))</f>
        <v>22.229211685034475</v>
      </c>
      <c r="G170">
        <f>INDEX('4_number_of_transport'!$1:$343,MATCH($A170,'4_number_of_transport'!$A:$A,0),MATCH(G$1,'4_number_of_transport'!$1:$1,0))</f>
        <v>1388</v>
      </c>
      <c r="H170">
        <f>INDEX('4_number_of_transport'!$1:$343,MATCH($A170,'4_number_of_transport'!$A:$A,0),MATCH(H$1,'4_number_of_transport'!$1:$1,0))</f>
        <v>73</v>
      </c>
      <c r="I170">
        <f>INDEX('4_number_of_transport'!$1:$343,MATCH($A170,'4_number_of_transport'!$A:$A,0),MATCH(I$1,'4_number_of_transport'!$1:$1,0))</f>
        <v>1</v>
      </c>
      <c r="J170">
        <f>INDEX('2_land_use'!$1:$343,MATCH($A170,'2_land_use'!$A:$A,0),MATCH(J$1,'2_land_use'!$1:$1,0))</f>
        <v>5.864794376518104E-4</v>
      </c>
      <c r="K170">
        <f>INDEX('2_land_use'!$1:$343,MATCH($A170,'2_land_use'!$A:$A,0),MATCH(K$1,'2_land_use'!$1:$1,0))</f>
        <v>9.9662597431789623E-4</v>
      </c>
      <c r="L170">
        <f>INDEX('7_biomass'!$1:$343,MATCH($A170,'7_biomass'!$A:$A,0),MATCH(L$1,'7_biomass'!$1:$1,0))</f>
        <v>9.4356749711553889E-2</v>
      </c>
      <c r="M170">
        <f>INDEX('7_biomass'!$1:$343,MATCH($A170,'7_biomass'!$A:$A,0),MATCH(M$1,'7_biomass'!$1:$1,0))</f>
        <v>9.0596400958801018E-2</v>
      </c>
      <c r="N170">
        <f>INDEX('7_biomass'!$1:$343,MATCH($A170,'7_biomass'!$A:$A,0),MATCH(N$1,'7_biomass'!$1:$1,0))</f>
        <v>1.4172618323296684E-2</v>
      </c>
      <c r="O170">
        <f>INDEX('4_number_of_transport'!$1:$343,MATCH($A170,'4_number_of_transport'!$A:$A,0),MATCH(O$1,'4_number_of_transport'!$1:$1,0))</f>
        <v>13392</v>
      </c>
      <c r="P170">
        <f>INDEX('2_land_use'!$1:$343,MATCH($A170,'2_land_use'!$A:$A,0),MATCH(P$1,'2_land_use'!$1:$1,0))</f>
        <v>49.91612835321591</v>
      </c>
      <c r="Q170">
        <f>INDEX('2_land_use'!$1:$343,MATCH($A170,'2_land_use'!$A:$A,0),MATCH(Q$1,'2_land_use'!$1:$1,0))</f>
        <v>0</v>
      </c>
      <c r="R170">
        <f>INDEX('6_roof_surface'!$1:$343,MATCH($A170,'6_roof_surface'!$A:$A,0),MATCH(R$1,'6_roof_surface'!$1:$1,0))</f>
        <v>0.84823300000000001</v>
      </c>
      <c r="S170">
        <f>INDEX('6_roof_surface'!$1:$343,MATCH($A170,'6_roof_surface'!$A:$A,0),MATCH(S$1,'6_roof_surface'!$1:$1,0))</f>
        <v>0.98161799999999999</v>
      </c>
    </row>
    <row r="171" spans="1:19" x14ac:dyDescent="0.2">
      <c r="A171" t="s">
        <v>171</v>
      </c>
      <c r="B171" t="str">
        <f>INDEX(CBS_gemeenten_alfabetisch_2023!$B:$B,MATCH($A171,CBS_gemeenten_alfabetisch_2023!$A:$A,0))</f>
        <v>Lopik</v>
      </c>
      <c r="C171">
        <f>INDEX('5_train_share_nl'!$1:$343,MATCH($A171,'5_train_share_nl'!$A:$A,0),MATCH(C$1,'5_train_share_nl'!$1:$1,0))</f>
        <v>0</v>
      </c>
      <c r="D171">
        <f>INDEX('3_has_tram_metro'!$1:$343,MATCH($A171,'3_has_tram_metro'!$A:$A,0),MATCH(D$1,'3_has_tram_metro'!$1:$1,0))</f>
        <v>0</v>
      </c>
      <c r="E171">
        <f>INDEX('1_buildings_total'!$1:$343,MATCH($A171,'1_buildings_total'!$A:$A,0),MATCH(E$1,'1_buildings_total'!$1:$1,0))</f>
        <v>813.00907692307692</v>
      </c>
      <c r="F171">
        <f>INDEX('2_land_use'!$1:$343,MATCH($A171,'2_land_use'!$A:$A,0),MATCH(F$1,'2_land_use'!$1:$1,0))</f>
        <v>69.374152225855141</v>
      </c>
      <c r="G171">
        <f>INDEX('4_number_of_transport'!$1:$343,MATCH($A171,'4_number_of_transport'!$A:$A,0),MATCH(G$1,'4_number_of_transport'!$1:$1,0))</f>
        <v>1637</v>
      </c>
      <c r="H171">
        <f>INDEX('4_number_of_transport'!$1:$343,MATCH($A171,'4_number_of_transport'!$A:$A,0),MATCH(H$1,'4_number_of_transport'!$1:$1,0))</f>
        <v>169</v>
      </c>
      <c r="I171">
        <f>INDEX('4_number_of_transport'!$1:$343,MATCH($A171,'4_number_of_transport'!$A:$A,0),MATCH(I$1,'4_number_of_transport'!$1:$1,0))</f>
        <v>1</v>
      </c>
      <c r="J171">
        <f>INDEX('2_land_use'!$1:$343,MATCH($A171,'2_land_use'!$A:$A,0),MATCH(J$1,'2_land_use'!$1:$1,0))</f>
        <v>0</v>
      </c>
      <c r="K171">
        <f>INDEX('2_land_use'!$1:$343,MATCH($A171,'2_land_use'!$A:$A,0),MATCH(K$1,'2_land_use'!$1:$1,0))</f>
        <v>3.1103254147837635E-3</v>
      </c>
      <c r="L171">
        <f>INDEX('7_biomass'!$1:$343,MATCH($A171,'7_biomass'!$A:$A,0),MATCH(L$1,'7_biomass'!$1:$1,0))</f>
        <v>0.17714743086482487</v>
      </c>
      <c r="M171">
        <f>INDEX('7_biomass'!$1:$343,MATCH($A171,'7_biomass'!$A:$A,0),MATCH(M$1,'7_biomass'!$1:$1,0))</f>
        <v>6.755415319758086E-2</v>
      </c>
      <c r="N171">
        <f>INDEX('7_biomass'!$1:$343,MATCH($A171,'7_biomass'!$A:$A,0),MATCH(N$1,'7_biomass'!$1:$1,0))</f>
        <v>8.7932569551623842E-3</v>
      </c>
      <c r="O171">
        <f>INDEX('4_number_of_transport'!$1:$343,MATCH($A171,'4_number_of_transport'!$A:$A,0),MATCH(O$1,'4_number_of_transport'!$1:$1,0))</f>
        <v>7931</v>
      </c>
      <c r="P171">
        <f>INDEX('2_land_use'!$1:$343,MATCH($A171,'2_land_use'!$A:$A,0),MATCH(P$1,'2_land_use'!$1:$1,0))</f>
        <v>75.558797198209348</v>
      </c>
      <c r="Q171">
        <f>INDEX('2_land_use'!$1:$343,MATCH($A171,'2_land_use'!$A:$A,0),MATCH(Q$1,'2_land_use'!$1:$1,0))</f>
        <v>0</v>
      </c>
      <c r="R171">
        <f>INDEX('6_roof_surface'!$1:$343,MATCH($A171,'6_roof_surface'!$A:$A,0),MATCH(R$1,'6_roof_surface'!$1:$1,0))</f>
        <v>0.52927100000000005</v>
      </c>
      <c r="S171">
        <f>INDEX('6_roof_surface'!$1:$343,MATCH($A171,'6_roof_surface'!$A:$A,0),MATCH(S$1,'6_roof_surface'!$1:$1,0))</f>
        <v>0.89976</v>
      </c>
    </row>
    <row r="172" spans="1:19" x14ac:dyDescent="0.2">
      <c r="A172" t="s">
        <v>172</v>
      </c>
      <c r="B172" t="str">
        <f>INDEX(CBS_gemeenten_alfabetisch_2023!$B:$B,MATCH($A172,CBS_gemeenten_alfabetisch_2023!$A:$A,0))</f>
        <v>Losser</v>
      </c>
      <c r="C172">
        <f>INDEX('5_train_share_nl'!$1:$343,MATCH($A172,'5_train_share_nl'!$A:$A,0),MATCH(C$1,'5_train_share_nl'!$1:$1,0))</f>
        <v>0</v>
      </c>
      <c r="D172">
        <f>INDEX('3_has_tram_metro'!$1:$343,MATCH($A172,'3_has_tram_metro'!$A:$A,0),MATCH(D$1,'3_has_tram_metro'!$1:$1,0))</f>
        <v>0</v>
      </c>
      <c r="E172">
        <f>INDEX('1_buildings_total'!$1:$343,MATCH($A172,'1_buildings_total'!$A:$A,0),MATCH(E$1,'1_buildings_total'!$1:$1,0))</f>
        <v>2137.1916923076924</v>
      </c>
      <c r="F172">
        <f>INDEX('2_land_use'!$1:$343,MATCH($A172,'2_land_use'!$A:$A,0),MATCH(F$1,'2_land_use'!$1:$1,0))</f>
        <v>71.243911351778081</v>
      </c>
      <c r="G172">
        <f>INDEX('4_number_of_transport'!$1:$343,MATCH($A172,'4_number_of_transport'!$A:$A,0),MATCH(G$1,'4_number_of_transport'!$1:$1,0))</f>
        <v>1134</v>
      </c>
      <c r="H172">
        <f>INDEX('4_number_of_transport'!$1:$343,MATCH($A172,'4_number_of_transport'!$A:$A,0),MATCH(H$1,'4_number_of_transport'!$1:$1,0))</f>
        <v>48</v>
      </c>
      <c r="I172">
        <f>INDEX('4_number_of_transport'!$1:$343,MATCH($A172,'4_number_of_transport'!$A:$A,0),MATCH(I$1,'4_number_of_transport'!$1:$1,0))</f>
        <v>7</v>
      </c>
      <c r="J172">
        <f>INDEX('2_land_use'!$1:$343,MATCH($A172,'2_land_use'!$A:$A,0),MATCH(J$1,'2_land_use'!$1:$1,0))</f>
        <v>0</v>
      </c>
      <c r="K172">
        <f>INDEX('2_land_use'!$1:$343,MATCH($A172,'2_land_use'!$A:$A,0),MATCH(K$1,'2_land_use'!$1:$1,0))</f>
        <v>3.1941543214051922E-3</v>
      </c>
      <c r="L172">
        <f>INDEX('7_biomass'!$1:$343,MATCH($A172,'7_biomass'!$A:$A,0),MATCH(L$1,'7_biomass'!$1:$1,0))</f>
        <v>0.19973762154767691</v>
      </c>
      <c r="M172">
        <f>INDEX('7_biomass'!$1:$343,MATCH($A172,'7_biomass'!$A:$A,0),MATCH(M$1,'7_biomass'!$1:$1,0))</f>
        <v>0.10328212399683001</v>
      </c>
      <c r="N172">
        <f>INDEX('7_biomass'!$1:$343,MATCH($A172,'7_biomass'!$A:$A,0),MATCH(N$1,'7_biomass'!$1:$1,0))</f>
        <v>1.3744286522468282E-2</v>
      </c>
      <c r="O172">
        <f>INDEX('4_number_of_transport'!$1:$343,MATCH($A172,'4_number_of_transport'!$A:$A,0),MATCH(O$1,'4_number_of_transport'!$1:$1,0))</f>
        <v>12734</v>
      </c>
      <c r="P172">
        <f>INDEX('2_land_use'!$1:$343,MATCH($A172,'2_land_use'!$A:$A,0),MATCH(P$1,'2_land_use'!$1:$1,0))</f>
        <v>98.742866490514132</v>
      </c>
      <c r="Q172">
        <f>INDEX('2_land_use'!$1:$343,MATCH($A172,'2_land_use'!$A:$A,0),MATCH(Q$1,'2_land_use'!$1:$1,0))</f>
        <v>0</v>
      </c>
      <c r="R172">
        <f>INDEX('6_roof_surface'!$1:$343,MATCH($A172,'6_roof_surface'!$A:$A,0),MATCH(R$1,'6_roof_surface'!$1:$1,0))</f>
        <v>0.986487</v>
      </c>
      <c r="S172">
        <f>INDEX('6_roof_surface'!$1:$343,MATCH($A172,'6_roof_surface'!$A:$A,0),MATCH(S$1,'6_roof_surface'!$1:$1,0))</f>
        <v>0.99026499999999995</v>
      </c>
    </row>
    <row r="173" spans="1:19" x14ac:dyDescent="0.2">
      <c r="A173" t="s">
        <v>173</v>
      </c>
      <c r="B173" t="str">
        <f>INDEX(CBS_gemeenten_alfabetisch_2023!$B:$B,MATCH($A173,CBS_gemeenten_alfabetisch_2023!$A:$A,0))</f>
        <v>Maasdriel</v>
      </c>
      <c r="C173">
        <f>INDEX('5_train_share_nl'!$1:$343,MATCH($A173,'5_train_share_nl'!$A:$A,0),MATCH(C$1,'5_train_share_nl'!$1:$1,0))</f>
        <v>0</v>
      </c>
      <c r="D173">
        <f>INDEX('3_has_tram_metro'!$1:$343,MATCH($A173,'3_has_tram_metro'!$A:$A,0),MATCH(D$1,'3_has_tram_metro'!$1:$1,0))</f>
        <v>0</v>
      </c>
      <c r="E173">
        <f>INDEX('1_buildings_total'!$1:$343,MATCH($A173,'1_buildings_total'!$A:$A,0),MATCH(E$1,'1_buildings_total'!$1:$1,0))</f>
        <v>2270.8553076923076</v>
      </c>
      <c r="F173">
        <f>INDEX('2_land_use'!$1:$343,MATCH($A173,'2_land_use'!$A:$A,0),MATCH(F$1,'2_land_use'!$1:$1,0))</f>
        <v>52.667351654943623</v>
      </c>
      <c r="G173">
        <f>INDEX('4_number_of_transport'!$1:$343,MATCH($A173,'4_number_of_transport'!$A:$A,0),MATCH(G$1,'4_number_of_transport'!$1:$1,0))</f>
        <v>2622</v>
      </c>
      <c r="H173">
        <f>INDEX('4_number_of_transport'!$1:$343,MATCH($A173,'4_number_of_transport'!$A:$A,0),MATCH(H$1,'4_number_of_transport'!$1:$1,0))</f>
        <v>239</v>
      </c>
      <c r="I173">
        <f>INDEX('4_number_of_transport'!$1:$343,MATCH($A173,'4_number_of_transport'!$A:$A,0),MATCH(I$1,'4_number_of_transport'!$1:$1,0))</f>
        <v>81</v>
      </c>
      <c r="J173">
        <f>INDEX('2_land_use'!$1:$343,MATCH($A173,'2_land_use'!$A:$A,0),MATCH(J$1,'2_land_use'!$1:$1,0))</f>
        <v>2.7418496687357675E-3</v>
      </c>
      <c r="K173">
        <f>INDEX('2_land_use'!$1:$343,MATCH($A173,'2_land_use'!$A:$A,0),MATCH(K$1,'2_land_use'!$1:$1,0))</f>
        <v>2.361291592413483E-3</v>
      </c>
      <c r="L173">
        <f>INDEX('7_biomass'!$1:$343,MATCH($A173,'7_biomass'!$A:$A,0),MATCH(L$1,'7_biomass'!$1:$1,0))</f>
        <v>0.16606497392071454</v>
      </c>
      <c r="M173">
        <f>INDEX('7_biomass'!$1:$343,MATCH($A173,'7_biomass'!$A:$A,0),MATCH(M$1,'7_biomass'!$1:$1,0))</f>
        <v>7.6861761585921798E-2</v>
      </c>
      <c r="N173">
        <f>INDEX('7_biomass'!$1:$343,MATCH($A173,'7_biomass'!$A:$A,0),MATCH(N$1,'7_biomass'!$1:$1,0))</f>
        <v>1.5002549160079095E-2</v>
      </c>
      <c r="O173">
        <f>INDEX('4_number_of_transport'!$1:$343,MATCH($A173,'4_number_of_transport'!$A:$A,0),MATCH(O$1,'4_number_of_transport'!$1:$1,0))</f>
        <v>15021</v>
      </c>
      <c r="P173">
        <f>INDEX('2_land_use'!$1:$343,MATCH($A173,'2_land_use'!$A:$A,0),MATCH(P$1,'2_land_use'!$1:$1,0))</f>
        <v>65.884396143661519</v>
      </c>
      <c r="Q173">
        <f>INDEX('2_land_use'!$1:$343,MATCH($A173,'2_land_use'!$A:$A,0),MATCH(Q$1,'2_land_use'!$1:$1,0))</f>
        <v>0</v>
      </c>
      <c r="R173">
        <f>INDEX('6_roof_surface'!$1:$343,MATCH($A173,'6_roof_surface'!$A:$A,0),MATCH(R$1,'6_roof_surface'!$1:$1,0))</f>
        <v>1.272448</v>
      </c>
      <c r="S173">
        <f>INDEX('6_roof_surface'!$1:$343,MATCH($A173,'6_roof_surface'!$A:$A,0),MATCH(S$1,'6_roof_surface'!$1:$1,0))</f>
        <v>2.0089380000000001</v>
      </c>
    </row>
    <row r="174" spans="1:19" x14ac:dyDescent="0.2">
      <c r="A174" t="s">
        <v>174</v>
      </c>
      <c r="B174" t="str">
        <f>INDEX(CBS_gemeenten_alfabetisch_2023!$B:$B,MATCH($A174,CBS_gemeenten_alfabetisch_2023!$A:$A,0))</f>
        <v>Maasgouw</v>
      </c>
      <c r="C174">
        <f>INDEX('5_train_share_nl'!$1:$343,MATCH($A174,'5_train_share_nl'!$A:$A,0),MATCH(C$1,'5_train_share_nl'!$1:$1,0))</f>
        <v>0</v>
      </c>
      <c r="D174">
        <f>INDEX('3_has_tram_metro'!$1:$343,MATCH($A174,'3_has_tram_metro'!$A:$A,0),MATCH(D$1,'3_has_tram_metro'!$1:$1,0))</f>
        <v>0</v>
      </c>
      <c r="E174">
        <f>INDEX('1_buildings_total'!$1:$343,MATCH($A174,'1_buildings_total'!$A:$A,0),MATCH(E$1,'1_buildings_total'!$1:$1,0))</f>
        <v>2482.6723076923081</v>
      </c>
      <c r="F174">
        <f>INDEX('2_land_use'!$1:$343,MATCH($A174,'2_land_use'!$A:$A,0),MATCH(F$1,'2_land_use'!$1:$1,0))</f>
        <v>23.805486051911362</v>
      </c>
      <c r="G174">
        <f>INDEX('4_number_of_transport'!$1:$343,MATCH($A174,'4_number_of_transport'!$A:$A,0),MATCH(G$1,'4_number_of_transport'!$1:$1,0))</f>
        <v>1472</v>
      </c>
      <c r="H174">
        <f>INDEX('4_number_of_transport'!$1:$343,MATCH($A174,'4_number_of_transport'!$A:$A,0),MATCH(H$1,'4_number_of_transport'!$1:$1,0))</f>
        <v>110</v>
      </c>
      <c r="I174">
        <f>INDEX('4_number_of_transport'!$1:$343,MATCH($A174,'4_number_of_transport'!$A:$A,0),MATCH(I$1,'4_number_of_transport'!$1:$1,0))</f>
        <v>5</v>
      </c>
      <c r="J174">
        <f>INDEX('2_land_use'!$1:$343,MATCH($A174,'2_land_use'!$A:$A,0),MATCH(J$1,'2_land_use'!$1:$1,0))</f>
        <v>6.8755398476388552E-5</v>
      </c>
      <c r="K174">
        <f>INDEX('2_land_use'!$1:$343,MATCH($A174,'2_land_use'!$A:$A,0),MATCH(K$1,'2_land_use'!$1:$1,0))</f>
        <v>1.0672967654795384E-3</v>
      </c>
      <c r="L174">
        <f>INDEX('7_biomass'!$1:$343,MATCH($A174,'7_biomass'!$A:$A,0),MATCH(L$1,'7_biomass'!$1:$1,0))</f>
        <v>0.18161855223898193</v>
      </c>
      <c r="M174">
        <f>INDEX('7_biomass'!$1:$343,MATCH($A174,'7_biomass'!$A:$A,0),MATCH(M$1,'7_biomass'!$1:$1,0))</f>
        <v>7.7318436000498342E-2</v>
      </c>
      <c r="N174">
        <f>INDEX('7_biomass'!$1:$343,MATCH($A174,'7_biomass'!$A:$A,0),MATCH(N$1,'7_biomass'!$1:$1,0))</f>
        <v>1.4408960267299873E-2</v>
      </c>
      <c r="O174">
        <f>INDEX('4_number_of_transport'!$1:$343,MATCH($A174,'4_number_of_transport'!$A:$A,0),MATCH(O$1,'4_number_of_transport'!$1:$1,0))</f>
        <v>14577</v>
      </c>
      <c r="P174">
        <f>INDEX('2_land_use'!$1:$343,MATCH($A174,'2_land_use'!$A:$A,0),MATCH(P$1,'2_land_use'!$1:$1,0))</f>
        <v>45.697993736308334</v>
      </c>
      <c r="Q174">
        <f>INDEX('2_land_use'!$1:$343,MATCH($A174,'2_land_use'!$A:$A,0),MATCH(Q$1,'2_land_use'!$1:$1,0))</f>
        <v>0</v>
      </c>
      <c r="R174">
        <f>INDEX('6_roof_surface'!$1:$343,MATCH($A174,'6_roof_surface'!$A:$A,0),MATCH(R$1,'6_roof_surface'!$1:$1,0))</f>
        <v>1.250586</v>
      </c>
      <c r="S174">
        <f>INDEX('6_roof_surface'!$1:$343,MATCH($A174,'6_roof_surface'!$A:$A,0),MATCH(S$1,'6_roof_surface'!$1:$1,0))</f>
        <v>0.84377800000000003</v>
      </c>
    </row>
    <row r="175" spans="1:19" x14ac:dyDescent="0.2">
      <c r="A175" t="s">
        <v>175</v>
      </c>
      <c r="B175" t="str">
        <f>INDEX(CBS_gemeenten_alfabetisch_2023!$B:$B,MATCH($A175,CBS_gemeenten_alfabetisch_2023!$A:$A,0))</f>
        <v>Maashorst</v>
      </c>
      <c r="C175">
        <f>INDEX('5_train_share_nl'!$1:$343,MATCH($A175,'5_train_share_nl'!$A:$A,0),MATCH(C$1,'5_train_share_nl'!$1:$1,0))</f>
        <v>0</v>
      </c>
      <c r="D175">
        <f>INDEX('3_has_tram_metro'!$1:$343,MATCH($A175,'3_has_tram_metro'!$A:$A,0),MATCH(D$1,'3_has_tram_metro'!$1:$1,0))</f>
        <v>0</v>
      </c>
      <c r="E175">
        <f>INDEX('1_buildings_total'!$1:$343,MATCH($A175,'1_buildings_total'!$A:$A,0),MATCH(E$1,'1_buildings_total'!$1:$1,0))</f>
        <v>5562.4298461538465</v>
      </c>
      <c r="F175">
        <f>INDEX('2_land_use'!$1:$343,MATCH($A175,'2_land_use'!$A:$A,0),MATCH(F$1,'2_land_use'!$1:$1,0))</f>
        <v>85.570524336528749</v>
      </c>
      <c r="G175">
        <f>INDEX('4_number_of_transport'!$1:$343,MATCH($A175,'4_number_of_transport'!$A:$A,0),MATCH(G$1,'4_number_of_transport'!$1:$1,0))</f>
        <v>5610</v>
      </c>
      <c r="H175">
        <f>INDEX('4_number_of_transport'!$1:$343,MATCH($A175,'4_number_of_transport'!$A:$A,0),MATCH(H$1,'4_number_of_transport'!$1:$1,0))</f>
        <v>502</v>
      </c>
      <c r="I175">
        <f>INDEX('4_number_of_transport'!$1:$343,MATCH($A175,'4_number_of_transport'!$A:$A,0),MATCH(I$1,'4_number_of_transport'!$1:$1,0))</f>
        <v>9</v>
      </c>
      <c r="J175">
        <f>INDEX('2_land_use'!$1:$343,MATCH($A175,'2_land_use'!$A:$A,0),MATCH(J$1,'2_land_use'!$1:$1,0))</f>
        <v>7.876253757349447E-4</v>
      </c>
      <c r="K175">
        <f>INDEX('2_land_use'!$1:$343,MATCH($A175,'2_land_use'!$A:$A,0),MATCH(K$1,'2_land_use'!$1:$1,0))</f>
        <v>3.8364746531790454E-3</v>
      </c>
      <c r="L175">
        <f>INDEX('7_biomass'!$1:$343,MATCH($A175,'7_biomass'!$A:$A,0),MATCH(L$1,'7_biomass'!$1:$1,0))</f>
        <v>0.21841862021739814</v>
      </c>
      <c r="M175">
        <f>INDEX('7_biomass'!$1:$343,MATCH($A175,'7_biomass'!$A:$A,0),MATCH(M$1,'7_biomass'!$1:$1,0))</f>
        <v>0.1680011264868933</v>
      </c>
      <c r="N175">
        <f>INDEX('7_biomass'!$1:$343,MATCH($A175,'7_biomass'!$A:$A,0),MATCH(N$1,'7_biomass'!$1:$1,0))</f>
        <v>2.5385190499591977E-2</v>
      </c>
      <c r="O175">
        <f>INDEX('4_number_of_transport'!$1:$343,MATCH($A175,'4_number_of_transport'!$A:$A,0),MATCH(O$1,'4_number_of_transport'!$1:$1,0))</f>
        <v>35218</v>
      </c>
      <c r="P175">
        <f>INDEX('2_land_use'!$1:$343,MATCH($A175,'2_land_use'!$A:$A,0),MATCH(P$1,'2_land_use'!$1:$1,0))</f>
        <v>137.32534014430576</v>
      </c>
      <c r="Q175">
        <f>INDEX('2_land_use'!$1:$343,MATCH($A175,'2_land_use'!$A:$A,0),MATCH(Q$1,'2_land_use'!$1:$1,0))</f>
        <v>0</v>
      </c>
      <c r="R175">
        <f>INDEX('6_roof_surface'!$1:$343,MATCH($A175,'6_roof_surface'!$A:$A,0),MATCH(R$1,'6_roof_surface'!$1:$1,0))</f>
        <v>2.5111789999999998</v>
      </c>
      <c r="S175">
        <f>INDEX('6_roof_surface'!$1:$343,MATCH($A175,'6_roof_surface'!$A:$A,0),MATCH(S$1,'6_roof_surface'!$1:$1,0))</f>
        <v>3.5965289999999999</v>
      </c>
    </row>
    <row r="176" spans="1:19" x14ac:dyDescent="0.2">
      <c r="A176" t="s">
        <v>176</v>
      </c>
      <c r="B176" t="str">
        <f>INDEX(CBS_gemeenten_alfabetisch_2023!$B:$B,MATCH($A176,CBS_gemeenten_alfabetisch_2023!$A:$A,0))</f>
        <v>Maassluis</v>
      </c>
      <c r="C176">
        <f>INDEX('5_train_share_nl'!$1:$343,MATCH($A176,'5_train_share_nl'!$A:$A,0),MATCH(C$1,'5_train_share_nl'!$1:$1,0))</f>
        <v>0</v>
      </c>
      <c r="D176">
        <f>INDEX('3_has_tram_metro'!$1:$343,MATCH($A176,'3_has_tram_metro'!$A:$A,0),MATCH(D$1,'3_has_tram_metro'!$1:$1,0))</f>
        <v>0</v>
      </c>
      <c r="E176">
        <f>INDEX('1_buildings_total'!$1:$343,MATCH($A176,'1_buildings_total'!$A:$A,0),MATCH(E$1,'1_buildings_total'!$1:$1,0))</f>
        <v>1643.4783846153846</v>
      </c>
      <c r="F176">
        <f>INDEX('2_land_use'!$1:$343,MATCH($A176,'2_land_use'!$A:$A,0),MATCH(F$1,'2_land_use'!$1:$1,0))</f>
        <v>1.6293798700883035</v>
      </c>
      <c r="G176">
        <f>INDEX('4_number_of_transport'!$1:$343,MATCH($A176,'4_number_of_transport'!$A:$A,0),MATCH(G$1,'4_number_of_transport'!$1:$1,0))</f>
        <v>1053</v>
      </c>
      <c r="H176">
        <f>INDEX('4_number_of_transport'!$1:$343,MATCH($A176,'4_number_of_transport'!$A:$A,0),MATCH(H$1,'4_number_of_transport'!$1:$1,0))</f>
        <v>39</v>
      </c>
      <c r="I176">
        <f>INDEX('4_number_of_transport'!$1:$343,MATCH($A176,'4_number_of_transport'!$A:$A,0),MATCH(I$1,'4_number_of_transport'!$1:$1,0))</f>
        <v>9</v>
      </c>
      <c r="J176">
        <f>INDEX('2_land_use'!$1:$343,MATCH($A176,'2_land_use'!$A:$A,0),MATCH(J$1,'2_land_use'!$1:$1,0))</f>
        <v>3.3153174231491129E-4</v>
      </c>
      <c r="K176">
        <f>INDEX('2_land_use'!$1:$343,MATCH($A176,'2_land_use'!$A:$A,0),MATCH(K$1,'2_land_use'!$1:$1,0))</f>
        <v>7.3051726870457598E-5</v>
      </c>
      <c r="L176">
        <f>INDEX('7_biomass'!$1:$343,MATCH($A176,'7_biomass'!$A:$A,0),MATCH(L$1,'7_biomass'!$1:$1,0))</f>
        <v>5.6751106964287007E-2</v>
      </c>
      <c r="M176">
        <f>INDEX('7_biomass'!$1:$343,MATCH($A176,'7_biomass'!$A:$A,0),MATCH(M$1,'7_biomass'!$1:$1,0))</f>
        <v>8.3415055218482748E-2</v>
      </c>
      <c r="N176">
        <f>INDEX('7_biomass'!$1:$343,MATCH($A176,'7_biomass'!$A:$A,0),MATCH(N$1,'7_biomass'!$1:$1,0))</f>
        <v>1.9908619077368961E-2</v>
      </c>
      <c r="O176">
        <f>INDEX('4_number_of_transport'!$1:$343,MATCH($A176,'4_number_of_transport'!$A:$A,0),MATCH(O$1,'4_number_of_transport'!$1:$1,0))</f>
        <v>15676</v>
      </c>
      <c r="P176">
        <f>INDEX('2_land_use'!$1:$343,MATCH($A176,'2_land_use'!$A:$A,0),MATCH(P$1,'2_land_use'!$1:$1,0))</f>
        <v>8.4448119826037971</v>
      </c>
      <c r="Q176">
        <f>INDEX('2_land_use'!$1:$343,MATCH($A176,'2_land_use'!$A:$A,0),MATCH(Q$1,'2_land_use'!$1:$1,0))</f>
        <v>0</v>
      </c>
      <c r="R176">
        <f>INDEX('6_roof_surface'!$1:$343,MATCH($A176,'6_roof_surface'!$A:$A,0),MATCH(R$1,'6_roof_surface'!$1:$1,0))</f>
        <v>0.65873099999999996</v>
      </c>
      <c r="S176">
        <f>INDEX('6_roof_surface'!$1:$343,MATCH($A176,'6_roof_surface'!$A:$A,0),MATCH(S$1,'6_roof_surface'!$1:$1,0))</f>
        <v>0.50731099999999996</v>
      </c>
    </row>
    <row r="177" spans="1:19" x14ac:dyDescent="0.2">
      <c r="A177" t="s">
        <v>177</v>
      </c>
      <c r="B177" t="str">
        <f>INDEX(CBS_gemeenten_alfabetisch_2023!$B:$B,MATCH($A177,CBS_gemeenten_alfabetisch_2023!$A:$A,0))</f>
        <v>Maastricht</v>
      </c>
      <c r="C177">
        <f>INDEX('5_train_share_nl'!$1:$343,MATCH($A177,'5_train_share_nl'!$A:$A,0),MATCH(C$1,'5_train_share_nl'!$1:$1,0))</f>
        <v>3.9332616610932595E-3</v>
      </c>
      <c r="D177">
        <f>INDEX('3_has_tram_metro'!$1:$343,MATCH($A177,'3_has_tram_metro'!$A:$A,0),MATCH(D$1,'3_has_tram_metro'!$1:$1,0))</f>
        <v>0</v>
      </c>
      <c r="E177">
        <f>INDEX('1_buildings_total'!$1:$343,MATCH($A177,'1_buildings_total'!$A:$A,0),MATCH(E$1,'1_buildings_total'!$1:$1,0))</f>
        <v>8283.0489230769235</v>
      </c>
      <c r="F177">
        <f>INDEX('2_land_use'!$1:$343,MATCH($A177,'2_land_use'!$A:$A,0),MATCH(F$1,'2_land_use'!$1:$1,0))</f>
        <v>19.180618936374433</v>
      </c>
      <c r="G177">
        <f>INDEX('4_number_of_transport'!$1:$343,MATCH($A177,'4_number_of_transport'!$A:$A,0),MATCH(G$1,'4_number_of_transport'!$1:$1,0))</f>
        <v>3355</v>
      </c>
      <c r="H177">
        <f>INDEX('4_number_of_transport'!$1:$343,MATCH($A177,'4_number_of_transport'!$A:$A,0),MATCH(H$1,'4_number_of_transport'!$1:$1,0))</f>
        <v>222</v>
      </c>
      <c r="I177">
        <f>INDEX('4_number_of_transport'!$1:$343,MATCH($A177,'4_number_of_transport'!$A:$A,0),MATCH(I$1,'4_number_of_transport'!$1:$1,0))</f>
        <v>10</v>
      </c>
      <c r="J177">
        <f>INDEX('2_land_use'!$1:$343,MATCH($A177,'2_land_use'!$A:$A,0),MATCH(J$1,'2_land_use'!$1:$1,0))</f>
        <v>0</v>
      </c>
      <c r="K177">
        <f>INDEX('2_land_use'!$1:$343,MATCH($A177,'2_land_use'!$A:$A,0),MATCH(K$1,'2_land_use'!$1:$1,0))</f>
        <v>8.599451616340489E-4</v>
      </c>
      <c r="L177">
        <f>INDEX('7_biomass'!$1:$343,MATCH($A177,'7_biomass'!$A:$A,0),MATCH(L$1,'7_biomass'!$1:$1,0))</f>
        <v>0.23745616168497369</v>
      </c>
      <c r="M177">
        <f>INDEX('7_biomass'!$1:$343,MATCH($A177,'7_biomass'!$A:$A,0),MATCH(M$1,'7_biomass'!$1:$1,0))</f>
        <v>0.32702721533292539</v>
      </c>
      <c r="N177">
        <f>INDEX('7_biomass'!$1:$343,MATCH($A177,'7_biomass'!$A:$A,0),MATCH(N$1,'7_biomass'!$1:$1,0))</f>
        <v>7.385837640809198E-2</v>
      </c>
      <c r="O177">
        <f>INDEX('4_number_of_transport'!$1:$343,MATCH($A177,'4_number_of_transport'!$A:$A,0),MATCH(O$1,'4_number_of_transport'!$1:$1,0))</f>
        <v>46846</v>
      </c>
      <c r="P177">
        <f>INDEX('2_land_use'!$1:$343,MATCH($A177,'2_land_use'!$A:$A,0),MATCH(P$1,'2_land_use'!$1:$1,0))</f>
        <v>55.786464130134299</v>
      </c>
      <c r="Q177">
        <f>INDEX('2_land_use'!$1:$343,MATCH($A177,'2_land_use'!$A:$A,0),MATCH(Q$1,'2_land_use'!$1:$1,0))</f>
        <v>0</v>
      </c>
      <c r="R177">
        <f>INDEX('6_roof_surface'!$1:$343,MATCH($A177,'6_roof_surface'!$A:$A,0),MATCH(R$1,'6_roof_surface'!$1:$1,0))</f>
        <v>3.7110249999999998</v>
      </c>
      <c r="S177">
        <f>INDEX('6_roof_surface'!$1:$343,MATCH($A177,'6_roof_surface'!$A:$A,0),MATCH(S$1,'6_roof_surface'!$1:$1,0))</f>
        <v>2.508613</v>
      </c>
    </row>
    <row r="178" spans="1:19" x14ac:dyDescent="0.2">
      <c r="A178" t="s">
        <v>178</v>
      </c>
      <c r="B178" t="str">
        <f>INDEX(CBS_gemeenten_alfabetisch_2023!$B:$B,MATCH($A178,CBS_gemeenten_alfabetisch_2023!$A:$A,0))</f>
        <v>Medemblik</v>
      </c>
      <c r="C178">
        <f>INDEX('5_train_share_nl'!$1:$343,MATCH($A178,'5_train_share_nl'!$A:$A,0),MATCH(C$1,'5_train_share_nl'!$1:$1,0))</f>
        <v>0</v>
      </c>
      <c r="D178">
        <f>INDEX('3_has_tram_metro'!$1:$343,MATCH($A178,'3_has_tram_metro'!$A:$A,0),MATCH(D$1,'3_has_tram_metro'!$1:$1,0))</f>
        <v>0</v>
      </c>
      <c r="E178">
        <f>INDEX('1_buildings_total'!$1:$343,MATCH($A178,'1_buildings_total'!$A:$A,0),MATCH(E$1,'1_buildings_total'!$1:$1,0))</f>
        <v>4891.411538461537</v>
      </c>
      <c r="F178">
        <f>INDEX('2_land_use'!$1:$343,MATCH($A178,'2_land_use'!$A:$A,0),MATCH(F$1,'2_land_use'!$1:$1,0))</f>
        <v>98.986246342503108</v>
      </c>
      <c r="G178">
        <f>INDEX('4_number_of_transport'!$1:$343,MATCH($A178,'4_number_of_transport'!$A:$A,0),MATCH(G$1,'4_number_of_transport'!$1:$1,0))</f>
        <v>3894</v>
      </c>
      <c r="H178">
        <f>INDEX('4_number_of_transport'!$1:$343,MATCH($A178,'4_number_of_transport'!$A:$A,0),MATCH(H$1,'4_number_of_transport'!$1:$1,0))</f>
        <v>503</v>
      </c>
      <c r="I178">
        <f>INDEX('4_number_of_transport'!$1:$343,MATCH($A178,'4_number_of_transport'!$A:$A,0),MATCH(I$1,'4_number_of_transport'!$1:$1,0))</f>
        <v>5</v>
      </c>
      <c r="J178">
        <f>INDEX('2_land_use'!$1:$343,MATCH($A178,'2_land_use'!$A:$A,0),MATCH(J$1,'2_land_use'!$1:$1,0))</f>
        <v>1.629233264538257E-2</v>
      </c>
      <c r="K178">
        <f>INDEX('2_land_use'!$1:$343,MATCH($A178,'2_land_use'!$A:$A,0),MATCH(K$1,'2_land_use'!$1:$1,0))</f>
        <v>4.4379560374417058E-3</v>
      </c>
      <c r="L178">
        <f>INDEX('7_biomass'!$1:$343,MATCH($A178,'7_biomass'!$A:$A,0),MATCH(L$1,'7_biomass'!$1:$1,0))</f>
        <v>0.28622761516587208</v>
      </c>
      <c r="M178">
        <f>INDEX('7_biomass'!$1:$343,MATCH($A178,'7_biomass'!$A:$A,0),MATCH(M$1,'7_biomass'!$1:$1,0))</f>
        <v>0.13909778973266909</v>
      </c>
      <c r="N178">
        <f>INDEX('7_biomass'!$1:$343,MATCH($A178,'7_biomass'!$A:$A,0),MATCH(N$1,'7_biomass'!$1:$1,0))</f>
        <v>2.7224283210382869E-2</v>
      </c>
      <c r="O178">
        <f>INDEX('4_number_of_transport'!$1:$343,MATCH($A178,'4_number_of_transport'!$A:$A,0),MATCH(O$1,'4_number_of_transport'!$1:$1,0))</f>
        <v>24869</v>
      </c>
      <c r="P178">
        <f>INDEX('2_land_use'!$1:$343,MATCH($A178,'2_land_use'!$A:$A,0),MATCH(P$1,'2_land_use'!$1:$1,0))</f>
        <v>121.22861131374538</v>
      </c>
      <c r="Q178">
        <f>INDEX('2_land_use'!$1:$343,MATCH($A178,'2_land_use'!$A:$A,0),MATCH(Q$1,'2_land_use'!$1:$1,0))</f>
        <v>0</v>
      </c>
      <c r="R178">
        <f>INDEX('6_roof_surface'!$1:$343,MATCH($A178,'6_roof_surface'!$A:$A,0),MATCH(R$1,'6_roof_surface'!$1:$1,0))</f>
        <v>1.9379200000000001</v>
      </c>
      <c r="S178">
        <f>INDEX('6_roof_surface'!$1:$343,MATCH($A178,'6_roof_surface'!$A:$A,0),MATCH(S$1,'6_roof_surface'!$1:$1,0))</f>
        <v>4.6461680000000003</v>
      </c>
    </row>
    <row r="179" spans="1:19" x14ac:dyDescent="0.2">
      <c r="A179" t="s">
        <v>179</v>
      </c>
      <c r="B179" t="str">
        <f>INDEX(CBS_gemeenten_alfabetisch_2023!$B:$B,MATCH($A179,CBS_gemeenten_alfabetisch_2023!$A:$A,0))</f>
        <v>Meerssen</v>
      </c>
      <c r="C179">
        <f>INDEX('5_train_share_nl'!$1:$343,MATCH($A179,'5_train_share_nl'!$A:$A,0),MATCH(C$1,'5_train_share_nl'!$1:$1,0))</f>
        <v>3.3183059216713491E-4</v>
      </c>
      <c r="D179">
        <f>INDEX('3_has_tram_metro'!$1:$343,MATCH($A179,'3_has_tram_metro'!$A:$A,0),MATCH(D$1,'3_has_tram_metro'!$1:$1,0))</f>
        <v>0</v>
      </c>
      <c r="E179">
        <f>INDEX('1_buildings_total'!$1:$343,MATCH($A179,'1_buildings_total'!$A:$A,0),MATCH(E$1,'1_buildings_total'!$1:$1,0))</f>
        <v>1293.6631538461536</v>
      </c>
      <c r="F179">
        <f>INDEX('2_land_use'!$1:$343,MATCH($A179,'2_land_use'!$A:$A,0),MATCH(F$1,'2_land_use'!$1:$1,0))</f>
        <v>16.041037854423237</v>
      </c>
      <c r="G179">
        <f>INDEX('4_number_of_transport'!$1:$343,MATCH($A179,'4_number_of_transport'!$A:$A,0),MATCH(G$1,'4_number_of_transport'!$1:$1,0))</f>
        <v>1225</v>
      </c>
      <c r="H179">
        <f>INDEX('4_number_of_transport'!$1:$343,MATCH($A179,'4_number_of_transport'!$A:$A,0),MATCH(H$1,'4_number_of_transport'!$1:$1,0))</f>
        <v>141</v>
      </c>
      <c r="I179">
        <f>INDEX('4_number_of_transport'!$1:$343,MATCH($A179,'4_number_of_transport'!$A:$A,0),MATCH(I$1,'4_number_of_transport'!$1:$1,0))</f>
        <v>1</v>
      </c>
      <c r="J179">
        <f>INDEX('2_land_use'!$1:$343,MATCH($A179,'2_land_use'!$A:$A,0),MATCH(J$1,'2_land_use'!$1:$1,0))</f>
        <v>0</v>
      </c>
      <c r="K179">
        <f>INDEX('2_land_use'!$1:$343,MATCH($A179,'2_land_use'!$A:$A,0),MATCH(K$1,'2_land_use'!$1:$1,0))</f>
        <v>7.1918497188534119E-4</v>
      </c>
      <c r="L179">
        <f>INDEX('7_biomass'!$1:$343,MATCH($A179,'7_biomass'!$A:$A,0),MATCH(L$1,'7_biomass'!$1:$1,0))</f>
        <v>5.3624921735925771E-2</v>
      </c>
      <c r="M179">
        <f>INDEX('7_biomass'!$1:$343,MATCH($A179,'7_biomass'!$A:$A,0),MATCH(M$1,'7_biomass'!$1:$1,0))</f>
        <v>5.7888067445519206E-2</v>
      </c>
      <c r="N179">
        <f>INDEX('7_biomass'!$1:$343,MATCH($A179,'7_biomass'!$A:$A,0),MATCH(N$1,'7_biomass'!$1:$1,0))</f>
        <v>1.1496911584504787E-2</v>
      </c>
      <c r="O179">
        <f>INDEX('4_number_of_transport'!$1:$343,MATCH($A179,'4_number_of_transport'!$A:$A,0),MATCH(O$1,'4_number_of_transport'!$1:$1,0))</f>
        <v>10761</v>
      </c>
      <c r="P179">
        <f>INDEX('2_land_use'!$1:$343,MATCH($A179,'2_land_use'!$A:$A,0),MATCH(P$1,'2_land_use'!$1:$1,0))</f>
        <v>26.725124934616751</v>
      </c>
      <c r="Q179">
        <f>INDEX('2_land_use'!$1:$343,MATCH($A179,'2_land_use'!$A:$A,0),MATCH(Q$1,'2_land_use'!$1:$1,0))</f>
        <v>0</v>
      </c>
      <c r="R179">
        <f>INDEX('6_roof_surface'!$1:$343,MATCH($A179,'6_roof_surface'!$A:$A,0),MATCH(R$1,'6_roof_surface'!$1:$1,0))</f>
        <v>0.89902599999999999</v>
      </c>
      <c r="S179">
        <f>INDEX('6_roof_surface'!$1:$343,MATCH($A179,'6_roof_surface'!$A:$A,0),MATCH(S$1,'6_roof_surface'!$1:$1,0))</f>
        <v>0.44373099999999999</v>
      </c>
    </row>
    <row r="180" spans="1:19" x14ac:dyDescent="0.2">
      <c r="A180" t="s">
        <v>180</v>
      </c>
      <c r="B180" t="str">
        <f>INDEX(CBS_gemeenten_alfabetisch_2023!$B:$B,MATCH($A180,CBS_gemeenten_alfabetisch_2023!$A:$A,0))</f>
        <v>Meierijstad</v>
      </c>
      <c r="C180">
        <f>INDEX('5_train_share_nl'!$1:$343,MATCH($A180,'5_train_share_nl'!$A:$A,0),MATCH(C$1,'5_train_share_nl'!$1:$1,0))</f>
        <v>0</v>
      </c>
      <c r="D180">
        <f>INDEX('3_has_tram_metro'!$1:$343,MATCH($A180,'3_has_tram_metro'!$A:$A,0),MATCH(D$1,'3_has_tram_metro'!$1:$1,0))</f>
        <v>0</v>
      </c>
      <c r="E180">
        <f>INDEX('1_buildings_total'!$1:$343,MATCH($A180,'1_buildings_total'!$A:$A,0),MATCH(E$1,'1_buildings_total'!$1:$1,0))</f>
        <v>6409.0523076923055</v>
      </c>
      <c r="F180">
        <f>INDEX('2_land_use'!$1:$343,MATCH($A180,'2_land_use'!$A:$A,0),MATCH(F$1,'2_land_use'!$1:$1,0))</f>
        <v>131.84250120611532</v>
      </c>
      <c r="G180">
        <f>INDEX('4_number_of_transport'!$1:$343,MATCH($A180,'4_number_of_transport'!$A:$A,0),MATCH(G$1,'4_number_of_transport'!$1:$1,0))</f>
        <v>7310</v>
      </c>
      <c r="H180">
        <f>INDEX('4_number_of_transport'!$1:$343,MATCH($A180,'4_number_of_transport'!$A:$A,0),MATCH(H$1,'4_number_of_transport'!$1:$1,0))</f>
        <v>557</v>
      </c>
      <c r="I180">
        <f>INDEX('4_number_of_transport'!$1:$343,MATCH($A180,'4_number_of_transport'!$A:$A,0),MATCH(I$1,'4_number_of_transport'!$1:$1,0))</f>
        <v>33</v>
      </c>
      <c r="J180">
        <f>INDEX('2_land_use'!$1:$343,MATCH($A180,'2_land_use'!$A:$A,0),MATCH(J$1,'2_land_use'!$1:$1,0))</f>
        <v>2.1067406664521662E-3</v>
      </c>
      <c r="K180">
        <f>INDEX('2_land_use'!$1:$343,MATCH($A180,'2_land_use'!$A:$A,0),MATCH(K$1,'2_land_use'!$1:$1,0))</f>
        <v>5.9110355815953138E-3</v>
      </c>
      <c r="L180">
        <f>INDEX('7_biomass'!$1:$343,MATCH($A180,'7_biomass'!$A:$A,0),MATCH(L$1,'7_biomass'!$1:$1,0))</f>
        <v>0.60574357078743346</v>
      </c>
      <c r="M180">
        <f>INDEX('7_biomass'!$1:$343,MATCH($A180,'7_biomass'!$A:$A,0),MATCH(M$1,'7_biomass'!$1:$1,0))</f>
        <v>0.34999586656312176</v>
      </c>
      <c r="N180">
        <f>INDEX('7_biomass'!$1:$343,MATCH($A180,'7_biomass'!$A:$A,0),MATCH(N$1,'7_biomass'!$1:$1,0))</f>
        <v>4.9100190757372209E-2</v>
      </c>
      <c r="O180">
        <f>INDEX('4_number_of_transport'!$1:$343,MATCH($A180,'4_number_of_transport'!$A:$A,0),MATCH(O$1,'4_number_of_transport'!$1:$1,0))</f>
        <v>47192</v>
      </c>
      <c r="P180">
        <f>INDEX('2_land_use'!$1:$343,MATCH($A180,'2_land_use'!$A:$A,0),MATCH(P$1,'2_land_use'!$1:$1,0))</f>
        <v>183.99811843584408</v>
      </c>
      <c r="Q180">
        <f>INDEX('2_land_use'!$1:$343,MATCH($A180,'2_land_use'!$A:$A,0),MATCH(Q$1,'2_land_use'!$1:$1,0))</f>
        <v>0</v>
      </c>
      <c r="R180">
        <f>INDEX('6_roof_surface'!$1:$343,MATCH($A180,'6_roof_surface'!$A:$A,0),MATCH(R$1,'6_roof_surface'!$1:$1,0))</f>
        <v>3.3385539999999998</v>
      </c>
      <c r="S180">
        <f>INDEX('6_roof_surface'!$1:$343,MATCH($A180,'6_roof_surface'!$A:$A,0),MATCH(S$1,'6_roof_surface'!$1:$1,0))</f>
        <v>5.8804530000000002</v>
      </c>
    </row>
    <row r="181" spans="1:19" x14ac:dyDescent="0.2">
      <c r="A181" t="s">
        <v>181</v>
      </c>
      <c r="B181" t="str">
        <f>INDEX(CBS_gemeenten_alfabetisch_2023!$B:$B,MATCH($A181,CBS_gemeenten_alfabetisch_2023!$A:$A,0))</f>
        <v>Meppel</v>
      </c>
      <c r="C181">
        <f>INDEX('5_train_share_nl'!$1:$343,MATCH($A181,'5_train_share_nl'!$A:$A,0),MATCH(C$1,'5_train_share_nl'!$1:$1,0))</f>
        <v>2.5287233431734173E-3</v>
      </c>
      <c r="D181">
        <f>INDEX('3_has_tram_metro'!$1:$343,MATCH($A181,'3_has_tram_metro'!$A:$A,0),MATCH(D$1,'3_has_tram_metro'!$1:$1,0))</f>
        <v>0</v>
      </c>
      <c r="E181">
        <f>INDEX('1_buildings_total'!$1:$343,MATCH($A181,'1_buildings_total'!$A:$A,0),MATCH(E$1,'1_buildings_total'!$1:$1,0))</f>
        <v>2725.2226153846159</v>
      </c>
      <c r="F181">
        <f>INDEX('2_land_use'!$1:$343,MATCH($A181,'2_land_use'!$A:$A,0),MATCH(F$1,'2_land_use'!$1:$1,0))</f>
        <v>39.567474212972819</v>
      </c>
      <c r="G181">
        <f>INDEX('4_number_of_transport'!$1:$343,MATCH($A181,'4_number_of_transport'!$A:$A,0),MATCH(G$1,'4_number_of_transport'!$1:$1,0))</f>
        <v>1684</v>
      </c>
      <c r="H181">
        <f>INDEX('4_number_of_transport'!$1:$343,MATCH($A181,'4_number_of_transport'!$A:$A,0),MATCH(H$1,'4_number_of_transport'!$1:$1,0))</f>
        <v>116</v>
      </c>
      <c r="I181">
        <f>INDEX('4_number_of_transport'!$1:$343,MATCH($A181,'4_number_of_transport'!$A:$A,0),MATCH(I$1,'4_number_of_transport'!$1:$1,0))</f>
        <v>7</v>
      </c>
      <c r="J181">
        <f>INDEX('2_land_use'!$1:$343,MATCH($A181,'2_land_use'!$A:$A,0),MATCH(J$1,'2_land_use'!$1:$1,0))</f>
        <v>0</v>
      </c>
      <c r="K181">
        <f>INDEX('2_land_use'!$1:$343,MATCH($A181,'2_land_use'!$A:$A,0),MATCH(K$1,'2_land_use'!$1:$1,0))</f>
        <v>1.7739708046125035E-3</v>
      </c>
      <c r="L181">
        <f>INDEX('7_biomass'!$1:$343,MATCH($A181,'7_biomass'!$A:$A,0),MATCH(L$1,'7_biomass'!$1:$1,0))</f>
        <v>0.14843929730484329</v>
      </c>
      <c r="M181">
        <f>INDEX('7_biomass'!$1:$343,MATCH($A181,'7_biomass'!$A:$A,0),MATCH(M$1,'7_biomass'!$1:$1,0))</f>
        <v>0.1025606432314594</v>
      </c>
      <c r="N181">
        <f>INDEX('7_biomass'!$1:$343,MATCH($A181,'7_biomass'!$A:$A,0),MATCH(N$1,'7_biomass'!$1:$1,0))</f>
        <v>2.0392239096460322E-2</v>
      </c>
      <c r="O181">
        <f>INDEX('4_number_of_transport'!$1:$343,MATCH($A181,'4_number_of_transport'!$A:$A,0),MATCH(O$1,'4_number_of_transport'!$1:$1,0))</f>
        <v>17758</v>
      </c>
      <c r="P181">
        <f>INDEX('2_land_use'!$1:$343,MATCH($A181,'2_land_use'!$A:$A,0),MATCH(P$1,'2_land_use'!$1:$1,0))</f>
        <v>55.502037195783608</v>
      </c>
      <c r="Q181">
        <f>INDEX('2_land_use'!$1:$343,MATCH($A181,'2_land_use'!$A:$A,0),MATCH(Q$1,'2_land_use'!$1:$1,0))</f>
        <v>0</v>
      </c>
      <c r="R181">
        <f>INDEX('6_roof_surface'!$1:$343,MATCH($A181,'6_roof_surface'!$A:$A,0),MATCH(R$1,'6_roof_surface'!$1:$1,0))</f>
        <v>1.2348539999999999</v>
      </c>
      <c r="S181">
        <f>INDEX('6_roof_surface'!$1:$343,MATCH($A181,'6_roof_surface'!$A:$A,0),MATCH(S$1,'6_roof_surface'!$1:$1,0))</f>
        <v>1.177297</v>
      </c>
    </row>
    <row r="182" spans="1:19" x14ac:dyDescent="0.2">
      <c r="A182" t="s">
        <v>182</v>
      </c>
      <c r="B182" t="str">
        <f>INDEX(CBS_gemeenten_alfabetisch_2023!$B:$B,MATCH($A182,CBS_gemeenten_alfabetisch_2023!$A:$A,0))</f>
        <v>Middelburg</v>
      </c>
      <c r="C182">
        <f>INDEX('5_train_share_nl'!$1:$343,MATCH($A182,'5_train_share_nl'!$A:$A,0),MATCH(C$1,'5_train_share_nl'!$1:$1,0))</f>
        <v>1.7225096371444354E-3</v>
      </c>
      <c r="D182">
        <f>INDEX('3_has_tram_metro'!$1:$343,MATCH($A182,'3_has_tram_metro'!$A:$A,0),MATCH(D$1,'3_has_tram_metro'!$1:$1,0))</f>
        <v>0</v>
      </c>
      <c r="E182">
        <f>INDEX('1_buildings_total'!$1:$343,MATCH($A182,'1_buildings_total'!$A:$A,0),MATCH(E$1,'1_buildings_total'!$1:$1,0))</f>
        <v>4885.2636153846152</v>
      </c>
      <c r="F182">
        <f>INDEX('2_land_use'!$1:$343,MATCH($A182,'2_land_use'!$A:$A,0),MATCH(F$1,'2_land_use'!$1:$1,0))</f>
        <v>28.400538226649743</v>
      </c>
      <c r="G182">
        <f>INDEX('4_number_of_transport'!$1:$343,MATCH($A182,'4_number_of_transport'!$A:$A,0),MATCH(G$1,'4_number_of_transport'!$1:$1,0))</f>
        <v>2085</v>
      </c>
      <c r="H182">
        <f>INDEX('4_number_of_transport'!$1:$343,MATCH($A182,'4_number_of_transport'!$A:$A,0),MATCH(H$1,'4_number_of_transport'!$1:$1,0))</f>
        <v>156</v>
      </c>
      <c r="I182">
        <f>INDEX('4_number_of_transport'!$1:$343,MATCH($A182,'4_number_of_transport'!$A:$A,0),MATCH(I$1,'4_number_of_transport'!$1:$1,0))</f>
        <v>4</v>
      </c>
      <c r="J182">
        <f>INDEX('2_land_use'!$1:$343,MATCH($A182,'2_land_use'!$A:$A,0),MATCH(J$1,'2_land_use'!$1:$1,0))</f>
        <v>6.7057094155311911E-4</v>
      </c>
      <c r="K182">
        <f>INDEX('2_land_use'!$1:$343,MATCH($A182,'2_land_use'!$A:$A,0),MATCH(K$1,'2_land_use'!$1:$1,0))</f>
        <v>1.273311644260567E-3</v>
      </c>
      <c r="L182">
        <f>INDEX('7_biomass'!$1:$343,MATCH($A182,'7_biomass'!$A:$A,0),MATCH(L$1,'7_biomass'!$1:$1,0))</f>
        <v>1.3771646754662845</v>
      </c>
      <c r="M182">
        <f>INDEX('7_biomass'!$1:$343,MATCH($A182,'7_biomass'!$A:$A,0),MATCH(M$1,'7_biomass'!$1:$1,0))</f>
        <v>0.14418573008723989</v>
      </c>
      <c r="N182">
        <f>INDEX('7_biomass'!$1:$343,MATCH($A182,'7_biomass'!$A:$A,0),MATCH(N$1,'7_biomass'!$1:$1,0))</f>
        <v>2.9493530410516323E-2</v>
      </c>
      <c r="O182">
        <f>INDEX('4_number_of_transport'!$1:$343,MATCH($A182,'4_number_of_transport'!$A:$A,0),MATCH(O$1,'4_number_of_transport'!$1:$1,0))</f>
        <v>23385</v>
      </c>
      <c r="P182">
        <f>INDEX('2_land_use'!$1:$343,MATCH($A182,'2_land_use'!$A:$A,0),MATCH(P$1,'2_land_use'!$1:$1,0))</f>
        <v>48.377411119913468</v>
      </c>
      <c r="Q182">
        <f>INDEX('2_land_use'!$1:$343,MATCH($A182,'2_land_use'!$A:$A,0),MATCH(Q$1,'2_land_use'!$1:$1,0))</f>
        <v>0</v>
      </c>
      <c r="R182">
        <f>INDEX('6_roof_surface'!$1:$343,MATCH($A182,'6_roof_surface'!$A:$A,0),MATCH(R$1,'6_roof_surface'!$1:$1,0))</f>
        <v>1.546057</v>
      </c>
      <c r="S182">
        <f>INDEX('6_roof_surface'!$1:$343,MATCH($A182,'6_roof_surface'!$A:$A,0),MATCH(S$1,'6_roof_surface'!$1:$1,0))</f>
        <v>1.3655299999999999</v>
      </c>
    </row>
    <row r="183" spans="1:19" x14ac:dyDescent="0.2">
      <c r="A183" t="s">
        <v>183</v>
      </c>
      <c r="B183" t="str">
        <f>INDEX(CBS_gemeenten_alfabetisch_2023!$B:$B,MATCH($A183,CBS_gemeenten_alfabetisch_2023!$A:$A,0))</f>
        <v>Midden-Delfland</v>
      </c>
      <c r="C183">
        <f>INDEX('5_train_share_nl'!$1:$343,MATCH($A183,'5_train_share_nl'!$A:$A,0),MATCH(C$1,'5_train_share_nl'!$1:$1,0))</f>
        <v>0</v>
      </c>
      <c r="D183">
        <f>INDEX('3_has_tram_metro'!$1:$343,MATCH($A183,'3_has_tram_metro'!$A:$A,0),MATCH(D$1,'3_has_tram_metro'!$1:$1,0))</f>
        <v>0</v>
      </c>
      <c r="E183">
        <f>INDEX('1_buildings_total'!$1:$343,MATCH($A183,'1_buildings_total'!$A:$A,0),MATCH(E$1,'1_buildings_total'!$1:$1,0))</f>
        <v>1484.0135384615385</v>
      </c>
      <c r="F183">
        <f>INDEX('2_land_use'!$1:$343,MATCH($A183,'2_land_use'!$A:$A,0),MATCH(F$1,'2_land_use'!$1:$1,0))</f>
        <v>37.970401325165057</v>
      </c>
      <c r="G183">
        <f>INDEX('4_number_of_transport'!$1:$343,MATCH($A183,'4_number_of_transport'!$A:$A,0),MATCH(G$1,'4_number_of_transport'!$1:$1,0))</f>
        <v>1383</v>
      </c>
      <c r="H183">
        <f>INDEX('4_number_of_transport'!$1:$343,MATCH($A183,'4_number_of_transport'!$A:$A,0),MATCH(H$1,'4_number_of_transport'!$1:$1,0))</f>
        <v>137</v>
      </c>
      <c r="I183">
        <f>INDEX('4_number_of_transport'!$1:$343,MATCH($A183,'4_number_of_transport'!$A:$A,0),MATCH(I$1,'4_number_of_transport'!$1:$1,0))</f>
        <v>2</v>
      </c>
      <c r="J183">
        <f>INDEX('2_land_use'!$1:$343,MATCH($A183,'2_land_use'!$A:$A,0),MATCH(J$1,'2_land_use'!$1:$1,0))</f>
        <v>1.7161708500724536E-2</v>
      </c>
      <c r="K183">
        <f>INDEX('2_land_use'!$1:$343,MATCH($A183,'2_land_use'!$A:$A,0),MATCH(K$1,'2_land_use'!$1:$1,0))</f>
        <v>1.7023675311622045E-3</v>
      </c>
      <c r="L183">
        <f>INDEX('7_biomass'!$1:$343,MATCH($A183,'7_biomass'!$A:$A,0),MATCH(L$1,'7_biomass'!$1:$1,0))</f>
        <v>0.13225352906956689</v>
      </c>
      <c r="M183">
        <f>INDEX('7_biomass'!$1:$343,MATCH($A183,'7_biomass'!$A:$A,0),MATCH(M$1,'7_biomass'!$1:$1,0))</f>
        <v>5.9993136223824316E-2</v>
      </c>
      <c r="N183">
        <f>INDEX('7_biomass'!$1:$343,MATCH($A183,'7_biomass'!$A:$A,0),MATCH(N$1,'7_biomass'!$1:$1,0))</f>
        <v>1.1781250992714279E-2</v>
      </c>
      <c r="O183">
        <f>INDEX('4_number_of_transport'!$1:$343,MATCH($A183,'4_number_of_transport'!$A:$A,0),MATCH(O$1,'4_number_of_transport'!$1:$1,0))</f>
        <v>9567</v>
      </c>
      <c r="P183">
        <f>INDEX('2_land_use'!$1:$343,MATCH($A183,'2_land_use'!$A:$A,0),MATCH(P$1,'2_land_use'!$1:$1,0))</f>
        <v>47.187210399273901</v>
      </c>
      <c r="Q183">
        <f>INDEX('2_land_use'!$1:$343,MATCH($A183,'2_land_use'!$A:$A,0),MATCH(Q$1,'2_land_use'!$1:$1,0))</f>
        <v>0</v>
      </c>
      <c r="R183">
        <f>INDEX('6_roof_surface'!$1:$343,MATCH($A183,'6_roof_surface'!$A:$A,0),MATCH(R$1,'6_roof_surface'!$1:$1,0))</f>
        <v>0.79992600000000003</v>
      </c>
      <c r="S183">
        <f>INDEX('6_roof_surface'!$1:$343,MATCH($A183,'6_roof_surface'!$A:$A,0),MATCH(S$1,'6_roof_surface'!$1:$1,0))</f>
        <v>2.6446040000000002</v>
      </c>
    </row>
    <row r="184" spans="1:19" x14ac:dyDescent="0.2">
      <c r="A184" t="s">
        <v>184</v>
      </c>
      <c r="B184" t="str">
        <f>INDEX(CBS_gemeenten_alfabetisch_2023!$B:$B,MATCH($A184,CBS_gemeenten_alfabetisch_2023!$A:$A,0))</f>
        <v>Midden-Drenthe</v>
      </c>
      <c r="C184">
        <f>INDEX('5_train_share_nl'!$1:$343,MATCH($A184,'5_train_share_nl'!$A:$A,0),MATCH(C$1,'5_train_share_nl'!$1:$1,0))</f>
        <v>6.2841903313752166E-4</v>
      </c>
      <c r="D184">
        <f>INDEX('3_has_tram_metro'!$1:$343,MATCH($A184,'3_has_tram_metro'!$A:$A,0),MATCH(D$1,'3_has_tram_metro'!$1:$1,0))</f>
        <v>0</v>
      </c>
      <c r="E184">
        <f>INDEX('1_buildings_total'!$1:$343,MATCH($A184,'1_buildings_total'!$A:$A,0),MATCH(E$1,'1_buildings_total'!$1:$1,0))</f>
        <v>4906.5719230769218</v>
      </c>
      <c r="F184">
        <f>INDEX('2_land_use'!$1:$343,MATCH($A184,'2_land_use'!$A:$A,0),MATCH(F$1,'2_land_use'!$1:$1,0))</f>
        <v>250.52427178323668</v>
      </c>
      <c r="G184">
        <f>INDEX('4_number_of_transport'!$1:$343,MATCH($A184,'4_number_of_transport'!$A:$A,0),MATCH(G$1,'4_number_of_transport'!$1:$1,0))</f>
        <v>3024</v>
      </c>
      <c r="H184">
        <f>INDEX('4_number_of_transport'!$1:$343,MATCH($A184,'4_number_of_transport'!$A:$A,0),MATCH(H$1,'4_number_of_transport'!$1:$1,0))</f>
        <v>119</v>
      </c>
      <c r="I184">
        <f>INDEX('4_number_of_transport'!$1:$343,MATCH($A184,'4_number_of_transport'!$A:$A,0),MATCH(I$1,'4_number_of_transport'!$1:$1,0))</f>
        <v>4</v>
      </c>
      <c r="J184">
        <f>INDEX('2_land_use'!$1:$343,MATCH($A184,'2_land_use'!$A:$A,0),MATCH(J$1,'2_land_use'!$1:$1,0))</f>
        <v>0</v>
      </c>
      <c r="K184">
        <f>INDEX('2_land_use'!$1:$343,MATCH($A184,'2_land_use'!$A:$A,0),MATCH(K$1,'2_land_use'!$1:$1,0))</f>
        <v>1.1232022079502838E-2</v>
      </c>
      <c r="L184">
        <f>INDEX('7_biomass'!$1:$343,MATCH($A184,'7_biomass'!$A:$A,0),MATCH(L$1,'7_biomass'!$1:$1,0))</f>
        <v>0.6526341082104794</v>
      </c>
      <c r="M184">
        <f>INDEX('7_biomass'!$1:$343,MATCH($A184,'7_biomass'!$A:$A,0),MATCH(M$1,'7_biomass'!$1:$1,0))</f>
        <v>0.35593190249884954</v>
      </c>
      <c r="N184">
        <f>INDEX('7_biomass'!$1:$343,MATCH($A184,'7_biomass'!$A:$A,0),MATCH(N$1,'7_biomass'!$1:$1,0))</f>
        <v>2.0157719840971297E-2</v>
      </c>
      <c r="O184">
        <f>INDEX('4_number_of_transport'!$1:$343,MATCH($A184,'4_number_of_transport'!$A:$A,0),MATCH(O$1,'4_number_of_transport'!$1:$1,0))</f>
        <v>19624</v>
      </c>
      <c r="P184">
        <f>INDEX('2_land_use'!$1:$343,MATCH($A184,'2_land_use'!$A:$A,0),MATCH(P$1,'2_land_use'!$1:$1,0))</f>
        <v>340.62237937351966</v>
      </c>
      <c r="Q184">
        <f>INDEX('2_land_use'!$1:$343,MATCH($A184,'2_land_use'!$A:$A,0),MATCH(Q$1,'2_land_use'!$1:$1,0))</f>
        <v>0</v>
      </c>
      <c r="R184">
        <f>INDEX('6_roof_surface'!$1:$343,MATCH($A184,'6_roof_surface'!$A:$A,0),MATCH(R$1,'6_roof_surface'!$1:$1,0))</f>
        <v>1.8183119999999999</v>
      </c>
      <c r="S184">
        <f>INDEX('6_roof_surface'!$1:$343,MATCH($A184,'6_roof_surface'!$A:$A,0),MATCH(S$1,'6_roof_surface'!$1:$1,0))</f>
        <v>2.4571809999999998</v>
      </c>
    </row>
    <row r="185" spans="1:19" x14ac:dyDescent="0.2">
      <c r="A185" t="s">
        <v>185</v>
      </c>
      <c r="B185" t="str">
        <f>INDEX(CBS_gemeenten_alfabetisch_2023!$B:$B,MATCH($A185,CBS_gemeenten_alfabetisch_2023!$A:$A,0))</f>
        <v>Midden-Groningen</v>
      </c>
      <c r="C185">
        <f>INDEX('5_train_share_nl'!$1:$343,MATCH($A185,'5_train_share_nl'!$A:$A,0),MATCH(C$1,'5_train_share_nl'!$1:$1,0))</f>
        <v>1.5736214478188474E-3</v>
      </c>
      <c r="D185">
        <f>INDEX('3_has_tram_metro'!$1:$343,MATCH($A185,'3_has_tram_metro'!$A:$A,0),MATCH(D$1,'3_has_tram_metro'!$1:$1,0))</f>
        <v>0</v>
      </c>
      <c r="E185">
        <f>INDEX('1_buildings_total'!$1:$343,MATCH($A185,'1_buildings_total'!$A:$A,0),MATCH(E$1,'1_buildings_total'!$1:$1,0))</f>
        <v>6277.0664615384621</v>
      </c>
      <c r="F185">
        <f>INDEX('2_land_use'!$1:$343,MATCH($A185,'2_land_use'!$A:$A,0),MATCH(F$1,'2_land_use'!$1:$1,0))</f>
        <v>221.23261056275518</v>
      </c>
      <c r="G185">
        <f>INDEX('4_number_of_transport'!$1:$343,MATCH($A185,'4_number_of_transport'!$A:$A,0),MATCH(G$1,'4_number_of_transport'!$1:$1,0))</f>
        <v>3649</v>
      </c>
      <c r="H185">
        <f>INDEX('4_number_of_transport'!$1:$343,MATCH($A185,'4_number_of_transport'!$A:$A,0),MATCH(H$1,'4_number_of_transport'!$1:$1,0))</f>
        <v>238</v>
      </c>
      <c r="I185">
        <f>INDEX('4_number_of_transport'!$1:$343,MATCH($A185,'4_number_of_transport'!$A:$A,0),MATCH(I$1,'4_number_of_transport'!$1:$1,0))</f>
        <v>18</v>
      </c>
      <c r="J185">
        <f>INDEX('2_land_use'!$1:$343,MATCH($A185,'2_land_use'!$A:$A,0),MATCH(J$1,'2_land_use'!$1:$1,0))</f>
        <v>4.7740303327194217E-3</v>
      </c>
      <c r="K185">
        <f>INDEX('2_land_use'!$1:$343,MATCH($A185,'2_land_use'!$A:$A,0),MATCH(K$1,'2_land_use'!$1:$1,0))</f>
        <v>9.9187577668998946E-3</v>
      </c>
      <c r="L185">
        <f>INDEX('7_biomass'!$1:$343,MATCH($A185,'7_biomass'!$A:$A,0),MATCH(L$1,'7_biomass'!$1:$1,0))</f>
        <v>0.67549707974829609</v>
      </c>
      <c r="M185">
        <f>INDEX('7_biomass'!$1:$343,MATCH($A185,'7_biomass'!$A:$A,0),MATCH(M$1,'7_biomass'!$1:$1,0))</f>
        <v>0.33336960143389405</v>
      </c>
      <c r="N185">
        <f>INDEX('7_biomass'!$1:$343,MATCH($A185,'7_biomass'!$A:$A,0),MATCH(N$1,'7_biomass'!$1:$1,0))</f>
        <v>3.6999969274679329E-2</v>
      </c>
      <c r="O185">
        <f>INDEX('4_number_of_transport'!$1:$343,MATCH($A185,'4_number_of_transport'!$A:$A,0),MATCH(O$1,'4_number_of_transport'!$1:$1,0))</f>
        <v>34106</v>
      </c>
      <c r="P185">
        <f>INDEX('2_land_use'!$1:$343,MATCH($A185,'2_land_use'!$A:$A,0),MATCH(P$1,'2_land_use'!$1:$1,0))</f>
        <v>277.94869258319193</v>
      </c>
      <c r="Q185">
        <f>INDEX('2_land_use'!$1:$343,MATCH($A185,'2_land_use'!$A:$A,0),MATCH(Q$1,'2_land_use'!$1:$1,0))</f>
        <v>0</v>
      </c>
      <c r="R185">
        <f>INDEX('6_roof_surface'!$1:$343,MATCH($A185,'6_roof_surface'!$A:$A,0),MATCH(R$1,'6_roof_surface'!$1:$1,0))</f>
        <v>3.4396819999999999</v>
      </c>
      <c r="S185">
        <f>INDEX('6_roof_surface'!$1:$343,MATCH($A185,'6_roof_surface'!$A:$A,0),MATCH(S$1,'6_roof_surface'!$1:$1,0))</f>
        <v>2.6975500000000001</v>
      </c>
    </row>
    <row r="186" spans="1:19" x14ac:dyDescent="0.2">
      <c r="A186" t="s">
        <v>186</v>
      </c>
      <c r="B186" t="str">
        <f>INDEX(CBS_gemeenten_alfabetisch_2023!$B:$B,MATCH($A186,CBS_gemeenten_alfabetisch_2023!$A:$A,0))</f>
        <v>Moerdijk</v>
      </c>
      <c r="C186">
        <f>INDEX('5_train_share_nl'!$1:$343,MATCH($A186,'5_train_share_nl'!$A:$A,0),MATCH(C$1,'5_train_share_nl'!$1:$1,0))</f>
        <v>3.718244940870402E-4</v>
      </c>
      <c r="D186">
        <f>INDEX('3_has_tram_metro'!$1:$343,MATCH($A186,'3_has_tram_metro'!$A:$A,0),MATCH(D$1,'3_has_tram_metro'!$1:$1,0))</f>
        <v>0</v>
      </c>
      <c r="E186">
        <f>INDEX('1_buildings_total'!$1:$343,MATCH($A186,'1_buildings_total'!$A:$A,0),MATCH(E$1,'1_buildings_total'!$1:$1,0))</f>
        <v>2766.361230769232</v>
      </c>
      <c r="F186">
        <f>INDEX('2_land_use'!$1:$343,MATCH($A186,'2_land_use'!$A:$A,0),MATCH(F$1,'2_land_use'!$1:$1,0))</f>
        <v>116.2407236177786</v>
      </c>
      <c r="G186">
        <f>INDEX('4_number_of_transport'!$1:$343,MATCH($A186,'4_number_of_transport'!$A:$A,0),MATCH(G$1,'4_number_of_transport'!$1:$1,0))</f>
        <v>2954</v>
      </c>
      <c r="H186">
        <f>INDEX('4_number_of_transport'!$1:$343,MATCH($A186,'4_number_of_transport'!$A:$A,0),MATCH(H$1,'4_number_of_transport'!$1:$1,0))</f>
        <v>267</v>
      </c>
      <c r="I186">
        <f>INDEX('4_number_of_transport'!$1:$343,MATCH($A186,'4_number_of_transport'!$A:$A,0),MATCH(I$1,'4_number_of_transport'!$1:$1,0))</f>
        <v>39</v>
      </c>
      <c r="J186">
        <f>INDEX('2_land_use'!$1:$343,MATCH($A186,'2_land_use'!$A:$A,0),MATCH(J$1,'2_land_use'!$1:$1,0))</f>
        <v>4.3631785626598481E-3</v>
      </c>
      <c r="K186">
        <f>INDEX('2_land_use'!$1:$343,MATCH($A186,'2_land_use'!$A:$A,0),MATCH(K$1,'2_land_use'!$1:$1,0))</f>
        <v>5.2115444340736288E-3</v>
      </c>
      <c r="L186">
        <f>INDEX('7_biomass'!$1:$343,MATCH($A186,'7_biomass'!$A:$A,0),MATCH(L$1,'7_biomass'!$1:$1,0))</f>
        <v>0.51641384993315198</v>
      </c>
      <c r="M186">
        <f>INDEX('7_biomass'!$1:$343,MATCH($A186,'7_biomass'!$A:$A,0),MATCH(M$1,'7_biomass'!$1:$1,0))</f>
        <v>0.18739201947584272</v>
      </c>
      <c r="N186">
        <f>INDEX('7_biomass'!$1:$343,MATCH($A186,'7_biomass'!$A:$A,0),MATCH(N$1,'7_biomass'!$1:$1,0))</f>
        <v>2.2456130057331363E-2</v>
      </c>
      <c r="O186">
        <f>INDEX('4_number_of_transport'!$1:$343,MATCH($A186,'4_number_of_transport'!$A:$A,0),MATCH(O$1,'4_number_of_transport'!$1:$1,0))</f>
        <v>22291</v>
      </c>
      <c r="P186">
        <f>INDEX('2_land_use'!$1:$343,MATCH($A186,'2_land_use'!$A:$A,0),MATCH(P$1,'2_land_use'!$1:$1,0))</f>
        <v>159.16854328541569</v>
      </c>
      <c r="Q186">
        <f>INDEX('2_land_use'!$1:$343,MATCH($A186,'2_land_use'!$A:$A,0),MATCH(Q$1,'2_land_use'!$1:$1,0))</f>
        <v>0</v>
      </c>
      <c r="R186">
        <f>INDEX('6_roof_surface'!$1:$343,MATCH($A186,'6_roof_surface'!$A:$A,0),MATCH(R$1,'6_roof_surface'!$1:$1,0))</f>
        <v>1.4308810000000001</v>
      </c>
      <c r="S186">
        <f>INDEX('6_roof_surface'!$1:$343,MATCH($A186,'6_roof_surface'!$A:$A,0),MATCH(S$1,'6_roof_surface'!$1:$1,0))</f>
        <v>4.2485480000000004</v>
      </c>
    </row>
    <row r="187" spans="1:19" x14ac:dyDescent="0.2">
      <c r="A187" t="s">
        <v>187</v>
      </c>
      <c r="B187" t="str">
        <f>INDEX(CBS_gemeenten_alfabetisch_2023!$B:$B,MATCH($A187,CBS_gemeenten_alfabetisch_2023!$A:$A,0))</f>
        <v>Molenlanden</v>
      </c>
      <c r="C187">
        <f>INDEX('5_train_share_nl'!$1:$343,MATCH($A187,'5_train_share_nl'!$A:$A,0),MATCH(C$1,'5_train_share_nl'!$1:$1,0))</f>
        <v>6.3356676308760847E-5</v>
      </c>
      <c r="D187">
        <f>INDEX('3_has_tram_metro'!$1:$343,MATCH($A187,'3_has_tram_metro'!$A:$A,0),MATCH(D$1,'3_has_tram_metro'!$1:$1,0))</f>
        <v>0</v>
      </c>
      <c r="E187">
        <f>INDEX('1_buildings_total'!$1:$343,MATCH($A187,'1_buildings_total'!$A:$A,0),MATCH(E$1,'1_buildings_total'!$1:$1,0))</f>
        <v>2142.8618461538463</v>
      </c>
      <c r="F187">
        <f>INDEX('2_land_use'!$1:$343,MATCH($A187,'2_land_use'!$A:$A,0),MATCH(F$1,'2_land_use'!$1:$1,0))</f>
        <v>161.29092439487934</v>
      </c>
      <c r="G187">
        <f>INDEX('4_number_of_transport'!$1:$343,MATCH($A187,'4_number_of_transport'!$A:$A,0),MATCH(G$1,'4_number_of_transport'!$1:$1,0))</f>
        <v>4031</v>
      </c>
      <c r="H187">
        <f>INDEX('4_number_of_transport'!$1:$343,MATCH($A187,'4_number_of_transport'!$A:$A,0),MATCH(H$1,'4_number_of_transport'!$1:$1,0))</f>
        <v>358</v>
      </c>
      <c r="I187">
        <f>INDEX('4_number_of_transport'!$1:$343,MATCH($A187,'4_number_of_transport'!$A:$A,0),MATCH(I$1,'4_number_of_transport'!$1:$1,0))</f>
        <v>12</v>
      </c>
      <c r="J187">
        <f>INDEX('2_land_use'!$1:$343,MATCH($A187,'2_land_use'!$A:$A,0),MATCH(J$1,'2_land_use'!$1:$1,0))</f>
        <v>0</v>
      </c>
      <c r="K187">
        <f>INDEX('2_land_use'!$1:$343,MATCH($A187,'2_land_use'!$A:$A,0),MATCH(K$1,'2_land_use'!$1:$1,0))</f>
        <v>7.2313281708456349E-3</v>
      </c>
      <c r="L187">
        <f>INDEX('7_biomass'!$1:$343,MATCH($A187,'7_biomass'!$A:$A,0),MATCH(L$1,'7_biomass'!$1:$1,0))</f>
        <v>0.51389614972694486</v>
      </c>
      <c r="M187">
        <f>INDEX('7_biomass'!$1:$343,MATCH($A187,'7_biomass'!$A:$A,0),MATCH(M$1,'7_biomass'!$1:$1,0))</f>
        <v>0.16875871075492832</v>
      </c>
      <c r="N187">
        <f>INDEX('7_biomass'!$1:$343,MATCH($A187,'7_biomass'!$A:$A,0),MATCH(N$1,'7_biomass'!$1:$1,0))</f>
        <v>2.6646490951393063E-2</v>
      </c>
      <c r="O187">
        <f>INDEX('4_number_of_transport'!$1:$343,MATCH($A187,'4_number_of_transport'!$A:$A,0),MATCH(O$1,'4_number_of_transport'!$1:$1,0))</f>
        <v>24092</v>
      </c>
      <c r="P187">
        <f>INDEX('2_land_use'!$1:$343,MATCH($A187,'2_land_use'!$A:$A,0),MATCH(P$1,'2_land_use'!$1:$1,0))</f>
        <v>181.57231895099846</v>
      </c>
      <c r="Q187">
        <f>INDEX('2_land_use'!$1:$343,MATCH($A187,'2_land_use'!$A:$A,0),MATCH(Q$1,'2_land_use'!$1:$1,0))</f>
        <v>0</v>
      </c>
      <c r="R187">
        <f>INDEX('6_roof_surface'!$1:$343,MATCH($A187,'6_roof_surface'!$A:$A,0),MATCH(R$1,'6_roof_surface'!$1:$1,0))</f>
        <v>1.481169</v>
      </c>
      <c r="S187">
        <f>INDEX('6_roof_surface'!$1:$343,MATCH($A187,'6_roof_surface'!$A:$A,0),MATCH(S$1,'6_roof_surface'!$1:$1,0))</f>
        <v>2.1637379999999999</v>
      </c>
    </row>
    <row r="188" spans="1:19" x14ac:dyDescent="0.2">
      <c r="A188" t="s">
        <v>188</v>
      </c>
      <c r="B188" t="str">
        <f>INDEX(CBS_gemeenten_alfabetisch_2023!$B:$B,MATCH($A188,CBS_gemeenten_alfabetisch_2023!$A:$A,0))</f>
        <v>Montferland</v>
      </c>
      <c r="C188">
        <f>INDEX('5_train_share_nl'!$1:$343,MATCH($A188,'5_train_share_nl'!$A:$A,0),MATCH(C$1,'5_train_share_nl'!$1:$1,0))</f>
        <v>7.4919269735109699E-4</v>
      </c>
      <c r="D188">
        <f>INDEX('3_has_tram_metro'!$1:$343,MATCH($A188,'3_has_tram_metro'!$A:$A,0),MATCH(D$1,'3_has_tram_metro'!$1:$1,0))</f>
        <v>0</v>
      </c>
      <c r="E188">
        <f>INDEX('1_buildings_total'!$1:$343,MATCH($A188,'1_buildings_total'!$A:$A,0),MATCH(E$1,'1_buildings_total'!$1:$1,0))</f>
        <v>2730.9979999999996</v>
      </c>
      <c r="F188">
        <f>INDEX('2_land_use'!$1:$343,MATCH($A188,'2_land_use'!$A:$A,0),MATCH(F$1,'2_land_use'!$1:$1,0))</f>
        <v>73.414357671488375</v>
      </c>
      <c r="G188">
        <f>INDEX('4_number_of_transport'!$1:$343,MATCH($A188,'4_number_of_transport'!$A:$A,0),MATCH(G$1,'4_number_of_transport'!$1:$1,0))</f>
        <v>2283</v>
      </c>
      <c r="H188">
        <f>INDEX('4_number_of_transport'!$1:$343,MATCH($A188,'4_number_of_transport'!$A:$A,0),MATCH(H$1,'4_number_of_transport'!$1:$1,0))</f>
        <v>220</v>
      </c>
      <c r="I188">
        <f>INDEX('4_number_of_transport'!$1:$343,MATCH($A188,'4_number_of_transport'!$A:$A,0),MATCH(I$1,'4_number_of_transport'!$1:$1,0))</f>
        <v>10</v>
      </c>
      <c r="J188">
        <f>INDEX('2_land_use'!$1:$343,MATCH($A188,'2_land_use'!$A:$A,0),MATCH(J$1,'2_land_use'!$1:$1,0))</f>
        <v>0</v>
      </c>
      <c r="K188">
        <f>INDEX('2_land_use'!$1:$343,MATCH($A188,'2_land_use'!$A:$A,0),MATCH(K$1,'2_land_use'!$1:$1,0))</f>
        <v>3.2914642579308434E-3</v>
      </c>
      <c r="L188">
        <f>INDEX('7_biomass'!$1:$343,MATCH($A188,'7_biomass'!$A:$A,0),MATCH(L$1,'7_biomass'!$1:$1,0))</f>
        <v>0.22674125860981137</v>
      </c>
      <c r="M188">
        <f>INDEX('7_biomass'!$1:$343,MATCH($A188,'7_biomass'!$A:$A,0),MATCH(M$1,'7_biomass'!$1:$1,0))</f>
        <v>0.15012794693430431</v>
      </c>
      <c r="N188">
        <f>INDEX('7_biomass'!$1:$343,MATCH($A188,'7_biomass'!$A:$A,0),MATCH(N$1,'7_biomass'!$1:$1,0))</f>
        <v>2.1888058803750433E-2</v>
      </c>
      <c r="O188">
        <f>INDEX('4_number_of_transport'!$1:$343,MATCH($A188,'4_number_of_transport'!$A:$A,0),MATCH(O$1,'4_number_of_transport'!$1:$1,0))</f>
        <v>20732</v>
      </c>
      <c r="P188">
        <f>INDEX('2_land_use'!$1:$343,MATCH($A188,'2_land_use'!$A:$A,0),MATCH(P$1,'2_land_use'!$1:$1,0))</f>
        <v>105.69816483051811</v>
      </c>
      <c r="Q188">
        <f>INDEX('2_land_use'!$1:$343,MATCH($A188,'2_land_use'!$A:$A,0),MATCH(Q$1,'2_land_use'!$1:$1,0))</f>
        <v>0</v>
      </c>
      <c r="R188">
        <f>INDEX('6_roof_surface'!$1:$343,MATCH($A188,'6_roof_surface'!$A:$A,0),MATCH(R$1,'6_roof_surface'!$1:$1,0))</f>
        <v>1.5834569999999999</v>
      </c>
      <c r="S188">
        <f>INDEX('6_roof_surface'!$1:$343,MATCH($A188,'6_roof_surface'!$A:$A,0),MATCH(S$1,'6_roof_surface'!$1:$1,0))</f>
        <v>1.9536089999999999</v>
      </c>
    </row>
    <row r="189" spans="1:19" x14ac:dyDescent="0.2">
      <c r="A189" t="s">
        <v>189</v>
      </c>
      <c r="B189" t="str">
        <f>INDEX(CBS_gemeenten_alfabetisch_2023!$B:$B,MATCH($A189,CBS_gemeenten_alfabetisch_2023!$A:$A,0))</f>
        <v>Montfoort</v>
      </c>
      <c r="C189">
        <f>INDEX('5_train_share_nl'!$1:$343,MATCH($A189,'5_train_share_nl'!$A:$A,0),MATCH(C$1,'5_train_share_nl'!$1:$1,0))</f>
        <v>0</v>
      </c>
      <c r="D189">
        <f>INDEX('3_has_tram_metro'!$1:$343,MATCH($A189,'3_has_tram_metro'!$A:$A,0),MATCH(D$1,'3_has_tram_metro'!$1:$1,0))</f>
        <v>0</v>
      </c>
      <c r="E189">
        <f>INDEX('1_buildings_total'!$1:$343,MATCH($A189,'1_buildings_total'!$A:$A,0),MATCH(E$1,'1_buildings_total'!$1:$1,0))</f>
        <v>792.05630769230777</v>
      </c>
      <c r="F189">
        <f>INDEX('2_land_use'!$1:$343,MATCH($A189,'2_land_use'!$A:$A,0),MATCH(F$1,'2_land_use'!$1:$1,0))</f>
        <v>32.880596067674212</v>
      </c>
      <c r="G189">
        <f>INDEX('4_number_of_transport'!$1:$343,MATCH($A189,'4_number_of_transport'!$A:$A,0),MATCH(G$1,'4_number_of_transport'!$1:$1,0))</f>
        <v>1193</v>
      </c>
      <c r="H189">
        <f>INDEX('4_number_of_transport'!$1:$343,MATCH($A189,'4_number_of_transport'!$A:$A,0),MATCH(H$1,'4_number_of_transport'!$1:$1,0))</f>
        <v>116</v>
      </c>
      <c r="I189">
        <f>INDEX('4_number_of_transport'!$1:$343,MATCH($A189,'4_number_of_transport'!$A:$A,0),MATCH(I$1,'4_number_of_transport'!$1:$1,0))</f>
        <v>0</v>
      </c>
      <c r="J189">
        <f>INDEX('2_land_use'!$1:$343,MATCH($A189,'2_land_use'!$A:$A,0),MATCH(J$1,'2_land_use'!$1:$1,0))</f>
        <v>0</v>
      </c>
      <c r="K189">
        <f>INDEX('2_land_use'!$1:$343,MATCH($A189,'2_land_use'!$A:$A,0),MATCH(K$1,'2_land_use'!$1:$1,0))</f>
        <v>1.4741708593364444E-3</v>
      </c>
      <c r="L189">
        <f>INDEX('7_biomass'!$1:$343,MATCH($A189,'7_biomass'!$A:$A,0),MATCH(L$1,'7_biomass'!$1:$1,0))</f>
        <v>0.11877862773619755</v>
      </c>
      <c r="M189">
        <f>INDEX('7_biomass'!$1:$343,MATCH($A189,'7_biomass'!$A:$A,0),MATCH(M$1,'7_biomass'!$1:$1,0))</f>
        <v>4.5522023031124903E-2</v>
      </c>
      <c r="N189">
        <f>INDEX('7_biomass'!$1:$343,MATCH($A189,'7_biomass'!$A:$A,0),MATCH(N$1,'7_biomass'!$1:$1,0))</f>
        <v>8.5034494814103991E-3</v>
      </c>
      <c r="O189">
        <f>INDEX('4_number_of_transport'!$1:$343,MATCH($A189,'4_number_of_transport'!$A:$A,0),MATCH(O$1,'4_number_of_transport'!$1:$1,0))</f>
        <v>7153</v>
      </c>
      <c r="P189">
        <f>INDEX('2_land_use'!$1:$343,MATCH($A189,'2_land_use'!$A:$A,0),MATCH(P$1,'2_land_use'!$1:$1,0))</f>
        <v>37.579012697804302</v>
      </c>
      <c r="Q189">
        <f>INDEX('2_land_use'!$1:$343,MATCH($A189,'2_land_use'!$A:$A,0),MATCH(Q$1,'2_land_use'!$1:$1,0))</f>
        <v>0</v>
      </c>
      <c r="R189">
        <f>INDEX('6_roof_surface'!$1:$343,MATCH($A189,'6_roof_surface'!$A:$A,0),MATCH(R$1,'6_roof_surface'!$1:$1,0))</f>
        <v>0.45617000000000002</v>
      </c>
      <c r="S189">
        <f>INDEX('6_roof_surface'!$1:$343,MATCH($A189,'6_roof_surface'!$A:$A,0),MATCH(S$1,'6_roof_surface'!$1:$1,0))</f>
        <v>0.64643700000000004</v>
      </c>
    </row>
    <row r="190" spans="1:19" x14ac:dyDescent="0.2">
      <c r="A190" t="s">
        <v>190</v>
      </c>
      <c r="B190" t="str">
        <f>INDEX(CBS_gemeenten_alfabetisch_2023!$B:$B,MATCH($A190,CBS_gemeenten_alfabetisch_2023!$A:$A,0))</f>
        <v>Mook en Middelaar</v>
      </c>
      <c r="C190">
        <f>INDEX('5_train_share_nl'!$1:$343,MATCH($A190,'5_train_share_nl'!$A:$A,0),MATCH(C$1,'5_train_share_nl'!$1:$1,0))</f>
        <v>4.9497403366219404E-4</v>
      </c>
      <c r="D190">
        <f>INDEX('3_has_tram_metro'!$1:$343,MATCH($A190,'3_has_tram_metro'!$A:$A,0),MATCH(D$1,'3_has_tram_metro'!$1:$1,0))</f>
        <v>0</v>
      </c>
      <c r="E190">
        <f>INDEX('1_buildings_total'!$1:$343,MATCH($A190,'1_buildings_total'!$A:$A,0),MATCH(E$1,'1_buildings_total'!$1:$1,0))</f>
        <v>499.5143846153847</v>
      </c>
      <c r="F190">
        <f>INDEX('2_land_use'!$1:$343,MATCH($A190,'2_land_use'!$A:$A,0),MATCH(F$1,'2_land_use'!$1:$1,0))</f>
        <v>7.0331301279001543</v>
      </c>
      <c r="G190">
        <f>INDEX('4_number_of_transport'!$1:$343,MATCH($A190,'4_number_of_transport'!$A:$A,0),MATCH(G$1,'4_number_of_transport'!$1:$1,0))</f>
        <v>451</v>
      </c>
      <c r="H190">
        <f>INDEX('4_number_of_transport'!$1:$343,MATCH($A190,'4_number_of_transport'!$A:$A,0),MATCH(H$1,'4_number_of_transport'!$1:$1,0))</f>
        <v>18</v>
      </c>
      <c r="I190">
        <f>INDEX('4_number_of_transport'!$1:$343,MATCH($A190,'4_number_of_transport'!$A:$A,0),MATCH(I$1,'4_number_of_transport'!$1:$1,0))</f>
        <v>1</v>
      </c>
      <c r="J190">
        <f>INDEX('2_land_use'!$1:$343,MATCH($A190,'2_land_use'!$A:$A,0),MATCH(J$1,'2_land_use'!$1:$1,0))</f>
        <v>0</v>
      </c>
      <c r="K190">
        <f>INDEX('2_land_use'!$1:$343,MATCH($A190,'2_land_use'!$A:$A,0),MATCH(K$1,'2_land_use'!$1:$1,0))</f>
        <v>3.153238299917774E-4</v>
      </c>
      <c r="L190">
        <f>INDEX('7_biomass'!$1:$343,MATCH($A190,'7_biomass'!$A:$A,0),MATCH(L$1,'7_biomass'!$1:$1,0))</f>
        <v>3.6985531439199755E-2</v>
      </c>
      <c r="M190">
        <f>INDEX('7_biomass'!$1:$343,MATCH($A190,'7_biomass'!$A:$A,0),MATCH(M$1,'7_biomass'!$1:$1,0))</f>
        <v>2.7256443609208713E-2</v>
      </c>
      <c r="N190">
        <f>INDEX('7_biomass'!$1:$343,MATCH($A190,'7_biomass'!$A:$A,0),MATCH(N$1,'7_biomass'!$1:$1,0))</f>
        <v>4.7426355138532137E-3</v>
      </c>
      <c r="O190">
        <f>INDEX('4_number_of_transport'!$1:$343,MATCH($A190,'4_number_of_transport'!$A:$A,0),MATCH(O$1,'4_number_of_transport'!$1:$1,0))</f>
        <v>4799</v>
      </c>
      <c r="P190">
        <f>INDEX('2_land_use'!$1:$343,MATCH($A190,'2_land_use'!$A:$A,0),MATCH(P$1,'2_land_use'!$1:$1,0))</f>
        <v>17.388613028468896</v>
      </c>
      <c r="Q190">
        <f>INDEX('2_land_use'!$1:$343,MATCH($A190,'2_land_use'!$A:$A,0),MATCH(Q$1,'2_land_use'!$1:$1,0))</f>
        <v>0</v>
      </c>
      <c r="R190">
        <f>INDEX('6_roof_surface'!$1:$343,MATCH($A190,'6_roof_surface'!$A:$A,0),MATCH(R$1,'6_roof_surface'!$1:$1,0))</f>
        <v>0.36868000000000001</v>
      </c>
      <c r="S190">
        <f>INDEX('6_roof_surface'!$1:$343,MATCH($A190,'6_roof_surface'!$A:$A,0),MATCH(S$1,'6_roof_surface'!$1:$1,0))</f>
        <v>0.18232300000000001</v>
      </c>
    </row>
    <row r="191" spans="1:19" x14ac:dyDescent="0.2">
      <c r="A191" t="s">
        <v>191</v>
      </c>
      <c r="B191" t="str">
        <f>INDEX(CBS_gemeenten_alfabetisch_2023!$B:$B,MATCH($A191,CBS_gemeenten_alfabetisch_2023!$A:$A,0))</f>
        <v>Neder-Betuwe</v>
      </c>
      <c r="C191">
        <f>INDEX('5_train_share_nl'!$1:$343,MATCH($A191,'5_train_share_nl'!$A:$A,0),MATCH(C$1,'5_train_share_nl'!$1:$1,0))</f>
        <v>0</v>
      </c>
      <c r="D191">
        <f>INDEX('3_has_tram_metro'!$1:$343,MATCH($A191,'3_has_tram_metro'!$A:$A,0),MATCH(D$1,'3_has_tram_metro'!$1:$1,0))</f>
        <v>0</v>
      </c>
      <c r="E191">
        <f>INDEX('1_buildings_total'!$1:$343,MATCH($A191,'1_buildings_total'!$A:$A,0),MATCH(E$1,'1_buildings_total'!$1:$1,0))</f>
        <v>1654.738230769231</v>
      </c>
      <c r="F191">
        <f>INDEX('2_land_use'!$1:$343,MATCH($A191,'2_land_use'!$A:$A,0),MATCH(F$1,'2_land_use'!$1:$1,0))</f>
        <v>47.459706199440433</v>
      </c>
      <c r="G191">
        <f>INDEX('4_number_of_transport'!$1:$343,MATCH($A191,'4_number_of_transport'!$A:$A,0),MATCH(G$1,'4_number_of_transport'!$1:$1,0))</f>
        <v>2574</v>
      </c>
      <c r="H191">
        <f>INDEX('4_number_of_transport'!$1:$343,MATCH($A191,'4_number_of_transport'!$A:$A,0),MATCH(H$1,'4_number_of_transport'!$1:$1,0))</f>
        <v>225</v>
      </c>
      <c r="I191">
        <f>INDEX('4_number_of_transport'!$1:$343,MATCH($A191,'4_number_of_transport'!$A:$A,0),MATCH(I$1,'4_number_of_transport'!$1:$1,0))</f>
        <v>11</v>
      </c>
      <c r="J191">
        <f>INDEX('2_land_use'!$1:$343,MATCH($A191,'2_land_use'!$A:$A,0),MATCH(J$1,'2_land_use'!$1:$1,0))</f>
        <v>6.5846136244346798E-4</v>
      </c>
      <c r="K191">
        <f>INDEX('2_land_use'!$1:$343,MATCH($A191,'2_land_use'!$A:$A,0),MATCH(K$1,'2_land_use'!$1:$1,0))</f>
        <v>2.1278116652108832E-3</v>
      </c>
      <c r="L191">
        <f>INDEX('7_biomass'!$1:$343,MATCH($A191,'7_biomass'!$A:$A,0),MATCH(L$1,'7_biomass'!$1:$1,0))</f>
        <v>0.11691823159177964</v>
      </c>
      <c r="M191">
        <f>INDEX('7_biomass'!$1:$343,MATCH($A191,'7_biomass'!$A:$A,0),MATCH(M$1,'7_biomass'!$1:$1,0))</f>
        <v>0.16532390410191922</v>
      </c>
      <c r="N191">
        <f>INDEX('7_biomass'!$1:$343,MATCH($A191,'7_biomass'!$A:$A,0),MATCH(N$1,'7_biomass'!$1:$1,0))</f>
        <v>1.4602165249801197E-2</v>
      </c>
      <c r="O191">
        <f>INDEX('4_number_of_transport'!$1:$343,MATCH($A191,'4_number_of_transport'!$A:$A,0),MATCH(O$1,'4_number_of_transport'!$1:$1,0))</f>
        <v>13251</v>
      </c>
      <c r="P191">
        <f>INDEX('2_land_use'!$1:$343,MATCH($A191,'2_land_use'!$A:$A,0),MATCH(P$1,'2_land_use'!$1:$1,0))</f>
        <v>59.99001404733319</v>
      </c>
      <c r="Q191">
        <f>INDEX('2_land_use'!$1:$343,MATCH($A191,'2_land_use'!$A:$A,0),MATCH(Q$1,'2_land_use'!$1:$1,0))</f>
        <v>0</v>
      </c>
      <c r="R191">
        <f>INDEX('6_roof_surface'!$1:$343,MATCH($A191,'6_roof_surface'!$A:$A,0),MATCH(R$1,'6_roof_surface'!$1:$1,0))</f>
        <v>0.90628900000000001</v>
      </c>
      <c r="S191">
        <f>INDEX('6_roof_surface'!$1:$343,MATCH($A191,'6_roof_surface'!$A:$A,0),MATCH(S$1,'6_roof_surface'!$1:$1,0))</f>
        <v>1.3757889999999999</v>
      </c>
    </row>
    <row r="192" spans="1:19" x14ac:dyDescent="0.2">
      <c r="A192" t="s">
        <v>192</v>
      </c>
      <c r="B192" t="str">
        <f>INDEX(CBS_gemeenten_alfabetisch_2023!$B:$B,MATCH($A192,CBS_gemeenten_alfabetisch_2023!$A:$A,0))</f>
        <v>Nederweert</v>
      </c>
      <c r="C192">
        <f>INDEX('5_train_share_nl'!$1:$343,MATCH($A192,'5_train_share_nl'!$A:$A,0),MATCH(C$1,'5_train_share_nl'!$1:$1,0))</f>
        <v>0</v>
      </c>
      <c r="D192">
        <f>INDEX('3_has_tram_metro'!$1:$343,MATCH($A192,'3_has_tram_metro'!$A:$A,0),MATCH(D$1,'3_has_tram_metro'!$1:$1,0))</f>
        <v>0</v>
      </c>
      <c r="E192">
        <f>INDEX('1_buildings_total'!$1:$343,MATCH($A192,'1_buildings_total'!$A:$A,0),MATCH(E$1,'1_buildings_total'!$1:$1,0))</f>
        <v>1709.0194615384614</v>
      </c>
      <c r="F192">
        <f>INDEX('2_land_use'!$1:$343,MATCH($A192,'2_land_use'!$A:$A,0),MATCH(F$1,'2_land_use'!$1:$1,0))</f>
        <v>73.140400394459164</v>
      </c>
      <c r="G192">
        <f>INDEX('4_number_of_transport'!$1:$343,MATCH($A192,'4_number_of_transport'!$A:$A,0),MATCH(G$1,'4_number_of_transport'!$1:$1,0))</f>
        <v>1506</v>
      </c>
      <c r="H192">
        <f>INDEX('4_number_of_transport'!$1:$343,MATCH($A192,'4_number_of_transport'!$A:$A,0),MATCH(H$1,'4_number_of_transport'!$1:$1,0))</f>
        <v>105</v>
      </c>
      <c r="I192">
        <f>INDEX('4_number_of_transport'!$1:$343,MATCH($A192,'4_number_of_transport'!$A:$A,0),MATCH(I$1,'4_number_of_transport'!$1:$1,0))</f>
        <v>2</v>
      </c>
      <c r="J192">
        <f>INDEX('2_land_use'!$1:$343,MATCH($A192,'2_land_use'!$A:$A,0),MATCH(J$1,'2_land_use'!$1:$1,0))</f>
        <v>2.0465621061410374E-4</v>
      </c>
      <c r="K192">
        <f>INDEX('2_land_use'!$1:$343,MATCH($A192,'2_land_use'!$A:$A,0),MATCH(K$1,'2_land_use'!$1:$1,0))</f>
        <v>3.2791816389154092E-3</v>
      </c>
      <c r="L192">
        <f>INDEX('7_biomass'!$1:$343,MATCH($A192,'7_biomass'!$A:$A,0),MATCH(L$1,'7_biomass'!$1:$1,0))</f>
        <v>0.35590941673061649</v>
      </c>
      <c r="M192">
        <f>INDEX('7_biomass'!$1:$343,MATCH($A192,'7_biomass'!$A:$A,0),MATCH(M$1,'7_biomass'!$1:$1,0))</f>
        <v>0.29123920253164448</v>
      </c>
      <c r="N192">
        <f>INDEX('7_biomass'!$1:$343,MATCH($A192,'7_biomass'!$A:$A,0),MATCH(N$1,'7_biomass'!$1:$1,0))</f>
        <v>1.032917580976409E-2</v>
      </c>
      <c r="O192">
        <f>INDEX('4_number_of_transport'!$1:$343,MATCH($A192,'4_number_of_transport'!$A:$A,0),MATCH(O$1,'4_number_of_transport'!$1:$1,0))</f>
        <v>10579</v>
      </c>
      <c r="P192">
        <f>INDEX('2_land_use'!$1:$343,MATCH($A192,'2_land_use'!$A:$A,0),MATCH(P$1,'2_land_use'!$1:$1,0))</f>
        <v>99.899996817692809</v>
      </c>
      <c r="Q192">
        <f>INDEX('2_land_use'!$1:$343,MATCH($A192,'2_land_use'!$A:$A,0),MATCH(Q$1,'2_land_use'!$1:$1,0))</f>
        <v>0</v>
      </c>
      <c r="R192">
        <f>INDEX('6_roof_surface'!$1:$343,MATCH($A192,'6_roof_surface'!$A:$A,0),MATCH(R$1,'6_roof_surface'!$1:$1,0))</f>
        <v>0.96972899999999995</v>
      </c>
      <c r="S192">
        <f>INDEX('6_roof_surface'!$1:$343,MATCH($A192,'6_roof_surface'!$A:$A,0),MATCH(S$1,'6_roof_surface'!$1:$1,0))</f>
        <v>1.830856</v>
      </c>
    </row>
    <row r="193" spans="1:19" x14ac:dyDescent="0.2">
      <c r="A193" t="s">
        <v>193</v>
      </c>
      <c r="B193" t="str">
        <f>INDEX(CBS_gemeenten_alfabetisch_2023!$B:$B,MATCH($A193,CBS_gemeenten_alfabetisch_2023!$A:$A,0))</f>
        <v>Nieuwegein</v>
      </c>
      <c r="C193">
        <f>INDEX('5_train_share_nl'!$1:$343,MATCH($A193,'5_train_share_nl'!$A:$A,0),MATCH(C$1,'5_train_share_nl'!$1:$1,0))</f>
        <v>0</v>
      </c>
      <c r="D193">
        <f>INDEX('3_has_tram_metro'!$1:$343,MATCH($A193,'3_has_tram_metro'!$A:$A,0),MATCH(D$1,'3_has_tram_metro'!$1:$1,0))</f>
        <v>1</v>
      </c>
      <c r="E193">
        <f>INDEX('1_buildings_total'!$1:$343,MATCH($A193,'1_buildings_total'!$A:$A,0),MATCH(E$1,'1_buildings_total'!$1:$1,0))</f>
        <v>2770.9413076923074</v>
      </c>
      <c r="F193">
        <f>INDEX('2_land_use'!$1:$343,MATCH($A193,'2_land_use'!$A:$A,0),MATCH(F$1,'2_land_use'!$1:$1,0))</f>
        <v>2.8074751971689125</v>
      </c>
      <c r="G193">
        <f>INDEX('4_number_of_transport'!$1:$343,MATCH($A193,'4_number_of_transport'!$A:$A,0),MATCH(G$1,'4_number_of_transport'!$1:$1,0))</f>
        <v>3041</v>
      </c>
      <c r="H193">
        <f>INDEX('4_number_of_transport'!$1:$343,MATCH($A193,'4_number_of_transport'!$A:$A,0),MATCH(H$1,'4_number_of_transport'!$1:$1,0))</f>
        <v>134</v>
      </c>
      <c r="I193">
        <f>INDEX('4_number_of_transport'!$1:$343,MATCH($A193,'4_number_of_transport'!$A:$A,0),MATCH(I$1,'4_number_of_transport'!$1:$1,0))</f>
        <v>13</v>
      </c>
      <c r="J193">
        <f>INDEX('2_land_use'!$1:$343,MATCH($A193,'2_land_use'!$A:$A,0),MATCH(J$1,'2_land_use'!$1:$1,0))</f>
        <v>0</v>
      </c>
      <c r="K193">
        <f>INDEX('2_land_use'!$1:$343,MATCH($A193,'2_land_use'!$A:$A,0),MATCH(K$1,'2_land_use'!$1:$1,0))</f>
        <v>1.2587053213567237E-4</v>
      </c>
      <c r="L193">
        <f>INDEX('7_biomass'!$1:$343,MATCH($A193,'7_biomass'!$A:$A,0),MATCH(L$1,'7_biomass'!$1:$1,0))</f>
        <v>0.12672807433688296</v>
      </c>
      <c r="M193">
        <f>INDEX('7_biomass'!$1:$343,MATCH($A193,'7_biomass'!$A:$A,0),MATCH(M$1,'7_biomass'!$1:$1,0))</f>
        <v>0.17468278886863059</v>
      </c>
      <c r="N193">
        <f>INDEX('7_biomass'!$1:$343,MATCH($A193,'7_biomass'!$A:$A,0),MATCH(N$1,'7_biomass'!$1:$1,0))</f>
        <v>3.8298331059601745E-2</v>
      </c>
      <c r="O193">
        <f>INDEX('4_number_of_transport'!$1:$343,MATCH($A193,'4_number_of_transport'!$A:$A,0),MATCH(O$1,'4_number_of_transport'!$1:$1,0))</f>
        <v>32187</v>
      </c>
      <c r="P193">
        <f>INDEX('2_land_use'!$1:$343,MATCH($A193,'2_land_use'!$A:$A,0),MATCH(P$1,'2_land_use'!$1:$1,0))</f>
        <v>23.415277937566756</v>
      </c>
      <c r="Q193">
        <f>INDEX('2_land_use'!$1:$343,MATCH($A193,'2_land_use'!$A:$A,0),MATCH(Q$1,'2_land_use'!$1:$1,0))</f>
        <v>0</v>
      </c>
      <c r="R193">
        <f>INDEX('6_roof_surface'!$1:$343,MATCH($A193,'6_roof_surface'!$A:$A,0),MATCH(R$1,'6_roof_surface'!$1:$1,0))</f>
        <v>1.487158</v>
      </c>
      <c r="S193">
        <f>INDEX('6_roof_surface'!$1:$343,MATCH($A193,'6_roof_surface'!$A:$A,0),MATCH(S$1,'6_roof_surface'!$1:$1,0))</f>
        <v>1.7236560000000001</v>
      </c>
    </row>
    <row r="194" spans="1:19" x14ac:dyDescent="0.2">
      <c r="A194" t="s">
        <v>194</v>
      </c>
      <c r="B194" t="str">
        <f>INDEX(CBS_gemeenten_alfabetisch_2023!$B:$B,MATCH($A194,CBS_gemeenten_alfabetisch_2023!$A:$A,0))</f>
        <v>Nieuwkoop</v>
      </c>
      <c r="C194">
        <f>INDEX('5_train_share_nl'!$1:$343,MATCH($A194,'5_train_share_nl'!$A:$A,0),MATCH(C$1,'5_train_share_nl'!$1:$1,0))</f>
        <v>0</v>
      </c>
      <c r="D194">
        <f>INDEX('3_has_tram_metro'!$1:$343,MATCH($A194,'3_has_tram_metro'!$A:$A,0),MATCH(D$1,'3_has_tram_metro'!$1:$1,0))</f>
        <v>0</v>
      </c>
      <c r="E194">
        <f>INDEX('1_buildings_total'!$1:$343,MATCH($A194,'1_buildings_total'!$A:$A,0),MATCH(E$1,'1_buildings_total'!$1:$1,0))</f>
        <v>2324.4300000000003</v>
      </c>
      <c r="F194">
        <f>INDEX('2_land_use'!$1:$343,MATCH($A194,'2_land_use'!$A:$A,0),MATCH(F$1,'2_land_use'!$1:$1,0))</f>
        <v>60.6534529355609</v>
      </c>
      <c r="G194">
        <f>INDEX('4_number_of_transport'!$1:$343,MATCH($A194,'4_number_of_transport'!$A:$A,0),MATCH(G$1,'4_number_of_transport'!$1:$1,0))</f>
        <v>2398</v>
      </c>
      <c r="H194">
        <f>INDEX('4_number_of_transport'!$1:$343,MATCH($A194,'4_number_of_transport'!$A:$A,0),MATCH(H$1,'4_number_of_transport'!$1:$1,0))</f>
        <v>264</v>
      </c>
      <c r="I194">
        <f>INDEX('4_number_of_transport'!$1:$343,MATCH($A194,'4_number_of_transport'!$A:$A,0),MATCH(I$1,'4_number_of_transport'!$1:$1,0))</f>
        <v>19</v>
      </c>
      <c r="J194">
        <f>INDEX('2_land_use'!$1:$343,MATCH($A194,'2_land_use'!$A:$A,0),MATCH(J$1,'2_land_use'!$1:$1,0))</f>
        <v>1.0286544520517535E-2</v>
      </c>
      <c r="K194">
        <f>INDEX('2_land_use'!$1:$343,MATCH($A194,'2_land_use'!$A:$A,0),MATCH(K$1,'2_land_use'!$1:$1,0))</f>
        <v>2.71934099526995E-3</v>
      </c>
      <c r="L194">
        <f>INDEX('7_biomass'!$1:$343,MATCH($A194,'7_biomass'!$A:$A,0),MATCH(L$1,'7_biomass'!$1:$1,0))</f>
        <v>0.34326322517715507</v>
      </c>
      <c r="M194">
        <f>INDEX('7_biomass'!$1:$343,MATCH($A194,'7_biomass'!$A:$A,0),MATCH(M$1,'7_biomass'!$1:$1,0))</f>
        <v>9.3258163977201783E-2</v>
      </c>
      <c r="N194">
        <f>INDEX('7_biomass'!$1:$343,MATCH($A194,'7_biomass'!$A:$A,0),MATCH(N$1,'7_biomass'!$1:$1,0))</f>
        <v>1.7393308927823443E-2</v>
      </c>
      <c r="O194">
        <f>INDEX('4_number_of_transport'!$1:$343,MATCH($A194,'4_number_of_transport'!$A:$A,0),MATCH(O$1,'4_number_of_transport'!$1:$1,0))</f>
        <v>16113</v>
      </c>
      <c r="P194">
        <f>INDEX('2_land_use'!$1:$343,MATCH($A194,'2_land_use'!$A:$A,0),MATCH(P$1,'2_land_use'!$1:$1,0))</f>
        <v>78.464440180716807</v>
      </c>
      <c r="Q194">
        <f>INDEX('2_land_use'!$1:$343,MATCH($A194,'2_land_use'!$A:$A,0),MATCH(Q$1,'2_land_use'!$1:$1,0))</f>
        <v>0</v>
      </c>
      <c r="R194">
        <f>INDEX('6_roof_surface'!$1:$343,MATCH($A194,'6_roof_surface'!$A:$A,0),MATCH(R$1,'6_roof_surface'!$1:$1,0))</f>
        <v>1.0587899999999999</v>
      </c>
      <c r="S194">
        <f>INDEX('6_roof_surface'!$1:$343,MATCH($A194,'6_roof_surface'!$A:$A,0),MATCH(S$1,'6_roof_surface'!$1:$1,0))</f>
        <v>2.434787</v>
      </c>
    </row>
    <row r="195" spans="1:19" x14ac:dyDescent="0.2">
      <c r="A195" t="s">
        <v>195</v>
      </c>
      <c r="B195" t="str">
        <f>INDEX(CBS_gemeenten_alfabetisch_2023!$B:$B,MATCH($A195,CBS_gemeenten_alfabetisch_2023!$A:$A,0))</f>
        <v>Nijkerk</v>
      </c>
      <c r="C195">
        <f>INDEX('5_train_share_nl'!$1:$343,MATCH($A195,'5_train_share_nl'!$A:$A,0),MATCH(C$1,'5_train_share_nl'!$1:$1,0))</f>
        <v>1.5094728130562269E-3</v>
      </c>
      <c r="D195">
        <f>INDEX('3_has_tram_metro'!$1:$343,MATCH($A195,'3_has_tram_metro'!$A:$A,0),MATCH(D$1,'3_has_tram_metro'!$1:$1,0))</f>
        <v>0</v>
      </c>
      <c r="E195">
        <f>INDEX('1_buildings_total'!$1:$343,MATCH($A195,'1_buildings_total'!$A:$A,0),MATCH(E$1,'1_buildings_total'!$1:$1,0))</f>
        <v>2004.7299230769231</v>
      </c>
      <c r="F195">
        <f>INDEX('2_land_use'!$1:$343,MATCH($A195,'2_land_use'!$A:$A,0),MATCH(F$1,'2_land_use'!$1:$1,0))</f>
        <v>48.718468439537958</v>
      </c>
      <c r="G195">
        <f>INDEX('4_number_of_transport'!$1:$343,MATCH($A195,'4_number_of_transport'!$A:$A,0),MATCH(G$1,'4_number_of_transport'!$1:$1,0))</f>
        <v>3114</v>
      </c>
      <c r="H195">
        <f>INDEX('4_number_of_transport'!$1:$343,MATCH($A195,'4_number_of_transport'!$A:$A,0),MATCH(H$1,'4_number_of_transport'!$1:$1,0))</f>
        <v>326</v>
      </c>
      <c r="I195">
        <f>INDEX('4_number_of_transport'!$1:$343,MATCH($A195,'4_number_of_transport'!$A:$A,0),MATCH(I$1,'4_number_of_transport'!$1:$1,0))</f>
        <v>1</v>
      </c>
      <c r="J195">
        <f>INDEX('2_land_use'!$1:$343,MATCH($A195,'2_land_use'!$A:$A,0),MATCH(J$1,'2_land_use'!$1:$1,0))</f>
        <v>0</v>
      </c>
      <c r="K195">
        <f>INDEX('2_land_use'!$1:$343,MATCH($A195,'2_land_use'!$A:$A,0),MATCH(K$1,'2_land_use'!$1:$1,0))</f>
        <v>2.1842470962890061E-3</v>
      </c>
      <c r="L195">
        <f>INDEX('7_biomass'!$1:$343,MATCH($A195,'7_biomass'!$A:$A,0),MATCH(L$1,'7_biomass'!$1:$1,0))</f>
        <v>0.16910729310457007</v>
      </c>
      <c r="M195">
        <f>INDEX('7_biomass'!$1:$343,MATCH($A195,'7_biomass'!$A:$A,0),MATCH(M$1,'7_biomass'!$1:$1,0))</f>
        <v>0.19128791603531034</v>
      </c>
      <c r="N195">
        <f>INDEX('7_biomass'!$1:$343,MATCH($A195,'7_biomass'!$A:$A,0),MATCH(N$1,'7_biomass'!$1:$1,0))</f>
        <v>2.6090570954573223E-2</v>
      </c>
      <c r="O195">
        <f>INDEX('4_number_of_transport'!$1:$343,MATCH($A195,'4_number_of_transport'!$A:$A,0),MATCH(O$1,'4_number_of_transport'!$1:$1,0))</f>
        <v>22898</v>
      </c>
      <c r="P195">
        <f>INDEX('2_land_use'!$1:$343,MATCH($A195,'2_land_use'!$A:$A,0),MATCH(P$1,'2_land_use'!$1:$1,0))</f>
        <v>69.320915213225149</v>
      </c>
      <c r="Q195">
        <f>INDEX('2_land_use'!$1:$343,MATCH($A195,'2_land_use'!$A:$A,0),MATCH(Q$1,'2_land_use'!$1:$1,0))</f>
        <v>0</v>
      </c>
      <c r="R195">
        <f>INDEX('6_roof_surface'!$1:$343,MATCH($A195,'6_roof_surface'!$A:$A,0),MATCH(R$1,'6_roof_surface'!$1:$1,0))</f>
        <v>1.3625370000000001</v>
      </c>
      <c r="S195">
        <f>INDEX('6_roof_surface'!$1:$343,MATCH($A195,'6_roof_surface'!$A:$A,0),MATCH(S$1,'6_roof_surface'!$1:$1,0))</f>
        <v>1.9664349999999999</v>
      </c>
    </row>
    <row r="196" spans="1:19" x14ac:dyDescent="0.2">
      <c r="A196" t="s">
        <v>196</v>
      </c>
      <c r="B196" t="str">
        <f>INDEX(CBS_gemeenten_alfabetisch_2023!$B:$B,MATCH($A196,CBS_gemeenten_alfabetisch_2023!$A:$A,0))</f>
        <v>Nijmegen</v>
      </c>
      <c r="C196">
        <f>INDEX('5_train_share_nl'!$1:$343,MATCH($A196,'5_train_share_nl'!$A:$A,0),MATCH(C$1,'5_train_share_nl'!$1:$1,0))</f>
        <v>1.9191529212377517E-2</v>
      </c>
      <c r="D196">
        <f>INDEX('3_has_tram_metro'!$1:$343,MATCH($A196,'3_has_tram_metro'!$A:$A,0),MATCH(D$1,'3_has_tram_metro'!$1:$1,0))</f>
        <v>0</v>
      </c>
      <c r="E196">
        <f>INDEX('1_buildings_total'!$1:$343,MATCH($A196,'1_buildings_total'!$A:$A,0),MATCH(E$1,'1_buildings_total'!$1:$1,0))</f>
        <v>10601.421846153846</v>
      </c>
      <c r="F196">
        <f>INDEX('2_land_use'!$1:$343,MATCH($A196,'2_land_use'!$A:$A,0),MATCH(F$1,'2_land_use'!$1:$1,0))</f>
        <v>8.6007247079805218</v>
      </c>
      <c r="G196">
        <f>INDEX('4_number_of_transport'!$1:$343,MATCH($A196,'4_number_of_transport'!$A:$A,0),MATCH(G$1,'4_number_of_transport'!$1:$1,0))</f>
        <v>4974</v>
      </c>
      <c r="H196">
        <f>INDEX('4_number_of_transport'!$1:$343,MATCH($A196,'4_number_of_transport'!$A:$A,0),MATCH(H$1,'4_number_of_transport'!$1:$1,0))</f>
        <v>454</v>
      </c>
      <c r="I196">
        <f>INDEX('4_number_of_transport'!$1:$343,MATCH($A196,'4_number_of_transport'!$A:$A,0),MATCH(I$1,'4_number_of_transport'!$1:$1,0))</f>
        <v>10</v>
      </c>
      <c r="J196">
        <f>INDEX('2_land_use'!$1:$343,MATCH($A196,'2_land_use'!$A:$A,0),MATCH(J$1,'2_land_use'!$1:$1,0))</f>
        <v>2.2742514520910197E-4</v>
      </c>
      <c r="K196">
        <f>INDEX('2_land_use'!$1:$343,MATCH($A196,'2_land_use'!$A:$A,0),MATCH(K$1,'2_land_use'!$1:$1,0))</f>
        <v>3.8560547100740779E-4</v>
      </c>
      <c r="L196">
        <f>INDEX('7_biomass'!$1:$343,MATCH($A196,'7_biomass'!$A:$A,0),MATCH(L$1,'7_biomass'!$1:$1,0))</f>
        <v>0.31008700040838327</v>
      </c>
      <c r="M196">
        <f>INDEX('7_biomass'!$1:$343,MATCH($A196,'7_biomass'!$A:$A,0),MATCH(M$1,'7_biomass'!$1:$1,0))</f>
        <v>0.4620867000214432</v>
      </c>
      <c r="N196">
        <f>INDEX('7_biomass'!$1:$343,MATCH($A196,'7_biomass'!$A:$A,0),MATCH(N$1,'7_biomass'!$1:$1,0))</f>
        <v>0.10739037700315637</v>
      </c>
      <c r="O196">
        <f>INDEX('4_number_of_transport'!$1:$343,MATCH($A196,'4_number_of_transport'!$A:$A,0),MATCH(O$1,'4_number_of_transport'!$1:$1,0))</f>
        <v>71811</v>
      </c>
      <c r="P196">
        <f>INDEX('2_land_use'!$1:$343,MATCH($A196,'2_land_use'!$A:$A,0),MATCH(P$1,'2_land_use'!$1:$1,0))</f>
        <v>52.805701808352318</v>
      </c>
      <c r="Q196">
        <f>INDEX('2_land_use'!$1:$343,MATCH($A196,'2_land_use'!$A:$A,0),MATCH(Q$1,'2_land_use'!$1:$1,0))</f>
        <v>0</v>
      </c>
      <c r="R196">
        <f>INDEX('6_roof_surface'!$1:$343,MATCH($A196,'6_roof_surface'!$A:$A,0),MATCH(R$1,'6_roof_surface'!$1:$1,0))</f>
        <v>4.0706119999999997</v>
      </c>
      <c r="S196">
        <f>INDEX('6_roof_surface'!$1:$343,MATCH($A196,'6_roof_surface'!$A:$A,0),MATCH(S$1,'6_roof_surface'!$1:$1,0))</f>
        <v>3.5174599999999998</v>
      </c>
    </row>
    <row r="197" spans="1:19" x14ac:dyDescent="0.2">
      <c r="A197" t="s">
        <v>197</v>
      </c>
      <c r="B197" t="str">
        <f>INDEX(CBS_gemeenten_alfabetisch_2023!$B:$B,MATCH($A197,CBS_gemeenten_alfabetisch_2023!$A:$A,0))</f>
        <v>Nissewaard</v>
      </c>
      <c r="C197">
        <f>INDEX('5_train_share_nl'!$1:$343,MATCH($A197,'5_train_share_nl'!$A:$A,0),MATCH(C$1,'5_train_share_nl'!$1:$1,0))</f>
        <v>0</v>
      </c>
      <c r="D197">
        <f>INDEX('3_has_tram_metro'!$1:$343,MATCH($A197,'3_has_tram_metro'!$A:$A,0),MATCH(D$1,'3_has_tram_metro'!$1:$1,0))</f>
        <v>0</v>
      </c>
      <c r="E197">
        <f>INDEX('1_buildings_total'!$1:$343,MATCH($A197,'1_buildings_total'!$A:$A,0),MATCH(E$1,'1_buildings_total'!$1:$1,0))</f>
        <v>4345.5904615384616</v>
      </c>
      <c r="F197">
        <f>INDEX('2_land_use'!$1:$343,MATCH($A197,'2_land_use'!$A:$A,0),MATCH(F$1,'2_land_use'!$1:$1,0))</f>
        <v>45.929861105711119</v>
      </c>
      <c r="G197">
        <f>INDEX('4_number_of_transport'!$1:$343,MATCH($A197,'4_number_of_transport'!$A:$A,0),MATCH(G$1,'4_number_of_transport'!$1:$1,0))</f>
        <v>3151</v>
      </c>
      <c r="H197">
        <f>INDEX('4_number_of_transport'!$1:$343,MATCH($A197,'4_number_of_transport'!$A:$A,0),MATCH(H$1,'4_number_of_transport'!$1:$1,0))</f>
        <v>106</v>
      </c>
      <c r="I197">
        <f>INDEX('4_number_of_transport'!$1:$343,MATCH($A197,'4_number_of_transport'!$A:$A,0),MATCH(I$1,'4_number_of_transport'!$1:$1,0))</f>
        <v>7</v>
      </c>
      <c r="J197">
        <f>INDEX('2_land_use'!$1:$343,MATCH($A197,'2_land_use'!$A:$A,0),MATCH(J$1,'2_land_use'!$1:$1,0))</f>
        <v>2.033994887191899E-4</v>
      </c>
      <c r="K197">
        <f>INDEX('2_land_use'!$1:$343,MATCH($A197,'2_land_use'!$A:$A,0),MATCH(K$1,'2_land_use'!$1:$1,0))</f>
        <v>2.059222487209582E-3</v>
      </c>
      <c r="L197">
        <f>INDEX('7_biomass'!$1:$343,MATCH($A197,'7_biomass'!$A:$A,0),MATCH(L$1,'7_biomass'!$1:$1,0))</f>
        <v>0.29612688026855144</v>
      </c>
      <c r="M197">
        <f>INDEX('7_biomass'!$1:$343,MATCH($A197,'7_biomass'!$A:$A,0),MATCH(M$1,'7_biomass'!$1:$1,0))</f>
        <v>0.24990277449489914</v>
      </c>
      <c r="N197">
        <f>INDEX('7_biomass'!$1:$343,MATCH($A197,'7_biomass'!$A:$A,0),MATCH(N$1,'7_biomass'!$1:$1,0))</f>
        <v>5.1519505978505124E-2</v>
      </c>
      <c r="O197">
        <f>INDEX('4_number_of_transport'!$1:$343,MATCH($A197,'4_number_of_transport'!$A:$A,0),MATCH(O$1,'4_number_of_transport'!$1:$1,0))</f>
        <v>42601</v>
      </c>
      <c r="P197">
        <f>INDEX('2_land_use'!$1:$343,MATCH($A197,'2_land_use'!$A:$A,0),MATCH(P$1,'2_land_use'!$1:$1,0))</f>
        <v>73.310007029954733</v>
      </c>
      <c r="Q197">
        <f>INDEX('2_land_use'!$1:$343,MATCH($A197,'2_land_use'!$A:$A,0),MATCH(Q$1,'2_land_use'!$1:$1,0))</f>
        <v>0</v>
      </c>
      <c r="R197">
        <f>INDEX('6_roof_surface'!$1:$343,MATCH($A197,'6_roof_surface'!$A:$A,0),MATCH(R$1,'6_roof_surface'!$1:$1,0))</f>
        <v>2.0724719999999999</v>
      </c>
      <c r="S197">
        <f>INDEX('6_roof_surface'!$1:$343,MATCH($A197,'6_roof_surface'!$A:$A,0),MATCH(S$1,'6_roof_surface'!$1:$1,0))</f>
        <v>1.442679</v>
      </c>
    </row>
    <row r="198" spans="1:19" x14ac:dyDescent="0.2">
      <c r="A198" t="s">
        <v>198</v>
      </c>
      <c r="B198" t="str">
        <f>INDEX(CBS_gemeenten_alfabetisch_2023!$B:$B,MATCH($A198,CBS_gemeenten_alfabetisch_2023!$A:$A,0))</f>
        <v>Noardeast-Fryslân</v>
      </c>
      <c r="C198">
        <f>INDEX('5_train_share_nl'!$1:$343,MATCH($A198,'5_train_share_nl'!$A:$A,0),MATCH(C$1,'5_train_share_nl'!$1:$1,0))</f>
        <v>0</v>
      </c>
      <c r="D198">
        <f>INDEX('3_has_tram_metro'!$1:$343,MATCH($A198,'3_has_tram_metro'!$A:$A,0),MATCH(D$1,'3_has_tram_metro'!$1:$1,0))</f>
        <v>0</v>
      </c>
      <c r="E198">
        <f>INDEX('1_buildings_total'!$1:$343,MATCH($A198,'1_buildings_total'!$A:$A,0),MATCH(E$1,'1_buildings_total'!$1:$1,0))</f>
        <v>7206.8101538461551</v>
      </c>
      <c r="F198">
        <f>INDEX('2_land_use'!$1:$343,MATCH($A198,'2_land_use'!$A:$A,0),MATCH(F$1,'2_land_use'!$1:$1,0))</f>
        <v>305.28036712279987</v>
      </c>
      <c r="G198">
        <f>INDEX('4_number_of_transport'!$1:$343,MATCH($A198,'4_number_of_transport'!$A:$A,0),MATCH(G$1,'4_number_of_transport'!$1:$1,0))</f>
        <v>3836</v>
      </c>
      <c r="H198">
        <f>INDEX('4_number_of_transport'!$1:$343,MATCH($A198,'4_number_of_transport'!$A:$A,0),MATCH(H$1,'4_number_of_transport'!$1:$1,0))</f>
        <v>233</v>
      </c>
      <c r="I198">
        <f>INDEX('4_number_of_transport'!$1:$343,MATCH($A198,'4_number_of_transport'!$A:$A,0),MATCH(I$1,'4_number_of_transport'!$1:$1,0))</f>
        <v>0</v>
      </c>
      <c r="J198">
        <f>INDEX('2_land_use'!$1:$343,MATCH($A198,'2_land_use'!$A:$A,0),MATCH(J$1,'2_land_use'!$1:$1,0))</f>
        <v>1.438510502573361E-4</v>
      </c>
      <c r="K198">
        <f>INDEX('2_land_use'!$1:$343,MATCH($A198,'2_land_use'!$A:$A,0),MATCH(K$1,'2_land_use'!$1:$1,0))</f>
        <v>1.3686960546995827E-2</v>
      </c>
      <c r="L198">
        <f>INDEX('7_biomass'!$1:$343,MATCH($A198,'7_biomass'!$A:$A,0),MATCH(L$1,'7_biomass'!$1:$1,0))</f>
        <v>1.1525510205682106</v>
      </c>
      <c r="M198">
        <f>INDEX('7_biomass'!$1:$343,MATCH($A198,'7_biomass'!$A:$A,0),MATCH(M$1,'7_biomass'!$1:$1,0))</f>
        <v>0.29511998145225327</v>
      </c>
      <c r="N198">
        <f>INDEX('7_biomass'!$1:$343,MATCH($A198,'7_biomass'!$A:$A,0),MATCH(N$1,'7_biomass'!$1:$1,0))</f>
        <v>2.7450296586139133E-2</v>
      </c>
      <c r="O198">
        <f>INDEX('4_number_of_transport'!$1:$343,MATCH($A198,'4_number_of_transport'!$A:$A,0),MATCH(O$1,'4_number_of_transport'!$1:$1,0))</f>
        <v>24938</v>
      </c>
      <c r="P198">
        <f>INDEX('2_land_use'!$1:$343,MATCH($A198,'2_land_use'!$A:$A,0),MATCH(P$1,'2_land_use'!$1:$1,0))</f>
        <v>379.21898426288868</v>
      </c>
      <c r="Q198">
        <f>INDEX('2_land_use'!$1:$343,MATCH($A198,'2_land_use'!$A:$A,0),MATCH(Q$1,'2_land_use'!$1:$1,0))</f>
        <v>119.62832621901303</v>
      </c>
      <c r="R198">
        <f>INDEX('6_roof_surface'!$1:$343,MATCH($A198,'6_roof_surface'!$A:$A,0),MATCH(R$1,'6_roof_surface'!$1:$1,0))</f>
        <v>2.6140569999999999</v>
      </c>
      <c r="S198">
        <f>INDEX('6_roof_surface'!$1:$343,MATCH($A198,'6_roof_surface'!$A:$A,0),MATCH(S$1,'6_roof_surface'!$1:$1,0))</f>
        <v>2.2947150000000001</v>
      </c>
    </row>
    <row r="199" spans="1:19" x14ac:dyDescent="0.2">
      <c r="A199" t="s">
        <v>199</v>
      </c>
      <c r="B199" t="str">
        <f>INDEX(CBS_gemeenten_alfabetisch_2023!$B:$B,MATCH($A199,CBS_gemeenten_alfabetisch_2023!$A:$A,0))</f>
        <v>Noord-Beveland</v>
      </c>
      <c r="C199">
        <f>INDEX('5_train_share_nl'!$1:$343,MATCH($A199,'5_train_share_nl'!$A:$A,0),MATCH(C$1,'5_train_share_nl'!$1:$1,0))</f>
        <v>0</v>
      </c>
      <c r="D199">
        <f>INDEX('3_has_tram_metro'!$1:$343,MATCH($A199,'3_has_tram_metro'!$A:$A,0),MATCH(D$1,'3_has_tram_metro'!$1:$1,0))</f>
        <v>0</v>
      </c>
      <c r="E199">
        <f>INDEX('1_buildings_total'!$1:$343,MATCH($A199,'1_buildings_total'!$A:$A,0),MATCH(E$1,'1_buildings_total'!$1:$1,0))</f>
        <v>1734.3002307692304</v>
      </c>
      <c r="F199">
        <f>INDEX('2_land_use'!$1:$343,MATCH($A199,'2_land_use'!$A:$A,0),MATCH(F$1,'2_land_use'!$1:$1,0))</f>
        <v>69.657006687351398</v>
      </c>
      <c r="G199">
        <f>INDEX('4_number_of_transport'!$1:$343,MATCH($A199,'4_number_of_transport'!$A:$A,0),MATCH(G$1,'4_number_of_transport'!$1:$1,0))</f>
        <v>731</v>
      </c>
      <c r="H199">
        <f>INDEX('4_number_of_transport'!$1:$343,MATCH($A199,'4_number_of_transport'!$A:$A,0),MATCH(H$1,'4_number_of_transport'!$1:$1,0))</f>
        <v>15</v>
      </c>
      <c r="I199">
        <f>INDEX('4_number_of_transport'!$1:$343,MATCH($A199,'4_number_of_transport'!$A:$A,0),MATCH(I$1,'4_number_of_transport'!$1:$1,0))</f>
        <v>1</v>
      </c>
      <c r="J199">
        <f>INDEX('2_land_use'!$1:$343,MATCH($A199,'2_land_use'!$A:$A,0),MATCH(J$1,'2_land_use'!$1:$1,0))</f>
        <v>0</v>
      </c>
      <c r="K199">
        <f>INDEX('2_land_use'!$1:$343,MATCH($A199,'2_land_use'!$A:$A,0),MATCH(K$1,'2_land_use'!$1:$1,0))</f>
        <v>3.1230069307670162E-3</v>
      </c>
      <c r="L199">
        <f>INDEX('7_biomass'!$1:$343,MATCH($A199,'7_biomass'!$A:$A,0),MATCH(L$1,'7_biomass'!$1:$1,0))</f>
        <v>1.4040881959056846</v>
      </c>
      <c r="M199">
        <f>INDEX('7_biomass'!$1:$343,MATCH($A199,'7_biomass'!$A:$A,0),MATCH(M$1,'7_biomass'!$1:$1,0))</f>
        <v>6.4005908799452921E-2</v>
      </c>
      <c r="N199">
        <f>INDEX('7_biomass'!$1:$343,MATCH($A199,'7_biomass'!$A:$A,0),MATCH(N$1,'7_biomass'!$1:$1,0))</f>
        <v>4.4400692205020867E-3</v>
      </c>
      <c r="O199">
        <f>INDEX('4_number_of_transport'!$1:$343,MATCH($A199,'4_number_of_transport'!$A:$A,0),MATCH(O$1,'4_number_of_transport'!$1:$1,0))</f>
        <v>4810</v>
      </c>
      <c r="P199">
        <f>INDEX('2_land_use'!$1:$343,MATCH($A199,'2_land_use'!$A:$A,0),MATCH(P$1,'2_land_use'!$1:$1,0))</f>
        <v>86.002673332098553</v>
      </c>
      <c r="Q199">
        <f>INDEX('2_land_use'!$1:$343,MATCH($A199,'2_land_use'!$A:$A,0),MATCH(Q$1,'2_land_use'!$1:$1,0))</f>
        <v>28.50564473681327</v>
      </c>
      <c r="R199">
        <f>INDEX('6_roof_surface'!$1:$343,MATCH($A199,'6_roof_surface'!$A:$A,0),MATCH(R$1,'6_roof_surface'!$1:$1,0))</f>
        <v>0.40307599999999999</v>
      </c>
      <c r="S199">
        <f>INDEX('6_roof_surface'!$1:$343,MATCH($A199,'6_roof_surface'!$A:$A,0),MATCH(S$1,'6_roof_surface'!$1:$1,0))</f>
        <v>0.63110999999999995</v>
      </c>
    </row>
    <row r="200" spans="1:19" x14ac:dyDescent="0.2">
      <c r="A200" t="s">
        <v>200</v>
      </c>
      <c r="B200" t="str">
        <f>INDEX(CBS_gemeenten_alfabetisch_2023!$B:$B,MATCH($A200,CBS_gemeenten_alfabetisch_2023!$A:$A,0))</f>
        <v>Noordenveld</v>
      </c>
      <c r="C200">
        <f>INDEX('5_train_share_nl'!$1:$343,MATCH($A200,'5_train_share_nl'!$A:$A,0),MATCH(C$1,'5_train_share_nl'!$1:$1,0))</f>
        <v>0</v>
      </c>
      <c r="D200">
        <f>INDEX('3_has_tram_metro'!$1:$343,MATCH($A200,'3_has_tram_metro'!$A:$A,0),MATCH(D$1,'3_has_tram_metro'!$1:$1,0))</f>
        <v>0</v>
      </c>
      <c r="E200">
        <f>INDEX('1_buildings_total'!$1:$343,MATCH($A200,'1_buildings_total'!$A:$A,0),MATCH(E$1,'1_buildings_total'!$1:$1,0))</f>
        <v>3479.4842307692306</v>
      </c>
      <c r="F200">
        <f>INDEX('2_land_use'!$1:$343,MATCH($A200,'2_land_use'!$A:$A,0),MATCH(F$1,'2_land_use'!$1:$1,0))</f>
        <v>129.99740980609741</v>
      </c>
      <c r="G200">
        <f>INDEX('4_number_of_transport'!$1:$343,MATCH($A200,'4_number_of_transport'!$A:$A,0),MATCH(G$1,'4_number_of_transport'!$1:$1,0))</f>
        <v>1831</v>
      </c>
      <c r="H200">
        <f>INDEX('4_number_of_transport'!$1:$343,MATCH($A200,'4_number_of_transport'!$A:$A,0),MATCH(H$1,'4_number_of_transport'!$1:$1,0))</f>
        <v>82</v>
      </c>
      <c r="I200">
        <f>INDEX('4_number_of_transport'!$1:$343,MATCH($A200,'4_number_of_transport'!$A:$A,0),MATCH(I$1,'4_number_of_transport'!$1:$1,0))</f>
        <v>4</v>
      </c>
      <c r="J200">
        <f>INDEX('2_land_use'!$1:$343,MATCH($A200,'2_land_use'!$A:$A,0),MATCH(J$1,'2_land_use'!$1:$1,0))</f>
        <v>0</v>
      </c>
      <c r="K200">
        <f>INDEX('2_land_use'!$1:$343,MATCH($A200,'2_land_use'!$A:$A,0),MATCH(K$1,'2_land_use'!$1:$1,0))</f>
        <v>5.8283126294590305E-3</v>
      </c>
      <c r="L200">
        <f>INDEX('7_biomass'!$1:$343,MATCH($A200,'7_biomass'!$A:$A,0),MATCH(L$1,'7_biomass'!$1:$1,0))</f>
        <v>0.46882186393149117</v>
      </c>
      <c r="M200">
        <f>INDEX('7_biomass'!$1:$343,MATCH($A200,'7_biomass'!$A:$A,0),MATCH(M$1,'7_biomass'!$1:$1,0))</f>
        <v>0.1635100138443909</v>
      </c>
      <c r="N200">
        <f>INDEX('7_biomass'!$1:$343,MATCH($A200,'7_biomass'!$A:$A,0),MATCH(N$1,'7_biomass'!$1:$1,0))</f>
        <v>1.901064120272445E-2</v>
      </c>
      <c r="O200">
        <f>INDEX('4_number_of_transport'!$1:$343,MATCH($A200,'4_number_of_transport'!$A:$A,0),MATCH(O$1,'4_number_of_transport'!$1:$1,0))</f>
        <v>17968</v>
      </c>
      <c r="P200">
        <f>INDEX('2_land_use'!$1:$343,MATCH($A200,'2_land_use'!$A:$A,0),MATCH(P$1,'2_land_use'!$1:$1,0))</f>
        <v>199.01244382452845</v>
      </c>
      <c r="Q200">
        <f>INDEX('2_land_use'!$1:$343,MATCH($A200,'2_land_use'!$A:$A,0),MATCH(Q$1,'2_land_use'!$1:$1,0))</f>
        <v>0</v>
      </c>
      <c r="R200">
        <f>INDEX('6_roof_surface'!$1:$343,MATCH($A200,'6_roof_surface'!$A:$A,0),MATCH(R$1,'6_roof_surface'!$1:$1,0))</f>
        <v>1.605078</v>
      </c>
      <c r="S200">
        <f>INDEX('6_roof_surface'!$1:$343,MATCH($A200,'6_roof_surface'!$A:$A,0),MATCH(S$1,'6_roof_surface'!$1:$1,0))</f>
        <v>1.386617</v>
      </c>
    </row>
    <row r="201" spans="1:19" x14ac:dyDescent="0.2">
      <c r="A201" t="s">
        <v>201</v>
      </c>
      <c r="B201" t="str">
        <f>INDEX(CBS_gemeenten_alfabetisch_2023!$B:$B,MATCH($A201,CBS_gemeenten_alfabetisch_2023!$A:$A,0))</f>
        <v>Noordoostpolder</v>
      </c>
      <c r="C201">
        <f>INDEX('5_train_share_nl'!$1:$343,MATCH($A201,'5_train_share_nl'!$A:$A,0),MATCH(C$1,'5_train_share_nl'!$1:$1,0))</f>
        <v>0</v>
      </c>
      <c r="D201">
        <f>INDEX('3_has_tram_metro'!$1:$343,MATCH($A201,'3_has_tram_metro'!$A:$A,0),MATCH(D$1,'3_has_tram_metro'!$1:$1,0))</f>
        <v>0</v>
      </c>
      <c r="E201">
        <f>INDEX('1_buildings_total'!$1:$343,MATCH($A201,'1_buildings_total'!$A:$A,0),MATCH(E$1,'1_buildings_total'!$1:$1,0))</f>
        <v>6149.4472307692313</v>
      </c>
      <c r="F201">
        <f>INDEX('2_land_use'!$1:$343,MATCH($A201,'2_land_use'!$A:$A,0),MATCH(F$1,'2_land_use'!$1:$1,0))</f>
        <v>401.74496380629063</v>
      </c>
      <c r="G201">
        <f>INDEX('4_number_of_transport'!$1:$343,MATCH($A201,'4_number_of_transport'!$A:$A,0),MATCH(G$1,'4_number_of_transport'!$1:$1,0))</f>
        <v>3814</v>
      </c>
      <c r="H201">
        <f>INDEX('4_number_of_transport'!$1:$343,MATCH($A201,'4_number_of_transport'!$A:$A,0),MATCH(H$1,'4_number_of_transport'!$1:$1,0))</f>
        <v>144</v>
      </c>
      <c r="I201">
        <f>INDEX('4_number_of_transport'!$1:$343,MATCH($A201,'4_number_of_transport'!$A:$A,0),MATCH(I$1,'4_number_of_transport'!$1:$1,0))</f>
        <v>18</v>
      </c>
      <c r="J201">
        <f>INDEX('2_land_use'!$1:$343,MATCH($A201,'2_land_use'!$A:$A,0),MATCH(J$1,'2_land_use'!$1:$1,0))</f>
        <v>2.670692165681296E-2</v>
      </c>
      <c r="K201">
        <f>INDEX('2_land_use'!$1:$343,MATCH($A201,'2_land_use'!$A:$A,0),MATCH(K$1,'2_land_use'!$1:$1,0))</f>
        <v>1.8011860773736271E-2</v>
      </c>
      <c r="L201">
        <f>INDEX('7_biomass'!$1:$343,MATCH($A201,'7_biomass'!$A:$A,0),MATCH(L$1,'7_biomass'!$1:$1,0))</f>
        <v>2.1225532047113047</v>
      </c>
      <c r="M201">
        <f>INDEX('7_biomass'!$1:$343,MATCH($A201,'7_biomass'!$A:$A,0),MATCH(M$1,'7_biomass'!$1:$1,0))</f>
        <v>0.30654714183793597</v>
      </c>
      <c r="N201">
        <f>INDEX('7_biomass'!$1:$343,MATCH($A201,'7_biomass'!$A:$A,0),MATCH(N$1,'7_biomass'!$1:$1,0))</f>
        <v>2.8471609716908697E-2</v>
      </c>
      <c r="O201">
        <f>INDEX('4_number_of_transport'!$1:$343,MATCH($A201,'4_number_of_transport'!$A:$A,0),MATCH(O$1,'4_number_of_transport'!$1:$1,0))</f>
        <v>25773</v>
      </c>
      <c r="P201">
        <f>INDEX('2_land_use'!$1:$343,MATCH($A201,'2_land_use'!$A:$A,0),MATCH(P$1,'2_land_use'!$1:$1,0))</f>
        <v>458.08871973132926</v>
      </c>
      <c r="Q201">
        <f>INDEX('2_land_use'!$1:$343,MATCH($A201,'2_land_use'!$A:$A,0),MATCH(Q$1,'2_land_use'!$1:$1,0))</f>
        <v>0</v>
      </c>
      <c r="R201">
        <f>INDEX('6_roof_surface'!$1:$343,MATCH($A201,'6_roof_surface'!$A:$A,0),MATCH(R$1,'6_roof_surface'!$1:$1,0))</f>
        <v>2.0898590000000001</v>
      </c>
      <c r="S201">
        <f>INDEX('6_roof_surface'!$1:$343,MATCH($A201,'6_roof_surface'!$A:$A,0),MATCH(S$1,'6_roof_surface'!$1:$1,0))</f>
        <v>7.3164610000000003</v>
      </c>
    </row>
    <row r="202" spans="1:19" x14ac:dyDescent="0.2">
      <c r="A202" t="s">
        <v>202</v>
      </c>
      <c r="B202" t="str">
        <f>INDEX(CBS_gemeenten_alfabetisch_2023!$B:$B,MATCH($A202,CBS_gemeenten_alfabetisch_2023!$A:$A,0))</f>
        <v>Noordwijk</v>
      </c>
      <c r="C202">
        <f>INDEX('5_train_share_nl'!$1:$343,MATCH($A202,'5_train_share_nl'!$A:$A,0),MATCH(C$1,'5_train_share_nl'!$1:$1,0))</f>
        <v>0</v>
      </c>
      <c r="D202">
        <f>INDEX('3_has_tram_metro'!$1:$343,MATCH($A202,'3_has_tram_metro'!$A:$A,0),MATCH(D$1,'3_has_tram_metro'!$1:$1,0))</f>
        <v>0</v>
      </c>
      <c r="E202">
        <f>INDEX('1_buildings_total'!$1:$343,MATCH($A202,'1_buildings_total'!$A:$A,0),MATCH(E$1,'1_buildings_total'!$1:$1,0))</f>
        <v>4327.1615384615397</v>
      </c>
      <c r="F202">
        <f>INDEX('2_land_use'!$1:$343,MATCH($A202,'2_land_use'!$A:$A,0),MATCH(F$1,'2_land_use'!$1:$1,0))</f>
        <v>22.322168099840884</v>
      </c>
      <c r="G202">
        <f>INDEX('4_number_of_transport'!$1:$343,MATCH($A202,'4_number_of_transport'!$A:$A,0),MATCH(G$1,'4_number_of_transport'!$1:$1,0))</f>
        <v>2401</v>
      </c>
      <c r="H202">
        <f>INDEX('4_number_of_transport'!$1:$343,MATCH($A202,'4_number_of_transport'!$A:$A,0),MATCH(H$1,'4_number_of_transport'!$1:$1,0))</f>
        <v>242</v>
      </c>
      <c r="I202">
        <f>INDEX('4_number_of_transport'!$1:$343,MATCH($A202,'4_number_of_transport'!$A:$A,0),MATCH(I$1,'4_number_of_transport'!$1:$1,0))</f>
        <v>84</v>
      </c>
      <c r="J202">
        <f>INDEX('2_land_use'!$1:$343,MATCH($A202,'2_land_use'!$A:$A,0),MATCH(J$1,'2_land_use'!$1:$1,0))</f>
        <v>1.7609135099917906E-3</v>
      </c>
      <c r="K202">
        <f>INDEX('2_land_use'!$1:$343,MATCH($A202,'2_land_use'!$A:$A,0),MATCH(K$1,'2_land_use'!$1:$1,0))</f>
        <v>1.0007935884820058E-3</v>
      </c>
      <c r="L202">
        <f>INDEX('7_biomass'!$1:$343,MATCH($A202,'7_biomass'!$A:$A,0),MATCH(L$1,'7_biomass'!$1:$1,0))</f>
        <v>5.0308516182456298E-2</v>
      </c>
      <c r="M202">
        <f>INDEX('7_biomass'!$1:$343,MATCH($A202,'7_biomass'!$A:$A,0),MATCH(M$1,'7_biomass'!$1:$1,0))</f>
        <v>7.0540169304160891E-2</v>
      </c>
      <c r="N202">
        <f>INDEX('7_biomass'!$1:$343,MATCH($A202,'7_biomass'!$A:$A,0),MATCH(N$1,'7_biomass'!$1:$1,0))</f>
        <v>1.5902349723237768E-2</v>
      </c>
      <c r="O202">
        <f>INDEX('4_number_of_transport'!$1:$343,MATCH($A202,'4_number_of_transport'!$A:$A,0),MATCH(O$1,'4_number_of_transport'!$1:$1,0))</f>
        <v>22980</v>
      </c>
      <c r="P202">
        <f>INDEX('2_land_use'!$1:$343,MATCH($A202,'2_land_use'!$A:$A,0),MATCH(P$1,'2_land_use'!$1:$1,0))</f>
        <v>58.337582826424367</v>
      </c>
      <c r="Q202">
        <f>INDEX('2_land_use'!$1:$343,MATCH($A202,'2_land_use'!$A:$A,0),MATCH(Q$1,'2_land_use'!$1:$1,0))</f>
        <v>15.544459230618022</v>
      </c>
      <c r="R202">
        <f>INDEX('6_roof_surface'!$1:$343,MATCH($A202,'6_roof_surface'!$A:$A,0),MATCH(R$1,'6_roof_surface'!$1:$1,0))</f>
        <v>1.4382950000000001</v>
      </c>
      <c r="S202">
        <f>INDEX('6_roof_surface'!$1:$343,MATCH($A202,'6_roof_surface'!$A:$A,0),MATCH(S$1,'6_roof_surface'!$1:$1,0))</f>
        <v>1.80776</v>
      </c>
    </row>
    <row r="203" spans="1:19" x14ac:dyDescent="0.2">
      <c r="A203" t="s">
        <v>203</v>
      </c>
      <c r="B203" t="str">
        <f>INDEX(CBS_gemeenten_alfabetisch_2023!$B:$B,MATCH($A203,CBS_gemeenten_alfabetisch_2023!$A:$A,0))</f>
        <v>Nuenen, Gerwen en Nederwetten</v>
      </c>
      <c r="C203">
        <f>INDEX('5_train_share_nl'!$1:$343,MATCH($A203,'5_train_share_nl'!$A:$A,0),MATCH(C$1,'5_train_share_nl'!$1:$1,0))</f>
        <v>0</v>
      </c>
      <c r="D203">
        <f>INDEX('3_has_tram_metro'!$1:$343,MATCH($A203,'3_has_tram_metro'!$A:$A,0),MATCH(D$1,'3_has_tram_metro'!$1:$1,0))</f>
        <v>0</v>
      </c>
      <c r="E203">
        <f>INDEX('1_buildings_total'!$1:$343,MATCH($A203,'1_buildings_total'!$A:$A,0),MATCH(E$1,'1_buildings_total'!$1:$1,0))</f>
        <v>1322.8609999999996</v>
      </c>
      <c r="F203">
        <f>INDEX('2_land_use'!$1:$343,MATCH($A203,'2_land_use'!$A:$A,0),MATCH(F$1,'2_land_use'!$1:$1,0))</f>
        <v>19.194983419478046</v>
      </c>
      <c r="G203">
        <f>INDEX('4_number_of_transport'!$1:$343,MATCH($A203,'4_number_of_transport'!$A:$A,0),MATCH(G$1,'4_number_of_transport'!$1:$1,0))</f>
        <v>1139</v>
      </c>
      <c r="H203">
        <f>INDEX('4_number_of_transport'!$1:$343,MATCH($A203,'4_number_of_transport'!$A:$A,0),MATCH(H$1,'4_number_of_transport'!$1:$1,0))</f>
        <v>46</v>
      </c>
      <c r="I203">
        <f>INDEX('4_number_of_transport'!$1:$343,MATCH($A203,'4_number_of_transport'!$A:$A,0),MATCH(I$1,'4_number_of_transport'!$1:$1,0))</f>
        <v>0</v>
      </c>
      <c r="J203">
        <f>INDEX('2_land_use'!$1:$343,MATCH($A203,'2_land_use'!$A:$A,0),MATCH(J$1,'2_land_use'!$1:$1,0))</f>
        <v>0</v>
      </c>
      <c r="K203">
        <f>INDEX('2_land_use'!$1:$343,MATCH($A203,'2_land_use'!$A:$A,0),MATCH(K$1,'2_land_use'!$1:$1,0))</f>
        <v>8.6058917983728323E-4</v>
      </c>
      <c r="L203">
        <f>INDEX('7_biomass'!$1:$343,MATCH($A203,'7_biomass'!$A:$A,0),MATCH(L$1,'7_biomass'!$1:$1,0))</f>
        <v>3.4908808579111307E-2</v>
      </c>
      <c r="M203">
        <f>INDEX('7_biomass'!$1:$343,MATCH($A203,'7_biomass'!$A:$A,0),MATCH(M$1,'7_biomass'!$1:$1,0))</f>
        <v>5.4748603401090487E-2</v>
      </c>
      <c r="N203">
        <f>INDEX('7_biomass'!$1:$343,MATCH($A203,'7_biomass'!$A:$A,0),MATCH(N$1,'7_biomass'!$1:$1,0))</f>
        <v>1.4086951963131004E-2</v>
      </c>
      <c r="O203">
        <f>INDEX('4_number_of_transport'!$1:$343,MATCH($A203,'4_number_of_transport'!$A:$A,0),MATCH(O$1,'4_number_of_transport'!$1:$1,0))</f>
        <v>13484</v>
      </c>
      <c r="P203">
        <f>INDEX('2_land_use'!$1:$343,MATCH($A203,'2_land_use'!$A:$A,0),MATCH(P$1,'2_land_use'!$1:$1,0))</f>
        <v>33.646021190652164</v>
      </c>
      <c r="Q203">
        <f>INDEX('2_land_use'!$1:$343,MATCH($A203,'2_land_use'!$A:$A,0),MATCH(Q$1,'2_land_use'!$1:$1,0))</f>
        <v>0</v>
      </c>
      <c r="R203">
        <f>INDEX('6_roof_surface'!$1:$343,MATCH($A203,'6_roof_surface'!$A:$A,0),MATCH(R$1,'6_roof_surface'!$1:$1,0))</f>
        <v>1.007045</v>
      </c>
      <c r="S203">
        <f>INDEX('6_roof_surface'!$1:$343,MATCH($A203,'6_roof_surface'!$A:$A,0),MATCH(S$1,'6_roof_surface'!$1:$1,0))</f>
        <v>0.78577600000000003</v>
      </c>
    </row>
    <row r="204" spans="1:19" x14ac:dyDescent="0.2">
      <c r="A204" t="s">
        <v>204</v>
      </c>
      <c r="B204" t="str">
        <f>INDEX(CBS_gemeenten_alfabetisch_2023!$B:$B,MATCH($A204,CBS_gemeenten_alfabetisch_2023!$A:$A,0))</f>
        <v>Nunspeet</v>
      </c>
      <c r="C204">
        <f>INDEX('5_train_share_nl'!$1:$343,MATCH($A204,'5_train_share_nl'!$A:$A,0),MATCH(C$1,'5_train_share_nl'!$1:$1,0))</f>
        <v>9.0916830503071804E-4</v>
      </c>
      <c r="D204">
        <f>INDEX('3_has_tram_metro'!$1:$343,MATCH($A204,'3_has_tram_metro'!$A:$A,0),MATCH(D$1,'3_has_tram_metro'!$1:$1,0))</f>
        <v>0</v>
      </c>
      <c r="E204">
        <f>INDEX('1_buildings_total'!$1:$343,MATCH($A204,'1_buildings_total'!$A:$A,0),MATCH(E$1,'1_buildings_total'!$1:$1,0))</f>
        <v>2697.7316923076919</v>
      </c>
      <c r="F204">
        <f>INDEX('2_land_use'!$1:$343,MATCH($A204,'2_land_use'!$A:$A,0),MATCH(F$1,'2_land_use'!$1:$1,0))</f>
        <v>29.625902153856838</v>
      </c>
      <c r="G204">
        <f>INDEX('4_number_of_transport'!$1:$343,MATCH($A204,'4_number_of_transport'!$A:$A,0),MATCH(G$1,'4_number_of_transport'!$1:$1,0))</f>
        <v>2224</v>
      </c>
      <c r="H204">
        <f>INDEX('4_number_of_transport'!$1:$343,MATCH($A204,'4_number_of_transport'!$A:$A,0),MATCH(H$1,'4_number_of_transport'!$1:$1,0))</f>
        <v>126</v>
      </c>
      <c r="I204">
        <f>INDEX('4_number_of_transport'!$1:$343,MATCH($A204,'4_number_of_transport'!$A:$A,0),MATCH(I$1,'4_number_of_transport'!$1:$1,0))</f>
        <v>13</v>
      </c>
      <c r="J204">
        <f>INDEX('2_land_use'!$1:$343,MATCH($A204,'2_land_use'!$A:$A,0),MATCH(J$1,'2_land_use'!$1:$1,0))</f>
        <v>0</v>
      </c>
      <c r="K204">
        <f>INDEX('2_land_use'!$1:$343,MATCH($A204,'2_land_use'!$A:$A,0),MATCH(K$1,'2_land_use'!$1:$1,0))</f>
        <v>1.3282496931284428E-3</v>
      </c>
      <c r="L204">
        <f>INDEX('7_biomass'!$1:$343,MATCH($A204,'7_biomass'!$A:$A,0),MATCH(L$1,'7_biomass'!$1:$1,0))</f>
        <v>0.14562150004597343</v>
      </c>
      <c r="M204">
        <f>INDEX('7_biomass'!$1:$343,MATCH($A204,'7_biomass'!$A:$A,0),MATCH(M$1,'7_biomass'!$1:$1,0))</f>
        <v>0.14004277348973898</v>
      </c>
      <c r="N204">
        <f>INDEX('7_biomass'!$1:$343,MATCH($A204,'7_biomass'!$A:$A,0),MATCH(N$1,'7_biomass'!$1:$1,0))</f>
        <v>1.6696434352574965E-2</v>
      </c>
      <c r="O204">
        <f>INDEX('4_number_of_transport'!$1:$343,MATCH($A204,'4_number_of_transport'!$A:$A,0),MATCH(O$1,'4_number_of_transport'!$1:$1,0))</f>
        <v>14617</v>
      </c>
      <c r="P204">
        <f>INDEX('2_land_use'!$1:$343,MATCH($A204,'2_land_use'!$A:$A,0),MATCH(P$1,'2_land_use'!$1:$1,0))</f>
        <v>128.73210375990257</v>
      </c>
      <c r="Q204">
        <f>INDEX('2_land_use'!$1:$343,MATCH($A204,'2_land_use'!$A:$A,0),MATCH(Q$1,'2_land_use'!$1:$1,0))</f>
        <v>0</v>
      </c>
      <c r="R204">
        <f>INDEX('6_roof_surface'!$1:$343,MATCH($A204,'6_roof_surface'!$A:$A,0),MATCH(R$1,'6_roof_surface'!$1:$1,0))</f>
        <v>0.94142800000000004</v>
      </c>
      <c r="S204">
        <f>INDEX('6_roof_surface'!$1:$343,MATCH($A204,'6_roof_surface'!$A:$A,0),MATCH(S$1,'6_roof_surface'!$1:$1,0))</f>
        <v>1.1914260000000001</v>
      </c>
    </row>
    <row r="205" spans="1:19" x14ac:dyDescent="0.2">
      <c r="A205" t="s">
        <v>205</v>
      </c>
      <c r="B205" t="str">
        <f>INDEX(CBS_gemeenten_alfabetisch_2023!$B:$B,MATCH($A205,CBS_gemeenten_alfabetisch_2023!$A:$A,0))</f>
        <v>Oegstgeest</v>
      </c>
      <c r="C205">
        <f>INDEX('5_train_share_nl'!$1:$343,MATCH($A205,'5_train_share_nl'!$A:$A,0),MATCH(C$1,'5_train_share_nl'!$1:$1,0))</f>
        <v>0</v>
      </c>
      <c r="D205">
        <f>INDEX('3_has_tram_metro'!$1:$343,MATCH($A205,'3_has_tram_metro'!$A:$A,0),MATCH(D$1,'3_has_tram_metro'!$1:$1,0))</f>
        <v>0</v>
      </c>
      <c r="E205">
        <f>INDEX('1_buildings_total'!$1:$343,MATCH($A205,'1_buildings_total'!$A:$A,0),MATCH(E$1,'1_buildings_total'!$1:$1,0))</f>
        <v>1465.650076923077</v>
      </c>
      <c r="F205">
        <f>INDEX('2_land_use'!$1:$343,MATCH($A205,'2_land_use'!$A:$A,0),MATCH(F$1,'2_land_use'!$1:$1,0))</f>
        <v>1.1030543953467149</v>
      </c>
      <c r="G205">
        <f>INDEX('4_number_of_transport'!$1:$343,MATCH($A205,'4_number_of_transport'!$A:$A,0),MATCH(G$1,'4_number_of_transport'!$1:$1,0))</f>
        <v>497</v>
      </c>
      <c r="H205">
        <f>INDEX('4_number_of_transport'!$1:$343,MATCH($A205,'4_number_of_transport'!$A:$A,0),MATCH(H$1,'4_number_of_transport'!$1:$1,0))</f>
        <v>78</v>
      </c>
      <c r="I205">
        <f>INDEX('4_number_of_transport'!$1:$343,MATCH($A205,'4_number_of_transport'!$A:$A,0),MATCH(I$1,'4_number_of_transport'!$1:$1,0))</f>
        <v>0</v>
      </c>
      <c r="J205">
        <f>INDEX('2_land_use'!$1:$343,MATCH($A205,'2_land_use'!$A:$A,0),MATCH(J$1,'2_land_use'!$1:$1,0))</f>
        <v>3.2424641754033064E-4</v>
      </c>
      <c r="K205">
        <f>INDEX('2_land_use'!$1:$343,MATCH($A205,'2_land_use'!$A:$A,0),MATCH(K$1,'2_land_use'!$1:$1,0))</f>
        <v>4.9454415076184149E-5</v>
      </c>
      <c r="L205">
        <f>INDEX('7_biomass'!$1:$343,MATCH($A205,'7_biomass'!$A:$A,0),MATCH(L$1,'7_biomass'!$1:$1,0))</f>
        <v>4.7290180749972446E-2</v>
      </c>
      <c r="M205">
        <f>INDEX('7_biomass'!$1:$343,MATCH($A205,'7_biomass'!$A:$A,0),MATCH(M$1,'7_biomass'!$1:$1,0))</f>
        <v>6.3053896740134813E-2</v>
      </c>
      <c r="N205">
        <f>INDEX('7_biomass'!$1:$343,MATCH($A205,'7_biomass'!$A:$A,0),MATCH(N$1,'7_biomass'!$1:$1,0))</f>
        <v>1.4840329882318551E-2</v>
      </c>
      <c r="O205">
        <f>INDEX('4_number_of_transport'!$1:$343,MATCH($A205,'4_number_of_transport'!$A:$A,0),MATCH(O$1,'4_number_of_transport'!$1:$1,0))</f>
        <v>11040</v>
      </c>
      <c r="P205">
        <f>INDEX('2_land_use'!$1:$343,MATCH($A205,'2_land_use'!$A:$A,0),MATCH(P$1,'2_land_use'!$1:$1,0))</f>
        <v>7.2940108777987698</v>
      </c>
      <c r="Q205">
        <f>INDEX('2_land_use'!$1:$343,MATCH($A205,'2_land_use'!$A:$A,0),MATCH(Q$1,'2_land_use'!$1:$1,0))</f>
        <v>0</v>
      </c>
      <c r="R205">
        <f>INDEX('6_roof_surface'!$1:$343,MATCH($A205,'6_roof_surface'!$A:$A,0),MATCH(R$1,'6_roof_surface'!$1:$1,0))</f>
        <v>0.66608199999999995</v>
      </c>
      <c r="S205">
        <f>INDEX('6_roof_surface'!$1:$343,MATCH($A205,'6_roof_surface'!$A:$A,0),MATCH(S$1,'6_roof_surface'!$1:$1,0))</f>
        <v>0.315278</v>
      </c>
    </row>
    <row r="206" spans="1:19" x14ac:dyDescent="0.2">
      <c r="A206" t="s">
        <v>206</v>
      </c>
      <c r="B206" t="str">
        <f>INDEX(CBS_gemeenten_alfabetisch_2023!$B:$B,MATCH($A206,CBS_gemeenten_alfabetisch_2023!$A:$A,0))</f>
        <v>Oirschot</v>
      </c>
      <c r="C206">
        <f>INDEX('5_train_share_nl'!$1:$343,MATCH($A206,'5_train_share_nl'!$A:$A,0),MATCH(C$1,'5_train_share_nl'!$1:$1,0))</f>
        <v>0</v>
      </c>
      <c r="D206">
        <f>INDEX('3_has_tram_metro'!$1:$343,MATCH($A206,'3_has_tram_metro'!$A:$A,0),MATCH(D$1,'3_has_tram_metro'!$1:$1,0))</f>
        <v>0</v>
      </c>
      <c r="E206">
        <f>INDEX('1_buildings_total'!$1:$343,MATCH($A206,'1_buildings_total'!$A:$A,0),MATCH(E$1,'1_buildings_total'!$1:$1,0))</f>
        <v>2627.1316153846151</v>
      </c>
      <c r="F206">
        <f>INDEX('2_land_use'!$1:$343,MATCH($A206,'2_land_use'!$A:$A,0),MATCH(F$1,'2_land_use'!$1:$1,0))</f>
        <v>57.772467431733951</v>
      </c>
      <c r="G206">
        <f>INDEX('4_number_of_transport'!$1:$343,MATCH($A206,'4_number_of_transport'!$A:$A,0),MATCH(G$1,'4_number_of_transport'!$1:$1,0))</f>
        <v>1557</v>
      </c>
      <c r="H206">
        <f>INDEX('4_number_of_transport'!$1:$343,MATCH($A206,'4_number_of_transport'!$A:$A,0),MATCH(H$1,'4_number_of_transport'!$1:$1,0))</f>
        <v>121</v>
      </c>
      <c r="I206">
        <f>INDEX('4_number_of_transport'!$1:$343,MATCH($A206,'4_number_of_transport'!$A:$A,0),MATCH(I$1,'4_number_of_transport'!$1:$1,0))</f>
        <v>7</v>
      </c>
      <c r="J206">
        <f>INDEX('2_land_use'!$1:$343,MATCH($A206,'2_land_use'!$A:$A,0),MATCH(J$1,'2_land_use'!$1:$1,0))</f>
        <v>1.1486424851013814E-3</v>
      </c>
      <c r="K206">
        <f>INDEX('2_land_use'!$1:$343,MATCH($A206,'2_land_use'!$A:$A,0),MATCH(K$1,'2_land_use'!$1:$1,0))</f>
        <v>2.5901746970930194E-3</v>
      </c>
      <c r="L206">
        <f>INDEX('7_biomass'!$1:$343,MATCH($A206,'7_biomass'!$A:$A,0),MATCH(L$1,'7_biomass'!$1:$1,0))</f>
        <v>0.24104541566227042</v>
      </c>
      <c r="M206">
        <f>INDEX('7_biomass'!$1:$343,MATCH($A206,'7_biomass'!$A:$A,0),MATCH(M$1,'7_biomass'!$1:$1,0))</f>
        <v>0.15018925640369746</v>
      </c>
      <c r="N206">
        <f>INDEX('7_biomass'!$1:$343,MATCH($A206,'7_biomass'!$A:$A,0),MATCH(N$1,'7_biomass'!$1:$1,0))</f>
        <v>1.1314642733088444E-2</v>
      </c>
      <c r="O206">
        <f>INDEX('4_number_of_transport'!$1:$343,MATCH($A206,'4_number_of_transport'!$A:$A,0),MATCH(O$1,'4_number_of_transport'!$1:$1,0))</f>
        <v>11287</v>
      </c>
      <c r="P206">
        <f>INDEX('2_land_use'!$1:$343,MATCH($A206,'2_land_use'!$A:$A,0),MATCH(P$1,'2_land_use'!$1:$1,0))</f>
        <v>101.79264190041796</v>
      </c>
      <c r="Q206">
        <f>INDEX('2_land_use'!$1:$343,MATCH($A206,'2_land_use'!$A:$A,0),MATCH(Q$1,'2_land_use'!$1:$1,0))</f>
        <v>0</v>
      </c>
      <c r="R206">
        <f>INDEX('6_roof_surface'!$1:$343,MATCH($A206,'6_roof_surface'!$A:$A,0),MATCH(R$1,'6_roof_surface'!$1:$1,0))</f>
        <v>0.89842599999999995</v>
      </c>
      <c r="S206">
        <f>INDEX('6_roof_surface'!$1:$343,MATCH($A206,'6_roof_surface'!$A:$A,0),MATCH(S$1,'6_roof_surface'!$1:$1,0))</f>
        <v>1.674029</v>
      </c>
    </row>
    <row r="207" spans="1:19" x14ac:dyDescent="0.2">
      <c r="A207" t="s">
        <v>207</v>
      </c>
      <c r="B207" t="str">
        <f>INDEX(CBS_gemeenten_alfabetisch_2023!$B:$B,MATCH($A207,CBS_gemeenten_alfabetisch_2023!$A:$A,0))</f>
        <v>Oisterwijk</v>
      </c>
      <c r="C207">
        <f>INDEX('5_train_share_nl'!$1:$343,MATCH($A207,'5_train_share_nl'!$A:$A,0),MATCH(C$1,'5_train_share_nl'!$1:$1,0))</f>
        <v>9.1629593111545364E-4</v>
      </c>
      <c r="D207">
        <f>INDEX('3_has_tram_metro'!$1:$343,MATCH($A207,'3_has_tram_metro'!$A:$A,0),MATCH(D$1,'3_has_tram_metro'!$1:$1,0))</f>
        <v>0</v>
      </c>
      <c r="E207">
        <f>INDEX('1_buildings_total'!$1:$343,MATCH($A207,'1_buildings_total'!$A:$A,0),MATCH(E$1,'1_buildings_total'!$1:$1,0))</f>
        <v>2825.2004615384617</v>
      </c>
      <c r="F207">
        <f>INDEX('2_land_use'!$1:$343,MATCH($A207,'2_land_use'!$A:$A,0),MATCH(F$1,'2_land_use'!$1:$1,0))</f>
        <v>48.82234847435501</v>
      </c>
      <c r="G207">
        <f>INDEX('4_number_of_transport'!$1:$343,MATCH($A207,'4_number_of_transport'!$A:$A,0),MATCH(G$1,'4_number_of_transport'!$1:$1,0))</f>
        <v>2009</v>
      </c>
      <c r="H207">
        <f>INDEX('4_number_of_transport'!$1:$343,MATCH($A207,'4_number_of_transport'!$A:$A,0),MATCH(H$1,'4_number_of_transport'!$1:$1,0))</f>
        <v>102</v>
      </c>
      <c r="I207">
        <f>INDEX('4_number_of_transport'!$1:$343,MATCH($A207,'4_number_of_transport'!$A:$A,0),MATCH(I$1,'4_number_of_transport'!$1:$1,0))</f>
        <v>0</v>
      </c>
      <c r="J207">
        <f>INDEX('2_land_use'!$1:$343,MATCH($A207,'2_land_use'!$A:$A,0),MATCH(J$1,'2_land_use'!$1:$1,0))</f>
        <v>1.1024217885081396E-3</v>
      </c>
      <c r="K207">
        <f>INDEX('2_land_use'!$1:$343,MATCH($A207,'2_land_use'!$A:$A,0),MATCH(K$1,'2_land_use'!$1:$1,0))</f>
        <v>2.1889044607686214E-3</v>
      </c>
      <c r="L207">
        <f>INDEX('7_biomass'!$1:$343,MATCH($A207,'7_biomass'!$A:$A,0),MATCH(L$1,'7_biomass'!$1:$1,0))</f>
        <v>0.18622420839242501</v>
      </c>
      <c r="M207">
        <f>INDEX('7_biomass'!$1:$343,MATCH($A207,'7_biomass'!$A:$A,0),MATCH(M$1,'7_biomass'!$1:$1,0))</f>
        <v>0.10723494630959908</v>
      </c>
      <c r="N207">
        <f>INDEX('7_biomass'!$1:$343,MATCH($A207,'7_biomass'!$A:$A,0),MATCH(N$1,'7_biomass'!$1:$1,0))</f>
        <v>1.5881692586743917E-2</v>
      </c>
      <c r="O207">
        <f>INDEX('4_number_of_transport'!$1:$343,MATCH($A207,'4_number_of_transport'!$A:$A,0),MATCH(O$1,'4_number_of_transport'!$1:$1,0))</f>
        <v>17927</v>
      </c>
      <c r="P207">
        <f>INDEX('2_land_use'!$1:$343,MATCH($A207,'2_land_use'!$A:$A,0),MATCH(P$1,'2_land_use'!$1:$1,0))</f>
        <v>80.107242685163115</v>
      </c>
      <c r="Q207">
        <f>INDEX('2_land_use'!$1:$343,MATCH($A207,'2_land_use'!$A:$A,0),MATCH(Q$1,'2_land_use'!$1:$1,0))</f>
        <v>0</v>
      </c>
      <c r="R207">
        <f>INDEX('6_roof_surface'!$1:$343,MATCH($A207,'6_roof_surface'!$A:$A,0),MATCH(R$1,'6_roof_surface'!$1:$1,0))</f>
        <v>1.355564</v>
      </c>
      <c r="S207">
        <f>INDEX('6_roof_surface'!$1:$343,MATCH($A207,'6_roof_surface'!$A:$A,0),MATCH(S$1,'6_roof_surface'!$1:$1,0))</f>
        <v>1.773226</v>
      </c>
    </row>
    <row r="208" spans="1:19" x14ac:dyDescent="0.2">
      <c r="A208" t="s">
        <v>208</v>
      </c>
      <c r="B208" t="str">
        <f>INDEX(CBS_gemeenten_alfabetisch_2023!$B:$B,MATCH($A208,CBS_gemeenten_alfabetisch_2023!$A:$A,0))</f>
        <v>Oldambt</v>
      </c>
      <c r="C208">
        <f>INDEX('5_train_share_nl'!$1:$343,MATCH($A208,'5_train_share_nl'!$A:$A,0),MATCH(C$1,'5_train_share_nl'!$1:$1,0))</f>
        <v>1.5082848753754379E-3</v>
      </c>
      <c r="D208">
        <f>INDEX('3_has_tram_metro'!$1:$343,MATCH($A208,'3_has_tram_metro'!$A:$A,0),MATCH(D$1,'3_has_tram_metro'!$1:$1,0))</f>
        <v>0</v>
      </c>
      <c r="E208">
        <f>INDEX('1_buildings_total'!$1:$343,MATCH($A208,'1_buildings_total'!$A:$A,0),MATCH(E$1,'1_buildings_total'!$1:$1,0))</f>
        <v>5098.4477692307682</v>
      </c>
      <c r="F208">
        <f>INDEX('2_land_use'!$1:$343,MATCH($A208,'2_land_use'!$A:$A,0),MATCH(F$1,'2_land_use'!$1:$1,0))</f>
        <v>183.31891870372525</v>
      </c>
      <c r="G208">
        <f>INDEX('4_number_of_transport'!$1:$343,MATCH($A208,'4_number_of_transport'!$A:$A,0),MATCH(G$1,'4_number_of_transport'!$1:$1,0))</f>
        <v>2214</v>
      </c>
      <c r="H208">
        <f>INDEX('4_number_of_transport'!$1:$343,MATCH($A208,'4_number_of_transport'!$A:$A,0),MATCH(H$1,'4_number_of_transport'!$1:$1,0))</f>
        <v>151</v>
      </c>
      <c r="I208">
        <f>INDEX('4_number_of_transport'!$1:$343,MATCH($A208,'4_number_of_transport'!$A:$A,0),MATCH(I$1,'4_number_of_transport'!$1:$1,0))</f>
        <v>6</v>
      </c>
      <c r="J208">
        <f>INDEX('2_land_use'!$1:$343,MATCH($A208,'2_land_use'!$A:$A,0),MATCH(J$1,'2_land_use'!$1:$1,0))</f>
        <v>0</v>
      </c>
      <c r="K208">
        <f>INDEX('2_land_use'!$1:$343,MATCH($A208,'2_land_use'!$A:$A,0),MATCH(K$1,'2_land_use'!$1:$1,0))</f>
        <v>8.2189327517630337E-3</v>
      </c>
      <c r="L208">
        <f>INDEX('7_biomass'!$1:$343,MATCH($A208,'7_biomass'!$A:$A,0),MATCH(L$1,'7_biomass'!$1:$1,0))</f>
        <v>0.56505786669869962</v>
      </c>
      <c r="M208">
        <f>INDEX('7_biomass'!$1:$343,MATCH($A208,'7_biomass'!$A:$A,0),MATCH(M$1,'7_biomass'!$1:$1,0))</f>
        <v>0.28484276191411018</v>
      </c>
      <c r="N208">
        <f>INDEX('7_biomass'!$1:$343,MATCH($A208,'7_biomass'!$A:$A,0),MATCH(N$1,'7_biomass'!$1:$1,0))</f>
        <v>2.3165763452178988E-2</v>
      </c>
      <c r="O208">
        <f>INDEX('4_number_of_transport'!$1:$343,MATCH($A208,'4_number_of_transport'!$A:$A,0),MATCH(O$1,'4_number_of_transport'!$1:$1,0))</f>
        <v>21789</v>
      </c>
      <c r="P208">
        <f>INDEX('2_land_use'!$1:$343,MATCH($A208,'2_land_use'!$A:$A,0),MATCH(P$1,'2_land_use'!$1:$1,0))</f>
        <v>226.57229571942244</v>
      </c>
      <c r="Q208">
        <f>INDEX('2_land_use'!$1:$343,MATCH($A208,'2_land_use'!$A:$A,0),MATCH(Q$1,'2_land_use'!$1:$1,0))</f>
        <v>55.465779255462273</v>
      </c>
      <c r="R208">
        <f>INDEX('6_roof_surface'!$1:$343,MATCH($A208,'6_roof_surface'!$A:$A,0),MATCH(R$1,'6_roof_surface'!$1:$1,0))</f>
        <v>2.0890059999999999</v>
      </c>
      <c r="S208">
        <f>INDEX('6_roof_surface'!$1:$343,MATCH($A208,'6_roof_surface'!$A:$A,0),MATCH(S$1,'6_roof_surface'!$1:$1,0))</f>
        <v>1.8998459999999999</v>
      </c>
    </row>
    <row r="209" spans="1:19" x14ac:dyDescent="0.2">
      <c r="A209" t="s">
        <v>209</v>
      </c>
      <c r="B209" t="str">
        <f>INDEX(CBS_gemeenten_alfabetisch_2023!$B:$B,MATCH($A209,CBS_gemeenten_alfabetisch_2023!$A:$A,0))</f>
        <v>Oldebroek</v>
      </c>
      <c r="C209">
        <f>INDEX('5_train_share_nl'!$1:$343,MATCH($A209,'5_train_share_nl'!$A:$A,0),MATCH(C$1,'5_train_share_nl'!$1:$1,0))</f>
        <v>3.6707274336388312E-4</v>
      </c>
      <c r="D209">
        <f>INDEX('3_has_tram_metro'!$1:$343,MATCH($A209,'3_has_tram_metro'!$A:$A,0),MATCH(D$1,'3_has_tram_metro'!$1:$1,0))</f>
        <v>0</v>
      </c>
      <c r="E209">
        <f>INDEX('1_buildings_total'!$1:$343,MATCH($A209,'1_buildings_total'!$A:$A,0),MATCH(E$1,'1_buildings_total'!$1:$1,0))</f>
        <v>1642.0233076923075</v>
      </c>
      <c r="F209">
        <f>INDEX('2_land_use'!$1:$343,MATCH($A209,'2_land_use'!$A:$A,0),MATCH(F$1,'2_land_use'!$1:$1,0))</f>
        <v>57.440159440792307</v>
      </c>
      <c r="G209">
        <f>INDEX('4_number_of_transport'!$1:$343,MATCH($A209,'4_number_of_transport'!$A:$A,0),MATCH(G$1,'4_number_of_transport'!$1:$1,0))</f>
        <v>1884</v>
      </c>
      <c r="H209">
        <f>INDEX('4_number_of_transport'!$1:$343,MATCH($A209,'4_number_of_transport'!$A:$A,0),MATCH(H$1,'4_number_of_transport'!$1:$1,0))</f>
        <v>208</v>
      </c>
      <c r="I209">
        <f>INDEX('4_number_of_transport'!$1:$343,MATCH($A209,'4_number_of_transport'!$A:$A,0),MATCH(I$1,'4_number_of_transport'!$1:$1,0))</f>
        <v>5</v>
      </c>
      <c r="J209">
        <f>INDEX('2_land_use'!$1:$343,MATCH($A209,'2_land_use'!$A:$A,0),MATCH(J$1,'2_land_use'!$1:$1,0))</f>
        <v>1.4128552953320895E-4</v>
      </c>
      <c r="K209">
        <f>INDEX('2_land_use'!$1:$343,MATCH($A209,'2_land_use'!$A:$A,0),MATCH(K$1,'2_land_use'!$1:$1,0))</f>
        <v>2.5752759782388191E-3</v>
      </c>
      <c r="L209">
        <f>INDEX('7_biomass'!$1:$343,MATCH($A209,'7_biomass'!$A:$A,0),MATCH(L$1,'7_biomass'!$1:$1,0))</f>
        <v>0.14813860428206535</v>
      </c>
      <c r="M209">
        <f>INDEX('7_biomass'!$1:$343,MATCH($A209,'7_biomass'!$A:$A,0),MATCH(M$1,'7_biomass'!$1:$1,0))</f>
        <v>9.7763081660207515E-2</v>
      </c>
      <c r="N209">
        <f>INDEX('7_biomass'!$1:$343,MATCH($A209,'7_biomass'!$A:$A,0),MATCH(N$1,'7_biomass'!$1:$1,0))</f>
        <v>1.4337267852409448E-2</v>
      </c>
      <c r="O209">
        <f>INDEX('4_number_of_transport'!$1:$343,MATCH($A209,'4_number_of_transport'!$A:$A,0),MATCH(O$1,'4_number_of_transport'!$1:$1,0))</f>
        <v>12329</v>
      </c>
      <c r="P209">
        <f>INDEX('2_land_use'!$1:$343,MATCH($A209,'2_land_use'!$A:$A,0),MATCH(P$1,'2_land_use'!$1:$1,0))</f>
        <v>97.661283425882232</v>
      </c>
      <c r="Q209">
        <f>INDEX('2_land_use'!$1:$343,MATCH($A209,'2_land_use'!$A:$A,0),MATCH(Q$1,'2_land_use'!$1:$1,0))</f>
        <v>0</v>
      </c>
      <c r="R209">
        <f>INDEX('6_roof_surface'!$1:$343,MATCH($A209,'6_roof_surface'!$A:$A,0),MATCH(R$1,'6_roof_surface'!$1:$1,0))</f>
        <v>0.88231499999999996</v>
      </c>
      <c r="S209">
        <f>INDEX('6_roof_surface'!$1:$343,MATCH($A209,'6_roof_surface'!$A:$A,0),MATCH(S$1,'6_roof_surface'!$1:$1,0))</f>
        <v>1.1569560000000001</v>
      </c>
    </row>
    <row r="210" spans="1:19" x14ac:dyDescent="0.2">
      <c r="A210" t="s">
        <v>210</v>
      </c>
      <c r="B210" t="str">
        <f>INDEX(CBS_gemeenten_alfabetisch_2023!$B:$B,MATCH($A210,CBS_gemeenten_alfabetisch_2023!$A:$A,0))</f>
        <v>Oldenzaal</v>
      </c>
      <c r="C210">
        <f>INDEX('5_train_share_nl'!$1:$343,MATCH($A210,'5_train_share_nl'!$A:$A,0),MATCH(C$1,'5_train_share_nl'!$1:$1,0))</f>
        <v>0</v>
      </c>
      <c r="D210">
        <f>INDEX('3_has_tram_metro'!$1:$343,MATCH($A210,'3_has_tram_metro'!$A:$A,0),MATCH(D$1,'3_has_tram_metro'!$1:$1,0))</f>
        <v>0</v>
      </c>
      <c r="E210">
        <f>INDEX('1_buildings_total'!$1:$343,MATCH($A210,'1_buildings_total'!$A:$A,0),MATCH(E$1,'1_buildings_total'!$1:$1,0))</f>
        <v>2087.5774615384616</v>
      </c>
      <c r="F210">
        <f>INDEX('2_land_use'!$1:$343,MATCH($A210,'2_land_use'!$A:$A,0),MATCH(F$1,'2_land_use'!$1:$1,0))</f>
        <v>6.9612213368906621</v>
      </c>
      <c r="G210">
        <f>INDEX('4_number_of_transport'!$1:$343,MATCH($A210,'4_number_of_transport'!$A:$A,0),MATCH(G$1,'4_number_of_transport'!$1:$1,0))</f>
        <v>1787</v>
      </c>
      <c r="H210">
        <f>INDEX('4_number_of_transport'!$1:$343,MATCH($A210,'4_number_of_transport'!$A:$A,0),MATCH(H$1,'4_number_of_transport'!$1:$1,0))</f>
        <v>109</v>
      </c>
      <c r="I210">
        <f>INDEX('4_number_of_transport'!$1:$343,MATCH($A210,'4_number_of_transport'!$A:$A,0),MATCH(I$1,'4_number_of_transport'!$1:$1,0))</f>
        <v>29</v>
      </c>
      <c r="J210">
        <f>INDEX('2_land_use'!$1:$343,MATCH($A210,'2_land_use'!$A:$A,0),MATCH(J$1,'2_land_use'!$1:$1,0))</f>
        <v>0</v>
      </c>
      <c r="K210">
        <f>INDEX('2_land_use'!$1:$343,MATCH($A210,'2_land_use'!$A:$A,0),MATCH(K$1,'2_land_use'!$1:$1,0))</f>
        <v>3.1209986641100385E-4</v>
      </c>
      <c r="L210">
        <f>INDEX('7_biomass'!$1:$343,MATCH($A210,'7_biomass'!$A:$A,0),MATCH(L$1,'7_biomass'!$1:$1,0))</f>
        <v>6.217695101031348E-2</v>
      </c>
      <c r="M210">
        <f>INDEX('7_biomass'!$1:$343,MATCH($A210,'7_biomass'!$A:$A,0),MATCH(M$1,'7_biomass'!$1:$1,0))</f>
        <v>8.6661021113982106E-2</v>
      </c>
      <c r="N210">
        <f>INDEX('7_biomass'!$1:$343,MATCH($A210,'7_biomass'!$A:$A,0),MATCH(N$1,'7_biomass'!$1:$1,0))</f>
        <v>1.9344800763654409E-2</v>
      </c>
      <c r="O210">
        <f>INDEX('4_number_of_transport'!$1:$343,MATCH($A210,'4_number_of_transport'!$A:$A,0),MATCH(O$1,'4_number_of_transport'!$1:$1,0))</f>
        <v>16772</v>
      </c>
      <c r="P210">
        <f>INDEX('2_land_use'!$1:$343,MATCH($A210,'2_land_use'!$A:$A,0),MATCH(P$1,'2_land_use'!$1:$1,0))</f>
        <v>21.553756492206873</v>
      </c>
      <c r="Q210">
        <f>INDEX('2_land_use'!$1:$343,MATCH($A210,'2_land_use'!$A:$A,0),MATCH(Q$1,'2_land_use'!$1:$1,0))</f>
        <v>0</v>
      </c>
      <c r="R210">
        <f>INDEX('6_roof_surface'!$1:$343,MATCH($A210,'6_roof_surface'!$A:$A,0),MATCH(R$1,'6_roof_surface'!$1:$1,0))</f>
        <v>1.105029</v>
      </c>
      <c r="S210">
        <f>INDEX('6_roof_surface'!$1:$343,MATCH($A210,'6_roof_surface'!$A:$A,0),MATCH(S$1,'6_roof_surface'!$1:$1,0))</f>
        <v>1.272675</v>
      </c>
    </row>
    <row r="211" spans="1:19" x14ac:dyDescent="0.2">
      <c r="A211" t="s">
        <v>211</v>
      </c>
      <c r="B211" t="str">
        <f>INDEX(CBS_gemeenten_alfabetisch_2023!$B:$B,MATCH($A211,CBS_gemeenten_alfabetisch_2023!$A:$A,0))</f>
        <v>Olst-Wijhe</v>
      </c>
      <c r="C211">
        <f>INDEX('5_train_share_nl'!$1:$343,MATCH($A211,'5_train_share_nl'!$A:$A,0),MATCH(C$1,'5_train_share_nl'!$1:$1,0))</f>
        <v>8.2799256351011818E-4</v>
      </c>
      <c r="D211">
        <f>INDEX('3_has_tram_metro'!$1:$343,MATCH($A211,'3_has_tram_metro'!$A:$A,0),MATCH(D$1,'3_has_tram_metro'!$1:$1,0))</f>
        <v>0</v>
      </c>
      <c r="E211">
        <f>INDEX('1_buildings_total'!$1:$343,MATCH($A211,'1_buildings_total'!$A:$A,0),MATCH(E$1,'1_buildings_total'!$1:$1,0))</f>
        <v>1730.0313846153842</v>
      </c>
      <c r="F211">
        <f>INDEX('2_land_use'!$1:$343,MATCH($A211,'2_land_use'!$A:$A,0),MATCH(F$1,'2_land_use'!$1:$1,0))</f>
        <v>96.325354846887564</v>
      </c>
      <c r="G211">
        <f>INDEX('4_number_of_transport'!$1:$343,MATCH($A211,'4_number_of_transport'!$A:$A,0),MATCH(G$1,'4_number_of_transport'!$1:$1,0))</f>
        <v>1071</v>
      </c>
      <c r="H211">
        <f>INDEX('4_number_of_transport'!$1:$343,MATCH($A211,'4_number_of_transport'!$A:$A,0),MATCH(H$1,'4_number_of_transport'!$1:$1,0))</f>
        <v>40</v>
      </c>
      <c r="I211">
        <f>INDEX('4_number_of_transport'!$1:$343,MATCH($A211,'4_number_of_transport'!$A:$A,0),MATCH(I$1,'4_number_of_transport'!$1:$1,0))</f>
        <v>10</v>
      </c>
      <c r="J211">
        <f>INDEX('2_land_use'!$1:$343,MATCH($A211,'2_land_use'!$A:$A,0),MATCH(J$1,'2_land_use'!$1:$1,0))</f>
        <v>0</v>
      </c>
      <c r="K211">
        <f>INDEX('2_land_use'!$1:$343,MATCH($A211,'2_land_use'!$A:$A,0),MATCH(K$1,'2_land_use'!$1:$1,0))</f>
        <v>4.3186574488571442E-3</v>
      </c>
      <c r="L211">
        <f>INDEX('7_biomass'!$1:$343,MATCH($A211,'7_biomass'!$A:$A,0),MATCH(L$1,'7_biomass'!$1:$1,0))</f>
        <v>0.27512750134483394</v>
      </c>
      <c r="M211">
        <f>INDEX('7_biomass'!$1:$343,MATCH($A211,'7_biomass'!$A:$A,0),MATCH(M$1,'7_biomass'!$1:$1,0))</f>
        <v>9.6057699065205893E-2</v>
      </c>
      <c r="N211">
        <f>INDEX('7_biomass'!$1:$343,MATCH($A211,'7_biomass'!$A:$A,0),MATCH(N$1,'7_biomass'!$1:$1,0))</f>
        <v>1.0979268046482376E-2</v>
      </c>
      <c r="O211">
        <f>INDEX('4_number_of_transport'!$1:$343,MATCH($A211,'4_number_of_transport'!$A:$A,0),MATCH(O$1,'4_number_of_transport'!$1:$1,0))</f>
        <v>10182</v>
      </c>
      <c r="P211">
        <f>INDEX('2_land_use'!$1:$343,MATCH($A211,'2_land_use'!$A:$A,0),MATCH(P$1,'2_land_use'!$1:$1,0))</f>
        <v>113.66240249113329</v>
      </c>
      <c r="Q211">
        <f>INDEX('2_land_use'!$1:$343,MATCH($A211,'2_land_use'!$A:$A,0),MATCH(Q$1,'2_land_use'!$1:$1,0))</f>
        <v>0</v>
      </c>
      <c r="R211">
        <f>INDEX('6_roof_surface'!$1:$343,MATCH($A211,'6_roof_surface'!$A:$A,0),MATCH(R$1,'6_roof_surface'!$1:$1,0))</f>
        <v>0.820689</v>
      </c>
      <c r="S211">
        <f>INDEX('6_roof_surface'!$1:$343,MATCH($A211,'6_roof_surface'!$A:$A,0),MATCH(S$1,'6_roof_surface'!$1:$1,0))</f>
        <v>1.0104820000000001</v>
      </c>
    </row>
    <row r="212" spans="1:19" x14ac:dyDescent="0.2">
      <c r="A212" t="s">
        <v>212</v>
      </c>
      <c r="B212" t="str">
        <f>INDEX(CBS_gemeenten_alfabetisch_2023!$B:$B,MATCH($A212,CBS_gemeenten_alfabetisch_2023!$A:$A,0))</f>
        <v>Ommen</v>
      </c>
      <c r="C212">
        <f>INDEX('5_train_share_nl'!$1:$343,MATCH($A212,'5_train_share_nl'!$A:$A,0),MATCH(C$1,'5_train_share_nl'!$1:$1,0))</f>
        <v>6.806882910922493E-4</v>
      </c>
      <c r="D212">
        <f>INDEX('3_has_tram_metro'!$1:$343,MATCH($A212,'3_has_tram_metro'!$A:$A,0),MATCH(D$1,'3_has_tram_metro'!$1:$1,0))</f>
        <v>0</v>
      </c>
      <c r="E212">
        <f>INDEX('1_buildings_total'!$1:$343,MATCH($A212,'1_buildings_total'!$A:$A,0),MATCH(E$1,'1_buildings_total'!$1:$1,0))</f>
        <v>2931.3690769230775</v>
      </c>
      <c r="F212">
        <f>INDEX('2_land_use'!$1:$343,MATCH($A212,'2_land_use'!$A:$A,0),MATCH(F$1,'2_land_use'!$1:$1,0))</f>
        <v>113.19300548932807</v>
      </c>
      <c r="G212">
        <f>INDEX('4_number_of_transport'!$1:$343,MATCH($A212,'4_number_of_transport'!$A:$A,0),MATCH(G$1,'4_number_of_transport'!$1:$1,0))</f>
        <v>1393</v>
      </c>
      <c r="H212">
        <f>INDEX('4_number_of_transport'!$1:$343,MATCH($A212,'4_number_of_transport'!$A:$A,0),MATCH(H$1,'4_number_of_transport'!$1:$1,0))</f>
        <v>75</v>
      </c>
      <c r="I212">
        <f>INDEX('4_number_of_transport'!$1:$343,MATCH($A212,'4_number_of_transport'!$A:$A,0),MATCH(I$1,'4_number_of_transport'!$1:$1,0))</f>
        <v>2</v>
      </c>
      <c r="J212">
        <f>INDEX('2_land_use'!$1:$343,MATCH($A212,'2_land_use'!$A:$A,0),MATCH(J$1,'2_land_use'!$1:$1,0))</f>
        <v>0</v>
      </c>
      <c r="K212">
        <f>INDEX('2_land_use'!$1:$343,MATCH($A212,'2_land_use'!$A:$A,0),MATCH(K$1,'2_land_use'!$1:$1,0))</f>
        <v>5.0749028341711801E-3</v>
      </c>
      <c r="L212">
        <f>INDEX('7_biomass'!$1:$343,MATCH($A212,'7_biomass'!$A:$A,0),MATCH(L$1,'7_biomass'!$1:$1,0))</f>
        <v>0.38686354165568682</v>
      </c>
      <c r="M212">
        <f>INDEX('7_biomass'!$1:$343,MATCH($A212,'7_biomass'!$A:$A,0),MATCH(M$1,'7_biomass'!$1:$1,0))</f>
        <v>0.1658639582142917</v>
      </c>
      <c r="N212">
        <f>INDEX('7_biomass'!$1:$343,MATCH($A212,'7_biomass'!$A:$A,0),MATCH(N$1,'7_biomass'!$1:$1,0))</f>
        <v>1.0822516834264322E-2</v>
      </c>
      <c r="O212">
        <f>INDEX('4_number_of_transport'!$1:$343,MATCH($A212,'4_number_of_transport'!$A:$A,0),MATCH(O$1,'4_number_of_transport'!$1:$1,0))</f>
        <v>10401</v>
      </c>
      <c r="P212">
        <f>INDEX('2_land_use'!$1:$343,MATCH($A212,'2_land_use'!$A:$A,0),MATCH(P$1,'2_land_use'!$1:$1,0))</f>
        <v>179.84682429915236</v>
      </c>
      <c r="Q212">
        <f>INDEX('2_land_use'!$1:$343,MATCH($A212,'2_land_use'!$A:$A,0),MATCH(Q$1,'2_land_use'!$1:$1,0))</f>
        <v>0</v>
      </c>
      <c r="R212">
        <f>INDEX('6_roof_surface'!$1:$343,MATCH($A212,'6_roof_surface'!$A:$A,0),MATCH(R$1,'6_roof_surface'!$1:$1,0))</f>
        <v>0.97517799999999999</v>
      </c>
      <c r="S212">
        <f>INDEX('6_roof_surface'!$1:$343,MATCH($A212,'6_roof_surface'!$A:$A,0),MATCH(S$1,'6_roof_surface'!$1:$1,0))</f>
        <v>1.3676170000000001</v>
      </c>
    </row>
    <row r="213" spans="1:19" x14ac:dyDescent="0.2">
      <c r="A213" t="s">
        <v>213</v>
      </c>
      <c r="B213" t="str">
        <f>INDEX(CBS_gemeenten_alfabetisch_2023!$B:$B,MATCH($A213,CBS_gemeenten_alfabetisch_2023!$A:$A,0))</f>
        <v>Oost Gelre</v>
      </c>
      <c r="C213">
        <f>INDEX('5_train_share_nl'!$1:$343,MATCH($A213,'5_train_share_nl'!$A:$A,0),MATCH(C$1,'5_train_share_nl'!$1:$1,0))</f>
        <v>0</v>
      </c>
      <c r="D213">
        <f>INDEX('3_has_tram_metro'!$1:$343,MATCH($A213,'3_has_tram_metro'!$A:$A,0),MATCH(D$1,'3_has_tram_metro'!$1:$1,0))</f>
        <v>0</v>
      </c>
      <c r="E213">
        <f>INDEX('1_buildings_total'!$1:$343,MATCH($A213,'1_buildings_total'!$A:$A,0),MATCH(E$1,'1_buildings_total'!$1:$1,0))</f>
        <v>3578.3460000000009</v>
      </c>
      <c r="F213">
        <f>INDEX('2_land_use'!$1:$343,MATCH($A213,'2_land_use'!$A:$A,0),MATCH(F$1,'2_land_use'!$1:$1,0))</f>
        <v>89.549354183022345</v>
      </c>
      <c r="G213">
        <f>INDEX('4_number_of_transport'!$1:$343,MATCH($A213,'4_number_of_transport'!$A:$A,0),MATCH(G$1,'4_number_of_transport'!$1:$1,0))</f>
        <v>2473</v>
      </c>
      <c r="H213">
        <f>INDEX('4_number_of_transport'!$1:$343,MATCH($A213,'4_number_of_transport'!$A:$A,0),MATCH(H$1,'4_number_of_transport'!$1:$1,0))</f>
        <v>339</v>
      </c>
      <c r="I213">
        <f>INDEX('4_number_of_transport'!$1:$343,MATCH($A213,'4_number_of_transport'!$A:$A,0),MATCH(I$1,'4_number_of_transport'!$1:$1,0))</f>
        <v>5</v>
      </c>
      <c r="J213">
        <f>INDEX('2_land_use'!$1:$343,MATCH($A213,'2_land_use'!$A:$A,0),MATCH(J$1,'2_land_use'!$1:$1,0))</f>
        <v>0</v>
      </c>
      <c r="K213">
        <f>INDEX('2_land_use'!$1:$343,MATCH($A213,'2_land_use'!$A:$A,0),MATCH(K$1,'2_land_use'!$1:$1,0))</f>
        <v>4.0148617785792894E-3</v>
      </c>
      <c r="L213">
        <f>INDEX('7_biomass'!$1:$343,MATCH($A213,'7_biomass'!$A:$A,0),MATCH(L$1,'7_biomass'!$1:$1,0))</f>
        <v>0.33199943973466334</v>
      </c>
      <c r="M213">
        <f>INDEX('7_biomass'!$1:$343,MATCH($A213,'7_biomass'!$A:$A,0),MATCH(M$1,'7_biomass'!$1:$1,0))</f>
        <v>0.17564811694330168</v>
      </c>
      <c r="N213">
        <f>INDEX('7_biomass'!$1:$343,MATCH($A213,'7_biomass'!$A:$A,0),MATCH(N$1,'7_biomass'!$1:$1,0))</f>
        <v>1.8047046541570057E-2</v>
      </c>
      <c r="O213">
        <f>INDEX('4_number_of_transport'!$1:$343,MATCH($A213,'4_number_of_transport'!$A:$A,0),MATCH(O$1,'4_number_of_transport'!$1:$1,0))</f>
        <v>16764</v>
      </c>
      <c r="P213">
        <f>INDEX('2_land_use'!$1:$343,MATCH($A213,'2_land_use'!$A:$A,0),MATCH(P$1,'2_land_use'!$1:$1,0))</f>
        <v>109.93418037384318</v>
      </c>
      <c r="Q213">
        <f>INDEX('2_land_use'!$1:$343,MATCH($A213,'2_land_use'!$A:$A,0),MATCH(Q$1,'2_land_use'!$1:$1,0))</f>
        <v>0</v>
      </c>
      <c r="R213">
        <f>INDEX('6_roof_surface'!$1:$343,MATCH($A213,'6_roof_surface'!$A:$A,0),MATCH(R$1,'6_roof_surface'!$1:$1,0))</f>
        <v>1.359823</v>
      </c>
      <c r="S213">
        <f>INDEX('6_roof_surface'!$1:$343,MATCH($A213,'6_roof_surface'!$A:$A,0),MATCH(S$1,'6_roof_surface'!$1:$1,0))</f>
        <v>2.3869590000000001</v>
      </c>
    </row>
    <row r="214" spans="1:19" x14ac:dyDescent="0.2">
      <c r="A214" t="s">
        <v>214</v>
      </c>
      <c r="B214" t="str">
        <f>INDEX(CBS_gemeenten_alfabetisch_2023!$B:$B,MATCH($A214,CBS_gemeenten_alfabetisch_2023!$A:$A,0))</f>
        <v>Oosterhout</v>
      </c>
      <c r="C214">
        <f>INDEX('5_train_share_nl'!$1:$343,MATCH($A214,'5_train_share_nl'!$A:$A,0),MATCH(C$1,'5_train_share_nl'!$1:$1,0))</f>
        <v>0</v>
      </c>
      <c r="D214">
        <f>INDEX('3_has_tram_metro'!$1:$343,MATCH($A214,'3_has_tram_metro'!$A:$A,0),MATCH(D$1,'3_has_tram_metro'!$1:$1,0))</f>
        <v>0</v>
      </c>
      <c r="E214">
        <f>INDEX('1_buildings_total'!$1:$343,MATCH($A214,'1_buildings_total'!$A:$A,0),MATCH(E$1,'1_buildings_total'!$1:$1,0))</f>
        <v>4117.346307692309</v>
      </c>
      <c r="F214">
        <f>INDEX('2_land_use'!$1:$343,MATCH($A214,'2_land_use'!$A:$A,0),MATCH(F$1,'2_land_use'!$1:$1,0))</f>
        <v>33.133846913489954</v>
      </c>
      <c r="G214">
        <f>INDEX('4_number_of_transport'!$1:$343,MATCH($A214,'4_number_of_transport'!$A:$A,0),MATCH(G$1,'4_number_of_transport'!$1:$1,0))</f>
        <v>3425</v>
      </c>
      <c r="H214">
        <f>INDEX('4_number_of_transport'!$1:$343,MATCH($A214,'4_number_of_transport'!$A:$A,0),MATCH(H$1,'4_number_of_transport'!$1:$1,0))</f>
        <v>299</v>
      </c>
      <c r="I214">
        <f>INDEX('4_number_of_transport'!$1:$343,MATCH($A214,'4_number_of_transport'!$A:$A,0),MATCH(I$1,'4_number_of_transport'!$1:$1,0))</f>
        <v>15</v>
      </c>
      <c r="J214">
        <f>INDEX('2_land_use'!$1:$343,MATCH($A214,'2_land_use'!$A:$A,0),MATCH(J$1,'2_land_use'!$1:$1,0))</f>
        <v>1.7376672970907702E-3</v>
      </c>
      <c r="K214">
        <f>INDEX('2_land_use'!$1:$343,MATCH($A214,'2_land_use'!$A:$A,0),MATCH(K$1,'2_land_use'!$1:$1,0))</f>
        <v>1.4855251248198159E-3</v>
      </c>
      <c r="L214">
        <f>INDEX('7_biomass'!$1:$343,MATCH($A214,'7_biomass'!$A:$A,0),MATCH(L$1,'7_biomass'!$1:$1,0))</f>
        <v>0.20238744938729419</v>
      </c>
      <c r="M214">
        <f>INDEX('7_biomass'!$1:$343,MATCH($A214,'7_biomass'!$A:$A,0),MATCH(M$1,'7_biomass'!$1:$1,0))</f>
        <v>0.17494745272556048</v>
      </c>
      <c r="N214">
        <f>INDEX('7_biomass'!$1:$343,MATCH($A214,'7_biomass'!$A:$A,0),MATCH(N$1,'7_biomass'!$1:$1,0))</f>
        <v>3.3790214801237554E-2</v>
      </c>
      <c r="O214">
        <f>INDEX('4_number_of_transport'!$1:$343,MATCH($A214,'4_number_of_transport'!$A:$A,0),MATCH(O$1,'4_number_of_transport'!$1:$1,0))</f>
        <v>31753</v>
      </c>
      <c r="P214">
        <f>INDEX('2_land_use'!$1:$343,MATCH($A214,'2_land_use'!$A:$A,0),MATCH(P$1,'2_land_use'!$1:$1,0))</f>
        <v>71.429403186695879</v>
      </c>
      <c r="Q214">
        <f>INDEX('2_land_use'!$1:$343,MATCH($A214,'2_land_use'!$A:$A,0),MATCH(Q$1,'2_land_use'!$1:$1,0))</f>
        <v>0</v>
      </c>
      <c r="R214">
        <f>INDEX('6_roof_surface'!$1:$343,MATCH($A214,'6_roof_surface'!$A:$A,0),MATCH(R$1,'6_roof_surface'!$1:$1,0))</f>
        <v>1.7820940000000001</v>
      </c>
      <c r="S214">
        <f>INDEX('6_roof_surface'!$1:$343,MATCH($A214,'6_roof_surface'!$A:$A,0),MATCH(S$1,'6_roof_surface'!$1:$1,0))</f>
        <v>3.1452390000000001</v>
      </c>
    </row>
    <row r="215" spans="1:19" x14ac:dyDescent="0.2">
      <c r="A215" t="s">
        <v>215</v>
      </c>
      <c r="B215" t="str">
        <f>INDEX(CBS_gemeenten_alfabetisch_2023!$B:$B,MATCH($A215,CBS_gemeenten_alfabetisch_2023!$A:$A,0))</f>
        <v>Ooststellingwerf</v>
      </c>
      <c r="C215">
        <f>INDEX('5_train_share_nl'!$1:$343,MATCH($A215,'5_train_share_nl'!$A:$A,0),MATCH(C$1,'5_train_share_nl'!$1:$1,0))</f>
        <v>0</v>
      </c>
      <c r="D215">
        <f>INDEX('3_has_tram_metro'!$1:$343,MATCH($A215,'3_has_tram_metro'!$A:$A,0),MATCH(D$1,'3_has_tram_metro'!$1:$1,0))</f>
        <v>0</v>
      </c>
      <c r="E215">
        <f>INDEX('1_buildings_total'!$1:$343,MATCH($A215,'1_buildings_total'!$A:$A,0),MATCH(E$1,'1_buildings_total'!$1:$1,0))</f>
        <v>3636.8222307692304</v>
      </c>
      <c r="F215">
        <f>INDEX('2_land_use'!$1:$343,MATCH($A215,'2_land_use'!$A:$A,0),MATCH(F$1,'2_land_use'!$1:$1,0))</f>
        <v>162.76547658993019</v>
      </c>
      <c r="G215">
        <f>INDEX('4_number_of_transport'!$1:$343,MATCH($A215,'4_number_of_transport'!$A:$A,0),MATCH(G$1,'4_number_of_transport'!$1:$1,0))</f>
        <v>2019</v>
      </c>
      <c r="H215">
        <f>INDEX('4_number_of_transport'!$1:$343,MATCH($A215,'4_number_of_transport'!$A:$A,0),MATCH(H$1,'4_number_of_transport'!$1:$1,0))</f>
        <v>161</v>
      </c>
      <c r="I215">
        <f>INDEX('4_number_of_transport'!$1:$343,MATCH($A215,'4_number_of_transport'!$A:$A,0),MATCH(I$1,'4_number_of_transport'!$1:$1,0))</f>
        <v>5</v>
      </c>
      <c r="J215">
        <f>INDEX('2_land_use'!$1:$343,MATCH($A215,'2_land_use'!$A:$A,0),MATCH(J$1,'2_land_use'!$1:$1,0))</f>
        <v>0</v>
      </c>
      <c r="K215">
        <f>INDEX('2_land_use'!$1:$343,MATCH($A215,'2_land_use'!$A:$A,0),MATCH(K$1,'2_land_use'!$1:$1,0))</f>
        <v>7.2974383433023812E-3</v>
      </c>
      <c r="L215">
        <f>INDEX('7_biomass'!$1:$343,MATCH($A215,'7_biomass'!$A:$A,0),MATCH(L$1,'7_biomass'!$1:$1,0))</f>
        <v>0.52422587147584954</v>
      </c>
      <c r="M215">
        <f>INDEX('7_biomass'!$1:$343,MATCH($A215,'7_biomass'!$A:$A,0),MATCH(M$1,'7_biomass'!$1:$1,0))</f>
        <v>0.18875606735374259</v>
      </c>
      <c r="N215">
        <f>INDEX('7_biomass'!$1:$343,MATCH($A215,'7_biomass'!$A:$A,0),MATCH(N$1,'7_biomass'!$1:$1,0))</f>
        <v>1.549102968187489E-2</v>
      </c>
      <c r="O215">
        <f>INDEX('4_number_of_transport'!$1:$343,MATCH($A215,'4_number_of_transport'!$A:$A,0),MATCH(O$1,'4_number_of_transport'!$1:$1,0))</f>
        <v>14961</v>
      </c>
      <c r="P215">
        <f>INDEX('2_land_use'!$1:$343,MATCH($A215,'2_land_use'!$A:$A,0),MATCH(P$1,'2_land_use'!$1:$1,0))</f>
        <v>223.29610828652088</v>
      </c>
      <c r="Q215">
        <f>INDEX('2_land_use'!$1:$343,MATCH($A215,'2_land_use'!$A:$A,0),MATCH(Q$1,'2_land_use'!$1:$1,0))</f>
        <v>0</v>
      </c>
      <c r="R215">
        <f>INDEX('6_roof_surface'!$1:$343,MATCH($A215,'6_roof_surface'!$A:$A,0),MATCH(R$1,'6_roof_surface'!$1:$1,0))</f>
        <v>1.4688049999999999</v>
      </c>
      <c r="S215">
        <f>INDEX('6_roof_surface'!$1:$343,MATCH($A215,'6_roof_surface'!$A:$A,0),MATCH(S$1,'6_roof_surface'!$1:$1,0))</f>
        <v>1.6751510000000001</v>
      </c>
    </row>
    <row r="216" spans="1:19" x14ac:dyDescent="0.2">
      <c r="A216" t="s">
        <v>216</v>
      </c>
      <c r="B216" t="str">
        <f>INDEX(CBS_gemeenten_alfabetisch_2023!$B:$B,MATCH($A216,CBS_gemeenten_alfabetisch_2023!$A:$A,0))</f>
        <v>Oostzaan</v>
      </c>
      <c r="C216">
        <f>INDEX('5_train_share_nl'!$1:$343,MATCH($A216,'5_train_share_nl'!$A:$A,0),MATCH(C$1,'5_train_share_nl'!$1:$1,0))</f>
        <v>0</v>
      </c>
      <c r="D216">
        <f>INDEX('3_has_tram_metro'!$1:$343,MATCH($A216,'3_has_tram_metro'!$A:$A,0),MATCH(D$1,'3_has_tram_metro'!$1:$1,0))</f>
        <v>0</v>
      </c>
      <c r="E216">
        <f>INDEX('1_buildings_total'!$1:$343,MATCH($A216,'1_buildings_total'!$A:$A,0),MATCH(E$1,'1_buildings_total'!$1:$1,0))</f>
        <v>259.80500000000001</v>
      </c>
      <c r="F216">
        <f>INDEX('2_land_use'!$1:$343,MATCH($A216,'2_land_use'!$A:$A,0),MATCH(F$1,'2_land_use'!$1:$1,0))</f>
        <v>5.1236880022893185</v>
      </c>
      <c r="G216">
        <f>INDEX('4_number_of_transport'!$1:$343,MATCH($A216,'4_number_of_transport'!$A:$A,0),MATCH(G$1,'4_number_of_transport'!$1:$1,0))</f>
        <v>509</v>
      </c>
      <c r="H216">
        <f>INDEX('4_number_of_transport'!$1:$343,MATCH($A216,'4_number_of_transport'!$A:$A,0),MATCH(H$1,'4_number_of_transport'!$1:$1,0))</f>
        <v>78</v>
      </c>
      <c r="I216">
        <f>INDEX('4_number_of_transport'!$1:$343,MATCH($A216,'4_number_of_transport'!$A:$A,0),MATCH(I$1,'4_number_of_transport'!$1:$1,0))</f>
        <v>0</v>
      </c>
      <c r="J216">
        <f>INDEX('2_land_use'!$1:$343,MATCH($A216,'2_land_use'!$A:$A,0),MATCH(J$1,'2_land_use'!$1:$1,0))</f>
        <v>0</v>
      </c>
      <c r="K216">
        <f>INDEX('2_land_use'!$1:$343,MATCH($A216,'2_land_use'!$A:$A,0),MATCH(K$1,'2_land_use'!$1:$1,0))</f>
        <v>2.2971577308881022E-4</v>
      </c>
      <c r="L216">
        <f>INDEX('7_biomass'!$1:$343,MATCH($A216,'7_biomass'!$A:$A,0),MATCH(L$1,'7_biomass'!$1:$1,0))</f>
        <v>7.82774086924381E-2</v>
      </c>
      <c r="M216">
        <f>INDEX('7_biomass'!$1:$343,MATCH($A216,'7_biomass'!$A:$A,0),MATCH(M$1,'7_biomass'!$1:$1,0))</f>
        <v>2.5059125323079343E-2</v>
      </c>
      <c r="N216">
        <f>INDEX('7_biomass'!$1:$343,MATCH($A216,'7_biomass'!$A:$A,0),MATCH(N$1,'7_biomass'!$1:$1,0))</f>
        <v>5.9279906108974907E-3</v>
      </c>
      <c r="O216">
        <f>INDEX('4_number_of_transport'!$1:$343,MATCH($A216,'4_number_of_transport'!$A:$A,0),MATCH(O$1,'4_number_of_transport'!$1:$1,0))</f>
        <v>5108</v>
      </c>
      <c r="P216">
        <f>INDEX('2_land_use'!$1:$343,MATCH($A216,'2_land_use'!$A:$A,0),MATCH(P$1,'2_land_use'!$1:$1,0))</f>
        <v>11.558012265981404</v>
      </c>
      <c r="Q216">
        <f>INDEX('2_land_use'!$1:$343,MATCH($A216,'2_land_use'!$A:$A,0),MATCH(Q$1,'2_land_use'!$1:$1,0))</f>
        <v>0</v>
      </c>
      <c r="R216">
        <f>INDEX('6_roof_surface'!$1:$343,MATCH($A216,'6_roof_surface'!$A:$A,0),MATCH(R$1,'6_roof_surface'!$1:$1,0))</f>
        <v>0.286634</v>
      </c>
      <c r="S216">
        <f>INDEX('6_roof_surface'!$1:$343,MATCH($A216,'6_roof_surface'!$A:$A,0),MATCH(S$1,'6_roof_surface'!$1:$1,0))</f>
        <v>0.21035499999999999</v>
      </c>
    </row>
    <row r="217" spans="1:19" x14ac:dyDescent="0.2">
      <c r="A217" t="s">
        <v>217</v>
      </c>
      <c r="B217" t="str">
        <f>INDEX(CBS_gemeenten_alfabetisch_2023!$B:$B,MATCH($A217,CBS_gemeenten_alfabetisch_2023!$A:$A,0))</f>
        <v>Opmeer</v>
      </c>
      <c r="C217">
        <f>INDEX('5_train_share_nl'!$1:$343,MATCH($A217,'5_train_share_nl'!$A:$A,0),MATCH(C$1,'5_train_share_nl'!$1:$1,0))</f>
        <v>0</v>
      </c>
      <c r="D217">
        <f>INDEX('3_has_tram_metro'!$1:$343,MATCH($A217,'3_has_tram_metro'!$A:$A,0),MATCH(D$1,'3_has_tram_metro'!$1:$1,0))</f>
        <v>0</v>
      </c>
      <c r="E217">
        <f>INDEX('1_buildings_total'!$1:$343,MATCH($A217,'1_buildings_total'!$A:$A,0),MATCH(E$1,'1_buildings_total'!$1:$1,0))</f>
        <v>1221.5019230769228</v>
      </c>
      <c r="F217">
        <f>INDEX('2_land_use'!$1:$343,MATCH($A217,'2_land_use'!$A:$A,0),MATCH(F$1,'2_land_use'!$1:$1,0))</f>
        <v>36.382363786448785</v>
      </c>
      <c r="G217">
        <f>INDEX('4_number_of_transport'!$1:$343,MATCH($A217,'4_number_of_transport'!$A:$A,0),MATCH(G$1,'4_number_of_transport'!$1:$1,0))</f>
        <v>1036</v>
      </c>
      <c r="H217">
        <f>INDEX('4_number_of_transport'!$1:$343,MATCH($A217,'4_number_of_transport'!$A:$A,0),MATCH(H$1,'4_number_of_transport'!$1:$1,0))</f>
        <v>69</v>
      </c>
      <c r="I217">
        <f>INDEX('4_number_of_transport'!$1:$343,MATCH($A217,'4_number_of_transport'!$A:$A,0),MATCH(I$1,'4_number_of_transport'!$1:$1,0))</f>
        <v>1</v>
      </c>
      <c r="J217">
        <f>INDEX('2_land_use'!$1:$343,MATCH($A217,'2_land_use'!$A:$A,0),MATCH(J$1,'2_land_use'!$1:$1,0))</f>
        <v>1.1783461355332387E-3</v>
      </c>
      <c r="K217">
        <f>INDEX('2_land_use'!$1:$343,MATCH($A217,'2_land_use'!$A:$A,0),MATCH(K$1,'2_land_use'!$1:$1,0))</f>
        <v>1.6311693491618047E-3</v>
      </c>
      <c r="L217">
        <f>INDEX('7_biomass'!$1:$343,MATCH($A217,'7_biomass'!$A:$A,0),MATCH(L$1,'7_biomass'!$1:$1,0))</f>
        <v>0.10202169867175809</v>
      </c>
      <c r="M217">
        <f>INDEX('7_biomass'!$1:$343,MATCH($A217,'7_biomass'!$A:$A,0),MATCH(M$1,'7_biomass'!$1:$1,0))</f>
        <v>4.233787720276113E-2</v>
      </c>
      <c r="N217">
        <f>INDEX('7_biomass'!$1:$343,MATCH($A217,'7_biomass'!$A:$A,0),MATCH(N$1,'7_biomass'!$1:$1,0))</f>
        <v>7.1564826694436347E-3</v>
      </c>
      <c r="O217">
        <f>INDEX('4_number_of_transport'!$1:$343,MATCH($A217,'4_number_of_transport'!$A:$A,0),MATCH(O$1,'4_number_of_transport'!$1:$1,0))</f>
        <v>6930</v>
      </c>
      <c r="P217">
        <f>INDEX('2_land_use'!$1:$343,MATCH($A217,'2_land_use'!$A:$A,0),MATCH(P$1,'2_land_use'!$1:$1,0))</f>
        <v>41.479109162414609</v>
      </c>
      <c r="Q217">
        <f>INDEX('2_land_use'!$1:$343,MATCH($A217,'2_land_use'!$A:$A,0),MATCH(Q$1,'2_land_use'!$1:$1,0))</f>
        <v>0</v>
      </c>
      <c r="R217">
        <f>INDEX('6_roof_surface'!$1:$343,MATCH($A217,'6_roof_surface'!$A:$A,0),MATCH(R$1,'6_roof_surface'!$1:$1,0))</f>
        <v>0.52914799999999995</v>
      </c>
      <c r="S217">
        <f>INDEX('6_roof_surface'!$1:$343,MATCH($A217,'6_roof_surface'!$A:$A,0),MATCH(S$1,'6_roof_surface'!$1:$1,0))</f>
        <v>0.76263700000000001</v>
      </c>
    </row>
    <row r="218" spans="1:19" x14ac:dyDescent="0.2">
      <c r="A218" t="s">
        <v>218</v>
      </c>
      <c r="B218" t="str">
        <f>INDEX(CBS_gemeenten_alfabetisch_2023!$B:$B,MATCH($A218,CBS_gemeenten_alfabetisch_2023!$A:$A,0))</f>
        <v>Opsterland</v>
      </c>
      <c r="C218">
        <f>INDEX('5_train_share_nl'!$1:$343,MATCH($A218,'5_train_share_nl'!$A:$A,0),MATCH(C$1,'5_train_share_nl'!$1:$1,0))</f>
        <v>0</v>
      </c>
      <c r="D218">
        <f>INDEX('3_has_tram_metro'!$1:$343,MATCH($A218,'3_has_tram_metro'!$A:$A,0),MATCH(D$1,'3_has_tram_metro'!$1:$1,0))</f>
        <v>0</v>
      </c>
      <c r="E218">
        <f>INDEX('1_buildings_total'!$1:$343,MATCH($A218,'1_buildings_total'!$A:$A,0),MATCH(E$1,'1_buildings_total'!$1:$1,0))</f>
        <v>3952.5497692307699</v>
      </c>
      <c r="F218">
        <f>INDEX('2_land_use'!$1:$343,MATCH($A218,'2_land_use'!$A:$A,0),MATCH(F$1,'2_land_use'!$1:$1,0))</f>
        <v>177.71202434809831</v>
      </c>
      <c r="G218">
        <f>INDEX('4_number_of_transport'!$1:$343,MATCH($A218,'4_number_of_transport'!$A:$A,0),MATCH(G$1,'4_number_of_transport'!$1:$1,0))</f>
        <v>2323</v>
      </c>
      <c r="H218">
        <f>INDEX('4_number_of_transport'!$1:$343,MATCH($A218,'4_number_of_transport'!$A:$A,0),MATCH(H$1,'4_number_of_transport'!$1:$1,0))</f>
        <v>111</v>
      </c>
      <c r="I218">
        <f>INDEX('4_number_of_transport'!$1:$343,MATCH($A218,'4_number_of_transport'!$A:$A,0),MATCH(I$1,'4_number_of_transport'!$1:$1,0))</f>
        <v>2</v>
      </c>
      <c r="J218">
        <f>INDEX('2_land_use'!$1:$343,MATCH($A218,'2_land_use'!$A:$A,0),MATCH(J$1,'2_land_use'!$1:$1,0))</f>
        <v>0</v>
      </c>
      <c r="K218">
        <f>INDEX('2_land_use'!$1:$343,MATCH($A218,'2_land_use'!$A:$A,0),MATCH(K$1,'2_land_use'!$1:$1,0))</f>
        <v>7.9675528724740072E-3</v>
      </c>
      <c r="L218">
        <f>INDEX('7_biomass'!$1:$343,MATCH($A218,'7_biomass'!$A:$A,0),MATCH(L$1,'7_biomass'!$1:$1,0))</f>
        <v>0.44687583208683429</v>
      </c>
      <c r="M218">
        <f>INDEX('7_biomass'!$1:$343,MATCH($A218,'7_biomass'!$A:$A,0),MATCH(M$1,'7_biomass'!$1:$1,0))</f>
        <v>0.16158738797090733</v>
      </c>
      <c r="N218">
        <f>INDEX('7_biomass'!$1:$343,MATCH($A218,'7_biomass'!$A:$A,0),MATCH(N$1,'7_biomass'!$1:$1,0))</f>
        <v>1.805859023549309E-2</v>
      </c>
      <c r="O218">
        <f>INDEX('4_number_of_transport'!$1:$343,MATCH($A218,'4_number_of_transport'!$A:$A,0),MATCH(O$1,'4_number_of_transport'!$1:$1,0))</f>
        <v>17163</v>
      </c>
      <c r="P218">
        <f>INDEX('2_land_use'!$1:$343,MATCH($A218,'2_land_use'!$A:$A,0),MATCH(P$1,'2_land_use'!$1:$1,0))</f>
        <v>224.40128957216035</v>
      </c>
      <c r="Q218">
        <f>INDEX('2_land_use'!$1:$343,MATCH($A218,'2_land_use'!$A:$A,0),MATCH(Q$1,'2_land_use'!$1:$1,0))</f>
        <v>0</v>
      </c>
      <c r="R218">
        <f>INDEX('6_roof_surface'!$1:$343,MATCH($A218,'6_roof_surface'!$A:$A,0),MATCH(R$1,'6_roof_surface'!$1:$1,0))</f>
        <v>1.6622189999999999</v>
      </c>
      <c r="S218">
        <f>INDEX('6_roof_surface'!$1:$343,MATCH($A218,'6_roof_surface'!$A:$A,0),MATCH(S$1,'6_roof_surface'!$1:$1,0))</f>
        <v>1.5601080000000001</v>
      </c>
    </row>
    <row r="219" spans="1:19" x14ac:dyDescent="0.2">
      <c r="A219" t="s">
        <v>219</v>
      </c>
      <c r="B219" t="str">
        <f>INDEX(CBS_gemeenten_alfabetisch_2023!$B:$B,MATCH($A219,CBS_gemeenten_alfabetisch_2023!$A:$A,0))</f>
        <v>Oss</v>
      </c>
      <c r="C219">
        <f>INDEX('5_train_share_nl'!$1:$343,MATCH($A219,'5_train_share_nl'!$A:$A,0),MATCH(C$1,'5_train_share_nl'!$1:$1,0))</f>
        <v>3.8512939611187996E-3</v>
      </c>
      <c r="D219">
        <f>INDEX('3_has_tram_metro'!$1:$343,MATCH($A219,'3_has_tram_metro'!$A:$A,0),MATCH(D$1,'3_has_tram_metro'!$1:$1,0))</f>
        <v>0</v>
      </c>
      <c r="E219">
        <f>INDEX('1_buildings_total'!$1:$343,MATCH($A219,'1_buildings_total'!$A:$A,0),MATCH(E$1,'1_buildings_total'!$1:$1,0))</f>
        <v>5111.2114615384617</v>
      </c>
      <c r="F219">
        <f>INDEX('2_land_use'!$1:$343,MATCH($A219,'2_land_use'!$A:$A,0),MATCH(F$1,'2_land_use'!$1:$1,0))</f>
        <v>116.17715909407946</v>
      </c>
      <c r="G219">
        <f>INDEX('4_number_of_transport'!$1:$343,MATCH($A219,'4_number_of_transport'!$A:$A,0),MATCH(G$1,'4_number_of_transport'!$1:$1,0))</f>
        <v>6548</v>
      </c>
      <c r="H219">
        <f>INDEX('4_number_of_transport'!$1:$343,MATCH($A219,'4_number_of_transport'!$A:$A,0),MATCH(H$1,'4_number_of_transport'!$1:$1,0))</f>
        <v>437</v>
      </c>
      <c r="I219">
        <f>INDEX('4_number_of_transport'!$1:$343,MATCH($A219,'4_number_of_transport'!$A:$A,0),MATCH(I$1,'4_number_of_transport'!$1:$1,0))</f>
        <v>64</v>
      </c>
      <c r="J219">
        <f>INDEX('2_land_use'!$1:$343,MATCH($A219,'2_land_use'!$A:$A,0),MATCH(J$1,'2_land_use'!$1:$1,0))</f>
        <v>3.468296663120504E-4</v>
      </c>
      <c r="K219">
        <f>INDEX('2_land_use'!$1:$343,MATCH($A219,'2_land_use'!$A:$A,0),MATCH(K$1,'2_land_use'!$1:$1,0))</f>
        <v>5.2086945779356193E-3</v>
      </c>
      <c r="L219">
        <f>INDEX('7_biomass'!$1:$343,MATCH($A219,'7_biomass'!$A:$A,0),MATCH(L$1,'7_biomass'!$1:$1,0))</f>
        <v>0.51990826154544378</v>
      </c>
      <c r="M219">
        <f>INDEX('7_biomass'!$1:$343,MATCH($A219,'7_biomass'!$A:$A,0),MATCH(M$1,'7_biomass'!$1:$1,0))</f>
        <v>0.30945536253019063</v>
      </c>
      <c r="N219">
        <f>INDEX('7_biomass'!$1:$343,MATCH($A219,'7_biomass'!$A:$A,0),MATCH(N$1,'7_biomass'!$1:$1,0))</f>
        <v>5.556222910291958E-2</v>
      </c>
      <c r="O219">
        <f>INDEX('4_number_of_transport'!$1:$343,MATCH($A219,'4_number_of_transport'!$A:$A,0),MATCH(O$1,'4_number_of_transport'!$1:$1,0))</f>
        <v>50225</v>
      </c>
      <c r="P219">
        <f>INDEX('2_land_use'!$1:$343,MATCH($A219,'2_land_use'!$A:$A,0),MATCH(P$1,'2_land_use'!$1:$1,0))</f>
        <v>162.00936549364616</v>
      </c>
      <c r="Q219">
        <f>INDEX('2_land_use'!$1:$343,MATCH($A219,'2_land_use'!$A:$A,0),MATCH(Q$1,'2_land_use'!$1:$1,0))</f>
        <v>0</v>
      </c>
      <c r="R219">
        <f>INDEX('6_roof_surface'!$1:$343,MATCH($A219,'6_roof_surface'!$A:$A,0),MATCH(R$1,'6_roof_surface'!$1:$1,0))</f>
        <v>3.4161890000000001</v>
      </c>
      <c r="S219">
        <f>INDEX('6_roof_surface'!$1:$343,MATCH($A219,'6_roof_surface'!$A:$A,0),MATCH(S$1,'6_roof_surface'!$1:$1,0))</f>
        <v>4.347029</v>
      </c>
    </row>
    <row r="220" spans="1:19" x14ac:dyDescent="0.2">
      <c r="A220" t="s">
        <v>220</v>
      </c>
      <c r="B220" t="str">
        <f>INDEX(CBS_gemeenten_alfabetisch_2023!$B:$B,MATCH($A220,CBS_gemeenten_alfabetisch_2023!$A:$A,0))</f>
        <v>Oude IJsselstreek</v>
      </c>
      <c r="C220">
        <f>INDEX('5_train_share_nl'!$1:$343,MATCH($A220,'5_train_share_nl'!$A:$A,0),MATCH(C$1,'5_train_share_nl'!$1:$1,0))</f>
        <v>5.7060606600577732E-4</v>
      </c>
      <c r="D220">
        <f>INDEX('3_has_tram_metro'!$1:$343,MATCH($A220,'3_has_tram_metro'!$A:$A,0),MATCH(D$1,'3_has_tram_metro'!$1:$1,0))</f>
        <v>0</v>
      </c>
      <c r="E220">
        <f>INDEX('1_buildings_total'!$1:$343,MATCH($A220,'1_buildings_total'!$A:$A,0),MATCH(E$1,'1_buildings_total'!$1:$1,0))</f>
        <v>3714.9349999999999</v>
      </c>
      <c r="F220">
        <f>INDEX('2_land_use'!$1:$343,MATCH($A220,'2_land_use'!$A:$A,0),MATCH(F$1,'2_land_use'!$1:$1,0))</f>
        <v>112.05882636565133</v>
      </c>
      <c r="G220">
        <f>INDEX('4_number_of_transport'!$1:$343,MATCH($A220,'4_number_of_transport'!$A:$A,0),MATCH(G$1,'4_number_of_transport'!$1:$1,0))</f>
        <v>2473</v>
      </c>
      <c r="H220">
        <f>INDEX('4_number_of_transport'!$1:$343,MATCH($A220,'4_number_of_transport'!$A:$A,0),MATCH(H$1,'4_number_of_transport'!$1:$1,0))</f>
        <v>141</v>
      </c>
      <c r="I220">
        <f>INDEX('4_number_of_transport'!$1:$343,MATCH($A220,'4_number_of_transport'!$A:$A,0),MATCH(I$1,'4_number_of_transport'!$1:$1,0))</f>
        <v>0</v>
      </c>
      <c r="J220">
        <f>INDEX('2_land_use'!$1:$343,MATCH($A220,'2_land_use'!$A:$A,0),MATCH(J$1,'2_land_use'!$1:$1,0))</f>
        <v>6.8907551624271471E-5</v>
      </c>
      <c r="K220">
        <f>INDEX('2_land_use'!$1:$343,MATCH($A220,'2_land_use'!$A:$A,0),MATCH(K$1,'2_land_use'!$1:$1,0))</f>
        <v>5.0240529709281063E-3</v>
      </c>
      <c r="L220">
        <f>INDEX('7_biomass'!$1:$343,MATCH($A220,'7_biomass'!$A:$A,0),MATCH(L$1,'7_biomass'!$1:$1,0))</f>
        <v>0.31358552972028469</v>
      </c>
      <c r="M220">
        <f>INDEX('7_biomass'!$1:$343,MATCH($A220,'7_biomass'!$A:$A,0),MATCH(M$1,'7_biomass'!$1:$1,0))</f>
        <v>0.15996500101282343</v>
      </c>
      <c r="N220">
        <f>INDEX('7_biomass'!$1:$343,MATCH($A220,'7_biomass'!$A:$A,0),MATCH(N$1,'7_biomass'!$1:$1,0))</f>
        <v>2.3982327906524197E-2</v>
      </c>
      <c r="O220">
        <f>INDEX('4_number_of_transport'!$1:$343,MATCH($A220,'4_number_of_transport'!$A:$A,0),MATCH(O$1,'4_number_of_transport'!$1:$1,0))</f>
        <v>22394</v>
      </c>
      <c r="P220">
        <f>INDEX('2_land_use'!$1:$343,MATCH($A220,'2_land_use'!$A:$A,0),MATCH(P$1,'2_land_use'!$1:$1,0))</f>
        <v>136.0706565024874</v>
      </c>
      <c r="Q220">
        <f>INDEX('2_land_use'!$1:$343,MATCH($A220,'2_land_use'!$A:$A,0),MATCH(Q$1,'2_land_use'!$1:$1,0))</f>
        <v>0</v>
      </c>
      <c r="R220">
        <f>INDEX('6_roof_surface'!$1:$343,MATCH($A220,'6_roof_surface'!$A:$A,0),MATCH(R$1,'6_roof_surface'!$1:$1,0))</f>
        <v>1.901556</v>
      </c>
      <c r="S220">
        <f>INDEX('6_roof_surface'!$1:$343,MATCH($A220,'6_roof_surface'!$A:$A,0),MATCH(S$1,'6_roof_surface'!$1:$1,0))</f>
        <v>2.3368739999999999</v>
      </c>
    </row>
    <row r="221" spans="1:19" x14ac:dyDescent="0.2">
      <c r="A221" t="s">
        <v>221</v>
      </c>
      <c r="B221" t="str">
        <f>INDEX(CBS_gemeenten_alfabetisch_2023!$B:$B,MATCH($A221,CBS_gemeenten_alfabetisch_2023!$A:$A,0))</f>
        <v>Ouder-Amstel</v>
      </c>
      <c r="C221">
        <f>INDEX('5_train_share_nl'!$1:$343,MATCH($A221,'5_train_share_nl'!$A:$A,0),MATCH(C$1,'5_train_share_nl'!$1:$1,0))</f>
        <v>3.7455675075285552E-3</v>
      </c>
      <c r="D221">
        <f>INDEX('3_has_tram_metro'!$1:$343,MATCH($A221,'3_has_tram_metro'!$A:$A,0),MATCH(D$1,'3_has_tram_metro'!$1:$1,0))</f>
        <v>0</v>
      </c>
      <c r="E221">
        <f>INDEX('1_buildings_total'!$1:$343,MATCH($A221,'1_buildings_total'!$A:$A,0),MATCH(E$1,'1_buildings_total'!$1:$1,0))</f>
        <v>1012.3913076923077</v>
      </c>
      <c r="F221">
        <f>INDEX('2_land_use'!$1:$343,MATCH($A221,'2_land_use'!$A:$A,0),MATCH(F$1,'2_land_use'!$1:$1,0))</f>
        <v>15.803288646680848</v>
      </c>
      <c r="G221">
        <f>INDEX('4_number_of_transport'!$1:$343,MATCH($A221,'4_number_of_transport'!$A:$A,0),MATCH(G$1,'4_number_of_transport'!$1:$1,0))</f>
        <v>2242</v>
      </c>
      <c r="H221">
        <f>INDEX('4_number_of_transport'!$1:$343,MATCH($A221,'4_number_of_transport'!$A:$A,0),MATCH(H$1,'4_number_of_transport'!$1:$1,0))</f>
        <v>85</v>
      </c>
      <c r="I221">
        <f>INDEX('4_number_of_transport'!$1:$343,MATCH($A221,'4_number_of_transport'!$A:$A,0),MATCH(I$1,'4_number_of_transport'!$1:$1,0))</f>
        <v>31</v>
      </c>
      <c r="J221">
        <f>INDEX('2_land_use'!$1:$343,MATCH($A221,'2_land_use'!$A:$A,0),MATCH(J$1,'2_land_use'!$1:$1,0))</f>
        <v>0</v>
      </c>
      <c r="K221">
        <f>INDEX('2_land_use'!$1:$343,MATCH($A221,'2_land_use'!$A:$A,0),MATCH(K$1,'2_land_use'!$1:$1,0))</f>
        <v>7.0852570788772988E-4</v>
      </c>
      <c r="L221">
        <f>INDEX('7_biomass'!$1:$343,MATCH($A221,'7_biomass'!$A:$A,0),MATCH(L$1,'7_biomass'!$1:$1,0))</f>
        <v>6.4002619644989392E-2</v>
      </c>
      <c r="M221">
        <f>INDEX('7_biomass'!$1:$343,MATCH($A221,'7_biomass'!$A:$A,0),MATCH(M$1,'7_biomass'!$1:$1,0))</f>
        <v>4.0773791978409787E-2</v>
      </c>
      <c r="N221">
        <f>INDEX('7_biomass'!$1:$343,MATCH($A221,'7_biomass'!$A:$A,0),MATCH(N$1,'7_biomass'!$1:$1,0))</f>
        <v>8.4548444543660426E-3</v>
      </c>
      <c r="O221">
        <f>INDEX('4_number_of_transport'!$1:$343,MATCH($A221,'4_number_of_transport'!$A:$A,0),MATCH(O$1,'4_number_of_transport'!$1:$1,0))</f>
        <v>7360</v>
      </c>
      <c r="P221">
        <f>INDEX('2_land_use'!$1:$343,MATCH($A221,'2_land_use'!$A:$A,0),MATCH(P$1,'2_land_use'!$1:$1,0))</f>
        <v>23.950611649182861</v>
      </c>
      <c r="Q221">
        <f>INDEX('2_land_use'!$1:$343,MATCH($A221,'2_land_use'!$A:$A,0),MATCH(Q$1,'2_land_use'!$1:$1,0))</f>
        <v>0</v>
      </c>
      <c r="R221">
        <f>INDEX('6_roof_surface'!$1:$343,MATCH($A221,'6_roof_surface'!$A:$A,0),MATCH(R$1,'6_roof_surface'!$1:$1,0))</f>
        <v>0.39449699999999999</v>
      </c>
      <c r="S221">
        <f>INDEX('6_roof_surface'!$1:$343,MATCH($A221,'6_roof_surface'!$A:$A,0),MATCH(S$1,'6_roof_surface'!$1:$1,0))</f>
        <v>0.61461399999999999</v>
      </c>
    </row>
    <row r="222" spans="1:19" x14ac:dyDescent="0.2">
      <c r="A222" t="s">
        <v>222</v>
      </c>
      <c r="B222" t="str">
        <f>INDEX(CBS_gemeenten_alfabetisch_2023!$B:$B,MATCH($A222,CBS_gemeenten_alfabetisch_2023!$A:$A,0))</f>
        <v>Oudewater</v>
      </c>
      <c r="C222">
        <f>INDEX('5_train_share_nl'!$1:$343,MATCH($A222,'5_train_share_nl'!$A:$A,0),MATCH(C$1,'5_train_share_nl'!$1:$1,0))</f>
        <v>0</v>
      </c>
      <c r="D222">
        <f>INDEX('3_has_tram_metro'!$1:$343,MATCH($A222,'3_has_tram_metro'!$A:$A,0),MATCH(D$1,'3_has_tram_metro'!$1:$1,0))</f>
        <v>0</v>
      </c>
      <c r="E222">
        <f>INDEX('1_buildings_total'!$1:$343,MATCH($A222,'1_buildings_total'!$A:$A,0),MATCH(E$1,'1_buildings_total'!$1:$1,0))</f>
        <v>733.07223076923071</v>
      </c>
      <c r="F222">
        <f>INDEX('2_land_use'!$1:$343,MATCH($A222,'2_land_use'!$A:$A,0),MATCH(F$1,'2_land_use'!$1:$1,0))</f>
        <v>35.783161484426984</v>
      </c>
      <c r="G222">
        <f>INDEX('4_number_of_transport'!$1:$343,MATCH($A222,'4_number_of_transport'!$A:$A,0),MATCH(G$1,'4_number_of_transport'!$1:$1,0))</f>
        <v>993</v>
      </c>
      <c r="H222">
        <f>INDEX('4_number_of_transport'!$1:$343,MATCH($A222,'4_number_of_transport'!$A:$A,0),MATCH(H$1,'4_number_of_transport'!$1:$1,0))</f>
        <v>173</v>
      </c>
      <c r="I222">
        <f>INDEX('4_number_of_transport'!$1:$343,MATCH($A222,'4_number_of_transport'!$A:$A,0),MATCH(I$1,'4_number_of_transport'!$1:$1,0))</f>
        <v>0</v>
      </c>
      <c r="J222">
        <f>INDEX('2_land_use'!$1:$343,MATCH($A222,'2_land_use'!$A:$A,0),MATCH(J$1,'2_land_use'!$1:$1,0))</f>
        <v>1.5760358817876375E-4</v>
      </c>
      <c r="K222">
        <f>INDEX('2_land_use'!$1:$343,MATCH($A222,'2_land_use'!$A:$A,0),MATCH(K$1,'2_land_use'!$1:$1,0))</f>
        <v>1.6043046727833774E-3</v>
      </c>
      <c r="L222">
        <f>INDEX('7_biomass'!$1:$343,MATCH($A222,'7_biomass'!$A:$A,0),MATCH(L$1,'7_biomass'!$1:$1,0))</f>
        <v>0.11355083806349153</v>
      </c>
      <c r="M222">
        <f>INDEX('7_biomass'!$1:$343,MATCH($A222,'7_biomass'!$A:$A,0),MATCH(M$1,'7_biomass'!$1:$1,0))</f>
        <v>4.3957704136644619E-2</v>
      </c>
      <c r="N222">
        <f>INDEX('7_biomass'!$1:$343,MATCH($A222,'7_biomass'!$A:$A,0),MATCH(N$1,'7_biomass'!$1:$1,0))</f>
        <v>6.1977485109936765E-3</v>
      </c>
      <c r="O222">
        <f>INDEX('4_number_of_transport'!$1:$343,MATCH($A222,'4_number_of_transport'!$A:$A,0),MATCH(O$1,'4_number_of_transport'!$1:$1,0))</f>
        <v>5253</v>
      </c>
      <c r="P222">
        <f>INDEX('2_land_use'!$1:$343,MATCH($A222,'2_land_use'!$A:$A,0),MATCH(P$1,'2_land_use'!$1:$1,0))</f>
        <v>38.896476701651252</v>
      </c>
      <c r="Q222">
        <f>INDEX('2_land_use'!$1:$343,MATCH($A222,'2_land_use'!$A:$A,0),MATCH(Q$1,'2_land_use'!$1:$1,0))</f>
        <v>0</v>
      </c>
      <c r="R222">
        <f>INDEX('6_roof_surface'!$1:$343,MATCH($A222,'6_roof_surface'!$A:$A,0),MATCH(R$1,'6_roof_surface'!$1:$1,0))</f>
        <v>0.365452</v>
      </c>
      <c r="S222">
        <f>INDEX('6_roof_surface'!$1:$343,MATCH($A222,'6_roof_surface'!$A:$A,0),MATCH(S$1,'6_roof_surface'!$1:$1,0))</f>
        <v>0.50567200000000001</v>
      </c>
    </row>
    <row r="223" spans="1:19" x14ac:dyDescent="0.2">
      <c r="A223" t="s">
        <v>223</v>
      </c>
      <c r="B223" t="str">
        <f>INDEX(CBS_gemeenten_alfabetisch_2023!$B:$B,MATCH($A223,CBS_gemeenten_alfabetisch_2023!$A:$A,0))</f>
        <v>Overbetuwe</v>
      </c>
      <c r="C223">
        <f>INDEX('5_train_share_nl'!$1:$343,MATCH($A223,'5_train_share_nl'!$A:$A,0),MATCH(C$1,'5_train_share_nl'!$1:$1,0))</f>
        <v>1.4477000536551852E-3</v>
      </c>
      <c r="D223">
        <f>INDEX('3_has_tram_metro'!$1:$343,MATCH($A223,'3_has_tram_metro'!$A:$A,0),MATCH(D$1,'3_has_tram_metro'!$1:$1,0))</f>
        <v>0</v>
      </c>
      <c r="E223">
        <f>INDEX('1_buildings_total'!$1:$343,MATCH($A223,'1_buildings_total'!$A:$A,0),MATCH(E$1,'1_buildings_total'!$1:$1,0))</f>
        <v>3440.1655384615383</v>
      </c>
      <c r="F223">
        <f>INDEX('2_land_use'!$1:$343,MATCH($A223,'2_land_use'!$A:$A,0),MATCH(F$1,'2_land_use'!$1:$1,0))</f>
        <v>85.051550261996084</v>
      </c>
      <c r="G223">
        <f>INDEX('4_number_of_transport'!$1:$343,MATCH($A223,'4_number_of_transport'!$A:$A,0),MATCH(G$1,'4_number_of_transport'!$1:$1,0))</f>
        <v>3119</v>
      </c>
      <c r="H223">
        <f>INDEX('4_number_of_transport'!$1:$343,MATCH($A223,'4_number_of_transport'!$A:$A,0),MATCH(H$1,'4_number_of_transport'!$1:$1,0))</f>
        <v>298</v>
      </c>
      <c r="I223">
        <f>INDEX('4_number_of_transport'!$1:$343,MATCH($A223,'4_number_of_transport'!$A:$A,0),MATCH(I$1,'4_number_of_transport'!$1:$1,0))</f>
        <v>62</v>
      </c>
      <c r="J223">
        <f>INDEX('2_land_use'!$1:$343,MATCH($A223,'2_land_use'!$A:$A,0),MATCH(J$1,'2_land_use'!$1:$1,0))</f>
        <v>1.579045477605305E-3</v>
      </c>
      <c r="K223">
        <f>INDEX('2_land_use'!$1:$343,MATCH($A223,'2_land_use'!$A:$A,0),MATCH(K$1,'2_land_use'!$1:$1,0))</f>
        <v>3.813206934557019E-3</v>
      </c>
      <c r="L223">
        <f>INDEX('7_biomass'!$1:$343,MATCH($A223,'7_biomass'!$A:$A,0),MATCH(L$1,'7_biomass'!$1:$1,0))</f>
        <v>0.24370406585306253</v>
      </c>
      <c r="M223">
        <f>INDEX('7_biomass'!$1:$343,MATCH($A223,'7_biomass'!$A:$A,0),MATCH(M$1,'7_biomass'!$1:$1,0))</f>
        <v>0.19388153475887895</v>
      </c>
      <c r="N223">
        <f>INDEX('7_biomass'!$1:$343,MATCH($A223,'7_biomass'!$A:$A,0),MATCH(N$1,'7_biomass'!$1:$1,0))</f>
        <v>2.8885360009623797E-2</v>
      </c>
      <c r="O223">
        <f>INDEX('4_number_of_transport'!$1:$343,MATCH($A223,'4_number_of_transport'!$A:$A,0),MATCH(O$1,'4_number_of_transport'!$1:$1,0))</f>
        <v>27552</v>
      </c>
      <c r="P223">
        <f>INDEX('2_land_use'!$1:$343,MATCH($A223,'2_land_use'!$A:$A,0),MATCH(P$1,'2_land_use'!$1:$1,0))</f>
        <v>109.03315126384106</v>
      </c>
      <c r="Q223">
        <f>INDEX('2_land_use'!$1:$343,MATCH($A223,'2_land_use'!$A:$A,0),MATCH(Q$1,'2_land_use'!$1:$1,0))</f>
        <v>0</v>
      </c>
      <c r="R223">
        <f>INDEX('6_roof_surface'!$1:$343,MATCH($A223,'6_roof_surface'!$A:$A,0),MATCH(R$1,'6_roof_surface'!$1:$1,0))</f>
        <v>1.8351599999999999</v>
      </c>
      <c r="S223">
        <f>INDEX('6_roof_surface'!$1:$343,MATCH($A223,'6_roof_surface'!$A:$A,0),MATCH(S$1,'6_roof_surface'!$1:$1,0))</f>
        <v>2.2425139999999999</v>
      </c>
    </row>
    <row r="224" spans="1:19" x14ac:dyDescent="0.2">
      <c r="A224" t="s">
        <v>224</v>
      </c>
      <c r="B224" t="str">
        <f>INDEX(CBS_gemeenten_alfabetisch_2023!$B:$B,MATCH($A224,CBS_gemeenten_alfabetisch_2023!$A:$A,0))</f>
        <v>Papendrecht</v>
      </c>
      <c r="C224">
        <f>INDEX('5_train_share_nl'!$1:$343,MATCH($A224,'5_train_share_nl'!$A:$A,0),MATCH(C$1,'5_train_share_nl'!$1:$1,0))</f>
        <v>0</v>
      </c>
      <c r="D224">
        <f>INDEX('3_has_tram_metro'!$1:$343,MATCH($A224,'3_has_tram_metro'!$A:$A,0),MATCH(D$1,'3_has_tram_metro'!$1:$1,0))</f>
        <v>0</v>
      </c>
      <c r="E224">
        <f>INDEX('1_buildings_total'!$1:$343,MATCH($A224,'1_buildings_total'!$A:$A,0),MATCH(E$1,'1_buildings_total'!$1:$1,0))</f>
        <v>1560.4282307692308</v>
      </c>
      <c r="F224">
        <f>INDEX('2_land_use'!$1:$343,MATCH($A224,'2_land_use'!$A:$A,0),MATCH(F$1,'2_land_use'!$1:$1,0))</f>
        <v>1.3451919358840316</v>
      </c>
      <c r="G224">
        <f>INDEX('4_number_of_transport'!$1:$343,MATCH($A224,'4_number_of_transport'!$A:$A,0),MATCH(G$1,'4_number_of_transport'!$1:$1,0))</f>
        <v>1072</v>
      </c>
      <c r="H224">
        <f>INDEX('4_number_of_transport'!$1:$343,MATCH($A224,'4_number_of_transport'!$A:$A,0),MATCH(H$1,'4_number_of_transport'!$1:$1,0))</f>
        <v>141</v>
      </c>
      <c r="I224">
        <f>INDEX('4_number_of_transport'!$1:$343,MATCH($A224,'4_number_of_transport'!$A:$A,0),MATCH(I$1,'4_number_of_transport'!$1:$1,0))</f>
        <v>1</v>
      </c>
      <c r="J224">
        <f>INDEX('2_land_use'!$1:$343,MATCH($A224,'2_land_use'!$A:$A,0),MATCH(J$1,'2_land_use'!$1:$1,0))</f>
        <v>0</v>
      </c>
      <c r="K224">
        <f>INDEX('2_land_use'!$1:$343,MATCH($A224,'2_land_use'!$A:$A,0),MATCH(K$1,'2_land_use'!$1:$1,0))</f>
        <v>6.0310425881974811E-5</v>
      </c>
      <c r="L224">
        <f>INDEX('7_biomass'!$1:$343,MATCH($A224,'7_biomass'!$A:$A,0),MATCH(L$1,'7_biomass'!$1:$1,0))</f>
        <v>5.7024475295786095E-2</v>
      </c>
      <c r="M224">
        <f>INDEX('7_biomass'!$1:$343,MATCH($A224,'7_biomass'!$A:$A,0),MATCH(M$1,'7_biomass'!$1:$1,0))</f>
        <v>8.5370598916749779E-2</v>
      </c>
      <c r="N224">
        <f>INDEX('7_biomass'!$1:$343,MATCH($A224,'7_biomass'!$A:$A,0),MATCH(N$1,'7_biomass'!$1:$1,0))</f>
        <v>1.9618204040778926E-2</v>
      </c>
      <c r="O224">
        <f>INDEX('4_number_of_transport'!$1:$343,MATCH($A224,'4_number_of_transport'!$A:$A,0),MATCH(O$1,'4_number_of_transport'!$1:$1,0))</f>
        <v>15914</v>
      </c>
      <c r="P224">
        <f>INDEX('2_land_use'!$1:$343,MATCH($A224,'2_land_use'!$A:$A,0),MATCH(P$1,'2_land_use'!$1:$1,0))</f>
        <v>9.4144587294146689</v>
      </c>
      <c r="Q224">
        <f>INDEX('2_land_use'!$1:$343,MATCH($A224,'2_land_use'!$A:$A,0),MATCH(Q$1,'2_land_use'!$1:$1,0))</f>
        <v>0</v>
      </c>
      <c r="R224">
        <f>INDEX('6_roof_surface'!$1:$343,MATCH($A224,'6_roof_surface'!$A:$A,0),MATCH(R$1,'6_roof_surface'!$1:$1,0))</f>
        <v>0.74162300000000003</v>
      </c>
      <c r="S224">
        <f>INDEX('6_roof_surface'!$1:$343,MATCH($A224,'6_roof_surface'!$A:$A,0),MATCH(S$1,'6_roof_surface'!$1:$1,0))</f>
        <v>0.60779399999999995</v>
      </c>
    </row>
    <row r="225" spans="1:19" x14ac:dyDescent="0.2">
      <c r="A225" t="s">
        <v>225</v>
      </c>
      <c r="B225" t="str">
        <f>INDEX(CBS_gemeenten_alfabetisch_2023!$B:$B,MATCH($A225,CBS_gemeenten_alfabetisch_2023!$A:$A,0))</f>
        <v>Peel en Maas</v>
      </c>
      <c r="C225">
        <f>INDEX('5_train_share_nl'!$1:$343,MATCH($A225,'5_train_share_nl'!$A:$A,0),MATCH(C$1,'5_train_share_nl'!$1:$1,0))</f>
        <v>0</v>
      </c>
      <c r="D225">
        <f>INDEX('3_has_tram_metro'!$1:$343,MATCH($A225,'3_has_tram_metro'!$A:$A,0),MATCH(D$1,'3_has_tram_metro'!$1:$1,0))</f>
        <v>0</v>
      </c>
      <c r="E225">
        <f>INDEX('1_buildings_total'!$1:$343,MATCH($A225,'1_buildings_total'!$A:$A,0),MATCH(E$1,'1_buildings_total'!$1:$1,0))</f>
        <v>4450.4343076923078</v>
      </c>
      <c r="F225">
        <f>INDEX('2_land_use'!$1:$343,MATCH($A225,'2_land_use'!$A:$A,0),MATCH(F$1,'2_land_use'!$1:$1,0))</f>
        <v>112.27331713860941</v>
      </c>
      <c r="G225">
        <f>INDEX('4_number_of_transport'!$1:$343,MATCH($A225,'4_number_of_transport'!$A:$A,0),MATCH(G$1,'4_number_of_transport'!$1:$1,0))</f>
        <v>3004</v>
      </c>
      <c r="H225">
        <f>INDEX('4_number_of_transport'!$1:$343,MATCH($A225,'4_number_of_transport'!$A:$A,0),MATCH(H$1,'4_number_of_transport'!$1:$1,0))</f>
        <v>220</v>
      </c>
      <c r="I225">
        <f>INDEX('4_number_of_transport'!$1:$343,MATCH($A225,'4_number_of_transport'!$A:$A,0),MATCH(I$1,'4_number_of_transport'!$1:$1,0))</f>
        <v>44</v>
      </c>
      <c r="J225">
        <f>INDEX('2_land_use'!$1:$343,MATCH($A225,'2_land_use'!$A:$A,0),MATCH(J$1,'2_land_use'!$1:$1,0))</f>
        <v>3.0004634210870313E-2</v>
      </c>
      <c r="K225">
        <f>INDEX('2_land_use'!$1:$343,MATCH($A225,'2_land_use'!$A:$A,0),MATCH(K$1,'2_land_use'!$1:$1,0))</f>
        <v>5.0336694646936258E-3</v>
      </c>
      <c r="L225">
        <f>INDEX('7_biomass'!$1:$343,MATCH($A225,'7_biomass'!$A:$A,0),MATCH(L$1,'7_biomass'!$1:$1,0))</f>
        <v>0.37302112926651415</v>
      </c>
      <c r="M225">
        <f>INDEX('7_biomass'!$1:$343,MATCH($A225,'7_biomass'!$A:$A,0),MATCH(M$1,'7_biomass'!$1:$1,0))</f>
        <v>0.27869581842843894</v>
      </c>
      <c r="N225">
        <f>INDEX('7_biomass'!$1:$343,MATCH($A225,'7_biomass'!$A:$A,0),MATCH(N$1,'7_biomass'!$1:$1,0))</f>
        <v>2.6314154078977268E-2</v>
      </c>
      <c r="O225">
        <f>INDEX('4_number_of_transport'!$1:$343,MATCH($A225,'4_number_of_transport'!$A:$A,0),MATCH(O$1,'4_number_of_transport'!$1:$1,0))</f>
        <v>25383</v>
      </c>
      <c r="P225">
        <f>INDEX('2_land_use'!$1:$343,MATCH($A225,'2_land_use'!$A:$A,0),MATCH(P$1,'2_land_use'!$1:$1,0))</f>
        <v>159.35150731342793</v>
      </c>
      <c r="Q225">
        <f>INDEX('2_land_use'!$1:$343,MATCH($A225,'2_land_use'!$A:$A,0),MATCH(Q$1,'2_land_use'!$1:$1,0))</f>
        <v>0</v>
      </c>
      <c r="R225">
        <f>INDEX('6_roof_surface'!$1:$343,MATCH($A225,'6_roof_surface'!$A:$A,0),MATCH(R$1,'6_roof_surface'!$1:$1,0))</f>
        <v>2.1594259999999998</v>
      </c>
      <c r="S225">
        <f>INDEX('6_roof_surface'!$1:$343,MATCH($A225,'6_roof_surface'!$A:$A,0),MATCH(S$1,'6_roof_surface'!$1:$1,0))</f>
        <v>7.5433779999999997</v>
      </c>
    </row>
    <row r="226" spans="1:19" x14ac:dyDescent="0.2">
      <c r="A226" t="s">
        <v>226</v>
      </c>
      <c r="B226" t="str">
        <f>INDEX(CBS_gemeenten_alfabetisch_2023!$B:$B,MATCH($A226,CBS_gemeenten_alfabetisch_2023!$A:$A,0))</f>
        <v>Pekela</v>
      </c>
      <c r="C226">
        <f>INDEX('5_train_share_nl'!$1:$343,MATCH($A226,'5_train_share_nl'!$A:$A,0),MATCH(C$1,'5_train_share_nl'!$1:$1,0))</f>
        <v>0</v>
      </c>
      <c r="D226">
        <f>INDEX('3_has_tram_metro'!$1:$343,MATCH($A226,'3_has_tram_metro'!$A:$A,0),MATCH(D$1,'3_has_tram_metro'!$1:$1,0))</f>
        <v>0</v>
      </c>
      <c r="E226">
        <f>INDEX('1_buildings_total'!$1:$343,MATCH($A226,'1_buildings_total'!$A:$A,0),MATCH(E$1,'1_buildings_total'!$1:$1,0))</f>
        <v>656.94930769230757</v>
      </c>
      <c r="F226">
        <f>INDEX('2_land_use'!$1:$343,MATCH($A226,'2_land_use'!$A:$A,0),MATCH(F$1,'2_land_use'!$1:$1,0))</f>
        <v>40.344083434442354</v>
      </c>
      <c r="G226">
        <f>INDEX('4_number_of_transport'!$1:$343,MATCH($A226,'4_number_of_transport'!$A:$A,0),MATCH(G$1,'4_number_of_transport'!$1:$1,0))</f>
        <v>721</v>
      </c>
      <c r="H226">
        <f>INDEX('4_number_of_transport'!$1:$343,MATCH($A226,'4_number_of_transport'!$A:$A,0),MATCH(H$1,'4_number_of_transport'!$1:$1,0))</f>
        <v>45</v>
      </c>
      <c r="I226">
        <f>INDEX('4_number_of_transport'!$1:$343,MATCH($A226,'4_number_of_transport'!$A:$A,0),MATCH(I$1,'4_number_of_transport'!$1:$1,0))</f>
        <v>0</v>
      </c>
      <c r="J226">
        <f>INDEX('2_land_use'!$1:$343,MATCH($A226,'2_land_use'!$A:$A,0),MATCH(J$1,'2_land_use'!$1:$1,0))</f>
        <v>0</v>
      </c>
      <c r="K226">
        <f>INDEX('2_land_use'!$1:$343,MATCH($A226,'2_land_use'!$A:$A,0),MATCH(K$1,'2_land_use'!$1:$1,0))</f>
        <v>1.8087893547697462E-3</v>
      </c>
      <c r="L226">
        <f>INDEX('7_biomass'!$1:$343,MATCH($A226,'7_biomass'!$A:$A,0),MATCH(L$1,'7_biomass'!$1:$1,0))</f>
        <v>9.4469572641168759E-2</v>
      </c>
      <c r="M226">
        <f>INDEX('7_biomass'!$1:$343,MATCH($A226,'7_biomass'!$A:$A,0),MATCH(M$1,'7_biomass'!$1:$1,0))</f>
        <v>5.0247919783280352E-2</v>
      </c>
      <c r="N226">
        <f>INDEX('7_biomass'!$1:$343,MATCH($A226,'7_biomass'!$A:$A,0),MATCH(N$1,'7_biomass'!$1:$1,0))</f>
        <v>7.4207725039973291E-3</v>
      </c>
      <c r="O226">
        <f>INDEX('4_number_of_transport'!$1:$343,MATCH($A226,'4_number_of_transport'!$A:$A,0),MATCH(O$1,'4_number_of_transport'!$1:$1,0))</f>
        <v>7337</v>
      </c>
      <c r="P226">
        <f>INDEX('2_land_use'!$1:$343,MATCH($A226,'2_land_use'!$A:$A,0),MATCH(P$1,'2_land_use'!$1:$1,0))</f>
        <v>49.038409560194523</v>
      </c>
      <c r="Q226">
        <f>INDEX('2_land_use'!$1:$343,MATCH($A226,'2_land_use'!$A:$A,0),MATCH(Q$1,'2_land_use'!$1:$1,0))</f>
        <v>0</v>
      </c>
      <c r="R226">
        <f>INDEX('6_roof_surface'!$1:$343,MATCH($A226,'6_roof_surface'!$A:$A,0),MATCH(R$1,'6_roof_surface'!$1:$1,0))</f>
        <v>0.60964499999999999</v>
      </c>
      <c r="S226">
        <f>INDEX('6_roof_surface'!$1:$343,MATCH($A226,'6_roof_surface'!$A:$A,0),MATCH(S$1,'6_roof_surface'!$1:$1,0))</f>
        <v>0.614923</v>
      </c>
    </row>
    <row r="227" spans="1:19" x14ac:dyDescent="0.2">
      <c r="A227" t="s">
        <v>227</v>
      </c>
      <c r="B227" t="str">
        <f>INDEX(CBS_gemeenten_alfabetisch_2023!$B:$B,MATCH($A227,CBS_gemeenten_alfabetisch_2023!$A:$A,0))</f>
        <v>Pijnacker-Nootdorp</v>
      </c>
      <c r="C227">
        <f>INDEX('5_train_share_nl'!$1:$343,MATCH($A227,'5_train_share_nl'!$A:$A,0),MATCH(C$1,'5_train_share_nl'!$1:$1,0))</f>
        <v>0</v>
      </c>
      <c r="D227">
        <f>INDEX('3_has_tram_metro'!$1:$343,MATCH($A227,'3_has_tram_metro'!$A:$A,0),MATCH(D$1,'3_has_tram_metro'!$1:$1,0))</f>
        <v>1</v>
      </c>
      <c r="E227">
        <f>INDEX('1_buildings_total'!$1:$343,MATCH($A227,'1_buildings_total'!$A:$A,0),MATCH(E$1,'1_buildings_total'!$1:$1,0))</f>
        <v>3554.8623846153855</v>
      </c>
      <c r="F227">
        <f>INDEX('2_land_use'!$1:$343,MATCH($A227,'2_land_use'!$A:$A,0),MATCH(F$1,'2_land_use'!$1:$1,0))</f>
        <v>21.414706423111042</v>
      </c>
      <c r="G227">
        <f>INDEX('4_number_of_transport'!$1:$343,MATCH($A227,'4_number_of_transport'!$A:$A,0),MATCH(G$1,'4_number_of_transport'!$1:$1,0))</f>
        <v>2543</v>
      </c>
      <c r="H227">
        <f>INDEX('4_number_of_transport'!$1:$343,MATCH($A227,'4_number_of_transport'!$A:$A,0),MATCH(H$1,'4_number_of_transport'!$1:$1,0))</f>
        <v>183</v>
      </c>
      <c r="I227">
        <f>INDEX('4_number_of_transport'!$1:$343,MATCH($A227,'4_number_of_transport'!$A:$A,0),MATCH(I$1,'4_number_of_transport'!$1:$1,0))</f>
        <v>22</v>
      </c>
      <c r="J227">
        <f>INDEX('2_land_use'!$1:$343,MATCH($A227,'2_land_use'!$A:$A,0),MATCH(J$1,'2_land_use'!$1:$1,0))</f>
        <v>3.383350195385975E-2</v>
      </c>
      <c r="K227">
        <f>INDEX('2_land_use'!$1:$343,MATCH($A227,'2_land_use'!$A:$A,0),MATCH(K$1,'2_land_use'!$1:$1,0))</f>
        <v>9.6010839052980369E-4</v>
      </c>
      <c r="L227">
        <f>INDEX('7_biomass'!$1:$343,MATCH($A227,'7_biomass'!$A:$A,0),MATCH(L$1,'7_biomass'!$1:$1,0))</f>
        <v>0.12405433756464813</v>
      </c>
      <c r="M227">
        <f>INDEX('7_biomass'!$1:$343,MATCH($A227,'7_biomass'!$A:$A,0),MATCH(M$1,'7_biomass'!$1:$1,0))</f>
        <v>0.14187312002343133</v>
      </c>
      <c r="N227">
        <f>INDEX('7_biomass'!$1:$343,MATCH($A227,'7_biomass'!$A:$A,0),MATCH(N$1,'7_biomass'!$1:$1,0))</f>
        <v>3.3009496554337554E-2</v>
      </c>
      <c r="O227">
        <f>INDEX('4_number_of_transport'!$1:$343,MATCH($A227,'4_number_of_transport'!$A:$A,0),MATCH(O$1,'4_number_of_transport'!$1:$1,0))</f>
        <v>25964</v>
      </c>
      <c r="P227">
        <f>INDEX('2_land_use'!$1:$343,MATCH($A227,'2_land_use'!$A:$A,0),MATCH(P$1,'2_land_use'!$1:$1,0))</f>
        <v>36.873674565120417</v>
      </c>
      <c r="Q227">
        <f>INDEX('2_land_use'!$1:$343,MATCH($A227,'2_land_use'!$A:$A,0),MATCH(Q$1,'2_land_use'!$1:$1,0))</f>
        <v>0</v>
      </c>
      <c r="R227">
        <f>INDEX('6_roof_surface'!$1:$343,MATCH($A227,'6_roof_surface'!$A:$A,0),MATCH(R$1,'6_roof_surface'!$1:$1,0))</f>
        <v>1.560802</v>
      </c>
      <c r="S227">
        <f>INDEX('6_roof_surface'!$1:$343,MATCH($A227,'6_roof_surface'!$A:$A,0),MATCH(S$1,'6_roof_surface'!$1:$1,0))</f>
        <v>4.770791</v>
      </c>
    </row>
    <row r="228" spans="1:19" x14ac:dyDescent="0.2">
      <c r="A228" t="s">
        <v>228</v>
      </c>
      <c r="B228" t="str">
        <f>INDEX(CBS_gemeenten_alfabetisch_2023!$B:$B,MATCH($A228,CBS_gemeenten_alfabetisch_2023!$A:$A,0))</f>
        <v>Purmerend</v>
      </c>
      <c r="C228">
        <f>INDEX('5_train_share_nl'!$1:$343,MATCH($A228,'5_train_share_nl'!$A:$A,0),MATCH(C$1,'5_train_share_nl'!$1:$1,0))</f>
        <v>2.0190980781148223E-3</v>
      </c>
      <c r="D228">
        <f>INDEX('3_has_tram_metro'!$1:$343,MATCH($A228,'3_has_tram_metro'!$A:$A,0),MATCH(D$1,'3_has_tram_metro'!$1:$1,0))</f>
        <v>0</v>
      </c>
      <c r="E228">
        <f>INDEX('1_buildings_total'!$1:$343,MATCH($A228,'1_buildings_total'!$A:$A,0),MATCH(E$1,'1_buildings_total'!$1:$1,0))</f>
        <v>4640.5063076923079</v>
      </c>
      <c r="F228">
        <f>INDEX('2_land_use'!$1:$343,MATCH($A228,'2_land_use'!$A:$A,0),MATCH(F$1,'2_land_use'!$1:$1,0))</f>
        <v>67.250476313111733</v>
      </c>
      <c r="G228">
        <f>INDEX('4_number_of_transport'!$1:$343,MATCH($A228,'4_number_of_transport'!$A:$A,0),MATCH(G$1,'4_number_of_transport'!$1:$1,0))</f>
        <v>4516</v>
      </c>
      <c r="H228">
        <f>INDEX('4_number_of_transport'!$1:$343,MATCH($A228,'4_number_of_transport'!$A:$A,0),MATCH(H$1,'4_number_of_transport'!$1:$1,0))</f>
        <v>199</v>
      </c>
      <c r="I228">
        <f>INDEX('4_number_of_transport'!$1:$343,MATCH($A228,'4_number_of_transport'!$A:$A,0),MATCH(I$1,'4_number_of_transport'!$1:$1,0))</f>
        <v>357</v>
      </c>
      <c r="J228">
        <f>INDEX('2_land_use'!$1:$343,MATCH($A228,'2_land_use'!$A:$A,0),MATCH(J$1,'2_land_use'!$1:$1,0))</f>
        <v>1.1604631000694708E-3</v>
      </c>
      <c r="K228">
        <f>INDEX('2_land_use'!$1:$343,MATCH($A228,'2_land_use'!$A:$A,0),MATCH(K$1,'2_land_use'!$1:$1,0))</f>
        <v>3.0151123858350912E-3</v>
      </c>
      <c r="L228">
        <f>INDEX('7_biomass'!$1:$343,MATCH($A228,'7_biomass'!$A:$A,0),MATCH(L$1,'7_biomass'!$1:$1,0))</f>
        <v>0.1474525576264884</v>
      </c>
      <c r="M228">
        <f>INDEX('7_biomass'!$1:$343,MATCH($A228,'7_biomass'!$A:$A,0),MATCH(M$1,'7_biomass'!$1:$1,0))</f>
        <v>0.20834136837829481</v>
      </c>
      <c r="N228">
        <f>INDEX('7_biomass'!$1:$343,MATCH($A228,'7_biomass'!$A:$A,0),MATCH(N$1,'7_biomass'!$1:$1,0))</f>
        <v>4.867611189641019E-2</v>
      </c>
      <c r="O228">
        <f>INDEX('4_number_of_transport'!$1:$343,MATCH($A228,'4_number_of_transport'!$A:$A,0),MATCH(O$1,'4_number_of_transport'!$1:$1,0))</f>
        <v>45153</v>
      </c>
      <c r="P228">
        <f>INDEX('2_land_use'!$1:$343,MATCH($A228,'2_land_use'!$A:$A,0),MATCH(P$1,'2_land_use'!$1:$1,0))</f>
        <v>93.607461975491987</v>
      </c>
      <c r="Q228">
        <f>INDEX('2_land_use'!$1:$343,MATCH($A228,'2_land_use'!$A:$A,0),MATCH(Q$1,'2_land_use'!$1:$1,0))</f>
        <v>0</v>
      </c>
      <c r="R228">
        <f>INDEX('6_roof_surface'!$1:$343,MATCH($A228,'6_roof_surface'!$A:$A,0),MATCH(R$1,'6_roof_surface'!$1:$1,0))</f>
        <v>1.8863909999999999</v>
      </c>
      <c r="S228">
        <f>INDEX('6_roof_surface'!$1:$343,MATCH($A228,'6_roof_surface'!$A:$A,0),MATCH(S$1,'6_roof_surface'!$1:$1,0))</f>
        <v>1.0811040000000001</v>
      </c>
    </row>
    <row r="229" spans="1:19" x14ac:dyDescent="0.2">
      <c r="A229" t="s">
        <v>229</v>
      </c>
      <c r="B229" t="str">
        <f>INDEX(CBS_gemeenten_alfabetisch_2023!$B:$B,MATCH($A229,CBS_gemeenten_alfabetisch_2023!$A:$A,0))</f>
        <v>Putten</v>
      </c>
      <c r="C229">
        <f>INDEX('5_train_share_nl'!$1:$343,MATCH($A229,'5_train_share_nl'!$A:$A,0),MATCH(C$1,'5_train_share_nl'!$1:$1,0))</f>
        <v>6.3950645149155473E-4</v>
      </c>
      <c r="D229">
        <f>INDEX('3_has_tram_metro'!$1:$343,MATCH($A229,'3_has_tram_metro'!$A:$A,0),MATCH(D$1,'3_has_tram_metro'!$1:$1,0))</f>
        <v>0</v>
      </c>
      <c r="E229">
        <f>INDEX('1_buildings_total'!$1:$343,MATCH($A229,'1_buildings_total'!$A:$A,0),MATCH(E$1,'1_buildings_total'!$1:$1,0))</f>
        <v>2299.324461538461</v>
      </c>
      <c r="F229">
        <f>INDEX('2_land_use'!$1:$343,MATCH($A229,'2_land_use'!$A:$A,0),MATCH(F$1,'2_land_use'!$1:$1,0))</f>
        <v>46.917532334335192</v>
      </c>
      <c r="G229">
        <f>INDEX('4_number_of_transport'!$1:$343,MATCH($A229,'4_number_of_transport'!$A:$A,0),MATCH(G$1,'4_number_of_transport'!$1:$1,0))</f>
        <v>2180</v>
      </c>
      <c r="H229">
        <f>INDEX('4_number_of_transport'!$1:$343,MATCH($A229,'4_number_of_transport'!$A:$A,0),MATCH(H$1,'4_number_of_transport'!$1:$1,0))</f>
        <v>164</v>
      </c>
      <c r="I229">
        <f>INDEX('4_number_of_transport'!$1:$343,MATCH($A229,'4_number_of_transport'!$A:$A,0),MATCH(I$1,'4_number_of_transport'!$1:$1,0))</f>
        <v>2</v>
      </c>
      <c r="J229">
        <f>INDEX('2_land_use'!$1:$343,MATCH($A229,'2_land_use'!$A:$A,0),MATCH(J$1,'2_land_use'!$1:$1,0))</f>
        <v>0</v>
      </c>
      <c r="K229">
        <f>INDEX('2_land_use'!$1:$343,MATCH($A229,'2_land_use'!$A:$A,0),MATCH(K$1,'2_land_use'!$1:$1,0))</f>
        <v>2.1035038056153046E-3</v>
      </c>
      <c r="L229">
        <f>INDEX('7_biomass'!$1:$343,MATCH($A229,'7_biomass'!$A:$A,0),MATCH(L$1,'7_biomass'!$1:$1,0))</f>
        <v>0.15794513433230176</v>
      </c>
      <c r="M229">
        <f>INDEX('7_biomass'!$1:$343,MATCH($A229,'7_biomass'!$A:$A,0),MATCH(M$1,'7_biomass'!$1:$1,0))</f>
        <v>0.15395402773450753</v>
      </c>
      <c r="N229">
        <f>INDEX('7_biomass'!$1:$343,MATCH($A229,'7_biomass'!$A:$A,0),MATCH(N$1,'7_biomass'!$1:$1,0))</f>
        <v>1.4701805555242132E-2</v>
      </c>
      <c r="O229">
        <f>INDEX('4_number_of_transport'!$1:$343,MATCH($A229,'4_number_of_transport'!$A:$A,0),MATCH(O$1,'4_number_of_transport'!$1:$1,0))</f>
        <v>12904</v>
      </c>
      <c r="P229">
        <f>INDEX('2_land_use'!$1:$343,MATCH($A229,'2_land_use'!$A:$A,0),MATCH(P$1,'2_land_use'!$1:$1,0))</f>
        <v>85.213350190751427</v>
      </c>
      <c r="Q229">
        <f>INDEX('2_land_use'!$1:$343,MATCH($A229,'2_land_use'!$A:$A,0),MATCH(Q$1,'2_land_use'!$1:$1,0))</f>
        <v>0</v>
      </c>
      <c r="R229">
        <f>INDEX('6_roof_surface'!$1:$343,MATCH($A229,'6_roof_surface'!$A:$A,0),MATCH(R$1,'6_roof_surface'!$1:$1,0))</f>
        <v>0.919937</v>
      </c>
      <c r="S229">
        <f>INDEX('6_roof_surface'!$1:$343,MATCH($A229,'6_roof_surface'!$A:$A,0),MATCH(S$1,'6_roof_surface'!$1:$1,0))</f>
        <v>1.409268</v>
      </c>
    </row>
    <row r="230" spans="1:19" x14ac:dyDescent="0.2">
      <c r="A230" t="s">
        <v>230</v>
      </c>
      <c r="B230" t="str">
        <f>INDEX(CBS_gemeenten_alfabetisch_2023!$B:$B,MATCH($A230,CBS_gemeenten_alfabetisch_2023!$A:$A,0))</f>
        <v>Raalte</v>
      </c>
      <c r="C230">
        <f>INDEX('5_train_share_nl'!$1:$343,MATCH($A230,'5_train_share_nl'!$A:$A,0),MATCH(C$1,'5_train_share_nl'!$1:$1,0))</f>
        <v>3.4034414554612465E-3</v>
      </c>
      <c r="D230">
        <f>INDEX('3_has_tram_metro'!$1:$343,MATCH($A230,'3_has_tram_metro'!$A:$A,0),MATCH(D$1,'3_has_tram_metro'!$1:$1,0))</f>
        <v>0</v>
      </c>
      <c r="E230">
        <f>INDEX('1_buildings_total'!$1:$343,MATCH($A230,'1_buildings_total'!$A:$A,0),MATCH(E$1,'1_buildings_total'!$1:$1,0))</f>
        <v>3143.4183846153851</v>
      </c>
      <c r="F230">
        <f>INDEX('2_land_use'!$1:$343,MATCH($A230,'2_land_use'!$A:$A,0),MATCH(F$1,'2_land_use'!$1:$1,0))</f>
        <v>139.51551140098155</v>
      </c>
      <c r="G230">
        <f>INDEX('4_number_of_transport'!$1:$343,MATCH($A230,'4_number_of_transport'!$A:$A,0),MATCH(G$1,'4_number_of_transport'!$1:$1,0))</f>
        <v>2566</v>
      </c>
      <c r="H230">
        <f>INDEX('4_number_of_transport'!$1:$343,MATCH($A230,'4_number_of_transport'!$A:$A,0),MATCH(H$1,'4_number_of_transport'!$1:$1,0))</f>
        <v>184</v>
      </c>
      <c r="I230">
        <f>INDEX('4_number_of_transport'!$1:$343,MATCH($A230,'4_number_of_transport'!$A:$A,0),MATCH(I$1,'4_number_of_transport'!$1:$1,0))</f>
        <v>56</v>
      </c>
      <c r="J230">
        <f>INDEX('2_land_use'!$1:$343,MATCH($A230,'2_land_use'!$A:$A,0),MATCH(J$1,'2_land_use'!$1:$1,0))</f>
        <v>2.2116431812832583E-4</v>
      </c>
      <c r="K230">
        <f>INDEX('2_land_use'!$1:$343,MATCH($A230,'2_land_use'!$A:$A,0),MATCH(K$1,'2_land_use'!$1:$1,0))</f>
        <v>6.255047837619581E-3</v>
      </c>
      <c r="L230">
        <f>INDEX('7_biomass'!$1:$343,MATCH($A230,'7_biomass'!$A:$A,0),MATCH(L$1,'7_biomass'!$1:$1,0))</f>
        <v>0.46794744143921124</v>
      </c>
      <c r="M230">
        <f>INDEX('7_biomass'!$1:$343,MATCH($A230,'7_biomass'!$A:$A,0),MATCH(M$1,'7_biomass'!$1:$1,0))</f>
        <v>0.2157314292898688</v>
      </c>
      <c r="N230">
        <f>INDEX('7_biomass'!$1:$343,MATCH($A230,'7_biomass'!$A:$A,0),MATCH(N$1,'7_biomass'!$1:$1,0))</f>
        <v>2.2790289618261326E-2</v>
      </c>
      <c r="O230">
        <f>INDEX('4_number_of_transport'!$1:$343,MATCH($A230,'4_number_of_transport'!$A:$A,0),MATCH(O$1,'4_number_of_transport'!$1:$1,0))</f>
        <v>21267</v>
      </c>
      <c r="P230">
        <f>INDEX('2_land_use'!$1:$343,MATCH($A230,'2_land_use'!$A:$A,0),MATCH(P$1,'2_land_use'!$1:$1,0))</f>
        <v>170.97205575674539</v>
      </c>
      <c r="Q230">
        <f>INDEX('2_land_use'!$1:$343,MATCH($A230,'2_land_use'!$A:$A,0),MATCH(Q$1,'2_land_use'!$1:$1,0))</f>
        <v>0</v>
      </c>
      <c r="R230">
        <f>INDEX('6_roof_surface'!$1:$343,MATCH($A230,'6_roof_surface'!$A:$A,0),MATCH(R$1,'6_roof_surface'!$1:$1,0))</f>
        <v>1.6192569999999999</v>
      </c>
      <c r="S230">
        <f>INDEX('6_roof_surface'!$1:$343,MATCH($A230,'6_roof_surface'!$A:$A,0),MATCH(S$1,'6_roof_surface'!$1:$1,0))</f>
        <v>2.4584250000000001</v>
      </c>
    </row>
    <row r="231" spans="1:19" x14ac:dyDescent="0.2">
      <c r="A231" t="s">
        <v>231</v>
      </c>
      <c r="B231" t="str">
        <f>INDEX(CBS_gemeenten_alfabetisch_2023!$B:$B,MATCH($A231,CBS_gemeenten_alfabetisch_2023!$A:$A,0))</f>
        <v>Reimerswaal</v>
      </c>
      <c r="C231">
        <f>INDEX('5_train_share_nl'!$1:$343,MATCH($A231,'5_train_share_nl'!$A:$A,0),MATCH(C$1,'5_train_share_nl'!$1:$1,0))</f>
        <v>6.8939983408470402E-4</v>
      </c>
      <c r="D231">
        <f>INDEX('3_has_tram_metro'!$1:$343,MATCH($A231,'3_has_tram_metro'!$A:$A,0),MATCH(D$1,'3_has_tram_metro'!$1:$1,0))</f>
        <v>0</v>
      </c>
      <c r="E231">
        <f>INDEX('1_buildings_total'!$1:$343,MATCH($A231,'1_buildings_total'!$A:$A,0),MATCH(E$1,'1_buildings_total'!$1:$1,0))</f>
        <v>1221.0574615384614</v>
      </c>
      <c r="F231">
        <f>INDEX('2_land_use'!$1:$343,MATCH($A231,'2_land_use'!$A:$A,0),MATCH(F$1,'2_land_use'!$1:$1,0))</f>
        <v>74.838578036741524</v>
      </c>
      <c r="G231">
        <f>INDEX('4_number_of_transport'!$1:$343,MATCH($A231,'4_number_of_transport'!$A:$A,0),MATCH(G$1,'4_number_of_transport'!$1:$1,0))</f>
        <v>2120</v>
      </c>
      <c r="H231">
        <f>INDEX('4_number_of_transport'!$1:$343,MATCH($A231,'4_number_of_transport'!$A:$A,0),MATCH(H$1,'4_number_of_transport'!$1:$1,0))</f>
        <v>98</v>
      </c>
      <c r="I231">
        <f>INDEX('4_number_of_transport'!$1:$343,MATCH($A231,'4_number_of_transport'!$A:$A,0),MATCH(I$1,'4_number_of_transport'!$1:$1,0))</f>
        <v>0</v>
      </c>
      <c r="J231">
        <f>INDEX('2_land_use'!$1:$343,MATCH($A231,'2_land_use'!$A:$A,0),MATCH(J$1,'2_land_use'!$1:$1,0))</f>
        <v>8.2089439811770387E-3</v>
      </c>
      <c r="K231">
        <f>INDEX('2_land_use'!$1:$343,MATCH($A231,'2_land_use'!$A:$A,0),MATCH(K$1,'2_land_use'!$1:$1,0))</f>
        <v>3.3553178497394728E-3</v>
      </c>
      <c r="L231">
        <f>INDEX('7_biomass'!$1:$343,MATCH($A231,'7_biomass'!$A:$A,0),MATCH(L$1,'7_biomass'!$1:$1,0))</f>
        <v>0.39543224566493418</v>
      </c>
      <c r="M231">
        <f>INDEX('7_biomass'!$1:$343,MATCH($A231,'7_biomass'!$A:$A,0),MATCH(M$1,'7_biomass'!$1:$1,0))</f>
        <v>0.11035921090554981</v>
      </c>
      <c r="N231">
        <f>INDEX('7_biomass'!$1:$343,MATCH($A231,'7_biomass'!$A:$A,0),MATCH(N$1,'7_biomass'!$1:$1,0))</f>
        <v>1.3778310041399332E-2</v>
      </c>
      <c r="O231">
        <f>INDEX('4_number_of_transport'!$1:$343,MATCH($A231,'4_number_of_transport'!$A:$A,0),MATCH(O$1,'4_number_of_transport'!$1:$1,0))</f>
        <v>11870</v>
      </c>
      <c r="P231">
        <f>INDEX('2_land_use'!$1:$343,MATCH($A231,'2_land_use'!$A:$A,0),MATCH(P$1,'2_land_use'!$1:$1,0))</f>
        <v>101.76005235897857</v>
      </c>
      <c r="Q231">
        <f>INDEX('2_land_use'!$1:$343,MATCH($A231,'2_land_use'!$A:$A,0),MATCH(Q$1,'2_land_use'!$1:$1,0))</f>
        <v>129.52333747125442</v>
      </c>
      <c r="R231">
        <f>INDEX('6_roof_surface'!$1:$343,MATCH($A231,'6_roof_surface'!$A:$A,0),MATCH(R$1,'6_roof_surface'!$1:$1,0))</f>
        <v>0.78179100000000001</v>
      </c>
      <c r="S231">
        <f>INDEX('6_roof_surface'!$1:$343,MATCH($A231,'6_roof_surface'!$A:$A,0),MATCH(S$1,'6_roof_surface'!$1:$1,0))</f>
        <v>2.1500219999999999</v>
      </c>
    </row>
    <row r="232" spans="1:19" x14ac:dyDescent="0.2">
      <c r="A232" t="s">
        <v>232</v>
      </c>
      <c r="B232" t="str">
        <f>INDEX(CBS_gemeenten_alfabetisch_2023!$B:$B,MATCH($A232,CBS_gemeenten_alfabetisch_2023!$A:$A,0))</f>
        <v>Renkum</v>
      </c>
      <c r="C232">
        <f>INDEX('5_train_share_nl'!$1:$343,MATCH($A232,'5_train_share_nl'!$A:$A,0),MATCH(C$1,'5_train_share_nl'!$1:$1,0))</f>
        <v>4.3478519116887124E-4</v>
      </c>
      <c r="D232">
        <f>INDEX('3_has_tram_metro'!$1:$343,MATCH($A232,'3_has_tram_metro'!$A:$A,0),MATCH(D$1,'3_has_tram_metro'!$1:$1,0))</f>
        <v>0</v>
      </c>
      <c r="E232">
        <f>INDEX('1_buildings_total'!$1:$343,MATCH($A232,'1_buildings_total'!$A:$A,0),MATCH(E$1,'1_buildings_total'!$1:$1,0))</f>
        <v>1797.2970769230769</v>
      </c>
      <c r="F232">
        <f>INDEX('2_land_use'!$1:$343,MATCH($A232,'2_land_use'!$A:$A,0),MATCH(F$1,'2_land_use'!$1:$1,0))</f>
        <v>15.303768768759674</v>
      </c>
      <c r="G232">
        <f>INDEX('4_number_of_transport'!$1:$343,MATCH($A232,'4_number_of_transport'!$A:$A,0),MATCH(G$1,'4_number_of_transport'!$1:$1,0))</f>
        <v>1156</v>
      </c>
      <c r="H232">
        <f>INDEX('4_number_of_transport'!$1:$343,MATCH($A232,'4_number_of_transport'!$A:$A,0),MATCH(H$1,'4_number_of_transport'!$1:$1,0))</f>
        <v>49</v>
      </c>
      <c r="I232">
        <f>INDEX('4_number_of_transport'!$1:$343,MATCH($A232,'4_number_of_transport'!$A:$A,0),MATCH(I$1,'4_number_of_transport'!$1:$1,0))</f>
        <v>0</v>
      </c>
      <c r="J232">
        <f>INDEX('2_land_use'!$1:$343,MATCH($A232,'2_land_use'!$A:$A,0),MATCH(J$1,'2_land_use'!$1:$1,0))</f>
        <v>0</v>
      </c>
      <c r="K232">
        <f>INDEX('2_land_use'!$1:$343,MATCH($A232,'2_land_use'!$A:$A,0),MATCH(K$1,'2_land_use'!$1:$1,0))</f>
        <v>6.8613020002725525E-4</v>
      </c>
      <c r="L232">
        <f>INDEX('7_biomass'!$1:$343,MATCH($A232,'7_biomass'!$A:$A,0),MATCH(L$1,'7_biomass'!$1:$1,0))</f>
        <v>8.0297641275134612E-2</v>
      </c>
      <c r="M232">
        <f>INDEX('7_biomass'!$1:$343,MATCH($A232,'7_biomass'!$A:$A,0),MATCH(M$1,'7_biomass'!$1:$1,0))</f>
        <v>9.8902071012509474E-2</v>
      </c>
      <c r="N232">
        <f>INDEX('7_biomass'!$1:$343,MATCH($A232,'7_biomass'!$A:$A,0),MATCH(N$1,'7_biomass'!$1:$1,0))</f>
        <v>1.9017931956781104E-2</v>
      </c>
      <c r="O232">
        <f>INDEX('4_number_of_transport'!$1:$343,MATCH($A232,'4_number_of_transport'!$A:$A,0),MATCH(O$1,'4_number_of_transport'!$1:$1,0))</f>
        <v>16972</v>
      </c>
      <c r="P232">
        <f>INDEX('2_land_use'!$1:$343,MATCH($A232,'2_land_use'!$A:$A,0),MATCH(P$1,'2_land_use'!$1:$1,0))</f>
        <v>45.95756518330171</v>
      </c>
      <c r="Q232">
        <f>INDEX('2_land_use'!$1:$343,MATCH($A232,'2_land_use'!$A:$A,0),MATCH(Q$1,'2_land_use'!$1:$1,0))</f>
        <v>0</v>
      </c>
      <c r="R232">
        <f>INDEX('6_roof_surface'!$1:$343,MATCH($A232,'6_roof_surface'!$A:$A,0),MATCH(R$1,'6_roof_surface'!$1:$1,0))</f>
        <v>1.08338</v>
      </c>
      <c r="S232">
        <f>INDEX('6_roof_surface'!$1:$343,MATCH($A232,'6_roof_surface'!$A:$A,0),MATCH(S$1,'6_roof_surface'!$1:$1,0))</f>
        <v>0.62957099999999999</v>
      </c>
    </row>
    <row r="233" spans="1:19" x14ac:dyDescent="0.2">
      <c r="A233" t="s">
        <v>233</v>
      </c>
      <c r="B233" t="str">
        <f>INDEX(CBS_gemeenten_alfabetisch_2023!$B:$B,MATCH($A233,CBS_gemeenten_alfabetisch_2023!$A:$A,0))</f>
        <v>Renswoude</v>
      </c>
      <c r="C233">
        <f>INDEX('5_train_share_nl'!$1:$343,MATCH($A233,'5_train_share_nl'!$A:$A,0),MATCH(C$1,'5_train_share_nl'!$1:$1,0))</f>
        <v>0</v>
      </c>
      <c r="D233">
        <f>INDEX('3_has_tram_metro'!$1:$343,MATCH($A233,'3_has_tram_metro'!$A:$A,0),MATCH(D$1,'3_has_tram_metro'!$1:$1,0))</f>
        <v>0</v>
      </c>
      <c r="E233">
        <f>INDEX('1_buildings_total'!$1:$343,MATCH($A233,'1_buildings_total'!$A:$A,0),MATCH(E$1,'1_buildings_total'!$1:$1,0))</f>
        <v>412.10869230769237</v>
      </c>
      <c r="F233">
        <f>INDEX('2_land_use'!$1:$343,MATCH($A233,'2_land_use'!$A:$A,0),MATCH(F$1,'2_land_use'!$1:$1,0))</f>
        <v>14.977226747028578</v>
      </c>
      <c r="G233">
        <f>INDEX('4_number_of_transport'!$1:$343,MATCH($A233,'4_number_of_transport'!$A:$A,0),MATCH(G$1,'4_number_of_transport'!$1:$1,0))</f>
        <v>721</v>
      </c>
      <c r="H233">
        <f>INDEX('4_number_of_transport'!$1:$343,MATCH($A233,'4_number_of_transport'!$A:$A,0),MATCH(H$1,'4_number_of_transport'!$1:$1,0))</f>
        <v>50</v>
      </c>
      <c r="I233">
        <f>INDEX('4_number_of_transport'!$1:$343,MATCH($A233,'4_number_of_transport'!$A:$A,0),MATCH(I$1,'4_number_of_transport'!$1:$1,0))</f>
        <v>0</v>
      </c>
      <c r="J233">
        <f>INDEX('2_land_use'!$1:$343,MATCH($A233,'2_land_use'!$A:$A,0),MATCH(J$1,'2_land_use'!$1:$1,0))</f>
        <v>0</v>
      </c>
      <c r="K233">
        <f>INDEX('2_land_use'!$1:$343,MATCH($A233,'2_land_use'!$A:$A,0),MATCH(K$1,'2_land_use'!$1:$1,0))</f>
        <v>6.7148999302510642E-4</v>
      </c>
      <c r="L233">
        <f>INDEX('7_biomass'!$1:$343,MATCH($A233,'7_biomass'!$A:$A,0),MATCH(L$1,'7_biomass'!$1:$1,0))</f>
        <v>5.4023222565341041E-2</v>
      </c>
      <c r="M233">
        <f>INDEX('7_biomass'!$1:$343,MATCH($A233,'7_biomass'!$A:$A,0),MATCH(M$1,'7_biomass'!$1:$1,0))</f>
        <v>7.2506991254192021E-2</v>
      </c>
      <c r="N233">
        <f>INDEX('7_biomass'!$1:$343,MATCH($A233,'7_biomass'!$A:$A,0),MATCH(N$1,'7_biomass'!$1:$1,0))</f>
        <v>3.1951729653284717E-3</v>
      </c>
      <c r="O233">
        <f>INDEX('4_number_of_transport'!$1:$343,MATCH($A233,'4_number_of_transport'!$A:$A,0),MATCH(O$1,'4_number_of_transport'!$1:$1,0))</f>
        <v>3158</v>
      </c>
      <c r="P233">
        <f>INDEX('2_land_use'!$1:$343,MATCH($A233,'2_land_use'!$A:$A,0),MATCH(P$1,'2_land_use'!$1:$1,0))</f>
        <v>18.388676730749498</v>
      </c>
      <c r="Q233">
        <f>INDEX('2_land_use'!$1:$343,MATCH($A233,'2_land_use'!$A:$A,0),MATCH(Q$1,'2_land_use'!$1:$1,0))</f>
        <v>0</v>
      </c>
      <c r="R233">
        <f>INDEX('6_roof_surface'!$1:$343,MATCH($A233,'6_roof_surface'!$A:$A,0),MATCH(R$1,'6_roof_surface'!$1:$1,0))</f>
        <v>0.22173100000000001</v>
      </c>
      <c r="S233">
        <f>INDEX('6_roof_surface'!$1:$343,MATCH($A233,'6_roof_surface'!$A:$A,0),MATCH(S$1,'6_roof_surface'!$1:$1,0))</f>
        <v>0.42998199999999998</v>
      </c>
    </row>
    <row r="234" spans="1:19" x14ac:dyDescent="0.2">
      <c r="A234" t="s">
        <v>234</v>
      </c>
      <c r="B234" t="str">
        <f>INDEX(CBS_gemeenten_alfabetisch_2023!$B:$B,MATCH($A234,CBS_gemeenten_alfabetisch_2023!$A:$A,0))</f>
        <v>Reusel-De Mierden</v>
      </c>
      <c r="C234">
        <f>INDEX('5_train_share_nl'!$1:$343,MATCH($A234,'5_train_share_nl'!$A:$A,0),MATCH(C$1,'5_train_share_nl'!$1:$1,0))</f>
        <v>0</v>
      </c>
      <c r="D234">
        <f>INDEX('3_has_tram_metro'!$1:$343,MATCH($A234,'3_has_tram_metro'!$A:$A,0),MATCH(D$1,'3_has_tram_metro'!$1:$1,0))</f>
        <v>0</v>
      </c>
      <c r="E234">
        <f>INDEX('1_buildings_total'!$1:$343,MATCH($A234,'1_buildings_total'!$A:$A,0),MATCH(E$1,'1_buildings_total'!$1:$1,0))</f>
        <v>1169.3678461538459</v>
      </c>
      <c r="F234">
        <f>INDEX('2_land_use'!$1:$343,MATCH($A234,'2_land_use'!$A:$A,0),MATCH(F$1,'2_land_use'!$1:$1,0))</f>
        <v>48.252667209077792</v>
      </c>
      <c r="G234">
        <f>INDEX('4_number_of_transport'!$1:$343,MATCH($A234,'4_number_of_transport'!$A:$A,0),MATCH(G$1,'4_number_of_transport'!$1:$1,0))</f>
        <v>1237</v>
      </c>
      <c r="H234">
        <f>INDEX('4_number_of_transport'!$1:$343,MATCH($A234,'4_number_of_transport'!$A:$A,0),MATCH(H$1,'4_number_of_transport'!$1:$1,0))</f>
        <v>62</v>
      </c>
      <c r="I234">
        <f>INDEX('4_number_of_transport'!$1:$343,MATCH($A234,'4_number_of_transport'!$A:$A,0),MATCH(I$1,'4_number_of_transport'!$1:$1,0))</f>
        <v>1</v>
      </c>
      <c r="J234">
        <f>INDEX('2_land_use'!$1:$343,MATCH($A234,'2_land_use'!$A:$A,0),MATCH(J$1,'2_land_use'!$1:$1,0))</f>
        <v>2.0292956419772591E-4</v>
      </c>
      <c r="K234">
        <f>INDEX('2_land_use'!$1:$343,MATCH($A234,'2_land_use'!$A:$A,0),MATCH(K$1,'2_land_use'!$1:$1,0))</f>
        <v>2.1633633325404979E-3</v>
      </c>
      <c r="L234">
        <f>INDEX('7_biomass'!$1:$343,MATCH($A234,'7_biomass'!$A:$A,0),MATCH(L$1,'7_biomass'!$1:$1,0))</f>
        <v>0.35805281767536479</v>
      </c>
      <c r="M234">
        <f>INDEX('7_biomass'!$1:$343,MATCH($A234,'7_biomass'!$A:$A,0),MATCH(M$1,'7_biomass'!$1:$1,0))</f>
        <v>0.10306990895460755</v>
      </c>
      <c r="N234">
        <f>INDEX('7_biomass'!$1:$343,MATCH($A234,'7_biomass'!$A:$A,0),MATCH(N$1,'7_biomass'!$1:$1,0))</f>
        <v>7.9347706649914133E-3</v>
      </c>
      <c r="O234">
        <f>INDEX('4_number_of_transport'!$1:$343,MATCH($A234,'4_number_of_transport'!$A:$A,0),MATCH(O$1,'4_number_of_transport'!$1:$1,0))</f>
        <v>7685</v>
      </c>
      <c r="P234">
        <f>INDEX('2_land_use'!$1:$343,MATCH($A234,'2_land_use'!$A:$A,0),MATCH(P$1,'2_land_use'!$1:$1,0))</f>
        <v>77.811141929752239</v>
      </c>
      <c r="Q234">
        <f>INDEX('2_land_use'!$1:$343,MATCH($A234,'2_land_use'!$A:$A,0),MATCH(Q$1,'2_land_use'!$1:$1,0))</f>
        <v>0</v>
      </c>
      <c r="R234">
        <f>INDEX('6_roof_surface'!$1:$343,MATCH($A234,'6_roof_surface'!$A:$A,0),MATCH(R$1,'6_roof_surface'!$1:$1,0))</f>
        <v>0.652007</v>
      </c>
      <c r="S234">
        <f>INDEX('6_roof_surface'!$1:$343,MATCH($A234,'6_roof_surface'!$A:$A,0),MATCH(S$1,'6_roof_surface'!$1:$1,0))</f>
        <v>1.282816</v>
      </c>
    </row>
    <row r="235" spans="1:19" x14ac:dyDescent="0.2">
      <c r="A235" t="s">
        <v>235</v>
      </c>
      <c r="B235" t="str">
        <f>INDEX(CBS_gemeenten_alfabetisch_2023!$B:$B,MATCH($A235,CBS_gemeenten_alfabetisch_2023!$A:$A,0))</f>
        <v>Rheden</v>
      </c>
      <c r="C235">
        <f>INDEX('5_train_share_nl'!$1:$343,MATCH($A235,'5_train_share_nl'!$A:$A,0),MATCH(C$1,'5_train_share_nl'!$1:$1,0))</f>
        <v>2.2281751099337329E-3</v>
      </c>
      <c r="D235">
        <f>INDEX('3_has_tram_metro'!$1:$343,MATCH($A235,'3_has_tram_metro'!$A:$A,0),MATCH(D$1,'3_has_tram_metro'!$1:$1,0))</f>
        <v>0</v>
      </c>
      <c r="E235">
        <f>INDEX('1_buildings_total'!$1:$343,MATCH($A235,'1_buildings_total'!$A:$A,0),MATCH(E$1,'1_buildings_total'!$1:$1,0))</f>
        <v>2691.1117692307689</v>
      </c>
      <c r="F235">
        <f>INDEX('2_land_use'!$1:$343,MATCH($A235,'2_land_use'!$A:$A,0),MATCH(F$1,'2_land_use'!$1:$1,0))</f>
        <v>24.772888473378636</v>
      </c>
      <c r="G235">
        <f>INDEX('4_number_of_transport'!$1:$343,MATCH($A235,'4_number_of_transport'!$A:$A,0),MATCH(G$1,'4_number_of_transport'!$1:$1,0))</f>
        <v>1711</v>
      </c>
      <c r="H235">
        <f>INDEX('4_number_of_transport'!$1:$343,MATCH($A235,'4_number_of_transport'!$A:$A,0),MATCH(H$1,'4_number_of_transport'!$1:$1,0))</f>
        <v>56</v>
      </c>
      <c r="I235">
        <f>INDEX('4_number_of_transport'!$1:$343,MATCH($A235,'4_number_of_transport'!$A:$A,0),MATCH(I$1,'4_number_of_transport'!$1:$1,0))</f>
        <v>4</v>
      </c>
      <c r="J235">
        <f>INDEX('2_land_use'!$1:$343,MATCH($A235,'2_land_use'!$A:$A,0),MATCH(J$1,'2_land_use'!$1:$1,0))</f>
        <v>0</v>
      </c>
      <c r="K235">
        <f>INDEX('2_land_use'!$1:$343,MATCH($A235,'2_land_use'!$A:$A,0),MATCH(K$1,'2_land_use'!$1:$1,0))</f>
        <v>1.1106693508196386E-3</v>
      </c>
      <c r="L235">
        <f>INDEX('7_biomass'!$1:$343,MATCH($A235,'7_biomass'!$A:$A,0),MATCH(L$1,'7_biomass'!$1:$1,0))</f>
        <v>0.15839733434999284</v>
      </c>
      <c r="M235">
        <f>INDEX('7_biomass'!$1:$343,MATCH($A235,'7_biomass'!$A:$A,0),MATCH(M$1,'7_biomass'!$1:$1,0))</f>
        <v>0.15126335730347729</v>
      </c>
      <c r="N235">
        <f>INDEX('7_biomass'!$1:$343,MATCH($A235,'7_biomass'!$A:$A,0),MATCH(N$1,'7_biomass'!$1:$1,0))</f>
        <v>2.6514042252697188E-2</v>
      </c>
      <c r="O235">
        <f>INDEX('4_number_of_transport'!$1:$343,MATCH($A235,'4_number_of_transport'!$A:$A,0),MATCH(O$1,'4_number_of_transport'!$1:$1,0))</f>
        <v>22516</v>
      </c>
      <c r="P235">
        <f>INDEX('2_land_use'!$1:$343,MATCH($A235,'2_land_use'!$A:$A,0),MATCH(P$1,'2_land_use'!$1:$1,0))</f>
        <v>81.774750970587903</v>
      </c>
      <c r="Q235">
        <f>INDEX('2_land_use'!$1:$343,MATCH($A235,'2_land_use'!$A:$A,0),MATCH(Q$1,'2_land_use'!$1:$1,0))</f>
        <v>0</v>
      </c>
      <c r="R235">
        <f>INDEX('6_roof_surface'!$1:$343,MATCH($A235,'6_roof_surface'!$A:$A,0),MATCH(R$1,'6_roof_surface'!$1:$1,0))</f>
        <v>1.4389369999999999</v>
      </c>
      <c r="S235">
        <f>INDEX('6_roof_surface'!$1:$343,MATCH($A235,'6_roof_surface'!$A:$A,0),MATCH(S$1,'6_roof_surface'!$1:$1,0))</f>
        <v>1.001296</v>
      </c>
    </row>
    <row r="236" spans="1:19" x14ac:dyDescent="0.2">
      <c r="A236" t="s">
        <v>236</v>
      </c>
      <c r="B236" t="str">
        <f>INDEX(CBS_gemeenten_alfabetisch_2023!$B:$B,MATCH($A236,CBS_gemeenten_alfabetisch_2023!$A:$A,0))</f>
        <v>Rhenen</v>
      </c>
      <c r="C236">
        <f>INDEX('5_train_share_nl'!$1:$343,MATCH($A236,'5_train_share_nl'!$A:$A,0),MATCH(C$1,'5_train_share_nl'!$1:$1,0))</f>
        <v>6.0862007179103388E-4</v>
      </c>
      <c r="D236">
        <f>INDEX('3_has_tram_metro'!$1:$343,MATCH($A236,'3_has_tram_metro'!$A:$A,0),MATCH(D$1,'3_has_tram_metro'!$1:$1,0))</f>
        <v>0</v>
      </c>
      <c r="E236">
        <f>INDEX('1_buildings_total'!$1:$343,MATCH($A236,'1_buildings_total'!$A:$A,0),MATCH(E$1,'1_buildings_total'!$1:$1,0))</f>
        <v>1072.5453846153848</v>
      </c>
      <c r="F236">
        <f>INDEX('2_land_use'!$1:$343,MATCH($A236,'2_land_use'!$A:$A,0),MATCH(F$1,'2_land_use'!$1:$1,0))</f>
        <v>21.796704303347891</v>
      </c>
      <c r="G236">
        <f>INDEX('4_number_of_transport'!$1:$343,MATCH($A236,'4_number_of_transport'!$A:$A,0),MATCH(G$1,'4_number_of_transport'!$1:$1,0))</f>
        <v>1313</v>
      </c>
      <c r="H236">
        <f>INDEX('4_number_of_transport'!$1:$343,MATCH($A236,'4_number_of_transport'!$A:$A,0),MATCH(H$1,'4_number_of_transport'!$1:$1,0))</f>
        <v>66</v>
      </c>
      <c r="I236">
        <f>INDEX('4_number_of_transport'!$1:$343,MATCH($A236,'4_number_of_transport'!$A:$A,0),MATCH(I$1,'4_number_of_transport'!$1:$1,0))</f>
        <v>0</v>
      </c>
      <c r="J236">
        <f>INDEX('2_land_use'!$1:$343,MATCH($A236,'2_land_use'!$A:$A,0),MATCH(J$1,'2_land_use'!$1:$1,0))</f>
        <v>1.3892250004072292E-4</v>
      </c>
      <c r="K236">
        <f>INDEX('2_land_use'!$1:$343,MATCH($A236,'2_land_use'!$A:$A,0),MATCH(K$1,'2_land_use'!$1:$1,0))</f>
        <v>9.7723490922838291E-4</v>
      </c>
      <c r="L236">
        <f>INDEX('7_biomass'!$1:$343,MATCH($A236,'7_biomass'!$A:$A,0),MATCH(L$1,'7_biomass'!$1:$1,0))</f>
        <v>9.028315266771357E-2</v>
      </c>
      <c r="M236">
        <f>INDEX('7_biomass'!$1:$343,MATCH($A236,'7_biomass'!$A:$A,0),MATCH(M$1,'7_biomass'!$1:$1,0))</f>
        <v>7.5890671339412019E-2</v>
      </c>
      <c r="N236">
        <f>INDEX('7_biomass'!$1:$343,MATCH($A236,'7_biomass'!$A:$A,0),MATCH(N$1,'7_biomass'!$1:$1,0))</f>
        <v>1.2153687012441671E-2</v>
      </c>
      <c r="O236">
        <f>INDEX('4_number_of_transport'!$1:$343,MATCH($A236,'4_number_of_transport'!$A:$A,0),MATCH(O$1,'4_number_of_transport'!$1:$1,0))</f>
        <v>10670</v>
      </c>
      <c r="P236">
        <f>INDEX('2_land_use'!$1:$343,MATCH($A236,'2_land_use'!$A:$A,0),MATCH(P$1,'2_land_use'!$1:$1,0))</f>
        <v>42.022657775035789</v>
      </c>
      <c r="Q236">
        <f>INDEX('2_land_use'!$1:$343,MATCH($A236,'2_land_use'!$A:$A,0),MATCH(Q$1,'2_land_use'!$1:$1,0))</f>
        <v>0</v>
      </c>
      <c r="R236">
        <f>INDEX('6_roof_surface'!$1:$343,MATCH($A236,'6_roof_surface'!$A:$A,0),MATCH(R$1,'6_roof_surface'!$1:$1,0))</f>
        <v>0.66506600000000005</v>
      </c>
      <c r="S236">
        <f>INDEX('6_roof_surface'!$1:$343,MATCH($A236,'6_roof_surface'!$A:$A,0),MATCH(S$1,'6_roof_surface'!$1:$1,0))</f>
        <v>0.66798199999999996</v>
      </c>
    </row>
    <row r="237" spans="1:19" x14ac:dyDescent="0.2">
      <c r="A237" t="s">
        <v>237</v>
      </c>
      <c r="B237" t="str">
        <f>INDEX(CBS_gemeenten_alfabetisch_2023!$B:$B,MATCH($A237,CBS_gemeenten_alfabetisch_2023!$A:$A,0))</f>
        <v>Ridderkerk</v>
      </c>
      <c r="C237">
        <f>INDEX('5_train_share_nl'!$1:$343,MATCH($A237,'5_train_share_nl'!$A:$A,0),MATCH(C$1,'5_train_share_nl'!$1:$1,0))</f>
        <v>0</v>
      </c>
      <c r="D237">
        <f>INDEX('3_has_tram_metro'!$1:$343,MATCH($A237,'3_has_tram_metro'!$A:$A,0),MATCH(D$1,'3_has_tram_metro'!$1:$1,0))</f>
        <v>0</v>
      </c>
      <c r="E237">
        <f>INDEX('1_buildings_total'!$1:$343,MATCH($A237,'1_buildings_total'!$A:$A,0),MATCH(E$1,'1_buildings_total'!$1:$1,0))</f>
        <v>3119.3603076923077</v>
      </c>
      <c r="F237">
        <f>INDEX('2_land_use'!$1:$343,MATCH($A237,'2_land_use'!$A:$A,0),MATCH(F$1,'2_land_use'!$1:$1,0))</f>
        <v>8.3827307102095183</v>
      </c>
      <c r="G237">
        <f>INDEX('4_number_of_transport'!$1:$343,MATCH($A237,'4_number_of_transport'!$A:$A,0),MATCH(G$1,'4_number_of_transport'!$1:$1,0))</f>
        <v>2443</v>
      </c>
      <c r="H237">
        <f>INDEX('4_number_of_transport'!$1:$343,MATCH($A237,'4_number_of_transport'!$A:$A,0),MATCH(H$1,'4_number_of_transport'!$1:$1,0))</f>
        <v>131</v>
      </c>
      <c r="I237">
        <f>INDEX('4_number_of_transport'!$1:$343,MATCH($A237,'4_number_of_transport'!$A:$A,0),MATCH(I$1,'4_number_of_transport'!$1:$1,0))</f>
        <v>16</v>
      </c>
      <c r="J237">
        <f>INDEX('2_land_use'!$1:$343,MATCH($A237,'2_land_use'!$A:$A,0),MATCH(J$1,'2_land_use'!$1:$1,0))</f>
        <v>5.1985241260445935E-3</v>
      </c>
      <c r="K237">
        <f>INDEX('2_land_use'!$1:$343,MATCH($A237,'2_land_use'!$A:$A,0),MATCH(K$1,'2_land_use'!$1:$1,0))</f>
        <v>3.7583191342460578E-4</v>
      </c>
      <c r="L237">
        <f>INDEX('7_biomass'!$1:$343,MATCH($A237,'7_biomass'!$A:$A,0),MATCH(L$1,'7_biomass'!$1:$1,0))</f>
        <v>8.6954238610563353E-2</v>
      </c>
      <c r="M237">
        <f>INDEX('7_biomass'!$1:$343,MATCH($A237,'7_biomass'!$A:$A,0),MATCH(M$1,'7_biomass'!$1:$1,0))</f>
        <v>0.12802739179589001</v>
      </c>
      <c r="N237">
        <f>INDEX('7_biomass'!$1:$343,MATCH($A237,'7_biomass'!$A:$A,0),MATCH(N$1,'7_biomass'!$1:$1,0))</f>
        <v>2.8094313194476875E-2</v>
      </c>
      <c r="O237">
        <f>INDEX('4_number_of_transport'!$1:$343,MATCH($A237,'4_number_of_transport'!$A:$A,0),MATCH(O$1,'4_number_of_transport'!$1:$1,0))</f>
        <v>23698</v>
      </c>
      <c r="P237">
        <f>INDEX('2_land_use'!$1:$343,MATCH($A237,'2_land_use'!$A:$A,0),MATCH(P$1,'2_land_use'!$1:$1,0))</f>
        <v>23.475635983516927</v>
      </c>
      <c r="Q237">
        <f>INDEX('2_land_use'!$1:$343,MATCH($A237,'2_land_use'!$A:$A,0),MATCH(Q$1,'2_land_use'!$1:$1,0))</f>
        <v>0</v>
      </c>
      <c r="R237">
        <f>INDEX('6_roof_surface'!$1:$343,MATCH($A237,'6_roof_surface'!$A:$A,0),MATCH(R$1,'6_roof_surface'!$1:$1,0))</f>
        <v>1.1947289999999999</v>
      </c>
      <c r="S237">
        <f>INDEX('6_roof_surface'!$1:$343,MATCH($A237,'6_roof_surface'!$A:$A,0),MATCH(S$1,'6_roof_surface'!$1:$1,0))</f>
        <v>1.84598</v>
      </c>
    </row>
    <row r="238" spans="1:19" x14ac:dyDescent="0.2">
      <c r="A238" t="s">
        <v>238</v>
      </c>
      <c r="B238" t="str">
        <f>INDEX(CBS_gemeenten_alfabetisch_2023!$B:$B,MATCH($A238,CBS_gemeenten_alfabetisch_2023!$A:$A,0))</f>
        <v>Rijssen-Holten</v>
      </c>
      <c r="C238">
        <f>INDEX('5_train_share_nl'!$1:$343,MATCH($A238,'5_train_share_nl'!$A:$A,0),MATCH(C$1,'5_train_share_nl'!$1:$1,0))</f>
        <v>5.6038980195098967E-3</v>
      </c>
      <c r="D238">
        <f>INDEX('3_has_tram_metro'!$1:$343,MATCH($A238,'3_has_tram_metro'!$A:$A,0),MATCH(D$1,'3_has_tram_metro'!$1:$1,0))</f>
        <v>0</v>
      </c>
      <c r="E238">
        <f>INDEX('1_buildings_total'!$1:$343,MATCH($A238,'1_buildings_total'!$A:$A,0),MATCH(E$1,'1_buildings_total'!$1:$1,0))</f>
        <v>3446.8194615384618</v>
      </c>
      <c r="F238">
        <f>INDEX('2_land_use'!$1:$343,MATCH($A238,'2_land_use'!$A:$A,0),MATCH(F$1,'2_land_use'!$1:$1,0))</f>
        <v>53.432074349639372</v>
      </c>
      <c r="G238">
        <f>INDEX('4_number_of_transport'!$1:$343,MATCH($A238,'4_number_of_transport'!$A:$A,0),MATCH(G$1,'4_number_of_transport'!$1:$1,0))</f>
        <v>2728</v>
      </c>
      <c r="H238">
        <f>INDEX('4_number_of_transport'!$1:$343,MATCH($A238,'4_number_of_transport'!$A:$A,0),MATCH(H$1,'4_number_of_transport'!$1:$1,0))</f>
        <v>337</v>
      </c>
      <c r="I238">
        <f>INDEX('4_number_of_transport'!$1:$343,MATCH($A238,'4_number_of_transport'!$A:$A,0),MATCH(I$1,'4_number_of_transport'!$1:$1,0))</f>
        <v>1</v>
      </c>
      <c r="J238">
        <f>INDEX('2_land_use'!$1:$343,MATCH($A238,'2_land_use'!$A:$A,0),MATCH(J$1,'2_land_use'!$1:$1,0))</f>
        <v>0</v>
      </c>
      <c r="K238">
        <f>INDEX('2_land_use'!$1:$343,MATCH($A238,'2_land_use'!$A:$A,0),MATCH(K$1,'2_land_use'!$1:$1,0))</f>
        <v>2.395577221228528E-3</v>
      </c>
      <c r="L238">
        <f>INDEX('7_biomass'!$1:$343,MATCH($A238,'7_biomass'!$A:$A,0),MATCH(L$1,'7_biomass'!$1:$1,0))</f>
        <v>0.22360287825858652</v>
      </c>
      <c r="M238">
        <f>INDEX('7_biomass'!$1:$343,MATCH($A238,'7_biomass'!$A:$A,0),MATCH(M$1,'7_biomass'!$1:$1,0))</f>
        <v>0.14936097728974951</v>
      </c>
      <c r="N238">
        <f>INDEX('7_biomass'!$1:$343,MATCH($A238,'7_biomass'!$A:$A,0),MATCH(N$1,'7_biomass'!$1:$1,0))</f>
        <v>2.3269656697486304E-2</v>
      </c>
      <c r="O238">
        <f>INDEX('4_number_of_transport'!$1:$343,MATCH($A238,'4_number_of_transport'!$A:$A,0),MATCH(O$1,'4_number_of_transport'!$1:$1,0))</f>
        <v>20346</v>
      </c>
      <c r="P238">
        <f>INDEX('2_land_use'!$1:$343,MATCH($A238,'2_land_use'!$A:$A,0),MATCH(P$1,'2_land_use'!$1:$1,0))</f>
        <v>94.123212033832999</v>
      </c>
      <c r="Q238">
        <f>INDEX('2_land_use'!$1:$343,MATCH($A238,'2_land_use'!$A:$A,0),MATCH(Q$1,'2_land_use'!$1:$1,0))</f>
        <v>0</v>
      </c>
      <c r="R238">
        <f>INDEX('6_roof_surface'!$1:$343,MATCH($A238,'6_roof_surface'!$A:$A,0),MATCH(R$1,'6_roof_surface'!$1:$1,0))</f>
        <v>1.3222670000000001</v>
      </c>
      <c r="S238">
        <f>INDEX('6_roof_surface'!$1:$343,MATCH($A238,'6_roof_surface'!$A:$A,0),MATCH(S$1,'6_roof_surface'!$1:$1,0))</f>
        <v>1.783237</v>
      </c>
    </row>
    <row r="239" spans="1:19" x14ac:dyDescent="0.2">
      <c r="A239" t="s">
        <v>239</v>
      </c>
      <c r="B239" t="str">
        <f>INDEX(CBS_gemeenten_alfabetisch_2023!$B:$B,MATCH($A239,CBS_gemeenten_alfabetisch_2023!$A:$A,0))</f>
        <v>Rijswijk</v>
      </c>
      <c r="C239">
        <f>INDEX('5_train_share_nl'!$1:$343,MATCH($A239,'5_train_share_nl'!$A:$A,0),MATCH(C$1,'5_train_share_nl'!$1:$1,0))</f>
        <v>2.0717633152964794E-3</v>
      </c>
      <c r="D239">
        <f>INDEX('3_has_tram_metro'!$1:$343,MATCH($A239,'3_has_tram_metro'!$A:$A,0),MATCH(D$1,'3_has_tram_metro'!$1:$1,0))</f>
        <v>1</v>
      </c>
      <c r="E239">
        <f>INDEX('1_buildings_total'!$1:$343,MATCH($A239,'1_buildings_total'!$A:$A,0),MATCH(E$1,'1_buildings_total'!$1:$1,0))</f>
        <v>2492.7443076923073</v>
      </c>
      <c r="F239">
        <f>INDEX('2_land_use'!$1:$343,MATCH($A239,'2_land_use'!$A:$A,0),MATCH(F$1,'2_land_use'!$1:$1,0))</f>
        <v>0.81476292713890142</v>
      </c>
      <c r="G239">
        <f>INDEX('4_number_of_transport'!$1:$343,MATCH($A239,'4_number_of_transport'!$A:$A,0),MATCH(G$1,'4_number_of_transport'!$1:$1,0))</f>
        <v>2109</v>
      </c>
      <c r="H239">
        <f>INDEX('4_number_of_transport'!$1:$343,MATCH($A239,'4_number_of_transport'!$A:$A,0),MATCH(H$1,'4_number_of_transport'!$1:$1,0))</f>
        <v>50</v>
      </c>
      <c r="I239">
        <f>INDEX('4_number_of_transport'!$1:$343,MATCH($A239,'4_number_of_transport'!$A:$A,0),MATCH(I$1,'4_number_of_transport'!$1:$1,0))</f>
        <v>18</v>
      </c>
      <c r="J239">
        <f>INDEX('2_land_use'!$1:$343,MATCH($A239,'2_land_use'!$A:$A,0),MATCH(J$1,'2_land_use'!$1:$1,0))</f>
        <v>5.3152457279473809E-4</v>
      </c>
      <c r="K239">
        <f>INDEX('2_land_use'!$1:$343,MATCH($A239,'2_land_use'!$A:$A,0),MATCH(K$1,'2_land_use'!$1:$1,0))</f>
        <v>3.6529135967722442E-5</v>
      </c>
      <c r="L239">
        <f>INDEX('7_biomass'!$1:$343,MATCH($A239,'7_biomass'!$A:$A,0),MATCH(L$1,'7_biomass'!$1:$1,0))</f>
        <v>9.5146898093648305E-2</v>
      </c>
      <c r="M239">
        <f>INDEX('7_biomass'!$1:$343,MATCH($A239,'7_biomass'!$A:$A,0),MATCH(M$1,'7_biomass'!$1:$1,0))</f>
        <v>0.14776885042362253</v>
      </c>
      <c r="N239">
        <f>INDEX('7_biomass'!$1:$343,MATCH($A239,'7_biomass'!$A:$A,0),MATCH(N$1,'7_biomass'!$1:$1,0))</f>
        <v>3.2484562262258487E-2</v>
      </c>
      <c r="O239">
        <f>INDEX('4_number_of_transport'!$1:$343,MATCH($A239,'4_number_of_transport'!$A:$A,0),MATCH(O$1,'4_number_of_transport'!$1:$1,0))</f>
        <v>30895</v>
      </c>
      <c r="P239">
        <f>INDEX('2_land_use'!$1:$343,MATCH($A239,'2_land_use'!$A:$A,0),MATCH(P$1,'2_land_use'!$1:$1,0))</f>
        <v>13.976406873865631</v>
      </c>
      <c r="Q239">
        <f>INDEX('2_land_use'!$1:$343,MATCH($A239,'2_land_use'!$A:$A,0),MATCH(Q$1,'2_land_use'!$1:$1,0))</f>
        <v>0</v>
      </c>
      <c r="R239">
        <f>INDEX('6_roof_surface'!$1:$343,MATCH($A239,'6_roof_surface'!$A:$A,0),MATCH(R$1,'6_roof_surface'!$1:$1,0))</f>
        <v>1.043677</v>
      </c>
      <c r="S239">
        <f>INDEX('6_roof_surface'!$1:$343,MATCH($A239,'6_roof_surface'!$A:$A,0),MATCH(S$1,'6_roof_surface'!$1:$1,0))</f>
        <v>1.0552859999999999</v>
      </c>
    </row>
    <row r="240" spans="1:19" x14ac:dyDescent="0.2">
      <c r="A240" t="s">
        <v>240</v>
      </c>
      <c r="B240" t="str">
        <f>INDEX(CBS_gemeenten_alfabetisch_2023!$B:$B,MATCH($A240,CBS_gemeenten_alfabetisch_2023!$A:$A,0))</f>
        <v>Roerdalen</v>
      </c>
      <c r="C240">
        <f>INDEX('5_train_share_nl'!$1:$343,MATCH($A240,'5_train_share_nl'!$A:$A,0),MATCH(C$1,'5_train_share_nl'!$1:$1,0))</f>
        <v>0</v>
      </c>
      <c r="D240">
        <f>INDEX('3_has_tram_metro'!$1:$343,MATCH($A240,'3_has_tram_metro'!$A:$A,0),MATCH(D$1,'3_has_tram_metro'!$1:$1,0))</f>
        <v>0</v>
      </c>
      <c r="E240">
        <f>INDEX('1_buildings_total'!$1:$343,MATCH($A240,'1_buildings_total'!$A:$A,0),MATCH(E$1,'1_buildings_total'!$1:$1,0))</f>
        <v>1647.9442307692304</v>
      </c>
      <c r="F240">
        <f>INDEX('2_land_use'!$1:$343,MATCH($A240,'2_land_use'!$A:$A,0),MATCH(F$1,'2_land_use'!$1:$1,0))</f>
        <v>49.19136952704622</v>
      </c>
      <c r="G240">
        <f>INDEX('4_number_of_transport'!$1:$343,MATCH($A240,'4_number_of_transport'!$A:$A,0),MATCH(G$1,'4_number_of_transport'!$1:$1,0))</f>
        <v>1126</v>
      </c>
      <c r="H240">
        <f>INDEX('4_number_of_transport'!$1:$343,MATCH($A240,'4_number_of_transport'!$A:$A,0),MATCH(H$1,'4_number_of_transport'!$1:$1,0))</f>
        <v>56</v>
      </c>
      <c r="I240">
        <f>INDEX('4_number_of_transport'!$1:$343,MATCH($A240,'4_number_of_transport'!$A:$A,0),MATCH(I$1,'4_number_of_transport'!$1:$1,0))</f>
        <v>4</v>
      </c>
      <c r="J240">
        <f>INDEX('2_land_use'!$1:$343,MATCH($A240,'2_land_use'!$A:$A,0),MATCH(J$1,'2_land_use'!$1:$1,0))</f>
        <v>3.7430191362905279E-4</v>
      </c>
      <c r="K240">
        <f>INDEX('2_land_use'!$1:$343,MATCH($A240,'2_land_use'!$A:$A,0),MATCH(K$1,'2_land_use'!$1:$1,0))</f>
        <v>2.2054491755067419E-3</v>
      </c>
      <c r="L240">
        <f>INDEX('7_biomass'!$1:$343,MATCH($A240,'7_biomass'!$A:$A,0),MATCH(L$1,'7_biomass'!$1:$1,0))</f>
        <v>0.15804927441832167</v>
      </c>
      <c r="M240">
        <f>INDEX('7_biomass'!$1:$343,MATCH($A240,'7_biomass'!$A:$A,0),MATCH(M$1,'7_biomass'!$1:$1,0))</f>
        <v>9.8585042618576813E-2</v>
      </c>
      <c r="N240">
        <f>INDEX('7_biomass'!$1:$343,MATCH($A240,'7_biomass'!$A:$A,0),MATCH(N$1,'7_biomass'!$1:$1,0))</f>
        <v>1.2524907906492954E-2</v>
      </c>
      <c r="O240">
        <f>INDEX('4_number_of_transport'!$1:$343,MATCH($A240,'4_number_of_transport'!$A:$A,0),MATCH(O$1,'4_number_of_transport'!$1:$1,0))</f>
        <v>12614</v>
      </c>
      <c r="P240">
        <f>INDEX('2_land_use'!$1:$343,MATCH($A240,'2_land_use'!$A:$A,0),MATCH(P$1,'2_land_use'!$1:$1,0))</f>
        <v>88.214096759287713</v>
      </c>
      <c r="Q240">
        <f>INDEX('2_land_use'!$1:$343,MATCH($A240,'2_land_use'!$A:$A,0),MATCH(Q$1,'2_land_use'!$1:$1,0))</f>
        <v>0</v>
      </c>
      <c r="R240">
        <f>INDEX('6_roof_surface'!$1:$343,MATCH($A240,'6_roof_surface'!$A:$A,0),MATCH(R$1,'6_roof_surface'!$1:$1,0))</f>
        <v>1.0576589999999999</v>
      </c>
      <c r="S240">
        <f>INDEX('6_roof_surface'!$1:$343,MATCH($A240,'6_roof_surface'!$A:$A,0),MATCH(S$1,'6_roof_surface'!$1:$1,0))</f>
        <v>0.84684800000000005</v>
      </c>
    </row>
    <row r="241" spans="1:19" x14ac:dyDescent="0.2">
      <c r="A241" t="s">
        <v>241</v>
      </c>
      <c r="B241" t="str">
        <f>INDEX(CBS_gemeenten_alfabetisch_2023!$B:$B,MATCH($A241,CBS_gemeenten_alfabetisch_2023!$A:$A,0))</f>
        <v>Roermond</v>
      </c>
      <c r="C241">
        <f>INDEX('5_train_share_nl'!$1:$343,MATCH($A241,'5_train_share_nl'!$A:$A,0),MATCH(C$1,'5_train_share_nl'!$1:$1,0))</f>
        <v>3.5507457278791156E-3</v>
      </c>
      <c r="D241">
        <f>INDEX('3_has_tram_metro'!$1:$343,MATCH($A241,'3_has_tram_metro'!$A:$A,0),MATCH(D$1,'3_has_tram_metro'!$1:$1,0))</f>
        <v>0</v>
      </c>
      <c r="E241">
        <f>INDEX('1_buildings_total'!$1:$343,MATCH($A241,'1_buildings_total'!$A:$A,0),MATCH(E$1,'1_buildings_total'!$1:$1,0))</f>
        <v>4009.1255384615374</v>
      </c>
      <c r="F241">
        <f>INDEX('2_land_use'!$1:$343,MATCH($A241,'2_land_use'!$A:$A,0),MATCH(F$1,'2_land_use'!$1:$1,0))</f>
        <v>27.81822960691547</v>
      </c>
      <c r="G241">
        <f>INDEX('4_number_of_transport'!$1:$343,MATCH($A241,'4_number_of_transport'!$A:$A,0),MATCH(G$1,'4_number_of_transport'!$1:$1,0))</f>
        <v>2686</v>
      </c>
      <c r="H241">
        <f>INDEX('4_number_of_transport'!$1:$343,MATCH($A241,'4_number_of_transport'!$A:$A,0),MATCH(H$1,'4_number_of_transport'!$1:$1,0))</f>
        <v>157</v>
      </c>
      <c r="I241">
        <f>INDEX('4_number_of_transport'!$1:$343,MATCH($A241,'4_number_of_transport'!$A:$A,0),MATCH(I$1,'4_number_of_transport'!$1:$1,0))</f>
        <v>4</v>
      </c>
      <c r="J241">
        <f>INDEX('2_land_use'!$1:$343,MATCH($A241,'2_land_use'!$A:$A,0),MATCH(J$1,'2_land_use'!$1:$1,0))</f>
        <v>0</v>
      </c>
      <c r="K241">
        <f>INDEX('2_land_use'!$1:$343,MATCH($A241,'2_land_use'!$A:$A,0),MATCH(K$1,'2_land_use'!$1:$1,0))</f>
        <v>1.2472043803719835E-3</v>
      </c>
      <c r="L241">
        <f>INDEX('7_biomass'!$1:$343,MATCH($A241,'7_biomass'!$A:$A,0),MATCH(L$1,'7_biomass'!$1:$1,0))</f>
        <v>0.21077809104362558</v>
      </c>
      <c r="M241">
        <f>INDEX('7_biomass'!$1:$343,MATCH($A241,'7_biomass'!$A:$A,0),MATCH(M$1,'7_biomass'!$1:$1,0))</f>
        <v>0.171427169210081</v>
      </c>
      <c r="N241">
        <f>INDEX('7_biomass'!$1:$343,MATCH($A241,'7_biomass'!$A:$A,0),MATCH(N$1,'7_biomass'!$1:$1,0))</f>
        <v>3.5365625240312802E-2</v>
      </c>
      <c r="O241">
        <f>INDEX('4_number_of_transport'!$1:$343,MATCH($A241,'4_number_of_transport'!$A:$A,0),MATCH(O$1,'4_number_of_transport'!$1:$1,0))</f>
        <v>30470</v>
      </c>
      <c r="P241">
        <f>INDEX('2_land_use'!$1:$343,MATCH($A241,'2_land_use'!$A:$A,0),MATCH(P$1,'2_land_use'!$1:$1,0))</f>
        <v>60.635630335639064</v>
      </c>
      <c r="Q241">
        <f>INDEX('2_land_use'!$1:$343,MATCH($A241,'2_land_use'!$A:$A,0),MATCH(Q$1,'2_land_use'!$1:$1,0))</f>
        <v>0</v>
      </c>
      <c r="R241">
        <f>INDEX('6_roof_surface'!$1:$343,MATCH($A241,'6_roof_surface'!$A:$A,0),MATCH(R$1,'6_roof_surface'!$1:$1,0))</f>
        <v>2.0445720000000001</v>
      </c>
      <c r="S241">
        <f>INDEX('6_roof_surface'!$1:$343,MATCH($A241,'6_roof_surface'!$A:$A,0),MATCH(S$1,'6_roof_surface'!$1:$1,0))</f>
        <v>2.4065099999999999</v>
      </c>
    </row>
    <row r="242" spans="1:19" x14ac:dyDescent="0.2">
      <c r="A242" t="s">
        <v>242</v>
      </c>
      <c r="B242" t="str">
        <f>INDEX(CBS_gemeenten_alfabetisch_2023!$B:$B,MATCH($A242,CBS_gemeenten_alfabetisch_2023!$A:$A,0))</f>
        <v>De Ronde Venen</v>
      </c>
      <c r="C242">
        <f>INDEX('5_train_share_nl'!$1:$343,MATCH($A242,'5_train_share_nl'!$A:$A,0),MATCH(C$1,'5_train_share_nl'!$1:$1,0))</f>
        <v>6.3317078386067869E-4</v>
      </c>
      <c r="D242">
        <f>INDEX('3_has_tram_metro'!$1:$343,MATCH($A242,'3_has_tram_metro'!$A:$A,0),MATCH(D$1,'3_has_tram_metro'!$1:$1,0))</f>
        <v>0</v>
      </c>
      <c r="E242">
        <f>INDEX('1_buildings_total'!$1:$343,MATCH($A242,'1_buildings_total'!$A:$A,0),MATCH(E$1,'1_buildings_total'!$1:$1,0))</f>
        <v>3117.7605384615385</v>
      </c>
      <c r="F242">
        <f>INDEX('2_land_use'!$1:$343,MATCH($A242,'2_land_use'!$A:$A,0),MATCH(F$1,'2_land_use'!$1:$1,0))</f>
        <v>80.405993075657634</v>
      </c>
      <c r="G242">
        <f>INDEX('4_number_of_transport'!$1:$343,MATCH($A242,'4_number_of_transport'!$A:$A,0),MATCH(G$1,'4_number_of_transport'!$1:$1,0))</f>
        <v>3107</v>
      </c>
      <c r="H242">
        <f>INDEX('4_number_of_transport'!$1:$343,MATCH($A242,'4_number_of_transport'!$A:$A,0),MATCH(H$1,'4_number_of_transport'!$1:$1,0))</f>
        <v>312</v>
      </c>
      <c r="I242">
        <f>INDEX('4_number_of_transport'!$1:$343,MATCH($A242,'4_number_of_transport'!$A:$A,0),MATCH(I$1,'4_number_of_transport'!$1:$1,0))</f>
        <v>7</v>
      </c>
      <c r="J242">
        <f>INDEX('2_land_use'!$1:$343,MATCH($A242,'2_land_use'!$A:$A,0),MATCH(J$1,'2_land_use'!$1:$1,0))</f>
        <v>2.3337950438773584E-3</v>
      </c>
      <c r="K242">
        <f>INDEX('2_land_use'!$1:$343,MATCH($A242,'2_land_use'!$A:$A,0),MATCH(K$1,'2_land_use'!$1:$1,0))</f>
        <v>3.6049277106832787E-3</v>
      </c>
      <c r="L242">
        <f>INDEX('7_biomass'!$1:$343,MATCH($A242,'7_biomass'!$A:$A,0),MATCH(L$1,'7_biomass'!$1:$1,0))</f>
        <v>0.39728239235216889</v>
      </c>
      <c r="M242">
        <f>INDEX('7_biomass'!$1:$343,MATCH($A242,'7_biomass'!$A:$A,0),MATCH(M$1,'7_biomass'!$1:$1,0))</f>
        <v>0.13731830591111316</v>
      </c>
      <c r="N242">
        <f>INDEX('7_biomass'!$1:$343,MATCH($A242,'7_biomass'!$A:$A,0),MATCH(N$1,'7_biomass'!$1:$1,0))</f>
        <v>2.676861108184201E-2</v>
      </c>
      <c r="O242">
        <f>INDEX('4_number_of_transport'!$1:$343,MATCH($A242,'4_number_of_transport'!$A:$A,0),MATCH(O$1,'4_number_of_transport'!$1:$1,0))</f>
        <v>24541</v>
      </c>
      <c r="P242">
        <f>INDEX('2_land_use'!$1:$343,MATCH($A242,'2_land_use'!$A:$A,0),MATCH(P$1,'2_land_use'!$1:$1,0))</f>
        <v>99.678007899269176</v>
      </c>
      <c r="Q242">
        <f>INDEX('2_land_use'!$1:$343,MATCH($A242,'2_land_use'!$A:$A,0),MATCH(Q$1,'2_land_use'!$1:$1,0))</f>
        <v>0</v>
      </c>
      <c r="R242">
        <f>INDEX('6_roof_surface'!$1:$343,MATCH($A242,'6_roof_surface'!$A:$A,0),MATCH(R$1,'6_roof_surface'!$1:$1,0))</f>
        <v>1.5809260000000001</v>
      </c>
      <c r="S242">
        <f>INDEX('6_roof_surface'!$1:$343,MATCH($A242,'6_roof_surface'!$A:$A,0),MATCH(S$1,'6_roof_surface'!$1:$1,0))</f>
        <v>1.856012</v>
      </c>
    </row>
    <row r="243" spans="1:19" x14ac:dyDescent="0.2">
      <c r="A243" t="s">
        <v>243</v>
      </c>
      <c r="B243" t="str">
        <f>INDEX(CBS_gemeenten_alfabetisch_2023!$B:$B,MATCH($A243,CBS_gemeenten_alfabetisch_2023!$A:$A,0))</f>
        <v>Roosendaal</v>
      </c>
      <c r="C243">
        <f>INDEX('5_train_share_nl'!$1:$343,MATCH($A243,'5_train_share_nl'!$A:$A,0),MATCH(C$1,'5_train_share_nl'!$1:$1,0))</f>
        <v>4.4979280386950897E-3</v>
      </c>
      <c r="D243">
        <f>INDEX('3_has_tram_metro'!$1:$343,MATCH($A243,'3_has_tram_metro'!$A:$A,0),MATCH(D$1,'3_has_tram_metro'!$1:$1,0))</f>
        <v>0</v>
      </c>
      <c r="E243">
        <f>INDEX('1_buildings_total'!$1:$343,MATCH($A243,'1_buildings_total'!$A:$A,0),MATCH(E$1,'1_buildings_total'!$1:$1,0))</f>
        <v>5506.8463846153845</v>
      </c>
      <c r="F243">
        <f>INDEX('2_land_use'!$1:$343,MATCH($A243,'2_land_use'!$A:$A,0),MATCH(F$1,'2_land_use'!$1:$1,0))</f>
        <v>71.244131360695633</v>
      </c>
      <c r="G243">
        <f>INDEX('4_number_of_transport'!$1:$343,MATCH($A243,'4_number_of_transport'!$A:$A,0),MATCH(G$1,'4_number_of_transport'!$1:$1,0))</f>
        <v>4124</v>
      </c>
      <c r="H243">
        <f>INDEX('4_number_of_transport'!$1:$343,MATCH($A243,'4_number_of_transport'!$A:$A,0),MATCH(H$1,'4_number_of_transport'!$1:$1,0))</f>
        <v>291</v>
      </c>
      <c r="I243">
        <f>INDEX('4_number_of_transport'!$1:$343,MATCH($A243,'4_number_of_transport'!$A:$A,0),MATCH(I$1,'4_number_of_transport'!$1:$1,0))</f>
        <v>13</v>
      </c>
      <c r="J243">
        <f>INDEX('2_land_use'!$1:$343,MATCH($A243,'2_land_use'!$A:$A,0),MATCH(J$1,'2_land_use'!$1:$1,0))</f>
        <v>3.3421497658994879E-3</v>
      </c>
      <c r="K243">
        <f>INDEX('2_land_use'!$1:$343,MATCH($A243,'2_land_use'!$A:$A,0),MATCH(K$1,'2_land_use'!$1:$1,0))</f>
        <v>3.1941641852998243E-3</v>
      </c>
      <c r="L243">
        <f>INDEX('7_biomass'!$1:$343,MATCH($A243,'7_biomass'!$A:$A,0),MATCH(L$1,'7_biomass'!$1:$1,0))</f>
        <v>0.33223034138549384</v>
      </c>
      <c r="M243">
        <f>INDEX('7_biomass'!$1:$343,MATCH($A243,'7_biomass'!$A:$A,0),MATCH(M$1,'7_biomass'!$1:$1,0))</f>
        <v>0.24101195227671318</v>
      </c>
      <c r="N243">
        <f>INDEX('7_biomass'!$1:$343,MATCH($A243,'7_biomass'!$A:$A,0),MATCH(N$1,'7_biomass'!$1:$1,0))</f>
        <v>4.6801780541012146E-2</v>
      </c>
      <c r="O243">
        <f>INDEX('4_number_of_transport'!$1:$343,MATCH($A243,'4_number_of_transport'!$A:$A,0),MATCH(O$1,'4_number_of_transport'!$1:$1,0))</f>
        <v>40572</v>
      </c>
      <c r="P243">
        <f>INDEX('2_land_use'!$1:$343,MATCH($A243,'2_land_use'!$A:$A,0),MATCH(P$1,'2_land_use'!$1:$1,0))</f>
        <v>106.49715796851181</v>
      </c>
      <c r="Q243">
        <f>INDEX('2_land_use'!$1:$343,MATCH($A243,'2_land_use'!$A:$A,0),MATCH(Q$1,'2_land_use'!$1:$1,0))</f>
        <v>0</v>
      </c>
      <c r="R243">
        <f>INDEX('6_roof_surface'!$1:$343,MATCH($A243,'6_roof_surface'!$A:$A,0),MATCH(R$1,'6_roof_surface'!$1:$1,0))</f>
        <v>2.6382500000000002</v>
      </c>
      <c r="S243">
        <f>INDEX('6_roof_surface'!$1:$343,MATCH($A243,'6_roof_surface'!$A:$A,0),MATCH(S$1,'6_roof_surface'!$1:$1,0))</f>
        <v>3.7118120000000001</v>
      </c>
    </row>
    <row r="244" spans="1:19" x14ac:dyDescent="0.2">
      <c r="A244" t="s">
        <v>244</v>
      </c>
      <c r="B244" t="str">
        <f>INDEX(CBS_gemeenten_alfabetisch_2023!$B:$B,MATCH($A244,CBS_gemeenten_alfabetisch_2023!$A:$A,0))</f>
        <v>Rotterdam</v>
      </c>
      <c r="C244">
        <f>INDEX('5_train_share_nl'!$1:$343,MATCH($A244,'5_train_share_nl'!$A:$A,0),MATCH(C$1,'5_train_share_nl'!$1:$1,0))</f>
        <v>6.1514184965856693E-2</v>
      </c>
      <c r="D244">
        <f>INDEX('3_has_tram_metro'!$1:$343,MATCH($A244,'3_has_tram_metro'!$A:$A,0),MATCH(D$1,'3_has_tram_metro'!$1:$1,0))</f>
        <v>1</v>
      </c>
      <c r="E244">
        <f>INDEX('1_buildings_total'!$1:$343,MATCH($A244,'1_buildings_total'!$A:$A,0),MATCH(E$1,'1_buildings_total'!$1:$1,0))</f>
        <v>36989.436153846167</v>
      </c>
      <c r="F244">
        <f>INDEX('2_land_use'!$1:$343,MATCH($A244,'2_land_use'!$A:$A,0),MATCH(F$1,'2_land_use'!$1:$1,0))</f>
        <v>23.190115586050243</v>
      </c>
      <c r="G244">
        <f>INDEX('4_number_of_transport'!$1:$343,MATCH($A244,'4_number_of_transport'!$A:$A,0),MATCH(G$1,'4_number_of_transport'!$1:$1,0))</f>
        <v>23553</v>
      </c>
      <c r="H244">
        <f>INDEX('4_number_of_transport'!$1:$343,MATCH($A244,'4_number_of_transport'!$A:$A,0),MATCH(H$1,'4_number_of_transport'!$1:$1,0))</f>
        <v>1226</v>
      </c>
      <c r="I244">
        <f>INDEX('4_number_of_transport'!$1:$343,MATCH($A244,'4_number_of_transport'!$A:$A,0),MATCH(I$1,'4_number_of_transport'!$1:$1,0))</f>
        <v>397</v>
      </c>
      <c r="J244">
        <f>INDEX('2_land_use'!$1:$343,MATCH($A244,'2_land_use'!$A:$A,0),MATCH(J$1,'2_land_use'!$1:$1,0))</f>
        <v>9.5212559640770935E-3</v>
      </c>
      <c r="K244">
        <f>INDEX('2_land_use'!$1:$343,MATCH($A244,'2_land_use'!$A:$A,0),MATCH(K$1,'2_land_use'!$1:$1,0))</f>
        <v>1.0397072045542541E-3</v>
      </c>
      <c r="L244">
        <f>INDEX('7_biomass'!$1:$343,MATCH($A244,'7_biomass'!$A:$A,0),MATCH(L$1,'7_biomass'!$1:$1,0))</f>
        <v>1.6159499572625451</v>
      </c>
      <c r="M244">
        <f>INDEX('7_biomass'!$1:$343,MATCH($A244,'7_biomass'!$A:$A,0),MATCH(M$1,'7_biomass'!$1:$1,0))</f>
        <v>1.6837063808475587</v>
      </c>
      <c r="N244">
        <f>INDEX('7_biomass'!$1:$343,MATCH($A244,'7_biomass'!$A:$A,0),MATCH(N$1,'7_biomass'!$1:$1,0))</f>
        <v>0.39164594154099808</v>
      </c>
      <c r="O244">
        <f>INDEX('4_number_of_transport'!$1:$343,MATCH($A244,'4_number_of_transport'!$A:$A,0),MATCH(O$1,'4_number_of_transport'!$1:$1,0))</f>
        <v>244366</v>
      </c>
      <c r="P244">
        <f>INDEX('2_land_use'!$1:$343,MATCH($A244,'2_land_use'!$A:$A,0),MATCH(P$1,'2_land_use'!$1:$1,0))</f>
        <v>218.42384208055719</v>
      </c>
      <c r="Q244">
        <f>INDEX('2_land_use'!$1:$343,MATCH($A244,'2_land_use'!$A:$A,0),MATCH(Q$1,'2_land_use'!$1:$1,0))</f>
        <v>30.112469722496026</v>
      </c>
      <c r="R244">
        <f>INDEX('6_roof_surface'!$1:$343,MATCH($A244,'6_roof_surface'!$A:$A,0),MATCH(R$1,'6_roof_surface'!$1:$1,0))</f>
        <v>10.399875</v>
      </c>
      <c r="S244">
        <f>INDEX('6_roof_surface'!$1:$343,MATCH($A244,'6_roof_surface'!$A:$A,0),MATCH(S$1,'6_roof_surface'!$1:$1,0))</f>
        <v>14.498324</v>
      </c>
    </row>
    <row r="245" spans="1:19" x14ac:dyDescent="0.2">
      <c r="A245" t="s">
        <v>245</v>
      </c>
      <c r="B245" t="str">
        <f>INDEX(CBS_gemeenten_alfabetisch_2023!$B:$B,MATCH($A245,CBS_gemeenten_alfabetisch_2023!$A:$A,0))</f>
        <v>Rozendaal</v>
      </c>
      <c r="C245">
        <f>INDEX('5_train_share_nl'!$1:$343,MATCH($A245,'5_train_share_nl'!$A:$A,0),MATCH(C$1,'5_train_share_nl'!$1:$1,0))</f>
        <v>0</v>
      </c>
      <c r="D245">
        <f>INDEX('3_has_tram_metro'!$1:$343,MATCH($A245,'3_has_tram_metro'!$A:$A,0),MATCH(D$1,'3_has_tram_metro'!$1:$1,0))</f>
        <v>0</v>
      </c>
      <c r="E245">
        <f>INDEX('1_buildings_total'!$1:$343,MATCH($A245,'1_buildings_total'!$A:$A,0),MATCH(E$1,'1_buildings_total'!$1:$1,0))</f>
        <v>108.4426923076923</v>
      </c>
      <c r="F245">
        <f>INDEX('2_land_use'!$1:$343,MATCH($A245,'2_land_use'!$A:$A,0),MATCH(F$1,'2_land_use'!$1:$1,0))</f>
        <v>0.6132842723617028</v>
      </c>
      <c r="G245">
        <f>INDEX('4_number_of_transport'!$1:$343,MATCH($A245,'4_number_of_transport'!$A:$A,0),MATCH(G$1,'4_number_of_transport'!$1:$1,0))</f>
        <v>32</v>
      </c>
      <c r="H245">
        <f>INDEX('4_number_of_transport'!$1:$343,MATCH($A245,'4_number_of_transport'!$A:$A,0),MATCH(H$1,'4_number_of_transport'!$1:$1,0))</f>
        <v>7</v>
      </c>
      <c r="I245">
        <f>INDEX('4_number_of_transport'!$1:$343,MATCH($A245,'4_number_of_transport'!$A:$A,0),MATCH(I$1,'4_number_of_transport'!$1:$1,0))</f>
        <v>0</v>
      </c>
      <c r="J245">
        <f>INDEX('2_land_use'!$1:$343,MATCH($A245,'2_land_use'!$A:$A,0),MATCH(J$1,'2_land_use'!$1:$1,0))</f>
        <v>0</v>
      </c>
      <c r="K245">
        <f>INDEX('2_land_use'!$1:$343,MATCH($A245,'2_land_use'!$A:$A,0),MATCH(K$1,'2_land_use'!$1:$1,0))</f>
        <v>2.7496028385379793E-5</v>
      </c>
      <c r="L245">
        <f>INDEX('7_biomass'!$1:$343,MATCH($A245,'7_biomass'!$A:$A,0),MATCH(L$1,'7_biomass'!$1:$1,0))</f>
        <v>1.9516379596077882E-2</v>
      </c>
      <c r="M245">
        <f>INDEX('7_biomass'!$1:$343,MATCH($A245,'7_biomass'!$A:$A,0),MATCH(M$1,'7_biomass'!$1:$1,0))</f>
        <v>2.2920241467397871E-2</v>
      </c>
      <c r="N245">
        <f>INDEX('7_biomass'!$1:$343,MATCH($A245,'7_biomass'!$A:$A,0),MATCH(N$1,'7_biomass'!$1:$1,0))</f>
        <v>1.0049089341420978E-3</v>
      </c>
      <c r="O245">
        <f>INDEX('4_number_of_transport'!$1:$343,MATCH($A245,'4_number_of_transport'!$A:$A,0),MATCH(O$1,'4_number_of_transport'!$1:$1,0))</f>
        <v>1039</v>
      </c>
      <c r="P245">
        <f>INDEX('2_land_use'!$1:$343,MATCH($A245,'2_land_use'!$A:$A,0),MATCH(P$1,'2_land_use'!$1:$1,0))</f>
        <v>27.895860362621061</v>
      </c>
      <c r="Q245">
        <f>INDEX('2_land_use'!$1:$343,MATCH($A245,'2_land_use'!$A:$A,0),MATCH(Q$1,'2_land_use'!$1:$1,0))</f>
        <v>0</v>
      </c>
      <c r="R245">
        <f>INDEX('6_roof_surface'!$1:$343,MATCH($A245,'6_roof_surface'!$A:$A,0),MATCH(R$1,'6_roof_surface'!$1:$1,0))</f>
        <v>8.0466999999999997E-2</v>
      </c>
      <c r="S245">
        <f>INDEX('6_roof_surface'!$1:$343,MATCH($A245,'6_roof_surface'!$A:$A,0),MATCH(S$1,'6_roof_surface'!$1:$1,0))</f>
        <v>2.5104000000000001E-2</v>
      </c>
    </row>
    <row r="246" spans="1:19" x14ac:dyDescent="0.2">
      <c r="A246" t="s">
        <v>246</v>
      </c>
      <c r="B246" t="str">
        <f>INDEX(CBS_gemeenten_alfabetisch_2023!$B:$B,MATCH($A246,CBS_gemeenten_alfabetisch_2023!$A:$A,0))</f>
        <v>Rucphen</v>
      </c>
      <c r="C246">
        <f>INDEX('5_train_share_nl'!$1:$343,MATCH($A246,'5_train_share_nl'!$A:$A,0),MATCH(C$1,'5_train_share_nl'!$1:$1,0))</f>
        <v>0</v>
      </c>
      <c r="D246">
        <f>INDEX('3_has_tram_metro'!$1:$343,MATCH($A246,'3_has_tram_metro'!$A:$A,0),MATCH(D$1,'3_has_tram_metro'!$1:$1,0))</f>
        <v>0</v>
      </c>
      <c r="E246">
        <f>INDEX('1_buildings_total'!$1:$343,MATCH($A246,'1_buildings_total'!$A:$A,0),MATCH(E$1,'1_buildings_total'!$1:$1,0))</f>
        <v>2181.8209999999999</v>
      </c>
      <c r="F246">
        <f>INDEX('2_land_use'!$1:$343,MATCH($A246,'2_land_use'!$A:$A,0),MATCH(F$1,'2_land_use'!$1:$1,0))</f>
        <v>42.120844937605582</v>
      </c>
      <c r="G246">
        <f>INDEX('4_number_of_transport'!$1:$343,MATCH($A246,'4_number_of_transport'!$A:$A,0),MATCH(G$1,'4_number_of_transport'!$1:$1,0))</f>
        <v>2131</v>
      </c>
      <c r="H246">
        <f>INDEX('4_number_of_transport'!$1:$343,MATCH($A246,'4_number_of_transport'!$A:$A,0),MATCH(H$1,'4_number_of_transport'!$1:$1,0))</f>
        <v>157</v>
      </c>
      <c r="I246">
        <f>INDEX('4_number_of_transport'!$1:$343,MATCH($A246,'4_number_of_transport'!$A:$A,0),MATCH(I$1,'4_number_of_transport'!$1:$1,0))</f>
        <v>15</v>
      </c>
      <c r="J246">
        <f>INDEX('2_land_use'!$1:$343,MATCH($A246,'2_land_use'!$A:$A,0),MATCH(J$1,'2_land_use'!$1:$1,0))</f>
        <v>1.0220024429085409E-3</v>
      </c>
      <c r="K246">
        <f>INDEX('2_land_use'!$1:$343,MATCH($A246,'2_land_use'!$A:$A,0),MATCH(K$1,'2_land_use'!$1:$1,0))</f>
        <v>1.888448799706911E-3</v>
      </c>
      <c r="L246">
        <f>INDEX('7_biomass'!$1:$343,MATCH($A246,'7_biomass'!$A:$A,0),MATCH(L$1,'7_biomass'!$1:$1,0))</f>
        <v>0.15202212017259339</v>
      </c>
      <c r="M246">
        <f>INDEX('7_biomass'!$1:$343,MATCH($A246,'7_biomass'!$A:$A,0),MATCH(M$1,'7_biomass'!$1:$1,0))</f>
        <v>7.9790495722440097E-2</v>
      </c>
      <c r="N246">
        <f>INDEX('7_biomass'!$1:$343,MATCH($A246,'7_biomass'!$A:$A,0),MATCH(N$1,'7_biomass'!$1:$1,0))</f>
        <v>1.3713908380565557E-2</v>
      </c>
      <c r="O246">
        <f>INDEX('4_number_of_transport'!$1:$343,MATCH($A246,'4_number_of_transport'!$A:$A,0),MATCH(O$1,'4_number_of_transport'!$1:$1,0))</f>
        <v>13890</v>
      </c>
      <c r="P246">
        <f>INDEX('2_land_use'!$1:$343,MATCH($A246,'2_land_use'!$A:$A,0),MATCH(P$1,'2_land_use'!$1:$1,0))</f>
        <v>64.380361000806147</v>
      </c>
      <c r="Q246">
        <f>INDEX('2_land_use'!$1:$343,MATCH($A246,'2_land_use'!$A:$A,0),MATCH(Q$1,'2_land_use'!$1:$1,0))</f>
        <v>0</v>
      </c>
      <c r="R246">
        <f>INDEX('6_roof_surface'!$1:$343,MATCH($A246,'6_roof_surface'!$A:$A,0),MATCH(R$1,'6_roof_surface'!$1:$1,0))</f>
        <v>1.074209</v>
      </c>
      <c r="S246">
        <f>INDEX('6_roof_surface'!$1:$343,MATCH($A246,'6_roof_surface'!$A:$A,0),MATCH(S$1,'6_roof_surface'!$1:$1,0))</f>
        <v>1.2059139999999999</v>
      </c>
    </row>
    <row r="247" spans="1:19" x14ac:dyDescent="0.2">
      <c r="A247" t="s">
        <v>247</v>
      </c>
      <c r="B247" t="str">
        <f>INDEX(CBS_gemeenten_alfabetisch_2023!$B:$B,MATCH($A247,CBS_gemeenten_alfabetisch_2023!$A:$A,0))</f>
        <v>Schagen</v>
      </c>
      <c r="C247">
        <f>INDEX('5_train_share_nl'!$1:$343,MATCH($A247,'5_train_share_nl'!$A:$A,0),MATCH(C$1,'5_train_share_nl'!$1:$1,0))</f>
        <v>1.6021319521577898E-3</v>
      </c>
      <c r="D247">
        <f>INDEX('3_has_tram_metro'!$1:$343,MATCH($A247,'3_has_tram_metro'!$A:$A,0),MATCH(D$1,'3_has_tram_metro'!$1:$1,0))</f>
        <v>0</v>
      </c>
      <c r="E247">
        <f>INDEX('1_buildings_total'!$1:$343,MATCH($A247,'1_buildings_total'!$A:$A,0),MATCH(E$1,'1_buildings_total'!$1:$1,0))</f>
        <v>6004.5264615384613</v>
      </c>
      <c r="F247">
        <f>INDEX('2_land_use'!$1:$343,MATCH($A247,'2_land_use'!$A:$A,0),MATCH(F$1,'2_land_use'!$1:$1,0))</f>
        <v>132.09316224054498</v>
      </c>
      <c r="G247">
        <f>INDEX('4_number_of_transport'!$1:$343,MATCH($A247,'4_number_of_transport'!$A:$A,0),MATCH(G$1,'4_number_of_transport'!$1:$1,0))</f>
        <v>3798</v>
      </c>
      <c r="H247">
        <f>INDEX('4_number_of_transport'!$1:$343,MATCH($A247,'4_number_of_transport'!$A:$A,0),MATCH(H$1,'4_number_of_transport'!$1:$1,0))</f>
        <v>199</v>
      </c>
      <c r="I247">
        <f>INDEX('4_number_of_transport'!$1:$343,MATCH($A247,'4_number_of_transport'!$A:$A,0),MATCH(I$1,'4_number_of_transport'!$1:$1,0))</f>
        <v>2</v>
      </c>
      <c r="J247">
        <f>INDEX('2_land_use'!$1:$343,MATCH($A247,'2_land_use'!$A:$A,0),MATCH(J$1,'2_land_use'!$1:$1,0))</f>
        <v>1.5577895231477193E-3</v>
      </c>
      <c r="K247">
        <f>INDEX('2_land_use'!$1:$343,MATCH($A247,'2_land_use'!$A:$A,0),MATCH(K$1,'2_land_use'!$1:$1,0))</f>
        <v>5.9222737353005206E-3</v>
      </c>
      <c r="L247">
        <f>INDEX('7_biomass'!$1:$343,MATCH($A247,'7_biomass'!$A:$A,0),MATCH(L$1,'7_biomass'!$1:$1,0))</f>
        <v>0.398657334110188</v>
      </c>
      <c r="M247">
        <f>INDEX('7_biomass'!$1:$343,MATCH($A247,'7_biomass'!$A:$A,0),MATCH(M$1,'7_biomass'!$1:$1,0))</f>
        <v>0.15223924611306333</v>
      </c>
      <c r="N247">
        <f>INDEX('7_biomass'!$1:$343,MATCH($A247,'7_biomass'!$A:$A,0),MATCH(N$1,'7_biomass'!$1:$1,0))</f>
        <v>2.8283872799949868E-2</v>
      </c>
      <c r="O247">
        <f>INDEX('4_number_of_transport'!$1:$343,MATCH($A247,'4_number_of_transport'!$A:$A,0),MATCH(O$1,'4_number_of_transport'!$1:$1,0))</f>
        <v>25888</v>
      </c>
      <c r="P247">
        <f>INDEX('2_land_use'!$1:$343,MATCH($A247,'2_land_use'!$A:$A,0),MATCH(P$1,'2_land_use'!$1:$1,0))</f>
        <v>167.99046125332146</v>
      </c>
      <c r="Q247">
        <f>INDEX('2_land_use'!$1:$343,MATCH($A247,'2_land_use'!$A:$A,0),MATCH(Q$1,'2_land_use'!$1:$1,0))</f>
        <v>15.276746839212278</v>
      </c>
      <c r="R247">
        <f>INDEX('6_roof_surface'!$1:$343,MATCH($A247,'6_roof_surface'!$A:$A,0),MATCH(R$1,'6_roof_surface'!$1:$1,0))</f>
        <v>2.1530499999999999</v>
      </c>
      <c r="S247">
        <f>INDEX('6_roof_surface'!$1:$343,MATCH($A247,'6_roof_surface'!$A:$A,0),MATCH(S$1,'6_roof_surface'!$1:$1,0))</f>
        <v>2.4680529999999998</v>
      </c>
    </row>
    <row r="248" spans="1:19" x14ac:dyDescent="0.2">
      <c r="A248" t="s">
        <v>248</v>
      </c>
      <c r="B248" t="str">
        <f>INDEX(CBS_gemeenten_alfabetisch_2023!$B:$B,MATCH($A248,CBS_gemeenten_alfabetisch_2023!$A:$A,0))</f>
        <v>Scherpenzeel</v>
      </c>
      <c r="C248">
        <f>INDEX('5_train_share_nl'!$1:$343,MATCH($A248,'5_train_share_nl'!$A:$A,0),MATCH(C$1,'5_train_share_nl'!$1:$1,0))</f>
        <v>0</v>
      </c>
      <c r="D248">
        <f>INDEX('3_has_tram_metro'!$1:$343,MATCH($A248,'3_has_tram_metro'!$A:$A,0),MATCH(D$1,'3_has_tram_metro'!$1:$1,0))</f>
        <v>0</v>
      </c>
      <c r="E248">
        <f>INDEX('1_buildings_total'!$1:$343,MATCH($A248,'1_buildings_total'!$A:$A,0),MATCH(E$1,'1_buildings_total'!$1:$1,0))</f>
        <v>584.88492307692297</v>
      </c>
      <c r="F248">
        <f>INDEX('2_land_use'!$1:$343,MATCH($A248,'2_land_use'!$A:$A,0),MATCH(F$1,'2_land_use'!$1:$1,0))</f>
        <v>9.2583777462016155</v>
      </c>
      <c r="G248">
        <f>INDEX('4_number_of_transport'!$1:$343,MATCH($A248,'4_number_of_transport'!$A:$A,0),MATCH(G$1,'4_number_of_transport'!$1:$1,0))</f>
        <v>761</v>
      </c>
      <c r="H248">
        <f>INDEX('4_number_of_transport'!$1:$343,MATCH($A248,'4_number_of_transport'!$A:$A,0),MATCH(H$1,'4_number_of_transport'!$1:$1,0))</f>
        <v>52</v>
      </c>
      <c r="I248">
        <f>INDEX('4_number_of_transport'!$1:$343,MATCH($A248,'4_number_of_transport'!$A:$A,0),MATCH(I$1,'4_number_of_transport'!$1:$1,0))</f>
        <v>1</v>
      </c>
      <c r="J248">
        <f>INDEX('2_land_use'!$1:$343,MATCH($A248,'2_land_use'!$A:$A,0),MATCH(J$1,'2_land_use'!$1:$1,0))</f>
        <v>0</v>
      </c>
      <c r="K248">
        <f>INDEX('2_land_use'!$1:$343,MATCH($A248,'2_land_use'!$A:$A,0),MATCH(K$1,'2_land_use'!$1:$1,0))</f>
        <v>4.1509073163054923E-4</v>
      </c>
      <c r="L248">
        <f>INDEX('7_biomass'!$1:$343,MATCH($A248,'7_biomass'!$A:$A,0),MATCH(L$1,'7_biomass'!$1:$1,0))</f>
        <v>3.6142904464474643E-2</v>
      </c>
      <c r="M248">
        <f>INDEX('7_biomass'!$1:$343,MATCH($A248,'7_biomass'!$A:$A,0),MATCH(M$1,'7_biomass'!$1:$1,0))</f>
        <v>6.8900424273411379E-2</v>
      </c>
      <c r="N248">
        <f>INDEX('7_biomass'!$1:$343,MATCH($A248,'7_biomass'!$A:$A,0),MATCH(N$1,'7_biomass'!$1:$1,0))</f>
        <v>5.9984679001118093E-3</v>
      </c>
      <c r="O248">
        <f>INDEX('4_number_of_transport'!$1:$343,MATCH($A248,'4_number_of_transport'!$A:$A,0),MATCH(O$1,'4_number_of_transport'!$1:$1,0))</f>
        <v>5351</v>
      </c>
      <c r="P248">
        <f>INDEX('2_land_use'!$1:$343,MATCH($A248,'2_land_use'!$A:$A,0),MATCH(P$1,'2_land_use'!$1:$1,0))</f>
        <v>13.785649335721184</v>
      </c>
      <c r="Q248">
        <f>INDEX('2_land_use'!$1:$343,MATCH($A248,'2_land_use'!$A:$A,0),MATCH(Q$1,'2_land_use'!$1:$1,0))</f>
        <v>0</v>
      </c>
      <c r="R248">
        <f>INDEX('6_roof_surface'!$1:$343,MATCH($A248,'6_roof_surface'!$A:$A,0),MATCH(R$1,'6_roof_surface'!$1:$1,0))</f>
        <v>0.31998199999999999</v>
      </c>
      <c r="S248">
        <f>INDEX('6_roof_surface'!$1:$343,MATCH($A248,'6_roof_surface'!$A:$A,0),MATCH(S$1,'6_roof_surface'!$1:$1,0))</f>
        <v>0.45593699999999998</v>
      </c>
    </row>
    <row r="249" spans="1:19" x14ac:dyDescent="0.2">
      <c r="A249" t="s">
        <v>249</v>
      </c>
      <c r="B249" t="str">
        <f>INDEX(CBS_gemeenten_alfabetisch_2023!$B:$B,MATCH($A249,CBS_gemeenten_alfabetisch_2023!$A:$A,0))</f>
        <v>Schiedam</v>
      </c>
      <c r="C249">
        <f>INDEX('5_train_share_nl'!$1:$343,MATCH($A249,'5_train_share_nl'!$A:$A,0),MATCH(C$1,'5_train_share_nl'!$1:$1,0))</f>
        <v>7.6447749551058555E-3</v>
      </c>
      <c r="D249">
        <f>INDEX('3_has_tram_metro'!$1:$343,MATCH($A249,'3_has_tram_metro'!$A:$A,0),MATCH(D$1,'3_has_tram_metro'!$1:$1,0))</f>
        <v>1</v>
      </c>
      <c r="E249">
        <f>INDEX('1_buildings_total'!$1:$343,MATCH($A249,'1_buildings_total'!$A:$A,0),MATCH(E$1,'1_buildings_total'!$1:$1,0))</f>
        <v>4098.9762307692299</v>
      </c>
      <c r="F249">
        <f>INDEX('2_land_use'!$1:$343,MATCH($A249,'2_land_use'!$A:$A,0),MATCH(F$1,'2_land_use'!$1:$1,0))</f>
        <v>2.759298091266237</v>
      </c>
      <c r="G249">
        <f>INDEX('4_number_of_transport'!$1:$343,MATCH($A249,'4_number_of_transport'!$A:$A,0),MATCH(G$1,'4_number_of_transport'!$1:$1,0))</f>
        <v>3171</v>
      </c>
      <c r="H249">
        <f>INDEX('4_number_of_transport'!$1:$343,MATCH($A249,'4_number_of_transport'!$A:$A,0),MATCH(H$1,'4_number_of_transport'!$1:$1,0))</f>
        <v>141</v>
      </c>
      <c r="I249">
        <f>INDEX('4_number_of_transport'!$1:$343,MATCH($A249,'4_number_of_transport'!$A:$A,0),MATCH(I$1,'4_number_of_transport'!$1:$1,0))</f>
        <v>1</v>
      </c>
      <c r="J249">
        <f>INDEX('2_land_use'!$1:$343,MATCH($A249,'2_land_use'!$A:$A,0),MATCH(J$1,'2_land_use'!$1:$1,0))</f>
        <v>0</v>
      </c>
      <c r="K249">
        <f>INDEX('2_land_use'!$1:$343,MATCH($A249,'2_land_use'!$A:$A,0),MATCH(K$1,'2_land_use'!$1:$1,0))</f>
        <v>1.2371055652383385E-4</v>
      </c>
      <c r="L249">
        <f>INDEX('7_biomass'!$1:$343,MATCH($A249,'7_biomass'!$A:$A,0),MATCH(L$1,'7_biomass'!$1:$1,0))</f>
        <v>0.14426049812289476</v>
      </c>
      <c r="M249">
        <f>INDEX('7_biomass'!$1:$343,MATCH($A249,'7_biomass'!$A:$A,0),MATCH(M$1,'7_biomass'!$1:$1,0))</f>
        <v>0.20332309667223383</v>
      </c>
      <c r="N249">
        <f>INDEX('7_biomass'!$1:$343,MATCH($A249,'7_biomass'!$A:$A,0),MATCH(N$1,'7_biomass'!$1:$1,0))</f>
        <v>4.7389293805410813E-2</v>
      </c>
      <c r="O249">
        <f>INDEX('4_number_of_transport'!$1:$343,MATCH($A249,'4_number_of_transport'!$A:$A,0),MATCH(O$1,'4_number_of_transport'!$1:$1,0))</f>
        <v>32009</v>
      </c>
      <c r="P249">
        <f>INDEX('2_land_use'!$1:$343,MATCH($A249,'2_land_use'!$A:$A,0),MATCH(P$1,'2_land_use'!$1:$1,0))</f>
        <v>17.807586076247375</v>
      </c>
      <c r="Q249">
        <f>INDEX('2_land_use'!$1:$343,MATCH($A249,'2_land_use'!$A:$A,0),MATCH(Q$1,'2_land_use'!$1:$1,0))</f>
        <v>0</v>
      </c>
      <c r="R249">
        <f>INDEX('6_roof_surface'!$1:$343,MATCH($A249,'6_roof_surface'!$A:$A,0),MATCH(R$1,'6_roof_surface'!$1:$1,0))</f>
        <v>1.4200680000000001</v>
      </c>
      <c r="S249">
        <f>INDEX('6_roof_surface'!$1:$343,MATCH($A249,'6_roof_surface'!$A:$A,0),MATCH(S$1,'6_roof_surface'!$1:$1,0))</f>
        <v>1.438879</v>
      </c>
    </row>
    <row r="250" spans="1:19" x14ac:dyDescent="0.2">
      <c r="A250" t="s">
        <v>250</v>
      </c>
      <c r="B250" t="str">
        <f>INDEX(CBS_gemeenten_alfabetisch_2023!$B:$B,MATCH($A250,CBS_gemeenten_alfabetisch_2023!$A:$A,0))</f>
        <v>Schiermonnikoog</v>
      </c>
      <c r="C250">
        <f>INDEX('5_train_share_nl'!$1:$343,MATCH($A250,'5_train_share_nl'!$A:$A,0),MATCH(C$1,'5_train_share_nl'!$1:$1,0))</f>
        <v>0</v>
      </c>
      <c r="D250">
        <f>INDEX('3_has_tram_metro'!$1:$343,MATCH($A250,'3_has_tram_metro'!$A:$A,0),MATCH(D$1,'3_has_tram_metro'!$1:$1,0))</f>
        <v>0</v>
      </c>
      <c r="E250">
        <f>INDEX('1_buildings_total'!$1:$343,MATCH($A250,'1_buildings_total'!$A:$A,0),MATCH(E$1,'1_buildings_total'!$1:$1,0))</f>
        <v>612.36915384615384</v>
      </c>
      <c r="F250">
        <f>INDEX('2_land_use'!$1:$343,MATCH($A250,'2_land_use'!$A:$A,0),MATCH(F$1,'2_land_use'!$1:$1,0))</f>
        <v>3.0582549677748148</v>
      </c>
      <c r="G250">
        <f>INDEX('4_number_of_transport'!$1:$343,MATCH($A250,'4_number_of_transport'!$A:$A,0),MATCH(G$1,'4_number_of_transport'!$1:$1,0))</f>
        <v>78</v>
      </c>
      <c r="H250">
        <f>INDEX('4_number_of_transport'!$1:$343,MATCH($A250,'4_number_of_transport'!$A:$A,0),MATCH(H$1,'4_number_of_transport'!$1:$1,0))</f>
        <v>4</v>
      </c>
      <c r="I250">
        <f>INDEX('4_number_of_transport'!$1:$343,MATCH($A250,'4_number_of_transport'!$A:$A,0),MATCH(I$1,'4_number_of_transport'!$1:$1,0))</f>
        <v>1</v>
      </c>
      <c r="J250">
        <f>INDEX('2_land_use'!$1:$343,MATCH($A250,'2_land_use'!$A:$A,0),MATCH(J$1,'2_land_use'!$1:$1,0))</f>
        <v>0</v>
      </c>
      <c r="K250">
        <f>INDEX('2_land_use'!$1:$343,MATCH($A250,'2_land_use'!$A:$A,0),MATCH(K$1,'2_land_use'!$1:$1,0))</f>
        <v>1.3711400926660411E-4</v>
      </c>
      <c r="L250">
        <f>INDEX('7_biomass'!$1:$343,MATCH($A250,'7_biomass'!$A:$A,0),MATCH(L$1,'7_biomass'!$1:$1,0))</f>
        <v>0.11706907452775928</v>
      </c>
      <c r="M250">
        <f>INDEX('7_biomass'!$1:$343,MATCH($A250,'7_biomass'!$A:$A,0),MATCH(M$1,'7_biomass'!$1:$1,0))</f>
        <v>5.9066152562261762E-3</v>
      </c>
      <c r="N250">
        <f>INDEX('7_biomass'!$1:$343,MATCH($A250,'7_biomass'!$A:$A,0),MATCH(N$1,'7_biomass'!$1:$1,0))</f>
        <v>5.6867881641898643E-4</v>
      </c>
      <c r="O250">
        <f>INDEX('4_number_of_transport'!$1:$343,MATCH($A250,'4_number_of_transport'!$A:$A,0),MATCH(O$1,'4_number_of_transport'!$1:$1,0))</f>
        <v>355</v>
      </c>
      <c r="P250">
        <f>INDEX('2_land_use'!$1:$343,MATCH($A250,'2_land_use'!$A:$A,0),MATCH(P$1,'2_land_use'!$1:$1,0))</f>
        <v>42.933024053928314</v>
      </c>
      <c r="Q250">
        <f>INDEX('2_land_use'!$1:$343,MATCH($A250,'2_land_use'!$A:$A,0),MATCH(Q$1,'2_land_use'!$1:$1,0))</f>
        <v>160.23018511576078</v>
      </c>
      <c r="R250">
        <f>INDEX('6_roof_surface'!$1:$343,MATCH($A250,'6_roof_surface'!$A:$A,0),MATCH(R$1,'6_roof_surface'!$1:$1,0))</f>
        <v>5.2935999999999997E-2</v>
      </c>
      <c r="S250">
        <f>INDEX('6_roof_surface'!$1:$343,MATCH($A250,'6_roof_surface'!$A:$A,0),MATCH(S$1,'6_roof_surface'!$1:$1,0))</f>
        <v>9.8764000000000005E-2</v>
      </c>
    </row>
    <row r="251" spans="1:19" x14ac:dyDescent="0.2">
      <c r="A251" t="s">
        <v>251</v>
      </c>
      <c r="B251" t="str">
        <f>INDEX(CBS_gemeenten_alfabetisch_2023!$B:$B,MATCH($A251,CBS_gemeenten_alfabetisch_2023!$A:$A,0))</f>
        <v>Schouwen-Duiveland</v>
      </c>
      <c r="C251">
        <f>INDEX('5_train_share_nl'!$1:$343,MATCH($A251,'5_train_share_nl'!$A:$A,0),MATCH(C$1,'5_train_share_nl'!$1:$1,0))</f>
        <v>0</v>
      </c>
      <c r="D251">
        <f>INDEX('3_has_tram_metro'!$1:$343,MATCH($A251,'3_has_tram_metro'!$A:$A,0),MATCH(D$1,'3_has_tram_metro'!$1:$1,0))</f>
        <v>0</v>
      </c>
      <c r="E251">
        <f>INDEX('1_buildings_total'!$1:$343,MATCH($A251,'1_buildings_total'!$A:$A,0),MATCH(E$1,'1_buildings_total'!$1:$1,0))</f>
        <v>5680.4266153846129</v>
      </c>
      <c r="F251">
        <f>INDEX('2_land_use'!$1:$343,MATCH($A251,'2_land_use'!$A:$A,0),MATCH(F$1,'2_land_use'!$1:$1,0))</f>
        <v>154.01477534142393</v>
      </c>
      <c r="G251">
        <f>INDEX('4_number_of_transport'!$1:$343,MATCH($A251,'4_number_of_transport'!$A:$A,0),MATCH(G$1,'4_number_of_transport'!$1:$1,0))</f>
        <v>2851</v>
      </c>
      <c r="H251">
        <f>INDEX('4_number_of_transport'!$1:$343,MATCH($A251,'4_number_of_transport'!$A:$A,0),MATCH(H$1,'4_number_of_transport'!$1:$1,0))</f>
        <v>125</v>
      </c>
      <c r="I251">
        <f>INDEX('4_number_of_transport'!$1:$343,MATCH($A251,'4_number_of_transport'!$A:$A,0),MATCH(I$1,'4_number_of_transport'!$1:$1,0))</f>
        <v>28</v>
      </c>
      <c r="J251">
        <f>INDEX('2_land_use'!$1:$343,MATCH($A251,'2_land_use'!$A:$A,0),MATCH(J$1,'2_land_use'!$1:$1,0))</f>
        <v>4.7766697404976795E-3</v>
      </c>
      <c r="K251">
        <f>INDEX('2_land_use'!$1:$343,MATCH($A251,'2_land_use'!$A:$A,0),MATCH(K$1,'2_land_use'!$1:$1,0))</f>
        <v>6.905108813972792E-3</v>
      </c>
      <c r="L251">
        <f>INDEX('7_biomass'!$1:$343,MATCH($A251,'7_biomass'!$A:$A,0),MATCH(L$1,'7_biomass'!$1:$1,0))</f>
        <v>0.67023350736353371</v>
      </c>
      <c r="M251">
        <f>INDEX('7_biomass'!$1:$343,MATCH($A251,'7_biomass'!$A:$A,0),MATCH(M$1,'7_biomass'!$1:$1,0))</f>
        <v>0.16480221472949413</v>
      </c>
      <c r="N251">
        <f>INDEX('7_biomass'!$1:$343,MATCH($A251,'7_biomass'!$A:$A,0),MATCH(N$1,'7_biomass'!$1:$1,0))</f>
        <v>2.0522865106642033E-2</v>
      </c>
      <c r="O251">
        <f>INDEX('4_number_of_transport'!$1:$343,MATCH($A251,'4_number_of_transport'!$A:$A,0),MATCH(O$1,'4_number_of_transport'!$1:$1,0))</f>
        <v>19718</v>
      </c>
      <c r="P251">
        <f>INDEX('2_land_use'!$1:$343,MATCH($A251,'2_land_use'!$A:$A,0),MATCH(P$1,'2_land_use'!$1:$1,0))</f>
        <v>228.59786185108095</v>
      </c>
      <c r="Q251">
        <f>INDEX('2_land_use'!$1:$343,MATCH($A251,'2_land_use'!$A:$A,0),MATCH(Q$1,'2_land_use'!$1:$1,0))</f>
        <v>187.11200533192539</v>
      </c>
      <c r="R251">
        <f>INDEX('6_roof_surface'!$1:$343,MATCH($A251,'6_roof_surface'!$A:$A,0),MATCH(R$1,'6_roof_surface'!$1:$1,0))</f>
        <v>1.614706</v>
      </c>
      <c r="S251">
        <f>INDEX('6_roof_surface'!$1:$343,MATCH($A251,'6_roof_surface'!$A:$A,0),MATCH(S$1,'6_roof_surface'!$1:$1,0))</f>
        <v>2.663586</v>
      </c>
    </row>
    <row r="252" spans="1:19" x14ac:dyDescent="0.2">
      <c r="A252" t="s">
        <v>252</v>
      </c>
      <c r="B252" t="str">
        <f>INDEX(CBS_gemeenten_alfabetisch_2023!$B:$B,MATCH($A252,CBS_gemeenten_alfabetisch_2023!$A:$A,0))</f>
        <v>Simpelveld</v>
      </c>
      <c r="C252">
        <f>INDEX('5_train_share_nl'!$1:$343,MATCH($A252,'5_train_share_nl'!$A:$A,0),MATCH(C$1,'5_train_share_nl'!$1:$1,0))</f>
        <v>0</v>
      </c>
      <c r="D252">
        <f>INDEX('3_has_tram_metro'!$1:$343,MATCH($A252,'3_has_tram_metro'!$A:$A,0),MATCH(D$1,'3_has_tram_metro'!$1:$1,0))</f>
        <v>0</v>
      </c>
      <c r="E252">
        <f>INDEX('1_buildings_total'!$1:$343,MATCH($A252,'1_buildings_total'!$A:$A,0),MATCH(E$1,'1_buildings_total'!$1:$1,0))</f>
        <v>894.79284615384643</v>
      </c>
      <c r="F252">
        <f>INDEX('2_land_use'!$1:$343,MATCH($A252,'2_land_use'!$A:$A,0),MATCH(F$1,'2_land_use'!$1:$1,0))</f>
        <v>11.971203154428121</v>
      </c>
      <c r="G252">
        <f>INDEX('4_number_of_transport'!$1:$343,MATCH($A252,'4_number_of_transport'!$A:$A,0),MATCH(G$1,'4_number_of_transport'!$1:$1,0))</f>
        <v>418</v>
      </c>
      <c r="H252">
        <f>INDEX('4_number_of_transport'!$1:$343,MATCH($A252,'4_number_of_transport'!$A:$A,0),MATCH(H$1,'4_number_of_transport'!$1:$1,0))</f>
        <v>22</v>
      </c>
      <c r="I252">
        <f>INDEX('4_number_of_transport'!$1:$343,MATCH($A252,'4_number_of_transport'!$A:$A,0),MATCH(I$1,'4_number_of_transport'!$1:$1,0))</f>
        <v>12</v>
      </c>
      <c r="J252">
        <f>INDEX('2_land_use'!$1:$343,MATCH($A252,'2_land_use'!$A:$A,0),MATCH(J$1,'2_land_use'!$1:$1,0))</f>
        <v>0</v>
      </c>
      <c r="K252">
        <f>INDEX('2_land_use'!$1:$343,MATCH($A252,'2_land_use'!$A:$A,0),MATCH(K$1,'2_land_use'!$1:$1,0))</f>
        <v>5.3671772875201243E-4</v>
      </c>
      <c r="L252">
        <f>INDEX('7_biomass'!$1:$343,MATCH($A252,'7_biomass'!$A:$A,0),MATCH(L$1,'7_biomass'!$1:$1,0))</f>
        <v>4.1474816613942388E-2</v>
      </c>
      <c r="M252">
        <f>INDEX('7_biomass'!$1:$343,MATCH($A252,'7_biomass'!$A:$A,0),MATCH(M$1,'7_biomass'!$1:$1,0))</f>
        <v>3.3821998622201782E-2</v>
      </c>
      <c r="N252">
        <f>INDEX('7_biomass'!$1:$343,MATCH($A252,'7_biomass'!$A:$A,0),MATCH(N$1,'7_biomass'!$1:$1,0))</f>
        <v>6.3891308049808344E-3</v>
      </c>
      <c r="O252">
        <f>INDEX('4_number_of_transport'!$1:$343,MATCH($A252,'4_number_of_transport'!$A:$A,0),MATCH(O$1,'4_number_of_transport'!$1:$1,0))</f>
        <v>6260</v>
      </c>
      <c r="P252">
        <f>INDEX('2_land_use'!$1:$343,MATCH($A252,'2_land_use'!$A:$A,0),MATCH(P$1,'2_land_use'!$1:$1,0))</f>
        <v>16.029947167813383</v>
      </c>
      <c r="Q252">
        <f>INDEX('2_land_use'!$1:$343,MATCH($A252,'2_land_use'!$A:$A,0),MATCH(Q$1,'2_land_use'!$1:$1,0))</f>
        <v>0</v>
      </c>
      <c r="R252">
        <f>INDEX('6_roof_surface'!$1:$343,MATCH($A252,'6_roof_surface'!$A:$A,0),MATCH(R$1,'6_roof_surface'!$1:$1,0))</f>
        <v>0.45927000000000001</v>
      </c>
      <c r="S252">
        <f>INDEX('6_roof_surface'!$1:$343,MATCH($A252,'6_roof_surface'!$A:$A,0),MATCH(S$1,'6_roof_surface'!$1:$1,0))</f>
        <v>0.218082</v>
      </c>
    </row>
    <row r="253" spans="1:19" x14ac:dyDescent="0.2">
      <c r="A253" t="s">
        <v>253</v>
      </c>
      <c r="B253" t="str">
        <f>INDEX(CBS_gemeenten_alfabetisch_2023!$B:$B,MATCH($A253,CBS_gemeenten_alfabetisch_2023!$A:$A,0))</f>
        <v>Sint-Michielsgestel</v>
      </c>
      <c r="C253">
        <f>INDEX('5_train_share_nl'!$1:$343,MATCH($A253,'5_train_share_nl'!$A:$A,0),MATCH(C$1,'5_train_share_nl'!$1:$1,0))</f>
        <v>0</v>
      </c>
      <c r="D253">
        <f>INDEX('3_has_tram_metro'!$1:$343,MATCH($A253,'3_has_tram_metro'!$A:$A,0),MATCH(D$1,'3_has_tram_metro'!$1:$1,0))</f>
        <v>0</v>
      </c>
      <c r="E253">
        <f>INDEX('1_buildings_total'!$1:$343,MATCH($A253,'1_buildings_total'!$A:$A,0),MATCH(E$1,'1_buildings_total'!$1:$1,0))</f>
        <v>2053.5288461538457</v>
      </c>
      <c r="F253">
        <f>INDEX('2_land_use'!$1:$343,MATCH($A253,'2_land_use'!$A:$A,0),MATCH(F$1,'2_land_use'!$1:$1,0))</f>
        <v>43.867168107030473</v>
      </c>
      <c r="G253">
        <f>INDEX('4_number_of_transport'!$1:$343,MATCH($A253,'4_number_of_transport'!$A:$A,0),MATCH(G$1,'4_number_of_transport'!$1:$1,0))</f>
        <v>2104</v>
      </c>
      <c r="H253">
        <f>INDEX('4_number_of_transport'!$1:$343,MATCH($A253,'4_number_of_transport'!$A:$A,0),MATCH(H$1,'4_number_of_transport'!$1:$1,0))</f>
        <v>167</v>
      </c>
      <c r="I253">
        <f>INDEX('4_number_of_transport'!$1:$343,MATCH($A253,'4_number_of_transport'!$A:$A,0),MATCH(I$1,'4_number_of_transport'!$1:$1,0))</f>
        <v>0</v>
      </c>
      <c r="J253">
        <f>INDEX('2_land_use'!$1:$343,MATCH($A253,'2_land_use'!$A:$A,0),MATCH(J$1,'2_land_use'!$1:$1,0))</f>
        <v>8.4851304198300533E-5</v>
      </c>
      <c r="K253">
        <f>INDEX('2_land_use'!$1:$343,MATCH($A253,'2_land_use'!$A:$A,0),MATCH(K$1,'2_land_use'!$1:$1,0))</f>
        <v>1.9667435703385533E-3</v>
      </c>
      <c r="L253">
        <f>INDEX('7_biomass'!$1:$343,MATCH($A253,'7_biomass'!$A:$A,0),MATCH(L$1,'7_biomass'!$1:$1,0))</f>
        <v>0.15610260368519924</v>
      </c>
      <c r="M253">
        <f>INDEX('7_biomass'!$1:$343,MATCH($A253,'7_biomass'!$A:$A,0),MATCH(M$1,'7_biomass'!$1:$1,0))</f>
        <v>9.5095364530398602E-2</v>
      </c>
      <c r="N253">
        <f>INDEX('7_biomass'!$1:$343,MATCH($A253,'7_biomass'!$A:$A,0),MATCH(N$1,'7_biomass'!$1:$1,0))</f>
        <v>1.7613854238037217E-2</v>
      </c>
      <c r="O253">
        <f>INDEX('4_number_of_transport'!$1:$343,MATCH($A253,'4_number_of_transport'!$A:$A,0),MATCH(O$1,'4_number_of_transport'!$1:$1,0))</f>
        <v>16400</v>
      </c>
      <c r="P253">
        <f>INDEX('2_land_use'!$1:$343,MATCH($A253,'2_land_use'!$A:$A,0),MATCH(P$1,'2_land_use'!$1:$1,0))</f>
        <v>58.349857361826018</v>
      </c>
      <c r="Q253">
        <f>INDEX('2_land_use'!$1:$343,MATCH($A253,'2_land_use'!$A:$A,0),MATCH(Q$1,'2_land_use'!$1:$1,0))</f>
        <v>0</v>
      </c>
      <c r="R253">
        <f>INDEX('6_roof_surface'!$1:$343,MATCH($A253,'6_roof_surface'!$A:$A,0),MATCH(R$1,'6_roof_surface'!$1:$1,0))</f>
        <v>1.296729</v>
      </c>
      <c r="S253">
        <f>INDEX('6_roof_surface'!$1:$343,MATCH($A253,'6_roof_surface'!$A:$A,0),MATCH(S$1,'6_roof_surface'!$1:$1,0))</f>
        <v>1.035199</v>
      </c>
    </row>
    <row r="254" spans="1:19" x14ac:dyDescent="0.2">
      <c r="A254" t="s">
        <v>254</v>
      </c>
      <c r="B254" t="str">
        <f>INDEX(CBS_gemeenten_alfabetisch_2023!$B:$B,MATCH($A254,CBS_gemeenten_alfabetisch_2023!$A:$A,0))</f>
        <v>Sittard-Geleen</v>
      </c>
      <c r="C254">
        <f>INDEX('5_train_share_nl'!$1:$343,MATCH($A254,'5_train_share_nl'!$A:$A,0),MATCH(C$1,'5_train_share_nl'!$1:$1,0))</f>
        <v>3.9673158746092183E-3</v>
      </c>
      <c r="D254">
        <f>INDEX('3_has_tram_metro'!$1:$343,MATCH($A254,'3_has_tram_metro'!$A:$A,0),MATCH(D$1,'3_has_tram_metro'!$1:$1,0))</f>
        <v>0</v>
      </c>
      <c r="E254">
        <f>INDEX('1_buildings_total'!$1:$343,MATCH($A254,'1_buildings_total'!$A:$A,0),MATCH(E$1,'1_buildings_total'!$1:$1,0))</f>
        <v>6661.5866153846164</v>
      </c>
      <c r="F254">
        <f>INDEX('2_land_use'!$1:$343,MATCH($A254,'2_land_use'!$A:$A,0),MATCH(F$1,'2_land_use'!$1:$1,0))</f>
        <v>30.382369830481188</v>
      </c>
      <c r="G254">
        <f>INDEX('4_number_of_transport'!$1:$343,MATCH($A254,'4_number_of_transport'!$A:$A,0),MATCH(G$1,'4_number_of_transport'!$1:$1,0))</f>
        <v>5212</v>
      </c>
      <c r="H254">
        <f>INDEX('4_number_of_transport'!$1:$343,MATCH($A254,'4_number_of_transport'!$A:$A,0),MATCH(H$1,'4_number_of_transport'!$1:$1,0))</f>
        <v>309</v>
      </c>
      <c r="I254">
        <f>INDEX('4_number_of_transport'!$1:$343,MATCH($A254,'4_number_of_transport'!$A:$A,0),MATCH(I$1,'4_number_of_transport'!$1:$1,0))</f>
        <v>2</v>
      </c>
      <c r="J254">
        <f>INDEX('2_land_use'!$1:$343,MATCH($A254,'2_land_use'!$A:$A,0),MATCH(J$1,'2_land_use'!$1:$1,0))</f>
        <v>0</v>
      </c>
      <c r="K254">
        <f>INDEX('2_land_use'!$1:$343,MATCH($A254,'2_land_use'!$A:$A,0),MATCH(K$1,'2_land_use'!$1:$1,0))</f>
        <v>1.362165215907116E-3</v>
      </c>
      <c r="L254">
        <f>INDEX('7_biomass'!$1:$343,MATCH($A254,'7_biomass'!$A:$A,0),MATCH(L$1,'7_biomass'!$1:$1,0))</f>
        <v>0.2147205182060149</v>
      </c>
      <c r="M254">
        <f>INDEX('7_biomass'!$1:$343,MATCH($A254,'7_biomass'!$A:$A,0),MATCH(M$1,'7_biomass'!$1:$1,0))</f>
        <v>0.26813790428630357</v>
      </c>
      <c r="N254">
        <f>INDEX('7_biomass'!$1:$343,MATCH($A254,'7_biomass'!$A:$A,0),MATCH(N$1,'7_biomass'!$1:$1,0))</f>
        <v>5.6297380136965496E-2</v>
      </c>
      <c r="O254">
        <f>INDEX('4_number_of_transport'!$1:$343,MATCH($A254,'4_number_of_transport'!$A:$A,0),MATCH(O$1,'4_number_of_transport'!$1:$1,0))</f>
        <v>53330</v>
      </c>
      <c r="P254">
        <f>INDEX('2_land_use'!$1:$343,MATCH($A254,'2_land_use'!$A:$A,0),MATCH(P$1,'2_land_use'!$1:$1,0))</f>
        <v>78.614331958728101</v>
      </c>
      <c r="Q254">
        <f>INDEX('2_land_use'!$1:$343,MATCH($A254,'2_land_use'!$A:$A,0),MATCH(Q$1,'2_land_use'!$1:$1,0))</f>
        <v>0</v>
      </c>
      <c r="R254">
        <f>INDEX('6_roof_surface'!$1:$343,MATCH($A254,'6_roof_surface'!$A:$A,0),MATCH(R$1,'6_roof_surface'!$1:$1,0))</f>
        <v>3.623828</v>
      </c>
      <c r="S254">
        <f>INDEX('6_roof_surface'!$1:$343,MATCH($A254,'6_roof_surface'!$A:$A,0),MATCH(S$1,'6_roof_surface'!$1:$1,0))</f>
        <v>4.189781</v>
      </c>
    </row>
    <row r="255" spans="1:19" x14ac:dyDescent="0.2">
      <c r="A255" t="s">
        <v>255</v>
      </c>
      <c r="B255" t="str">
        <f>INDEX(CBS_gemeenten_alfabetisch_2023!$B:$B,MATCH($A255,CBS_gemeenten_alfabetisch_2023!$A:$A,0))</f>
        <v>Sliedrecht</v>
      </c>
      <c r="C255">
        <f>INDEX('5_train_share_nl'!$1:$343,MATCH($A255,'5_train_share_nl'!$A:$A,0),MATCH(C$1,'5_train_share_nl'!$1:$1,0))</f>
        <v>5.6189452301332271E-4</v>
      </c>
      <c r="D255">
        <f>INDEX('3_has_tram_metro'!$1:$343,MATCH($A255,'3_has_tram_metro'!$A:$A,0),MATCH(D$1,'3_has_tram_metro'!$1:$1,0))</f>
        <v>0</v>
      </c>
      <c r="E255">
        <f>INDEX('1_buildings_total'!$1:$343,MATCH($A255,'1_buildings_total'!$A:$A,0),MATCH(E$1,'1_buildings_total'!$1:$1,0))</f>
        <v>1473.8526153846151</v>
      </c>
      <c r="F255">
        <f>INDEX('2_land_use'!$1:$343,MATCH($A255,'2_land_use'!$A:$A,0),MATCH(F$1,'2_land_use'!$1:$1,0))</f>
        <v>6.4834640603700882</v>
      </c>
      <c r="G255">
        <f>INDEX('4_number_of_transport'!$1:$343,MATCH($A255,'4_number_of_transport'!$A:$A,0),MATCH(G$1,'4_number_of_transport'!$1:$1,0))</f>
        <v>1460</v>
      </c>
      <c r="H255">
        <f>INDEX('4_number_of_transport'!$1:$343,MATCH($A255,'4_number_of_transport'!$A:$A,0),MATCH(H$1,'4_number_of_transport'!$1:$1,0))</f>
        <v>86</v>
      </c>
      <c r="I255">
        <f>INDEX('4_number_of_transport'!$1:$343,MATCH($A255,'4_number_of_transport'!$A:$A,0),MATCH(I$1,'4_number_of_transport'!$1:$1,0))</f>
        <v>1</v>
      </c>
      <c r="J255">
        <f>INDEX('2_land_use'!$1:$343,MATCH($A255,'2_land_use'!$A:$A,0),MATCH(J$1,'2_land_use'!$1:$1,0))</f>
        <v>0</v>
      </c>
      <c r="K255">
        <f>INDEX('2_land_use'!$1:$343,MATCH($A255,'2_land_use'!$A:$A,0),MATCH(K$1,'2_land_use'!$1:$1,0))</f>
        <v>2.9068006448791807E-4</v>
      </c>
      <c r="L255">
        <f>INDEX('7_biomass'!$1:$343,MATCH($A255,'7_biomass'!$A:$A,0),MATCH(L$1,'7_biomass'!$1:$1,0))</f>
        <v>4.8059759430698006E-2</v>
      </c>
      <c r="M255">
        <f>INDEX('7_biomass'!$1:$343,MATCH($A255,'7_biomass'!$A:$A,0),MATCH(M$1,'7_biomass'!$1:$1,0))</f>
        <v>6.4746269571155493E-2</v>
      </c>
      <c r="N255">
        <f>INDEX('7_biomass'!$1:$343,MATCH($A255,'7_biomass'!$A:$A,0),MATCH(N$1,'7_biomass'!$1:$1,0))</f>
        <v>1.5204867585151235E-2</v>
      </c>
      <c r="O255">
        <f>INDEX('4_number_of_transport'!$1:$343,MATCH($A255,'4_number_of_transport'!$A:$A,0),MATCH(O$1,'4_number_of_transport'!$1:$1,0))</f>
        <v>12361</v>
      </c>
      <c r="P255">
        <f>INDEX('2_land_use'!$1:$343,MATCH($A255,'2_land_use'!$A:$A,0),MATCH(P$1,'2_land_use'!$1:$1,0))</f>
        <v>12.846620532337219</v>
      </c>
      <c r="Q255">
        <f>INDEX('2_land_use'!$1:$343,MATCH($A255,'2_land_use'!$A:$A,0),MATCH(Q$1,'2_land_use'!$1:$1,0))</f>
        <v>0</v>
      </c>
      <c r="R255">
        <f>INDEX('6_roof_surface'!$1:$343,MATCH($A255,'6_roof_surface'!$A:$A,0),MATCH(R$1,'6_roof_surface'!$1:$1,0))</f>
        <v>0.59987599999999996</v>
      </c>
      <c r="S255">
        <f>INDEX('6_roof_surface'!$1:$343,MATCH($A255,'6_roof_surface'!$A:$A,0),MATCH(S$1,'6_roof_surface'!$1:$1,0))</f>
        <v>0.63731000000000004</v>
      </c>
    </row>
    <row r="256" spans="1:19" x14ac:dyDescent="0.2">
      <c r="A256" t="s">
        <v>256</v>
      </c>
      <c r="B256" t="str">
        <f>INDEX(CBS_gemeenten_alfabetisch_2023!$B:$B,MATCH($A256,CBS_gemeenten_alfabetisch_2023!$A:$A,0))</f>
        <v>Sluis</v>
      </c>
      <c r="C256">
        <f>INDEX('5_train_share_nl'!$1:$343,MATCH($A256,'5_train_share_nl'!$A:$A,0),MATCH(C$1,'5_train_share_nl'!$1:$1,0))</f>
        <v>0</v>
      </c>
      <c r="D256">
        <f>INDEX('3_has_tram_metro'!$1:$343,MATCH($A256,'3_has_tram_metro'!$A:$A,0),MATCH(D$1,'3_has_tram_metro'!$1:$1,0))</f>
        <v>0</v>
      </c>
      <c r="E256">
        <f>INDEX('1_buildings_total'!$1:$343,MATCH($A256,'1_buildings_total'!$A:$A,0),MATCH(E$1,'1_buildings_total'!$1:$1,0))</f>
        <v>5229.4630769230762</v>
      </c>
      <c r="F256">
        <f>INDEX('2_land_use'!$1:$343,MATCH($A256,'2_land_use'!$A:$A,0),MATCH(F$1,'2_land_use'!$1:$1,0))</f>
        <v>245.71999436789957</v>
      </c>
      <c r="G256">
        <f>INDEX('4_number_of_transport'!$1:$343,MATCH($A256,'4_number_of_transport'!$A:$A,0),MATCH(G$1,'4_number_of_transport'!$1:$1,0))</f>
        <v>1865</v>
      </c>
      <c r="H256">
        <f>INDEX('4_number_of_transport'!$1:$343,MATCH($A256,'4_number_of_transport'!$A:$A,0),MATCH(H$1,'4_number_of_transport'!$1:$1,0))</f>
        <v>114</v>
      </c>
      <c r="I256">
        <f>INDEX('4_number_of_transport'!$1:$343,MATCH($A256,'4_number_of_transport'!$A:$A,0),MATCH(I$1,'4_number_of_transport'!$1:$1,0))</f>
        <v>7</v>
      </c>
      <c r="J256">
        <f>INDEX('2_land_use'!$1:$343,MATCH($A256,'2_land_use'!$A:$A,0),MATCH(J$1,'2_land_use'!$1:$1,0))</f>
        <v>6.7755984100286589E-5</v>
      </c>
      <c r="K256">
        <f>INDEX('2_land_use'!$1:$343,MATCH($A256,'2_land_use'!$A:$A,0),MATCH(K$1,'2_land_use'!$1:$1,0))</f>
        <v>1.101662678218884E-2</v>
      </c>
      <c r="L256">
        <f>INDEX('7_biomass'!$1:$343,MATCH($A256,'7_biomass'!$A:$A,0),MATCH(L$1,'7_biomass'!$1:$1,0))</f>
        <v>0.68074704216281778</v>
      </c>
      <c r="M256">
        <f>INDEX('7_biomass'!$1:$343,MATCH($A256,'7_biomass'!$A:$A,0),MATCH(M$1,'7_biomass'!$1:$1,0))</f>
        <v>0.22828177189592155</v>
      </c>
      <c r="N256">
        <f>INDEX('7_biomass'!$1:$343,MATCH($A256,'7_biomass'!$A:$A,0),MATCH(N$1,'7_biomass'!$1:$1,0))</f>
        <v>1.4208464530741899E-2</v>
      </c>
      <c r="O256">
        <f>INDEX('4_number_of_transport'!$1:$343,MATCH($A256,'4_number_of_transport'!$A:$A,0),MATCH(O$1,'4_number_of_transport'!$1:$1,0))</f>
        <v>13867</v>
      </c>
      <c r="P256">
        <f>INDEX('2_land_use'!$1:$343,MATCH($A256,'2_land_use'!$A:$A,0),MATCH(P$1,'2_land_use'!$1:$1,0))</f>
        <v>278.60275138777598</v>
      </c>
      <c r="Q256">
        <f>INDEX('2_land_use'!$1:$343,MATCH($A256,'2_land_use'!$A:$A,0),MATCH(Q$1,'2_land_use'!$1:$1,0))</f>
        <v>23.93333179013398</v>
      </c>
      <c r="R256">
        <f>INDEX('6_roof_surface'!$1:$343,MATCH($A256,'6_roof_surface'!$A:$A,0),MATCH(R$1,'6_roof_surface'!$1:$1,0))</f>
        <v>1.4009069999999999</v>
      </c>
      <c r="S256">
        <f>INDEX('6_roof_surface'!$1:$343,MATCH($A256,'6_roof_surface'!$A:$A,0),MATCH(S$1,'6_roof_surface'!$1:$1,0))</f>
        <v>1.875875</v>
      </c>
    </row>
    <row r="257" spans="1:19" x14ac:dyDescent="0.2">
      <c r="A257" t="s">
        <v>257</v>
      </c>
      <c r="B257" t="str">
        <f>INDEX(CBS_gemeenten_alfabetisch_2023!$B:$B,MATCH($A257,CBS_gemeenten_alfabetisch_2023!$A:$A,0))</f>
        <v>Smallingerland</v>
      </c>
      <c r="C257">
        <f>INDEX('5_train_share_nl'!$1:$343,MATCH($A257,'5_train_share_nl'!$A:$A,0),MATCH(C$1,'5_train_share_nl'!$1:$1,0))</f>
        <v>0</v>
      </c>
      <c r="D257">
        <f>INDEX('3_has_tram_metro'!$1:$343,MATCH($A257,'3_has_tram_metro'!$A:$A,0),MATCH(D$1,'3_has_tram_metro'!$1:$1,0))</f>
        <v>0</v>
      </c>
      <c r="E257">
        <f>INDEX('1_buildings_total'!$1:$343,MATCH($A257,'1_buildings_total'!$A:$A,0),MATCH(E$1,'1_buildings_total'!$1:$1,0))</f>
        <v>4452.3200000000015</v>
      </c>
      <c r="F257">
        <f>INDEX('2_land_use'!$1:$343,MATCH($A257,'2_land_use'!$A:$A,0),MATCH(F$1,'2_land_use'!$1:$1,0))</f>
        <v>87.889217028001809</v>
      </c>
      <c r="G257">
        <f>INDEX('4_number_of_transport'!$1:$343,MATCH($A257,'4_number_of_transport'!$A:$A,0),MATCH(G$1,'4_number_of_transport'!$1:$1,0))</f>
        <v>5539</v>
      </c>
      <c r="H257">
        <f>INDEX('4_number_of_transport'!$1:$343,MATCH($A257,'4_number_of_transport'!$A:$A,0),MATCH(H$1,'4_number_of_transport'!$1:$1,0))</f>
        <v>232</v>
      </c>
      <c r="I257">
        <f>INDEX('4_number_of_transport'!$1:$343,MATCH($A257,'4_number_of_transport'!$A:$A,0),MATCH(I$1,'4_number_of_transport'!$1:$1,0))</f>
        <v>20</v>
      </c>
      <c r="J257">
        <f>INDEX('2_land_use'!$1:$343,MATCH($A257,'2_land_use'!$A:$A,0),MATCH(J$1,'2_land_use'!$1:$1,0))</f>
        <v>1.7509891707047498E-4</v>
      </c>
      <c r="K257">
        <f>INDEX('2_land_use'!$1:$343,MATCH($A257,'2_land_use'!$A:$A,0),MATCH(K$1,'2_land_use'!$1:$1,0))</f>
        <v>3.9404310775239936E-3</v>
      </c>
      <c r="L257">
        <f>INDEX('7_biomass'!$1:$343,MATCH($A257,'7_biomass'!$A:$A,0),MATCH(L$1,'7_biomass'!$1:$1,0))</f>
        <v>0.36794087093861211</v>
      </c>
      <c r="M257">
        <f>INDEX('7_biomass'!$1:$343,MATCH($A257,'7_biomass'!$A:$A,0),MATCH(M$1,'7_biomass'!$1:$1,0))</f>
        <v>0.1920537376344128</v>
      </c>
      <c r="N257">
        <f>INDEX('7_biomass'!$1:$343,MATCH($A257,'7_biomass'!$A:$A,0),MATCH(N$1,'7_biomass'!$1:$1,0))</f>
        <v>3.3985850035091095E-2</v>
      </c>
      <c r="O257">
        <f>INDEX('4_number_of_transport'!$1:$343,MATCH($A257,'4_number_of_transport'!$A:$A,0),MATCH(O$1,'4_number_of_transport'!$1:$1,0))</f>
        <v>34558</v>
      </c>
      <c r="P257">
        <f>INDEX('2_land_use'!$1:$343,MATCH($A257,'2_land_use'!$A:$A,0),MATCH(P$1,'2_land_use'!$1:$1,0))</f>
        <v>117.17254397770004</v>
      </c>
      <c r="Q257">
        <f>INDEX('2_land_use'!$1:$343,MATCH($A257,'2_land_use'!$A:$A,0),MATCH(Q$1,'2_land_use'!$1:$1,0))</f>
        <v>0</v>
      </c>
      <c r="R257">
        <f>INDEX('6_roof_surface'!$1:$343,MATCH($A257,'6_roof_surface'!$A:$A,0),MATCH(R$1,'6_roof_surface'!$1:$1,0))</f>
        <v>2.1536819999999999</v>
      </c>
      <c r="S257">
        <f>INDEX('6_roof_surface'!$1:$343,MATCH($A257,'6_roof_surface'!$A:$A,0),MATCH(S$1,'6_roof_surface'!$1:$1,0))</f>
        <v>2.0372710000000001</v>
      </c>
    </row>
    <row r="258" spans="1:19" x14ac:dyDescent="0.2">
      <c r="A258" t="s">
        <v>258</v>
      </c>
      <c r="B258" t="str">
        <f>INDEX(CBS_gemeenten_alfabetisch_2023!$B:$B,MATCH($A258,CBS_gemeenten_alfabetisch_2023!$A:$A,0))</f>
        <v>Soest</v>
      </c>
      <c r="C258">
        <f>INDEX('5_train_share_nl'!$1:$343,MATCH($A258,'5_train_share_nl'!$A:$A,0),MATCH(C$1,'5_train_share_nl'!$1:$1,0))</f>
        <v>9.9351188036675593E-4</v>
      </c>
      <c r="D258">
        <f>INDEX('3_has_tram_metro'!$1:$343,MATCH($A258,'3_has_tram_metro'!$A:$A,0),MATCH(D$1,'3_has_tram_metro'!$1:$1,0))</f>
        <v>0</v>
      </c>
      <c r="E258">
        <f>INDEX('1_buildings_total'!$1:$343,MATCH($A258,'1_buildings_total'!$A:$A,0),MATCH(E$1,'1_buildings_total'!$1:$1,0))</f>
        <v>3457.8276153846145</v>
      </c>
      <c r="F258">
        <f>INDEX('2_land_use'!$1:$343,MATCH($A258,'2_land_use'!$A:$A,0),MATCH(F$1,'2_land_use'!$1:$1,0))</f>
        <v>12.583857270657667</v>
      </c>
      <c r="G258">
        <f>INDEX('4_number_of_transport'!$1:$343,MATCH($A258,'4_number_of_transport'!$A:$A,0),MATCH(G$1,'4_number_of_transport'!$1:$1,0))</f>
        <v>2176</v>
      </c>
      <c r="H258">
        <f>INDEX('4_number_of_transport'!$1:$343,MATCH($A258,'4_number_of_transport'!$A:$A,0),MATCH(H$1,'4_number_of_transport'!$1:$1,0))</f>
        <v>169</v>
      </c>
      <c r="I258">
        <f>INDEX('4_number_of_transport'!$1:$343,MATCH($A258,'4_number_of_transport'!$A:$A,0),MATCH(I$1,'4_number_of_transport'!$1:$1,0))</f>
        <v>1</v>
      </c>
      <c r="J258">
        <f>INDEX('2_land_use'!$1:$343,MATCH($A258,'2_land_use'!$A:$A,0),MATCH(J$1,'2_land_use'!$1:$1,0))</f>
        <v>0</v>
      </c>
      <c r="K258">
        <f>INDEX('2_land_use'!$1:$343,MATCH($A258,'2_land_use'!$A:$A,0),MATCH(K$1,'2_land_use'!$1:$1,0))</f>
        <v>5.6418550467490813E-4</v>
      </c>
      <c r="L258">
        <f>INDEX('7_biomass'!$1:$343,MATCH($A258,'7_biomass'!$A:$A,0),MATCH(L$1,'7_biomass'!$1:$1,0))</f>
        <v>0.10287153094977394</v>
      </c>
      <c r="M258">
        <f>INDEX('7_biomass'!$1:$343,MATCH($A258,'7_biomass'!$A:$A,0),MATCH(M$1,'7_biomass'!$1:$1,0))</f>
        <v>0.13242882053606464</v>
      </c>
      <c r="N258">
        <f>INDEX('7_biomass'!$1:$343,MATCH($A258,'7_biomass'!$A:$A,0),MATCH(N$1,'7_biomass'!$1:$1,0))</f>
        <v>2.8065757741088312E-2</v>
      </c>
      <c r="O258">
        <f>INDEX('4_number_of_transport'!$1:$343,MATCH($A258,'4_number_of_transport'!$A:$A,0),MATCH(O$1,'4_number_of_transport'!$1:$1,0))</f>
        <v>25008</v>
      </c>
      <c r="P258">
        <f>INDEX('2_land_use'!$1:$343,MATCH($A258,'2_land_use'!$A:$A,0),MATCH(P$1,'2_land_use'!$1:$1,0))</f>
        <v>46.249763595312267</v>
      </c>
      <c r="Q258">
        <f>INDEX('2_land_use'!$1:$343,MATCH($A258,'2_land_use'!$A:$A,0),MATCH(Q$1,'2_land_use'!$1:$1,0))</f>
        <v>0</v>
      </c>
      <c r="R258">
        <f>INDEX('6_roof_surface'!$1:$343,MATCH($A258,'6_roof_surface'!$A:$A,0),MATCH(R$1,'6_roof_surface'!$1:$1,0))</f>
        <v>1.377756</v>
      </c>
      <c r="S258">
        <f>INDEX('6_roof_surface'!$1:$343,MATCH($A258,'6_roof_surface'!$A:$A,0),MATCH(S$1,'6_roof_surface'!$1:$1,0))</f>
        <v>1.2763800000000001</v>
      </c>
    </row>
    <row r="259" spans="1:19" x14ac:dyDescent="0.2">
      <c r="A259" t="s">
        <v>259</v>
      </c>
      <c r="B259" t="str">
        <f>INDEX(CBS_gemeenten_alfabetisch_2023!$B:$B,MATCH($A259,CBS_gemeenten_alfabetisch_2023!$A:$A,0))</f>
        <v>Someren</v>
      </c>
      <c r="C259">
        <f>INDEX('5_train_share_nl'!$1:$343,MATCH($A259,'5_train_share_nl'!$A:$A,0),MATCH(C$1,'5_train_share_nl'!$1:$1,0))</f>
        <v>0</v>
      </c>
      <c r="D259">
        <f>INDEX('3_has_tram_metro'!$1:$343,MATCH($A259,'3_has_tram_metro'!$A:$A,0),MATCH(D$1,'3_has_tram_metro'!$1:$1,0))</f>
        <v>0</v>
      </c>
      <c r="E259">
        <f>INDEX('1_buildings_total'!$1:$343,MATCH($A259,'1_buildings_total'!$A:$A,0),MATCH(E$1,'1_buildings_total'!$1:$1,0))</f>
        <v>1979.8813076923077</v>
      </c>
      <c r="F259">
        <f>INDEX('2_land_use'!$1:$343,MATCH($A259,'2_land_use'!$A:$A,0),MATCH(F$1,'2_land_use'!$1:$1,0))</f>
        <v>54.224823241943177</v>
      </c>
      <c r="G259">
        <f>INDEX('4_number_of_transport'!$1:$343,MATCH($A259,'4_number_of_transport'!$A:$A,0),MATCH(G$1,'4_number_of_transport'!$1:$1,0))</f>
        <v>2078</v>
      </c>
      <c r="H259">
        <f>INDEX('4_number_of_transport'!$1:$343,MATCH($A259,'4_number_of_transport'!$A:$A,0),MATCH(H$1,'4_number_of_transport'!$1:$1,0))</f>
        <v>198</v>
      </c>
      <c r="I259">
        <f>INDEX('4_number_of_transport'!$1:$343,MATCH($A259,'4_number_of_transport'!$A:$A,0),MATCH(I$1,'4_number_of_transport'!$1:$1,0))</f>
        <v>2</v>
      </c>
      <c r="J259">
        <f>INDEX('2_land_use'!$1:$343,MATCH($A259,'2_land_use'!$A:$A,0),MATCH(J$1,'2_land_use'!$1:$1,0))</f>
        <v>6.6913052418041581E-3</v>
      </c>
      <c r="K259">
        <f>INDEX('2_land_use'!$1:$343,MATCH($A259,'2_land_use'!$A:$A,0),MATCH(K$1,'2_land_use'!$1:$1,0))</f>
        <v>2.4311193784753199E-3</v>
      </c>
      <c r="L259">
        <f>INDEX('7_biomass'!$1:$343,MATCH($A259,'7_biomass'!$A:$A,0),MATCH(L$1,'7_biomass'!$1:$1,0))</f>
        <v>0.23966064850977764</v>
      </c>
      <c r="M259">
        <f>INDEX('7_biomass'!$1:$343,MATCH($A259,'7_biomass'!$A:$A,0),MATCH(M$1,'7_biomass'!$1:$1,0))</f>
        <v>0.26175994322305507</v>
      </c>
      <c r="N259">
        <f>INDEX('7_biomass'!$1:$343,MATCH($A259,'7_biomass'!$A:$A,0),MATCH(N$1,'7_biomass'!$1:$1,0))</f>
        <v>1.1739329156888523E-2</v>
      </c>
      <c r="O259">
        <f>INDEX('4_number_of_transport'!$1:$343,MATCH($A259,'4_number_of_transport'!$A:$A,0),MATCH(O$1,'4_number_of_transport'!$1:$1,0))</f>
        <v>11140</v>
      </c>
      <c r="P259">
        <f>INDEX('2_land_use'!$1:$343,MATCH($A259,'2_land_use'!$A:$A,0),MATCH(P$1,'2_land_use'!$1:$1,0))</f>
        <v>80.097911278764627</v>
      </c>
      <c r="Q259">
        <f>INDEX('2_land_use'!$1:$343,MATCH($A259,'2_land_use'!$A:$A,0),MATCH(Q$1,'2_land_use'!$1:$1,0))</f>
        <v>0</v>
      </c>
      <c r="R259">
        <f>INDEX('6_roof_surface'!$1:$343,MATCH($A259,'6_roof_surface'!$A:$A,0),MATCH(R$1,'6_roof_surface'!$1:$1,0))</f>
        <v>0.94990699999999995</v>
      </c>
      <c r="S259">
        <f>INDEX('6_roof_surface'!$1:$343,MATCH($A259,'6_roof_surface'!$A:$A,0),MATCH(S$1,'6_roof_surface'!$1:$1,0))</f>
        <v>2.7372999999999998</v>
      </c>
    </row>
    <row r="260" spans="1:19" x14ac:dyDescent="0.2">
      <c r="A260" t="s">
        <v>260</v>
      </c>
      <c r="B260" t="str">
        <f>INDEX(CBS_gemeenten_alfabetisch_2023!$B:$B,MATCH($A260,CBS_gemeenten_alfabetisch_2023!$A:$A,0))</f>
        <v>Son en Breugel</v>
      </c>
      <c r="C260">
        <f>INDEX('5_train_share_nl'!$1:$343,MATCH($A260,'5_train_share_nl'!$A:$A,0),MATCH(C$1,'5_train_share_nl'!$1:$1,0))</f>
        <v>0</v>
      </c>
      <c r="D260">
        <f>INDEX('3_has_tram_metro'!$1:$343,MATCH($A260,'3_has_tram_metro'!$A:$A,0),MATCH(D$1,'3_has_tram_metro'!$1:$1,0))</f>
        <v>0</v>
      </c>
      <c r="E260">
        <f>INDEX('1_buildings_total'!$1:$343,MATCH($A260,'1_buildings_total'!$A:$A,0),MATCH(E$1,'1_buildings_total'!$1:$1,0))</f>
        <v>919.79899999999975</v>
      </c>
      <c r="F260">
        <f>INDEX('2_land_use'!$1:$343,MATCH($A260,'2_land_use'!$A:$A,0),MATCH(F$1,'2_land_use'!$1:$1,0))</f>
        <v>11.78907430033869</v>
      </c>
      <c r="G260">
        <f>INDEX('4_number_of_transport'!$1:$343,MATCH($A260,'4_number_of_transport'!$A:$A,0),MATCH(G$1,'4_number_of_transport'!$1:$1,0))</f>
        <v>1006</v>
      </c>
      <c r="H260">
        <f>INDEX('4_number_of_transport'!$1:$343,MATCH($A260,'4_number_of_transport'!$A:$A,0),MATCH(H$1,'4_number_of_transport'!$1:$1,0))</f>
        <v>335</v>
      </c>
      <c r="I260">
        <f>INDEX('4_number_of_transport'!$1:$343,MATCH($A260,'4_number_of_transport'!$A:$A,0),MATCH(I$1,'4_number_of_transport'!$1:$1,0))</f>
        <v>0</v>
      </c>
      <c r="J260">
        <f>INDEX('2_land_use'!$1:$343,MATCH($A260,'2_land_use'!$A:$A,0),MATCH(J$1,'2_land_use'!$1:$1,0))</f>
        <v>0</v>
      </c>
      <c r="K260">
        <f>INDEX('2_land_use'!$1:$343,MATCH($A260,'2_land_use'!$A:$A,0),MATCH(K$1,'2_land_use'!$1:$1,0))</f>
        <v>5.2855215143734406E-4</v>
      </c>
      <c r="L260">
        <f>INDEX('7_biomass'!$1:$343,MATCH($A260,'7_biomass'!$A:$A,0),MATCH(L$1,'7_biomass'!$1:$1,0))</f>
        <v>5.5410537515019564E-2</v>
      </c>
      <c r="M260">
        <f>INDEX('7_biomass'!$1:$343,MATCH($A260,'7_biomass'!$A:$A,0),MATCH(M$1,'7_biomass'!$1:$1,0))</f>
        <v>7.9455235972613336E-2</v>
      </c>
      <c r="N260">
        <f>INDEX('7_biomass'!$1:$343,MATCH($A260,'7_biomass'!$A:$A,0),MATCH(N$1,'7_biomass'!$1:$1,0))</f>
        <v>1.0270242214472806E-2</v>
      </c>
      <c r="O260">
        <f>INDEX('4_number_of_transport'!$1:$343,MATCH($A260,'4_number_of_transport'!$A:$A,0),MATCH(O$1,'4_number_of_transport'!$1:$1,0))</f>
        <v>10566</v>
      </c>
      <c r="P260">
        <f>INDEX('2_land_use'!$1:$343,MATCH($A260,'2_land_use'!$A:$A,0),MATCH(P$1,'2_land_use'!$1:$1,0))</f>
        <v>25.951398759788152</v>
      </c>
      <c r="Q260">
        <f>INDEX('2_land_use'!$1:$343,MATCH($A260,'2_land_use'!$A:$A,0),MATCH(Q$1,'2_land_use'!$1:$1,0))</f>
        <v>0</v>
      </c>
      <c r="R260">
        <f>INDEX('6_roof_surface'!$1:$343,MATCH($A260,'6_roof_surface'!$A:$A,0),MATCH(R$1,'6_roof_surface'!$1:$1,0))</f>
        <v>0.70759399999999995</v>
      </c>
      <c r="S260">
        <f>INDEX('6_roof_surface'!$1:$343,MATCH($A260,'6_roof_surface'!$A:$A,0),MATCH(S$1,'6_roof_surface'!$1:$1,0))</f>
        <v>1.1014900000000001</v>
      </c>
    </row>
    <row r="261" spans="1:19" x14ac:dyDescent="0.2">
      <c r="A261" t="s">
        <v>261</v>
      </c>
      <c r="B261" t="str">
        <f>INDEX(CBS_gemeenten_alfabetisch_2023!$B:$B,MATCH($A261,CBS_gemeenten_alfabetisch_2023!$A:$A,0))</f>
        <v>Stadskanaal</v>
      </c>
      <c r="C261">
        <f>INDEX('5_train_share_nl'!$1:$343,MATCH($A261,'5_train_share_nl'!$A:$A,0),MATCH(C$1,'5_train_share_nl'!$1:$1,0))</f>
        <v>0</v>
      </c>
      <c r="D261">
        <f>INDEX('3_has_tram_metro'!$1:$343,MATCH($A261,'3_has_tram_metro'!$A:$A,0),MATCH(D$1,'3_has_tram_metro'!$1:$1,0))</f>
        <v>0</v>
      </c>
      <c r="E261">
        <f>INDEX('1_buildings_total'!$1:$343,MATCH($A261,'1_buildings_total'!$A:$A,0),MATCH(E$1,'1_buildings_total'!$1:$1,0))</f>
        <v>2836.0176153846151</v>
      </c>
      <c r="F261">
        <f>INDEX('2_land_use'!$1:$343,MATCH($A261,'2_land_use'!$A:$A,0),MATCH(F$1,'2_land_use'!$1:$1,0))</f>
        <v>93.094045293367415</v>
      </c>
      <c r="G261">
        <f>INDEX('4_number_of_transport'!$1:$343,MATCH($A261,'4_number_of_transport'!$A:$A,0),MATCH(G$1,'4_number_of_transport'!$1:$1,0))</f>
        <v>2459</v>
      </c>
      <c r="H261">
        <f>INDEX('4_number_of_transport'!$1:$343,MATCH($A261,'4_number_of_transport'!$A:$A,0),MATCH(H$1,'4_number_of_transport'!$1:$1,0))</f>
        <v>123</v>
      </c>
      <c r="I261">
        <f>INDEX('4_number_of_transport'!$1:$343,MATCH($A261,'4_number_of_transport'!$A:$A,0),MATCH(I$1,'4_number_of_transport'!$1:$1,0))</f>
        <v>2</v>
      </c>
      <c r="J261">
        <f>INDEX('2_land_use'!$1:$343,MATCH($A261,'2_land_use'!$A:$A,0),MATCH(J$1,'2_land_use'!$1:$1,0))</f>
        <v>0</v>
      </c>
      <c r="K261">
        <f>INDEX('2_land_use'!$1:$343,MATCH($A261,'2_land_use'!$A:$A,0),MATCH(K$1,'2_land_use'!$1:$1,0))</f>
        <v>4.1737846986341651E-3</v>
      </c>
      <c r="L261">
        <f>INDEX('7_biomass'!$1:$343,MATCH($A261,'7_biomass'!$A:$A,0),MATCH(L$1,'7_biomass'!$1:$1,0))</f>
        <v>0.20668982630742594</v>
      </c>
      <c r="M261">
        <f>INDEX('7_biomass'!$1:$343,MATCH($A261,'7_biomass'!$A:$A,0),MATCH(M$1,'7_biomass'!$1:$1,0))</f>
        <v>0.15903103001716057</v>
      </c>
      <c r="N261">
        <f>INDEX('7_biomass'!$1:$343,MATCH($A261,'7_biomass'!$A:$A,0),MATCH(N$1,'7_biomass'!$1:$1,0))</f>
        <v>1.9313815058913632E-2</v>
      </c>
      <c r="O261">
        <f>INDEX('4_number_of_transport'!$1:$343,MATCH($A261,'4_number_of_transport'!$A:$A,0),MATCH(O$1,'4_number_of_transport'!$1:$1,0))</f>
        <v>17836</v>
      </c>
      <c r="P261">
        <f>INDEX('2_land_use'!$1:$343,MATCH($A261,'2_land_use'!$A:$A,0),MATCH(P$1,'2_land_use'!$1:$1,0))</f>
        <v>117.62989040439302</v>
      </c>
      <c r="Q261">
        <f>INDEX('2_land_use'!$1:$343,MATCH($A261,'2_land_use'!$A:$A,0),MATCH(Q$1,'2_land_use'!$1:$1,0))</f>
        <v>0</v>
      </c>
      <c r="R261">
        <f>INDEX('6_roof_surface'!$1:$343,MATCH($A261,'6_roof_surface'!$A:$A,0),MATCH(R$1,'6_roof_surface'!$1:$1,0))</f>
        <v>1.574322</v>
      </c>
      <c r="S261">
        <f>INDEX('6_roof_surface'!$1:$343,MATCH($A261,'6_roof_surface'!$A:$A,0),MATCH(S$1,'6_roof_surface'!$1:$1,0))</f>
        <v>1.151227</v>
      </c>
    </row>
    <row r="262" spans="1:19" x14ac:dyDescent="0.2">
      <c r="A262" t="s">
        <v>262</v>
      </c>
      <c r="B262" t="str">
        <f>INDEX(CBS_gemeenten_alfabetisch_2023!$B:$B,MATCH($A262,CBS_gemeenten_alfabetisch_2023!$A:$A,0))</f>
        <v>Staphorst</v>
      </c>
      <c r="C262">
        <f>INDEX('5_train_share_nl'!$1:$343,MATCH($A262,'5_train_share_nl'!$A:$A,0),MATCH(C$1,'5_train_share_nl'!$1:$1,0))</f>
        <v>0</v>
      </c>
      <c r="D262">
        <f>INDEX('3_has_tram_metro'!$1:$343,MATCH($A262,'3_has_tram_metro'!$A:$A,0),MATCH(D$1,'3_has_tram_metro'!$1:$1,0))</f>
        <v>0</v>
      </c>
      <c r="E262">
        <f>INDEX('1_buildings_total'!$1:$343,MATCH($A262,'1_buildings_total'!$A:$A,0),MATCH(E$1,'1_buildings_total'!$1:$1,0))</f>
        <v>2641.3519999999994</v>
      </c>
      <c r="F262">
        <f>INDEX('2_land_use'!$1:$343,MATCH($A262,'2_land_use'!$A:$A,0),MATCH(F$1,'2_land_use'!$1:$1,0))</f>
        <v>111.40319181976514</v>
      </c>
      <c r="G262">
        <f>INDEX('4_number_of_transport'!$1:$343,MATCH($A262,'4_number_of_transport'!$A:$A,0),MATCH(G$1,'4_number_of_transport'!$1:$1,0))</f>
        <v>2037</v>
      </c>
      <c r="H262">
        <f>INDEX('4_number_of_transport'!$1:$343,MATCH($A262,'4_number_of_transport'!$A:$A,0),MATCH(H$1,'4_number_of_transport'!$1:$1,0))</f>
        <v>174</v>
      </c>
      <c r="I262">
        <f>INDEX('4_number_of_transport'!$1:$343,MATCH($A262,'4_number_of_transport'!$A:$A,0),MATCH(I$1,'4_number_of_transport'!$1:$1,0))</f>
        <v>1</v>
      </c>
      <c r="J262">
        <f>INDEX('2_land_use'!$1:$343,MATCH($A262,'2_land_use'!$A:$A,0),MATCH(J$1,'2_land_use'!$1:$1,0))</f>
        <v>0</v>
      </c>
      <c r="K262">
        <f>INDEX('2_land_use'!$1:$343,MATCH($A262,'2_land_use'!$A:$A,0),MATCH(K$1,'2_land_use'!$1:$1,0))</f>
        <v>4.9946582075262981E-3</v>
      </c>
      <c r="L262">
        <f>INDEX('7_biomass'!$1:$343,MATCH($A262,'7_biomass'!$A:$A,0),MATCH(L$1,'7_biomass'!$1:$1,0))</f>
        <v>0.27261177692661509</v>
      </c>
      <c r="M262">
        <f>INDEX('7_biomass'!$1:$343,MATCH($A262,'7_biomass'!$A:$A,0),MATCH(M$1,'7_biomass'!$1:$1,0))</f>
        <v>0.12466831034862132</v>
      </c>
      <c r="N262">
        <f>INDEX('7_biomass'!$1:$343,MATCH($A262,'7_biomass'!$A:$A,0),MATCH(N$1,'7_biomass'!$1:$1,0))</f>
        <v>1.0330390935440199E-2</v>
      </c>
      <c r="O262">
        <f>INDEX('4_number_of_transport'!$1:$343,MATCH($A262,'4_number_of_transport'!$A:$A,0),MATCH(O$1,'4_number_of_transport'!$1:$1,0))</f>
        <v>9565</v>
      </c>
      <c r="P262">
        <f>INDEX('2_land_use'!$1:$343,MATCH($A262,'2_land_use'!$A:$A,0),MATCH(P$1,'2_land_use'!$1:$1,0))</f>
        <v>133.94303559151425</v>
      </c>
      <c r="Q262">
        <f>INDEX('2_land_use'!$1:$343,MATCH($A262,'2_land_use'!$A:$A,0),MATCH(Q$1,'2_land_use'!$1:$1,0))</f>
        <v>0</v>
      </c>
      <c r="R262">
        <f>INDEX('6_roof_surface'!$1:$343,MATCH($A262,'6_roof_surface'!$A:$A,0),MATCH(R$1,'6_roof_surface'!$1:$1,0))</f>
        <v>0.95152099999999995</v>
      </c>
      <c r="S262">
        <f>INDEX('6_roof_surface'!$1:$343,MATCH($A262,'6_roof_surface'!$A:$A,0),MATCH(S$1,'6_roof_surface'!$1:$1,0))</f>
        <v>1.1848989999999999</v>
      </c>
    </row>
    <row r="263" spans="1:19" x14ac:dyDescent="0.2">
      <c r="A263" t="s">
        <v>263</v>
      </c>
      <c r="B263" t="str">
        <f>INDEX(CBS_gemeenten_alfabetisch_2023!$B:$B,MATCH($A263,CBS_gemeenten_alfabetisch_2023!$A:$A,0))</f>
        <v>Stede Broec</v>
      </c>
      <c r="C263">
        <f>INDEX('5_train_share_nl'!$1:$343,MATCH($A263,'5_train_share_nl'!$A:$A,0),MATCH(C$1,'5_train_share_nl'!$1:$1,0))</f>
        <v>8.5967090166449869E-4</v>
      </c>
      <c r="D263">
        <f>INDEX('3_has_tram_metro'!$1:$343,MATCH($A263,'3_has_tram_metro'!$A:$A,0),MATCH(D$1,'3_has_tram_metro'!$1:$1,0))</f>
        <v>0</v>
      </c>
      <c r="E263">
        <f>INDEX('1_buildings_total'!$1:$343,MATCH($A263,'1_buildings_total'!$A:$A,0),MATCH(E$1,'1_buildings_total'!$1:$1,0))</f>
        <v>1019.4837692307691</v>
      </c>
      <c r="F263">
        <f>INDEX('2_land_use'!$1:$343,MATCH($A263,'2_land_use'!$A:$A,0),MATCH(F$1,'2_land_use'!$1:$1,0))</f>
        <v>7.1666868206774623</v>
      </c>
      <c r="G263">
        <f>INDEX('4_number_of_transport'!$1:$343,MATCH($A263,'4_number_of_transport'!$A:$A,0),MATCH(G$1,'4_number_of_transport'!$1:$1,0))</f>
        <v>986</v>
      </c>
      <c r="H263">
        <f>INDEX('4_number_of_transport'!$1:$343,MATCH($A263,'4_number_of_transport'!$A:$A,0),MATCH(H$1,'4_number_of_transport'!$1:$1,0))</f>
        <v>63</v>
      </c>
      <c r="I263">
        <f>INDEX('4_number_of_transport'!$1:$343,MATCH($A263,'4_number_of_transport'!$A:$A,0),MATCH(I$1,'4_number_of_transport'!$1:$1,0))</f>
        <v>1</v>
      </c>
      <c r="J263">
        <f>INDEX('2_land_use'!$1:$343,MATCH($A263,'2_land_use'!$A:$A,0),MATCH(J$1,'2_land_use'!$1:$1,0))</f>
        <v>1.5680642771454827E-3</v>
      </c>
      <c r="K263">
        <f>INDEX('2_land_use'!$1:$343,MATCH($A263,'2_land_use'!$A:$A,0),MATCH(K$1,'2_land_use'!$1:$1,0))</f>
        <v>3.2131171975376442E-4</v>
      </c>
      <c r="L263">
        <f>INDEX('7_biomass'!$1:$343,MATCH($A263,'7_biomass'!$A:$A,0),MATCH(L$1,'7_biomass'!$1:$1,0))</f>
        <v>6.6069109418151806E-2</v>
      </c>
      <c r="M263">
        <f>INDEX('7_biomass'!$1:$343,MATCH($A263,'7_biomass'!$A:$A,0),MATCH(M$1,'7_biomass'!$1:$1,0))</f>
        <v>5.9785565136310309E-2</v>
      </c>
      <c r="N263">
        <f>INDEX('7_biomass'!$1:$343,MATCH($A263,'7_biomass'!$A:$A,0),MATCH(N$1,'7_biomass'!$1:$1,0))</f>
        <v>1.3187758962810384E-2</v>
      </c>
      <c r="O263">
        <f>INDEX('4_number_of_transport'!$1:$343,MATCH($A263,'4_number_of_transport'!$A:$A,0),MATCH(O$1,'4_number_of_transport'!$1:$1,0))</f>
        <v>10320</v>
      </c>
      <c r="P263">
        <f>INDEX('2_land_use'!$1:$343,MATCH($A263,'2_land_use'!$A:$A,0),MATCH(P$1,'2_land_use'!$1:$1,0))</f>
        <v>14.48271731834199</v>
      </c>
      <c r="Q263">
        <f>INDEX('2_land_use'!$1:$343,MATCH($A263,'2_land_use'!$A:$A,0),MATCH(Q$1,'2_land_use'!$1:$1,0))</f>
        <v>0</v>
      </c>
      <c r="R263">
        <f>INDEX('6_roof_surface'!$1:$343,MATCH($A263,'6_roof_surface'!$A:$A,0),MATCH(R$1,'6_roof_surface'!$1:$1,0))</f>
        <v>0.68976700000000002</v>
      </c>
      <c r="S263">
        <f>INDEX('6_roof_surface'!$1:$343,MATCH($A263,'6_roof_surface'!$A:$A,0),MATCH(S$1,'6_roof_surface'!$1:$1,0))</f>
        <v>0.84094199999999997</v>
      </c>
    </row>
    <row r="264" spans="1:19" x14ac:dyDescent="0.2">
      <c r="A264" t="s">
        <v>264</v>
      </c>
      <c r="B264" t="str">
        <f>INDEX(CBS_gemeenten_alfabetisch_2023!$B:$B,MATCH($A264,CBS_gemeenten_alfabetisch_2023!$A:$A,0))</f>
        <v>Steenbergen</v>
      </c>
      <c r="C264">
        <f>INDEX('5_train_share_nl'!$1:$343,MATCH($A264,'5_train_share_nl'!$A:$A,0),MATCH(C$1,'5_train_share_nl'!$1:$1,0))</f>
        <v>0</v>
      </c>
      <c r="D264">
        <f>INDEX('3_has_tram_metro'!$1:$343,MATCH($A264,'3_has_tram_metro'!$A:$A,0),MATCH(D$1,'3_has_tram_metro'!$1:$1,0))</f>
        <v>0</v>
      </c>
      <c r="E264">
        <f>INDEX('1_buildings_total'!$1:$343,MATCH($A264,'1_buildings_total'!$A:$A,0),MATCH(E$1,'1_buildings_total'!$1:$1,0))</f>
        <v>4132.7087692307678</v>
      </c>
      <c r="F264">
        <f>INDEX('2_land_use'!$1:$343,MATCH($A264,'2_land_use'!$A:$A,0),MATCH(F$1,'2_land_use'!$1:$1,0))</f>
        <v>124.93523882467851</v>
      </c>
      <c r="G264">
        <f>INDEX('4_number_of_transport'!$1:$343,MATCH($A264,'4_number_of_transport'!$A:$A,0),MATCH(G$1,'4_number_of_transport'!$1:$1,0))</f>
        <v>1654</v>
      </c>
      <c r="H264">
        <f>INDEX('4_number_of_transport'!$1:$343,MATCH($A264,'4_number_of_transport'!$A:$A,0),MATCH(H$1,'4_number_of_transport'!$1:$1,0))</f>
        <v>100</v>
      </c>
      <c r="I264">
        <f>INDEX('4_number_of_transport'!$1:$343,MATCH($A264,'4_number_of_transport'!$A:$A,0),MATCH(I$1,'4_number_of_transport'!$1:$1,0))</f>
        <v>2</v>
      </c>
      <c r="J264">
        <f>INDEX('2_land_use'!$1:$343,MATCH($A264,'2_land_use'!$A:$A,0),MATCH(J$1,'2_land_use'!$1:$1,0))</f>
        <v>1.259515903095401E-2</v>
      </c>
      <c r="K264">
        <f>INDEX('2_land_use'!$1:$343,MATCH($A264,'2_land_use'!$A:$A,0),MATCH(K$1,'2_land_use'!$1:$1,0))</f>
        <v>5.6013549146284617E-3</v>
      </c>
      <c r="L264">
        <f>INDEX('7_biomass'!$1:$343,MATCH($A264,'7_biomass'!$A:$A,0),MATCH(L$1,'7_biomass'!$1:$1,0))</f>
        <v>0.54188152299766867</v>
      </c>
      <c r="M264">
        <f>INDEX('7_biomass'!$1:$343,MATCH($A264,'7_biomass'!$A:$A,0),MATCH(M$1,'7_biomass'!$1:$1,0))</f>
        <v>0.12846893396012077</v>
      </c>
      <c r="N264">
        <f>INDEX('7_biomass'!$1:$343,MATCH($A264,'7_biomass'!$A:$A,0),MATCH(N$1,'7_biomass'!$1:$1,0))</f>
        <v>1.5221879344616759E-2</v>
      </c>
      <c r="O264">
        <f>INDEX('4_number_of_transport'!$1:$343,MATCH($A264,'4_number_of_transport'!$A:$A,0),MATCH(O$1,'4_number_of_transport'!$1:$1,0))</f>
        <v>13892</v>
      </c>
      <c r="P264">
        <f>INDEX('2_land_use'!$1:$343,MATCH($A264,'2_land_use'!$A:$A,0),MATCH(P$1,'2_land_use'!$1:$1,0))</f>
        <v>146.50394029482462</v>
      </c>
      <c r="Q264">
        <f>INDEX('2_land_use'!$1:$343,MATCH($A264,'2_land_use'!$A:$A,0),MATCH(Q$1,'2_land_use'!$1:$1,0))</f>
        <v>0</v>
      </c>
      <c r="R264">
        <f>INDEX('6_roof_surface'!$1:$343,MATCH($A264,'6_roof_surface'!$A:$A,0),MATCH(R$1,'6_roof_surface'!$1:$1,0))</f>
        <v>0.93236600000000003</v>
      </c>
      <c r="S264">
        <f>INDEX('6_roof_surface'!$1:$343,MATCH($A264,'6_roof_surface'!$A:$A,0),MATCH(S$1,'6_roof_surface'!$1:$1,0))</f>
        <v>3.1712220000000002</v>
      </c>
    </row>
    <row r="265" spans="1:19" x14ac:dyDescent="0.2">
      <c r="A265" t="s">
        <v>265</v>
      </c>
      <c r="B265" t="str">
        <f>INDEX(CBS_gemeenten_alfabetisch_2023!$B:$B,MATCH($A265,CBS_gemeenten_alfabetisch_2023!$A:$A,0))</f>
        <v>Steenwijkerland</v>
      </c>
      <c r="C265">
        <f>INDEX('5_train_share_nl'!$1:$343,MATCH($A265,'5_train_share_nl'!$A:$A,0),MATCH(C$1,'5_train_share_nl'!$1:$1,0))</f>
        <v>1.2433747725594316E-3</v>
      </c>
      <c r="D265">
        <f>INDEX('3_has_tram_metro'!$1:$343,MATCH($A265,'3_has_tram_metro'!$A:$A,0),MATCH(D$1,'3_has_tram_metro'!$1:$1,0))</f>
        <v>0</v>
      </c>
      <c r="E265">
        <f>INDEX('1_buildings_total'!$1:$343,MATCH($A265,'1_buildings_total'!$A:$A,0),MATCH(E$1,'1_buildings_total'!$1:$1,0))</f>
        <v>5399.0259230769243</v>
      </c>
      <c r="F265">
        <f>INDEX('2_land_use'!$1:$343,MATCH($A265,'2_land_use'!$A:$A,0),MATCH(F$1,'2_land_use'!$1:$1,0))</f>
        <v>190.39263370568565</v>
      </c>
      <c r="G265">
        <f>INDEX('4_number_of_transport'!$1:$343,MATCH($A265,'4_number_of_transport'!$A:$A,0),MATCH(G$1,'4_number_of_transport'!$1:$1,0))</f>
        <v>3369</v>
      </c>
      <c r="H265">
        <f>INDEX('4_number_of_transport'!$1:$343,MATCH($A265,'4_number_of_transport'!$A:$A,0),MATCH(H$1,'4_number_of_transport'!$1:$1,0))</f>
        <v>150</v>
      </c>
      <c r="I265">
        <f>INDEX('4_number_of_transport'!$1:$343,MATCH($A265,'4_number_of_transport'!$A:$A,0),MATCH(I$1,'4_number_of_transport'!$1:$1,0))</f>
        <v>10</v>
      </c>
      <c r="J265">
        <f>INDEX('2_land_use'!$1:$343,MATCH($A265,'2_land_use'!$A:$A,0),MATCH(J$1,'2_land_use'!$1:$1,0))</f>
        <v>0</v>
      </c>
      <c r="K265">
        <f>INDEX('2_land_use'!$1:$343,MATCH($A265,'2_land_use'!$A:$A,0),MATCH(K$1,'2_land_use'!$1:$1,0))</f>
        <v>8.5360761667327215E-3</v>
      </c>
      <c r="L265">
        <f>INDEX('7_biomass'!$1:$343,MATCH($A265,'7_biomass'!$A:$A,0),MATCH(L$1,'7_biomass'!$1:$1,0))</f>
        <v>1.2799193754662679</v>
      </c>
      <c r="M265">
        <f>INDEX('7_biomass'!$1:$343,MATCH($A265,'7_biomass'!$A:$A,0),MATCH(M$1,'7_biomass'!$1:$1,0))</f>
        <v>0.21128604226443232</v>
      </c>
      <c r="N265">
        <f>INDEX('7_biomass'!$1:$343,MATCH($A265,'7_biomass'!$A:$A,0),MATCH(N$1,'7_biomass'!$1:$1,0))</f>
        <v>2.6696311104113531E-2</v>
      </c>
      <c r="O265">
        <f>INDEX('4_number_of_transport'!$1:$343,MATCH($A265,'4_number_of_transport'!$A:$A,0),MATCH(O$1,'4_number_of_transport'!$1:$1,0))</f>
        <v>24610</v>
      </c>
      <c r="P265">
        <f>INDEX('2_land_use'!$1:$343,MATCH($A265,'2_land_use'!$A:$A,0),MATCH(P$1,'2_land_use'!$1:$1,0))</f>
        <v>288.31323997483116</v>
      </c>
      <c r="Q265">
        <f>INDEX('2_land_use'!$1:$343,MATCH($A265,'2_land_use'!$A:$A,0),MATCH(Q$1,'2_land_use'!$1:$1,0))</f>
        <v>0</v>
      </c>
      <c r="R265">
        <f>INDEX('6_roof_surface'!$1:$343,MATCH($A265,'6_roof_surface'!$A:$A,0),MATCH(R$1,'6_roof_surface'!$1:$1,0))</f>
        <v>2.366879</v>
      </c>
      <c r="S265">
        <f>INDEX('6_roof_surface'!$1:$343,MATCH($A265,'6_roof_surface'!$A:$A,0),MATCH(S$1,'6_roof_surface'!$1:$1,0))</f>
        <v>2.0245829999999998</v>
      </c>
    </row>
    <row r="266" spans="1:19" x14ac:dyDescent="0.2">
      <c r="A266" t="s">
        <v>266</v>
      </c>
      <c r="B266" t="str">
        <f>INDEX(CBS_gemeenten_alfabetisch_2023!$B:$B,MATCH($A266,CBS_gemeenten_alfabetisch_2023!$A:$A,0))</f>
        <v>Stein</v>
      </c>
      <c r="C266">
        <f>INDEX('5_train_share_nl'!$1:$343,MATCH($A266,'5_train_share_nl'!$A:$A,0),MATCH(C$1,'5_train_share_nl'!$1:$1,0))</f>
        <v>0</v>
      </c>
      <c r="D266">
        <f>INDEX('3_has_tram_metro'!$1:$343,MATCH($A266,'3_has_tram_metro'!$A:$A,0),MATCH(D$1,'3_has_tram_metro'!$1:$1,0))</f>
        <v>0</v>
      </c>
      <c r="E266">
        <f>INDEX('1_buildings_total'!$1:$343,MATCH($A266,'1_buildings_total'!$A:$A,0),MATCH(E$1,'1_buildings_total'!$1:$1,0))</f>
        <v>1435.161076923077</v>
      </c>
      <c r="F266">
        <f>INDEX('2_land_use'!$1:$343,MATCH($A266,'2_land_use'!$A:$A,0),MATCH(F$1,'2_land_use'!$1:$1,0))</f>
        <v>9.0476565594173515</v>
      </c>
      <c r="G266">
        <f>INDEX('4_number_of_transport'!$1:$343,MATCH($A266,'4_number_of_transport'!$A:$A,0),MATCH(G$1,'4_number_of_transport'!$1:$1,0))</f>
        <v>1217</v>
      </c>
      <c r="H266">
        <f>INDEX('4_number_of_transport'!$1:$343,MATCH($A266,'4_number_of_transport'!$A:$A,0),MATCH(H$1,'4_number_of_transport'!$1:$1,0))</f>
        <v>104</v>
      </c>
      <c r="I266">
        <f>INDEX('4_number_of_transport'!$1:$343,MATCH($A266,'4_number_of_transport'!$A:$A,0),MATCH(I$1,'4_number_of_transport'!$1:$1,0))</f>
        <v>9</v>
      </c>
      <c r="J266">
        <f>INDEX('2_land_use'!$1:$343,MATCH($A266,'2_land_use'!$A:$A,0),MATCH(J$1,'2_land_use'!$1:$1,0))</f>
        <v>0</v>
      </c>
      <c r="K266">
        <f>INDEX('2_land_use'!$1:$343,MATCH($A266,'2_land_use'!$A:$A,0),MATCH(K$1,'2_land_use'!$1:$1,0))</f>
        <v>4.0564324374551202E-4</v>
      </c>
      <c r="L266">
        <f>INDEX('7_biomass'!$1:$343,MATCH($A266,'7_biomass'!$A:$A,0),MATCH(L$1,'7_biomass'!$1:$1,0))</f>
        <v>6.5900395814489685E-2</v>
      </c>
      <c r="M266">
        <f>INDEX('7_biomass'!$1:$343,MATCH($A266,'7_biomass'!$A:$A,0),MATCH(M$1,'7_biomass'!$1:$1,0))</f>
        <v>7.369620992579147E-2</v>
      </c>
      <c r="N266">
        <f>INDEX('7_biomass'!$1:$343,MATCH($A266,'7_biomass'!$A:$A,0),MATCH(N$1,'7_biomass'!$1:$1,0))</f>
        <v>1.5165376000677694E-2</v>
      </c>
      <c r="O266">
        <f>INDEX('4_number_of_transport'!$1:$343,MATCH($A266,'4_number_of_transport'!$A:$A,0),MATCH(O$1,'4_number_of_transport'!$1:$1,0))</f>
        <v>15105</v>
      </c>
      <c r="P266">
        <f>INDEX('2_land_use'!$1:$343,MATCH($A266,'2_land_use'!$A:$A,0),MATCH(P$1,'2_land_use'!$1:$1,0))</f>
        <v>20.923456959324767</v>
      </c>
      <c r="Q266">
        <f>INDEX('2_land_use'!$1:$343,MATCH($A266,'2_land_use'!$A:$A,0),MATCH(Q$1,'2_land_use'!$1:$1,0))</f>
        <v>0</v>
      </c>
      <c r="R266">
        <f>INDEX('6_roof_surface'!$1:$343,MATCH($A266,'6_roof_surface'!$A:$A,0),MATCH(R$1,'6_roof_surface'!$1:$1,0))</f>
        <v>1.0448010000000001</v>
      </c>
      <c r="S266">
        <f>INDEX('6_roof_surface'!$1:$343,MATCH($A266,'6_roof_surface'!$A:$A,0),MATCH(S$1,'6_roof_surface'!$1:$1,0))</f>
        <v>0.57128000000000001</v>
      </c>
    </row>
    <row r="267" spans="1:19" x14ac:dyDescent="0.2">
      <c r="A267" t="s">
        <v>267</v>
      </c>
      <c r="B267" t="str">
        <f>INDEX(CBS_gemeenten_alfabetisch_2023!$B:$B,MATCH($A267,CBS_gemeenten_alfabetisch_2023!$A:$A,0))</f>
        <v>Stichtse Vecht</v>
      </c>
      <c r="C267">
        <f>INDEX('5_train_share_nl'!$1:$343,MATCH($A267,'5_train_share_nl'!$A:$A,0),MATCH(C$1,'5_train_share_nl'!$1:$1,0))</f>
        <v>3.9593962900706225E-3</v>
      </c>
      <c r="D267">
        <f>INDEX('3_has_tram_metro'!$1:$343,MATCH($A267,'3_has_tram_metro'!$A:$A,0),MATCH(D$1,'3_has_tram_metro'!$1:$1,0))</f>
        <v>0</v>
      </c>
      <c r="E267">
        <f>INDEX('1_buildings_total'!$1:$343,MATCH($A267,'1_buildings_total'!$A:$A,0),MATCH(E$1,'1_buildings_total'!$1:$1,0))</f>
        <v>2851.8307692307694</v>
      </c>
      <c r="F267">
        <f>INDEX('2_land_use'!$1:$343,MATCH($A267,'2_land_use'!$A:$A,0),MATCH(F$1,'2_land_use'!$1:$1,0))</f>
        <v>70.385292907979903</v>
      </c>
      <c r="G267">
        <f>INDEX('4_number_of_transport'!$1:$343,MATCH($A267,'4_number_of_transport'!$A:$A,0),MATCH(G$1,'4_number_of_transport'!$1:$1,0))</f>
        <v>2946</v>
      </c>
      <c r="H267">
        <f>INDEX('4_number_of_transport'!$1:$343,MATCH($A267,'4_number_of_transport'!$A:$A,0),MATCH(H$1,'4_number_of_transport'!$1:$1,0))</f>
        <v>178</v>
      </c>
      <c r="I267">
        <f>INDEX('4_number_of_transport'!$1:$343,MATCH($A267,'4_number_of_transport'!$A:$A,0),MATCH(I$1,'4_number_of_transport'!$1:$1,0))</f>
        <v>3</v>
      </c>
      <c r="J267">
        <f>INDEX('2_land_use'!$1:$343,MATCH($A267,'2_land_use'!$A:$A,0),MATCH(J$1,'2_land_use'!$1:$1,0))</f>
        <v>9.9621642703396577E-4</v>
      </c>
      <c r="K267">
        <f>INDEX('2_land_use'!$1:$343,MATCH($A267,'2_land_use'!$A:$A,0),MATCH(K$1,'2_land_use'!$1:$1,0))</f>
        <v>3.1556589642489246E-3</v>
      </c>
      <c r="L267">
        <f>INDEX('7_biomass'!$1:$343,MATCH($A267,'7_biomass'!$A:$A,0),MATCH(L$1,'7_biomass'!$1:$1,0))</f>
        <v>0.3553401156128852</v>
      </c>
      <c r="M267">
        <f>INDEX('7_biomass'!$1:$343,MATCH($A267,'7_biomass'!$A:$A,0),MATCH(M$1,'7_biomass'!$1:$1,0))</f>
        <v>0.19226540883832136</v>
      </c>
      <c r="N267">
        <f>INDEX('7_biomass'!$1:$343,MATCH($A267,'7_biomass'!$A:$A,0),MATCH(N$1,'7_biomass'!$1:$1,0))</f>
        <v>3.9088162749072557E-2</v>
      </c>
      <c r="O267">
        <f>INDEX('4_number_of_transport'!$1:$343,MATCH($A267,'4_number_of_transport'!$A:$A,0),MATCH(O$1,'4_number_of_transport'!$1:$1,0))</f>
        <v>33292</v>
      </c>
      <c r="P267">
        <f>INDEX('2_land_use'!$1:$343,MATCH($A267,'2_land_use'!$A:$A,0),MATCH(P$1,'2_land_use'!$1:$1,0))</f>
        <v>96.035702615040734</v>
      </c>
      <c r="Q267">
        <f>INDEX('2_land_use'!$1:$343,MATCH($A267,'2_land_use'!$A:$A,0),MATCH(Q$1,'2_land_use'!$1:$1,0))</f>
        <v>0</v>
      </c>
      <c r="R267">
        <f>INDEX('6_roof_surface'!$1:$343,MATCH($A267,'6_roof_surface'!$A:$A,0),MATCH(R$1,'6_roof_surface'!$1:$1,0))</f>
        <v>1.9457040000000001</v>
      </c>
      <c r="S267">
        <f>INDEX('6_roof_surface'!$1:$343,MATCH($A267,'6_roof_surface'!$A:$A,0),MATCH(S$1,'6_roof_surface'!$1:$1,0))</f>
        <v>1.5935159999999999</v>
      </c>
    </row>
    <row r="268" spans="1:19" x14ac:dyDescent="0.2">
      <c r="A268" t="s">
        <v>268</v>
      </c>
      <c r="B268" t="str">
        <f>INDEX(CBS_gemeenten_alfabetisch_2023!$B:$B,MATCH($A268,CBS_gemeenten_alfabetisch_2023!$A:$A,0))</f>
        <v>Súdwest-Fryslân</v>
      </c>
      <c r="C268">
        <f>INDEX('5_train_share_nl'!$1:$343,MATCH($A268,'5_train_share_nl'!$A:$A,0),MATCH(C$1,'5_train_share_nl'!$1:$1,0))</f>
        <v>1.9102037907091393E-3</v>
      </c>
      <c r="D268">
        <f>INDEX('3_has_tram_metro'!$1:$343,MATCH($A268,'3_has_tram_metro'!$A:$A,0),MATCH(D$1,'3_has_tram_metro'!$1:$1,0))</f>
        <v>0</v>
      </c>
      <c r="E268">
        <f>INDEX('1_buildings_total'!$1:$343,MATCH($A268,'1_buildings_total'!$A:$A,0),MATCH(E$1,'1_buildings_total'!$1:$1,0))</f>
        <v>13873.485076923072</v>
      </c>
      <c r="F268">
        <f>INDEX('2_land_use'!$1:$343,MATCH($A268,'2_land_use'!$A:$A,0),MATCH(F$1,'2_land_use'!$1:$1,0))</f>
        <v>458.42838755790234</v>
      </c>
      <c r="G268">
        <f>INDEX('4_number_of_transport'!$1:$343,MATCH($A268,'4_number_of_transport'!$A:$A,0),MATCH(G$1,'4_number_of_transport'!$1:$1,0))</f>
        <v>7138</v>
      </c>
      <c r="H268">
        <f>INDEX('4_number_of_transport'!$1:$343,MATCH($A268,'4_number_of_transport'!$A:$A,0),MATCH(H$1,'4_number_of_transport'!$1:$1,0))</f>
        <v>396</v>
      </c>
      <c r="I268">
        <f>INDEX('4_number_of_transport'!$1:$343,MATCH($A268,'4_number_of_transport'!$A:$A,0),MATCH(I$1,'4_number_of_transport'!$1:$1,0))</f>
        <v>7</v>
      </c>
      <c r="J268">
        <f>INDEX('2_land_use'!$1:$343,MATCH($A268,'2_land_use'!$A:$A,0),MATCH(J$1,'2_land_use'!$1:$1,0))</f>
        <v>5.9787719585110716E-4</v>
      </c>
      <c r="K268">
        <f>INDEX('2_land_use'!$1:$343,MATCH($A268,'2_land_use'!$A:$A,0),MATCH(K$1,'2_land_use'!$1:$1,0))</f>
        <v>2.0553209213103413E-2</v>
      </c>
      <c r="L268">
        <f>INDEX('7_biomass'!$1:$343,MATCH($A268,'7_biomass'!$A:$A,0),MATCH(L$1,'7_biomass'!$1:$1,0))</f>
        <v>1.7712509713693525</v>
      </c>
      <c r="M268">
        <f>INDEX('7_biomass'!$1:$343,MATCH($A268,'7_biomass'!$A:$A,0),MATCH(M$1,'7_biomass'!$1:$1,0))</f>
        <v>0.4476696168557639</v>
      </c>
      <c r="N268">
        <f>INDEX('7_biomass'!$1:$343,MATCH($A268,'7_biomass'!$A:$A,0),MATCH(N$1,'7_biomass'!$1:$1,0))</f>
        <v>5.4504462201866749E-2</v>
      </c>
      <c r="O268">
        <f>INDEX('4_number_of_transport'!$1:$343,MATCH($A268,'4_number_of_transport'!$A:$A,0),MATCH(O$1,'4_number_of_transport'!$1:$1,0))</f>
        <v>46531</v>
      </c>
      <c r="P268">
        <f>INDEX('2_land_use'!$1:$343,MATCH($A268,'2_land_use'!$A:$A,0),MATCH(P$1,'2_land_use'!$1:$1,0))</f>
        <v>522.69709907260881</v>
      </c>
      <c r="Q268">
        <f>INDEX('2_land_use'!$1:$343,MATCH($A268,'2_land_use'!$A:$A,0),MATCH(Q$1,'2_land_use'!$1:$1,0))</f>
        <v>6.4258047457232896</v>
      </c>
      <c r="R268">
        <f>INDEX('6_roof_surface'!$1:$343,MATCH($A268,'6_roof_surface'!$A:$A,0),MATCH(R$1,'6_roof_surface'!$1:$1,0))</f>
        <v>4.9790369999999999</v>
      </c>
      <c r="S268">
        <f>INDEX('6_roof_surface'!$1:$343,MATCH($A268,'6_roof_surface'!$A:$A,0),MATCH(S$1,'6_roof_surface'!$1:$1,0))</f>
        <v>0</v>
      </c>
    </row>
    <row r="269" spans="1:19" x14ac:dyDescent="0.2">
      <c r="A269" t="s">
        <v>269</v>
      </c>
      <c r="B269" t="str">
        <f>INDEX(CBS_gemeenten_alfabetisch_2023!$B:$B,MATCH($A269,CBS_gemeenten_alfabetisch_2023!$A:$A,0))</f>
        <v>Terneuzen</v>
      </c>
      <c r="C269">
        <f>INDEX('5_train_share_nl'!$1:$343,MATCH($A269,'5_train_share_nl'!$A:$A,0),MATCH(C$1,'5_train_share_nl'!$1:$1,0))</f>
        <v>0</v>
      </c>
      <c r="D269">
        <f>INDEX('3_has_tram_metro'!$1:$343,MATCH($A269,'3_has_tram_metro'!$A:$A,0),MATCH(D$1,'3_has_tram_metro'!$1:$1,0))</f>
        <v>0</v>
      </c>
      <c r="E269">
        <f>INDEX('1_buildings_total'!$1:$343,MATCH($A269,'1_buildings_total'!$A:$A,0),MATCH(E$1,'1_buildings_total'!$1:$1,0))</f>
        <v>4300.9040769230778</v>
      </c>
      <c r="F269">
        <f>INDEX('2_land_use'!$1:$343,MATCH($A269,'2_land_use'!$A:$A,0),MATCH(F$1,'2_land_use'!$1:$1,0))</f>
        <v>196.92188747256648</v>
      </c>
      <c r="G269">
        <f>INDEX('4_number_of_transport'!$1:$343,MATCH($A269,'4_number_of_transport'!$A:$A,0),MATCH(G$1,'4_number_of_transport'!$1:$1,0))</f>
        <v>3119</v>
      </c>
      <c r="H269">
        <f>INDEX('4_number_of_transport'!$1:$343,MATCH($A269,'4_number_of_transport'!$A:$A,0),MATCH(H$1,'4_number_of_transport'!$1:$1,0))</f>
        <v>220</v>
      </c>
      <c r="I269">
        <f>INDEX('4_number_of_transport'!$1:$343,MATCH($A269,'4_number_of_transport'!$A:$A,0),MATCH(I$1,'4_number_of_transport'!$1:$1,0))</f>
        <v>3</v>
      </c>
      <c r="J269">
        <f>INDEX('2_land_use'!$1:$343,MATCH($A269,'2_land_use'!$A:$A,0),MATCH(J$1,'2_land_use'!$1:$1,0))</f>
        <v>7.6106033360343632E-3</v>
      </c>
      <c r="K269">
        <f>INDEX('2_land_use'!$1:$343,MATCH($A269,'2_land_use'!$A:$A,0),MATCH(K$1,'2_land_use'!$1:$1,0))</f>
        <v>8.8288091700072964E-3</v>
      </c>
      <c r="L269">
        <f>INDEX('7_biomass'!$1:$343,MATCH($A269,'7_biomass'!$A:$A,0),MATCH(L$1,'7_biomass'!$1:$1,0))</f>
        <v>0.7193365112801644</v>
      </c>
      <c r="M269">
        <f>INDEX('7_biomass'!$1:$343,MATCH($A269,'7_biomass'!$A:$A,0),MATCH(M$1,'7_biomass'!$1:$1,0))</f>
        <v>0.26624498914620548</v>
      </c>
      <c r="N269">
        <f>INDEX('7_biomass'!$1:$343,MATCH($A269,'7_biomass'!$A:$A,0),MATCH(N$1,'7_biomass'!$1:$1,0))</f>
        <v>3.3166247766555607E-2</v>
      </c>
      <c r="O269">
        <f>INDEX('4_number_of_transport'!$1:$343,MATCH($A269,'4_number_of_transport'!$A:$A,0),MATCH(O$1,'4_number_of_transport'!$1:$1,0))</f>
        <v>31377</v>
      </c>
      <c r="P269">
        <f>INDEX('2_land_use'!$1:$343,MATCH($A269,'2_land_use'!$A:$A,0),MATCH(P$1,'2_land_use'!$1:$1,0))</f>
        <v>250.1269694493979</v>
      </c>
      <c r="Q269">
        <f>INDEX('2_land_use'!$1:$343,MATCH($A269,'2_land_use'!$A:$A,0),MATCH(Q$1,'2_land_use'!$1:$1,0))</f>
        <v>56.780498612498043</v>
      </c>
      <c r="R269">
        <f>INDEX('6_roof_surface'!$1:$343,MATCH($A269,'6_roof_surface'!$A:$A,0),MATCH(R$1,'6_roof_surface'!$1:$1,0))</f>
        <v>2.0560990000000001</v>
      </c>
      <c r="S269">
        <f>INDEX('6_roof_surface'!$1:$343,MATCH($A269,'6_roof_surface'!$A:$A,0),MATCH(S$1,'6_roof_surface'!$1:$1,0))</f>
        <v>4.3153969999999999</v>
      </c>
    </row>
    <row r="270" spans="1:19" x14ac:dyDescent="0.2">
      <c r="A270" t="s">
        <v>270</v>
      </c>
      <c r="B270" t="str">
        <f>INDEX(CBS_gemeenten_alfabetisch_2023!$B:$B,MATCH($A270,CBS_gemeenten_alfabetisch_2023!$A:$A,0))</f>
        <v>Terschelling</v>
      </c>
      <c r="C270">
        <f>INDEX('5_train_share_nl'!$1:$343,MATCH($A270,'5_train_share_nl'!$A:$A,0),MATCH(C$1,'5_train_share_nl'!$1:$1,0))</f>
        <v>0</v>
      </c>
      <c r="D270">
        <f>INDEX('3_has_tram_metro'!$1:$343,MATCH($A270,'3_has_tram_metro'!$A:$A,0),MATCH(D$1,'3_has_tram_metro'!$1:$1,0))</f>
        <v>0</v>
      </c>
      <c r="E270">
        <f>INDEX('1_buildings_total'!$1:$343,MATCH($A270,'1_buildings_total'!$A:$A,0),MATCH(E$1,'1_buildings_total'!$1:$1,0))</f>
        <v>1586.0204615384616</v>
      </c>
      <c r="F270">
        <f>INDEX('2_land_use'!$1:$343,MATCH($A270,'2_land_use'!$A:$A,0),MATCH(F$1,'2_land_use'!$1:$1,0))</f>
        <v>13.644874630284004</v>
      </c>
      <c r="G270">
        <f>INDEX('4_number_of_transport'!$1:$343,MATCH($A270,'4_number_of_transport'!$A:$A,0),MATCH(G$1,'4_number_of_transport'!$1:$1,0))</f>
        <v>666</v>
      </c>
      <c r="H270">
        <f>INDEX('4_number_of_transport'!$1:$343,MATCH($A270,'4_number_of_transport'!$A:$A,0),MATCH(H$1,'4_number_of_transport'!$1:$1,0))</f>
        <v>34</v>
      </c>
      <c r="I270">
        <f>INDEX('4_number_of_transport'!$1:$343,MATCH($A270,'4_number_of_transport'!$A:$A,0),MATCH(I$1,'4_number_of_transport'!$1:$1,0))</f>
        <v>4</v>
      </c>
      <c r="J270">
        <f>INDEX('2_land_use'!$1:$343,MATCH($A270,'2_land_use'!$A:$A,0),MATCH(J$1,'2_land_use'!$1:$1,0))</f>
        <v>0</v>
      </c>
      <c r="K270">
        <f>INDEX('2_land_use'!$1:$343,MATCH($A270,'2_land_use'!$A:$A,0),MATCH(K$1,'2_land_use'!$1:$1,0))</f>
        <v>6.1175522845947699E-4</v>
      </c>
      <c r="L270">
        <f>INDEX('7_biomass'!$1:$343,MATCH($A270,'7_biomass'!$A:$A,0),MATCH(L$1,'7_biomass'!$1:$1,0))</f>
        <v>0.19397981026432343</v>
      </c>
      <c r="M270">
        <f>INDEX('7_biomass'!$1:$343,MATCH($A270,'7_biomass'!$A:$A,0),MATCH(M$1,'7_biomass'!$1:$1,0))</f>
        <v>2.3914376437765249E-2</v>
      </c>
      <c r="N270">
        <f>INDEX('7_biomass'!$1:$343,MATCH($A270,'7_biomass'!$A:$A,0),MATCH(N$1,'7_biomass'!$1:$1,0))</f>
        <v>2.9709822780863713E-3</v>
      </c>
      <c r="O270">
        <f>INDEX('4_number_of_transport'!$1:$343,MATCH($A270,'4_number_of_transport'!$A:$A,0),MATCH(O$1,'4_number_of_transport'!$1:$1,0))</f>
        <v>2547</v>
      </c>
      <c r="P270">
        <f>INDEX('2_land_use'!$1:$343,MATCH($A270,'2_land_use'!$A:$A,0),MATCH(P$1,'2_land_use'!$1:$1,0))</f>
        <v>87.205653423271485</v>
      </c>
      <c r="Q270">
        <f>INDEX('2_land_use'!$1:$343,MATCH($A270,'2_land_use'!$A:$A,0),MATCH(Q$1,'2_land_use'!$1:$1,0))</f>
        <v>586.28317035020518</v>
      </c>
      <c r="R270">
        <f>INDEX('6_roof_surface'!$1:$343,MATCH($A270,'6_roof_surface'!$A:$A,0),MATCH(R$1,'6_roof_surface'!$1:$1,0))</f>
        <v>0.23419100000000001</v>
      </c>
      <c r="S270">
        <f>INDEX('6_roof_surface'!$1:$343,MATCH($A270,'6_roof_surface'!$A:$A,0),MATCH(S$1,'6_roof_surface'!$1:$1,0))</f>
        <v>0.26651000000000002</v>
      </c>
    </row>
    <row r="271" spans="1:19" x14ac:dyDescent="0.2">
      <c r="A271" t="s">
        <v>271</v>
      </c>
      <c r="B271" t="str">
        <f>INDEX(CBS_gemeenten_alfabetisch_2023!$B:$B,MATCH($A271,CBS_gemeenten_alfabetisch_2023!$A:$A,0))</f>
        <v>Texel</v>
      </c>
      <c r="C271">
        <f>INDEX('5_train_share_nl'!$1:$343,MATCH($A271,'5_train_share_nl'!$A:$A,0),MATCH(C$1,'5_train_share_nl'!$1:$1,0))</f>
        <v>0</v>
      </c>
      <c r="D271">
        <f>INDEX('3_has_tram_metro'!$1:$343,MATCH($A271,'3_has_tram_metro'!$A:$A,0),MATCH(D$1,'3_has_tram_metro'!$1:$1,0))</f>
        <v>0</v>
      </c>
      <c r="E271">
        <f>INDEX('1_buildings_total'!$1:$343,MATCH($A271,'1_buildings_total'!$A:$A,0),MATCH(E$1,'1_buildings_total'!$1:$1,0))</f>
        <v>4025.5919230769241</v>
      </c>
      <c r="F271">
        <f>INDEX('2_land_use'!$1:$343,MATCH($A271,'2_land_use'!$A:$A,0),MATCH(F$1,'2_land_use'!$1:$1,0))</f>
        <v>99.954986057802657</v>
      </c>
      <c r="G271">
        <f>INDEX('4_number_of_transport'!$1:$343,MATCH($A271,'4_number_of_transport'!$A:$A,0),MATCH(G$1,'4_number_of_transport'!$1:$1,0))</f>
        <v>1660</v>
      </c>
      <c r="H271">
        <f>INDEX('4_number_of_transport'!$1:$343,MATCH($A271,'4_number_of_transport'!$A:$A,0),MATCH(H$1,'4_number_of_transport'!$1:$1,0))</f>
        <v>77</v>
      </c>
      <c r="I271">
        <f>INDEX('4_number_of_transport'!$1:$343,MATCH($A271,'4_number_of_transport'!$A:$A,0),MATCH(I$1,'4_number_of_transport'!$1:$1,0))</f>
        <v>12</v>
      </c>
      <c r="J271">
        <f>INDEX('2_land_use'!$1:$343,MATCH($A271,'2_land_use'!$A:$A,0),MATCH(J$1,'2_land_use'!$1:$1,0))</f>
        <v>0</v>
      </c>
      <c r="K271">
        <f>INDEX('2_land_use'!$1:$343,MATCH($A271,'2_land_use'!$A:$A,0),MATCH(K$1,'2_land_use'!$1:$1,0))</f>
        <v>4.4813885791035787E-3</v>
      </c>
      <c r="L271">
        <f>INDEX('7_biomass'!$1:$343,MATCH($A271,'7_biomass'!$A:$A,0),MATCH(L$1,'7_biomass'!$1:$1,0))</f>
        <v>1.4458627894541727</v>
      </c>
      <c r="M271">
        <f>INDEX('7_biomass'!$1:$343,MATCH($A271,'7_biomass'!$A:$A,0),MATCH(M$1,'7_biomass'!$1:$1,0))</f>
        <v>7.0931542605506714E-2</v>
      </c>
      <c r="N271">
        <f>INDEX('7_biomass'!$1:$343,MATCH($A271,'7_biomass'!$A:$A,0),MATCH(N$1,'7_biomass'!$1:$1,0))</f>
        <v>8.2306537671239417E-3</v>
      </c>
      <c r="O271">
        <f>INDEX('4_number_of_transport'!$1:$343,MATCH($A271,'4_number_of_transport'!$A:$A,0),MATCH(O$1,'4_number_of_transport'!$1:$1,0))</f>
        <v>7566</v>
      </c>
      <c r="P271">
        <f>INDEX('2_land_use'!$1:$343,MATCH($A271,'2_land_use'!$A:$A,0),MATCH(P$1,'2_land_use'!$1:$1,0))</f>
        <v>162.25837290647615</v>
      </c>
      <c r="Q271">
        <f>INDEX('2_land_use'!$1:$343,MATCH($A271,'2_land_use'!$A:$A,0),MATCH(Q$1,'2_land_use'!$1:$1,0))</f>
        <v>298.21901326165863</v>
      </c>
      <c r="R271">
        <f>INDEX('6_roof_surface'!$1:$343,MATCH($A271,'6_roof_surface'!$A:$A,0),MATCH(R$1,'6_roof_surface'!$1:$1,0))</f>
        <v>0.82857099999999995</v>
      </c>
      <c r="S271">
        <f>INDEX('6_roof_surface'!$1:$343,MATCH($A271,'6_roof_surface'!$A:$A,0),MATCH(S$1,'6_roof_surface'!$1:$1,0))</f>
        <v>0.98050700000000002</v>
      </c>
    </row>
    <row r="272" spans="1:19" x14ac:dyDescent="0.2">
      <c r="A272" t="s">
        <v>272</v>
      </c>
      <c r="B272" t="str">
        <f>INDEX(CBS_gemeenten_alfabetisch_2023!$B:$B,MATCH($A272,CBS_gemeenten_alfabetisch_2023!$A:$A,0))</f>
        <v>Teylingen</v>
      </c>
      <c r="C272">
        <f>INDEX('5_train_share_nl'!$1:$343,MATCH($A272,'5_train_share_nl'!$A:$A,0),MATCH(C$1,'5_train_share_nl'!$1:$1,0))</f>
        <v>2.5738649750434092E-3</v>
      </c>
      <c r="D272">
        <f>INDEX('3_has_tram_metro'!$1:$343,MATCH($A272,'3_has_tram_metro'!$A:$A,0),MATCH(D$1,'3_has_tram_metro'!$1:$1,0))</f>
        <v>0</v>
      </c>
      <c r="E272">
        <f>INDEX('1_buildings_total'!$1:$343,MATCH($A272,'1_buildings_total'!$A:$A,0),MATCH(E$1,'1_buildings_total'!$1:$1,0))</f>
        <v>1736.4016923076922</v>
      </c>
      <c r="F272">
        <f>INDEX('2_land_use'!$1:$343,MATCH($A272,'2_land_use'!$A:$A,0),MATCH(F$1,'2_land_use'!$1:$1,0))</f>
        <v>17.371558293032379</v>
      </c>
      <c r="G272">
        <f>INDEX('4_number_of_transport'!$1:$343,MATCH($A272,'4_number_of_transport'!$A:$A,0),MATCH(G$1,'4_number_of_transport'!$1:$1,0))</f>
        <v>1940</v>
      </c>
      <c r="H272">
        <f>INDEX('4_number_of_transport'!$1:$343,MATCH($A272,'4_number_of_transport'!$A:$A,0),MATCH(H$1,'4_number_of_transport'!$1:$1,0))</f>
        <v>165</v>
      </c>
      <c r="I272">
        <f>INDEX('4_number_of_transport'!$1:$343,MATCH($A272,'4_number_of_transport'!$A:$A,0),MATCH(I$1,'4_number_of_transport'!$1:$1,0))</f>
        <v>1</v>
      </c>
      <c r="J272">
        <f>INDEX('2_land_use'!$1:$343,MATCH($A272,'2_land_use'!$A:$A,0),MATCH(J$1,'2_land_use'!$1:$1,0))</f>
        <v>5.4092897487572288E-4</v>
      </c>
      <c r="K272">
        <f>INDEX('2_land_use'!$1:$343,MATCH($A272,'2_land_use'!$A:$A,0),MATCH(K$1,'2_land_use'!$1:$1,0))</f>
        <v>7.7883761487004236E-4</v>
      </c>
      <c r="L272">
        <f>INDEX('7_biomass'!$1:$343,MATCH($A272,'7_biomass'!$A:$A,0),MATCH(L$1,'7_biomass'!$1:$1,0))</f>
        <v>0.1319156705639285</v>
      </c>
      <c r="M272">
        <f>INDEX('7_biomass'!$1:$343,MATCH($A272,'7_biomass'!$A:$A,0),MATCH(M$1,'7_biomass'!$1:$1,0))</f>
        <v>9.6413924833441203E-2</v>
      </c>
      <c r="N272">
        <f>INDEX('7_biomass'!$1:$343,MATCH($A272,'7_biomass'!$A:$A,0),MATCH(N$1,'7_biomass'!$1:$1,0))</f>
        <v>2.2516886341136813E-2</v>
      </c>
      <c r="O272">
        <f>INDEX('4_number_of_transport'!$1:$343,MATCH($A272,'4_number_of_transport'!$A:$A,0),MATCH(O$1,'4_number_of_transport'!$1:$1,0))</f>
        <v>20106</v>
      </c>
      <c r="P272">
        <f>INDEX('2_land_use'!$1:$343,MATCH($A272,'2_land_use'!$A:$A,0),MATCH(P$1,'2_land_use'!$1:$1,0))</f>
        <v>28.318744341808955</v>
      </c>
      <c r="Q272">
        <f>INDEX('2_land_use'!$1:$343,MATCH($A272,'2_land_use'!$A:$A,0),MATCH(Q$1,'2_land_use'!$1:$1,0))</f>
        <v>0</v>
      </c>
      <c r="R272">
        <f>INDEX('6_roof_surface'!$1:$343,MATCH($A272,'6_roof_surface'!$A:$A,0),MATCH(R$1,'6_roof_surface'!$1:$1,0))</f>
        <v>1.103046</v>
      </c>
      <c r="S272">
        <f>INDEX('6_roof_surface'!$1:$343,MATCH($A272,'6_roof_surface'!$A:$A,0),MATCH(S$1,'6_roof_surface'!$1:$1,0))</f>
        <v>1.239984</v>
      </c>
    </row>
    <row r="273" spans="1:19" x14ac:dyDescent="0.2">
      <c r="A273" t="s">
        <v>273</v>
      </c>
      <c r="B273" t="str">
        <f>INDEX(CBS_gemeenten_alfabetisch_2023!$B:$B,MATCH($A273,CBS_gemeenten_alfabetisch_2023!$A:$A,0))</f>
        <v>Tholen</v>
      </c>
      <c r="C273">
        <f>INDEX('5_train_share_nl'!$1:$343,MATCH($A273,'5_train_share_nl'!$A:$A,0),MATCH(C$1,'5_train_share_nl'!$1:$1,0))</f>
        <v>0</v>
      </c>
      <c r="D273">
        <f>INDEX('3_has_tram_metro'!$1:$343,MATCH($A273,'3_has_tram_metro'!$A:$A,0),MATCH(D$1,'3_has_tram_metro'!$1:$1,0))</f>
        <v>0</v>
      </c>
      <c r="E273">
        <f>INDEX('1_buildings_total'!$1:$343,MATCH($A273,'1_buildings_total'!$A:$A,0),MATCH(E$1,'1_buildings_total'!$1:$1,0))</f>
        <v>1859.0050769230768</v>
      </c>
      <c r="F273">
        <f>INDEX('2_land_use'!$1:$343,MATCH($A273,'2_land_use'!$A:$A,0),MATCH(F$1,'2_land_use'!$1:$1,0))</f>
        <v>119.76671444038601</v>
      </c>
      <c r="G273">
        <f>INDEX('4_number_of_transport'!$1:$343,MATCH($A273,'4_number_of_transport'!$A:$A,0),MATCH(G$1,'4_number_of_transport'!$1:$1,0))</f>
        <v>2335</v>
      </c>
      <c r="H273">
        <f>INDEX('4_number_of_transport'!$1:$343,MATCH($A273,'4_number_of_transport'!$A:$A,0),MATCH(H$1,'4_number_of_transport'!$1:$1,0))</f>
        <v>85</v>
      </c>
      <c r="I273">
        <f>INDEX('4_number_of_transport'!$1:$343,MATCH($A273,'4_number_of_transport'!$A:$A,0),MATCH(I$1,'4_number_of_transport'!$1:$1,0))</f>
        <v>10</v>
      </c>
      <c r="J273">
        <f>INDEX('2_land_use'!$1:$343,MATCH($A273,'2_land_use'!$A:$A,0),MATCH(J$1,'2_land_use'!$1:$1,0))</f>
        <v>3.7004364809228411E-3</v>
      </c>
      <c r="K273">
        <f>INDEX('2_land_use'!$1:$343,MATCH($A273,'2_land_use'!$A:$A,0),MATCH(K$1,'2_land_use'!$1:$1,0))</f>
        <v>5.3696289441681946E-3</v>
      </c>
      <c r="L273">
        <f>INDEX('7_biomass'!$1:$343,MATCH($A273,'7_biomass'!$A:$A,0),MATCH(L$1,'7_biomass'!$1:$1,0))</f>
        <v>0.51207980167757694</v>
      </c>
      <c r="M273">
        <f>INDEX('7_biomass'!$1:$343,MATCH($A273,'7_biomass'!$A:$A,0),MATCH(M$1,'7_biomass'!$1:$1,0))</f>
        <v>0.13415435932523595</v>
      </c>
      <c r="N273">
        <f>INDEX('7_biomass'!$1:$343,MATCH($A273,'7_biomass'!$A:$A,0),MATCH(N$1,'7_biomass'!$1:$1,0))</f>
        <v>1.5662969965044307E-2</v>
      </c>
      <c r="O273">
        <f>INDEX('4_number_of_transport'!$1:$343,MATCH($A273,'4_number_of_transport'!$A:$A,0),MATCH(O$1,'4_number_of_transport'!$1:$1,0))</f>
        <v>14329</v>
      </c>
      <c r="P273">
        <f>INDEX('2_land_use'!$1:$343,MATCH($A273,'2_land_use'!$A:$A,0),MATCH(P$1,'2_land_use'!$1:$1,0))</f>
        <v>146.71827172796301</v>
      </c>
      <c r="Q273">
        <f>INDEX('2_land_use'!$1:$343,MATCH($A273,'2_land_use'!$A:$A,0),MATCH(Q$1,'2_land_use'!$1:$1,0))</f>
        <v>91.679182788379464</v>
      </c>
      <c r="R273">
        <f>INDEX('6_roof_surface'!$1:$343,MATCH($A273,'6_roof_surface'!$A:$A,0),MATCH(R$1,'6_roof_surface'!$1:$1,0))</f>
        <v>0.96734500000000001</v>
      </c>
      <c r="S273">
        <f>INDEX('6_roof_surface'!$1:$343,MATCH($A273,'6_roof_surface'!$A:$A,0),MATCH(S$1,'6_roof_surface'!$1:$1,0))</f>
        <v>1.7973220000000001</v>
      </c>
    </row>
    <row r="274" spans="1:19" x14ac:dyDescent="0.2">
      <c r="A274" t="s">
        <v>274</v>
      </c>
      <c r="B274" t="str">
        <f>INDEX(CBS_gemeenten_alfabetisch_2023!$B:$B,MATCH($A274,CBS_gemeenten_alfabetisch_2023!$A:$A,0))</f>
        <v>Tiel</v>
      </c>
      <c r="C274">
        <f>INDEX('5_train_share_nl'!$1:$343,MATCH($A274,'5_train_share_nl'!$A:$A,0),MATCH(C$1,'5_train_share_nl'!$1:$1,0))</f>
        <v>1.6124274120579633E-3</v>
      </c>
      <c r="D274">
        <f>INDEX('3_has_tram_metro'!$1:$343,MATCH($A274,'3_has_tram_metro'!$A:$A,0),MATCH(D$1,'3_has_tram_metro'!$1:$1,0))</f>
        <v>0</v>
      </c>
      <c r="E274">
        <f>INDEX('1_buildings_total'!$1:$343,MATCH($A274,'1_buildings_total'!$A:$A,0),MATCH(E$1,'1_buildings_total'!$1:$1,0))</f>
        <v>2676.4413076923083</v>
      </c>
      <c r="F274">
        <f>INDEX('2_land_use'!$1:$343,MATCH($A274,'2_land_use'!$A:$A,0),MATCH(F$1,'2_land_use'!$1:$1,0))</f>
        <v>17.551191595242816</v>
      </c>
      <c r="G274">
        <f>INDEX('4_number_of_transport'!$1:$343,MATCH($A274,'4_number_of_transport'!$A:$A,0),MATCH(G$1,'4_number_of_transport'!$1:$1,0))</f>
        <v>2874</v>
      </c>
      <c r="H274">
        <f>INDEX('4_number_of_transport'!$1:$343,MATCH($A274,'4_number_of_transport'!$A:$A,0),MATCH(H$1,'4_number_of_transport'!$1:$1,0))</f>
        <v>220</v>
      </c>
      <c r="I274">
        <f>INDEX('4_number_of_transport'!$1:$343,MATCH($A274,'4_number_of_transport'!$A:$A,0),MATCH(I$1,'4_number_of_transport'!$1:$1,0))</f>
        <v>16</v>
      </c>
      <c r="J274">
        <f>INDEX('2_land_use'!$1:$343,MATCH($A274,'2_land_use'!$A:$A,0),MATCH(J$1,'2_land_use'!$1:$1,0))</f>
        <v>0</v>
      </c>
      <c r="K274">
        <f>INDEX('2_land_use'!$1:$343,MATCH($A274,'2_land_use'!$A:$A,0),MATCH(K$1,'2_land_use'!$1:$1,0))</f>
        <v>7.8689130644363724E-4</v>
      </c>
      <c r="L274">
        <f>INDEX('7_biomass'!$1:$343,MATCH($A274,'7_biomass'!$A:$A,0),MATCH(L$1,'7_biomass'!$1:$1,0))</f>
        <v>0.10925886677752064</v>
      </c>
      <c r="M274">
        <f>INDEX('7_biomass'!$1:$343,MATCH($A274,'7_biomass'!$A:$A,0),MATCH(M$1,'7_biomass'!$1:$1,0))</f>
        <v>0.11692893425214192</v>
      </c>
      <c r="N274">
        <f>INDEX('7_biomass'!$1:$343,MATCH($A274,'7_biomass'!$A:$A,0),MATCH(N$1,'7_biomass'!$1:$1,0))</f>
        <v>2.5504272815850656E-2</v>
      </c>
      <c r="O274">
        <f>INDEX('4_number_of_transport'!$1:$343,MATCH($A274,'4_number_of_transport'!$A:$A,0),MATCH(O$1,'4_number_of_transport'!$1:$1,0))</f>
        <v>24699</v>
      </c>
      <c r="P274">
        <f>INDEX('2_land_use'!$1:$343,MATCH($A274,'2_land_use'!$A:$A,0),MATCH(P$1,'2_land_use'!$1:$1,0))</f>
        <v>32.798899056443688</v>
      </c>
      <c r="Q274">
        <f>INDEX('2_land_use'!$1:$343,MATCH($A274,'2_land_use'!$A:$A,0),MATCH(Q$1,'2_land_use'!$1:$1,0))</f>
        <v>0</v>
      </c>
      <c r="R274">
        <f>INDEX('6_roof_surface'!$1:$343,MATCH($A274,'6_roof_surface'!$A:$A,0),MATCH(R$1,'6_roof_surface'!$1:$1,0))</f>
        <v>1.1840729999999999</v>
      </c>
      <c r="S274">
        <f>INDEX('6_roof_surface'!$1:$343,MATCH($A274,'6_roof_surface'!$A:$A,0),MATCH(S$1,'6_roof_surface'!$1:$1,0))</f>
        <v>1.8905209999999999</v>
      </c>
    </row>
    <row r="275" spans="1:19" x14ac:dyDescent="0.2">
      <c r="A275" t="s">
        <v>275</v>
      </c>
      <c r="B275" t="str">
        <f>INDEX(CBS_gemeenten_alfabetisch_2023!$B:$B,MATCH($A275,CBS_gemeenten_alfabetisch_2023!$A:$A,0))</f>
        <v>Tilburg</v>
      </c>
      <c r="C275">
        <f>INDEX('5_train_share_nl'!$1:$343,MATCH($A275,'5_train_share_nl'!$A:$A,0),MATCH(C$1,'5_train_share_nl'!$1:$1,0))</f>
        <v>1.5815410323574426E-2</v>
      </c>
      <c r="D275">
        <f>INDEX('3_has_tram_metro'!$1:$343,MATCH($A275,'3_has_tram_metro'!$A:$A,0),MATCH(D$1,'3_has_tram_metro'!$1:$1,0))</f>
        <v>0</v>
      </c>
      <c r="E275">
        <f>INDEX('1_buildings_total'!$1:$343,MATCH($A275,'1_buildings_total'!$A:$A,0),MATCH(E$1,'1_buildings_total'!$1:$1,0))</f>
        <v>13481.961923076924</v>
      </c>
      <c r="F275">
        <f>INDEX('2_land_use'!$1:$343,MATCH($A275,'2_land_use'!$A:$A,0),MATCH(F$1,'2_land_use'!$1:$1,0))</f>
        <v>44.961327815006683</v>
      </c>
      <c r="G275">
        <f>INDEX('4_number_of_transport'!$1:$343,MATCH($A275,'4_number_of_transport'!$A:$A,0),MATCH(G$1,'4_number_of_transport'!$1:$1,0))</f>
        <v>13072</v>
      </c>
      <c r="H275">
        <f>INDEX('4_number_of_transport'!$1:$343,MATCH($A275,'4_number_of_transport'!$A:$A,0),MATCH(H$1,'4_number_of_transport'!$1:$1,0))</f>
        <v>777</v>
      </c>
      <c r="I275">
        <f>INDEX('4_number_of_transport'!$1:$343,MATCH($A275,'4_number_of_transport'!$A:$A,0),MATCH(I$1,'4_number_of_transport'!$1:$1,0))</f>
        <v>41</v>
      </c>
      <c r="J275">
        <f>INDEX('2_land_use'!$1:$343,MATCH($A275,'2_land_use'!$A:$A,0),MATCH(J$1,'2_land_use'!$1:$1,0))</f>
        <v>5.4827876773059982E-4</v>
      </c>
      <c r="K275">
        <f>INDEX('2_land_use'!$1:$343,MATCH($A275,'2_land_use'!$A:$A,0),MATCH(K$1,'2_land_use'!$1:$1,0))</f>
        <v>2.0157992004019134E-3</v>
      </c>
      <c r="L275">
        <f>INDEX('7_biomass'!$1:$343,MATCH($A275,'7_biomass'!$A:$A,0),MATCH(L$1,'7_biomass'!$1:$1,0))</f>
        <v>0.45585169963706046</v>
      </c>
      <c r="M275">
        <f>INDEX('7_biomass'!$1:$343,MATCH($A275,'7_biomass'!$A:$A,0),MATCH(M$1,'7_biomass'!$1:$1,0))</f>
        <v>0.59096137591664755</v>
      </c>
      <c r="N275">
        <f>INDEX('7_biomass'!$1:$343,MATCH($A275,'7_biomass'!$A:$A,0),MATCH(N$1,'7_biomass'!$1:$1,0))</f>
        <v>0.13199849463287669</v>
      </c>
      <c r="O275">
        <f>INDEX('4_number_of_transport'!$1:$343,MATCH($A275,'4_number_of_transport'!$A:$A,0),MATCH(O$1,'4_number_of_transport'!$1:$1,0))</f>
        <v>122310</v>
      </c>
      <c r="P275">
        <f>INDEX('2_land_use'!$1:$343,MATCH($A275,'2_land_use'!$A:$A,0),MATCH(P$1,'2_land_use'!$1:$1,0))</f>
        <v>125.8860606700889</v>
      </c>
      <c r="Q275">
        <f>INDEX('2_land_use'!$1:$343,MATCH($A275,'2_land_use'!$A:$A,0),MATCH(Q$1,'2_land_use'!$1:$1,0))</f>
        <v>0</v>
      </c>
      <c r="R275">
        <f>INDEX('6_roof_surface'!$1:$343,MATCH($A275,'6_roof_surface'!$A:$A,0),MATCH(R$1,'6_roof_surface'!$1:$1,0))</f>
        <v>5.9712800000000001</v>
      </c>
      <c r="S275">
        <f>INDEX('6_roof_surface'!$1:$343,MATCH($A275,'6_roof_surface'!$A:$A,0),MATCH(S$1,'6_roof_surface'!$1:$1,0))</f>
        <v>7.3209439999999999</v>
      </c>
    </row>
    <row r="276" spans="1:19" x14ac:dyDescent="0.2">
      <c r="A276" t="s">
        <v>276</v>
      </c>
      <c r="B276" t="str">
        <f>INDEX(CBS_gemeenten_alfabetisch_2023!$B:$B,MATCH($A276,CBS_gemeenten_alfabetisch_2023!$A:$A,0))</f>
        <v>Tubbergen</v>
      </c>
      <c r="C276">
        <f>INDEX('5_train_share_nl'!$1:$343,MATCH($A276,'5_train_share_nl'!$A:$A,0),MATCH(C$1,'5_train_share_nl'!$1:$1,0))</f>
        <v>0</v>
      </c>
      <c r="D276">
        <f>INDEX('3_has_tram_metro'!$1:$343,MATCH($A276,'3_has_tram_metro'!$A:$A,0),MATCH(D$1,'3_has_tram_metro'!$1:$1,0))</f>
        <v>0</v>
      </c>
      <c r="E276">
        <f>INDEX('1_buildings_total'!$1:$343,MATCH($A276,'1_buildings_total'!$A:$A,0),MATCH(E$1,'1_buildings_total'!$1:$1,0))</f>
        <v>2586.3067692307695</v>
      </c>
      <c r="F276">
        <f>INDEX('2_land_use'!$1:$343,MATCH($A276,'2_land_use'!$A:$A,0),MATCH(F$1,'2_land_use'!$1:$1,0))</f>
        <v>125.82809852220208</v>
      </c>
      <c r="G276">
        <f>INDEX('4_number_of_transport'!$1:$343,MATCH($A276,'4_number_of_transport'!$A:$A,0),MATCH(G$1,'4_number_of_transport'!$1:$1,0))</f>
        <v>2733</v>
      </c>
      <c r="H276">
        <f>INDEX('4_number_of_transport'!$1:$343,MATCH($A276,'4_number_of_transport'!$A:$A,0),MATCH(H$1,'4_number_of_transport'!$1:$1,0))</f>
        <v>137</v>
      </c>
      <c r="I276">
        <f>INDEX('4_number_of_transport'!$1:$343,MATCH($A276,'4_number_of_transport'!$A:$A,0),MATCH(I$1,'4_number_of_transport'!$1:$1,0))</f>
        <v>23</v>
      </c>
      <c r="J276">
        <f>INDEX('2_land_use'!$1:$343,MATCH($A276,'2_land_use'!$A:$A,0),MATCH(J$1,'2_land_use'!$1:$1,0))</f>
        <v>0</v>
      </c>
      <c r="K276">
        <f>INDEX('2_land_use'!$1:$343,MATCH($A276,'2_land_use'!$A:$A,0),MATCH(K$1,'2_land_use'!$1:$1,0))</f>
        <v>5.6413854464611628E-3</v>
      </c>
      <c r="L276">
        <f>INDEX('7_biomass'!$1:$343,MATCH($A276,'7_biomass'!$A:$A,0),MATCH(L$1,'7_biomass'!$1:$1,0))</f>
        <v>0.35834414732961173</v>
      </c>
      <c r="M276">
        <f>INDEX('7_biomass'!$1:$343,MATCH($A276,'7_biomass'!$A:$A,0),MATCH(M$1,'7_biomass'!$1:$1,0))</f>
        <v>0.1625468566497035</v>
      </c>
      <c r="N276">
        <f>INDEX('7_biomass'!$1:$343,MATCH($A276,'7_biomass'!$A:$A,0),MATCH(N$1,'7_biomass'!$1:$1,0))</f>
        <v>1.2926506942446962E-2</v>
      </c>
      <c r="O276">
        <f>INDEX('4_number_of_transport'!$1:$343,MATCH($A276,'4_number_of_transport'!$A:$A,0),MATCH(O$1,'4_number_of_transport'!$1:$1,0))</f>
        <v>13166</v>
      </c>
      <c r="P276">
        <f>INDEX('2_land_use'!$1:$343,MATCH($A276,'2_land_use'!$A:$A,0),MATCH(P$1,'2_land_use'!$1:$1,0))</f>
        <v>147.0020894180993</v>
      </c>
      <c r="Q276">
        <f>INDEX('2_land_use'!$1:$343,MATCH($A276,'2_land_use'!$A:$A,0),MATCH(Q$1,'2_land_use'!$1:$1,0))</f>
        <v>0</v>
      </c>
      <c r="R276">
        <f>INDEX('6_roof_surface'!$1:$343,MATCH($A276,'6_roof_surface'!$A:$A,0),MATCH(R$1,'6_roof_surface'!$1:$1,0))</f>
        <v>1.080392</v>
      </c>
      <c r="S276">
        <f>INDEX('6_roof_surface'!$1:$343,MATCH($A276,'6_roof_surface'!$A:$A,0),MATCH(S$1,'6_roof_surface'!$1:$1,0))</f>
        <v>1.966906</v>
      </c>
    </row>
    <row r="277" spans="1:19" x14ac:dyDescent="0.2">
      <c r="A277" t="s">
        <v>277</v>
      </c>
      <c r="B277" t="str">
        <f>INDEX(CBS_gemeenten_alfabetisch_2023!$B:$B,MATCH($A277,CBS_gemeenten_alfabetisch_2023!$A:$A,0))</f>
        <v>Twenterand</v>
      </c>
      <c r="C277">
        <f>INDEX('5_train_share_nl'!$1:$343,MATCH($A277,'5_train_share_nl'!$A:$A,0),MATCH(C$1,'5_train_share_nl'!$1:$1,0))</f>
        <v>0</v>
      </c>
      <c r="D277">
        <f>INDEX('3_has_tram_metro'!$1:$343,MATCH($A277,'3_has_tram_metro'!$A:$A,0),MATCH(D$1,'3_has_tram_metro'!$1:$1,0))</f>
        <v>0</v>
      </c>
      <c r="E277">
        <f>INDEX('1_buildings_total'!$1:$343,MATCH($A277,'1_buildings_total'!$A:$A,0),MATCH(E$1,'1_buildings_total'!$1:$1,0))</f>
        <v>2781.9721538461536</v>
      </c>
      <c r="F277">
        <f>INDEX('2_land_use'!$1:$343,MATCH($A277,'2_land_use'!$A:$A,0),MATCH(F$1,'2_land_use'!$1:$1,0))</f>
        <v>79.285878196972519</v>
      </c>
      <c r="G277">
        <f>INDEX('4_number_of_transport'!$1:$343,MATCH($A277,'4_number_of_transport'!$A:$A,0),MATCH(G$1,'4_number_of_transport'!$1:$1,0))</f>
        <v>2728</v>
      </c>
      <c r="H277">
        <f>INDEX('4_number_of_transport'!$1:$343,MATCH($A277,'4_number_of_transport'!$A:$A,0),MATCH(H$1,'4_number_of_transport'!$1:$1,0))</f>
        <v>206</v>
      </c>
      <c r="I277">
        <f>INDEX('4_number_of_transport'!$1:$343,MATCH($A277,'4_number_of_transport'!$A:$A,0),MATCH(I$1,'4_number_of_transport'!$1:$1,0))</f>
        <v>8</v>
      </c>
      <c r="J277">
        <f>INDEX('2_land_use'!$1:$343,MATCH($A277,'2_land_use'!$A:$A,0),MATCH(J$1,'2_land_use'!$1:$1,0))</f>
        <v>0</v>
      </c>
      <c r="K277">
        <f>INDEX('2_land_use'!$1:$343,MATCH($A277,'2_land_use'!$A:$A,0),MATCH(K$1,'2_land_use'!$1:$1,0))</f>
        <v>3.5547084047476982E-3</v>
      </c>
      <c r="L277">
        <f>INDEX('7_biomass'!$1:$343,MATCH($A277,'7_biomass'!$A:$A,0),MATCH(L$1,'7_biomass'!$1:$1,0))</f>
        <v>0.26490519113346783</v>
      </c>
      <c r="M277">
        <f>INDEX('7_biomass'!$1:$343,MATCH($A277,'7_biomass'!$A:$A,0),MATCH(M$1,'7_biomass'!$1:$1,0))</f>
        <v>0.14745293215595279</v>
      </c>
      <c r="N277">
        <f>INDEX('7_biomass'!$1:$343,MATCH($A277,'7_biomass'!$A:$A,0),MATCH(N$1,'7_biomass'!$1:$1,0))</f>
        <v>2.0530763423536741E-2</v>
      </c>
      <c r="O277">
        <f>INDEX('4_number_of_transport'!$1:$343,MATCH($A277,'4_number_of_transport'!$A:$A,0),MATCH(O$1,'4_number_of_transport'!$1:$1,0))</f>
        <v>18736</v>
      </c>
      <c r="P277">
        <f>INDEX('2_land_use'!$1:$343,MATCH($A277,'2_land_use'!$A:$A,0),MATCH(P$1,'2_land_use'!$1:$1,0))</f>
        <v>106.14005126260699</v>
      </c>
      <c r="Q277">
        <f>INDEX('2_land_use'!$1:$343,MATCH($A277,'2_land_use'!$A:$A,0),MATCH(Q$1,'2_land_use'!$1:$1,0))</f>
        <v>0</v>
      </c>
      <c r="R277">
        <f>INDEX('6_roof_surface'!$1:$343,MATCH($A277,'6_roof_surface'!$A:$A,0),MATCH(R$1,'6_roof_surface'!$1:$1,0))</f>
        <v>1.450223</v>
      </c>
      <c r="S277">
        <f>INDEX('6_roof_surface'!$1:$343,MATCH($A277,'6_roof_surface'!$A:$A,0),MATCH(S$1,'6_roof_surface'!$1:$1,0))</f>
        <v>1.7095199999999999</v>
      </c>
    </row>
    <row r="278" spans="1:19" x14ac:dyDescent="0.2">
      <c r="A278" t="s">
        <v>278</v>
      </c>
      <c r="B278" t="str">
        <f>INDEX(CBS_gemeenten_alfabetisch_2023!$B:$B,MATCH($A278,CBS_gemeenten_alfabetisch_2023!$A:$A,0))</f>
        <v>Tynaarlo</v>
      </c>
      <c r="C278">
        <f>INDEX('5_train_share_nl'!$1:$343,MATCH($A278,'5_train_share_nl'!$A:$A,0),MATCH(C$1,'5_train_share_nl'!$1:$1,0))</f>
        <v>0</v>
      </c>
      <c r="D278">
        <f>INDEX('3_has_tram_metro'!$1:$343,MATCH($A278,'3_has_tram_metro'!$A:$A,0),MATCH(D$1,'3_has_tram_metro'!$1:$1,0))</f>
        <v>0</v>
      </c>
      <c r="E278">
        <f>INDEX('1_buildings_total'!$1:$343,MATCH($A278,'1_buildings_total'!$A:$A,0),MATCH(E$1,'1_buildings_total'!$1:$1,0))</f>
        <v>3491.6603846153853</v>
      </c>
      <c r="F278">
        <f>INDEX('2_land_use'!$1:$343,MATCH($A278,'2_land_use'!$A:$A,0),MATCH(F$1,'2_land_use'!$1:$1,0))</f>
        <v>107.78626123630511</v>
      </c>
      <c r="G278">
        <f>INDEX('4_number_of_transport'!$1:$343,MATCH($A278,'4_number_of_transport'!$A:$A,0),MATCH(G$1,'4_number_of_transport'!$1:$1,0))</f>
        <v>2140</v>
      </c>
      <c r="H278">
        <f>INDEX('4_number_of_transport'!$1:$343,MATCH($A278,'4_number_of_transport'!$A:$A,0),MATCH(H$1,'4_number_of_transport'!$1:$1,0))</f>
        <v>80</v>
      </c>
      <c r="I278">
        <f>INDEX('4_number_of_transport'!$1:$343,MATCH($A278,'4_number_of_transport'!$A:$A,0),MATCH(I$1,'4_number_of_transport'!$1:$1,0))</f>
        <v>0</v>
      </c>
      <c r="J278">
        <f>INDEX('2_land_use'!$1:$343,MATCH($A278,'2_land_use'!$A:$A,0),MATCH(J$1,'2_land_use'!$1:$1,0))</f>
        <v>5.1215116468341705E-4</v>
      </c>
      <c r="K278">
        <f>INDEX('2_land_use'!$1:$343,MATCH($A278,'2_land_use'!$A:$A,0),MATCH(K$1,'2_land_use'!$1:$1,0))</f>
        <v>4.8324964980668537E-3</v>
      </c>
      <c r="L278">
        <f>INDEX('7_biomass'!$1:$343,MATCH($A278,'7_biomass'!$A:$A,0),MATCH(L$1,'7_biomass'!$1:$1,0))</f>
        <v>0.29561349108211343</v>
      </c>
      <c r="M278">
        <f>INDEX('7_biomass'!$1:$343,MATCH($A278,'7_biomass'!$A:$A,0),MATCH(M$1,'7_biomass'!$1:$1,0))</f>
        <v>0.13677911082478017</v>
      </c>
      <c r="N278">
        <f>INDEX('7_biomass'!$1:$343,MATCH($A278,'7_biomass'!$A:$A,0),MATCH(N$1,'7_biomass'!$1:$1,0))</f>
        <v>2.0473652516759623E-2</v>
      </c>
      <c r="O278">
        <f>INDEX('4_number_of_transport'!$1:$343,MATCH($A278,'4_number_of_transport'!$A:$A,0),MATCH(O$1,'4_number_of_transport'!$1:$1,0))</f>
        <v>24440</v>
      </c>
      <c r="P278">
        <f>INDEX('2_land_use'!$1:$343,MATCH($A278,'2_land_use'!$A:$A,0),MATCH(P$1,'2_land_use'!$1:$1,0))</f>
        <v>142.87738400862835</v>
      </c>
      <c r="Q278">
        <f>INDEX('2_land_use'!$1:$343,MATCH($A278,'2_land_use'!$A:$A,0),MATCH(Q$1,'2_land_use'!$1:$1,0))</f>
        <v>0</v>
      </c>
      <c r="R278">
        <f>INDEX('6_roof_surface'!$1:$343,MATCH($A278,'6_roof_surface'!$A:$A,0),MATCH(R$1,'6_roof_surface'!$1:$1,0))</f>
        <v>1.637751</v>
      </c>
      <c r="S278">
        <f>INDEX('6_roof_surface'!$1:$343,MATCH($A278,'6_roof_surface'!$A:$A,0),MATCH(S$1,'6_roof_surface'!$1:$1,0))</f>
        <v>1.310932</v>
      </c>
    </row>
    <row r="279" spans="1:19" x14ac:dyDescent="0.2">
      <c r="A279" t="s">
        <v>279</v>
      </c>
      <c r="B279" t="str">
        <f>INDEX(CBS_gemeenten_alfabetisch_2023!$B:$B,MATCH($A279,CBS_gemeenten_alfabetisch_2023!$A:$A,0))</f>
        <v>Tytsjerksteradiel</v>
      </c>
      <c r="C279">
        <f>INDEX('5_train_share_nl'!$1:$343,MATCH($A279,'5_train_share_nl'!$A:$A,0),MATCH(C$1,'5_train_share_nl'!$1:$1,0))</f>
        <v>0</v>
      </c>
      <c r="D279">
        <f>INDEX('3_has_tram_metro'!$1:$343,MATCH($A279,'3_has_tram_metro'!$A:$A,0),MATCH(D$1,'3_has_tram_metro'!$1:$1,0))</f>
        <v>0</v>
      </c>
      <c r="E279">
        <f>INDEX('1_buildings_total'!$1:$343,MATCH($A279,'1_buildings_total'!$A:$A,0),MATCH(E$1,'1_buildings_total'!$1:$1,0))</f>
        <v>3527.8740000000003</v>
      </c>
      <c r="F279">
        <f>INDEX('2_land_use'!$1:$343,MATCH($A279,'2_land_use'!$A:$A,0),MATCH(F$1,'2_land_use'!$1:$1,0))</f>
        <v>120.16582801032355</v>
      </c>
      <c r="G279">
        <f>INDEX('4_number_of_transport'!$1:$343,MATCH($A279,'4_number_of_transport'!$A:$A,0),MATCH(G$1,'4_number_of_transport'!$1:$1,0))</f>
        <v>2344</v>
      </c>
      <c r="H279">
        <f>INDEX('4_number_of_transport'!$1:$343,MATCH($A279,'4_number_of_transport'!$A:$A,0),MATCH(H$1,'4_number_of_transport'!$1:$1,0))</f>
        <v>166</v>
      </c>
      <c r="I279">
        <f>INDEX('4_number_of_transport'!$1:$343,MATCH($A279,'4_number_of_transport'!$A:$A,0),MATCH(I$1,'4_number_of_transport'!$1:$1,0))</f>
        <v>3</v>
      </c>
      <c r="J279">
        <f>INDEX('2_land_use'!$1:$343,MATCH($A279,'2_land_use'!$A:$A,0),MATCH(J$1,'2_land_use'!$1:$1,0))</f>
        <v>0</v>
      </c>
      <c r="K279">
        <f>INDEX('2_land_use'!$1:$343,MATCH($A279,'2_land_use'!$A:$A,0),MATCH(K$1,'2_land_use'!$1:$1,0))</f>
        <v>5.3875228288519372E-3</v>
      </c>
      <c r="L279">
        <f>INDEX('7_biomass'!$1:$343,MATCH($A279,'7_biomass'!$A:$A,0),MATCH(L$1,'7_biomass'!$1:$1,0))</f>
        <v>0.46183971515481059</v>
      </c>
      <c r="M279">
        <f>INDEX('7_biomass'!$1:$343,MATCH($A279,'7_biomass'!$A:$A,0),MATCH(M$1,'7_biomass'!$1:$1,0))</f>
        <v>0.1463398346633665</v>
      </c>
      <c r="N279">
        <f>INDEX('7_biomass'!$1:$343,MATCH($A279,'7_biomass'!$A:$A,0),MATCH(N$1,'7_biomass'!$1:$1,0))</f>
        <v>1.9308346993371143E-2</v>
      </c>
      <c r="O279">
        <f>INDEX('4_number_of_transport'!$1:$343,MATCH($A279,'4_number_of_transport'!$A:$A,0),MATCH(O$1,'4_number_of_transport'!$1:$1,0))</f>
        <v>17785</v>
      </c>
      <c r="P279">
        <f>INDEX('2_land_use'!$1:$343,MATCH($A279,'2_land_use'!$A:$A,0),MATCH(P$1,'2_land_use'!$1:$1,0))</f>
        <v>148.6322716869291</v>
      </c>
      <c r="Q279">
        <f>INDEX('2_land_use'!$1:$343,MATCH($A279,'2_land_use'!$A:$A,0),MATCH(Q$1,'2_land_use'!$1:$1,0))</f>
        <v>0</v>
      </c>
      <c r="R279">
        <f>INDEX('6_roof_surface'!$1:$343,MATCH($A279,'6_roof_surface'!$A:$A,0),MATCH(R$1,'6_roof_surface'!$1:$1,0))</f>
        <v>1.620512</v>
      </c>
      <c r="S279">
        <f>INDEX('6_roof_surface'!$1:$343,MATCH($A279,'6_roof_surface'!$A:$A,0),MATCH(S$1,'6_roof_surface'!$1:$1,0))</f>
        <v>1.292527</v>
      </c>
    </row>
    <row r="280" spans="1:19" x14ac:dyDescent="0.2">
      <c r="A280" t="s">
        <v>280</v>
      </c>
      <c r="B280" t="str">
        <f>INDEX(CBS_gemeenten_alfabetisch_2023!$B:$B,MATCH($A280,CBS_gemeenten_alfabetisch_2023!$A:$A,0))</f>
        <v>Uitgeest</v>
      </c>
      <c r="C280">
        <f>INDEX('5_train_share_nl'!$1:$343,MATCH($A280,'5_train_share_nl'!$A:$A,0),MATCH(C$1,'5_train_share_nl'!$1:$1,0))</f>
        <v>1.7767587912338118E-3</v>
      </c>
      <c r="D280">
        <f>INDEX('3_has_tram_metro'!$1:$343,MATCH($A280,'3_has_tram_metro'!$A:$A,0),MATCH(D$1,'3_has_tram_metro'!$1:$1,0))</f>
        <v>0</v>
      </c>
      <c r="E280">
        <f>INDEX('1_buildings_total'!$1:$343,MATCH($A280,'1_buildings_total'!$A:$A,0),MATCH(E$1,'1_buildings_total'!$1:$1,0))</f>
        <v>491.19661538461537</v>
      </c>
      <c r="F280">
        <f>INDEX('2_land_use'!$1:$343,MATCH($A280,'2_land_use'!$A:$A,0),MATCH(F$1,'2_land_use'!$1:$1,0))</f>
        <v>14.689519814531875</v>
      </c>
      <c r="G280">
        <f>INDEX('4_number_of_transport'!$1:$343,MATCH($A280,'4_number_of_transport'!$A:$A,0),MATCH(G$1,'4_number_of_transport'!$1:$1,0))</f>
        <v>811</v>
      </c>
      <c r="H280">
        <f>INDEX('4_number_of_transport'!$1:$343,MATCH($A280,'4_number_of_transport'!$A:$A,0),MATCH(H$1,'4_number_of_transport'!$1:$1,0))</f>
        <v>32</v>
      </c>
      <c r="I280">
        <f>INDEX('4_number_of_transport'!$1:$343,MATCH($A280,'4_number_of_transport'!$A:$A,0),MATCH(I$1,'4_number_of_transport'!$1:$1,0))</f>
        <v>1</v>
      </c>
      <c r="J280">
        <f>INDEX('2_land_use'!$1:$343,MATCH($A280,'2_land_use'!$A:$A,0),MATCH(J$1,'2_land_use'!$1:$1,0))</f>
        <v>0</v>
      </c>
      <c r="K280">
        <f>INDEX('2_land_use'!$1:$343,MATCH($A280,'2_land_use'!$A:$A,0),MATCH(K$1,'2_land_use'!$1:$1,0))</f>
        <v>6.5859092103009813E-4</v>
      </c>
      <c r="L280">
        <f>INDEX('7_biomass'!$1:$343,MATCH($A280,'7_biomass'!$A:$A,0),MATCH(L$1,'7_biomass'!$1:$1,0))</f>
        <v>8.2642618067208365E-2</v>
      </c>
      <c r="M280">
        <f>INDEX('7_biomass'!$1:$343,MATCH($A280,'7_biomass'!$A:$A,0),MATCH(M$1,'7_biomass'!$1:$1,0))</f>
        <v>3.7893643165291674E-2</v>
      </c>
      <c r="N280">
        <f>INDEX('7_biomass'!$1:$343,MATCH($A280,'7_biomass'!$A:$A,0),MATCH(N$1,'7_biomass'!$1:$1,0))</f>
        <v>8.2191100732009071E-3</v>
      </c>
      <c r="O280">
        <f>INDEX('4_number_of_transport'!$1:$343,MATCH($A280,'4_number_of_transport'!$A:$A,0),MATCH(O$1,'4_number_of_transport'!$1:$1,0))</f>
        <v>6732</v>
      </c>
      <c r="P280">
        <f>INDEX('2_land_use'!$1:$343,MATCH($A280,'2_land_use'!$A:$A,0),MATCH(P$1,'2_land_use'!$1:$1,0))</f>
        <v>19.155918747205835</v>
      </c>
      <c r="Q280">
        <f>INDEX('2_land_use'!$1:$343,MATCH($A280,'2_land_use'!$A:$A,0),MATCH(Q$1,'2_land_use'!$1:$1,0))</f>
        <v>0</v>
      </c>
      <c r="R280">
        <f>INDEX('6_roof_surface'!$1:$343,MATCH($A280,'6_roof_surface'!$A:$A,0),MATCH(R$1,'6_roof_surface'!$1:$1,0))</f>
        <v>0.399173</v>
      </c>
      <c r="S280">
        <f>INDEX('6_roof_surface'!$1:$343,MATCH($A280,'6_roof_surface'!$A:$A,0),MATCH(S$1,'6_roof_surface'!$1:$1,0))</f>
        <v>0.32641500000000001</v>
      </c>
    </row>
    <row r="281" spans="1:19" x14ac:dyDescent="0.2">
      <c r="A281" t="s">
        <v>281</v>
      </c>
      <c r="B281" t="str">
        <f>INDEX(CBS_gemeenten_alfabetisch_2023!$B:$B,MATCH($A281,CBS_gemeenten_alfabetisch_2023!$A:$A,0))</f>
        <v>Uithoorn</v>
      </c>
      <c r="C281">
        <f>INDEX('5_train_share_nl'!$1:$343,MATCH($A281,'5_train_share_nl'!$A:$A,0),MATCH(C$1,'5_train_share_nl'!$1:$1,0))</f>
        <v>0</v>
      </c>
      <c r="D281">
        <f>INDEX('3_has_tram_metro'!$1:$343,MATCH($A281,'3_has_tram_metro'!$A:$A,0),MATCH(D$1,'3_has_tram_metro'!$1:$1,0))</f>
        <v>0</v>
      </c>
      <c r="E281">
        <f>INDEX('1_buildings_total'!$1:$343,MATCH($A281,'1_buildings_total'!$A:$A,0),MATCH(E$1,'1_buildings_total'!$1:$1,0))</f>
        <v>1540.2969230769229</v>
      </c>
      <c r="F281">
        <f>INDEX('2_land_use'!$1:$343,MATCH($A281,'2_land_use'!$A:$A,0),MATCH(F$1,'2_land_use'!$1:$1,0))</f>
        <v>10.108921604368057</v>
      </c>
      <c r="G281">
        <f>INDEX('4_number_of_transport'!$1:$343,MATCH($A281,'4_number_of_transport'!$A:$A,0),MATCH(G$1,'4_number_of_transport'!$1:$1,0))</f>
        <v>1372</v>
      </c>
      <c r="H281">
        <f>INDEX('4_number_of_transport'!$1:$343,MATCH($A281,'4_number_of_transport'!$A:$A,0),MATCH(H$1,'4_number_of_transport'!$1:$1,0))</f>
        <v>109</v>
      </c>
      <c r="I281">
        <f>INDEX('4_number_of_transport'!$1:$343,MATCH($A281,'4_number_of_transport'!$A:$A,0),MATCH(I$1,'4_number_of_transport'!$1:$1,0))</f>
        <v>1</v>
      </c>
      <c r="J281">
        <f>INDEX('2_land_use'!$1:$343,MATCH($A281,'2_land_use'!$A:$A,0),MATCH(J$1,'2_land_use'!$1:$1,0))</f>
        <v>1.797856878763323E-2</v>
      </c>
      <c r="K281">
        <f>INDEX('2_land_use'!$1:$343,MATCH($A281,'2_land_use'!$A:$A,0),MATCH(K$1,'2_land_use'!$1:$1,0))</f>
        <v>4.5322407227060065E-4</v>
      </c>
      <c r="L281">
        <f>INDEX('7_biomass'!$1:$343,MATCH($A281,'7_biomass'!$A:$A,0),MATCH(L$1,'7_biomass'!$1:$1,0))</f>
        <v>6.7268062835534964E-2</v>
      </c>
      <c r="M281">
        <f>INDEX('7_biomass'!$1:$343,MATCH($A281,'7_biomass'!$A:$A,0),MATCH(M$1,'7_biomass'!$1:$1,0))</f>
        <v>7.940136309394813E-2</v>
      </c>
      <c r="N281">
        <f>INDEX('7_biomass'!$1:$343,MATCH($A281,'7_biomass'!$A:$A,0),MATCH(N$1,'7_biomass'!$1:$1,0))</f>
        <v>1.7876928946914804E-2</v>
      </c>
      <c r="O281">
        <f>INDEX('4_number_of_transport'!$1:$343,MATCH($A281,'4_number_of_transport'!$A:$A,0),MATCH(O$1,'4_number_of_transport'!$1:$1,0))</f>
        <v>15911</v>
      </c>
      <c r="P281">
        <f>INDEX('2_land_use'!$1:$343,MATCH($A281,'2_land_use'!$A:$A,0),MATCH(P$1,'2_land_use'!$1:$1,0))</f>
        <v>18.121113987190732</v>
      </c>
      <c r="Q281">
        <f>INDEX('2_land_use'!$1:$343,MATCH($A281,'2_land_use'!$A:$A,0),MATCH(Q$1,'2_land_use'!$1:$1,0))</f>
        <v>0</v>
      </c>
      <c r="R281">
        <f>INDEX('6_roof_surface'!$1:$343,MATCH($A281,'6_roof_surface'!$A:$A,0),MATCH(R$1,'6_roof_surface'!$1:$1,0))</f>
        <v>0.79212199999999999</v>
      </c>
      <c r="S281">
        <f>INDEX('6_roof_surface'!$1:$343,MATCH($A281,'6_roof_surface'!$A:$A,0),MATCH(S$1,'6_roof_surface'!$1:$1,0))</f>
        <v>3.1386069999999999</v>
      </c>
    </row>
    <row r="282" spans="1:19" x14ac:dyDescent="0.2">
      <c r="A282" t="s">
        <v>282</v>
      </c>
      <c r="B282" t="str">
        <f>INDEX(CBS_gemeenten_alfabetisch_2023!$B:$B,MATCH($A282,CBS_gemeenten_alfabetisch_2023!$A:$A,0))</f>
        <v>Urk</v>
      </c>
      <c r="C282">
        <f>INDEX('5_train_share_nl'!$1:$343,MATCH($A282,'5_train_share_nl'!$A:$A,0),MATCH(C$1,'5_train_share_nl'!$1:$1,0))</f>
        <v>0</v>
      </c>
      <c r="D282">
        <f>INDEX('3_has_tram_metro'!$1:$343,MATCH($A282,'3_has_tram_metro'!$A:$A,0),MATCH(D$1,'3_has_tram_metro'!$1:$1,0))</f>
        <v>0</v>
      </c>
      <c r="E282">
        <f>INDEX('1_buildings_total'!$1:$343,MATCH($A282,'1_buildings_total'!$A:$A,0),MATCH(E$1,'1_buildings_total'!$1:$1,0))</f>
        <v>980.37969230769238</v>
      </c>
      <c r="F282">
        <f>INDEX('2_land_use'!$1:$343,MATCH($A282,'2_land_use'!$A:$A,0),MATCH(F$1,'2_land_use'!$1:$1,0))</f>
        <v>5.4687318499400259</v>
      </c>
      <c r="G282">
        <f>INDEX('4_number_of_transport'!$1:$343,MATCH($A282,'4_number_of_transport'!$A:$A,0),MATCH(G$1,'4_number_of_transport'!$1:$1,0))</f>
        <v>1427</v>
      </c>
      <c r="H282">
        <f>INDEX('4_number_of_transport'!$1:$343,MATCH($A282,'4_number_of_transport'!$A:$A,0),MATCH(H$1,'4_number_of_transport'!$1:$1,0))</f>
        <v>59</v>
      </c>
      <c r="I282">
        <f>INDEX('4_number_of_transport'!$1:$343,MATCH($A282,'4_number_of_transport'!$A:$A,0),MATCH(I$1,'4_number_of_transport'!$1:$1,0))</f>
        <v>2</v>
      </c>
      <c r="J282">
        <f>INDEX('2_land_use'!$1:$343,MATCH($A282,'2_land_use'!$A:$A,0),MATCH(J$1,'2_land_use'!$1:$1,0))</f>
        <v>0</v>
      </c>
      <c r="K282">
        <f>INDEX('2_land_use'!$1:$343,MATCH($A282,'2_land_use'!$A:$A,0),MATCH(K$1,'2_land_use'!$1:$1,0))</f>
        <v>2.4518549220074769E-4</v>
      </c>
      <c r="L282">
        <f>INDEX('7_biomass'!$1:$343,MATCH($A282,'7_biomass'!$A:$A,0),MATCH(L$1,'7_biomass'!$1:$1,0))</f>
        <v>7.5763153964070268E-2</v>
      </c>
      <c r="M282">
        <f>INDEX('7_biomass'!$1:$343,MATCH($A282,'7_biomass'!$A:$A,0),MATCH(M$1,'7_biomass'!$1:$1,0))</f>
        <v>0.10231805470182485</v>
      </c>
      <c r="N282">
        <f>INDEX('7_biomass'!$1:$343,MATCH($A282,'7_biomass'!$A:$A,0),MATCH(N$1,'7_biomass'!$1:$1,0))</f>
        <v>1.2614827206525016E-2</v>
      </c>
      <c r="O282">
        <f>INDEX('4_number_of_transport'!$1:$343,MATCH($A282,'4_number_of_transport'!$A:$A,0),MATCH(O$1,'4_number_of_transport'!$1:$1,0))</f>
        <v>7875</v>
      </c>
      <c r="P282">
        <f>INDEX('2_land_use'!$1:$343,MATCH($A282,'2_land_use'!$A:$A,0),MATCH(P$1,'2_land_use'!$1:$1,0))</f>
        <v>13.142182843566651</v>
      </c>
      <c r="Q282">
        <f>INDEX('2_land_use'!$1:$343,MATCH($A282,'2_land_use'!$A:$A,0),MATCH(Q$1,'2_land_use'!$1:$1,0))</f>
        <v>0</v>
      </c>
      <c r="R282">
        <f>INDEX('6_roof_surface'!$1:$343,MATCH($A282,'6_roof_surface'!$A:$A,0),MATCH(R$1,'6_roof_surface'!$1:$1,0))</f>
        <v>0.49177199999999999</v>
      </c>
      <c r="S282">
        <f>INDEX('6_roof_surface'!$1:$343,MATCH($A282,'6_roof_surface'!$A:$A,0),MATCH(S$1,'6_roof_surface'!$1:$1,0))</f>
        <v>0.52635799999999999</v>
      </c>
    </row>
    <row r="283" spans="1:19" x14ac:dyDescent="0.2">
      <c r="A283" t="s">
        <v>283</v>
      </c>
      <c r="B283" t="str">
        <f>INDEX(CBS_gemeenten_alfabetisch_2023!$B:$B,MATCH($A283,CBS_gemeenten_alfabetisch_2023!$A:$A,0))</f>
        <v>Utrecht</v>
      </c>
      <c r="C283">
        <f>INDEX('5_train_share_nl'!$1:$343,MATCH($A283,'5_train_share_nl'!$A:$A,0),MATCH(C$1,'5_train_share_nl'!$1:$1,0))</f>
        <v>0.10434013031676359</v>
      </c>
      <c r="D283">
        <f>INDEX('3_has_tram_metro'!$1:$343,MATCH($A283,'3_has_tram_metro'!$A:$A,0),MATCH(D$1,'3_has_tram_metro'!$1:$1,0))</f>
        <v>1</v>
      </c>
      <c r="E283">
        <f>INDEX('1_buildings_total'!$1:$343,MATCH($A283,'1_buildings_total'!$A:$A,0),MATCH(E$1,'1_buildings_total'!$1:$1,0))</f>
        <v>22676.199384615385</v>
      </c>
      <c r="F283">
        <f>INDEX('2_land_use'!$1:$343,MATCH($A283,'2_land_use'!$A:$A,0),MATCH(F$1,'2_land_use'!$1:$1,0))</f>
        <v>24.168896984966114</v>
      </c>
      <c r="G283">
        <f>INDEX('4_number_of_transport'!$1:$343,MATCH($A283,'4_number_of_transport'!$A:$A,0),MATCH(G$1,'4_number_of_transport'!$1:$1,0))</f>
        <v>16260</v>
      </c>
      <c r="H283">
        <f>INDEX('4_number_of_transport'!$1:$343,MATCH($A283,'4_number_of_transport'!$A:$A,0),MATCH(H$1,'4_number_of_transport'!$1:$1,0))</f>
        <v>1250</v>
      </c>
      <c r="I283">
        <f>INDEX('4_number_of_transport'!$1:$343,MATCH($A283,'4_number_of_transport'!$A:$A,0),MATCH(I$1,'4_number_of_transport'!$1:$1,0))</f>
        <v>72</v>
      </c>
      <c r="J283">
        <f>INDEX('2_land_use'!$1:$343,MATCH($A283,'2_land_use'!$A:$A,0),MATCH(J$1,'2_land_use'!$1:$1,0))</f>
        <v>4.7767760755188307E-4</v>
      </c>
      <c r="K283">
        <f>INDEX('2_land_use'!$1:$343,MATCH($A283,'2_land_use'!$A:$A,0),MATCH(K$1,'2_land_use'!$1:$1,0))</f>
        <v>1.0835899557359119E-3</v>
      </c>
      <c r="L283">
        <f>INDEX('7_biomass'!$1:$343,MATCH($A283,'7_biomass'!$A:$A,0),MATCH(L$1,'7_biomass'!$1:$1,0))</f>
        <v>0.63118380337024715</v>
      </c>
      <c r="M283">
        <f>INDEX('7_biomass'!$1:$343,MATCH($A283,'7_biomass'!$A:$A,0),MATCH(M$1,'7_biomass'!$1:$1,0))</f>
        <v>0.90189762628264158</v>
      </c>
      <c r="N283">
        <f>INDEX('7_biomass'!$1:$343,MATCH($A283,'7_biomass'!$A:$A,0),MATCH(N$1,'7_biomass'!$1:$1,0))</f>
        <v>0.21438826841292957</v>
      </c>
      <c r="O283">
        <f>INDEX('4_number_of_transport'!$1:$343,MATCH($A283,'4_number_of_transport'!$A:$A,0),MATCH(O$1,'4_number_of_transport'!$1:$1,0))</f>
        <v>135664</v>
      </c>
      <c r="P283">
        <f>INDEX('2_land_use'!$1:$343,MATCH($A283,'2_land_use'!$A:$A,0),MATCH(P$1,'2_land_use'!$1:$1,0))</f>
        <v>93.770644439743378</v>
      </c>
      <c r="Q283">
        <f>INDEX('2_land_use'!$1:$343,MATCH($A283,'2_land_use'!$A:$A,0),MATCH(Q$1,'2_land_use'!$1:$1,0))</f>
        <v>0</v>
      </c>
      <c r="R283">
        <f>INDEX('6_roof_surface'!$1:$343,MATCH($A283,'6_roof_surface'!$A:$A,0),MATCH(R$1,'6_roof_surface'!$1:$1,0))</f>
        <v>7.072794</v>
      </c>
      <c r="S283">
        <f>INDEX('6_roof_surface'!$1:$343,MATCH($A283,'6_roof_surface'!$A:$A,0),MATCH(S$1,'6_roof_surface'!$1:$1,0))</f>
        <v>6.1889760000000003</v>
      </c>
    </row>
    <row r="284" spans="1:19" x14ac:dyDescent="0.2">
      <c r="A284" t="s">
        <v>284</v>
      </c>
      <c r="B284" t="str">
        <f>INDEX(CBS_gemeenten_alfabetisch_2023!$B:$B,MATCH($A284,CBS_gemeenten_alfabetisch_2023!$A:$A,0))</f>
        <v>Utrechtse Heuvelrug</v>
      </c>
      <c r="C284">
        <f>INDEX('5_train_share_nl'!$1:$343,MATCH($A284,'5_train_share_nl'!$A:$A,0),MATCH(C$1,'5_train_share_nl'!$1:$1,0))</f>
        <v>4.1938159924130381E-3</v>
      </c>
      <c r="D284">
        <f>INDEX('3_has_tram_metro'!$1:$343,MATCH($A284,'3_has_tram_metro'!$A:$A,0),MATCH(D$1,'3_has_tram_metro'!$1:$1,0))</f>
        <v>0</v>
      </c>
      <c r="E284">
        <f>INDEX('1_buildings_total'!$1:$343,MATCH($A284,'1_buildings_total'!$A:$A,0),MATCH(E$1,'1_buildings_total'!$1:$1,0))</f>
        <v>5100.2533076923091</v>
      </c>
      <c r="F284">
        <f>INDEX('2_land_use'!$1:$343,MATCH($A284,'2_land_use'!$A:$A,0),MATCH(F$1,'2_land_use'!$1:$1,0))</f>
        <v>48.403433726017937</v>
      </c>
      <c r="G284">
        <f>INDEX('4_number_of_transport'!$1:$343,MATCH($A284,'4_number_of_transport'!$A:$A,0),MATCH(G$1,'4_number_of_transport'!$1:$1,0))</f>
        <v>2295</v>
      </c>
      <c r="H284">
        <f>INDEX('4_number_of_transport'!$1:$343,MATCH($A284,'4_number_of_transport'!$A:$A,0),MATCH(H$1,'4_number_of_transport'!$1:$1,0))</f>
        <v>109</v>
      </c>
      <c r="I284">
        <f>INDEX('4_number_of_transport'!$1:$343,MATCH($A284,'4_number_of_transport'!$A:$A,0),MATCH(I$1,'4_number_of_transport'!$1:$1,0))</f>
        <v>0</v>
      </c>
      <c r="J284">
        <f>INDEX('2_land_use'!$1:$343,MATCH($A284,'2_land_use'!$A:$A,0),MATCH(J$1,'2_land_use'!$1:$1,0))</f>
        <v>1.1999015763122914E-4</v>
      </c>
      <c r="K284">
        <f>INDEX('2_land_use'!$1:$343,MATCH($A284,'2_land_use'!$A:$A,0),MATCH(K$1,'2_land_use'!$1:$1,0))</f>
        <v>2.1701228087184655E-3</v>
      </c>
      <c r="L284">
        <f>INDEX('7_biomass'!$1:$343,MATCH($A284,'7_biomass'!$A:$A,0),MATCH(L$1,'7_biomass'!$1:$1,0))</f>
        <v>0.23900229466356299</v>
      </c>
      <c r="M284">
        <f>INDEX('7_biomass'!$1:$343,MATCH($A284,'7_biomass'!$A:$A,0),MATCH(M$1,'7_biomass'!$1:$1,0))</f>
        <v>0.21777593131487344</v>
      </c>
      <c r="N284">
        <f>INDEX('7_biomass'!$1:$343,MATCH($A284,'7_biomass'!$A:$A,0),MATCH(N$1,'7_biomass'!$1:$1,0))</f>
        <v>3.0083473926267215E-2</v>
      </c>
      <c r="O284">
        <f>INDEX('4_number_of_transport'!$1:$343,MATCH($A284,'4_number_of_transport'!$A:$A,0),MATCH(O$1,'4_number_of_transport'!$1:$1,0))</f>
        <v>26201</v>
      </c>
      <c r="P284">
        <f>INDEX('2_land_use'!$1:$343,MATCH($A284,'2_land_use'!$A:$A,0),MATCH(P$1,'2_land_use'!$1:$1,0))</f>
        <v>132.01797916509736</v>
      </c>
      <c r="Q284">
        <f>INDEX('2_land_use'!$1:$343,MATCH($A284,'2_land_use'!$A:$A,0),MATCH(Q$1,'2_land_use'!$1:$1,0))</f>
        <v>0</v>
      </c>
      <c r="R284">
        <f>INDEX('6_roof_surface'!$1:$343,MATCH($A284,'6_roof_surface'!$A:$A,0),MATCH(R$1,'6_roof_surface'!$1:$1,0))</f>
        <v>1.848371</v>
      </c>
      <c r="S284">
        <f>INDEX('6_roof_surface'!$1:$343,MATCH($A284,'6_roof_surface'!$A:$A,0),MATCH(S$1,'6_roof_surface'!$1:$1,0))</f>
        <v>1.4339299999999999</v>
      </c>
    </row>
    <row r="285" spans="1:19" x14ac:dyDescent="0.2">
      <c r="A285" t="s">
        <v>285</v>
      </c>
      <c r="B285" t="str">
        <f>INDEX(CBS_gemeenten_alfabetisch_2023!$B:$B,MATCH($A285,CBS_gemeenten_alfabetisch_2023!$A:$A,0))</f>
        <v>Vaals</v>
      </c>
      <c r="C285">
        <f>INDEX('5_train_share_nl'!$1:$343,MATCH($A285,'5_train_share_nl'!$A:$A,0),MATCH(C$1,'5_train_share_nl'!$1:$1,0))</f>
        <v>0</v>
      </c>
      <c r="D285">
        <f>INDEX('3_has_tram_metro'!$1:$343,MATCH($A285,'3_has_tram_metro'!$A:$A,0),MATCH(D$1,'3_has_tram_metro'!$1:$1,0))</f>
        <v>0</v>
      </c>
      <c r="E285">
        <f>INDEX('1_buildings_total'!$1:$343,MATCH($A285,'1_buildings_total'!$A:$A,0),MATCH(E$1,'1_buildings_total'!$1:$1,0))</f>
        <v>1104.8523846153846</v>
      </c>
      <c r="F285">
        <f>INDEX('2_land_use'!$1:$343,MATCH($A285,'2_land_use'!$A:$A,0),MATCH(F$1,'2_land_use'!$1:$1,0))</f>
        <v>14.649799003799721</v>
      </c>
      <c r="G285">
        <f>INDEX('4_number_of_transport'!$1:$343,MATCH($A285,'4_number_of_transport'!$A:$A,0),MATCH(G$1,'4_number_of_transport'!$1:$1,0))</f>
        <v>289</v>
      </c>
      <c r="H285">
        <f>INDEX('4_number_of_transport'!$1:$343,MATCH($A285,'4_number_of_transport'!$A:$A,0),MATCH(H$1,'4_number_of_transport'!$1:$1,0))</f>
        <v>21</v>
      </c>
      <c r="I285">
        <f>INDEX('4_number_of_transport'!$1:$343,MATCH($A285,'4_number_of_transport'!$A:$A,0),MATCH(I$1,'4_number_of_transport'!$1:$1,0))</f>
        <v>4</v>
      </c>
      <c r="J285">
        <f>INDEX('2_land_use'!$1:$343,MATCH($A285,'2_land_use'!$A:$A,0),MATCH(J$1,'2_land_use'!$1:$1,0))</f>
        <v>0</v>
      </c>
      <c r="K285">
        <f>INDEX('2_land_use'!$1:$343,MATCH($A285,'2_land_use'!$A:$A,0),MATCH(K$1,'2_land_use'!$1:$1,0))</f>
        <v>6.5681007552565395E-4</v>
      </c>
      <c r="L285">
        <f>INDEX('7_biomass'!$1:$343,MATCH($A285,'7_biomass'!$A:$A,0),MATCH(L$1,'7_biomass'!$1:$1,0))</f>
        <v>4.0095530040718766E-2</v>
      </c>
      <c r="M285">
        <f>INDEX('7_biomass'!$1:$343,MATCH($A285,'7_biomass'!$A:$A,0),MATCH(M$1,'7_biomass'!$1:$1,0))</f>
        <v>3.6263485790160359E-2</v>
      </c>
      <c r="N285">
        <f>INDEX('7_biomass'!$1:$343,MATCH($A285,'7_biomass'!$A:$A,0),MATCH(N$1,'7_biomass'!$1:$1,0))</f>
        <v>6.1315241616457386E-3</v>
      </c>
      <c r="O285">
        <f>INDEX('4_number_of_transport'!$1:$343,MATCH($A285,'4_number_of_transport'!$A:$A,0),MATCH(O$1,'4_number_of_transport'!$1:$1,0))</f>
        <v>4943</v>
      </c>
      <c r="P285">
        <f>INDEX('2_land_use'!$1:$343,MATCH($A285,'2_land_use'!$A:$A,0),MATCH(P$1,'2_land_use'!$1:$1,0))</f>
        <v>23.888343522103025</v>
      </c>
      <c r="Q285">
        <f>INDEX('2_land_use'!$1:$343,MATCH($A285,'2_land_use'!$A:$A,0),MATCH(Q$1,'2_land_use'!$1:$1,0))</f>
        <v>0</v>
      </c>
      <c r="R285">
        <f>INDEX('6_roof_surface'!$1:$343,MATCH($A285,'6_roof_surface'!$A:$A,0),MATCH(R$1,'6_roof_surface'!$1:$1,0))</f>
        <v>0.38198700000000002</v>
      </c>
      <c r="S285">
        <f>INDEX('6_roof_surface'!$1:$343,MATCH($A285,'6_roof_surface'!$A:$A,0),MATCH(S$1,'6_roof_surface'!$1:$1,0))</f>
        <v>0.23124900000000001</v>
      </c>
    </row>
    <row r="286" spans="1:19" x14ac:dyDescent="0.2">
      <c r="A286" t="s">
        <v>286</v>
      </c>
      <c r="B286" t="str">
        <f>INDEX(CBS_gemeenten_alfabetisch_2023!$B:$B,MATCH($A286,CBS_gemeenten_alfabetisch_2023!$A:$A,0))</f>
        <v>Valkenburg aan de Geul</v>
      </c>
      <c r="C286">
        <f>INDEX('5_train_share_nl'!$1:$343,MATCH($A286,'5_train_share_nl'!$A:$A,0),MATCH(C$1,'5_train_share_nl'!$1:$1,0))</f>
        <v>0</v>
      </c>
      <c r="D286">
        <f>INDEX('3_has_tram_metro'!$1:$343,MATCH($A286,'3_has_tram_metro'!$A:$A,0),MATCH(D$1,'3_has_tram_metro'!$1:$1,0))</f>
        <v>0</v>
      </c>
      <c r="E286">
        <f>INDEX('1_buildings_total'!$1:$343,MATCH($A286,'1_buildings_total'!$A:$A,0),MATCH(E$1,'1_buildings_total'!$1:$1,0))</f>
        <v>2356.2323846153854</v>
      </c>
      <c r="F286">
        <f>INDEX('2_land_use'!$1:$343,MATCH($A286,'2_land_use'!$A:$A,0),MATCH(F$1,'2_land_use'!$1:$1,0))</f>
        <v>24.210698376742585</v>
      </c>
      <c r="G286">
        <f>INDEX('4_number_of_transport'!$1:$343,MATCH($A286,'4_number_of_transport'!$A:$A,0),MATCH(G$1,'4_number_of_transport'!$1:$1,0))</f>
        <v>814</v>
      </c>
      <c r="H286">
        <f>INDEX('4_number_of_transport'!$1:$343,MATCH($A286,'4_number_of_transport'!$A:$A,0),MATCH(H$1,'4_number_of_transport'!$1:$1,0))</f>
        <v>49</v>
      </c>
      <c r="I286">
        <f>INDEX('4_number_of_transport'!$1:$343,MATCH($A286,'4_number_of_transport'!$A:$A,0),MATCH(I$1,'4_number_of_transport'!$1:$1,0))</f>
        <v>39</v>
      </c>
      <c r="J286">
        <f>INDEX('2_land_use'!$1:$343,MATCH($A286,'2_land_use'!$A:$A,0),MATCH(J$1,'2_land_use'!$1:$1,0))</f>
        <v>0</v>
      </c>
      <c r="K286">
        <f>INDEX('2_land_use'!$1:$343,MATCH($A286,'2_land_use'!$A:$A,0),MATCH(K$1,'2_land_use'!$1:$1,0))</f>
        <v>1.0854640821510702E-3</v>
      </c>
      <c r="L286">
        <f>INDEX('7_biomass'!$1:$343,MATCH($A286,'7_biomass'!$A:$A,0),MATCH(L$1,'7_biomass'!$1:$1,0))</f>
        <v>7.1673739355834529E-2</v>
      </c>
      <c r="M286">
        <f>INDEX('7_biomass'!$1:$343,MATCH($A286,'7_biomass'!$A:$A,0),MATCH(M$1,'7_biomass'!$1:$1,0))</f>
        <v>5.8214596920746285E-2</v>
      </c>
      <c r="N286">
        <f>INDEX('7_biomass'!$1:$343,MATCH($A286,'7_biomass'!$A:$A,0),MATCH(N$1,'7_biomass'!$1:$1,0))</f>
        <v>1.0006559942757166E-2</v>
      </c>
      <c r="O286">
        <f>INDEX('4_number_of_transport'!$1:$343,MATCH($A286,'4_number_of_transport'!$A:$A,0),MATCH(O$1,'4_number_of_transport'!$1:$1,0))</f>
        <v>9224</v>
      </c>
      <c r="P286">
        <f>INDEX('2_land_use'!$1:$343,MATCH($A286,'2_land_use'!$A:$A,0),MATCH(P$1,'2_land_use'!$1:$1,0))</f>
        <v>36.727231305331294</v>
      </c>
      <c r="Q286">
        <f>INDEX('2_land_use'!$1:$343,MATCH($A286,'2_land_use'!$A:$A,0),MATCH(Q$1,'2_land_use'!$1:$1,0))</f>
        <v>0</v>
      </c>
      <c r="R286">
        <f>INDEX('6_roof_surface'!$1:$343,MATCH($A286,'6_roof_surface'!$A:$A,0),MATCH(R$1,'6_roof_surface'!$1:$1,0))</f>
        <v>0.72957700000000003</v>
      </c>
      <c r="S286">
        <f>INDEX('6_roof_surface'!$1:$343,MATCH($A286,'6_roof_surface'!$A:$A,0),MATCH(S$1,'6_roof_surface'!$1:$1,0))</f>
        <v>0.46880100000000002</v>
      </c>
    </row>
    <row r="287" spans="1:19" x14ac:dyDescent="0.2">
      <c r="A287" t="s">
        <v>287</v>
      </c>
      <c r="B287" t="str">
        <f>INDEX(CBS_gemeenten_alfabetisch_2023!$B:$B,MATCH($A287,CBS_gemeenten_alfabetisch_2023!$A:$A,0))</f>
        <v>Valkenswaard</v>
      </c>
      <c r="C287">
        <f>INDEX('5_train_share_nl'!$1:$343,MATCH($A287,'5_train_share_nl'!$A:$A,0),MATCH(C$1,'5_train_share_nl'!$1:$1,0))</f>
        <v>0</v>
      </c>
      <c r="D287">
        <f>INDEX('3_has_tram_metro'!$1:$343,MATCH($A287,'3_has_tram_metro'!$A:$A,0),MATCH(D$1,'3_has_tram_metro'!$1:$1,0))</f>
        <v>0</v>
      </c>
      <c r="E287">
        <f>INDEX('1_buildings_total'!$1:$343,MATCH($A287,'1_buildings_total'!$A:$A,0),MATCH(E$1,'1_buildings_total'!$1:$1,0))</f>
        <v>2298.955769230769</v>
      </c>
      <c r="F287">
        <f>INDEX('2_land_use'!$1:$343,MATCH($A287,'2_land_use'!$A:$A,0),MATCH(F$1,'2_land_use'!$1:$1,0))</f>
        <v>24.687510973752868</v>
      </c>
      <c r="G287">
        <f>INDEX('4_number_of_transport'!$1:$343,MATCH($A287,'4_number_of_transport'!$A:$A,0),MATCH(G$1,'4_number_of_transport'!$1:$1,0))</f>
        <v>1721</v>
      </c>
      <c r="H287">
        <f>INDEX('4_number_of_transport'!$1:$343,MATCH($A287,'4_number_of_transport'!$A:$A,0),MATCH(H$1,'4_number_of_transport'!$1:$1,0))</f>
        <v>93</v>
      </c>
      <c r="I287">
        <f>INDEX('4_number_of_transport'!$1:$343,MATCH($A287,'4_number_of_transport'!$A:$A,0),MATCH(I$1,'4_number_of_transport'!$1:$1,0))</f>
        <v>12</v>
      </c>
      <c r="J287">
        <f>INDEX('2_land_use'!$1:$343,MATCH($A287,'2_land_use'!$A:$A,0),MATCH(J$1,'2_land_use'!$1:$1,0))</f>
        <v>0</v>
      </c>
      <c r="K287">
        <f>INDEX('2_land_use'!$1:$343,MATCH($A287,'2_land_use'!$A:$A,0),MATCH(K$1,'2_land_use'!$1:$1,0))</f>
        <v>1.1068415302493463E-3</v>
      </c>
      <c r="L287">
        <f>INDEX('7_biomass'!$1:$343,MATCH($A287,'7_biomass'!$A:$A,0),MATCH(L$1,'7_biomass'!$1:$1,0))</f>
        <v>0.14483505840014935</v>
      </c>
      <c r="M287">
        <f>INDEX('7_biomass'!$1:$343,MATCH($A287,'7_biomass'!$A:$A,0),MATCH(M$1,'7_biomass'!$1:$1,0))</f>
        <v>0.10172703696727066</v>
      </c>
      <c r="N287">
        <f>INDEX('7_biomass'!$1:$343,MATCH($A287,'7_biomass'!$A:$A,0),MATCH(N$1,'7_biomass'!$1:$1,0))</f>
        <v>1.8779767324263751E-2</v>
      </c>
      <c r="O287">
        <f>INDEX('4_number_of_transport'!$1:$343,MATCH($A287,'4_number_of_transport'!$A:$A,0),MATCH(O$1,'4_number_of_transport'!$1:$1,0))</f>
        <v>17582</v>
      </c>
      <c r="P287">
        <f>INDEX('2_land_use'!$1:$343,MATCH($A287,'2_land_use'!$A:$A,0),MATCH(P$1,'2_land_use'!$1:$1,0))</f>
        <v>54.905285608962686</v>
      </c>
      <c r="Q287">
        <f>INDEX('2_land_use'!$1:$343,MATCH($A287,'2_land_use'!$A:$A,0),MATCH(Q$1,'2_land_use'!$1:$1,0))</f>
        <v>0</v>
      </c>
      <c r="R287">
        <f>INDEX('6_roof_surface'!$1:$343,MATCH($A287,'6_roof_surface'!$A:$A,0),MATCH(R$1,'6_roof_surface'!$1:$1,0))</f>
        <v>1.199049</v>
      </c>
      <c r="S287">
        <f>INDEX('6_roof_surface'!$1:$343,MATCH($A287,'6_roof_surface'!$A:$A,0),MATCH(S$1,'6_roof_surface'!$1:$1,0))</f>
        <v>1.2110639999999999</v>
      </c>
    </row>
    <row r="288" spans="1:19" x14ac:dyDescent="0.2">
      <c r="A288" t="s">
        <v>288</v>
      </c>
      <c r="B288" t="str">
        <f>INDEX(CBS_gemeenten_alfabetisch_2023!$B:$B,MATCH($A288,CBS_gemeenten_alfabetisch_2023!$A:$A,0))</f>
        <v>Veendam</v>
      </c>
      <c r="C288">
        <f>INDEX('5_train_share_nl'!$1:$343,MATCH($A288,'5_train_share_nl'!$A:$A,0),MATCH(C$1,'5_train_share_nl'!$1:$1,0))</f>
        <v>0</v>
      </c>
      <c r="D288">
        <f>INDEX('3_has_tram_metro'!$1:$343,MATCH($A288,'3_has_tram_metro'!$A:$A,0),MATCH(D$1,'3_has_tram_metro'!$1:$1,0))</f>
        <v>0</v>
      </c>
      <c r="E288">
        <f>INDEX('1_buildings_total'!$1:$343,MATCH($A288,'1_buildings_total'!$A:$A,0),MATCH(E$1,'1_buildings_total'!$1:$1,0))</f>
        <v>2158.3173076923072</v>
      </c>
      <c r="F288">
        <f>INDEX('2_land_use'!$1:$343,MATCH($A288,'2_land_use'!$A:$A,0),MATCH(F$1,'2_land_use'!$1:$1,0))</f>
        <v>57.000793770357859</v>
      </c>
      <c r="G288">
        <f>INDEX('4_number_of_transport'!$1:$343,MATCH($A288,'4_number_of_transport'!$A:$A,0),MATCH(G$1,'4_number_of_transport'!$1:$1,0))</f>
        <v>1539</v>
      </c>
      <c r="H288">
        <f>INDEX('4_number_of_transport'!$1:$343,MATCH($A288,'4_number_of_transport'!$A:$A,0),MATCH(H$1,'4_number_of_transport'!$1:$1,0))</f>
        <v>72</v>
      </c>
      <c r="I288">
        <f>INDEX('4_number_of_transport'!$1:$343,MATCH($A288,'4_number_of_transport'!$A:$A,0),MATCH(I$1,'4_number_of_transport'!$1:$1,0))</f>
        <v>0</v>
      </c>
      <c r="J288">
        <f>INDEX('2_land_use'!$1:$343,MATCH($A288,'2_land_use'!$A:$A,0),MATCH(J$1,'2_land_use'!$1:$1,0))</f>
        <v>0</v>
      </c>
      <c r="K288">
        <f>INDEX('2_land_use'!$1:$343,MATCH($A288,'2_land_use'!$A:$A,0),MATCH(K$1,'2_land_use'!$1:$1,0))</f>
        <v>2.5555774281695257E-3</v>
      </c>
      <c r="L288">
        <f>INDEX('7_biomass'!$1:$343,MATCH($A288,'7_biomass'!$A:$A,0),MATCH(L$1,'7_biomass'!$1:$1,0))</f>
        <v>0.13704252634107339</v>
      </c>
      <c r="M288">
        <f>INDEX('7_biomass'!$1:$343,MATCH($A288,'7_biomass'!$A:$A,0),MATCH(M$1,'7_biomass'!$1:$1,0))</f>
        <v>0.10868918065275611</v>
      </c>
      <c r="N288">
        <f>INDEX('7_biomass'!$1:$343,MATCH($A288,'7_biomass'!$A:$A,0),MATCH(N$1,'7_biomass'!$1:$1,0))</f>
        <v>1.6702509980955509E-2</v>
      </c>
      <c r="O288">
        <f>INDEX('4_number_of_transport'!$1:$343,MATCH($A288,'4_number_of_transport'!$A:$A,0),MATCH(O$1,'4_number_of_transport'!$1:$1,0))</f>
        <v>15515</v>
      </c>
      <c r="P288">
        <f>INDEX('2_land_use'!$1:$343,MATCH($A288,'2_land_use'!$A:$A,0),MATCH(P$1,'2_land_use'!$1:$1,0))</f>
        <v>75.933264679493092</v>
      </c>
      <c r="Q288">
        <f>INDEX('2_land_use'!$1:$343,MATCH($A288,'2_land_use'!$A:$A,0),MATCH(Q$1,'2_land_use'!$1:$1,0))</f>
        <v>0</v>
      </c>
      <c r="R288">
        <f>INDEX('6_roof_surface'!$1:$343,MATCH($A288,'6_roof_surface'!$A:$A,0),MATCH(R$1,'6_roof_surface'!$1:$1,0))</f>
        <v>1.1890160000000001</v>
      </c>
      <c r="S288">
        <f>INDEX('6_roof_surface'!$1:$343,MATCH($A288,'6_roof_surface'!$A:$A,0),MATCH(S$1,'6_roof_surface'!$1:$1,0))</f>
        <v>1.3232889999999999</v>
      </c>
    </row>
    <row r="289" spans="1:19" x14ac:dyDescent="0.2">
      <c r="A289" t="s">
        <v>289</v>
      </c>
      <c r="B289" t="str">
        <f>INDEX(CBS_gemeenten_alfabetisch_2023!$B:$B,MATCH($A289,CBS_gemeenten_alfabetisch_2023!$A:$A,0))</f>
        <v>Veenendaal</v>
      </c>
      <c r="C289">
        <f>INDEX('5_train_share_nl'!$1:$343,MATCH($A289,'5_train_share_nl'!$A:$A,0),MATCH(C$1,'5_train_share_nl'!$1:$1,0))</f>
        <v>2.8051168435703861E-3</v>
      </c>
      <c r="D289">
        <f>INDEX('3_has_tram_metro'!$1:$343,MATCH($A289,'3_has_tram_metro'!$A:$A,0),MATCH(D$1,'3_has_tram_metro'!$1:$1,0))</f>
        <v>0</v>
      </c>
      <c r="E289">
        <f>INDEX('1_buildings_total'!$1:$343,MATCH($A289,'1_buildings_total'!$A:$A,0),MATCH(E$1,'1_buildings_total'!$1:$1,0))</f>
        <v>3210.9726923076933</v>
      </c>
      <c r="F289">
        <f>INDEX('2_land_use'!$1:$343,MATCH($A289,'2_land_use'!$A:$A,0),MATCH(F$1,'2_land_use'!$1:$1,0))</f>
        <v>3.7933490567361439</v>
      </c>
      <c r="G289">
        <f>INDEX('4_number_of_transport'!$1:$343,MATCH($A289,'4_number_of_transport'!$A:$A,0),MATCH(G$1,'4_number_of_transport'!$1:$1,0))</f>
        <v>3232</v>
      </c>
      <c r="H289">
        <f>INDEX('4_number_of_transport'!$1:$343,MATCH($A289,'4_number_of_transport'!$A:$A,0),MATCH(H$1,'4_number_of_transport'!$1:$1,0))</f>
        <v>185</v>
      </c>
      <c r="I289">
        <f>INDEX('4_number_of_transport'!$1:$343,MATCH($A289,'4_number_of_transport'!$A:$A,0),MATCH(I$1,'4_number_of_transport'!$1:$1,0))</f>
        <v>0</v>
      </c>
      <c r="J289">
        <f>INDEX('2_land_use'!$1:$343,MATCH($A289,'2_land_use'!$A:$A,0),MATCH(J$1,'2_land_use'!$1:$1,0))</f>
        <v>0</v>
      </c>
      <c r="K289">
        <f>INDEX('2_land_use'!$1:$343,MATCH($A289,'2_land_use'!$A:$A,0),MATCH(K$1,'2_land_use'!$1:$1,0))</f>
        <v>1.7007126717600779E-4</v>
      </c>
      <c r="L289">
        <f>INDEX('7_biomass'!$1:$343,MATCH($A289,'7_biomass'!$A:$A,0),MATCH(L$1,'7_biomass'!$1:$1,0))</f>
        <v>0.11361796394427727</v>
      </c>
      <c r="M289">
        <f>INDEX('7_biomass'!$1:$343,MATCH($A289,'7_biomass'!$A:$A,0),MATCH(M$1,'7_biomass'!$1:$1,0))</f>
        <v>0.16595123044756813</v>
      </c>
      <c r="N289">
        <f>INDEX('7_biomass'!$1:$343,MATCH($A289,'7_biomass'!$A:$A,0),MATCH(N$1,'7_biomass'!$1:$1,0))</f>
        <v>3.9849438985154806E-2</v>
      </c>
      <c r="O289">
        <f>INDEX('4_number_of_transport'!$1:$343,MATCH($A289,'4_number_of_transport'!$A:$A,0),MATCH(O$1,'4_number_of_transport'!$1:$1,0))</f>
        <v>33139</v>
      </c>
      <c r="P289">
        <f>INDEX('2_land_use'!$1:$343,MATCH($A289,'2_land_use'!$A:$A,0),MATCH(P$1,'2_land_use'!$1:$1,0))</f>
        <v>19.424255307376242</v>
      </c>
      <c r="Q289">
        <f>INDEX('2_land_use'!$1:$343,MATCH($A289,'2_land_use'!$A:$A,0),MATCH(Q$1,'2_land_use'!$1:$1,0))</f>
        <v>0</v>
      </c>
      <c r="R289">
        <f>INDEX('6_roof_surface'!$1:$343,MATCH($A289,'6_roof_surface'!$A:$A,0),MATCH(R$1,'6_roof_surface'!$1:$1,0))</f>
        <v>1.5907739999999999</v>
      </c>
      <c r="S289">
        <f>INDEX('6_roof_surface'!$1:$343,MATCH($A289,'6_roof_surface'!$A:$A,0),MATCH(S$1,'6_roof_surface'!$1:$1,0))</f>
        <v>1.941281</v>
      </c>
    </row>
    <row r="290" spans="1:19" x14ac:dyDescent="0.2">
      <c r="A290" t="s">
        <v>290</v>
      </c>
      <c r="B290" t="str">
        <f>INDEX(CBS_gemeenten_alfabetisch_2023!$B:$B,MATCH($A290,CBS_gemeenten_alfabetisch_2023!$A:$A,0))</f>
        <v>Veere</v>
      </c>
      <c r="C290">
        <f>INDEX('5_train_share_nl'!$1:$343,MATCH($A290,'5_train_share_nl'!$A:$A,0),MATCH(C$1,'5_train_share_nl'!$1:$1,0))</f>
        <v>0</v>
      </c>
      <c r="D290">
        <f>INDEX('3_has_tram_metro'!$1:$343,MATCH($A290,'3_has_tram_metro'!$A:$A,0),MATCH(D$1,'3_has_tram_metro'!$1:$1,0))</f>
        <v>0</v>
      </c>
      <c r="E290">
        <f>INDEX('1_buildings_total'!$1:$343,MATCH($A290,'1_buildings_total'!$A:$A,0),MATCH(E$1,'1_buildings_total'!$1:$1,0))</f>
        <v>4536.5798461538452</v>
      </c>
      <c r="F290">
        <f>INDEX('2_land_use'!$1:$343,MATCH($A290,'2_land_use'!$A:$A,0),MATCH(F$1,'2_land_use'!$1:$1,0))</f>
        <v>94.087580447047927</v>
      </c>
      <c r="G290">
        <f>INDEX('4_number_of_transport'!$1:$343,MATCH($A290,'4_number_of_transport'!$A:$A,0),MATCH(G$1,'4_number_of_transport'!$1:$1,0))</f>
        <v>1862</v>
      </c>
      <c r="H290">
        <f>INDEX('4_number_of_transport'!$1:$343,MATCH($A290,'4_number_of_transport'!$A:$A,0),MATCH(H$1,'4_number_of_transport'!$1:$1,0))</f>
        <v>79</v>
      </c>
      <c r="I290">
        <f>INDEX('4_number_of_transport'!$1:$343,MATCH($A290,'4_number_of_transport'!$A:$A,0),MATCH(I$1,'4_number_of_transport'!$1:$1,0))</f>
        <v>0</v>
      </c>
      <c r="J290">
        <f>INDEX('2_land_use'!$1:$343,MATCH($A290,'2_land_use'!$A:$A,0),MATCH(J$1,'2_land_use'!$1:$1,0))</f>
        <v>7.9107169885616669E-4</v>
      </c>
      <c r="K290">
        <f>INDEX('2_land_use'!$1:$343,MATCH($A290,'2_land_use'!$A:$A,0),MATCH(K$1,'2_land_use'!$1:$1,0))</f>
        <v>4.2183289206509334E-3</v>
      </c>
      <c r="L290">
        <f>INDEX('7_biomass'!$1:$343,MATCH($A290,'7_biomass'!$A:$A,0),MATCH(L$1,'7_biomass'!$1:$1,0))</f>
        <v>2.6398472450789412</v>
      </c>
      <c r="M290">
        <f>INDEX('7_biomass'!$1:$343,MATCH($A290,'7_biomass'!$A:$A,0),MATCH(M$1,'7_biomass'!$1:$1,0))</f>
        <v>0.13538228372135844</v>
      </c>
      <c r="N290">
        <f>INDEX('7_biomass'!$1:$343,MATCH($A290,'7_biomass'!$A:$A,0),MATCH(N$1,'7_biomass'!$1:$1,0))</f>
        <v>1.326613456891941E-2</v>
      </c>
      <c r="O290">
        <f>INDEX('4_number_of_transport'!$1:$343,MATCH($A290,'4_number_of_transport'!$A:$A,0),MATCH(O$1,'4_number_of_transport'!$1:$1,0))</f>
        <v>12393</v>
      </c>
      <c r="P290">
        <f>INDEX('2_land_use'!$1:$343,MATCH($A290,'2_land_use'!$A:$A,0),MATCH(P$1,'2_land_use'!$1:$1,0))</f>
        <v>132.98760972867646</v>
      </c>
      <c r="Q290">
        <f>INDEX('2_land_use'!$1:$343,MATCH($A290,'2_land_use'!$A:$A,0),MATCH(Q$1,'2_land_use'!$1:$1,0))</f>
        <v>63.918137882753328</v>
      </c>
      <c r="R290">
        <f>INDEX('6_roof_surface'!$1:$343,MATCH($A290,'6_roof_surface'!$A:$A,0),MATCH(R$1,'6_roof_surface'!$1:$1,0))</f>
        <v>1.088757</v>
      </c>
      <c r="S290">
        <f>INDEX('6_roof_surface'!$1:$343,MATCH($A290,'6_roof_surface'!$A:$A,0),MATCH(S$1,'6_roof_surface'!$1:$1,0))</f>
        <v>1.386566</v>
      </c>
    </row>
    <row r="291" spans="1:19" x14ac:dyDescent="0.2">
      <c r="A291" t="s">
        <v>291</v>
      </c>
      <c r="B291" t="str">
        <f>INDEX(CBS_gemeenten_alfabetisch_2023!$B:$B,MATCH($A291,CBS_gemeenten_alfabetisch_2023!$A:$A,0))</f>
        <v>Veldhoven</v>
      </c>
      <c r="C291">
        <f>INDEX('5_train_share_nl'!$1:$343,MATCH($A291,'5_train_share_nl'!$A:$A,0),MATCH(C$1,'5_train_share_nl'!$1:$1,0))</f>
        <v>0</v>
      </c>
      <c r="D291">
        <f>INDEX('3_has_tram_metro'!$1:$343,MATCH($A291,'3_has_tram_metro'!$A:$A,0),MATCH(D$1,'3_has_tram_metro'!$1:$1,0))</f>
        <v>0</v>
      </c>
      <c r="E291">
        <f>INDEX('1_buildings_total'!$1:$343,MATCH($A291,'1_buildings_total'!$A:$A,0),MATCH(E$1,'1_buildings_total'!$1:$1,0))</f>
        <v>2866.961615384615</v>
      </c>
      <c r="F291">
        <f>INDEX('2_land_use'!$1:$343,MATCH($A291,'2_land_use'!$A:$A,0),MATCH(F$1,'2_land_use'!$1:$1,0))</f>
        <v>11.799494530524873</v>
      </c>
      <c r="G291">
        <f>INDEX('4_number_of_transport'!$1:$343,MATCH($A291,'4_number_of_transport'!$A:$A,0),MATCH(G$1,'4_number_of_transport'!$1:$1,0))</f>
        <v>2256</v>
      </c>
      <c r="H291">
        <f>INDEX('4_number_of_transport'!$1:$343,MATCH($A291,'4_number_of_transport'!$A:$A,0),MATCH(H$1,'4_number_of_transport'!$1:$1,0))</f>
        <v>157</v>
      </c>
      <c r="I291">
        <f>INDEX('4_number_of_transport'!$1:$343,MATCH($A291,'4_number_of_transport'!$A:$A,0),MATCH(I$1,'4_number_of_transport'!$1:$1,0))</f>
        <v>9</v>
      </c>
      <c r="J291">
        <f>INDEX('2_land_use'!$1:$343,MATCH($A291,'2_land_use'!$A:$A,0),MATCH(J$1,'2_land_use'!$1:$1,0))</f>
        <v>2.547696669016826E-4</v>
      </c>
      <c r="K291">
        <f>INDEX('2_land_use'!$1:$343,MATCH($A291,'2_land_use'!$A:$A,0),MATCH(K$1,'2_land_use'!$1:$1,0))</f>
        <v>5.2901933273954527E-4</v>
      </c>
      <c r="L291">
        <f>INDEX('7_biomass'!$1:$343,MATCH($A291,'7_biomass'!$A:$A,0),MATCH(L$1,'7_biomass'!$1:$1,0))</f>
        <v>0.10034470692978842</v>
      </c>
      <c r="M291">
        <f>INDEX('7_biomass'!$1:$343,MATCH($A291,'7_biomass'!$A:$A,0),MATCH(M$1,'7_biomass'!$1:$1,0))</f>
        <v>0.12605690717022613</v>
      </c>
      <c r="N291">
        <f>INDEX('7_biomass'!$1:$343,MATCH($A291,'7_biomass'!$A:$A,0),MATCH(N$1,'7_biomass'!$1:$1,0))</f>
        <v>2.7545076388875631E-2</v>
      </c>
      <c r="O291">
        <f>INDEX('4_number_of_transport'!$1:$343,MATCH($A291,'4_number_of_transport'!$A:$A,0),MATCH(O$1,'4_number_of_transport'!$1:$1,0))</f>
        <v>24215</v>
      </c>
      <c r="P291">
        <f>INDEX('2_land_use'!$1:$343,MATCH($A291,'2_land_use'!$A:$A,0),MATCH(P$1,'2_land_use'!$1:$1,0))</f>
        <v>31.678849915651945</v>
      </c>
      <c r="Q291">
        <f>INDEX('2_land_use'!$1:$343,MATCH($A291,'2_land_use'!$A:$A,0),MATCH(Q$1,'2_land_use'!$1:$1,0))</f>
        <v>0</v>
      </c>
      <c r="R291">
        <f>INDEX('6_roof_surface'!$1:$343,MATCH($A291,'6_roof_surface'!$A:$A,0),MATCH(R$1,'6_roof_surface'!$1:$1,0))</f>
        <v>1.641216</v>
      </c>
      <c r="S291">
        <f>INDEX('6_roof_surface'!$1:$343,MATCH($A291,'6_roof_surface'!$A:$A,0),MATCH(S$1,'6_roof_surface'!$1:$1,0))</f>
        <v>1.436029</v>
      </c>
    </row>
    <row r="292" spans="1:19" x14ac:dyDescent="0.2">
      <c r="A292" t="s">
        <v>292</v>
      </c>
      <c r="B292" t="str">
        <f>INDEX(CBS_gemeenten_alfabetisch_2023!$B:$B,MATCH($A292,CBS_gemeenten_alfabetisch_2023!$A:$A,0))</f>
        <v>Velsen</v>
      </c>
      <c r="C292">
        <f>INDEX('5_train_share_nl'!$1:$343,MATCH($A292,'5_train_share_nl'!$A:$A,0),MATCH(C$1,'5_train_share_nl'!$1:$1,0))</f>
        <v>9.7331693979333842E-4</v>
      </c>
      <c r="D292">
        <f>INDEX('3_has_tram_metro'!$1:$343,MATCH($A292,'3_has_tram_metro'!$A:$A,0),MATCH(D$1,'3_has_tram_metro'!$1:$1,0))</f>
        <v>0</v>
      </c>
      <c r="E292">
        <f>INDEX('1_buildings_total'!$1:$343,MATCH($A292,'1_buildings_total'!$A:$A,0),MATCH(E$1,'1_buildings_total'!$1:$1,0))</f>
        <v>3437.606153846154</v>
      </c>
      <c r="F292">
        <f>INDEX('2_land_use'!$1:$343,MATCH($A292,'2_land_use'!$A:$A,0),MATCH(F$1,'2_land_use'!$1:$1,0))</f>
        <v>3.3217045958995626</v>
      </c>
      <c r="G292">
        <f>INDEX('4_number_of_transport'!$1:$343,MATCH($A292,'4_number_of_transport'!$A:$A,0),MATCH(G$1,'4_number_of_transport'!$1:$1,0))</f>
        <v>3298</v>
      </c>
      <c r="H292">
        <f>INDEX('4_number_of_transport'!$1:$343,MATCH($A292,'4_number_of_transport'!$A:$A,0),MATCH(H$1,'4_number_of_transport'!$1:$1,0))</f>
        <v>142</v>
      </c>
      <c r="I292">
        <f>INDEX('4_number_of_transport'!$1:$343,MATCH($A292,'4_number_of_transport'!$A:$A,0),MATCH(I$1,'4_number_of_transport'!$1:$1,0))</f>
        <v>7</v>
      </c>
      <c r="J292">
        <f>INDEX('2_land_use'!$1:$343,MATCH($A292,'2_land_use'!$A:$A,0),MATCH(J$1,'2_land_use'!$1:$1,0))</f>
        <v>0</v>
      </c>
      <c r="K292">
        <f>INDEX('2_land_use'!$1:$343,MATCH($A292,'2_land_use'!$A:$A,0),MATCH(K$1,'2_land_use'!$1:$1,0))</f>
        <v>1.4892552764313204E-4</v>
      </c>
      <c r="L292">
        <f>INDEX('7_biomass'!$1:$343,MATCH($A292,'7_biomass'!$A:$A,0),MATCH(L$1,'7_biomass'!$1:$1,0))</f>
        <v>0.16293767700226836</v>
      </c>
      <c r="M292">
        <f>INDEX('7_biomass'!$1:$343,MATCH($A292,'7_biomass'!$A:$A,0),MATCH(M$1,'7_biomass'!$1:$1,0))</f>
        <v>0.1889495263898226</v>
      </c>
      <c r="N292">
        <f>INDEX('7_biomass'!$1:$343,MATCH($A292,'7_biomass'!$A:$A,0),MATCH(N$1,'7_biomass'!$1:$1,0))</f>
        <v>4.1525704855347095E-2</v>
      </c>
      <c r="O292">
        <f>INDEX('4_number_of_transport'!$1:$343,MATCH($A292,'4_number_of_transport'!$A:$A,0),MATCH(O$1,'4_number_of_transport'!$1:$1,0))</f>
        <v>33524</v>
      </c>
      <c r="P292">
        <f>INDEX('2_land_use'!$1:$343,MATCH($A292,'2_land_use'!$A:$A,0),MATCH(P$1,'2_land_use'!$1:$1,0))</f>
        <v>45.028299914721529</v>
      </c>
      <c r="Q292">
        <f>INDEX('2_land_use'!$1:$343,MATCH($A292,'2_land_use'!$A:$A,0),MATCH(Q$1,'2_land_use'!$1:$1,0))</f>
        <v>13.878990041315232</v>
      </c>
      <c r="R292">
        <f>INDEX('6_roof_surface'!$1:$343,MATCH($A292,'6_roof_surface'!$A:$A,0),MATCH(R$1,'6_roof_surface'!$1:$1,0))</f>
        <v>1.6144259999999999</v>
      </c>
      <c r="S292">
        <f>INDEX('6_roof_surface'!$1:$343,MATCH($A292,'6_roof_surface'!$A:$A,0),MATCH(S$1,'6_roof_surface'!$1:$1,0))</f>
        <v>2.375947</v>
      </c>
    </row>
    <row r="293" spans="1:19" x14ac:dyDescent="0.2">
      <c r="A293" t="s">
        <v>293</v>
      </c>
      <c r="B293" t="str">
        <f>INDEX(CBS_gemeenten_alfabetisch_2023!$B:$B,MATCH($A293,CBS_gemeenten_alfabetisch_2023!$A:$A,0))</f>
        <v>Venlo</v>
      </c>
      <c r="C293">
        <f>INDEX('5_train_share_nl'!$1:$343,MATCH($A293,'5_train_share_nl'!$A:$A,0),MATCH(C$1,'5_train_share_nl'!$1:$1,0))</f>
        <v>1.7755708535530225E-3</v>
      </c>
      <c r="D293">
        <f>INDEX('3_has_tram_metro'!$1:$343,MATCH($A293,'3_has_tram_metro'!$A:$A,0),MATCH(D$1,'3_has_tram_metro'!$1:$1,0))</f>
        <v>0</v>
      </c>
      <c r="E293">
        <f>INDEX('1_buildings_total'!$1:$343,MATCH($A293,'1_buildings_total'!$A:$A,0),MATCH(E$1,'1_buildings_total'!$1:$1,0))</f>
        <v>7865.7317692307697</v>
      </c>
      <c r="F293">
        <f>INDEX('2_land_use'!$1:$343,MATCH($A293,'2_land_use'!$A:$A,0),MATCH(F$1,'2_land_use'!$1:$1,0))</f>
        <v>47.511277424639374</v>
      </c>
      <c r="G293">
        <f>INDEX('4_number_of_transport'!$1:$343,MATCH($A293,'4_number_of_transport'!$A:$A,0),MATCH(G$1,'4_number_of_transport'!$1:$1,0))</f>
        <v>3916</v>
      </c>
      <c r="H293">
        <f>INDEX('4_number_of_transport'!$1:$343,MATCH($A293,'4_number_of_transport'!$A:$A,0),MATCH(H$1,'4_number_of_transport'!$1:$1,0))</f>
        <v>395</v>
      </c>
      <c r="I293">
        <f>INDEX('4_number_of_transport'!$1:$343,MATCH($A293,'4_number_of_transport'!$A:$A,0),MATCH(I$1,'4_number_of_transport'!$1:$1,0))</f>
        <v>48</v>
      </c>
      <c r="J293">
        <f>INDEX('2_land_use'!$1:$343,MATCH($A293,'2_land_use'!$A:$A,0),MATCH(J$1,'2_land_use'!$1:$1,0))</f>
        <v>1.9849041028057783E-2</v>
      </c>
      <c r="K293">
        <f>INDEX('2_land_use'!$1:$343,MATCH($A293,'2_land_use'!$A:$A,0),MATCH(K$1,'2_land_use'!$1:$1,0))</f>
        <v>2.1301238129959195E-3</v>
      </c>
      <c r="L293">
        <f>INDEX('7_biomass'!$1:$343,MATCH($A293,'7_biomass'!$A:$A,0),MATCH(L$1,'7_biomass'!$1:$1,0))</f>
        <v>0.27980274846486508</v>
      </c>
      <c r="M293">
        <f>INDEX('7_biomass'!$1:$343,MATCH($A293,'7_biomass'!$A:$A,0),MATCH(M$1,'7_biomass'!$1:$1,0))</f>
        <v>0.31236040040200808</v>
      </c>
      <c r="N293">
        <f>INDEX('7_biomass'!$1:$343,MATCH($A293,'7_biomass'!$A:$A,0),MATCH(N$1,'7_biomass'!$1:$1,0))</f>
        <v>6.1730207034848592E-2</v>
      </c>
      <c r="O293">
        <f>INDEX('4_number_of_transport'!$1:$343,MATCH($A293,'4_number_of_transport'!$A:$A,0),MATCH(O$1,'4_number_of_transport'!$1:$1,0))</f>
        <v>51000</v>
      </c>
      <c r="P293">
        <f>INDEX('2_land_use'!$1:$343,MATCH($A293,'2_land_use'!$A:$A,0),MATCH(P$1,'2_land_use'!$1:$1,0))</f>
        <v>124.16002405088699</v>
      </c>
      <c r="Q293">
        <f>INDEX('2_land_use'!$1:$343,MATCH($A293,'2_land_use'!$A:$A,0),MATCH(Q$1,'2_land_use'!$1:$1,0))</f>
        <v>0</v>
      </c>
      <c r="R293">
        <f>INDEX('6_roof_surface'!$1:$343,MATCH($A293,'6_roof_surface'!$A:$A,0),MATCH(R$1,'6_roof_surface'!$1:$1,0))</f>
        <v>3.791846</v>
      </c>
      <c r="S293">
        <f>INDEX('6_roof_surface'!$1:$343,MATCH($A293,'6_roof_surface'!$A:$A,0),MATCH(S$1,'6_roof_surface'!$1:$1,0))</f>
        <v>8.7950719999999993</v>
      </c>
    </row>
    <row r="294" spans="1:19" x14ac:dyDescent="0.2">
      <c r="A294" t="s">
        <v>294</v>
      </c>
      <c r="B294" t="str">
        <f>INDEX(CBS_gemeenten_alfabetisch_2023!$B:$B,MATCH($A294,CBS_gemeenten_alfabetisch_2023!$A:$A,0))</f>
        <v>Venray</v>
      </c>
      <c r="C294">
        <f>INDEX('5_train_share_nl'!$1:$343,MATCH($A294,'5_train_share_nl'!$A:$A,0),MATCH(C$1,'5_train_share_nl'!$1:$1,0))</f>
        <v>0</v>
      </c>
      <c r="D294">
        <f>INDEX('3_has_tram_metro'!$1:$343,MATCH($A294,'3_has_tram_metro'!$A:$A,0),MATCH(D$1,'3_has_tram_metro'!$1:$1,0))</f>
        <v>0</v>
      </c>
      <c r="E294">
        <f>INDEX('1_buildings_total'!$1:$343,MATCH($A294,'1_buildings_total'!$A:$A,0),MATCH(E$1,'1_buildings_total'!$1:$1,0))</f>
        <v>4675.494846153847</v>
      </c>
      <c r="F294">
        <f>INDEX('2_land_use'!$1:$343,MATCH($A294,'2_land_use'!$A:$A,0),MATCH(F$1,'2_land_use'!$1:$1,0))</f>
        <v>108.83513371311894</v>
      </c>
      <c r="G294">
        <f>INDEX('4_number_of_transport'!$1:$343,MATCH($A294,'4_number_of_transport'!$A:$A,0),MATCH(G$1,'4_number_of_transport'!$1:$1,0))</f>
        <v>2724</v>
      </c>
      <c r="H294">
        <f>INDEX('4_number_of_transport'!$1:$343,MATCH($A294,'4_number_of_transport'!$A:$A,0),MATCH(H$1,'4_number_of_transport'!$1:$1,0))</f>
        <v>178</v>
      </c>
      <c r="I294">
        <f>INDEX('4_number_of_transport'!$1:$343,MATCH($A294,'4_number_of_transport'!$A:$A,0),MATCH(I$1,'4_number_of_transport'!$1:$1,0))</f>
        <v>2</v>
      </c>
      <c r="J294">
        <f>INDEX('2_land_use'!$1:$343,MATCH($A294,'2_land_use'!$A:$A,0),MATCH(J$1,'2_land_use'!$1:$1,0))</f>
        <v>1.6353329676124316E-3</v>
      </c>
      <c r="K294">
        <f>INDEX('2_land_use'!$1:$343,MATCH($A294,'2_land_use'!$A:$A,0),MATCH(K$1,'2_land_use'!$1:$1,0))</f>
        <v>4.8795217173571784E-3</v>
      </c>
      <c r="L294">
        <f>INDEX('7_biomass'!$1:$343,MATCH($A294,'7_biomass'!$A:$A,0),MATCH(L$1,'7_biomass'!$1:$1,0))</f>
        <v>0.59295908949398324</v>
      </c>
      <c r="M294">
        <f>INDEX('7_biomass'!$1:$343,MATCH($A294,'7_biomass'!$A:$A,0),MATCH(M$1,'7_biomass'!$1:$1,0))</f>
        <v>0.42971293596845772</v>
      </c>
      <c r="N294">
        <f>INDEX('7_biomass'!$1:$343,MATCH($A294,'7_biomass'!$A:$A,0),MATCH(N$1,'7_biomass'!$1:$1,0))</f>
        <v>2.6323267521548083E-2</v>
      </c>
      <c r="O294">
        <f>INDEX('4_number_of_transport'!$1:$343,MATCH($A294,'4_number_of_transport'!$A:$A,0),MATCH(O$1,'4_number_of_transport'!$1:$1,0))</f>
        <v>24336</v>
      </c>
      <c r="P294">
        <f>INDEX('2_land_use'!$1:$343,MATCH($A294,'2_land_use'!$A:$A,0),MATCH(P$1,'2_land_use'!$1:$1,0))</f>
        <v>163.18068076707871</v>
      </c>
      <c r="Q294">
        <f>INDEX('2_land_use'!$1:$343,MATCH($A294,'2_land_use'!$A:$A,0),MATCH(Q$1,'2_land_use'!$1:$1,0))</f>
        <v>0</v>
      </c>
      <c r="R294">
        <f>INDEX('6_roof_surface'!$1:$343,MATCH($A294,'6_roof_surface'!$A:$A,0),MATCH(R$1,'6_roof_surface'!$1:$1,0))</f>
        <v>2.130674</v>
      </c>
      <c r="S294">
        <f>INDEX('6_roof_surface'!$1:$343,MATCH($A294,'6_roof_surface'!$A:$A,0),MATCH(S$1,'6_roof_surface'!$1:$1,0))</f>
        <v>4.033741</v>
      </c>
    </row>
    <row r="295" spans="1:19" x14ac:dyDescent="0.2">
      <c r="A295" t="s">
        <v>295</v>
      </c>
      <c r="B295" t="str">
        <f>INDEX(CBS_gemeenten_alfabetisch_2023!$B:$B,MATCH($A295,CBS_gemeenten_alfabetisch_2023!$A:$A,0))</f>
        <v>Vijfheerenlanden</v>
      </c>
      <c r="C295">
        <f>INDEX('5_train_share_nl'!$1:$343,MATCH($A295,'5_train_share_nl'!$A:$A,0),MATCH(C$1,'5_train_share_nl'!$1:$1,0))</f>
        <v>2.8193720957398572E-4</v>
      </c>
      <c r="D295">
        <f>INDEX('3_has_tram_metro'!$1:$343,MATCH($A295,'3_has_tram_metro'!$A:$A,0),MATCH(D$1,'3_has_tram_metro'!$1:$1,0))</f>
        <v>0</v>
      </c>
      <c r="E295">
        <f>INDEX('1_buildings_total'!$1:$343,MATCH($A295,'1_buildings_total'!$A:$A,0),MATCH(E$1,'1_buildings_total'!$1:$1,0))</f>
        <v>3359.1425384615391</v>
      </c>
      <c r="F295">
        <f>INDEX('2_land_use'!$1:$343,MATCH($A295,'2_land_use'!$A:$A,0),MATCH(F$1,'2_land_use'!$1:$1,0))</f>
        <v>117.58892481876423</v>
      </c>
      <c r="G295">
        <f>INDEX('4_number_of_transport'!$1:$343,MATCH($A295,'4_number_of_transport'!$A:$A,0),MATCH(G$1,'4_number_of_transport'!$1:$1,0))</f>
        <v>4875</v>
      </c>
      <c r="H295">
        <f>INDEX('4_number_of_transport'!$1:$343,MATCH($A295,'4_number_of_transport'!$A:$A,0),MATCH(H$1,'4_number_of_transport'!$1:$1,0))</f>
        <v>541</v>
      </c>
      <c r="I295">
        <f>INDEX('4_number_of_transport'!$1:$343,MATCH($A295,'4_number_of_transport'!$A:$A,0),MATCH(I$1,'4_number_of_transport'!$1:$1,0))</f>
        <v>191</v>
      </c>
      <c r="J295">
        <f>INDEX('2_land_use'!$1:$343,MATCH($A295,'2_land_use'!$A:$A,0),MATCH(J$1,'2_land_use'!$1:$1,0))</f>
        <v>0</v>
      </c>
      <c r="K295">
        <f>INDEX('2_land_use'!$1:$343,MATCH($A295,'2_land_use'!$A:$A,0),MATCH(K$1,'2_land_use'!$1:$1,0))</f>
        <v>5.2719897775499094E-3</v>
      </c>
      <c r="L295">
        <f>INDEX('7_biomass'!$1:$343,MATCH($A295,'7_biomass'!$A:$A,0),MATCH(L$1,'7_biomass'!$1:$1,0))</f>
        <v>0.34865784589199939</v>
      </c>
      <c r="M295">
        <f>INDEX('7_biomass'!$1:$343,MATCH($A295,'7_biomass'!$A:$A,0),MATCH(M$1,'7_biomass'!$1:$1,0))</f>
        <v>0.19055728762352656</v>
      </c>
      <c r="N295">
        <f>INDEX('7_biomass'!$1:$343,MATCH($A295,'7_biomass'!$A:$A,0),MATCH(N$1,'7_biomass'!$1:$1,0))</f>
        <v>3.3848540833690779E-2</v>
      </c>
      <c r="O295">
        <f>INDEX('4_number_of_transport'!$1:$343,MATCH($A295,'4_number_of_transport'!$A:$A,0),MATCH(O$1,'4_number_of_transport'!$1:$1,0))</f>
        <v>33235</v>
      </c>
      <c r="P295">
        <f>INDEX('2_land_use'!$1:$343,MATCH($A295,'2_land_use'!$A:$A,0),MATCH(P$1,'2_land_use'!$1:$1,0))</f>
        <v>146.27989976866104</v>
      </c>
      <c r="Q295">
        <f>INDEX('2_land_use'!$1:$343,MATCH($A295,'2_land_use'!$A:$A,0),MATCH(Q$1,'2_land_use'!$1:$1,0))</f>
        <v>0</v>
      </c>
      <c r="R295">
        <f>INDEX('6_roof_surface'!$1:$343,MATCH($A295,'6_roof_surface'!$A:$A,0),MATCH(R$1,'6_roof_surface'!$1:$1,0))</f>
        <v>1.766645</v>
      </c>
      <c r="S295">
        <f>INDEX('6_roof_surface'!$1:$343,MATCH($A295,'6_roof_surface'!$A:$A,0),MATCH(S$1,'6_roof_surface'!$1:$1,0))</f>
        <v>2.361685</v>
      </c>
    </row>
    <row r="296" spans="1:19" x14ac:dyDescent="0.2">
      <c r="A296" t="s">
        <v>296</v>
      </c>
      <c r="B296" t="str">
        <f>INDEX(CBS_gemeenten_alfabetisch_2023!$B:$B,MATCH($A296,CBS_gemeenten_alfabetisch_2023!$A:$A,0))</f>
        <v>Vlaardingen</v>
      </c>
      <c r="C296">
        <f>INDEX('5_train_share_nl'!$1:$343,MATCH($A296,'5_train_share_nl'!$A:$A,0),MATCH(C$1,'5_train_share_nl'!$1:$1,0))</f>
        <v>0</v>
      </c>
      <c r="D296">
        <f>INDEX('3_has_tram_metro'!$1:$343,MATCH($A296,'3_has_tram_metro'!$A:$A,0),MATCH(D$1,'3_has_tram_metro'!$1:$1,0))</f>
        <v>1</v>
      </c>
      <c r="E296">
        <f>INDEX('1_buildings_total'!$1:$343,MATCH($A296,'1_buildings_total'!$A:$A,0),MATCH(E$1,'1_buildings_total'!$1:$1,0))</f>
        <v>4147.1056923076922</v>
      </c>
      <c r="F296">
        <f>INDEX('2_land_use'!$1:$343,MATCH($A296,'2_land_use'!$A:$A,0),MATCH(F$1,'2_land_use'!$1:$1,0))</f>
        <v>4.0848190491694769</v>
      </c>
      <c r="G296">
        <f>INDEX('4_number_of_transport'!$1:$343,MATCH($A296,'4_number_of_transport'!$A:$A,0),MATCH(G$1,'4_number_of_transport'!$1:$1,0))</f>
        <v>2878</v>
      </c>
      <c r="H296">
        <f>INDEX('4_number_of_transport'!$1:$343,MATCH($A296,'4_number_of_transport'!$A:$A,0),MATCH(H$1,'4_number_of_transport'!$1:$1,0))</f>
        <v>119</v>
      </c>
      <c r="I296">
        <f>INDEX('4_number_of_transport'!$1:$343,MATCH($A296,'4_number_of_transport'!$A:$A,0),MATCH(I$1,'4_number_of_transport'!$1:$1,0))</f>
        <v>7</v>
      </c>
      <c r="J296">
        <f>INDEX('2_land_use'!$1:$343,MATCH($A296,'2_land_use'!$A:$A,0),MATCH(J$1,'2_land_use'!$1:$1,0))</f>
        <v>0</v>
      </c>
      <c r="K296">
        <f>INDEX('2_land_use'!$1:$343,MATCH($A296,'2_land_use'!$A:$A,0),MATCH(K$1,'2_land_use'!$1:$1,0))</f>
        <v>1.8313905245374062E-4</v>
      </c>
      <c r="L296">
        <f>INDEX('7_biomass'!$1:$343,MATCH($A296,'7_biomass'!$A:$A,0),MATCH(L$1,'7_biomass'!$1:$1,0))</f>
        <v>0.1368451737184295</v>
      </c>
      <c r="M296">
        <f>INDEX('7_biomass'!$1:$343,MATCH($A296,'7_biomass'!$A:$A,0),MATCH(M$1,'7_biomass'!$1:$1,0))</f>
        <v>0.18926485381185609</v>
      </c>
      <c r="N296">
        <f>INDEX('7_biomass'!$1:$343,MATCH($A296,'7_biomass'!$A:$A,0),MATCH(N$1,'7_biomass'!$1:$1,0))</f>
        <v>4.3989979726496042E-2</v>
      </c>
      <c r="O296">
        <f>INDEX('4_number_of_transport'!$1:$343,MATCH($A296,'4_number_of_transport'!$A:$A,0),MATCH(O$1,'4_number_of_transport'!$1:$1,0))</f>
        <v>32237</v>
      </c>
      <c r="P296">
        <f>INDEX('2_land_use'!$1:$343,MATCH($A296,'2_land_use'!$A:$A,0),MATCH(P$1,'2_land_use'!$1:$1,0))</f>
        <v>23.36311165888544</v>
      </c>
      <c r="Q296">
        <f>INDEX('2_land_use'!$1:$343,MATCH($A296,'2_land_use'!$A:$A,0),MATCH(Q$1,'2_land_use'!$1:$1,0))</f>
        <v>0</v>
      </c>
      <c r="R296">
        <f>INDEX('6_roof_surface'!$1:$343,MATCH($A296,'6_roof_surface'!$A:$A,0),MATCH(R$1,'6_roof_surface'!$1:$1,0))</f>
        <v>1.3184739999999999</v>
      </c>
      <c r="S296">
        <f>INDEX('6_roof_surface'!$1:$343,MATCH($A296,'6_roof_surface'!$A:$A,0),MATCH(S$1,'6_roof_surface'!$1:$1,0))</f>
        <v>1.1690849999999999</v>
      </c>
    </row>
    <row r="297" spans="1:19" x14ac:dyDescent="0.2">
      <c r="A297" t="s">
        <v>297</v>
      </c>
      <c r="B297" t="str">
        <f>INDEX(CBS_gemeenten_alfabetisch_2023!$B:$B,MATCH($A297,CBS_gemeenten_alfabetisch_2023!$A:$A,0))</f>
        <v>Vlieland</v>
      </c>
      <c r="C297">
        <f>INDEX('5_train_share_nl'!$1:$343,MATCH($A297,'5_train_share_nl'!$A:$A,0),MATCH(C$1,'5_train_share_nl'!$1:$1,0))</f>
        <v>0</v>
      </c>
      <c r="D297">
        <f>INDEX('3_has_tram_metro'!$1:$343,MATCH($A297,'3_has_tram_metro'!$A:$A,0),MATCH(D$1,'3_has_tram_metro'!$1:$1,0))</f>
        <v>0</v>
      </c>
      <c r="E297">
        <f>INDEX('1_buildings_total'!$1:$343,MATCH($A297,'1_buildings_total'!$A:$A,0),MATCH(E$1,'1_buildings_total'!$1:$1,0))</f>
        <v>460.20446153846154</v>
      </c>
      <c r="F297">
        <f>INDEX('2_land_use'!$1:$343,MATCH($A297,'2_land_use'!$A:$A,0),MATCH(F$1,'2_land_use'!$1:$1,0))</f>
        <v>0.12533647833412301</v>
      </c>
      <c r="G297">
        <f>INDEX('4_number_of_transport'!$1:$343,MATCH($A297,'4_number_of_transport'!$A:$A,0),MATCH(G$1,'4_number_of_transport'!$1:$1,0))</f>
        <v>140</v>
      </c>
      <c r="H297">
        <f>INDEX('4_number_of_transport'!$1:$343,MATCH($A297,'4_number_of_transport'!$A:$A,0),MATCH(H$1,'4_number_of_transport'!$1:$1,0))</f>
        <v>11</v>
      </c>
      <c r="I297">
        <f>INDEX('4_number_of_transport'!$1:$343,MATCH($A297,'4_number_of_transport'!$A:$A,0),MATCH(I$1,'4_number_of_transport'!$1:$1,0))</f>
        <v>0</v>
      </c>
      <c r="J297">
        <f>INDEX('2_land_use'!$1:$343,MATCH($A297,'2_land_use'!$A:$A,0),MATCH(J$1,'2_land_use'!$1:$1,0))</f>
        <v>0</v>
      </c>
      <c r="K297">
        <f>INDEX('2_land_use'!$1:$343,MATCH($A297,'2_land_use'!$A:$A,0),MATCH(K$1,'2_land_use'!$1:$1,0))</f>
        <v>5.6193441138272877E-6</v>
      </c>
      <c r="L297">
        <f>INDEX('7_biomass'!$1:$343,MATCH($A297,'7_biomass'!$A:$A,0),MATCH(L$1,'7_biomass'!$1:$1,0))</f>
        <v>2.3221151128819988E-2</v>
      </c>
      <c r="M297">
        <f>INDEX('7_biomass'!$1:$343,MATCH($A297,'7_biomass'!$A:$A,0),MATCH(M$1,'7_biomass'!$1:$1,0))</f>
        <v>6.8474270500505545E-3</v>
      </c>
      <c r="N297">
        <f>INDEX('7_biomass'!$1:$343,MATCH($A297,'7_biomass'!$A:$A,0),MATCH(N$1,'7_biomass'!$1:$1,0))</f>
        <v>6.9140650970598997E-4</v>
      </c>
      <c r="O297">
        <f>INDEX('4_number_of_transport'!$1:$343,MATCH($A297,'4_number_of_transport'!$A:$A,0),MATCH(O$1,'4_number_of_transport'!$1:$1,0))</f>
        <v>482</v>
      </c>
      <c r="P297">
        <f>INDEX('2_land_use'!$1:$343,MATCH($A297,'2_land_use'!$A:$A,0),MATCH(P$1,'2_land_use'!$1:$1,0))</f>
        <v>41.839636666572375</v>
      </c>
      <c r="Q297">
        <f>INDEX('2_land_use'!$1:$343,MATCH($A297,'2_land_use'!$A:$A,0),MATCH(Q$1,'2_land_use'!$1:$1,0))</f>
        <v>273.26182887549066</v>
      </c>
      <c r="R297">
        <f>INDEX('6_roof_surface'!$1:$343,MATCH($A297,'6_roof_surface'!$A:$A,0),MATCH(R$1,'6_roof_surface'!$1:$1,0))</f>
        <v>4.9091000000000003E-2</v>
      </c>
      <c r="S297">
        <f>INDEX('6_roof_surface'!$1:$343,MATCH($A297,'6_roof_surface'!$A:$A,0),MATCH(S$1,'6_roof_surface'!$1:$1,0))</f>
        <v>7.4446999999999999E-2</v>
      </c>
    </row>
    <row r="298" spans="1:19" x14ac:dyDescent="0.2">
      <c r="A298" t="s">
        <v>298</v>
      </c>
      <c r="B298" t="str">
        <f>INDEX(CBS_gemeenten_alfabetisch_2023!$B:$B,MATCH($A298,CBS_gemeenten_alfabetisch_2023!$A:$A,0))</f>
        <v>Vlissingen</v>
      </c>
      <c r="C298">
        <f>INDEX('5_train_share_nl'!$1:$343,MATCH($A298,'5_train_share_nl'!$A:$A,0),MATCH(C$1,'5_train_share_nl'!$1:$1,0))</f>
        <v>1.0925066870991948E-3</v>
      </c>
      <c r="D298">
        <f>INDEX('3_has_tram_metro'!$1:$343,MATCH($A298,'3_has_tram_metro'!$A:$A,0),MATCH(D$1,'3_has_tram_metro'!$1:$1,0))</f>
        <v>0</v>
      </c>
      <c r="E298">
        <f>INDEX('1_buildings_total'!$1:$343,MATCH($A298,'1_buildings_total'!$A:$A,0),MATCH(E$1,'1_buildings_total'!$1:$1,0))</f>
        <v>2453.7276923076915</v>
      </c>
      <c r="F298">
        <f>INDEX('2_land_use'!$1:$343,MATCH($A298,'2_land_use'!$A:$A,0),MATCH(F$1,'2_land_use'!$1:$1,0))</f>
        <v>12.315865574517327</v>
      </c>
      <c r="G298">
        <f>INDEX('4_number_of_transport'!$1:$343,MATCH($A298,'4_number_of_transport'!$A:$A,0),MATCH(G$1,'4_number_of_transport'!$1:$1,0))</f>
        <v>1617</v>
      </c>
      <c r="H298">
        <f>INDEX('4_number_of_transport'!$1:$343,MATCH($A298,'4_number_of_transport'!$A:$A,0),MATCH(H$1,'4_number_of_transport'!$1:$1,0))</f>
        <v>75</v>
      </c>
      <c r="I298">
        <f>INDEX('4_number_of_transport'!$1:$343,MATCH($A298,'4_number_of_transport'!$A:$A,0),MATCH(I$1,'4_number_of_transport'!$1:$1,0))</f>
        <v>2</v>
      </c>
      <c r="J298">
        <f>INDEX('2_land_use'!$1:$343,MATCH($A298,'2_land_use'!$A:$A,0),MATCH(J$1,'2_land_use'!$1:$1,0))</f>
        <v>0</v>
      </c>
      <c r="K298">
        <f>INDEX('2_land_use'!$1:$343,MATCH($A298,'2_land_use'!$A:$A,0),MATCH(K$1,'2_land_use'!$1:$1,0))</f>
        <v>5.5217034691496002E-4</v>
      </c>
      <c r="L298">
        <f>INDEX('7_biomass'!$1:$343,MATCH($A298,'7_biomass'!$A:$A,0),MATCH(L$1,'7_biomass'!$1:$1,0))</f>
        <v>1.308352310662287</v>
      </c>
      <c r="M298">
        <f>INDEX('7_biomass'!$1:$343,MATCH($A298,'7_biomass'!$A:$A,0),MATCH(M$1,'7_biomass'!$1:$1,0))</f>
        <v>0.12208288021803339</v>
      </c>
      <c r="N298">
        <f>INDEX('7_biomass'!$1:$343,MATCH($A298,'7_biomass'!$A:$A,0),MATCH(N$1,'7_biomass'!$1:$1,0))</f>
        <v>2.6958170687315007E-2</v>
      </c>
      <c r="O298">
        <f>INDEX('4_number_of_transport'!$1:$343,MATCH($A298,'4_number_of_transport'!$A:$A,0),MATCH(O$1,'4_number_of_transport'!$1:$1,0))</f>
        <v>21619</v>
      </c>
      <c r="P298">
        <f>INDEX('2_land_use'!$1:$343,MATCH($A298,'2_land_use'!$A:$A,0),MATCH(P$1,'2_land_use'!$1:$1,0))</f>
        <v>34.369799467935195</v>
      </c>
      <c r="Q298">
        <f>INDEX('2_land_use'!$1:$343,MATCH($A298,'2_land_use'!$A:$A,0),MATCH(Q$1,'2_land_use'!$1:$1,0))</f>
        <v>309.38197168126425</v>
      </c>
      <c r="R298">
        <f>INDEX('6_roof_surface'!$1:$343,MATCH($A298,'6_roof_surface'!$A:$A,0),MATCH(R$1,'6_roof_surface'!$1:$1,0))</f>
        <v>1.289061</v>
      </c>
      <c r="S298">
        <f>INDEX('6_roof_surface'!$1:$343,MATCH($A298,'6_roof_surface'!$A:$A,0),MATCH(S$1,'6_roof_surface'!$1:$1,0))</f>
        <v>1.7556799999999999</v>
      </c>
    </row>
    <row r="299" spans="1:19" x14ac:dyDescent="0.2">
      <c r="A299" t="s">
        <v>299</v>
      </c>
      <c r="B299" t="str">
        <f>INDEX(CBS_gemeenten_alfabetisch_2023!$B:$B,MATCH($A299,CBS_gemeenten_alfabetisch_2023!$A:$A,0))</f>
        <v>Voerendaal</v>
      </c>
      <c r="C299">
        <f>INDEX('5_train_share_nl'!$1:$343,MATCH($A299,'5_train_share_nl'!$A:$A,0),MATCH(C$1,'5_train_share_nl'!$1:$1,0))</f>
        <v>0</v>
      </c>
      <c r="D299">
        <f>INDEX('3_has_tram_metro'!$1:$343,MATCH($A299,'3_has_tram_metro'!$A:$A,0),MATCH(D$1,'3_has_tram_metro'!$1:$1,0))</f>
        <v>0</v>
      </c>
      <c r="E299">
        <f>INDEX('1_buildings_total'!$1:$343,MATCH($A299,'1_buildings_total'!$A:$A,0),MATCH(E$1,'1_buildings_total'!$1:$1,0))</f>
        <v>805.01130769230781</v>
      </c>
      <c r="F299">
        <f>INDEX('2_land_use'!$1:$343,MATCH($A299,'2_land_use'!$A:$A,0),MATCH(F$1,'2_land_use'!$1:$1,0))</f>
        <v>25.309496447822688</v>
      </c>
      <c r="G299">
        <f>INDEX('4_number_of_transport'!$1:$343,MATCH($A299,'4_number_of_transport'!$A:$A,0),MATCH(G$1,'4_number_of_transport'!$1:$1,0))</f>
        <v>649</v>
      </c>
      <c r="H299">
        <f>INDEX('4_number_of_transport'!$1:$343,MATCH($A299,'4_number_of_transport'!$A:$A,0),MATCH(H$1,'4_number_of_transport'!$1:$1,0))</f>
        <v>31</v>
      </c>
      <c r="I299">
        <f>INDEX('4_number_of_transport'!$1:$343,MATCH($A299,'4_number_of_transport'!$A:$A,0),MATCH(I$1,'4_number_of_transport'!$1:$1,0))</f>
        <v>1</v>
      </c>
      <c r="J299">
        <f>INDEX('2_land_use'!$1:$343,MATCH($A299,'2_land_use'!$A:$A,0),MATCH(J$1,'2_land_use'!$1:$1,0))</f>
        <v>0</v>
      </c>
      <c r="K299">
        <f>INDEX('2_land_use'!$1:$343,MATCH($A299,'2_land_use'!$A:$A,0),MATCH(K$1,'2_land_use'!$1:$1,0))</f>
        <v>1.134727668898327E-3</v>
      </c>
      <c r="L299">
        <f>INDEX('7_biomass'!$1:$343,MATCH($A299,'7_biomass'!$A:$A,0),MATCH(L$1,'7_biomass'!$1:$1,0))</f>
        <v>6.108554202380978E-2</v>
      </c>
      <c r="M299">
        <f>INDEX('7_biomass'!$1:$343,MATCH($A299,'7_biomass'!$A:$A,0),MATCH(M$1,'7_biomass'!$1:$1,0))</f>
        <v>4.466804728581298E-2</v>
      </c>
      <c r="N299">
        <f>INDEX('7_biomass'!$1:$343,MATCH($A299,'7_biomass'!$A:$A,0),MATCH(N$1,'7_biomass'!$1:$1,0))</f>
        <v>7.565372459454294E-3</v>
      </c>
      <c r="O299">
        <f>INDEX('4_number_of_transport'!$1:$343,MATCH($A299,'4_number_of_transport'!$A:$A,0),MATCH(O$1,'4_number_of_transport'!$1:$1,0))</f>
        <v>7447</v>
      </c>
      <c r="P299">
        <f>INDEX('2_land_use'!$1:$343,MATCH($A299,'2_land_use'!$A:$A,0),MATCH(P$1,'2_land_use'!$1:$1,0))</f>
        <v>31.510423735834607</v>
      </c>
      <c r="Q299">
        <f>INDEX('2_land_use'!$1:$343,MATCH($A299,'2_land_use'!$A:$A,0),MATCH(Q$1,'2_land_use'!$1:$1,0))</f>
        <v>0</v>
      </c>
      <c r="R299">
        <f>INDEX('6_roof_surface'!$1:$343,MATCH($A299,'6_roof_surface'!$A:$A,0),MATCH(R$1,'6_roof_surface'!$1:$1,0))</f>
        <v>0.59196000000000004</v>
      </c>
      <c r="S299">
        <f>INDEX('6_roof_surface'!$1:$343,MATCH($A299,'6_roof_surface'!$A:$A,0),MATCH(S$1,'6_roof_surface'!$1:$1,0))</f>
        <v>0.31104199999999999</v>
      </c>
    </row>
    <row r="300" spans="1:19" x14ac:dyDescent="0.2">
      <c r="A300" t="s">
        <v>300</v>
      </c>
      <c r="B300" t="str">
        <f>INDEX(CBS_gemeenten_alfabetisch_2023!$B:$B,MATCH($A300,CBS_gemeenten_alfabetisch_2023!$A:$A,0))</f>
        <v>Voorne aan Zee</v>
      </c>
      <c r="C300">
        <f>INDEX('5_train_share_nl'!$1:$343,MATCH($A300,'5_train_share_nl'!$A:$A,0),MATCH(C$1,'5_train_share_nl'!$1:$1,0))</f>
        <v>0</v>
      </c>
      <c r="D300">
        <f>INDEX('3_has_tram_metro'!$1:$343,MATCH($A300,'3_has_tram_metro'!$A:$A,0),MATCH(D$1,'3_has_tram_metro'!$1:$1,0))</f>
        <v>0</v>
      </c>
      <c r="E300">
        <f>INDEX('1_buildings_total'!$1:$343,MATCH($A300,'1_buildings_total'!$A:$A,0),MATCH(E$1,'1_buildings_total'!$1:$1,0))</f>
        <v>5604.6146153846166</v>
      </c>
      <c r="F300">
        <f>INDEX('2_land_use'!$1:$343,MATCH($A300,'2_land_use'!$A:$A,0),MATCH(F$1,'2_land_use'!$1:$1,0))</f>
        <v>74.91465142633497</v>
      </c>
      <c r="G300">
        <f>INDEX('4_number_of_transport'!$1:$343,MATCH($A300,'4_number_of_transport'!$A:$A,0),MATCH(G$1,'4_number_of_transport'!$1:$1,0))</f>
        <v>3281</v>
      </c>
      <c r="H300">
        <f>INDEX('4_number_of_transport'!$1:$343,MATCH($A300,'4_number_of_transport'!$A:$A,0),MATCH(H$1,'4_number_of_transport'!$1:$1,0))</f>
        <v>132</v>
      </c>
      <c r="I300">
        <f>INDEX('4_number_of_transport'!$1:$343,MATCH($A300,'4_number_of_transport'!$A:$A,0),MATCH(I$1,'4_number_of_transport'!$1:$1,0))</f>
        <v>2</v>
      </c>
      <c r="J300">
        <f>INDEX('2_land_use'!$1:$343,MATCH($A300,'2_land_use'!$A:$A,0),MATCH(J$1,'2_land_use'!$1:$1,0))</f>
        <v>1.9816229834304356E-2</v>
      </c>
      <c r="K300">
        <f>INDEX('2_land_use'!$1:$343,MATCH($A300,'2_land_use'!$A:$A,0),MATCH(K$1,'2_land_use'!$1:$1,0))</f>
        <v>3.3587285292137376E-3</v>
      </c>
      <c r="L300">
        <f>INDEX('7_biomass'!$1:$343,MATCH($A300,'7_biomass'!$A:$A,0),MATCH(L$1,'7_biomass'!$1:$1,0))</f>
        <v>0.26165165371815247</v>
      </c>
      <c r="M300">
        <f>INDEX('7_biomass'!$1:$343,MATCH($A300,'7_biomass'!$A:$A,0),MATCH(M$1,'7_biomass'!$1:$1,0))</f>
        <v>0.14250526411789038</v>
      </c>
      <c r="N300">
        <f>INDEX('7_biomass'!$1:$343,MATCH($A300,'7_biomass'!$A:$A,0),MATCH(N$1,'7_biomass'!$1:$1,0))</f>
        <v>1.9873987995599855E-2</v>
      </c>
      <c r="O300">
        <f>INDEX('4_number_of_transport'!$1:$343,MATCH($A300,'4_number_of_transport'!$A:$A,0),MATCH(O$1,'4_number_of_transport'!$1:$1,0))</f>
        <v>40724</v>
      </c>
      <c r="P300">
        <f>INDEX('2_land_use'!$1:$343,MATCH($A300,'2_land_use'!$A:$A,0),MATCH(P$1,'2_land_use'!$1:$1,0))</f>
        <v>121.76937325163375</v>
      </c>
      <c r="Q300">
        <f>INDEX('2_land_use'!$1:$343,MATCH($A300,'2_land_use'!$A:$A,0),MATCH(Q$1,'2_land_use'!$1:$1,0))</f>
        <v>40.204921049117019</v>
      </c>
      <c r="R300">
        <f>INDEX('6_roof_surface'!$1:$343,MATCH($A300,'6_roof_surface'!$A:$A,0),MATCH(R$1,'6_roof_surface'!$1:$1,0))</f>
        <v>2.4173830000000001</v>
      </c>
      <c r="S300">
        <f>INDEX('6_roof_surface'!$1:$343,MATCH($A300,'6_roof_surface'!$A:$A,0),MATCH(S$1,'6_roof_surface'!$1:$1,0))</f>
        <v>3.9868640000000002</v>
      </c>
    </row>
    <row r="301" spans="1:19" x14ac:dyDescent="0.2">
      <c r="A301" t="s">
        <v>301</v>
      </c>
      <c r="B301" t="str">
        <f>INDEX(CBS_gemeenten_alfabetisch_2023!$B:$B,MATCH($A301,CBS_gemeenten_alfabetisch_2023!$A:$A,0))</f>
        <v>Voorschoten</v>
      </c>
      <c r="C301">
        <f>INDEX('5_train_share_nl'!$1:$343,MATCH($A301,'5_train_share_nl'!$A:$A,0),MATCH(C$1,'5_train_share_nl'!$1:$1,0))</f>
        <v>1.1241850252535753E-3</v>
      </c>
      <c r="D301">
        <f>INDEX('3_has_tram_metro'!$1:$343,MATCH($A301,'3_has_tram_metro'!$A:$A,0),MATCH(D$1,'3_has_tram_metro'!$1:$1,0))</f>
        <v>0</v>
      </c>
      <c r="E301">
        <f>INDEX('1_buildings_total'!$1:$343,MATCH($A301,'1_buildings_total'!$A:$A,0),MATCH(E$1,'1_buildings_total'!$1:$1,0))</f>
        <v>1215.4093076923075</v>
      </c>
      <c r="F301">
        <f>INDEX('2_land_use'!$1:$343,MATCH($A301,'2_land_use'!$A:$A,0),MATCH(F$1,'2_land_use'!$1:$1,0))</f>
        <v>4.4923288341065266</v>
      </c>
      <c r="G301">
        <f>INDEX('4_number_of_transport'!$1:$343,MATCH($A301,'4_number_of_transport'!$A:$A,0),MATCH(G$1,'4_number_of_transport'!$1:$1,0))</f>
        <v>724</v>
      </c>
      <c r="H301">
        <f>INDEX('4_number_of_transport'!$1:$343,MATCH($A301,'4_number_of_transport'!$A:$A,0),MATCH(H$1,'4_number_of_transport'!$1:$1,0))</f>
        <v>43</v>
      </c>
      <c r="I301">
        <f>INDEX('4_number_of_transport'!$1:$343,MATCH($A301,'4_number_of_transport'!$A:$A,0),MATCH(I$1,'4_number_of_transport'!$1:$1,0))</f>
        <v>0</v>
      </c>
      <c r="J301">
        <f>INDEX('2_land_use'!$1:$343,MATCH($A301,'2_land_use'!$A:$A,0),MATCH(J$1,'2_land_use'!$1:$1,0))</f>
        <v>1.2587619842860821E-4</v>
      </c>
      <c r="K301">
        <f>INDEX('2_land_use'!$1:$343,MATCH($A301,'2_land_use'!$A:$A,0),MATCH(K$1,'2_land_use'!$1:$1,0))</f>
        <v>2.0140937360644206E-4</v>
      </c>
      <c r="L301">
        <f>INDEX('7_biomass'!$1:$343,MATCH($A301,'7_biomass'!$A:$A,0),MATCH(L$1,'7_biomass'!$1:$1,0))</f>
        <v>5.0511361948850794E-2</v>
      </c>
      <c r="M301">
        <f>INDEX('7_biomass'!$1:$343,MATCH($A301,'7_biomass'!$A:$A,0),MATCH(M$1,'7_biomass'!$1:$1,0))</f>
        <v>6.885311482849675E-2</v>
      </c>
      <c r="N301">
        <f>INDEX('7_biomass'!$1:$343,MATCH($A301,'7_biomass'!$A:$A,0),MATCH(N$1,'7_biomass'!$1:$1,0))</f>
        <v>1.5480093550789909E-2</v>
      </c>
      <c r="O301">
        <f>INDEX('4_number_of_transport'!$1:$343,MATCH($A301,'4_number_of_transport'!$A:$A,0),MATCH(O$1,'4_number_of_transport'!$1:$1,0))</f>
        <v>11695</v>
      </c>
      <c r="P301">
        <f>INDEX('2_land_use'!$1:$343,MATCH($A301,'2_land_use'!$A:$A,0),MATCH(P$1,'2_land_use'!$1:$1,0))</f>
        <v>11.113149500134433</v>
      </c>
      <c r="Q301">
        <f>INDEX('2_land_use'!$1:$343,MATCH($A301,'2_land_use'!$A:$A,0),MATCH(Q$1,'2_land_use'!$1:$1,0))</f>
        <v>0</v>
      </c>
      <c r="R301">
        <f>INDEX('6_roof_surface'!$1:$343,MATCH($A301,'6_roof_surface'!$A:$A,0),MATCH(R$1,'6_roof_surface'!$1:$1,0))</f>
        <v>0.67993899999999996</v>
      </c>
      <c r="S301">
        <f>INDEX('6_roof_surface'!$1:$343,MATCH($A301,'6_roof_surface'!$A:$A,0),MATCH(S$1,'6_roof_surface'!$1:$1,0))</f>
        <v>0.41492200000000001</v>
      </c>
    </row>
    <row r="302" spans="1:19" x14ac:dyDescent="0.2">
      <c r="A302" t="s">
        <v>302</v>
      </c>
      <c r="B302" t="str">
        <f>INDEX(CBS_gemeenten_alfabetisch_2023!$B:$B,MATCH($A302,CBS_gemeenten_alfabetisch_2023!$A:$A,0))</f>
        <v>Voorst</v>
      </c>
      <c r="C302">
        <f>INDEX('5_train_share_nl'!$1:$343,MATCH($A302,'5_train_share_nl'!$A:$A,0),MATCH(C$1,'5_train_share_nl'!$1:$1,0))</f>
        <v>4.541881732884293E-4</v>
      </c>
      <c r="D302">
        <f>INDEX('3_has_tram_metro'!$1:$343,MATCH($A302,'3_has_tram_metro'!$A:$A,0),MATCH(D$1,'3_has_tram_metro'!$1:$1,0))</f>
        <v>0</v>
      </c>
      <c r="E302">
        <f>INDEX('1_buildings_total'!$1:$343,MATCH($A302,'1_buildings_total'!$A:$A,0),MATCH(E$1,'1_buildings_total'!$1:$1,0))</f>
        <v>2258.4985384615388</v>
      </c>
      <c r="F302">
        <f>INDEX('2_land_use'!$1:$343,MATCH($A302,'2_land_use'!$A:$A,0),MATCH(F$1,'2_land_use'!$1:$1,0))</f>
        <v>99.296049400517816</v>
      </c>
      <c r="G302">
        <f>INDEX('4_number_of_transport'!$1:$343,MATCH($A302,'4_number_of_transport'!$A:$A,0),MATCH(G$1,'4_number_of_transport'!$1:$1,0))</f>
        <v>1648</v>
      </c>
      <c r="H302">
        <f>INDEX('4_number_of_transport'!$1:$343,MATCH($A302,'4_number_of_transport'!$A:$A,0),MATCH(H$1,'4_number_of_transport'!$1:$1,0))</f>
        <v>149</v>
      </c>
      <c r="I302">
        <f>INDEX('4_number_of_transport'!$1:$343,MATCH($A302,'4_number_of_transport'!$A:$A,0),MATCH(I$1,'4_number_of_transport'!$1:$1,0))</f>
        <v>0</v>
      </c>
      <c r="J302">
        <f>INDEX('2_land_use'!$1:$343,MATCH($A302,'2_land_use'!$A:$A,0),MATCH(J$1,'2_land_use'!$1:$1,0))</f>
        <v>1.1975112158339679E-3</v>
      </c>
      <c r="K302">
        <f>INDEX('2_land_use'!$1:$343,MATCH($A302,'2_land_use'!$A:$A,0),MATCH(K$1,'2_land_use'!$1:$1,0))</f>
        <v>4.4518457686168527E-3</v>
      </c>
      <c r="L302">
        <f>INDEX('7_biomass'!$1:$343,MATCH($A302,'7_biomass'!$A:$A,0),MATCH(L$1,'7_biomass'!$1:$1,0))</f>
        <v>0.26126547028846631</v>
      </c>
      <c r="M302">
        <f>INDEX('7_biomass'!$1:$343,MATCH($A302,'7_biomass'!$A:$A,0),MATCH(M$1,'7_biomass'!$1:$1,0))</f>
        <v>0.114665241295696</v>
      </c>
      <c r="N302">
        <f>INDEX('7_biomass'!$1:$343,MATCH($A302,'7_biomass'!$A:$A,0),MATCH(N$1,'7_biomass'!$1:$1,0))</f>
        <v>1.483486181677606E-2</v>
      </c>
      <c r="O302">
        <f>INDEX('4_number_of_transport'!$1:$343,MATCH($A302,'4_number_of_transport'!$A:$A,0),MATCH(O$1,'4_number_of_transport'!$1:$1,0))</f>
        <v>13585</v>
      </c>
      <c r="P302">
        <f>INDEX('2_land_use'!$1:$343,MATCH($A302,'2_land_use'!$A:$A,0),MATCH(P$1,'2_land_use'!$1:$1,0))</f>
        <v>122.92537781597855</v>
      </c>
      <c r="Q302">
        <f>INDEX('2_land_use'!$1:$343,MATCH($A302,'2_land_use'!$A:$A,0),MATCH(Q$1,'2_land_use'!$1:$1,0))</f>
        <v>0</v>
      </c>
      <c r="R302">
        <f>INDEX('6_roof_surface'!$1:$343,MATCH($A302,'6_roof_surface'!$A:$A,0),MATCH(R$1,'6_roof_surface'!$1:$1,0))</f>
        <v>1.091251</v>
      </c>
      <c r="S302">
        <f>INDEX('6_roof_surface'!$1:$343,MATCH($A302,'6_roof_surface'!$A:$A,0),MATCH(S$1,'6_roof_surface'!$1:$1,0))</f>
        <v>1.8438380000000001</v>
      </c>
    </row>
    <row r="303" spans="1:19" x14ac:dyDescent="0.2">
      <c r="A303" t="s">
        <v>303</v>
      </c>
      <c r="B303" t="str">
        <f>INDEX(CBS_gemeenten_alfabetisch_2023!$B:$B,MATCH($A303,CBS_gemeenten_alfabetisch_2023!$A:$A,0))</f>
        <v>Vught</v>
      </c>
      <c r="C303">
        <f>INDEX('5_train_share_nl'!$1:$343,MATCH($A303,'5_train_share_nl'!$A:$A,0),MATCH(C$1,'5_train_share_nl'!$1:$1,0))</f>
        <v>6.5296974520716647E-4</v>
      </c>
      <c r="D303">
        <f>INDEX('3_has_tram_metro'!$1:$343,MATCH($A303,'3_has_tram_metro'!$A:$A,0),MATCH(D$1,'3_has_tram_metro'!$1:$1,0))</f>
        <v>0</v>
      </c>
      <c r="E303">
        <f>INDEX('1_buildings_total'!$1:$343,MATCH($A303,'1_buildings_total'!$A:$A,0),MATCH(E$1,'1_buildings_total'!$1:$1,0))</f>
        <v>2862.8708461538454</v>
      </c>
      <c r="F303">
        <f>INDEX('2_land_use'!$1:$343,MATCH($A303,'2_land_use'!$A:$A,0),MATCH(F$1,'2_land_use'!$1:$1,0))</f>
        <v>32.382535129029705</v>
      </c>
      <c r="G303">
        <f>INDEX('4_number_of_transport'!$1:$343,MATCH($A303,'4_number_of_transport'!$A:$A,0),MATCH(G$1,'4_number_of_transport'!$1:$1,0))</f>
        <v>1370</v>
      </c>
      <c r="H303">
        <f>INDEX('4_number_of_transport'!$1:$343,MATCH($A303,'4_number_of_transport'!$A:$A,0),MATCH(H$1,'4_number_of_transport'!$1:$1,0))</f>
        <v>102</v>
      </c>
      <c r="I303">
        <f>INDEX('4_number_of_transport'!$1:$343,MATCH($A303,'4_number_of_transport'!$A:$A,0),MATCH(I$1,'4_number_of_transport'!$1:$1,0))</f>
        <v>3</v>
      </c>
      <c r="J303">
        <f>INDEX('2_land_use'!$1:$343,MATCH($A303,'2_land_use'!$A:$A,0),MATCH(J$1,'2_land_use'!$1:$1,0))</f>
        <v>0</v>
      </c>
      <c r="K303">
        <f>INDEX('2_land_use'!$1:$343,MATCH($A303,'2_land_use'!$A:$A,0),MATCH(K$1,'2_land_use'!$1:$1,0))</f>
        <v>1.4518407616577916E-3</v>
      </c>
      <c r="L303">
        <f>INDEX('7_biomass'!$1:$343,MATCH($A303,'7_biomass'!$A:$A,0),MATCH(L$1,'7_biomass'!$1:$1,0))</f>
        <v>7.6728479936715749E-2</v>
      </c>
      <c r="M303">
        <f>INDEX('7_biomass'!$1:$343,MATCH($A303,'7_biomass'!$A:$A,0),MATCH(M$1,'7_biomass'!$1:$1,0))</f>
        <v>7.8149799780437734E-2</v>
      </c>
      <c r="N303">
        <f>INDEX('7_biomass'!$1:$343,MATCH($A303,'7_biomass'!$A:$A,0),MATCH(N$1,'7_biomass'!$1:$1,0))</f>
        <v>1.6037228673285862E-2</v>
      </c>
      <c r="O303">
        <f>INDEX('4_number_of_transport'!$1:$343,MATCH($A303,'4_number_of_transport'!$A:$A,0),MATCH(O$1,'4_number_of_transport'!$1:$1,0))</f>
        <v>16286</v>
      </c>
      <c r="P303">
        <f>INDEX('2_land_use'!$1:$343,MATCH($A303,'2_land_use'!$A:$A,0),MATCH(P$1,'2_land_use'!$1:$1,0))</f>
        <v>60.018943589764604</v>
      </c>
      <c r="Q303">
        <f>INDEX('2_land_use'!$1:$343,MATCH($A303,'2_land_use'!$A:$A,0),MATCH(Q$1,'2_land_use'!$1:$1,0))</f>
        <v>0</v>
      </c>
      <c r="R303">
        <f>INDEX('6_roof_surface'!$1:$343,MATCH($A303,'6_roof_surface'!$A:$A,0),MATCH(R$1,'6_roof_surface'!$1:$1,0))</f>
        <v>1.1669750000000001</v>
      </c>
      <c r="S303">
        <f>INDEX('6_roof_surface'!$1:$343,MATCH($A303,'6_roof_surface'!$A:$A,0),MATCH(S$1,'6_roof_surface'!$1:$1,0))</f>
        <v>0.93491000000000002</v>
      </c>
    </row>
    <row r="304" spans="1:19" x14ac:dyDescent="0.2">
      <c r="A304" t="s">
        <v>304</v>
      </c>
      <c r="B304" t="str">
        <f>INDEX(CBS_gemeenten_alfabetisch_2023!$B:$B,MATCH($A304,CBS_gemeenten_alfabetisch_2023!$A:$A,0))</f>
        <v>Waadhoeke</v>
      </c>
      <c r="C304">
        <f>INDEX('5_train_share_nl'!$1:$343,MATCH($A304,'5_train_share_nl'!$A:$A,0),MATCH(C$1,'5_train_share_nl'!$1:$1,0))</f>
        <v>4.5022838101913177E-4</v>
      </c>
      <c r="D304">
        <f>INDEX('3_has_tram_metro'!$1:$343,MATCH($A304,'3_has_tram_metro'!$A:$A,0),MATCH(D$1,'3_has_tram_metro'!$1:$1,0))</f>
        <v>0</v>
      </c>
      <c r="E304">
        <f>INDEX('1_buildings_total'!$1:$343,MATCH($A304,'1_buildings_total'!$A:$A,0),MATCH(E$1,'1_buildings_total'!$1:$1,0))</f>
        <v>6403.0807692307671</v>
      </c>
      <c r="F304">
        <f>INDEX('2_land_use'!$1:$343,MATCH($A304,'2_land_use'!$A:$A,0),MATCH(F$1,'2_land_use'!$1:$1,0))</f>
        <v>253.55730038482849</v>
      </c>
      <c r="G304">
        <f>INDEX('4_number_of_transport'!$1:$343,MATCH($A304,'4_number_of_transport'!$A:$A,0),MATCH(G$1,'4_number_of_transport'!$1:$1,0))</f>
        <v>3729</v>
      </c>
      <c r="H304">
        <f>INDEX('4_number_of_transport'!$1:$343,MATCH($A304,'4_number_of_transport'!$A:$A,0),MATCH(H$1,'4_number_of_transport'!$1:$1,0))</f>
        <v>217</v>
      </c>
      <c r="I304">
        <f>INDEX('4_number_of_transport'!$1:$343,MATCH($A304,'4_number_of_transport'!$A:$A,0),MATCH(I$1,'4_number_of_transport'!$1:$1,0))</f>
        <v>10</v>
      </c>
      <c r="J304">
        <f>INDEX('2_land_use'!$1:$343,MATCH($A304,'2_land_use'!$A:$A,0),MATCH(J$1,'2_land_use'!$1:$1,0))</f>
        <v>1.0442034744836846E-2</v>
      </c>
      <c r="K304">
        <f>INDEX('2_land_use'!$1:$343,MATCH($A304,'2_land_use'!$A:$A,0),MATCH(K$1,'2_land_use'!$1:$1,0))</f>
        <v>1.1368005088168438E-2</v>
      </c>
      <c r="L304">
        <f>INDEX('7_biomass'!$1:$343,MATCH($A304,'7_biomass'!$A:$A,0),MATCH(L$1,'7_biomass'!$1:$1,0))</f>
        <v>0.72965989403330844</v>
      </c>
      <c r="M304">
        <f>INDEX('7_biomass'!$1:$343,MATCH($A304,'7_biomass'!$A:$A,0),MATCH(M$1,'7_biomass'!$1:$1,0))</f>
        <v>0.29772111434947973</v>
      </c>
      <c r="N304">
        <f>INDEX('7_biomass'!$1:$343,MATCH($A304,'7_biomass'!$A:$A,0),MATCH(N$1,'7_biomass'!$1:$1,0))</f>
        <v>2.7971585501189871E-2</v>
      </c>
      <c r="O304">
        <f>INDEX('4_number_of_transport'!$1:$343,MATCH($A304,'4_number_of_transport'!$A:$A,0),MATCH(O$1,'4_number_of_transport'!$1:$1,0))</f>
        <v>25114</v>
      </c>
      <c r="P304">
        <f>INDEX('2_land_use'!$1:$343,MATCH($A304,'2_land_use'!$A:$A,0),MATCH(P$1,'2_land_use'!$1:$1,0))</f>
        <v>285.41815132724531</v>
      </c>
      <c r="Q304">
        <f>INDEX('2_land_use'!$1:$343,MATCH($A304,'2_land_use'!$A:$A,0),MATCH(Q$1,'2_land_use'!$1:$1,0))</f>
        <v>26.42682589659044</v>
      </c>
      <c r="R304">
        <f>INDEX('6_roof_surface'!$1:$343,MATCH($A304,'6_roof_surface'!$A:$A,0),MATCH(R$1,'6_roof_surface'!$1:$1,0))</f>
        <v>2.5446179999999998</v>
      </c>
      <c r="S304">
        <f>INDEX('6_roof_surface'!$1:$343,MATCH($A304,'6_roof_surface'!$A:$A,0),MATCH(S$1,'6_roof_surface'!$1:$1,0))</f>
        <v>3.4614039999999999</v>
      </c>
    </row>
    <row r="305" spans="1:19" x14ac:dyDescent="0.2">
      <c r="A305" t="s">
        <v>305</v>
      </c>
      <c r="B305" t="str">
        <f>INDEX(CBS_gemeenten_alfabetisch_2023!$B:$B,MATCH($A305,CBS_gemeenten_alfabetisch_2023!$A:$A,0))</f>
        <v>Waalre</v>
      </c>
      <c r="C305">
        <f>INDEX('5_train_share_nl'!$1:$343,MATCH($A305,'5_train_share_nl'!$A:$A,0),MATCH(C$1,'5_train_share_nl'!$1:$1,0))</f>
        <v>0</v>
      </c>
      <c r="D305">
        <f>INDEX('3_has_tram_metro'!$1:$343,MATCH($A305,'3_has_tram_metro'!$A:$A,0),MATCH(D$1,'3_has_tram_metro'!$1:$1,0))</f>
        <v>0</v>
      </c>
      <c r="E305">
        <f>INDEX('1_buildings_total'!$1:$343,MATCH($A305,'1_buildings_total'!$A:$A,0),MATCH(E$1,'1_buildings_total'!$1:$1,0))</f>
        <v>792.62792307692303</v>
      </c>
      <c r="F305">
        <f>INDEX('2_land_use'!$1:$343,MATCH($A305,'2_land_use'!$A:$A,0),MATCH(F$1,'2_land_use'!$1:$1,0))</f>
        <v>8.510152710807338</v>
      </c>
      <c r="G305">
        <f>INDEX('4_number_of_transport'!$1:$343,MATCH($A305,'4_number_of_transport'!$A:$A,0),MATCH(G$1,'4_number_of_transport'!$1:$1,0))</f>
        <v>548</v>
      </c>
      <c r="H305">
        <f>INDEX('4_number_of_transport'!$1:$343,MATCH($A305,'4_number_of_transport'!$A:$A,0),MATCH(H$1,'4_number_of_transport'!$1:$1,0))</f>
        <v>21</v>
      </c>
      <c r="I305">
        <f>INDEX('4_number_of_transport'!$1:$343,MATCH($A305,'4_number_of_transport'!$A:$A,0),MATCH(I$1,'4_number_of_transport'!$1:$1,0))</f>
        <v>1</v>
      </c>
      <c r="J305">
        <f>INDEX('2_land_use'!$1:$343,MATCH($A305,'2_land_use'!$A:$A,0),MATCH(J$1,'2_land_use'!$1:$1,0))</f>
        <v>0</v>
      </c>
      <c r="K305">
        <f>INDEX('2_land_use'!$1:$343,MATCH($A305,'2_land_use'!$A:$A,0),MATCH(K$1,'2_land_use'!$1:$1,0))</f>
        <v>3.8154475998410987E-4</v>
      </c>
      <c r="L305">
        <f>INDEX('7_biomass'!$1:$343,MATCH($A305,'7_biomass'!$A:$A,0),MATCH(L$1,'7_biomass'!$1:$1,0))</f>
        <v>5.1594358030911135E-2</v>
      </c>
      <c r="M305">
        <f>INDEX('7_biomass'!$1:$343,MATCH($A305,'7_biomass'!$A:$A,0),MATCH(M$1,'7_biomass'!$1:$1,0))</f>
        <v>5.3053437668426358E-2</v>
      </c>
      <c r="N305">
        <f>INDEX('7_biomass'!$1:$343,MATCH($A305,'7_biomass'!$A:$A,0),MATCH(N$1,'7_biomass'!$1:$1,0))</f>
        <v>1.047863626792549E-2</v>
      </c>
      <c r="O305">
        <f>INDEX('4_number_of_transport'!$1:$343,MATCH($A305,'4_number_of_transport'!$A:$A,0),MATCH(O$1,'4_number_of_transport'!$1:$1,0))</f>
        <v>9708</v>
      </c>
      <c r="P305">
        <f>INDEX('2_land_use'!$1:$343,MATCH($A305,'2_land_use'!$A:$A,0),MATCH(P$1,'2_land_use'!$1:$1,0))</f>
        <v>22.384666474732402</v>
      </c>
      <c r="Q305">
        <f>INDEX('2_land_use'!$1:$343,MATCH($A305,'2_land_use'!$A:$A,0),MATCH(Q$1,'2_land_use'!$1:$1,0))</f>
        <v>0</v>
      </c>
      <c r="R305">
        <f>INDEX('6_roof_surface'!$1:$343,MATCH($A305,'6_roof_surface'!$A:$A,0),MATCH(R$1,'6_roof_surface'!$1:$1,0))</f>
        <v>0.72894800000000004</v>
      </c>
      <c r="S305">
        <f>INDEX('6_roof_surface'!$1:$343,MATCH($A305,'6_roof_surface'!$A:$A,0),MATCH(S$1,'6_roof_surface'!$1:$1,0))</f>
        <v>0.339814</v>
      </c>
    </row>
    <row r="306" spans="1:19" x14ac:dyDescent="0.2">
      <c r="A306" t="s">
        <v>306</v>
      </c>
      <c r="B306" t="str">
        <f>INDEX(CBS_gemeenten_alfabetisch_2023!$B:$B,MATCH($A306,CBS_gemeenten_alfabetisch_2023!$A:$A,0))</f>
        <v>Waalwijk</v>
      </c>
      <c r="C306">
        <f>INDEX('5_train_share_nl'!$1:$343,MATCH($A306,'5_train_share_nl'!$A:$A,0),MATCH(C$1,'5_train_share_nl'!$1:$1,0))</f>
        <v>0</v>
      </c>
      <c r="D306">
        <f>INDEX('3_has_tram_metro'!$1:$343,MATCH($A306,'3_has_tram_metro'!$A:$A,0),MATCH(D$1,'3_has_tram_metro'!$1:$1,0))</f>
        <v>0</v>
      </c>
      <c r="E306">
        <f>INDEX('1_buildings_total'!$1:$343,MATCH($A306,'1_buildings_total'!$A:$A,0),MATCH(E$1,'1_buildings_total'!$1:$1,0))</f>
        <v>3317.8275384615386</v>
      </c>
      <c r="F306">
        <f>INDEX('2_land_use'!$1:$343,MATCH($A306,'2_land_use'!$A:$A,0),MATCH(F$1,'2_land_use'!$1:$1,0))</f>
        <v>42.522184680624832</v>
      </c>
      <c r="G306">
        <f>INDEX('4_number_of_transport'!$1:$343,MATCH($A306,'4_number_of_transport'!$A:$A,0),MATCH(G$1,'4_number_of_transport'!$1:$1,0))</f>
        <v>3049</v>
      </c>
      <c r="H306">
        <f>INDEX('4_number_of_transport'!$1:$343,MATCH($A306,'4_number_of_transport'!$A:$A,0),MATCH(H$1,'4_number_of_transport'!$1:$1,0))</f>
        <v>244</v>
      </c>
      <c r="I306">
        <f>INDEX('4_number_of_transport'!$1:$343,MATCH($A306,'4_number_of_transport'!$A:$A,0),MATCH(I$1,'4_number_of_transport'!$1:$1,0))</f>
        <v>0</v>
      </c>
      <c r="J306">
        <f>INDEX('2_land_use'!$1:$343,MATCH($A306,'2_land_use'!$A:$A,0),MATCH(J$1,'2_land_use'!$1:$1,0))</f>
        <v>1.0929282517171482E-3</v>
      </c>
      <c r="K306">
        <f>INDEX('2_land_use'!$1:$343,MATCH($A306,'2_land_use'!$A:$A,0),MATCH(K$1,'2_land_use'!$1:$1,0))</f>
        <v>1.9064424927845804E-3</v>
      </c>
      <c r="L306">
        <f>INDEX('7_biomass'!$1:$343,MATCH($A306,'7_biomass'!$A:$A,0),MATCH(L$1,'7_biomass'!$1:$1,0))</f>
        <v>0.16409669268383781</v>
      </c>
      <c r="M306">
        <f>INDEX('7_biomass'!$1:$343,MATCH($A306,'7_biomass'!$A:$A,0),MATCH(M$1,'7_biomass'!$1:$1,0))</f>
        <v>0.13502192727946682</v>
      </c>
      <c r="N306">
        <f>INDEX('7_biomass'!$1:$343,MATCH($A306,'7_biomass'!$A:$A,0),MATCH(N$1,'7_biomass'!$1:$1,0))</f>
        <v>2.9308831307747762E-2</v>
      </c>
      <c r="O306">
        <f>INDEX('4_number_of_transport'!$1:$343,MATCH($A306,'4_number_of_transport'!$A:$A,0),MATCH(O$1,'4_number_of_transport'!$1:$1,0))</f>
        <v>27607</v>
      </c>
      <c r="P306">
        <f>INDEX('2_land_use'!$1:$343,MATCH($A306,'2_land_use'!$A:$A,0),MATCH(P$1,'2_land_use'!$1:$1,0))</f>
        <v>64.538438794393301</v>
      </c>
      <c r="Q306">
        <f>INDEX('2_land_use'!$1:$343,MATCH($A306,'2_land_use'!$A:$A,0),MATCH(Q$1,'2_land_use'!$1:$1,0))</f>
        <v>0</v>
      </c>
      <c r="R306">
        <f>INDEX('6_roof_surface'!$1:$343,MATCH($A306,'6_roof_surface'!$A:$A,0),MATCH(R$1,'6_roof_surface'!$1:$1,0))</f>
        <v>1.694501</v>
      </c>
      <c r="S306">
        <f>INDEX('6_roof_surface'!$1:$343,MATCH($A306,'6_roof_surface'!$A:$A,0),MATCH(S$1,'6_roof_surface'!$1:$1,0))</f>
        <v>2.884881</v>
      </c>
    </row>
    <row r="307" spans="1:19" x14ac:dyDescent="0.2">
      <c r="A307" t="s">
        <v>307</v>
      </c>
      <c r="B307" t="str">
        <f>INDEX(CBS_gemeenten_alfabetisch_2023!$B:$B,MATCH($A307,CBS_gemeenten_alfabetisch_2023!$A:$A,0))</f>
        <v>Waddinxveen</v>
      </c>
      <c r="C307">
        <f>INDEX('5_train_share_nl'!$1:$343,MATCH($A307,'5_train_share_nl'!$A:$A,0),MATCH(C$1,'5_train_share_nl'!$1:$1,0))</f>
        <v>1.3233625763992422E-3</v>
      </c>
      <c r="D307">
        <f>INDEX('3_has_tram_metro'!$1:$343,MATCH($A307,'3_has_tram_metro'!$A:$A,0),MATCH(D$1,'3_has_tram_metro'!$1:$1,0))</f>
        <v>0</v>
      </c>
      <c r="E307">
        <f>INDEX('1_buildings_total'!$1:$343,MATCH($A307,'1_buildings_total'!$A:$A,0),MATCH(E$1,'1_buildings_total'!$1:$1,0))</f>
        <v>1338.1806153846155</v>
      </c>
      <c r="F307">
        <f>INDEX('2_land_use'!$1:$343,MATCH($A307,'2_land_use'!$A:$A,0),MATCH(F$1,'2_land_use'!$1:$1,0))</f>
        <v>17.270449975235778</v>
      </c>
      <c r="G307">
        <f>INDEX('4_number_of_transport'!$1:$343,MATCH($A307,'4_number_of_transport'!$A:$A,0),MATCH(G$1,'4_number_of_transport'!$1:$1,0))</f>
        <v>1670</v>
      </c>
      <c r="H307">
        <f>INDEX('4_number_of_transport'!$1:$343,MATCH($A307,'4_number_of_transport'!$A:$A,0),MATCH(H$1,'4_number_of_transport'!$1:$1,0))</f>
        <v>102</v>
      </c>
      <c r="I307">
        <f>INDEX('4_number_of_transport'!$1:$343,MATCH($A307,'4_number_of_transport'!$A:$A,0),MATCH(I$1,'4_number_of_transport'!$1:$1,0))</f>
        <v>24</v>
      </c>
      <c r="J307">
        <f>INDEX('2_land_use'!$1:$343,MATCH($A307,'2_land_use'!$A:$A,0),MATCH(J$1,'2_land_use'!$1:$1,0))</f>
        <v>7.6960637228445381E-3</v>
      </c>
      <c r="K307">
        <f>INDEX('2_land_use'!$1:$343,MATCH($A307,'2_land_use'!$A:$A,0),MATCH(K$1,'2_land_use'!$1:$1,0))</f>
        <v>7.7430451773805899E-4</v>
      </c>
      <c r="L307">
        <f>INDEX('7_biomass'!$1:$343,MATCH($A307,'7_biomass'!$A:$A,0),MATCH(L$1,'7_biomass'!$1:$1,0))</f>
        <v>8.0349604388142176E-2</v>
      </c>
      <c r="M307">
        <f>INDEX('7_biomass'!$1:$343,MATCH($A307,'7_biomass'!$A:$A,0),MATCH(M$1,'7_biomass'!$1:$1,0))</f>
        <v>8.419382718770739E-2</v>
      </c>
      <c r="N307">
        <f>INDEX('7_biomass'!$1:$343,MATCH($A307,'7_biomass'!$A:$A,0),MATCH(N$1,'7_biomass'!$1:$1,0))</f>
        <v>1.7203749322350449E-2</v>
      </c>
      <c r="O307">
        <f>INDEX('4_number_of_transport'!$1:$343,MATCH($A307,'4_number_of_transport'!$A:$A,0),MATCH(O$1,'4_number_of_transport'!$1:$1,0))</f>
        <v>15867</v>
      </c>
      <c r="P307">
        <f>INDEX('2_land_use'!$1:$343,MATCH($A307,'2_land_use'!$A:$A,0),MATCH(P$1,'2_land_use'!$1:$1,0))</f>
        <v>27.754262898080455</v>
      </c>
      <c r="Q307">
        <f>INDEX('2_land_use'!$1:$343,MATCH($A307,'2_land_use'!$A:$A,0),MATCH(Q$1,'2_land_use'!$1:$1,0))</f>
        <v>0</v>
      </c>
      <c r="R307">
        <f>INDEX('6_roof_surface'!$1:$343,MATCH($A307,'6_roof_surface'!$A:$A,0),MATCH(R$1,'6_roof_surface'!$1:$1,0))</f>
        <v>0.79395800000000005</v>
      </c>
      <c r="S307">
        <f>INDEX('6_roof_surface'!$1:$343,MATCH($A307,'6_roof_surface'!$A:$A,0),MATCH(S$1,'6_roof_surface'!$1:$1,0))</f>
        <v>2.1685249999999998</v>
      </c>
    </row>
    <row r="308" spans="1:19" x14ac:dyDescent="0.2">
      <c r="A308" t="s">
        <v>308</v>
      </c>
      <c r="B308" t="str">
        <f>INDEX(CBS_gemeenten_alfabetisch_2023!$B:$B,MATCH($A308,CBS_gemeenten_alfabetisch_2023!$A:$A,0))</f>
        <v>Wageningen</v>
      </c>
      <c r="C308">
        <f>INDEX('5_train_share_nl'!$1:$343,MATCH($A308,'5_train_share_nl'!$A:$A,0),MATCH(C$1,'5_train_share_nl'!$1:$1,0))</f>
        <v>0</v>
      </c>
      <c r="D308">
        <f>INDEX('3_has_tram_metro'!$1:$343,MATCH($A308,'3_has_tram_metro'!$A:$A,0),MATCH(D$1,'3_has_tram_metro'!$1:$1,0))</f>
        <v>0</v>
      </c>
      <c r="E308">
        <f>INDEX('1_buildings_total'!$1:$343,MATCH($A308,'1_buildings_total'!$A:$A,0),MATCH(E$1,'1_buildings_total'!$1:$1,0))</f>
        <v>2507.5953846153852</v>
      </c>
      <c r="F308">
        <f>INDEX('2_land_use'!$1:$343,MATCH($A308,'2_land_use'!$A:$A,0),MATCH(F$1,'2_land_use'!$1:$1,0))</f>
        <v>15.096172294992988</v>
      </c>
      <c r="G308">
        <f>INDEX('4_number_of_transport'!$1:$343,MATCH($A308,'4_number_of_transport'!$A:$A,0),MATCH(G$1,'4_number_of_transport'!$1:$1,0))</f>
        <v>960</v>
      </c>
      <c r="H308">
        <f>INDEX('4_number_of_transport'!$1:$343,MATCH($A308,'4_number_of_transport'!$A:$A,0),MATCH(H$1,'4_number_of_transport'!$1:$1,0))</f>
        <v>44</v>
      </c>
      <c r="I308">
        <f>INDEX('4_number_of_transport'!$1:$343,MATCH($A308,'4_number_of_transport'!$A:$A,0),MATCH(I$1,'4_number_of_transport'!$1:$1,0))</f>
        <v>0</v>
      </c>
      <c r="J308">
        <f>INDEX('2_land_use'!$1:$343,MATCH($A308,'2_land_use'!$A:$A,0),MATCH(J$1,'2_land_use'!$1:$1,0))</f>
        <v>2.5616031247493532E-4</v>
      </c>
      <c r="K308">
        <f>INDEX('2_land_use'!$1:$343,MATCH($A308,'2_land_use'!$A:$A,0),MATCH(K$1,'2_land_use'!$1:$1,0))</f>
        <v>6.7682280573616691E-4</v>
      </c>
      <c r="L308">
        <f>INDEX('7_biomass'!$1:$343,MATCH($A308,'7_biomass'!$A:$A,0),MATCH(L$1,'7_biomass'!$1:$1,0))</f>
        <v>9.0706338125732658E-2</v>
      </c>
      <c r="M308">
        <f>INDEX('7_biomass'!$1:$343,MATCH($A308,'7_biomass'!$A:$A,0),MATCH(M$1,'7_biomass'!$1:$1,0))</f>
        <v>0.10966257876227245</v>
      </c>
      <c r="N308">
        <f>INDEX('7_biomass'!$1:$343,MATCH($A308,'7_biomass'!$A:$A,0),MATCH(N$1,'7_biomass'!$1:$1,0))</f>
        <v>2.3557641482724122E-2</v>
      </c>
      <c r="O308">
        <f>INDEX('4_number_of_transport'!$1:$343,MATCH($A308,'4_number_of_transport'!$A:$A,0),MATCH(O$1,'4_number_of_transport'!$1:$1,0))</f>
        <v>14110</v>
      </c>
      <c r="P308">
        <f>INDEX('2_land_use'!$1:$343,MATCH($A308,'2_land_use'!$A:$A,0),MATCH(P$1,'2_land_use'!$1:$1,0))</f>
        <v>30.419446429110263</v>
      </c>
      <c r="Q308">
        <f>INDEX('2_land_use'!$1:$343,MATCH($A308,'2_land_use'!$A:$A,0),MATCH(Q$1,'2_land_use'!$1:$1,0))</f>
        <v>0</v>
      </c>
      <c r="R308">
        <f>INDEX('6_roof_surface'!$1:$343,MATCH($A308,'6_roof_surface'!$A:$A,0),MATCH(R$1,'6_roof_surface'!$1:$1,0))</f>
        <v>0.92722800000000005</v>
      </c>
      <c r="S308">
        <f>INDEX('6_roof_surface'!$1:$343,MATCH($A308,'6_roof_surface'!$A:$A,0),MATCH(S$1,'6_roof_surface'!$1:$1,0))</f>
        <v>0.75899700000000003</v>
      </c>
    </row>
    <row r="309" spans="1:19" x14ac:dyDescent="0.2">
      <c r="A309" t="s">
        <v>309</v>
      </c>
      <c r="B309" t="str">
        <f>INDEX(CBS_gemeenten_alfabetisch_2023!$B:$B,MATCH($A309,CBS_gemeenten_alfabetisch_2023!$A:$A,0))</f>
        <v>Wassenaar</v>
      </c>
      <c r="C309">
        <f>INDEX('5_train_share_nl'!$1:$343,MATCH($A309,'5_train_share_nl'!$A:$A,0),MATCH(C$1,'5_train_share_nl'!$1:$1,0))</f>
        <v>0</v>
      </c>
      <c r="D309">
        <f>INDEX('3_has_tram_metro'!$1:$343,MATCH($A309,'3_has_tram_metro'!$A:$A,0),MATCH(D$1,'3_has_tram_metro'!$1:$1,0))</f>
        <v>0</v>
      </c>
      <c r="E309">
        <f>INDEX('1_buildings_total'!$1:$343,MATCH($A309,'1_buildings_total'!$A:$A,0),MATCH(E$1,'1_buildings_total'!$1:$1,0))</f>
        <v>1734.545384615385</v>
      </c>
      <c r="F309">
        <f>INDEX('2_land_use'!$1:$343,MATCH($A309,'2_land_use'!$A:$A,0),MATCH(F$1,'2_land_use'!$1:$1,0))</f>
        <v>12.001746818896486</v>
      </c>
      <c r="G309">
        <f>INDEX('4_number_of_transport'!$1:$343,MATCH($A309,'4_number_of_transport'!$A:$A,0),MATCH(G$1,'4_number_of_transport'!$1:$1,0))</f>
        <v>856</v>
      </c>
      <c r="H309">
        <f>INDEX('4_number_of_transport'!$1:$343,MATCH($A309,'4_number_of_transport'!$A:$A,0),MATCH(H$1,'4_number_of_transport'!$1:$1,0))</f>
        <v>71</v>
      </c>
      <c r="I309">
        <f>INDEX('4_number_of_transport'!$1:$343,MATCH($A309,'4_number_of_transport'!$A:$A,0),MATCH(I$1,'4_number_of_transport'!$1:$1,0))</f>
        <v>0</v>
      </c>
      <c r="J309">
        <f>INDEX('2_land_use'!$1:$343,MATCH($A309,'2_land_use'!$A:$A,0),MATCH(J$1,'2_land_use'!$1:$1,0))</f>
        <v>0</v>
      </c>
      <c r="K309">
        <f>INDEX('2_land_use'!$1:$343,MATCH($A309,'2_land_use'!$A:$A,0),MATCH(K$1,'2_land_use'!$1:$1,0))</f>
        <v>5.3808712546258121E-4</v>
      </c>
      <c r="L309">
        <f>INDEX('7_biomass'!$1:$343,MATCH($A309,'7_biomass'!$A:$A,0),MATCH(L$1,'7_biomass'!$1:$1,0))</f>
        <v>8.4603859035456266E-2</v>
      </c>
      <c r="M309">
        <f>INDEX('7_biomass'!$1:$343,MATCH($A309,'7_biomass'!$A:$A,0),MATCH(M$1,'7_biomass'!$1:$1,0))</f>
        <v>8.2749088003514298E-2</v>
      </c>
      <c r="N309">
        <f>INDEX('7_biomass'!$1:$343,MATCH($A309,'7_biomass'!$A:$A,0),MATCH(N$1,'7_biomass'!$1:$1,0))</f>
        <v>1.5924829548245784E-2</v>
      </c>
      <c r="O309">
        <f>INDEX('4_number_of_transport'!$1:$343,MATCH($A309,'4_number_of_transport'!$A:$A,0),MATCH(O$1,'4_number_of_transport'!$1:$1,0))</f>
        <v>13870</v>
      </c>
      <c r="P309">
        <f>INDEX('2_land_use'!$1:$343,MATCH($A309,'2_land_use'!$A:$A,0),MATCH(P$1,'2_land_use'!$1:$1,0))</f>
        <v>51.175797610308408</v>
      </c>
      <c r="Q309">
        <f>INDEX('2_land_use'!$1:$343,MATCH($A309,'2_land_use'!$A:$A,0),MATCH(Q$1,'2_land_use'!$1:$1,0))</f>
        <v>9.453494428750119</v>
      </c>
      <c r="R309">
        <f>INDEX('6_roof_surface'!$1:$343,MATCH($A309,'6_roof_surface'!$A:$A,0),MATCH(R$1,'6_roof_surface'!$1:$1,0))</f>
        <v>0.97083799999999998</v>
      </c>
      <c r="S309">
        <f>INDEX('6_roof_surface'!$1:$343,MATCH($A309,'6_roof_surface'!$A:$A,0),MATCH(S$1,'6_roof_surface'!$1:$1,0))</f>
        <v>0.55386299999999999</v>
      </c>
    </row>
    <row r="310" spans="1:19" x14ac:dyDescent="0.2">
      <c r="A310" t="s">
        <v>310</v>
      </c>
      <c r="B310" t="str">
        <f>INDEX(CBS_gemeenten_alfabetisch_2023!$B:$B,MATCH($A310,CBS_gemeenten_alfabetisch_2023!$A:$A,0))</f>
        <v>Waterland</v>
      </c>
      <c r="C310">
        <f>INDEX('5_train_share_nl'!$1:$343,MATCH($A310,'5_train_share_nl'!$A:$A,0),MATCH(C$1,'5_train_share_nl'!$1:$1,0))</f>
        <v>0</v>
      </c>
      <c r="D310">
        <f>INDEX('3_has_tram_metro'!$1:$343,MATCH($A310,'3_has_tram_metro'!$A:$A,0),MATCH(D$1,'3_has_tram_metro'!$1:$1,0))</f>
        <v>0</v>
      </c>
      <c r="E310">
        <f>INDEX('1_buildings_total'!$1:$343,MATCH($A310,'1_buildings_total'!$A:$A,0),MATCH(E$1,'1_buildings_total'!$1:$1,0))</f>
        <v>961.2336153846154</v>
      </c>
      <c r="F310">
        <f>INDEX('2_land_use'!$1:$343,MATCH($A310,'2_land_use'!$A:$A,0),MATCH(F$1,'2_land_use'!$1:$1,0))</f>
        <v>44.940159662524017</v>
      </c>
      <c r="G310">
        <f>INDEX('4_number_of_transport'!$1:$343,MATCH($A310,'4_number_of_transport'!$A:$A,0),MATCH(G$1,'4_number_of_transport'!$1:$1,0))</f>
        <v>865</v>
      </c>
      <c r="H310">
        <f>INDEX('4_number_of_transport'!$1:$343,MATCH($A310,'4_number_of_transport'!$A:$A,0),MATCH(H$1,'4_number_of_transport'!$1:$1,0))</f>
        <v>47</v>
      </c>
      <c r="I310">
        <f>INDEX('4_number_of_transport'!$1:$343,MATCH($A310,'4_number_of_transport'!$A:$A,0),MATCH(I$1,'4_number_of_transport'!$1:$1,0))</f>
        <v>0</v>
      </c>
      <c r="J310">
        <f>INDEX('2_land_use'!$1:$343,MATCH($A310,'2_land_use'!$A:$A,0),MATCH(J$1,'2_land_use'!$1:$1,0))</f>
        <v>0</v>
      </c>
      <c r="K310">
        <f>INDEX('2_land_use'!$1:$343,MATCH($A310,'2_land_use'!$A:$A,0),MATCH(K$1,'2_land_use'!$1:$1,0))</f>
        <v>2.0148501460273607E-3</v>
      </c>
      <c r="L310">
        <f>INDEX('7_biomass'!$1:$343,MATCH($A310,'7_biomass'!$A:$A,0),MATCH(L$1,'7_biomass'!$1:$1,0))</f>
        <v>0.14070624708746934</v>
      </c>
      <c r="M310">
        <f>INDEX('7_biomass'!$1:$343,MATCH($A310,'7_biomass'!$A:$A,0),MATCH(M$1,'7_biomass'!$1:$1,0))</f>
        <v>5.4282243901566399E-2</v>
      </c>
      <c r="N310">
        <f>INDEX('7_biomass'!$1:$343,MATCH($A310,'7_biomass'!$A:$A,0),MATCH(N$1,'7_biomass'!$1:$1,0))</f>
        <v>1.0519950540913195E-2</v>
      </c>
      <c r="O310">
        <f>INDEX('4_number_of_transport'!$1:$343,MATCH($A310,'4_number_of_transport'!$A:$A,0),MATCH(O$1,'4_number_of_transport'!$1:$1,0))</f>
        <v>8289</v>
      </c>
      <c r="P310">
        <f>INDEX('2_land_use'!$1:$343,MATCH($A310,'2_land_use'!$A:$A,0),MATCH(P$1,'2_land_use'!$1:$1,0))</f>
        <v>51.992611682177504</v>
      </c>
      <c r="Q310">
        <f>INDEX('2_land_use'!$1:$343,MATCH($A310,'2_land_use'!$A:$A,0),MATCH(Q$1,'2_land_use'!$1:$1,0))</f>
        <v>0</v>
      </c>
      <c r="R310">
        <f>INDEX('6_roof_surface'!$1:$343,MATCH($A310,'6_roof_surface'!$A:$A,0),MATCH(R$1,'6_roof_surface'!$1:$1,0))</f>
        <v>0.55266599999999999</v>
      </c>
      <c r="S310">
        <f>INDEX('6_roof_surface'!$1:$343,MATCH($A310,'6_roof_surface'!$A:$A,0),MATCH(S$1,'6_roof_surface'!$1:$1,0))</f>
        <v>0.45048199999999999</v>
      </c>
    </row>
    <row r="311" spans="1:19" x14ac:dyDescent="0.2">
      <c r="A311" t="s">
        <v>311</v>
      </c>
      <c r="B311" t="str">
        <f>INDEX(CBS_gemeenten_alfabetisch_2023!$B:$B,MATCH($A311,CBS_gemeenten_alfabetisch_2023!$A:$A,0))</f>
        <v>Weert</v>
      </c>
      <c r="C311">
        <f>INDEX('5_train_share_nl'!$1:$343,MATCH($A311,'5_train_share_nl'!$A:$A,0),MATCH(C$1,'5_train_share_nl'!$1:$1,0))</f>
        <v>2.668108031052691E-3</v>
      </c>
      <c r="D311">
        <f>INDEX('3_has_tram_metro'!$1:$343,MATCH($A311,'3_has_tram_metro'!$A:$A,0),MATCH(D$1,'3_has_tram_metro'!$1:$1,0))</f>
        <v>0</v>
      </c>
      <c r="E311">
        <f>INDEX('1_buildings_total'!$1:$343,MATCH($A311,'1_buildings_total'!$A:$A,0),MATCH(E$1,'1_buildings_total'!$1:$1,0))</f>
        <v>4519.9116153846153</v>
      </c>
      <c r="F311">
        <f>INDEX('2_land_use'!$1:$343,MATCH($A311,'2_land_use'!$A:$A,0),MATCH(F$1,'2_land_use'!$1:$1,0))</f>
        <v>56.714110072165177</v>
      </c>
      <c r="G311">
        <f>INDEX('4_number_of_transport'!$1:$343,MATCH($A311,'4_number_of_transport'!$A:$A,0),MATCH(G$1,'4_number_of_transport'!$1:$1,0))</f>
        <v>2492</v>
      </c>
      <c r="H311">
        <f>INDEX('4_number_of_transport'!$1:$343,MATCH($A311,'4_number_of_transport'!$A:$A,0),MATCH(H$1,'4_number_of_transport'!$1:$1,0))</f>
        <v>201</v>
      </c>
      <c r="I311">
        <f>INDEX('4_number_of_transport'!$1:$343,MATCH($A311,'4_number_of_transport'!$A:$A,0),MATCH(I$1,'4_number_of_transport'!$1:$1,0))</f>
        <v>75</v>
      </c>
      <c r="J311">
        <f>INDEX('2_land_use'!$1:$343,MATCH($A311,'2_land_use'!$A:$A,0),MATCH(J$1,'2_land_use'!$1:$1,0))</f>
        <v>4.325964569211488E-4</v>
      </c>
      <c r="K311">
        <f>INDEX('2_land_use'!$1:$343,MATCH($A311,'2_land_use'!$A:$A,0),MATCH(K$1,'2_land_use'!$1:$1,0))</f>
        <v>2.5427242319302416E-3</v>
      </c>
      <c r="L311">
        <f>INDEX('7_biomass'!$1:$343,MATCH($A311,'7_biomass'!$A:$A,0),MATCH(L$1,'7_biomass'!$1:$1,0))</f>
        <v>0.25418874005956016</v>
      </c>
      <c r="M311">
        <f>INDEX('7_biomass'!$1:$343,MATCH($A311,'7_biomass'!$A:$A,0),MATCH(M$1,'7_biomass'!$1:$1,0))</f>
        <v>0.28910327649402395</v>
      </c>
      <c r="N311">
        <f>INDEX('7_biomass'!$1:$343,MATCH($A311,'7_biomass'!$A:$A,0),MATCH(N$1,'7_biomass'!$1:$1,0))</f>
        <v>3.0282146974311027E-2</v>
      </c>
      <c r="O311">
        <f>INDEX('4_number_of_transport'!$1:$343,MATCH($A311,'4_number_of_transport'!$A:$A,0),MATCH(O$1,'4_number_of_transport'!$1:$1,0))</f>
        <v>26277</v>
      </c>
      <c r="P311">
        <f>INDEX('2_land_use'!$1:$343,MATCH($A311,'2_land_use'!$A:$A,0),MATCH(P$1,'2_land_use'!$1:$1,0))</f>
        <v>104.24572673911184</v>
      </c>
      <c r="Q311">
        <f>INDEX('2_land_use'!$1:$343,MATCH($A311,'2_land_use'!$A:$A,0),MATCH(Q$1,'2_land_use'!$1:$1,0))</f>
        <v>0</v>
      </c>
      <c r="R311">
        <f>INDEX('6_roof_surface'!$1:$343,MATCH($A311,'6_roof_surface'!$A:$A,0),MATCH(R$1,'6_roof_surface'!$1:$1,0))</f>
        <v>2.0857049999999999</v>
      </c>
      <c r="S311">
        <f>INDEX('6_roof_surface'!$1:$343,MATCH($A311,'6_roof_surface'!$A:$A,0),MATCH(S$1,'6_roof_surface'!$1:$1,0))</f>
        <v>2.7843070000000001</v>
      </c>
    </row>
    <row r="312" spans="1:19" x14ac:dyDescent="0.2">
      <c r="A312" t="s">
        <v>312</v>
      </c>
      <c r="B312" t="str">
        <f>INDEX(CBS_gemeenten_alfabetisch_2023!$B:$B,MATCH($A312,CBS_gemeenten_alfabetisch_2023!$A:$A,0))</f>
        <v>West Betuwe</v>
      </c>
      <c r="C312">
        <f>INDEX('5_train_share_nl'!$1:$343,MATCH($A312,'5_train_share_nl'!$A:$A,0),MATCH(C$1,'5_train_share_nl'!$1:$1,0))</f>
        <v>2.538622823846661E-3</v>
      </c>
      <c r="D312">
        <f>INDEX('3_has_tram_metro'!$1:$343,MATCH($A312,'3_has_tram_metro'!$A:$A,0),MATCH(D$1,'3_has_tram_metro'!$1:$1,0))</f>
        <v>0</v>
      </c>
      <c r="E312">
        <f>INDEX('1_buildings_total'!$1:$343,MATCH($A312,'1_buildings_total'!$A:$A,0),MATCH(E$1,'1_buildings_total'!$1:$1,0))</f>
        <v>5975.3957692307695</v>
      </c>
      <c r="F312">
        <f>INDEX('2_land_use'!$1:$343,MATCH($A312,'2_land_use'!$A:$A,0),MATCH(F$1,'2_land_use'!$1:$1,0))</f>
        <v>171.51023507211309</v>
      </c>
      <c r="G312">
        <f>INDEX('4_number_of_transport'!$1:$343,MATCH($A312,'4_number_of_transport'!$A:$A,0),MATCH(G$1,'4_number_of_transport'!$1:$1,0))</f>
        <v>5165</v>
      </c>
      <c r="H312">
        <f>INDEX('4_number_of_transport'!$1:$343,MATCH($A312,'4_number_of_transport'!$A:$A,0),MATCH(H$1,'4_number_of_transport'!$1:$1,0))</f>
        <v>546</v>
      </c>
      <c r="I312">
        <f>INDEX('4_number_of_transport'!$1:$343,MATCH($A312,'4_number_of_transport'!$A:$A,0),MATCH(I$1,'4_number_of_transport'!$1:$1,0))</f>
        <v>14</v>
      </c>
      <c r="J312">
        <f>INDEX('2_land_use'!$1:$343,MATCH($A312,'2_land_use'!$A:$A,0),MATCH(J$1,'2_land_use'!$1:$1,0))</f>
        <v>6.6800274116733428E-3</v>
      </c>
      <c r="K312">
        <f>INDEX('2_land_use'!$1:$343,MATCH($A312,'2_land_use'!$A:$A,0),MATCH(K$1,'2_land_use'!$1:$1,0))</f>
        <v>7.6895014342462523E-3</v>
      </c>
      <c r="L312">
        <f>INDEX('7_biomass'!$1:$343,MATCH($A312,'7_biomass'!$A:$A,0),MATCH(L$1,'7_biomass'!$1:$1,0))</f>
        <v>0.4363579058044868</v>
      </c>
      <c r="M312">
        <f>INDEX('7_biomass'!$1:$343,MATCH($A312,'7_biomass'!$A:$A,0),MATCH(M$1,'7_biomass'!$1:$1,0))</f>
        <v>0.1992021947813955</v>
      </c>
      <c r="N312">
        <f>INDEX('7_biomass'!$1:$343,MATCH($A312,'7_biomass'!$A:$A,0),MATCH(N$1,'7_biomass'!$1:$1,0))</f>
        <v>3.0801613200847604E-2</v>
      </c>
      <c r="O312">
        <f>INDEX('4_number_of_transport'!$1:$343,MATCH($A312,'4_number_of_transport'!$A:$A,0),MATCH(O$1,'4_number_of_transport'!$1:$1,0))</f>
        <v>29803</v>
      </c>
      <c r="P312">
        <f>INDEX('2_land_use'!$1:$343,MATCH($A312,'2_land_use'!$A:$A,0),MATCH(P$1,'2_land_use'!$1:$1,0))</f>
        <v>215.92656314578923</v>
      </c>
      <c r="Q312">
        <f>INDEX('2_land_use'!$1:$343,MATCH($A312,'2_land_use'!$A:$A,0),MATCH(Q$1,'2_land_use'!$1:$1,0))</f>
        <v>0</v>
      </c>
      <c r="R312">
        <f>INDEX('6_roof_surface'!$1:$343,MATCH($A312,'6_roof_surface'!$A:$A,0),MATCH(R$1,'6_roof_surface'!$1:$1,0))</f>
        <v>2.4342999999999999</v>
      </c>
      <c r="S312">
        <f>INDEX('6_roof_surface'!$1:$343,MATCH($A312,'6_roof_surface'!$A:$A,0),MATCH(S$1,'6_roof_surface'!$1:$1,0))</f>
        <v>3.8803169999999998</v>
      </c>
    </row>
    <row r="313" spans="1:19" x14ac:dyDescent="0.2">
      <c r="A313" t="s">
        <v>313</v>
      </c>
      <c r="B313" t="str">
        <f>INDEX(CBS_gemeenten_alfabetisch_2023!$B:$B,MATCH($A313,CBS_gemeenten_alfabetisch_2023!$A:$A,0))</f>
        <v>West Maas en Waal</v>
      </c>
      <c r="C313">
        <f>INDEX('5_train_share_nl'!$1:$343,MATCH($A313,'5_train_share_nl'!$A:$A,0),MATCH(C$1,'5_train_share_nl'!$1:$1,0))</f>
        <v>0</v>
      </c>
      <c r="D313">
        <f>INDEX('3_has_tram_metro'!$1:$343,MATCH($A313,'3_has_tram_metro'!$A:$A,0),MATCH(D$1,'3_has_tram_metro'!$1:$1,0))</f>
        <v>0</v>
      </c>
      <c r="E313">
        <f>INDEX('1_buildings_total'!$1:$343,MATCH($A313,'1_buildings_total'!$A:$A,0),MATCH(E$1,'1_buildings_total'!$1:$1,0))</f>
        <v>1957.8995384615384</v>
      </c>
      <c r="F313">
        <f>INDEX('2_land_use'!$1:$343,MATCH($A313,'2_land_use'!$A:$A,0),MATCH(F$1,'2_land_use'!$1:$1,0))</f>
        <v>61.974435547039377</v>
      </c>
      <c r="G313">
        <f>INDEX('4_number_of_transport'!$1:$343,MATCH($A313,'4_number_of_transport'!$A:$A,0),MATCH(G$1,'4_number_of_transport'!$1:$1,0))</f>
        <v>1769</v>
      </c>
      <c r="H313">
        <f>INDEX('4_number_of_transport'!$1:$343,MATCH($A313,'4_number_of_transport'!$A:$A,0),MATCH(H$1,'4_number_of_transport'!$1:$1,0))</f>
        <v>115</v>
      </c>
      <c r="I313">
        <f>INDEX('4_number_of_transport'!$1:$343,MATCH($A313,'4_number_of_transport'!$A:$A,0),MATCH(I$1,'4_number_of_transport'!$1:$1,0))</f>
        <v>4</v>
      </c>
      <c r="J313">
        <f>INDEX('2_land_use'!$1:$343,MATCH($A313,'2_land_use'!$A:$A,0),MATCH(J$1,'2_land_use'!$1:$1,0))</f>
        <v>5.6560267214239102E-4</v>
      </c>
      <c r="K313">
        <f>INDEX('2_land_use'!$1:$343,MATCH($A313,'2_land_use'!$A:$A,0),MATCH(K$1,'2_land_use'!$1:$1,0))</f>
        <v>2.7785660186704906E-3</v>
      </c>
      <c r="L313">
        <f>INDEX('7_biomass'!$1:$343,MATCH($A313,'7_biomass'!$A:$A,0),MATCH(L$1,'7_biomass'!$1:$1,0))</f>
        <v>0.19435014538993514</v>
      </c>
      <c r="M313">
        <f>INDEX('7_biomass'!$1:$343,MATCH($A313,'7_biomass'!$A:$A,0),MATCH(M$1,'7_biomass'!$1:$1,0))</f>
        <v>8.6251892693898297E-2</v>
      </c>
      <c r="N313">
        <f>INDEX('7_biomass'!$1:$343,MATCH($A313,'7_biomass'!$A:$A,0),MATCH(N$1,'7_biomass'!$1:$1,0))</f>
        <v>1.1589868698727121E-2</v>
      </c>
      <c r="O313">
        <f>INDEX('4_number_of_transport'!$1:$343,MATCH($A313,'4_number_of_transport'!$A:$A,0),MATCH(O$1,'4_number_of_transport'!$1:$1,0))</f>
        <v>11939</v>
      </c>
      <c r="P313">
        <f>INDEX('2_land_use'!$1:$343,MATCH($A313,'2_land_use'!$A:$A,0),MATCH(P$1,'2_land_use'!$1:$1,0))</f>
        <v>76.186741513368219</v>
      </c>
      <c r="Q313">
        <f>INDEX('2_land_use'!$1:$343,MATCH($A313,'2_land_use'!$A:$A,0),MATCH(Q$1,'2_land_use'!$1:$1,0))</f>
        <v>0</v>
      </c>
      <c r="R313">
        <f>INDEX('6_roof_surface'!$1:$343,MATCH($A313,'6_roof_surface'!$A:$A,0),MATCH(R$1,'6_roof_surface'!$1:$1,0))</f>
        <v>0.99981799999999998</v>
      </c>
      <c r="S313">
        <f>INDEX('6_roof_surface'!$1:$343,MATCH($A313,'6_roof_surface'!$A:$A,0),MATCH(S$1,'6_roof_surface'!$1:$1,0))</f>
        <v>1.278184</v>
      </c>
    </row>
    <row r="314" spans="1:19" x14ac:dyDescent="0.2">
      <c r="A314" t="s">
        <v>314</v>
      </c>
      <c r="B314" t="str">
        <f>INDEX(CBS_gemeenten_alfabetisch_2023!$B:$B,MATCH($A314,CBS_gemeenten_alfabetisch_2023!$A:$A,0))</f>
        <v>Westerkwartier</v>
      </c>
      <c r="C314">
        <f>INDEX('5_train_share_nl'!$1:$343,MATCH($A314,'5_train_share_nl'!$A:$A,0),MATCH(C$1,'5_train_share_nl'!$1:$1,0))</f>
        <v>0</v>
      </c>
      <c r="D314">
        <f>INDEX('3_has_tram_metro'!$1:$343,MATCH($A314,'3_has_tram_metro'!$A:$A,0),MATCH(D$1,'3_has_tram_metro'!$1:$1,0))</f>
        <v>0</v>
      </c>
      <c r="E314">
        <f>INDEX('1_buildings_total'!$1:$343,MATCH($A314,'1_buildings_total'!$A:$A,0),MATCH(E$1,'1_buildings_total'!$1:$1,0))</f>
        <v>7770.577538461539</v>
      </c>
      <c r="F314">
        <f>INDEX('2_land_use'!$1:$343,MATCH($A314,'2_land_use'!$A:$A,0),MATCH(F$1,'2_land_use'!$1:$1,0))</f>
        <v>322.48695665562815</v>
      </c>
      <c r="G314">
        <f>INDEX('4_number_of_transport'!$1:$343,MATCH($A314,'4_number_of_transport'!$A:$A,0),MATCH(G$1,'4_number_of_transport'!$1:$1,0))</f>
        <v>5157</v>
      </c>
      <c r="H314">
        <f>INDEX('4_number_of_transport'!$1:$343,MATCH($A314,'4_number_of_transport'!$A:$A,0),MATCH(H$1,'4_number_of_transport'!$1:$1,0))</f>
        <v>391</v>
      </c>
      <c r="I314">
        <f>INDEX('4_number_of_transport'!$1:$343,MATCH($A314,'4_number_of_transport'!$A:$A,0),MATCH(I$1,'4_number_of_transport'!$1:$1,0))</f>
        <v>9</v>
      </c>
      <c r="J314">
        <f>INDEX('2_land_use'!$1:$343,MATCH($A314,'2_land_use'!$A:$A,0),MATCH(J$1,'2_land_use'!$1:$1,0))</f>
        <v>1.702603933218354E-4</v>
      </c>
      <c r="K314">
        <f>INDEX('2_land_use'!$1:$343,MATCH($A314,'2_land_use'!$A:$A,0),MATCH(K$1,'2_land_use'!$1:$1,0))</f>
        <v>1.445840194135657E-2</v>
      </c>
      <c r="L314">
        <f>INDEX('7_biomass'!$1:$343,MATCH($A314,'7_biomass'!$A:$A,0),MATCH(L$1,'7_biomass'!$1:$1,0))</f>
        <v>0.70880230932293564</v>
      </c>
      <c r="M314">
        <f>INDEX('7_biomass'!$1:$343,MATCH($A314,'7_biomass'!$A:$A,0),MATCH(M$1,'7_biomass'!$1:$1,0))</f>
        <v>0.31760449813575764</v>
      </c>
      <c r="N314">
        <f>INDEX('7_biomass'!$1:$343,MATCH($A314,'7_biomass'!$A:$A,0),MATCH(N$1,'7_biomass'!$1:$1,0))</f>
        <v>3.7348710343722599E-2</v>
      </c>
      <c r="O314">
        <f>INDEX('4_number_of_transport'!$1:$343,MATCH($A314,'4_number_of_transport'!$A:$A,0),MATCH(O$1,'4_number_of_transport'!$1:$1,0))</f>
        <v>35948</v>
      </c>
      <c r="P314">
        <f>INDEX('2_land_use'!$1:$343,MATCH($A314,'2_land_use'!$A:$A,0),MATCH(P$1,'2_land_use'!$1:$1,0))</f>
        <v>362.63370295940894</v>
      </c>
      <c r="Q314">
        <f>INDEX('2_land_use'!$1:$343,MATCH($A314,'2_land_use'!$A:$A,0),MATCH(Q$1,'2_land_use'!$1:$1,0))</f>
        <v>0</v>
      </c>
      <c r="R314">
        <f>INDEX('6_roof_surface'!$1:$343,MATCH($A314,'6_roof_surface'!$A:$A,0),MATCH(R$1,'6_roof_surface'!$1:$1,0))</f>
        <v>3.449119</v>
      </c>
      <c r="S314">
        <f>INDEX('6_roof_surface'!$1:$343,MATCH($A314,'6_roof_surface'!$A:$A,0),MATCH(S$1,'6_roof_surface'!$1:$1,0))</f>
        <v>3.2337180000000001</v>
      </c>
    </row>
    <row r="315" spans="1:19" x14ac:dyDescent="0.2">
      <c r="A315" t="s">
        <v>315</v>
      </c>
      <c r="B315" t="str">
        <f>INDEX(CBS_gemeenten_alfabetisch_2023!$B:$B,MATCH($A315,CBS_gemeenten_alfabetisch_2023!$A:$A,0))</f>
        <v>Westerveld</v>
      </c>
      <c r="C315">
        <f>INDEX('5_train_share_nl'!$1:$343,MATCH($A315,'5_train_share_nl'!$A:$A,0),MATCH(C$1,'5_train_share_nl'!$1:$1,0))</f>
        <v>0</v>
      </c>
      <c r="D315">
        <f>INDEX('3_has_tram_metro'!$1:$343,MATCH($A315,'3_has_tram_metro'!$A:$A,0),MATCH(D$1,'3_has_tram_metro'!$1:$1,0))</f>
        <v>0</v>
      </c>
      <c r="E315">
        <f>INDEX('1_buildings_total'!$1:$343,MATCH($A315,'1_buildings_total'!$A:$A,0),MATCH(E$1,'1_buildings_total'!$1:$1,0))</f>
        <v>3945.2555384615389</v>
      </c>
      <c r="F315">
        <f>INDEX('2_land_use'!$1:$343,MATCH($A315,'2_land_use'!$A:$A,0),MATCH(F$1,'2_land_use'!$1:$1,0))</f>
        <v>155.81363250161948</v>
      </c>
      <c r="G315">
        <f>INDEX('4_number_of_transport'!$1:$343,MATCH($A315,'4_number_of_transport'!$A:$A,0),MATCH(G$1,'4_number_of_transport'!$1:$1,0))</f>
        <v>1730</v>
      </c>
      <c r="H315">
        <f>INDEX('4_number_of_transport'!$1:$343,MATCH($A315,'4_number_of_transport'!$A:$A,0),MATCH(H$1,'4_number_of_transport'!$1:$1,0))</f>
        <v>65</v>
      </c>
      <c r="I315">
        <f>INDEX('4_number_of_transport'!$1:$343,MATCH($A315,'4_number_of_transport'!$A:$A,0),MATCH(I$1,'4_number_of_transport'!$1:$1,0))</f>
        <v>3</v>
      </c>
      <c r="J315">
        <f>INDEX('2_land_use'!$1:$343,MATCH($A315,'2_land_use'!$A:$A,0),MATCH(J$1,'2_land_use'!$1:$1,0))</f>
        <v>0</v>
      </c>
      <c r="K315">
        <f>INDEX('2_land_use'!$1:$343,MATCH($A315,'2_land_use'!$A:$A,0),MATCH(K$1,'2_land_use'!$1:$1,0))</f>
        <v>6.9857588970859774E-3</v>
      </c>
      <c r="L315">
        <f>INDEX('7_biomass'!$1:$343,MATCH($A315,'7_biomass'!$A:$A,0),MATCH(L$1,'7_biomass'!$1:$1,0))</f>
        <v>0.45935418372335424</v>
      </c>
      <c r="M315">
        <f>INDEX('7_biomass'!$1:$343,MATCH($A315,'7_biomass'!$A:$A,0),MATCH(M$1,'7_biomass'!$1:$1,0))</f>
        <v>0.16510690150818261</v>
      </c>
      <c r="N315">
        <f>INDEX('7_biomass'!$1:$343,MATCH($A315,'7_biomass'!$A:$A,0),MATCH(N$1,'7_biomass'!$1:$1,0))</f>
        <v>1.1755125790677938E-2</v>
      </c>
      <c r="O315">
        <f>INDEX('4_number_of_transport'!$1:$343,MATCH($A315,'4_number_of_transport'!$A:$A,0),MATCH(O$1,'4_number_of_transport'!$1:$1,0))</f>
        <v>12001</v>
      </c>
      <c r="P315">
        <f>INDEX('2_land_use'!$1:$343,MATCH($A315,'2_land_use'!$A:$A,0),MATCH(P$1,'2_land_use'!$1:$1,0))</f>
        <v>278.64917093156777</v>
      </c>
      <c r="Q315">
        <f>INDEX('2_land_use'!$1:$343,MATCH($A315,'2_land_use'!$A:$A,0),MATCH(Q$1,'2_land_use'!$1:$1,0))</f>
        <v>0</v>
      </c>
      <c r="R315">
        <f>INDEX('6_roof_surface'!$1:$343,MATCH($A315,'6_roof_surface'!$A:$A,0),MATCH(R$1,'6_roof_surface'!$1:$1,0))</f>
        <v>1.2549049999999999</v>
      </c>
      <c r="S315">
        <f>INDEX('6_roof_surface'!$1:$343,MATCH($A315,'6_roof_surface'!$A:$A,0),MATCH(S$1,'6_roof_surface'!$1:$1,0))</f>
        <v>1.0907389999999999</v>
      </c>
    </row>
    <row r="316" spans="1:19" x14ac:dyDescent="0.2">
      <c r="A316" t="s">
        <v>316</v>
      </c>
      <c r="B316" t="str">
        <f>INDEX(CBS_gemeenten_alfabetisch_2023!$B:$B,MATCH($A316,CBS_gemeenten_alfabetisch_2023!$A:$A,0))</f>
        <v>Westervoort</v>
      </c>
      <c r="C316">
        <f>INDEX('5_train_share_nl'!$1:$343,MATCH($A316,'5_train_share_nl'!$A:$A,0),MATCH(C$1,'5_train_share_nl'!$1:$1,0))</f>
        <v>0</v>
      </c>
      <c r="D316">
        <f>INDEX('3_has_tram_metro'!$1:$343,MATCH($A316,'3_has_tram_metro'!$A:$A,0),MATCH(D$1,'3_has_tram_metro'!$1:$1,0))</f>
        <v>0</v>
      </c>
      <c r="E316">
        <f>INDEX('1_buildings_total'!$1:$343,MATCH($A316,'1_buildings_total'!$A:$A,0),MATCH(E$1,'1_buildings_total'!$1:$1,0))</f>
        <v>552.75169230769234</v>
      </c>
      <c r="F316">
        <f>INDEX('2_land_use'!$1:$343,MATCH($A316,'2_land_use'!$A:$A,0),MATCH(F$1,'2_land_use'!$1:$1,0))</f>
        <v>2.8999181689944491</v>
      </c>
      <c r="G316">
        <f>INDEX('4_number_of_transport'!$1:$343,MATCH($A316,'4_number_of_transport'!$A:$A,0),MATCH(G$1,'4_number_of_transport'!$1:$1,0))</f>
        <v>545</v>
      </c>
      <c r="H316">
        <f>INDEX('4_number_of_transport'!$1:$343,MATCH($A316,'4_number_of_transport'!$A:$A,0),MATCH(H$1,'4_number_of_transport'!$1:$1,0))</f>
        <v>19</v>
      </c>
      <c r="I316">
        <f>INDEX('4_number_of_transport'!$1:$343,MATCH($A316,'4_number_of_transport'!$A:$A,0),MATCH(I$1,'4_number_of_transport'!$1:$1,0))</f>
        <v>0</v>
      </c>
      <c r="J316">
        <f>INDEX('2_land_use'!$1:$343,MATCH($A316,'2_land_use'!$A:$A,0),MATCH(J$1,'2_land_use'!$1:$1,0))</f>
        <v>0</v>
      </c>
      <c r="K316">
        <f>INDEX('2_land_use'!$1:$343,MATCH($A316,'2_land_use'!$A:$A,0),MATCH(K$1,'2_land_use'!$1:$1,0))</f>
        <v>1.3001512656258553E-4</v>
      </c>
      <c r="L316">
        <f>INDEX('7_biomass'!$1:$343,MATCH($A316,'7_biomass'!$A:$A,0),MATCH(L$1,'7_biomass'!$1:$1,0))</f>
        <v>2.8562120498488681E-2</v>
      </c>
      <c r="M316">
        <f>INDEX('7_biomass'!$1:$343,MATCH($A316,'7_biomass'!$A:$A,0),MATCH(M$1,'7_biomass'!$1:$1,0))</f>
        <v>3.8970670531176872E-2</v>
      </c>
      <c r="N316">
        <f>INDEX('7_biomass'!$1:$343,MATCH($A316,'7_biomass'!$A:$A,0),MATCH(N$1,'7_biomass'!$1:$1,0))</f>
        <v>9.0794190518860389E-3</v>
      </c>
      <c r="O316">
        <f>INDEX('4_number_of_transport'!$1:$343,MATCH($A316,'4_number_of_transport'!$A:$A,0),MATCH(O$1,'4_number_of_transport'!$1:$1,0))</f>
        <v>7632</v>
      </c>
      <c r="P316">
        <f>INDEX('2_land_use'!$1:$343,MATCH($A316,'2_land_use'!$A:$A,0),MATCH(P$1,'2_land_use'!$1:$1,0))</f>
        <v>7.0139626509463291</v>
      </c>
      <c r="Q316">
        <f>INDEX('2_land_use'!$1:$343,MATCH($A316,'2_land_use'!$A:$A,0),MATCH(Q$1,'2_land_use'!$1:$1,0))</f>
        <v>0</v>
      </c>
      <c r="R316">
        <f>INDEX('6_roof_surface'!$1:$343,MATCH($A316,'6_roof_surface'!$A:$A,0),MATCH(R$1,'6_roof_surface'!$1:$1,0))</f>
        <v>0.46257399999999999</v>
      </c>
      <c r="S316">
        <f>INDEX('6_roof_surface'!$1:$343,MATCH($A316,'6_roof_surface'!$A:$A,0),MATCH(S$1,'6_roof_surface'!$1:$1,0))</f>
        <v>0.17957999999999999</v>
      </c>
    </row>
    <row r="317" spans="1:19" x14ac:dyDescent="0.2">
      <c r="A317" t="s">
        <v>317</v>
      </c>
      <c r="B317" t="str">
        <f>INDEX(CBS_gemeenten_alfabetisch_2023!$B:$B,MATCH($A317,CBS_gemeenten_alfabetisch_2023!$A:$A,0))</f>
        <v>Westerwolde</v>
      </c>
      <c r="C317">
        <f>INDEX('5_train_share_nl'!$1:$343,MATCH($A317,'5_train_share_nl'!$A:$A,0),MATCH(C$1,'5_train_share_nl'!$1:$1,0))</f>
        <v>0</v>
      </c>
      <c r="D317">
        <f>INDEX('3_has_tram_metro'!$1:$343,MATCH($A317,'3_has_tram_metro'!$A:$A,0),MATCH(D$1,'3_has_tram_metro'!$1:$1,0))</f>
        <v>0</v>
      </c>
      <c r="E317">
        <f>INDEX('1_buildings_total'!$1:$343,MATCH($A317,'1_buildings_total'!$A:$A,0),MATCH(E$1,'1_buildings_total'!$1:$1,0))</f>
        <v>3735.976923076923</v>
      </c>
      <c r="F317">
        <f>INDEX('2_land_use'!$1:$343,MATCH($A317,'2_land_use'!$A:$A,0),MATCH(F$1,'2_land_use'!$1:$1,0))</f>
        <v>236.18015426930305</v>
      </c>
      <c r="G317">
        <f>INDEX('4_number_of_transport'!$1:$343,MATCH($A317,'4_number_of_transport'!$A:$A,0),MATCH(G$1,'4_number_of_transport'!$1:$1,0))</f>
        <v>2154</v>
      </c>
      <c r="H317">
        <f>INDEX('4_number_of_transport'!$1:$343,MATCH($A317,'4_number_of_transport'!$A:$A,0),MATCH(H$1,'4_number_of_transport'!$1:$1,0))</f>
        <v>79</v>
      </c>
      <c r="I317">
        <f>INDEX('4_number_of_transport'!$1:$343,MATCH($A317,'4_number_of_transport'!$A:$A,0),MATCH(I$1,'4_number_of_transport'!$1:$1,0))</f>
        <v>12</v>
      </c>
      <c r="J317">
        <f>INDEX('2_land_use'!$1:$343,MATCH($A317,'2_land_use'!$A:$A,0),MATCH(J$1,'2_land_use'!$1:$1,0))</f>
        <v>0</v>
      </c>
      <c r="K317">
        <f>INDEX('2_land_use'!$1:$343,MATCH($A317,'2_land_use'!$A:$A,0),MATCH(K$1,'2_land_use'!$1:$1,0))</f>
        <v>1.0588916948488278E-2</v>
      </c>
      <c r="L317">
        <f>INDEX('7_biomass'!$1:$343,MATCH($A317,'7_biomass'!$A:$A,0),MATCH(L$1,'7_biomass'!$1:$1,0))</f>
        <v>0.43998661172687392</v>
      </c>
      <c r="M317">
        <f>INDEX('7_biomass'!$1:$343,MATCH($A317,'7_biomass'!$A:$A,0),MATCH(M$1,'7_biomass'!$1:$1,0))</f>
        <v>0.21209255852933659</v>
      </c>
      <c r="N317">
        <f>INDEX('7_biomass'!$1:$343,MATCH($A317,'7_biomass'!$A:$A,0),MATCH(N$1,'7_biomass'!$1:$1,0))</f>
        <v>1.5309975956134656E-2</v>
      </c>
      <c r="O317">
        <f>INDEX('4_number_of_transport'!$1:$343,MATCH($A317,'4_number_of_transport'!$A:$A,0),MATCH(O$1,'4_number_of_transport'!$1:$1,0))</f>
        <v>15515</v>
      </c>
      <c r="P317">
        <f>INDEX('2_land_use'!$1:$343,MATCH($A317,'2_land_use'!$A:$A,0),MATCH(P$1,'2_land_use'!$1:$1,0))</f>
        <v>275.76967489501271</v>
      </c>
      <c r="Q317">
        <f>INDEX('2_land_use'!$1:$343,MATCH($A317,'2_land_use'!$A:$A,0),MATCH(Q$1,'2_land_use'!$1:$1,0))</f>
        <v>0</v>
      </c>
      <c r="R317">
        <f>INDEX('6_roof_surface'!$1:$343,MATCH($A317,'6_roof_surface'!$A:$A,0),MATCH(R$1,'6_roof_surface'!$1:$1,0))</f>
        <v>1.67964</v>
      </c>
      <c r="S317">
        <f>INDEX('6_roof_surface'!$1:$343,MATCH($A317,'6_roof_surface'!$A:$A,0),MATCH(S$1,'6_roof_surface'!$1:$1,0))</f>
        <v>1.625845</v>
      </c>
    </row>
    <row r="318" spans="1:19" x14ac:dyDescent="0.2">
      <c r="A318" t="s">
        <v>318</v>
      </c>
      <c r="B318" t="str">
        <f>INDEX(CBS_gemeenten_alfabetisch_2023!$B:$B,MATCH($A318,CBS_gemeenten_alfabetisch_2023!$A:$A,0))</f>
        <v>Westland</v>
      </c>
      <c r="C318">
        <f>INDEX('5_train_share_nl'!$1:$343,MATCH($A318,'5_train_share_nl'!$A:$A,0),MATCH(C$1,'5_train_share_nl'!$1:$1,0))</f>
        <v>0</v>
      </c>
      <c r="D318">
        <f>INDEX('3_has_tram_metro'!$1:$343,MATCH($A318,'3_has_tram_metro'!$A:$A,0),MATCH(D$1,'3_has_tram_metro'!$1:$1,0))</f>
        <v>0</v>
      </c>
      <c r="E318">
        <f>INDEX('1_buildings_total'!$1:$343,MATCH($A318,'1_buildings_total'!$A:$A,0),MATCH(E$1,'1_buildings_total'!$1:$1,0))</f>
        <v>7600.9759999999987</v>
      </c>
      <c r="F318">
        <f>INDEX('2_land_use'!$1:$343,MATCH($A318,'2_land_use'!$A:$A,0),MATCH(F$1,'2_land_use'!$1:$1,0))</f>
        <v>48.191679960875938</v>
      </c>
      <c r="G318">
        <f>INDEX('4_number_of_transport'!$1:$343,MATCH($A318,'4_number_of_transport'!$A:$A,0),MATCH(G$1,'4_number_of_transport'!$1:$1,0))</f>
        <v>9395</v>
      </c>
      <c r="H318">
        <f>INDEX('4_number_of_transport'!$1:$343,MATCH($A318,'4_number_of_transport'!$A:$A,0),MATCH(H$1,'4_number_of_transport'!$1:$1,0))</f>
        <v>1031</v>
      </c>
      <c r="I318">
        <f>INDEX('4_number_of_transport'!$1:$343,MATCH($A318,'4_number_of_transport'!$A:$A,0),MATCH(I$1,'4_number_of_transport'!$1:$1,0))</f>
        <v>39</v>
      </c>
      <c r="J318">
        <f>INDEX('2_land_use'!$1:$343,MATCH($A318,'2_land_use'!$A:$A,0),MATCH(J$1,'2_land_use'!$1:$1,0))</f>
        <v>0.24398550613679393</v>
      </c>
      <c r="K318">
        <f>INDEX('2_land_use'!$1:$343,MATCH($A318,'2_land_use'!$A:$A,0),MATCH(K$1,'2_land_use'!$1:$1,0))</f>
        <v>2.1606290261457707E-3</v>
      </c>
      <c r="L318">
        <f>INDEX('7_biomass'!$1:$343,MATCH($A318,'7_biomass'!$A:$A,0),MATCH(L$1,'7_biomass'!$1:$1,0))</f>
        <v>0.22386776344115294</v>
      </c>
      <c r="M318">
        <f>INDEX('7_biomass'!$1:$343,MATCH($A318,'7_biomass'!$A:$A,0),MATCH(M$1,'7_biomass'!$1:$1,0))</f>
        <v>0.27893007096844596</v>
      </c>
      <c r="N318">
        <f>INDEX('7_biomass'!$1:$343,MATCH($A318,'7_biomass'!$A:$A,0),MATCH(N$1,'7_biomass'!$1:$1,0))</f>
        <v>6.5983146901229903E-2</v>
      </c>
      <c r="O318">
        <f>INDEX('4_number_of_transport'!$1:$343,MATCH($A318,'4_number_of_transport'!$A:$A,0),MATCH(O$1,'4_number_of_transport'!$1:$1,0))</f>
        <v>58286</v>
      </c>
      <c r="P318">
        <f>INDEX('2_land_use'!$1:$343,MATCH($A318,'2_land_use'!$A:$A,0),MATCH(P$1,'2_land_use'!$1:$1,0))</f>
        <v>80.756371234754752</v>
      </c>
      <c r="Q318">
        <f>INDEX('2_land_use'!$1:$343,MATCH($A318,'2_land_use'!$A:$A,0),MATCH(Q$1,'2_land_use'!$1:$1,0))</f>
        <v>7.7257993766131365</v>
      </c>
      <c r="R318">
        <f>INDEX('6_roof_surface'!$1:$343,MATCH($A318,'6_roof_surface'!$A:$A,0),MATCH(R$1,'6_roof_surface'!$1:$1,0))</f>
        <v>3.321218</v>
      </c>
      <c r="S318">
        <f>INDEX('6_roof_surface'!$1:$343,MATCH($A318,'6_roof_surface'!$A:$A,0),MATCH(S$1,'6_roof_surface'!$1:$1,0))</f>
        <v>33.151767</v>
      </c>
    </row>
    <row r="319" spans="1:19" x14ac:dyDescent="0.2">
      <c r="A319" t="s">
        <v>319</v>
      </c>
      <c r="B319" t="str">
        <f>INDEX(CBS_gemeenten_alfabetisch_2023!$B:$B,MATCH($A319,CBS_gemeenten_alfabetisch_2023!$A:$A,0))</f>
        <v>Weststellingwerf</v>
      </c>
      <c r="C319">
        <f>INDEX('5_train_share_nl'!$1:$343,MATCH($A319,'5_train_share_nl'!$A:$A,0),MATCH(C$1,'5_train_share_nl'!$1:$1,0))</f>
        <v>5.3655185248981834E-4</v>
      </c>
      <c r="D319">
        <f>INDEX('3_has_tram_metro'!$1:$343,MATCH($A319,'3_has_tram_metro'!$A:$A,0),MATCH(D$1,'3_has_tram_metro'!$1:$1,0))</f>
        <v>0</v>
      </c>
      <c r="E319">
        <f>INDEX('1_buildings_total'!$1:$343,MATCH($A319,'1_buildings_total'!$A:$A,0),MATCH(E$1,'1_buildings_total'!$1:$1,0))</f>
        <v>3518.0049230769218</v>
      </c>
      <c r="F319">
        <f>INDEX('2_land_use'!$1:$343,MATCH($A319,'2_land_use'!$A:$A,0),MATCH(F$1,'2_land_use'!$1:$1,0))</f>
        <v>182.23760561892138</v>
      </c>
      <c r="G319">
        <f>INDEX('4_number_of_transport'!$1:$343,MATCH($A319,'4_number_of_transport'!$A:$A,0),MATCH(G$1,'4_number_of_transport'!$1:$1,0))</f>
        <v>2146</v>
      </c>
      <c r="H319">
        <f>INDEX('4_number_of_transport'!$1:$343,MATCH($A319,'4_number_of_transport'!$A:$A,0),MATCH(H$1,'4_number_of_transport'!$1:$1,0))</f>
        <v>93</v>
      </c>
      <c r="I319">
        <f>INDEX('4_number_of_transport'!$1:$343,MATCH($A319,'4_number_of_transport'!$A:$A,0),MATCH(I$1,'4_number_of_transport'!$1:$1,0))</f>
        <v>24</v>
      </c>
      <c r="J319">
        <f>INDEX('2_land_use'!$1:$343,MATCH($A319,'2_land_use'!$A:$A,0),MATCH(J$1,'2_land_use'!$1:$1,0))</f>
        <v>4.0041795354533715E-6</v>
      </c>
      <c r="K319">
        <f>INDEX('2_land_use'!$1:$343,MATCH($A319,'2_land_use'!$A:$A,0),MATCH(K$1,'2_land_use'!$1:$1,0))</f>
        <v>8.1704530880684877E-3</v>
      </c>
      <c r="L319">
        <f>INDEX('7_biomass'!$1:$343,MATCH($A319,'7_biomass'!$A:$A,0),MATCH(L$1,'7_biomass'!$1:$1,0))</f>
        <v>0.64477989743971154</v>
      </c>
      <c r="M319">
        <f>INDEX('7_biomass'!$1:$343,MATCH($A319,'7_biomass'!$A:$A,0),MATCH(M$1,'7_biomass'!$1:$1,0))</f>
        <v>0.16617119042772244</v>
      </c>
      <c r="N319">
        <f>INDEX('7_biomass'!$1:$343,MATCH($A319,'7_biomass'!$A:$A,0),MATCH(N$1,'7_biomass'!$1:$1,0))</f>
        <v>1.5699423735327574E-2</v>
      </c>
      <c r="O319">
        <f>INDEX('4_number_of_transport'!$1:$343,MATCH($A319,'4_number_of_transport'!$A:$A,0),MATCH(O$1,'4_number_of_transport'!$1:$1,0))</f>
        <v>14856</v>
      </c>
      <c r="P319">
        <f>INDEX('2_land_use'!$1:$343,MATCH($A319,'2_land_use'!$A:$A,0),MATCH(P$1,'2_land_use'!$1:$1,0))</f>
        <v>220.19973053383598</v>
      </c>
      <c r="Q319">
        <f>INDEX('2_land_use'!$1:$343,MATCH($A319,'2_land_use'!$A:$A,0),MATCH(Q$1,'2_land_use'!$1:$1,0))</f>
        <v>0</v>
      </c>
      <c r="R319">
        <f>INDEX('6_roof_surface'!$1:$343,MATCH($A319,'6_roof_surface'!$A:$A,0),MATCH(R$1,'6_roof_surface'!$1:$1,0))</f>
        <v>1.508618</v>
      </c>
      <c r="S319">
        <f>INDEX('6_roof_surface'!$1:$343,MATCH($A319,'6_roof_surface'!$A:$A,0),MATCH(S$1,'6_roof_surface'!$1:$1,0))</f>
        <v>1.6324730000000001</v>
      </c>
    </row>
    <row r="320" spans="1:19" x14ac:dyDescent="0.2">
      <c r="A320" t="s">
        <v>320</v>
      </c>
      <c r="B320" t="str">
        <f>INDEX(CBS_gemeenten_alfabetisch_2023!$B:$B,MATCH($A320,CBS_gemeenten_alfabetisch_2023!$A:$A,0))</f>
        <v>Wierden</v>
      </c>
      <c r="C320">
        <f>INDEX('5_train_share_nl'!$1:$343,MATCH($A320,'5_train_share_nl'!$A:$A,0),MATCH(C$1,'5_train_share_nl'!$1:$1,0))</f>
        <v>4.2607364817641669E-4</v>
      </c>
      <c r="D320">
        <f>INDEX('3_has_tram_metro'!$1:$343,MATCH($A320,'3_has_tram_metro'!$A:$A,0),MATCH(D$1,'3_has_tram_metro'!$1:$1,0))</f>
        <v>0</v>
      </c>
      <c r="E320">
        <f>INDEX('1_buildings_total'!$1:$343,MATCH($A320,'1_buildings_total'!$A:$A,0),MATCH(E$1,'1_buildings_total'!$1:$1,0))</f>
        <v>1727.7886923076921</v>
      </c>
      <c r="F320">
        <f>INDEX('2_land_use'!$1:$343,MATCH($A320,'2_land_use'!$A:$A,0),MATCH(F$1,'2_land_use'!$1:$1,0))</f>
        <v>72.894301317410736</v>
      </c>
      <c r="G320">
        <f>INDEX('4_number_of_transport'!$1:$343,MATCH($A320,'4_number_of_transport'!$A:$A,0),MATCH(G$1,'4_number_of_transport'!$1:$1,0))</f>
        <v>3945</v>
      </c>
      <c r="H320">
        <f>INDEX('4_number_of_transport'!$1:$343,MATCH($A320,'4_number_of_transport'!$A:$A,0),MATCH(H$1,'4_number_of_transport'!$1:$1,0))</f>
        <v>98</v>
      </c>
      <c r="I320">
        <f>INDEX('4_number_of_transport'!$1:$343,MATCH($A320,'4_number_of_transport'!$A:$A,0),MATCH(I$1,'4_number_of_transport'!$1:$1,0))</f>
        <v>15</v>
      </c>
      <c r="J320">
        <f>INDEX('2_land_use'!$1:$343,MATCH($A320,'2_land_use'!$A:$A,0),MATCH(J$1,'2_land_use'!$1:$1,0))</f>
        <v>0</v>
      </c>
      <c r="K320">
        <f>INDEX('2_land_use'!$1:$343,MATCH($A320,'2_land_use'!$A:$A,0),MATCH(K$1,'2_land_use'!$1:$1,0))</f>
        <v>3.2681480163147818E-3</v>
      </c>
      <c r="L320">
        <f>INDEX('7_biomass'!$1:$343,MATCH($A320,'7_biomass'!$A:$A,0),MATCH(L$1,'7_biomass'!$1:$1,0))</f>
        <v>0.23443053797378144</v>
      </c>
      <c r="M320">
        <f>INDEX('7_biomass'!$1:$343,MATCH($A320,'7_biomass'!$A:$A,0),MATCH(M$1,'7_biomass'!$1:$1,0))</f>
        <v>0.12585648944715883</v>
      </c>
      <c r="N320">
        <f>INDEX('7_biomass'!$1:$343,MATCH($A320,'7_biomass'!$A:$A,0),MATCH(N$1,'7_biomass'!$1:$1,0))</f>
        <v>1.4794762669464464E-2</v>
      </c>
      <c r="O320">
        <f>INDEX('4_number_of_transport'!$1:$343,MATCH($A320,'4_number_of_transport'!$A:$A,0),MATCH(O$1,'4_number_of_transport'!$1:$1,0))</f>
        <v>19795</v>
      </c>
      <c r="P320">
        <f>INDEX('2_land_use'!$1:$343,MATCH($A320,'2_land_use'!$A:$A,0),MATCH(P$1,'2_land_use'!$1:$1,0))</f>
        <v>94.604629557619447</v>
      </c>
      <c r="Q320">
        <f>INDEX('2_land_use'!$1:$343,MATCH($A320,'2_land_use'!$A:$A,0),MATCH(Q$1,'2_land_use'!$1:$1,0))</f>
        <v>0</v>
      </c>
      <c r="R320">
        <f>INDEX('6_roof_surface'!$1:$343,MATCH($A320,'6_roof_surface'!$A:$A,0),MATCH(R$1,'6_roof_surface'!$1:$1,0))</f>
        <v>1.0017929999999999</v>
      </c>
      <c r="S320">
        <f>INDEX('6_roof_surface'!$1:$343,MATCH($A320,'6_roof_surface'!$A:$A,0),MATCH(S$1,'6_roof_surface'!$1:$1,0))</f>
        <v>1.2976380000000001</v>
      </c>
    </row>
    <row r="321" spans="1:19" x14ac:dyDescent="0.2">
      <c r="A321" t="s">
        <v>321</v>
      </c>
      <c r="B321" t="str">
        <f>INDEX(CBS_gemeenten_alfabetisch_2023!$B:$B,MATCH($A321,CBS_gemeenten_alfabetisch_2023!$A:$A,0))</f>
        <v>Wijchen</v>
      </c>
      <c r="C321">
        <f>INDEX('5_train_share_nl'!$1:$343,MATCH($A321,'5_train_share_nl'!$A:$A,0),MATCH(C$1,'5_train_share_nl'!$1:$1,0))</f>
        <v>1.5403591927567479E-3</v>
      </c>
      <c r="D321">
        <f>INDEX('3_has_tram_metro'!$1:$343,MATCH($A321,'3_has_tram_metro'!$A:$A,0),MATCH(D$1,'3_has_tram_metro'!$1:$1,0))</f>
        <v>0</v>
      </c>
      <c r="E321">
        <f>INDEX('1_buildings_total'!$1:$343,MATCH($A321,'1_buildings_total'!$A:$A,0),MATCH(E$1,'1_buildings_total'!$1:$1,0))</f>
        <v>2611.315076923077</v>
      </c>
      <c r="F321">
        <f>INDEX('2_land_use'!$1:$343,MATCH($A321,'2_land_use'!$A:$A,0),MATCH(F$1,'2_land_use'!$1:$1,0))</f>
        <v>43.811593243833507</v>
      </c>
      <c r="G321">
        <f>INDEX('4_number_of_transport'!$1:$343,MATCH($A321,'4_number_of_transport'!$A:$A,0),MATCH(G$1,'4_number_of_transport'!$1:$1,0))</f>
        <v>2365</v>
      </c>
      <c r="H321">
        <f>INDEX('4_number_of_transport'!$1:$343,MATCH($A321,'4_number_of_transport'!$A:$A,0),MATCH(H$1,'4_number_of_transport'!$1:$1,0))</f>
        <v>190</v>
      </c>
      <c r="I321">
        <f>INDEX('4_number_of_transport'!$1:$343,MATCH($A321,'4_number_of_transport'!$A:$A,0),MATCH(I$1,'4_number_of_transport'!$1:$1,0))</f>
        <v>1</v>
      </c>
      <c r="J321">
        <f>INDEX('2_land_use'!$1:$343,MATCH($A321,'2_land_use'!$A:$A,0),MATCH(J$1,'2_land_use'!$1:$1,0))</f>
        <v>2.0304464311120642E-4</v>
      </c>
      <c r="K321">
        <f>INDEX('2_land_use'!$1:$343,MATCH($A321,'2_land_use'!$A:$A,0),MATCH(K$1,'2_land_use'!$1:$1,0))</f>
        <v>1.9642519231777792E-3</v>
      </c>
      <c r="L321">
        <f>INDEX('7_biomass'!$1:$343,MATCH($A321,'7_biomass'!$A:$A,0),MATCH(L$1,'7_biomass'!$1:$1,0))</f>
        <v>0.19068211375312696</v>
      </c>
      <c r="M321">
        <f>INDEX('7_biomass'!$1:$343,MATCH($A321,'7_biomass'!$A:$A,0),MATCH(M$1,'7_biomass'!$1:$1,0))</f>
        <v>0.12884968798338695</v>
      </c>
      <c r="N321">
        <f>INDEX('7_biomass'!$1:$343,MATCH($A321,'7_biomass'!$A:$A,0),MATCH(N$1,'7_biomass'!$1:$1,0))</f>
        <v>2.4880305781168711E-2</v>
      </c>
      <c r="O321">
        <f>INDEX('4_number_of_transport'!$1:$343,MATCH($A321,'4_number_of_transport'!$A:$A,0),MATCH(O$1,'4_number_of_transport'!$1:$1,0))</f>
        <v>22302</v>
      </c>
      <c r="P321">
        <f>INDEX('2_land_use'!$1:$343,MATCH($A321,'2_land_use'!$A:$A,0),MATCH(P$1,'2_land_use'!$1:$1,0))</f>
        <v>66.038940891860733</v>
      </c>
      <c r="Q321">
        <f>INDEX('2_land_use'!$1:$343,MATCH($A321,'2_land_use'!$A:$A,0),MATCH(Q$1,'2_land_use'!$1:$1,0))</f>
        <v>0</v>
      </c>
      <c r="R321">
        <f>INDEX('6_roof_surface'!$1:$343,MATCH($A321,'6_roof_surface'!$A:$A,0),MATCH(R$1,'6_roof_surface'!$1:$1,0))</f>
        <v>1.4847649999999999</v>
      </c>
      <c r="S321">
        <f>INDEX('6_roof_surface'!$1:$343,MATCH($A321,'6_roof_surface'!$A:$A,0),MATCH(S$1,'6_roof_surface'!$1:$1,0))</f>
        <v>1.817977</v>
      </c>
    </row>
    <row r="322" spans="1:19" x14ac:dyDescent="0.2">
      <c r="A322" t="s">
        <v>322</v>
      </c>
      <c r="B322" t="str">
        <f>INDEX(CBS_gemeenten_alfabetisch_2023!$B:$B,MATCH($A322,CBS_gemeenten_alfabetisch_2023!$A:$A,0))</f>
        <v>Wijdemeren</v>
      </c>
      <c r="C322">
        <f>INDEX('5_train_share_nl'!$1:$343,MATCH($A322,'5_train_share_nl'!$A:$A,0),MATCH(C$1,'5_train_share_nl'!$1:$1,0))</f>
        <v>0</v>
      </c>
      <c r="D322">
        <f>INDEX('3_has_tram_metro'!$1:$343,MATCH($A322,'3_has_tram_metro'!$A:$A,0),MATCH(D$1,'3_has_tram_metro'!$1:$1,0))</f>
        <v>0</v>
      </c>
      <c r="E322">
        <f>INDEX('1_buildings_total'!$1:$343,MATCH($A322,'1_buildings_total'!$A:$A,0),MATCH(E$1,'1_buildings_total'!$1:$1,0))</f>
        <v>1716.002</v>
      </c>
      <c r="F322">
        <f>INDEX('2_land_use'!$1:$343,MATCH($A322,'2_land_use'!$A:$A,0),MATCH(F$1,'2_land_use'!$1:$1,0))</f>
        <v>26.555891440253532</v>
      </c>
      <c r="G322">
        <f>INDEX('4_number_of_transport'!$1:$343,MATCH($A322,'4_number_of_transport'!$A:$A,0),MATCH(G$1,'4_number_of_transport'!$1:$1,0))</f>
        <v>1794</v>
      </c>
      <c r="H322">
        <f>INDEX('4_number_of_transport'!$1:$343,MATCH($A322,'4_number_of_transport'!$A:$A,0),MATCH(H$1,'4_number_of_transport'!$1:$1,0))</f>
        <v>155</v>
      </c>
      <c r="I322">
        <f>INDEX('4_number_of_transport'!$1:$343,MATCH($A322,'4_number_of_transport'!$A:$A,0),MATCH(I$1,'4_number_of_transport'!$1:$1,0))</f>
        <v>11</v>
      </c>
      <c r="J322">
        <f>INDEX('2_land_use'!$1:$343,MATCH($A322,'2_land_use'!$A:$A,0),MATCH(J$1,'2_land_use'!$1:$1,0))</f>
        <v>1.7358270842796593E-4</v>
      </c>
      <c r="K322">
        <f>INDEX('2_land_use'!$1:$343,MATCH($A322,'2_land_use'!$A:$A,0),MATCH(K$1,'2_land_use'!$1:$1,0))</f>
        <v>1.1906086259613534E-3</v>
      </c>
      <c r="L322">
        <f>INDEX('7_biomass'!$1:$343,MATCH($A322,'7_biomass'!$A:$A,0),MATCH(L$1,'7_biomass'!$1:$1,0))</f>
        <v>0.36744297359763167</v>
      </c>
      <c r="M322">
        <f>INDEX('7_biomass'!$1:$343,MATCH($A322,'7_biomass'!$A:$A,0),MATCH(M$1,'7_biomass'!$1:$1,0))</f>
        <v>7.5978441000511529E-2</v>
      </c>
      <c r="N322">
        <f>INDEX('7_biomass'!$1:$343,MATCH($A322,'7_biomass'!$A:$A,0),MATCH(N$1,'7_biomass'!$1:$1,0))</f>
        <v>1.4589406430202054E-2</v>
      </c>
      <c r="O322">
        <f>INDEX('4_number_of_transport'!$1:$343,MATCH($A322,'4_number_of_transport'!$A:$A,0),MATCH(O$1,'4_number_of_transport'!$1:$1,0))</f>
        <v>14695</v>
      </c>
      <c r="P322">
        <f>INDEX('2_land_use'!$1:$343,MATCH($A322,'2_land_use'!$A:$A,0),MATCH(P$1,'2_land_use'!$1:$1,0))</f>
        <v>47.537373663341249</v>
      </c>
      <c r="Q322">
        <f>INDEX('2_land_use'!$1:$343,MATCH($A322,'2_land_use'!$A:$A,0),MATCH(Q$1,'2_land_use'!$1:$1,0))</f>
        <v>0</v>
      </c>
      <c r="R322">
        <f>INDEX('6_roof_surface'!$1:$343,MATCH($A322,'6_roof_surface'!$A:$A,0),MATCH(R$1,'6_roof_surface'!$1:$1,0))</f>
        <v>0.86648599999999998</v>
      </c>
      <c r="S322">
        <f>INDEX('6_roof_surface'!$1:$343,MATCH($A322,'6_roof_surface'!$A:$A,0),MATCH(S$1,'6_roof_surface'!$1:$1,0))</f>
        <v>0.79422499999999996</v>
      </c>
    </row>
    <row r="323" spans="1:19" x14ac:dyDescent="0.2">
      <c r="A323" t="s">
        <v>323</v>
      </c>
      <c r="B323" t="str">
        <f>INDEX(CBS_gemeenten_alfabetisch_2023!$B:$B,MATCH($A323,CBS_gemeenten_alfabetisch_2023!$A:$A,0))</f>
        <v>Wijk bij Duurstede</v>
      </c>
      <c r="C323">
        <f>INDEX('5_train_share_nl'!$1:$343,MATCH($A323,'5_train_share_nl'!$A:$A,0),MATCH(C$1,'5_train_share_nl'!$1:$1,0))</f>
        <v>0</v>
      </c>
      <c r="D323">
        <f>INDEX('3_has_tram_metro'!$1:$343,MATCH($A323,'3_has_tram_metro'!$A:$A,0),MATCH(D$1,'3_has_tram_metro'!$1:$1,0))</f>
        <v>0</v>
      </c>
      <c r="E323">
        <f>INDEX('1_buildings_total'!$1:$343,MATCH($A323,'1_buildings_total'!$A:$A,0),MATCH(E$1,'1_buildings_total'!$1:$1,0))</f>
        <v>1525.401076923077</v>
      </c>
      <c r="F323">
        <f>INDEX('2_land_use'!$1:$343,MATCH($A323,'2_land_use'!$A:$A,0),MATCH(F$1,'2_land_use'!$1:$1,0))</f>
        <v>36.721000621928752</v>
      </c>
      <c r="G323">
        <f>INDEX('4_number_of_transport'!$1:$343,MATCH($A323,'4_number_of_transport'!$A:$A,0),MATCH(G$1,'4_number_of_transport'!$1:$1,0))</f>
        <v>1183</v>
      </c>
      <c r="H323">
        <f>INDEX('4_number_of_transport'!$1:$343,MATCH($A323,'4_number_of_transport'!$A:$A,0),MATCH(H$1,'4_number_of_transport'!$1:$1,0))</f>
        <v>41</v>
      </c>
      <c r="I323">
        <f>INDEX('4_number_of_transport'!$1:$343,MATCH($A323,'4_number_of_transport'!$A:$A,0),MATCH(I$1,'4_number_of_transport'!$1:$1,0))</f>
        <v>8</v>
      </c>
      <c r="J323">
        <f>INDEX('2_land_use'!$1:$343,MATCH($A323,'2_land_use'!$A:$A,0),MATCH(J$1,'2_land_use'!$1:$1,0))</f>
        <v>0</v>
      </c>
      <c r="K323">
        <f>INDEX('2_land_use'!$1:$343,MATCH($A323,'2_land_use'!$A:$A,0),MATCH(K$1,'2_land_use'!$1:$1,0))</f>
        <v>1.6463518158584245E-3</v>
      </c>
      <c r="L323">
        <f>INDEX('7_biomass'!$1:$343,MATCH($A323,'7_biomass'!$A:$A,0),MATCH(L$1,'7_biomass'!$1:$1,0))</f>
        <v>0.12545852141347566</v>
      </c>
      <c r="M323">
        <f>INDEX('7_biomass'!$1:$343,MATCH($A323,'7_biomass'!$A:$A,0),MATCH(M$1,'7_biomass'!$1:$1,0))</f>
        <v>7.9812653376902215E-2</v>
      </c>
      <c r="N323">
        <f>INDEX('7_biomass'!$1:$343,MATCH($A323,'7_biomass'!$A:$A,0),MATCH(N$1,'7_biomass'!$1:$1,0))</f>
        <v>1.443690815785038E-2</v>
      </c>
      <c r="O323">
        <f>INDEX('4_number_of_transport'!$1:$343,MATCH($A323,'4_number_of_transport'!$A:$A,0),MATCH(O$1,'4_number_of_transport'!$1:$1,0))</f>
        <v>12719</v>
      </c>
      <c r="P323">
        <f>INDEX('2_land_use'!$1:$343,MATCH($A323,'2_land_use'!$A:$A,0),MATCH(P$1,'2_land_use'!$1:$1,0))</f>
        <v>47.576909339130488</v>
      </c>
      <c r="Q323">
        <f>INDEX('2_land_use'!$1:$343,MATCH($A323,'2_land_use'!$A:$A,0),MATCH(Q$1,'2_land_use'!$1:$1,0))</f>
        <v>0</v>
      </c>
      <c r="R323">
        <f>INDEX('6_roof_surface'!$1:$343,MATCH($A323,'6_roof_surface'!$A:$A,0),MATCH(R$1,'6_roof_surface'!$1:$1,0))</f>
        <v>0.80430199999999996</v>
      </c>
      <c r="S323">
        <f>INDEX('6_roof_surface'!$1:$343,MATCH($A323,'6_roof_surface'!$A:$A,0),MATCH(S$1,'6_roof_surface'!$1:$1,0))</f>
        <v>0.608178</v>
      </c>
    </row>
    <row r="324" spans="1:19" x14ac:dyDescent="0.2">
      <c r="A324" t="s">
        <v>324</v>
      </c>
      <c r="B324" t="str">
        <f>INDEX(CBS_gemeenten_alfabetisch_2023!$B:$B,MATCH($A324,CBS_gemeenten_alfabetisch_2023!$A:$A,0))</f>
        <v>Winterswijk</v>
      </c>
      <c r="C324">
        <f>INDEX('5_train_share_nl'!$1:$343,MATCH($A324,'5_train_share_nl'!$A:$A,0),MATCH(C$1,'5_train_share_nl'!$1:$1,0))</f>
        <v>1.5221441483179792E-3</v>
      </c>
      <c r="D324">
        <f>INDEX('3_has_tram_metro'!$1:$343,MATCH($A324,'3_has_tram_metro'!$A:$A,0),MATCH(D$1,'3_has_tram_metro'!$1:$1,0))</f>
        <v>0</v>
      </c>
      <c r="E324">
        <f>INDEX('1_buildings_total'!$1:$343,MATCH($A324,'1_buildings_total'!$A:$A,0),MATCH(E$1,'1_buildings_total'!$1:$1,0))</f>
        <v>3282.3194615384618</v>
      </c>
      <c r="F324">
        <f>INDEX('2_land_use'!$1:$343,MATCH($A324,'2_land_use'!$A:$A,0),MATCH(F$1,'2_land_use'!$1:$1,0))</f>
        <v>103.88615378696005</v>
      </c>
      <c r="G324">
        <f>INDEX('4_number_of_transport'!$1:$343,MATCH($A324,'4_number_of_transport'!$A:$A,0),MATCH(G$1,'4_number_of_transport'!$1:$1,0))</f>
        <v>1576</v>
      </c>
      <c r="H324">
        <f>INDEX('4_number_of_transport'!$1:$343,MATCH($A324,'4_number_of_transport'!$A:$A,0),MATCH(H$1,'4_number_of_transport'!$1:$1,0))</f>
        <v>121</v>
      </c>
      <c r="I324">
        <f>INDEX('4_number_of_transport'!$1:$343,MATCH($A324,'4_number_of_transport'!$A:$A,0),MATCH(I$1,'4_number_of_transport'!$1:$1,0))</f>
        <v>10</v>
      </c>
      <c r="J324">
        <f>INDEX('2_land_use'!$1:$343,MATCH($A324,'2_land_use'!$A:$A,0),MATCH(J$1,'2_land_use'!$1:$1,0))</f>
        <v>8.7749876643775641E-5</v>
      </c>
      <c r="K324">
        <f>INDEX('2_land_use'!$1:$343,MATCH($A324,'2_land_use'!$A:$A,0),MATCH(K$1,'2_land_use'!$1:$1,0))</f>
        <v>4.6576388179240692E-3</v>
      </c>
      <c r="L324">
        <f>INDEX('7_biomass'!$1:$343,MATCH($A324,'7_biomass'!$A:$A,0),MATCH(L$1,'7_biomass'!$1:$1,0))</f>
        <v>0.25165378608274658</v>
      </c>
      <c r="M324">
        <f>INDEX('7_biomass'!$1:$343,MATCH($A324,'7_biomass'!$A:$A,0),MATCH(M$1,'7_biomass'!$1:$1,0))</f>
        <v>0.13127805046336855</v>
      </c>
      <c r="N324">
        <f>INDEX('7_biomass'!$1:$343,MATCH($A324,'7_biomass'!$A:$A,0),MATCH(N$1,'7_biomass'!$1:$1,0))</f>
        <v>1.7560388708288424E-2</v>
      </c>
      <c r="O324">
        <f>INDEX('4_number_of_transport'!$1:$343,MATCH($A324,'4_number_of_transport'!$A:$A,0),MATCH(O$1,'4_number_of_transport'!$1:$1,0))</f>
        <v>14943</v>
      </c>
      <c r="P324">
        <f>INDEX('2_land_use'!$1:$343,MATCH($A324,'2_land_use'!$A:$A,0),MATCH(P$1,'2_land_use'!$1:$1,0))</f>
        <v>138.13066598874454</v>
      </c>
      <c r="Q324">
        <f>INDEX('2_land_use'!$1:$343,MATCH($A324,'2_land_use'!$A:$A,0),MATCH(Q$1,'2_land_use'!$1:$1,0))</f>
        <v>0</v>
      </c>
      <c r="R324">
        <f>INDEX('6_roof_surface'!$1:$343,MATCH($A324,'6_roof_surface'!$A:$A,0),MATCH(R$1,'6_roof_surface'!$1:$1,0))</f>
        <v>1.2953790000000001</v>
      </c>
      <c r="S324">
        <f>INDEX('6_roof_surface'!$1:$343,MATCH($A324,'6_roof_surface'!$A:$A,0),MATCH(S$1,'6_roof_surface'!$1:$1,0))</f>
        <v>1.717978</v>
      </c>
    </row>
    <row r="325" spans="1:19" x14ac:dyDescent="0.2">
      <c r="A325" t="s">
        <v>325</v>
      </c>
      <c r="B325" t="str">
        <f>INDEX(CBS_gemeenten_alfabetisch_2023!$B:$B,MATCH($A325,CBS_gemeenten_alfabetisch_2023!$A:$A,0))</f>
        <v>Woensdrecht</v>
      </c>
      <c r="C325">
        <f>INDEX('5_train_share_nl'!$1:$343,MATCH($A325,'5_train_share_nl'!$A:$A,0),MATCH(C$1,'5_train_share_nl'!$1:$1,0))</f>
        <v>0</v>
      </c>
      <c r="D325">
        <f>INDEX('3_has_tram_metro'!$1:$343,MATCH($A325,'3_has_tram_metro'!$A:$A,0),MATCH(D$1,'3_has_tram_metro'!$1:$1,0))</f>
        <v>0</v>
      </c>
      <c r="E325">
        <f>INDEX('1_buildings_total'!$1:$343,MATCH($A325,'1_buildings_total'!$A:$A,0),MATCH(E$1,'1_buildings_total'!$1:$1,0))</f>
        <v>2012.1597692307694</v>
      </c>
      <c r="F325">
        <f>INDEX('2_land_use'!$1:$343,MATCH($A325,'2_land_use'!$A:$A,0),MATCH(F$1,'2_land_use'!$1:$1,0))</f>
        <v>41.969524657993553</v>
      </c>
      <c r="G325">
        <f>INDEX('4_number_of_transport'!$1:$343,MATCH($A325,'4_number_of_transport'!$A:$A,0),MATCH(G$1,'4_number_of_transport'!$1:$1,0))</f>
        <v>1270</v>
      </c>
      <c r="H325">
        <f>INDEX('4_number_of_transport'!$1:$343,MATCH($A325,'4_number_of_transport'!$A:$A,0),MATCH(H$1,'4_number_of_transport'!$1:$1,0))</f>
        <v>54</v>
      </c>
      <c r="I325">
        <f>INDEX('4_number_of_transport'!$1:$343,MATCH($A325,'4_number_of_transport'!$A:$A,0),MATCH(I$1,'4_number_of_transport'!$1:$1,0))</f>
        <v>2</v>
      </c>
      <c r="J325">
        <f>INDEX('2_land_use'!$1:$343,MATCH($A325,'2_land_use'!$A:$A,0),MATCH(J$1,'2_land_use'!$1:$1,0))</f>
        <v>1.2004130079114423E-4</v>
      </c>
      <c r="K325">
        <f>INDEX('2_land_use'!$1:$343,MATCH($A325,'2_land_use'!$A:$A,0),MATCH(K$1,'2_land_use'!$1:$1,0))</f>
        <v>1.881664496096004E-3</v>
      </c>
      <c r="L325">
        <f>INDEX('7_biomass'!$1:$343,MATCH($A325,'7_biomass'!$A:$A,0),MATCH(L$1,'7_biomass'!$1:$1,0))</f>
        <v>0.2107249236190129</v>
      </c>
      <c r="M325">
        <f>INDEX('7_biomass'!$1:$343,MATCH($A325,'7_biomass'!$A:$A,0),MATCH(M$1,'7_biomass'!$1:$1,0))</f>
        <v>0.10511350074510421</v>
      </c>
      <c r="N325">
        <f>INDEX('7_biomass'!$1:$343,MATCH($A325,'7_biomass'!$A:$A,0),MATCH(N$1,'7_biomass'!$1:$1,0))</f>
        <v>1.3284969016899101E-2</v>
      </c>
      <c r="O325">
        <f>INDEX('4_number_of_transport'!$1:$343,MATCH($A325,'4_number_of_transport'!$A:$A,0),MATCH(O$1,'4_number_of_transport'!$1:$1,0))</f>
        <v>12788</v>
      </c>
      <c r="P325">
        <f>INDEX('2_land_use'!$1:$343,MATCH($A325,'2_land_use'!$A:$A,0),MATCH(P$1,'2_land_use'!$1:$1,0))</f>
        <v>91.656953548085298</v>
      </c>
      <c r="Q325">
        <f>INDEX('2_land_use'!$1:$343,MATCH($A325,'2_land_use'!$A:$A,0),MATCH(Q$1,'2_land_use'!$1:$1,0))</f>
        <v>0</v>
      </c>
      <c r="R325">
        <f>INDEX('6_roof_surface'!$1:$343,MATCH($A325,'6_roof_surface'!$A:$A,0),MATCH(R$1,'6_roof_surface'!$1:$1,0))</f>
        <v>0.90238099999999999</v>
      </c>
      <c r="S325">
        <f>INDEX('6_roof_surface'!$1:$343,MATCH($A325,'6_roof_surface'!$A:$A,0),MATCH(S$1,'6_roof_surface'!$1:$1,0))</f>
        <v>1.253933</v>
      </c>
    </row>
    <row r="326" spans="1:19" x14ac:dyDescent="0.2">
      <c r="A326" t="s">
        <v>326</v>
      </c>
      <c r="B326" t="str">
        <f>INDEX(CBS_gemeenten_alfabetisch_2023!$B:$B,MATCH($A326,CBS_gemeenten_alfabetisch_2023!$A:$A,0))</f>
        <v>Woerden</v>
      </c>
      <c r="C326">
        <f>INDEX('5_train_share_nl'!$1:$343,MATCH($A326,'5_train_share_nl'!$A:$A,0),MATCH(C$1,'5_train_share_nl'!$1:$1,0))</f>
        <v>5.2098986887147902E-3</v>
      </c>
      <c r="D326">
        <f>INDEX('3_has_tram_metro'!$1:$343,MATCH($A326,'3_has_tram_metro'!$A:$A,0),MATCH(D$1,'3_has_tram_metro'!$1:$1,0))</f>
        <v>0</v>
      </c>
      <c r="E326">
        <f>INDEX('1_buildings_total'!$1:$343,MATCH($A326,'1_buildings_total'!$A:$A,0),MATCH(E$1,'1_buildings_total'!$1:$1,0))</f>
        <v>2864.2891538461545</v>
      </c>
      <c r="F326">
        <f>INDEX('2_land_use'!$1:$343,MATCH($A326,'2_land_use'!$A:$A,0),MATCH(F$1,'2_land_use'!$1:$1,0))</f>
        <v>71.75668119977118</v>
      </c>
      <c r="G326">
        <f>INDEX('4_number_of_transport'!$1:$343,MATCH($A326,'4_number_of_transport'!$A:$A,0),MATCH(G$1,'4_number_of_transport'!$1:$1,0))</f>
        <v>3238</v>
      </c>
      <c r="H326">
        <f>INDEX('4_number_of_transport'!$1:$343,MATCH($A326,'4_number_of_transport'!$A:$A,0),MATCH(H$1,'4_number_of_transport'!$1:$1,0))</f>
        <v>306</v>
      </c>
      <c r="I326">
        <f>INDEX('4_number_of_transport'!$1:$343,MATCH($A326,'4_number_of_transport'!$A:$A,0),MATCH(I$1,'4_number_of_transport'!$1:$1,0))</f>
        <v>10</v>
      </c>
      <c r="J326">
        <f>INDEX('2_land_use'!$1:$343,MATCH($A326,'2_land_use'!$A:$A,0),MATCH(J$1,'2_land_use'!$1:$1,0))</f>
        <v>5.4072587387796692E-3</v>
      </c>
      <c r="K326">
        <f>INDEX('2_land_use'!$1:$343,MATCH($A326,'2_land_use'!$A:$A,0),MATCH(K$1,'2_land_use'!$1:$1,0))</f>
        <v>3.2171438793165514E-3</v>
      </c>
      <c r="L326">
        <f>INDEX('7_biomass'!$1:$343,MATCH($A326,'7_biomass'!$A:$A,0),MATCH(L$1,'7_biomass'!$1:$1,0))</f>
        <v>0.27989883673863925</v>
      </c>
      <c r="M326">
        <f>INDEX('7_biomass'!$1:$343,MATCH($A326,'7_biomass'!$A:$A,0),MATCH(M$1,'7_biomass'!$1:$1,0))</f>
        <v>0.1544470401835133</v>
      </c>
      <c r="N326">
        <f>INDEX('7_biomass'!$1:$343,MATCH($A326,'7_biomass'!$A:$A,0),MATCH(N$1,'7_biomass'!$1:$1,0))</f>
        <v>3.1712957457929312E-2</v>
      </c>
      <c r="O326">
        <f>INDEX('4_number_of_transport'!$1:$343,MATCH($A326,'4_number_of_transport'!$A:$A,0),MATCH(O$1,'4_number_of_transport'!$1:$1,0))</f>
        <v>25779</v>
      </c>
      <c r="P326">
        <f>INDEX('2_land_use'!$1:$343,MATCH($A326,'2_land_use'!$A:$A,0),MATCH(P$1,'2_land_use'!$1:$1,0))</f>
        <v>88.554933079039515</v>
      </c>
      <c r="Q326">
        <f>INDEX('2_land_use'!$1:$343,MATCH($A326,'2_land_use'!$A:$A,0),MATCH(Q$1,'2_land_use'!$1:$1,0))</f>
        <v>0</v>
      </c>
      <c r="R326">
        <f>INDEX('6_roof_surface'!$1:$343,MATCH($A326,'6_roof_surface'!$A:$A,0),MATCH(R$1,'6_roof_surface'!$1:$1,0))</f>
        <v>1.5610889999999999</v>
      </c>
      <c r="S326">
        <f>INDEX('6_roof_surface'!$1:$343,MATCH($A326,'6_roof_surface'!$A:$A,0),MATCH(S$1,'6_roof_surface'!$1:$1,0))</f>
        <v>2.3848229999999999</v>
      </c>
    </row>
    <row r="327" spans="1:19" x14ac:dyDescent="0.2">
      <c r="A327" t="s">
        <v>327</v>
      </c>
      <c r="B327" t="str">
        <f>INDEX(CBS_gemeenten_alfabetisch_2023!$B:$B,MATCH($A327,CBS_gemeenten_alfabetisch_2023!$A:$A,0))</f>
        <v>De Wolden</v>
      </c>
      <c r="C327">
        <f>INDEX('5_train_share_nl'!$1:$343,MATCH($A327,'5_train_share_nl'!$A:$A,0),MATCH(C$1,'5_train_share_nl'!$1:$1,0))</f>
        <v>0</v>
      </c>
      <c r="D327">
        <f>INDEX('3_has_tram_metro'!$1:$343,MATCH($A327,'3_has_tram_metro'!$A:$A,0),MATCH(D$1,'3_has_tram_metro'!$1:$1,0))</f>
        <v>0</v>
      </c>
      <c r="E327">
        <f>INDEX('1_buildings_total'!$1:$343,MATCH($A327,'1_buildings_total'!$A:$A,0),MATCH(E$1,'1_buildings_total'!$1:$1,0))</f>
        <v>3090.0236923076927</v>
      </c>
      <c r="F327">
        <f>INDEX('2_land_use'!$1:$343,MATCH($A327,'2_land_use'!$A:$A,0),MATCH(F$1,'2_land_use'!$1:$1,0))</f>
        <v>185.01621224946857</v>
      </c>
      <c r="G327">
        <f>INDEX('4_number_of_transport'!$1:$343,MATCH($A327,'4_number_of_transport'!$A:$A,0),MATCH(G$1,'4_number_of_transport'!$1:$1,0))</f>
        <v>2239</v>
      </c>
      <c r="H327">
        <f>INDEX('4_number_of_transport'!$1:$343,MATCH($A327,'4_number_of_transport'!$A:$A,0),MATCH(H$1,'4_number_of_transport'!$1:$1,0))</f>
        <v>125</v>
      </c>
      <c r="I327">
        <f>INDEX('4_number_of_transport'!$1:$343,MATCH($A327,'4_number_of_transport'!$A:$A,0),MATCH(I$1,'4_number_of_transport'!$1:$1,0))</f>
        <v>5</v>
      </c>
      <c r="J327">
        <f>INDEX('2_land_use'!$1:$343,MATCH($A327,'2_land_use'!$A:$A,0),MATCH(J$1,'2_land_use'!$1:$1,0))</f>
        <v>0</v>
      </c>
      <c r="K327">
        <f>INDEX('2_land_use'!$1:$343,MATCH($A327,'2_land_use'!$A:$A,0),MATCH(K$1,'2_land_use'!$1:$1,0))</f>
        <v>8.2950293249433038E-3</v>
      </c>
      <c r="L327">
        <f>INDEX('7_biomass'!$1:$343,MATCH($A327,'7_biomass'!$A:$A,0),MATCH(L$1,'7_biomass'!$1:$1,0))</f>
        <v>0.39107082458817793</v>
      </c>
      <c r="M327">
        <f>INDEX('7_biomass'!$1:$343,MATCH($A327,'7_biomass'!$A:$A,0),MATCH(M$1,'7_biomass'!$1:$1,0))</f>
        <v>0.22327198098906934</v>
      </c>
      <c r="N327">
        <f>INDEX('7_biomass'!$1:$343,MATCH($A327,'7_biomass'!$A:$A,0),MATCH(N$1,'7_biomass'!$1:$1,0))</f>
        <v>1.4648340025493338E-2</v>
      </c>
      <c r="O327">
        <f>INDEX('4_number_of_transport'!$1:$343,MATCH($A327,'4_number_of_transport'!$A:$A,0),MATCH(O$1,'4_number_of_transport'!$1:$1,0))</f>
        <v>14855</v>
      </c>
      <c r="P327">
        <f>INDEX('2_land_use'!$1:$343,MATCH($A327,'2_land_use'!$A:$A,0),MATCH(P$1,'2_land_use'!$1:$1,0))</f>
        <v>224.3901197162661</v>
      </c>
      <c r="Q327">
        <f>INDEX('2_land_use'!$1:$343,MATCH($A327,'2_land_use'!$A:$A,0),MATCH(Q$1,'2_land_use'!$1:$1,0))</f>
        <v>0</v>
      </c>
      <c r="R327">
        <f>INDEX('6_roof_surface'!$1:$343,MATCH($A327,'6_roof_surface'!$A:$A,0),MATCH(R$1,'6_roof_surface'!$1:$1,0))</f>
        <v>1.5392779999999999</v>
      </c>
      <c r="S327">
        <f>INDEX('6_roof_surface'!$1:$343,MATCH($A327,'6_roof_surface'!$A:$A,0),MATCH(S$1,'6_roof_surface'!$1:$1,0))</f>
        <v>1.4220120000000001</v>
      </c>
    </row>
    <row r="328" spans="1:19" x14ac:dyDescent="0.2">
      <c r="A328" t="s">
        <v>328</v>
      </c>
      <c r="B328" t="str">
        <f>INDEX(CBS_gemeenten_alfabetisch_2023!$B:$B,MATCH($A328,CBS_gemeenten_alfabetisch_2023!$A:$A,0))</f>
        <v>Wormerland</v>
      </c>
      <c r="C328">
        <f>INDEX('5_train_share_nl'!$1:$343,MATCH($A328,'5_train_share_nl'!$A:$A,0),MATCH(C$1,'5_train_share_nl'!$1:$1,0))</f>
        <v>0</v>
      </c>
      <c r="D328">
        <f>INDEX('3_has_tram_metro'!$1:$343,MATCH($A328,'3_has_tram_metro'!$A:$A,0),MATCH(D$1,'3_has_tram_metro'!$1:$1,0))</f>
        <v>0</v>
      </c>
      <c r="E328">
        <f>INDEX('1_buildings_total'!$1:$343,MATCH($A328,'1_buildings_total'!$A:$A,0),MATCH(E$1,'1_buildings_total'!$1:$1,0))</f>
        <v>832.60153846153833</v>
      </c>
      <c r="F328">
        <f>INDEX('2_land_use'!$1:$343,MATCH($A328,'2_land_use'!$A:$A,0),MATCH(F$1,'2_land_use'!$1:$1,0))</f>
        <v>32.273897267981049</v>
      </c>
      <c r="G328">
        <f>INDEX('4_number_of_transport'!$1:$343,MATCH($A328,'4_number_of_transport'!$A:$A,0),MATCH(G$1,'4_number_of_transport'!$1:$1,0))</f>
        <v>951</v>
      </c>
      <c r="H328">
        <f>INDEX('4_number_of_transport'!$1:$343,MATCH($A328,'4_number_of_transport'!$A:$A,0),MATCH(H$1,'4_number_of_transport'!$1:$1,0))</f>
        <v>30</v>
      </c>
      <c r="I328">
        <f>INDEX('4_number_of_transport'!$1:$343,MATCH($A328,'4_number_of_transport'!$A:$A,0),MATCH(I$1,'4_number_of_transport'!$1:$1,0))</f>
        <v>1</v>
      </c>
      <c r="J328">
        <f>INDEX('2_land_use'!$1:$343,MATCH($A328,'2_land_use'!$A:$A,0),MATCH(J$1,'2_land_use'!$1:$1,0))</f>
        <v>0</v>
      </c>
      <c r="K328">
        <f>INDEX('2_land_use'!$1:$343,MATCH($A328,'2_land_use'!$A:$A,0),MATCH(K$1,'2_land_use'!$1:$1,0))</f>
        <v>1.4469700844763637E-3</v>
      </c>
      <c r="L328">
        <f>INDEX('7_biomass'!$1:$343,MATCH($A328,'7_biomass'!$A:$A,0),MATCH(L$1,'7_biomass'!$1:$1,0))</f>
        <v>0.1448336134494469</v>
      </c>
      <c r="M328">
        <f>INDEX('7_biomass'!$1:$343,MATCH($A328,'7_biomass'!$A:$A,0),MATCH(M$1,'7_biomass'!$1:$1,0))</f>
        <v>4.8548529378463288E-2</v>
      </c>
      <c r="N328">
        <f>INDEX('7_biomass'!$1:$343,MATCH($A328,'7_biomass'!$A:$A,0),MATCH(N$1,'7_biomass'!$1:$1,0))</f>
        <v>9.9208935825914855E-3</v>
      </c>
      <c r="O328">
        <f>INDEX('4_number_of_transport'!$1:$343,MATCH($A328,'4_number_of_transport'!$A:$A,0),MATCH(O$1,'4_number_of_transport'!$1:$1,0))</f>
        <v>8230</v>
      </c>
      <c r="P328">
        <f>INDEX('2_land_use'!$1:$343,MATCH($A328,'2_land_use'!$A:$A,0),MATCH(P$1,'2_land_use'!$1:$1,0))</f>
        <v>38.514072935314282</v>
      </c>
      <c r="Q328">
        <f>INDEX('2_land_use'!$1:$343,MATCH($A328,'2_land_use'!$A:$A,0),MATCH(Q$1,'2_land_use'!$1:$1,0))</f>
        <v>0</v>
      </c>
      <c r="R328">
        <f>INDEX('6_roof_surface'!$1:$343,MATCH($A328,'6_roof_surface'!$A:$A,0),MATCH(R$1,'6_roof_surface'!$1:$1,0))</f>
        <v>0.48272700000000002</v>
      </c>
      <c r="S328">
        <f>INDEX('6_roof_surface'!$1:$343,MATCH($A328,'6_roof_surface'!$A:$A,0),MATCH(S$1,'6_roof_surface'!$1:$1,0))</f>
        <v>0.47325499999999998</v>
      </c>
    </row>
    <row r="329" spans="1:19" x14ac:dyDescent="0.2">
      <c r="A329" t="s">
        <v>329</v>
      </c>
      <c r="B329" t="str">
        <f>INDEX(CBS_gemeenten_alfabetisch_2023!$B:$B,MATCH($A329,CBS_gemeenten_alfabetisch_2023!$A:$A,0))</f>
        <v>Woudenberg</v>
      </c>
      <c r="C329">
        <f>INDEX('5_train_share_nl'!$1:$343,MATCH($A329,'5_train_share_nl'!$A:$A,0),MATCH(C$1,'5_train_share_nl'!$1:$1,0))</f>
        <v>0</v>
      </c>
      <c r="D329">
        <f>INDEX('3_has_tram_metro'!$1:$343,MATCH($A329,'3_has_tram_metro'!$A:$A,0),MATCH(D$1,'3_has_tram_metro'!$1:$1,0))</f>
        <v>0</v>
      </c>
      <c r="E329">
        <f>INDEX('1_buildings_total'!$1:$343,MATCH($A329,'1_buildings_total'!$A:$A,0),MATCH(E$1,'1_buildings_total'!$1:$1,0))</f>
        <v>874.29453846153854</v>
      </c>
      <c r="F329">
        <f>INDEX('2_land_use'!$1:$343,MATCH($A329,'2_land_use'!$A:$A,0),MATCH(F$1,'2_land_use'!$1:$1,0))</f>
        <v>22.522274810551043</v>
      </c>
      <c r="G329">
        <f>INDEX('4_number_of_transport'!$1:$343,MATCH($A329,'4_number_of_transport'!$A:$A,0),MATCH(G$1,'4_number_of_transport'!$1:$1,0))</f>
        <v>1156</v>
      </c>
      <c r="H329">
        <f>INDEX('4_number_of_transport'!$1:$343,MATCH($A329,'4_number_of_transport'!$A:$A,0),MATCH(H$1,'4_number_of_transport'!$1:$1,0))</f>
        <v>56</v>
      </c>
      <c r="I329">
        <f>INDEX('4_number_of_transport'!$1:$343,MATCH($A329,'4_number_of_transport'!$A:$A,0),MATCH(I$1,'4_number_of_transport'!$1:$1,0))</f>
        <v>7</v>
      </c>
      <c r="J329">
        <f>INDEX('2_land_use'!$1:$343,MATCH($A329,'2_land_use'!$A:$A,0),MATCH(J$1,'2_land_use'!$1:$1,0))</f>
        <v>0</v>
      </c>
      <c r="K329">
        <f>INDEX('2_land_use'!$1:$343,MATCH($A329,'2_land_use'!$A:$A,0),MATCH(K$1,'2_land_use'!$1:$1,0))</f>
        <v>1.0097651862316158E-3</v>
      </c>
      <c r="L329">
        <f>INDEX('7_biomass'!$1:$343,MATCH($A329,'7_biomass'!$A:$A,0),MATCH(L$1,'7_biomass'!$1:$1,0))</f>
        <v>9.2237971860069559E-2</v>
      </c>
      <c r="M329">
        <f>INDEX('7_biomass'!$1:$343,MATCH($A329,'7_biomass'!$A:$A,0),MATCH(M$1,'7_biomass'!$1:$1,0))</f>
        <v>7.8550005349290186E-2</v>
      </c>
      <c r="N329">
        <f>INDEX('7_biomass'!$1:$343,MATCH($A329,'7_biomass'!$A:$A,0),MATCH(N$1,'7_biomass'!$1:$1,0))</f>
        <v>7.9991723258251868E-3</v>
      </c>
      <c r="O329">
        <f>INDEX('4_number_of_transport'!$1:$343,MATCH($A329,'4_number_of_transport'!$A:$A,0),MATCH(O$1,'4_number_of_transport'!$1:$1,0))</f>
        <v>7079</v>
      </c>
      <c r="P329">
        <f>INDEX('2_land_use'!$1:$343,MATCH($A329,'2_land_use'!$A:$A,0),MATCH(P$1,'2_land_use'!$1:$1,0))</f>
        <v>36.521839908104205</v>
      </c>
      <c r="Q329">
        <f>INDEX('2_land_use'!$1:$343,MATCH($A329,'2_land_use'!$A:$A,0),MATCH(Q$1,'2_land_use'!$1:$1,0))</f>
        <v>0</v>
      </c>
      <c r="R329">
        <f>INDEX('6_roof_surface'!$1:$343,MATCH($A329,'6_roof_surface'!$A:$A,0),MATCH(R$1,'6_roof_surface'!$1:$1,0))</f>
        <v>0.44202799999999998</v>
      </c>
      <c r="S329">
        <f>INDEX('6_roof_surface'!$1:$343,MATCH($A329,'6_roof_surface'!$A:$A,0),MATCH(S$1,'6_roof_surface'!$1:$1,0))</f>
        <v>0.59681700000000004</v>
      </c>
    </row>
    <row r="330" spans="1:19" x14ac:dyDescent="0.2">
      <c r="A330" t="s">
        <v>330</v>
      </c>
      <c r="B330" t="str">
        <f>INDEX(CBS_gemeenten_alfabetisch_2023!$B:$B,MATCH($A330,CBS_gemeenten_alfabetisch_2023!$A:$A,0))</f>
        <v>Zaanstad</v>
      </c>
      <c r="C330">
        <f>INDEX('5_train_share_nl'!$1:$343,MATCH($A330,'5_train_share_nl'!$A:$A,0),MATCH(C$1,'5_train_share_nl'!$1:$1,0))</f>
        <v>1.533983927203179E-2</v>
      </c>
      <c r="D330">
        <f>INDEX('3_has_tram_metro'!$1:$343,MATCH($A330,'3_has_tram_metro'!$A:$A,0),MATCH(D$1,'3_has_tram_metro'!$1:$1,0))</f>
        <v>0</v>
      </c>
      <c r="E330">
        <f>INDEX('1_buildings_total'!$1:$343,MATCH($A330,'1_buildings_total'!$A:$A,0),MATCH(E$1,'1_buildings_total'!$1:$1,0))</f>
        <v>6921.7013846153814</v>
      </c>
      <c r="F330">
        <f>INDEX('2_land_use'!$1:$343,MATCH($A330,'2_land_use'!$A:$A,0),MATCH(F$1,'2_land_use'!$1:$1,0))</f>
        <v>35.943576317213264</v>
      </c>
      <c r="G330">
        <f>INDEX('4_number_of_transport'!$1:$343,MATCH($A330,'4_number_of_transport'!$A:$A,0),MATCH(G$1,'4_number_of_transport'!$1:$1,0))</f>
        <v>6995</v>
      </c>
      <c r="H330">
        <f>INDEX('4_number_of_transport'!$1:$343,MATCH($A330,'4_number_of_transport'!$A:$A,0),MATCH(H$1,'4_number_of_transport'!$1:$1,0))</f>
        <v>263</v>
      </c>
      <c r="I330">
        <f>INDEX('4_number_of_transport'!$1:$343,MATCH($A330,'4_number_of_transport'!$A:$A,0),MATCH(I$1,'4_number_of_transport'!$1:$1,0))</f>
        <v>67</v>
      </c>
      <c r="J330">
        <f>INDEX('2_land_use'!$1:$343,MATCH($A330,'2_land_use'!$A:$A,0),MATCH(J$1,'2_land_use'!$1:$1,0))</f>
        <v>5.5748341125544474E-4</v>
      </c>
      <c r="K330">
        <f>INDEX('2_land_use'!$1:$343,MATCH($A330,'2_land_use'!$A:$A,0),MATCH(K$1,'2_land_use'!$1:$1,0))</f>
        <v>1.6114967222040188E-3</v>
      </c>
      <c r="L330">
        <f>INDEX('7_biomass'!$1:$343,MATCH($A330,'7_biomass'!$A:$A,0),MATCH(L$1,'7_biomass'!$1:$1,0))</f>
        <v>0.41440154810121577</v>
      </c>
      <c r="M330">
        <f>INDEX('7_biomass'!$1:$343,MATCH($A330,'7_biomass'!$A:$A,0),MATCH(M$1,'7_biomass'!$1:$1,0))</f>
        <v>0.40291005875710656</v>
      </c>
      <c r="N330">
        <f>INDEX('7_biomass'!$1:$343,MATCH($A330,'7_biomass'!$A:$A,0),MATCH(N$1,'7_biomass'!$1:$1,0))</f>
        <v>9.4709933010121469E-2</v>
      </c>
      <c r="O330">
        <f>INDEX('4_number_of_transport'!$1:$343,MATCH($A330,'4_number_of_transport'!$A:$A,0),MATCH(O$1,'4_number_of_transport'!$1:$1,0))</f>
        <v>68201</v>
      </c>
      <c r="P330">
        <f>INDEX('2_land_use'!$1:$343,MATCH($A330,'2_land_use'!$A:$A,0),MATCH(P$1,'2_land_use'!$1:$1,0))</f>
        <v>73.740614898965731</v>
      </c>
      <c r="Q330">
        <f>INDEX('2_land_use'!$1:$343,MATCH($A330,'2_land_use'!$A:$A,0),MATCH(Q$1,'2_land_use'!$1:$1,0))</f>
        <v>0</v>
      </c>
      <c r="R330">
        <f>INDEX('6_roof_surface'!$1:$343,MATCH($A330,'6_roof_surface'!$A:$A,0),MATCH(R$1,'6_roof_surface'!$1:$1,0))</f>
        <v>3.4989309999999998</v>
      </c>
      <c r="S330">
        <f>INDEX('6_roof_surface'!$1:$343,MATCH($A330,'6_roof_surface'!$A:$A,0),MATCH(S$1,'6_roof_surface'!$1:$1,0))</f>
        <v>3.6957659999999999</v>
      </c>
    </row>
    <row r="331" spans="1:19" x14ac:dyDescent="0.2">
      <c r="A331" t="s">
        <v>331</v>
      </c>
      <c r="B331" t="str">
        <f>INDEX(CBS_gemeenten_alfabetisch_2023!$B:$B,MATCH($A331,CBS_gemeenten_alfabetisch_2023!$A:$A,0))</f>
        <v>Zaltbommel</v>
      </c>
      <c r="C331">
        <f>INDEX('5_train_share_nl'!$1:$343,MATCH($A331,'5_train_share_nl'!$A:$A,0),MATCH(C$1,'5_train_share_nl'!$1:$1,0))</f>
        <v>1.2956440305141592E-3</v>
      </c>
      <c r="D331">
        <f>INDEX('3_has_tram_metro'!$1:$343,MATCH($A331,'3_has_tram_metro'!$A:$A,0),MATCH(D$1,'3_has_tram_metro'!$1:$1,0))</f>
        <v>0</v>
      </c>
      <c r="E331">
        <f>INDEX('1_buildings_total'!$1:$343,MATCH($A331,'1_buildings_total'!$A:$A,0),MATCH(E$1,'1_buildings_total'!$1:$1,0))</f>
        <v>8030.8012307692297</v>
      </c>
      <c r="F331">
        <f>INDEX('2_land_use'!$1:$343,MATCH($A331,'2_land_use'!$A:$A,0),MATCH(F$1,'2_land_use'!$1:$1,0))</f>
        <v>59.471175130713945</v>
      </c>
      <c r="G331">
        <f>INDEX('4_number_of_transport'!$1:$343,MATCH($A331,'4_number_of_transport'!$A:$A,0),MATCH(G$1,'4_number_of_transport'!$1:$1,0))</f>
        <v>2498</v>
      </c>
      <c r="H331">
        <f>INDEX('4_number_of_transport'!$1:$343,MATCH($A331,'4_number_of_transport'!$A:$A,0),MATCH(H$1,'4_number_of_transport'!$1:$1,0))</f>
        <v>252</v>
      </c>
      <c r="I331">
        <f>INDEX('4_number_of_transport'!$1:$343,MATCH($A331,'4_number_of_transport'!$A:$A,0),MATCH(I$1,'4_number_of_transport'!$1:$1,0))</f>
        <v>2</v>
      </c>
      <c r="J331">
        <f>INDEX('2_land_use'!$1:$343,MATCH($A331,'2_land_use'!$A:$A,0),MATCH(J$1,'2_land_use'!$1:$1,0))</f>
        <v>2.5089957627346275E-2</v>
      </c>
      <c r="K331">
        <f>INDEX('2_land_use'!$1:$343,MATCH($A331,'2_land_use'!$A:$A,0),MATCH(K$1,'2_land_use'!$1:$1,0))</f>
        <v>2.6663346725147759E-3</v>
      </c>
      <c r="L331">
        <f>INDEX('7_biomass'!$1:$343,MATCH($A331,'7_biomass'!$A:$A,0),MATCH(L$1,'7_biomass'!$1:$1,0))</f>
        <v>0.1922717761494673</v>
      </c>
      <c r="M331">
        <f>INDEX('7_biomass'!$1:$343,MATCH($A331,'7_biomass'!$A:$A,0),MATCH(M$1,'7_biomass'!$1:$1,0))</f>
        <v>0.10976380978110845</v>
      </c>
      <c r="N331">
        <f>INDEX('7_biomass'!$1:$343,MATCH($A331,'7_biomass'!$A:$A,0),MATCH(N$1,'7_biomass'!$1:$1,0))</f>
        <v>1.7285770305487801E-2</v>
      </c>
      <c r="O331">
        <f>INDEX('4_number_of_transport'!$1:$343,MATCH($A331,'4_number_of_transport'!$A:$A,0),MATCH(O$1,'4_number_of_transport'!$1:$1,0))</f>
        <v>15940</v>
      </c>
      <c r="P331">
        <f>INDEX('2_land_use'!$1:$343,MATCH($A331,'2_land_use'!$A:$A,0),MATCH(P$1,'2_land_use'!$1:$1,0))</f>
        <v>78.649633474631059</v>
      </c>
      <c r="Q331">
        <f>INDEX('2_land_use'!$1:$343,MATCH($A331,'2_land_use'!$A:$A,0),MATCH(Q$1,'2_land_use'!$1:$1,0))</f>
        <v>0</v>
      </c>
      <c r="R331">
        <f>INDEX('6_roof_surface'!$1:$343,MATCH($A331,'6_roof_surface'!$A:$A,0),MATCH(R$1,'6_roof_surface'!$1:$1,0))</f>
        <v>1.736221</v>
      </c>
      <c r="S331">
        <f>INDEX('6_roof_surface'!$1:$343,MATCH($A331,'6_roof_surface'!$A:$A,0),MATCH(S$1,'6_roof_surface'!$1:$1,0))</f>
        <v>4.5430840000000003</v>
      </c>
    </row>
    <row r="332" spans="1:19" x14ac:dyDescent="0.2">
      <c r="A332" t="s">
        <v>332</v>
      </c>
      <c r="B332" t="str">
        <f>INDEX(CBS_gemeenten_alfabetisch_2023!$B:$B,MATCH($A332,CBS_gemeenten_alfabetisch_2023!$A:$A,0))</f>
        <v>Zandvoort</v>
      </c>
      <c r="C332">
        <f>INDEX('5_train_share_nl'!$1:$343,MATCH($A332,'5_train_share_nl'!$A:$A,0),MATCH(C$1,'5_train_share_nl'!$1:$1,0))</f>
        <v>2.1683822466673397E-3</v>
      </c>
      <c r="D332">
        <f>INDEX('3_has_tram_metro'!$1:$343,MATCH($A332,'3_has_tram_metro'!$A:$A,0),MATCH(D$1,'3_has_tram_metro'!$1:$1,0))</f>
        <v>0</v>
      </c>
      <c r="E332">
        <f>INDEX('1_buildings_total'!$1:$343,MATCH($A332,'1_buildings_total'!$A:$A,0),MATCH(E$1,'1_buildings_total'!$1:$1,0))</f>
        <v>1706.3989230769232</v>
      </c>
      <c r="F332">
        <f>INDEX('2_land_use'!$1:$343,MATCH($A332,'2_land_use'!$A:$A,0),MATCH(F$1,'2_land_use'!$1:$1,0))</f>
        <v>0.10588171661845099</v>
      </c>
      <c r="G332">
        <f>INDEX('4_number_of_transport'!$1:$343,MATCH($A332,'4_number_of_transport'!$A:$A,0),MATCH(G$1,'4_number_of_transport'!$1:$1,0))</f>
        <v>667</v>
      </c>
      <c r="H332">
        <f>INDEX('4_number_of_transport'!$1:$343,MATCH($A332,'4_number_of_transport'!$A:$A,0),MATCH(H$1,'4_number_of_transport'!$1:$1,0))</f>
        <v>14</v>
      </c>
      <c r="I332">
        <f>INDEX('4_number_of_transport'!$1:$343,MATCH($A332,'4_number_of_transport'!$A:$A,0),MATCH(I$1,'4_number_of_transport'!$1:$1,0))</f>
        <v>1</v>
      </c>
      <c r="J332">
        <f>INDEX('2_land_use'!$1:$343,MATCH($A332,'2_land_use'!$A:$A,0),MATCH(J$1,'2_land_use'!$1:$1,0))</f>
        <v>0</v>
      </c>
      <c r="K332">
        <f>INDEX('2_land_use'!$1:$343,MATCH($A332,'2_land_use'!$A:$A,0),MATCH(K$1,'2_land_use'!$1:$1,0))</f>
        <v>4.7471080163566069E-6</v>
      </c>
      <c r="L332">
        <f>INDEX('7_biomass'!$1:$343,MATCH($A332,'7_biomass'!$A:$A,0),MATCH(L$1,'7_biomass'!$1:$1,0))</f>
        <v>4.8425032322908797E-2</v>
      </c>
      <c r="M332">
        <f>INDEX('7_biomass'!$1:$343,MATCH($A332,'7_biomass'!$A:$A,0),MATCH(M$1,'7_biomass'!$1:$1,0))</f>
        <v>4.5680433805227405E-2</v>
      </c>
      <c r="N332">
        <f>INDEX('7_biomass'!$1:$343,MATCH($A332,'7_biomass'!$A:$A,0),MATCH(N$1,'7_biomass'!$1:$1,0))</f>
        <v>1.0335251438144634E-2</v>
      </c>
      <c r="O332">
        <f>INDEX('4_number_of_transport'!$1:$343,MATCH($A332,'4_number_of_transport'!$A:$A,0),MATCH(O$1,'4_number_of_transport'!$1:$1,0))</f>
        <v>8059</v>
      </c>
      <c r="P332">
        <f>INDEX('2_land_use'!$1:$343,MATCH($A332,'2_land_use'!$A:$A,0),MATCH(P$1,'2_land_use'!$1:$1,0))</f>
        <v>32.078735042693069</v>
      </c>
      <c r="Q332">
        <f>INDEX('2_land_use'!$1:$343,MATCH($A332,'2_land_use'!$A:$A,0),MATCH(Q$1,'2_land_use'!$1:$1,0))</f>
        <v>10.227055795381215</v>
      </c>
      <c r="R332">
        <f>INDEX('6_roof_surface'!$1:$343,MATCH($A332,'6_roof_surface'!$A:$A,0),MATCH(R$1,'6_roof_surface'!$1:$1,0))</f>
        <v>0.52454999999999996</v>
      </c>
      <c r="S332">
        <f>INDEX('6_roof_surface'!$1:$343,MATCH($A332,'6_roof_surface'!$A:$A,0),MATCH(S$1,'6_roof_surface'!$1:$1,0))</f>
        <v>0.215479</v>
      </c>
    </row>
    <row r="333" spans="1:19" x14ac:dyDescent="0.2">
      <c r="A333" t="s">
        <v>333</v>
      </c>
      <c r="B333" t="str">
        <f>INDEX(CBS_gemeenten_alfabetisch_2023!$B:$B,MATCH($A333,CBS_gemeenten_alfabetisch_2023!$A:$A,0))</f>
        <v>Zeewolde</v>
      </c>
      <c r="C333">
        <f>INDEX('5_train_share_nl'!$1:$343,MATCH($A333,'5_train_share_nl'!$A:$A,0),MATCH(C$1,'5_train_share_nl'!$1:$1,0))</f>
        <v>0</v>
      </c>
      <c r="D333">
        <f>INDEX('3_has_tram_metro'!$1:$343,MATCH($A333,'3_has_tram_metro'!$A:$A,0),MATCH(D$1,'3_has_tram_metro'!$1:$1,0))</f>
        <v>0</v>
      </c>
      <c r="E333">
        <f>INDEX('1_buildings_total'!$1:$343,MATCH($A333,'1_buildings_total'!$A:$A,0),MATCH(E$1,'1_buildings_total'!$1:$1,0))</f>
        <v>2519.6305384615389</v>
      </c>
      <c r="F333">
        <f>INDEX('2_land_use'!$1:$343,MATCH($A333,'2_land_use'!$A:$A,0),MATCH(F$1,'2_land_use'!$1:$1,0))</f>
        <v>173.07825623075408</v>
      </c>
      <c r="G333">
        <f>INDEX('4_number_of_transport'!$1:$343,MATCH($A333,'4_number_of_transport'!$A:$A,0),MATCH(G$1,'4_number_of_transport'!$1:$1,0))</f>
        <v>1430</v>
      </c>
      <c r="H333">
        <f>INDEX('4_number_of_transport'!$1:$343,MATCH($A333,'4_number_of_transport'!$A:$A,0),MATCH(H$1,'4_number_of_transport'!$1:$1,0))</f>
        <v>98</v>
      </c>
      <c r="I333">
        <f>INDEX('4_number_of_transport'!$1:$343,MATCH($A333,'4_number_of_transport'!$A:$A,0),MATCH(I$1,'4_number_of_transport'!$1:$1,0))</f>
        <v>0</v>
      </c>
      <c r="J333">
        <f>INDEX('2_land_use'!$1:$343,MATCH($A333,'2_land_use'!$A:$A,0),MATCH(J$1,'2_land_use'!$1:$1,0))</f>
        <v>1.1355477828462859E-4</v>
      </c>
      <c r="K333">
        <f>INDEX('2_land_use'!$1:$343,MATCH($A333,'2_land_use'!$A:$A,0),MATCH(K$1,'2_land_use'!$1:$1,0))</f>
        <v>7.7598022005138092E-3</v>
      </c>
      <c r="L333">
        <f>INDEX('7_biomass'!$1:$343,MATCH($A333,'7_biomass'!$A:$A,0),MATCH(L$1,'7_biomass'!$1:$1,0))</f>
        <v>0.95988297144060186</v>
      </c>
      <c r="M333">
        <f>INDEX('7_biomass'!$1:$343,MATCH($A333,'7_biomass'!$A:$A,0),MATCH(M$1,'7_biomass'!$1:$1,0))</f>
        <v>0.21913421795011825</v>
      </c>
      <c r="N333">
        <f>INDEX('7_biomass'!$1:$343,MATCH($A333,'7_biomass'!$A:$A,0),MATCH(N$1,'7_biomass'!$1:$1,0))</f>
        <v>1.3554119354157231E-2</v>
      </c>
      <c r="O333">
        <f>INDEX('4_number_of_transport'!$1:$343,MATCH($A333,'4_number_of_transport'!$A:$A,0),MATCH(O$1,'4_number_of_transport'!$1:$1,0))</f>
        <v>12579</v>
      </c>
      <c r="P333">
        <f>INDEX('2_land_use'!$1:$343,MATCH($A333,'2_land_use'!$A:$A,0),MATCH(P$1,'2_land_use'!$1:$1,0))</f>
        <v>247.10788859716894</v>
      </c>
      <c r="Q333">
        <f>INDEX('2_land_use'!$1:$343,MATCH($A333,'2_land_use'!$A:$A,0),MATCH(Q$1,'2_land_use'!$1:$1,0))</f>
        <v>0</v>
      </c>
      <c r="R333">
        <f>INDEX('6_roof_surface'!$1:$343,MATCH($A333,'6_roof_surface'!$A:$A,0),MATCH(R$1,'6_roof_surface'!$1:$1,0))</f>
        <v>0.66305400000000003</v>
      </c>
      <c r="S333">
        <f>INDEX('6_roof_surface'!$1:$343,MATCH($A333,'6_roof_surface'!$A:$A,0),MATCH(S$1,'6_roof_surface'!$1:$1,0))</f>
        <v>1.802805</v>
      </c>
    </row>
    <row r="334" spans="1:19" x14ac:dyDescent="0.2">
      <c r="A334" t="s">
        <v>334</v>
      </c>
      <c r="B334" t="str">
        <f>INDEX(CBS_gemeenten_alfabetisch_2023!$B:$B,MATCH($A334,CBS_gemeenten_alfabetisch_2023!$A:$A,0))</f>
        <v>Zeist</v>
      </c>
      <c r="C334">
        <f>INDEX('5_train_share_nl'!$1:$343,MATCH($A334,'5_train_share_nl'!$A:$A,0),MATCH(C$1,'5_train_share_nl'!$1:$1,0))</f>
        <v>7.0603096161575367E-4</v>
      </c>
      <c r="D334">
        <f>INDEX('3_has_tram_metro'!$1:$343,MATCH($A334,'3_has_tram_metro'!$A:$A,0),MATCH(D$1,'3_has_tram_metro'!$1:$1,0))</f>
        <v>0</v>
      </c>
      <c r="E334">
        <f>INDEX('1_buildings_total'!$1:$343,MATCH($A334,'1_buildings_total'!$A:$A,0),MATCH(E$1,'1_buildings_total'!$1:$1,0))</f>
        <v>4910.8412307692315</v>
      </c>
      <c r="F334">
        <f>INDEX('2_land_use'!$1:$343,MATCH($A334,'2_land_use'!$A:$A,0),MATCH(F$1,'2_land_use'!$1:$1,0))</f>
        <v>5.9056044434414581</v>
      </c>
      <c r="G334">
        <f>INDEX('4_number_of_transport'!$1:$343,MATCH($A334,'4_number_of_transport'!$A:$A,0),MATCH(G$1,'4_number_of_transport'!$1:$1,0))</f>
        <v>2351</v>
      </c>
      <c r="H334">
        <f>INDEX('4_number_of_transport'!$1:$343,MATCH($A334,'4_number_of_transport'!$A:$A,0),MATCH(H$1,'4_number_of_transport'!$1:$1,0))</f>
        <v>47</v>
      </c>
      <c r="I334">
        <f>INDEX('4_number_of_transport'!$1:$343,MATCH($A334,'4_number_of_transport'!$A:$A,0),MATCH(I$1,'4_number_of_transport'!$1:$1,0))</f>
        <v>1</v>
      </c>
      <c r="J334">
        <f>INDEX('2_land_use'!$1:$343,MATCH($A334,'2_land_use'!$A:$A,0),MATCH(J$1,'2_land_use'!$1:$1,0))</f>
        <v>0</v>
      </c>
      <c r="K334">
        <f>INDEX('2_land_use'!$1:$343,MATCH($A334,'2_land_use'!$A:$A,0),MATCH(K$1,'2_land_use'!$1:$1,0))</f>
        <v>2.647722674908619E-4</v>
      </c>
      <c r="L334">
        <f>INDEX('7_biomass'!$1:$343,MATCH($A334,'7_biomass'!$A:$A,0),MATCH(L$1,'7_biomass'!$1:$1,0))</f>
        <v>0.13034040206490957</v>
      </c>
      <c r="M334">
        <f>INDEX('7_biomass'!$1:$343,MATCH($A334,'7_biomass'!$A:$A,0),MATCH(M$1,'7_biomass'!$1:$1,0))</f>
        <v>0.18526710394707041</v>
      </c>
      <c r="N334">
        <f>INDEX('7_biomass'!$1:$343,MATCH($A334,'7_biomass'!$A:$A,0),MATCH(N$1,'7_biomass'!$1:$1,0))</f>
        <v>3.8843922488174656E-2</v>
      </c>
      <c r="O334">
        <f>INDEX('4_number_of_transport'!$1:$343,MATCH($A334,'4_number_of_transport'!$A:$A,0),MATCH(O$1,'4_number_of_transport'!$1:$1,0))</f>
        <v>32370</v>
      </c>
      <c r="P334">
        <f>INDEX('2_land_use'!$1:$343,MATCH($A334,'2_land_use'!$A:$A,0),MATCH(P$1,'2_land_use'!$1:$1,0))</f>
        <v>48.50066542818513</v>
      </c>
      <c r="Q334">
        <f>INDEX('2_land_use'!$1:$343,MATCH($A334,'2_land_use'!$A:$A,0),MATCH(Q$1,'2_land_use'!$1:$1,0))</f>
        <v>0</v>
      </c>
      <c r="R334">
        <f>INDEX('6_roof_surface'!$1:$343,MATCH($A334,'6_roof_surface'!$A:$A,0),MATCH(R$1,'6_roof_surface'!$1:$1,0))</f>
        <v>1.821482</v>
      </c>
      <c r="S334">
        <f>INDEX('6_roof_surface'!$1:$343,MATCH($A334,'6_roof_surface'!$A:$A,0),MATCH(S$1,'6_roof_surface'!$1:$1,0))</f>
        <v>1.2407459999999999</v>
      </c>
    </row>
    <row r="335" spans="1:19" x14ac:dyDescent="0.2">
      <c r="A335" t="s">
        <v>335</v>
      </c>
      <c r="B335" t="str">
        <f>INDEX(CBS_gemeenten_alfabetisch_2023!$B:$B,MATCH($A335,CBS_gemeenten_alfabetisch_2023!$A:$A,0))</f>
        <v>Zevenaar</v>
      </c>
      <c r="C335">
        <f>INDEX('5_train_share_nl'!$1:$343,MATCH($A335,'5_train_share_nl'!$A:$A,0),MATCH(C$1,'5_train_share_nl'!$1:$1,0))</f>
        <v>1.441760365251239E-3</v>
      </c>
      <c r="D335">
        <f>INDEX('3_has_tram_metro'!$1:$343,MATCH($A335,'3_has_tram_metro'!$A:$A,0),MATCH(D$1,'3_has_tram_metro'!$1:$1,0))</f>
        <v>0</v>
      </c>
      <c r="E335">
        <f>INDEX('1_buildings_total'!$1:$343,MATCH($A335,'1_buildings_total'!$A:$A,0),MATCH(E$1,'1_buildings_total'!$1:$1,0))</f>
        <v>2716.5984615384618</v>
      </c>
      <c r="F335">
        <f>INDEX('2_land_use'!$1:$343,MATCH($A335,'2_land_use'!$A:$A,0),MATCH(F$1,'2_land_use'!$1:$1,0))</f>
        <v>67.887294677694527</v>
      </c>
      <c r="G335">
        <f>INDEX('4_number_of_transport'!$1:$343,MATCH($A335,'4_number_of_transport'!$A:$A,0),MATCH(G$1,'4_number_of_transport'!$1:$1,0))</f>
        <v>2309</v>
      </c>
      <c r="H335">
        <f>INDEX('4_number_of_transport'!$1:$343,MATCH($A335,'4_number_of_transport'!$A:$A,0),MATCH(H$1,'4_number_of_transport'!$1:$1,0))</f>
        <v>106</v>
      </c>
      <c r="I335">
        <f>INDEX('4_number_of_transport'!$1:$343,MATCH($A335,'4_number_of_transport'!$A:$A,0),MATCH(I$1,'4_number_of_transport'!$1:$1,0))</f>
        <v>2</v>
      </c>
      <c r="J335">
        <f>INDEX('2_land_use'!$1:$343,MATCH($A335,'2_land_use'!$A:$A,0),MATCH(J$1,'2_land_use'!$1:$1,0))</f>
        <v>3.1412449661522886E-4</v>
      </c>
      <c r="K335">
        <f>INDEX('2_land_use'!$1:$343,MATCH($A335,'2_land_use'!$A:$A,0),MATCH(K$1,'2_land_use'!$1:$1,0))</f>
        <v>3.0436635432966553E-3</v>
      </c>
      <c r="L335">
        <f>INDEX('7_biomass'!$1:$343,MATCH($A335,'7_biomass'!$A:$A,0),MATCH(L$1,'7_biomass'!$1:$1,0))</f>
        <v>0.23590442136792483</v>
      </c>
      <c r="M335">
        <f>INDEX('7_biomass'!$1:$343,MATCH($A335,'7_biomass'!$A:$A,0),MATCH(M$1,'7_biomass'!$1:$1,0))</f>
        <v>0.13792457106197997</v>
      </c>
      <c r="N335">
        <f>INDEX('7_biomass'!$1:$343,MATCH($A335,'7_biomass'!$A:$A,0),MATCH(N$1,'7_biomass'!$1:$1,0))</f>
        <v>2.6421692701312907E-2</v>
      </c>
      <c r="O335">
        <f>INDEX('4_number_of_transport'!$1:$343,MATCH($A335,'4_number_of_transport'!$A:$A,0),MATCH(O$1,'4_number_of_transport'!$1:$1,0))</f>
        <v>24878</v>
      </c>
      <c r="P335">
        <f>INDEX('2_land_use'!$1:$343,MATCH($A335,'2_land_use'!$A:$A,0),MATCH(P$1,'2_land_use'!$1:$1,0))</f>
        <v>92.617458208151817</v>
      </c>
      <c r="Q335">
        <f>INDEX('2_land_use'!$1:$343,MATCH($A335,'2_land_use'!$A:$A,0),MATCH(Q$1,'2_land_use'!$1:$1,0))</f>
        <v>0</v>
      </c>
      <c r="R335">
        <f>INDEX('6_roof_surface'!$1:$343,MATCH($A335,'6_roof_surface'!$A:$A,0),MATCH(R$1,'6_roof_surface'!$1:$1,0))</f>
        <v>1.6461129999999999</v>
      </c>
      <c r="S335">
        <f>INDEX('6_roof_surface'!$1:$343,MATCH($A335,'6_roof_surface'!$A:$A,0),MATCH(S$1,'6_roof_surface'!$1:$1,0))</f>
        <v>1.7651809999999999</v>
      </c>
    </row>
    <row r="336" spans="1:19" x14ac:dyDescent="0.2">
      <c r="A336" t="s">
        <v>336</v>
      </c>
      <c r="B336" t="str">
        <f>INDEX(CBS_gemeenten_alfabetisch_2023!$B:$B,MATCH($A336,CBS_gemeenten_alfabetisch_2023!$A:$A,0))</f>
        <v>Zoetermeer</v>
      </c>
      <c r="C336">
        <f>INDEX('5_train_share_nl'!$1:$343,MATCH($A336,'5_train_share_nl'!$A:$A,0),MATCH(C$1,'5_train_share_nl'!$1:$1,0))</f>
        <v>2.5413946784351694E-3</v>
      </c>
      <c r="D336">
        <f>INDEX('3_has_tram_metro'!$1:$343,MATCH($A336,'3_has_tram_metro'!$A:$A,0),MATCH(D$1,'3_has_tram_metro'!$1:$1,0))</f>
        <v>1</v>
      </c>
      <c r="E336">
        <f>INDEX('1_buildings_total'!$1:$343,MATCH($A336,'1_buildings_total'!$A:$A,0),MATCH(E$1,'1_buildings_total'!$1:$1,0))</f>
        <v>5736.3126153846133</v>
      </c>
      <c r="F336">
        <f>INDEX('2_land_use'!$1:$343,MATCH($A336,'2_land_use'!$A:$A,0),MATCH(F$1,'2_land_use'!$1:$1,0))</f>
        <v>7.0123472418291701</v>
      </c>
      <c r="G336">
        <f>INDEX('4_number_of_transport'!$1:$343,MATCH($A336,'4_number_of_transport'!$A:$A,0),MATCH(G$1,'4_number_of_transport'!$1:$1,0))</f>
        <v>3648</v>
      </c>
      <c r="H336">
        <f>INDEX('4_number_of_transport'!$1:$343,MATCH($A336,'4_number_of_transport'!$A:$A,0),MATCH(H$1,'4_number_of_transport'!$1:$1,0))</f>
        <v>184</v>
      </c>
      <c r="I336">
        <f>INDEX('4_number_of_transport'!$1:$343,MATCH($A336,'4_number_of_transport'!$A:$A,0),MATCH(I$1,'4_number_of_transport'!$1:$1,0))</f>
        <v>16</v>
      </c>
      <c r="J336">
        <f>INDEX('2_land_use'!$1:$343,MATCH($A336,'2_land_use'!$A:$A,0),MATCH(J$1,'2_land_use'!$1:$1,0))</f>
        <v>3.4067701868579124E-6</v>
      </c>
      <c r="K336">
        <f>INDEX('2_land_use'!$1:$343,MATCH($A336,'2_land_use'!$A:$A,0),MATCH(K$1,'2_land_use'!$1:$1,0))</f>
        <v>3.1439204867748195E-4</v>
      </c>
      <c r="L336">
        <f>INDEX('7_biomass'!$1:$343,MATCH($A336,'7_biomass'!$A:$A,0),MATCH(L$1,'7_biomass'!$1:$1,0))</f>
        <v>0.23916678173984077</v>
      </c>
      <c r="M336">
        <f>INDEX('7_biomass'!$1:$343,MATCH($A336,'7_biomass'!$A:$A,0),MATCH(M$1,'7_biomass'!$1:$1,0))</f>
        <v>0.33546460945697021</v>
      </c>
      <c r="N336">
        <f>INDEX('7_biomass'!$1:$343,MATCH($A336,'7_biomass'!$A:$A,0),MATCH(N$1,'7_biomass'!$1:$1,0))</f>
        <v>7.5911331237878035E-2</v>
      </c>
      <c r="O336">
        <f>INDEX('4_number_of_transport'!$1:$343,MATCH($A336,'4_number_of_transport'!$A:$A,0),MATCH(O$1,'4_number_of_transport'!$1:$1,0))</f>
        <v>58492</v>
      </c>
      <c r="P336">
        <f>INDEX('2_land_use'!$1:$343,MATCH($A336,'2_land_use'!$A:$A,0),MATCH(P$1,'2_land_use'!$1:$1,0))</f>
        <v>34.429411935612272</v>
      </c>
      <c r="Q336">
        <f>INDEX('2_land_use'!$1:$343,MATCH($A336,'2_land_use'!$A:$A,0),MATCH(Q$1,'2_land_use'!$1:$1,0))</f>
        <v>0</v>
      </c>
      <c r="R336">
        <f>INDEX('6_roof_surface'!$1:$343,MATCH($A336,'6_roof_surface'!$A:$A,0),MATCH(R$1,'6_roof_surface'!$1:$1,0))</f>
        <v>2.6505030000000001</v>
      </c>
      <c r="S336">
        <f>INDEX('6_roof_surface'!$1:$343,MATCH($A336,'6_roof_surface'!$A:$A,0),MATCH(S$1,'6_roof_surface'!$1:$1,0))</f>
        <v>1.8827339999999999</v>
      </c>
    </row>
    <row r="337" spans="1:19" x14ac:dyDescent="0.2">
      <c r="A337" t="s">
        <v>337</v>
      </c>
      <c r="B337" t="str">
        <f>INDEX(CBS_gemeenten_alfabetisch_2023!$B:$B,MATCH($A337,CBS_gemeenten_alfabetisch_2023!$A:$A,0))</f>
        <v>Zoeterwoude</v>
      </c>
      <c r="C337">
        <f>INDEX('5_train_share_nl'!$1:$343,MATCH($A337,'5_train_share_nl'!$A:$A,0),MATCH(C$1,'5_train_share_nl'!$1:$1,0))</f>
        <v>0</v>
      </c>
      <c r="D337">
        <f>INDEX('3_has_tram_metro'!$1:$343,MATCH($A337,'3_has_tram_metro'!$A:$A,0),MATCH(D$1,'3_has_tram_metro'!$1:$1,0))</f>
        <v>0</v>
      </c>
      <c r="E337">
        <f>INDEX('1_buildings_total'!$1:$343,MATCH($A337,'1_buildings_total'!$A:$A,0),MATCH(E$1,'1_buildings_total'!$1:$1,0))</f>
        <v>630.71276923076925</v>
      </c>
      <c r="F337">
        <f>INDEX('2_land_use'!$1:$343,MATCH($A337,'2_land_use'!$A:$A,0),MATCH(F$1,'2_land_use'!$1:$1,0))</f>
        <v>17.504050345714013</v>
      </c>
      <c r="G337">
        <f>INDEX('4_number_of_transport'!$1:$343,MATCH($A337,'4_number_of_transport'!$A:$A,0),MATCH(G$1,'4_number_of_transport'!$1:$1,0))</f>
        <v>670</v>
      </c>
      <c r="H337">
        <f>INDEX('4_number_of_transport'!$1:$343,MATCH($A337,'4_number_of_transport'!$A:$A,0),MATCH(H$1,'4_number_of_transport'!$1:$1,0))</f>
        <v>62</v>
      </c>
      <c r="I337">
        <f>INDEX('4_number_of_transport'!$1:$343,MATCH($A337,'4_number_of_transport'!$A:$A,0),MATCH(I$1,'4_number_of_transport'!$1:$1,0))</f>
        <v>0</v>
      </c>
      <c r="J337">
        <f>INDEX('2_land_use'!$1:$343,MATCH($A337,'2_land_use'!$A:$A,0),MATCH(J$1,'2_land_use'!$1:$1,0))</f>
        <v>3.3815680448214897E-4</v>
      </c>
      <c r="K337">
        <f>INDEX('2_land_use'!$1:$343,MATCH($A337,'2_land_use'!$A:$A,0),MATCH(K$1,'2_land_use'!$1:$1,0))</f>
        <v>7.8477777248625287E-4</v>
      </c>
      <c r="L337">
        <f>INDEX('7_biomass'!$1:$343,MATCH($A337,'7_biomass'!$A:$A,0),MATCH(L$1,'7_biomass'!$1:$1,0))</f>
        <v>5.8928538141208492E-2</v>
      </c>
      <c r="M337">
        <f>INDEX('7_biomass'!$1:$343,MATCH($A337,'7_biomass'!$A:$A,0),MATCH(M$1,'7_biomass'!$1:$1,0))</f>
        <v>2.6889890990692271E-2</v>
      </c>
      <c r="N337">
        <f>INDEX('7_biomass'!$1:$343,MATCH($A337,'7_biomass'!$A:$A,0),MATCH(N$1,'7_biomass'!$1:$1,0))</f>
        <v>5.1339059815602942E-3</v>
      </c>
      <c r="O337">
        <f>INDEX('4_number_of_transport'!$1:$343,MATCH($A337,'4_number_of_transport'!$A:$A,0),MATCH(O$1,'4_number_of_transport'!$1:$1,0))</f>
        <v>4490</v>
      </c>
      <c r="P337">
        <f>INDEX('2_land_use'!$1:$343,MATCH($A337,'2_land_use'!$A:$A,0),MATCH(P$1,'2_land_use'!$1:$1,0))</f>
        <v>21.155302027283316</v>
      </c>
      <c r="Q337">
        <f>INDEX('2_land_use'!$1:$343,MATCH($A337,'2_land_use'!$A:$A,0),MATCH(Q$1,'2_land_use'!$1:$1,0))</f>
        <v>0</v>
      </c>
      <c r="R337">
        <f>INDEX('6_roof_surface'!$1:$343,MATCH($A337,'6_roof_surface'!$A:$A,0),MATCH(R$1,'6_roof_surface'!$1:$1,0))</f>
        <v>0.29071900000000001</v>
      </c>
      <c r="S337">
        <f>INDEX('6_roof_surface'!$1:$343,MATCH($A337,'6_roof_surface'!$A:$A,0),MATCH(S$1,'6_roof_surface'!$1:$1,0))</f>
        <v>0.64319400000000004</v>
      </c>
    </row>
    <row r="338" spans="1:19" x14ac:dyDescent="0.2">
      <c r="A338" t="s">
        <v>338</v>
      </c>
      <c r="B338" t="str">
        <f>INDEX(CBS_gemeenten_alfabetisch_2023!$B:$B,MATCH($A338,CBS_gemeenten_alfabetisch_2023!$A:$A,0))</f>
        <v>Zuidplas</v>
      </c>
      <c r="C338">
        <f>INDEX('5_train_share_nl'!$1:$343,MATCH($A338,'5_train_share_nl'!$A:$A,0),MATCH(C$1,'5_train_share_nl'!$1:$1,0))</f>
        <v>1.1348764643806786E-3</v>
      </c>
      <c r="D338">
        <f>INDEX('3_has_tram_metro'!$1:$343,MATCH($A338,'3_has_tram_metro'!$A:$A,0),MATCH(D$1,'3_has_tram_metro'!$1:$1,0))</f>
        <v>0</v>
      </c>
      <c r="E338">
        <f>INDEX('1_buildings_total'!$1:$343,MATCH($A338,'1_buildings_total'!$A:$A,0),MATCH(E$1,'1_buildings_total'!$1:$1,0))</f>
        <v>3056.6441538461531</v>
      </c>
      <c r="F338">
        <f>INDEX('2_land_use'!$1:$343,MATCH($A338,'2_land_use'!$A:$A,0),MATCH(F$1,'2_land_use'!$1:$1,0))</f>
        <v>41.035120228069154</v>
      </c>
      <c r="G338">
        <f>INDEX('4_number_of_transport'!$1:$343,MATCH($A338,'4_number_of_transport'!$A:$A,0),MATCH(G$1,'4_number_of_transport'!$1:$1,0))</f>
        <v>2877</v>
      </c>
      <c r="H338">
        <f>INDEX('4_number_of_transport'!$1:$343,MATCH($A338,'4_number_of_transport'!$A:$A,0),MATCH(H$1,'4_number_of_transport'!$1:$1,0))</f>
        <v>172</v>
      </c>
      <c r="I338">
        <f>INDEX('4_number_of_transport'!$1:$343,MATCH($A338,'4_number_of_transport'!$A:$A,0),MATCH(I$1,'4_number_of_transport'!$1:$1,0))</f>
        <v>4</v>
      </c>
      <c r="J338">
        <f>INDEX('2_land_use'!$1:$343,MATCH($A338,'2_land_use'!$A:$A,0),MATCH(J$1,'2_land_use'!$1:$1,0))</f>
        <v>2.6034767084697166E-2</v>
      </c>
      <c r="K338">
        <f>INDEX('2_land_use'!$1:$343,MATCH($A338,'2_land_use'!$A:$A,0),MATCH(K$1,'2_land_use'!$1:$1,0))</f>
        <v>1.8397713449318843E-3</v>
      </c>
      <c r="L338">
        <f>INDEX('7_biomass'!$1:$343,MATCH($A338,'7_biomass'!$A:$A,0),MATCH(L$1,'7_biomass'!$1:$1,0))</f>
        <v>0.19940224476204699</v>
      </c>
      <c r="M338">
        <f>INDEX('7_biomass'!$1:$343,MATCH($A338,'7_biomass'!$A:$A,0),MATCH(M$1,'7_biomass'!$1:$1,0))</f>
        <v>0.12412914043034312</v>
      </c>
      <c r="N338">
        <f>INDEX('7_biomass'!$1:$343,MATCH($A338,'7_biomass'!$A:$A,0),MATCH(N$1,'7_biomass'!$1:$1,0))</f>
        <v>2.5980602080885363E-2</v>
      </c>
      <c r="O338">
        <f>INDEX('4_number_of_transport'!$1:$343,MATCH($A338,'4_number_of_transport'!$A:$A,0),MATCH(O$1,'4_number_of_transport'!$1:$1,0))</f>
        <v>23432</v>
      </c>
      <c r="P338">
        <f>INDEX('2_land_use'!$1:$343,MATCH($A338,'2_land_use'!$A:$A,0),MATCH(P$1,'2_land_use'!$1:$1,0))</f>
        <v>57.956869085982227</v>
      </c>
      <c r="Q338">
        <f>INDEX('2_land_use'!$1:$343,MATCH($A338,'2_land_use'!$A:$A,0),MATCH(Q$1,'2_land_use'!$1:$1,0))</f>
        <v>0</v>
      </c>
      <c r="R338">
        <f>INDEX('6_roof_surface'!$1:$343,MATCH($A338,'6_roof_surface'!$A:$A,0),MATCH(R$1,'6_roof_surface'!$1:$1,0))</f>
        <v>1.2469600000000001</v>
      </c>
      <c r="S338">
        <f>INDEX('6_roof_surface'!$1:$343,MATCH($A338,'6_roof_surface'!$A:$A,0),MATCH(S$1,'6_roof_surface'!$1:$1,0))</f>
        <v>4.649076</v>
      </c>
    </row>
    <row r="339" spans="1:19" x14ac:dyDescent="0.2">
      <c r="A339" t="s">
        <v>339</v>
      </c>
      <c r="B339" t="str">
        <f>INDEX(CBS_gemeenten_alfabetisch_2023!$B:$B,MATCH($A339,CBS_gemeenten_alfabetisch_2023!$A:$A,0))</f>
        <v>Zundert</v>
      </c>
      <c r="C339">
        <f>INDEX('5_train_share_nl'!$1:$343,MATCH($A339,'5_train_share_nl'!$A:$A,0),MATCH(C$1,'5_train_share_nl'!$1:$1,0))</f>
        <v>0</v>
      </c>
      <c r="D339">
        <f>INDEX('3_has_tram_metro'!$1:$343,MATCH($A339,'3_has_tram_metro'!$A:$A,0),MATCH(D$1,'3_has_tram_metro'!$1:$1,0))</f>
        <v>0</v>
      </c>
      <c r="E339">
        <f>INDEX('1_buildings_total'!$1:$343,MATCH($A339,'1_buildings_total'!$A:$A,0),MATCH(E$1,'1_buildings_total'!$1:$1,0))</f>
        <v>2539.4899230769233</v>
      </c>
      <c r="F339">
        <f>INDEX('2_land_use'!$1:$343,MATCH($A339,'2_land_use'!$A:$A,0),MATCH(F$1,'2_land_use'!$1:$1,0))</f>
        <v>95.355703057432564</v>
      </c>
      <c r="G339">
        <f>INDEX('4_number_of_transport'!$1:$343,MATCH($A339,'4_number_of_transport'!$A:$A,0),MATCH(G$1,'4_number_of_transport'!$1:$1,0))</f>
        <v>1902</v>
      </c>
      <c r="H339">
        <f>INDEX('4_number_of_transport'!$1:$343,MATCH($A339,'4_number_of_transport'!$A:$A,0),MATCH(H$1,'4_number_of_transport'!$1:$1,0))</f>
        <v>135</v>
      </c>
      <c r="I339">
        <f>INDEX('4_number_of_transport'!$1:$343,MATCH($A339,'4_number_of_transport'!$A:$A,0),MATCH(I$1,'4_number_of_transport'!$1:$1,0))</f>
        <v>2</v>
      </c>
      <c r="J339">
        <f>INDEX('2_land_use'!$1:$343,MATCH($A339,'2_land_use'!$A:$A,0),MATCH(J$1,'2_land_use'!$1:$1,0))</f>
        <v>7.1038658351898409E-3</v>
      </c>
      <c r="K339">
        <f>INDEX('2_land_use'!$1:$343,MATCH($A339,'2_land_use'!$A:$A,0),MATCH(K$1,'2_land_use'!$1:$1,0))</f>
        <v>4.2751840152011377E-3</v>
      </c>
      <c r="L339">
        <f>INDEX('7_biomass'!$1:$343,MATCH($A339,'7_biomass'!$A:$A,0),MATCH(L$1,'7_biomass'!$1:$1,0))</f>
        <v>0.23790986770761996</v>
      </c>
      <c r="M339">
        <f>INDEX('7_biomass'!$1:$343,MATCH($A339,'7_biomass'!$A:$A,0),MATCH(M$1,'7_biomass'!$1:$1,0))</f>
        <v>0.1311710333033779</v>
      </c>
      <c r="N339">
        <f>INDEX('7_biomass'!$1:$343,MATCH($A339,'7_biomass'!$A:$A,0),MATCH(N$1,'7_biomass'!$1:$1,0))</f>
        <v>1.3130648056033263E-2</v>
      </c>
      <c r="O339">
        <f>INDEX('4_number_of_transport'!$1:$343,MATCH($A339,'4_number_of_transport'!$A:$A,0),MATCH(O$1,'4_number_of_transport'!$1:$1,0))</f>
        <v>13157</v>
      </c>
      <c r="P339">
        <f>INDEX('2_land_use'!$1:$343,MATCH($A339,'2_land_use'!$A:$A,0),MATCH(P$1,'2_land_use'!$1:$1,0))</f>
        <v>120.59023146167999</v>
      </c>
      <c r="Q339">
        <f>INDEX('2_land_use'!$1:$343,MATCH($A339,'2_land_use'!$A:$A,0),MATCH(Q$1,'2_land_use'!$1:$1,0))</f>
        <v>0</v>
      </c>
      <c r="R339">
        <f>INDEX('6_roof_surface'!$1:$343,MATCH($A339,'6_roof_surface'!$A:$A,0),MATCH(R$1,'6_roof_surface'!$1:$1,0))</f>
        <v>1.169241</v>
      </c>
      <c r="S339">
        <f>INDEX('6_roof_surface'!$1:$343,MATCH($A339,'6_roof_surface'!$A:$A,0),MATCH(S$1,'6_roof_surface'!$1:$1,0))</f>
        <v>2.3160319999999999</v>
      </c>
    </row>
    <row r="340" spans="1:19" x14ac:dyDescent="0.2">
      <c r="A340" t="s">
        <v>340</v>
      </c>
      <c r="B340" t="str">
        <f>INDEX(CBS_gemeenten_alfabetisch_2023!$B:$B,MATCH($A340,CBS_gemeenten_alfabetisch_2023!$A:$A,0))</f>
        <v>Zutphen</v>
      </c>
      <c r="C340">
        <f>INDEX('5_train_share_nl'!$1:$343,MATCH($A340,'5_train_share_nl'!$A:$A,0),MATCH(C$1,'5_train_share_nl'!$1:$1,0))</f>
        <v>4.2619244194449556E-3</v>
      </c>
      <c r="D340">
        <f>INDEX('3_has_tram_metro'!$1:$343,MATCH($A340,'3_has_tram_metro'!$A:$A,0),MATCH(D$1,'3_has_tram_metro'!$1:$1,0))</f>
        <v>0</v>
      </c>
      <c r="E340">
        <f>INDEX('1_buildings_total'!$1:$343,MATCH($A340,'1_buildings_total'!$A:$A,0),MATCH(E$1,'1_buildings_total'!$1:$1,0))</f>
        <v>3311.7866153846148</v>
      </c>
      <c r="F340">
        <f>INDEX('2_land_use'!$1:$343,MATCH($A340,'2_land_use'!$A:$A,0),MATCH(F$1,'2_land_use'!$1:$1,0))</f>
        <v>19.444325423093904</v>
      </c>
      <c r="G340">
        <f>INDEX('4_number_of_transport'!$1:$343,MATCH($A340,'4_number_of_transport'!$A:$A,0),MATCH(G$1,'4_number_of_transport'!$1:$1,0))</f>
        <v>1704</v>
      </c>
      <c r="H340">
        <f>INDEX('4_number_of_transport'!$1:$343,MATCH($A340,'4_number_of_transport'!$A:$A,0),MATCH(H$1,'4_number_of_transport'!$1:$1,0))</f>
        <v>141</v>
      </c>
      <c r="I340">
        <f>INDEX('4_number_of_transport'!$1:$343,MATCH($A340,'4_number_of_transport'!$A:$A,0),MATCH(I$1,'4_number_of_transport'!$1:$1,0))</f>
        <v>4</v>
      </c>
      <c r="J340">
        <f>INDEX('2_land_use'!$1:$343,MATCH($A340,'2_land_use'!$A:$A,0),MATCH(J$1,'2_land_use'!$1:$1,0))</f>
        <v>8.6797016351081613E-4</v>
      </c>
      <c r="K340">
        <f>INDEX('2_land_use'!$1:$343,MATCH($A340,'2_land_use'!$A:$A,0),MATCH(K$1,'2_land_use'!$1:$1,0))</f>
        <v>8.7176819602611784E-4</v>
      </c>
      <c r="L340">
        <f>INDEX('7_biomass'!$1:$343,MATCH($A340,'7_biomass'!$A:$A,0),MATCH(L$1,'7_biomass'!$1:$1,0))</f>
        <v>0.13272493655736162</v>
      </c>
      <c r="M340">
        <f>INDEX('7_biomass'!$1:$343,MATCH($A340,'7_biomass'!$A:$A,0),MATCH(M$1,'7_biomass'!$1:$1,0))</f>
        <v>0.13912882808032292</v>
      </c>
      <c r="N340">
        <f>INDEX('7_biomass'!$1:$343,MATCH($A340,'7_biomass'!$A:$A,0),MATCH(N$1,'7_biomass'!$1:$1,0))</f>
        <v>2.8925459156935392E-2</v>
      </c>
      <c r="O340">
        <f>INDEX('4_number_of_transport'!$1:$343,MATCH($A340,'4_number_of_transport'!$A:$A,0),MATCH(O$1,'4_number_of_transport'!$1:$1,0))</f>
        <v>22824</v>
      </c>
      <c r="P340">
        <f>INDEX('2_land_use'!$1:$343,MATCH($A340,'2_land_use'!$A:$A,0),MATCH(P$1,'2_land_use'!$1:$1,0))</f>
        <v>40.919395823300988</v>
      </c>
      <c r="Q340">
        <f>INDEX('2_land_use'!$1:$343,MATCH($A340,'2_land_use'!$A:$A,0),MATCH(Q$1,'2_land_use'!$1:$1,0))</f>
        <v>0</v>
      </c>
      <c r="R340">
        <f>INDEX('6_roof_surface'!$1:$343,MATCH($A340,'6_roof_surface'!$A:$A,0),MATCH(R$1,'6_roof_surface'!$1:$1,0))</f>
        <v>1.3790420000000001</v>
      </c>
      <c r="S340">
        <f>INDEX('6_roof_surface'!$1:$343,MATCH($A340,'6_roof_surface'!$A:$A,0),MATCH(S$1,'6_roof_surface'!$1:$1,0))</f>
        <v>1.431718</v>
      </c>
    </row>
    <row r="341" spans="1:19" x14ac:dyDescent="0.2">
      <c r="A341" t="s">
        <v>341</v>
      </c>
      <c r="B341" t="str">
        <f>INDEX(CBS_gemeenten_alfabetisch_2023!$B:$B,MATCH($A341,CBS_gemeenten_alfabetisch_2023!$A:$A,0))</f>
        <v>Zwartewaterland</v>
      </c>
      <c r="C341">
        <f>INDEX('5_train_share_nl'!$1:$343,MATCH($A341,'5_train_share_nl'!$A:$A,0),MATCH(C$1,'5_train_share_nl'!$1:$1,0))</f>
        <v>0</v>
      </c>
      <c r="D341">
        <f>INDEX('3_has_tram_metro'!$1:$343,MATCH($A341,'3_has_tram_metro'!$A:$A,0),MATCH(D$1,'3_has_tram_metro'!$1:$1,0))</f>
        <v>0</v>
      </c>
      <c r="E341">
        <f>INDEX('1_buildings_total'!$1:$343,MATCH($A341,'1_buildings_total'!$A:$A,0),MATCH(E$1,'1_buildings_total'!$1:$1,0))</f>
        <v>1799.1849230769233</v>
      </c>
      <c r="F341">
        <f>INDEX('2_land_use'!$1:$343,MATCH($A341,'2_land_use'!$A:$A,0),MATCH(F$1,'2_land_use'!$1:$1,0))</f>
        <v>67.651264291210239</v>
      </c>
      <c r="G341">
        <f>INDEX('4_number_of_transport'!$1:$343,MATCH($A341,'4_number_of_transport'!$A:$A,0),MATCH(G$1,'4_number_of_transport'!$1:$1,0))</f>
        <v>2621</v>
      </c>
      <c r="H341">
        <f>INDEX('4_number_of_transport'!$1:$343,MATCH($A341,'4_number_of_transport'!$A:$A,0),MATCH(H$1,'4_number_of_transport'!$1:$1,0))</f>
        <v>190</v>
      </c>
      <c r="I341">
        <f>INDEX('4_number_of_transport'!$1:$343,MATCH($A341,'4_number_of_transport'!$A:$A,0),MATCH(I$1,'4_number_of_transport'!$1:$1,0))</f>
        <v>0</v>
      </c>
      <c r="J341">
        <f>INDEX('2_land_use'!$1:$343,MATCH($A341,'2_land_use'!$A:$A,0),MATCH(J$1,'2_land_use'!$1:$1,0))</f>
        <v>0</v>
      </c>
      <c r="K341">
        <f>INDEX('2_land_use'!$1:$343,MATCH($A341,'2_land_use'!$A:$A,0),MATCH(K$1,'2_land_use'!$1:$1,0))</f>
        <v>3.0330813410471306E-3</v>
      </c>
      <c r="L341">
        <f>INDEX('7_biomass'!$1:$343,MATCH($A341,'7_biomass'!$A:$A,0),MATCH(L$1,'7_biomass'!$1:$1,0))</f>
        <v>0.25055994368922546</v>
      </c>
      <c r="M341">
        <f>INDEX('7_biomass'!$1:$343,MATCH($A341,'7_biomass'!$A:$A,0),MATCH(M$1,'7_biomass'!$1:$1,0))</f>
        <v>7.9561889351609516E-2</v>
      </c>
      <c r="N341">
        <f>INDEX('7_biomass'!$1:$343,MATCH($A341,'7_biomass'!$A:$A,0),MATCH(N$1,'7_biomass'!$1:$1,0))</f>
        <v>1.3671986544739799E-2</v>
      </c>
      <c r="O341">
        <f>INDEX('4_number_of_transport'!$1:$343,MATCH($A341,'4_number_of_transport'!$A:$A,0),MATCH(O$1,'4_number_of_transport'!$1:$1,0))</f>
        <v>11741</v>
      </c>
      <c r="P341">
        <f>INDEX('2_land_use'!$1:$343,MATCH($A341,'2_land_use'!$A:$A,0),MATCH(P$1,'2_land_use'!$1:$1,0))</f>
        <v>82.355564280674443</v>
      </c>
      <c r="Q341">
        <f>INDEX('2_land_use'!$1:$343,MATCH($A341,'2_land_use'!$A:$A,0),MATCH(Q$1,'2_land_use'!$1:$1,0))</f>
        <v>0</v>
      </c>
      <c r="R341">
        <f>INDEX('6_roof_surface'!$1:$343,MATCH($A341,'6_roof_surface'!$A:$A,0),MATCH(R$1,'6_roof_surface'!$1:$1,0))</f>
        <v>0.84108799999999995</v>
      </c>
      <c r="S341">
        <f>INDEX('6_roof_surface'!$1:$343,MATCH($A341,'6_roof_surface'!$A:$A,0),MATCH(S$1,'6_roof_surface'!$1:$1,0))</f>
        <v>1.500194</v>
      </c>
    </row>
    <row r="342" spans="1:19" x14ac:dyDescent="0.2">
      <c r="A342" t="s">
        <v>342</v>
      </c>
      <c r="B342" t="str">
        <f>INDEX(CBS_gemeenten_alfabetisch_2023!$B:$B,MATCH($A342,CBS_gemeenten_alfabetisch_2023!$A:$A,0))</f>
        <v>Zwijndrecht</v>
      </c>
      <c r="C342">
        <f>INDEX('5_train_share_nl'!$1:$343,MATCH($A342,'5_train_share_nl'!$A:$A,0),MATCH(C$1,'5_train_share_nl'!$1:$1,0))</f>
        <v>1.7137980941519808E-3</v>
      </c>
      <c r="D342">
        <f>INDEX('3_has_tram_metro'!$1:$343,MATCH($A342,'3_has_tram_metro'!$A:$A,0),MATCH(D$1,'3_has_tram_metro'!$1:$1,0))</f>
        <v>0</v>
      </c>
      <c r="E342">
        <f>INDEX('1_buildings_total'!$1:$343,MATCH($A342,'1_buildings_total'!$A:$A,0),MATCH(E$1,'1_buildings_total'!$1:$1,0))</f>
        <v>2239.2741538461541</v>
      </c>
      <c r="F342">
        <f>INDEX('2_land_use'!$1:$343,MATCH($A342,'2_land_use'!$A:$A,0),MATCH(F$1,'2_land_use'!$1:$1,0))</f>
        <v>5.4190718573044334</v>
      </c>
      <c r="G342">
        <f>INDEX('4_number_of_transport'!$1:$343,MATCH($A342,'4_number_of_transport'!$A:$A,0),MATCH(G$1,'4_number_of_transport'!$1:$1,0))</f>
        <v>2019</v>
      </c>
      <c r="H342">
        <f>INDEX('4_number_of_transport'!$1:$343,MATCH($A342,'4_number_of_transport'!$A:$A,0),MATCH(H$1,'4_number_of_transport'!$1:$1,0))</f>
        <v>105</v>
      </c>
      <c r="I342">
        <f>INDEX('4_number_of_transport'!$1:$343,MATCH($A342,'4_number_of_transport'!$A:$A,0),MATCH(I$1,'4_number_of_transport'!$1:$1,0))</f>
        <v>0</v>
      </c>
      <c r="J342">
        <f>INDEX('2_land_use'!$1:$343,MATCH($A342,'2_land_use'!$A:$A,0),MATCH(J$1,'2_land_use'!$1:$1,0))</f>
        <v>5.3880026227075197E-4</v>
      </c>
      <c r="K342">
        <f>INDEX('2_land_use'!$1:$343,MATCH($A342,'2_land_use'!$A:$A,0),MATCH(K$1,'2_land_use'!$1:$1,0))</f>
        <v>2.4295903274522022E-4</v>
      </c>
      <c r="L342">
        <f>INDEX('7_biomass'!$1:$343,MATCH($A342,'7_biomass'!$A:$A,0),MATCH(L$1,'7_biomass'!$1:$1,0))</f>
        <v>8.8153871129224848E-2</v>
      </c>
      <c r="M342">
        <f>INDEX('7_biomass'!$1:$343,MATCH($A342,'7_biomass'!$A:$A,0),MATCH(M$1,'7_biomass'!$1:$1,0))</f>
        <v>0.11901015746177902</v>
      </c>
      <c r="N342">
        <f>INDEX('7_biomass'!$1:$343,MATCH($A342,'7_biomass'!$A:$A,0),MATCH(N$1,'7_biomass'!$1:$1,0))</f>
        <v>2.712099752791361E-2</v>
      </c>
      <c r="O342">
        <f>INDEX('4_number_of_transport'!$1:$343,MATCH($A342,'4_number_of_transport'!$A:$A,0),MATCH(O$1,'4_number_of_transport'!$1:$1,0))</f>
        <v>22118</v>
      </c>
      <c r="P342">
        <f>INDEX('2_land_use'!$1:$343,MATCH($A342,'2_land_use'!$A:$A,0),MATCH(P$1,'2_land_use'!$1:$1,0))</f>
        <v>20.307321276012658</v>
      </c>
      <c r="Q342">
        <f>INDEX('2_land_use'!$1:$343,MATCH($A342,'2_land_use'!$A:$A,0),MATCH(Q$1,'2_land_use'!$1:$1,0))</f>
        <v>0</v>
      </c>
      <c r="R342">
        <f>INDEX('6_roof_surface'!$1:$343,MATCH($A342,'6_roof_surface'!$A:$A,0),MATCH(R$1,'6_roof_surface'!$1:$1,0))</f>
        <v>1.04609</v>
      </c>
      <c r="S342">
        <f>INDEX('6_roof_surface'!$1:$343,MATCH($A342,'6_roof_surface'!$A:$A,0),MATCH(S$1,'6_roof_surface'!$1:$1,0))</f>
        <v>1.3739030000000001</v>
      </c>
    </row>
    <row r="343" spans="1:19" x14ac:dyDescent="0.2">
      <c r="A343" t="s">
        <v>343</v>
      </c>
      <c r="B343" t="str">
        <f>INDEX(CBS_gemeenten_alfabetisch_2023!$B:$B,MATCH($A343,CBS_gemeenten_alfabetisch_2023!$A:$A,0))</f>
        <v>Zwolle</v>
      </c>
      <c r="C343">
        <f>INDEX('5_train_share_nl'!$1:$343,MATCH($A343,'5_train_share_nl'!$A:$A,0),MATCH(C$1,'5_train_share_nl'!$1:$1,0))</f>
        <v>1.7017603256533162E-2</v>
      </c>
      <c r="D343">
        <f>INDEX('3_has_tram_metro'!$1:$343,MATCH($A343,'3_has_tram_metro'!$A:$A,0),MATCH(D$1,'3_has_tram_metro'!$1:$1,0))</f>
        <v>0</v>
      </c>
      <c r="E343">
        <f>INDEX('1_buildings_total'!$1:$343,MATCH($A343,'1_buildings_total'!$A:$A,0),MATCH(E$1,'1_buildings_total'!$1:$1,0))</f>
        <v>7842.4889999999978</v>
      </c>
      <c r="F343">
        <f>INDEX('2_land_use'!$1:$343,MATCH($A343,'2_land_use'!$A:$A,0),MATCH(F$1,'2_land_use'!$1:$1,0))</f>
        <v>66.072161880123886</v>
      </c>
      <c r="G343">
        <f>INDEX('4_number_of_transport'!$1:$343,MATCH($A343,'4_number_of_transport'!$A:$A,0),MATCH(G$1,'4_number_of_transport'!$1:$1,0))</f>
        <v>5862</v>
      </c>
      <c r="H343">
        <f>INDEX('4_number_of_transport'!$1:$343,MATCH($A343,'4_number_of_transport'!$A:$A,0),MATCH(H$1,'4_number_of_transport'!$1:$1,0))</f>
        <v>211</v>
      </c>
      <c r="I343">
        <f>INDEX('4_number_of_transport'!$1:$343,MATCH($A343,'4_number_of_transport'!$A:$A,0),MATCH(I$1,'4_number_of_transport'!$1:$1,0))</f>
        <v>14</v>
      </c>
      <c r="J343">
        <f>INDEX('2_land_use'!$1:$343,MATCH($A343,'2_land_use'!$A:$A,0),MATCH(J$1,'2_land_use'!$1:$1,0))</f>
        <v>9.3655252211002487E-5</v>
      </c>
      <c r="K343">
        <f>INDEX('2_land_use'!$1:$343,MATCH($A343,'2_land_use'!$A:$A,0),MATCH(K$1,'2_land_use'!$1:$1,0))</f>
        <v>2.96228375716087E-3</v>
      </c>
      <c r="L343">
        <f>INDEX('7_biomass'!$1:$343,MATCH($A343,'7_biomass'!$A:$A,0),MATCH(L$1,'7_biomass'!$1:$1,0))</f>
        <v>0.38396940566604115</v>
      </c>
      <c r="M343">
        <f>INDEX('7_biomass'!$1:$343,MATCH($A343,'7_biomass'!$A:$A,0),MATCH(M$1,'7_biomass'!$1:$1,0))</f>
        <v>0.35732032926154211</v>
      </c>
      <c r="N343">
        <f>INDEX('7_biomass'!$1:$343,MATCH($A343,'7_biomass'!$A:$A,0),MATCH(N$1,'7_biomass'!$1:$1,0))</f>
        <v>7.746243916343111E-2</v>
      </c>
      <c r="O343">
        <f>INDEX('4_number_of_transport'!$1:$343,MATCH($A343,'4_number_of_transport'!$A:$A,0),MATCH(O$1,'4_number_of_transport'!$1:$1,0))</f>
        <v>58042</v>
      </c>
      <c r="P343">
        <f>INDEX('2_land_use'!$1:$343,MATCH($A343,'2_land_use'!$A:$A,0),MATCH(P$1,'2_land_use'!$1:$1,0))</f>
        <v>110.67247223208489</v>
      </c>
      <c r="Q343">
        <f>INDEX('2_land_use'!$1:$343,MATCH($A343,'2_land_use'!$A:$A,0),MATCH(Q$1,'2_land_use'!$1:$1,0))</f>
        <v>0</v>
      </c>
      <c r="R343">
        <f>INDEX('6_roof_surface'!$1:$343,MATCH($A343,'6_roof_surface'!$A:$A,0),MATCH(R$1,'6_roof_surface'!$1:$1,0))</f>
        <v>3.4078819999999999</v>
      </c>
      <c r="S343">
        <f>INDEX('6_roof_surface'!$1:$343,MATCH($A343,'6_roof_surface'!$A:$A,0),MATCH(S$1,'6_roof_surface'!$1:$1,0))</f>
        <v>3.4738980000000002</v>
      </c>
    </row>
  </sheetData>
  <autoFilter ref="A1:S343" xr:uid="{8A7DBB8C-E0A5-5A44-A284-55EE06D3427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F0F3-A37C-DB49-9B02-61963C599C84}">
  <sheetPr>
    <tabColor theme="9" tint="0.39997558519241921"/>
  </sheetPr>
  <dimension ref="A1:B343"/>
  <sheetViews>
    <sheetView workbookViewId="0">
      <selection activeCell="B1" sqref="B1"/>
    </sheetView>
  </sheetViews>
  <sheetFormatPr baseColWidth="10" defaultRowHeight="16" x14ac:dyDescent="0.2"/>
  <cols>
    <col min="1" max="1" width="13.5" customWidth="1"/>
    <col min="2" max="2" width="14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3169.4923846153833</v>
      </c>
    </row>
    <row r="3" spans="1:2" x14ac:dyDescent="0.2">
      <c r="A3" t="s">
        <v>3</v>
      </c>
      <c r="B3">
        <v>3228.8456923076928</v>
      </c>
    </row>
    <row r="4" spans="1:2" x14ac:dyDescent="0.2">
      <c r="A4" t="s">
        <v>4</v>
      </c>
      <c r="B4">
        <v>2507.5489230769235</v>
      </c>
    </row>
    <row r="5" spans="1:2" x14ac:dyDescent="0.2">
      <c r="A5" t="s">
        <v>5</v>
      </c>
      <c r="B5">
        <v>2582.5209230769228</v>
      </c>
    </row>
    <row r="6" spans="1:2" x14ac:dyDescent="0.2">
      <c r="A6" t="s">
        <v>6</v>
      </c>
      <c r="B6">
        <v>721.36553846153834</v>
      </c>
    </row>
    <row r="7" spans="1:2" x14ac:dyDescent="0.2">
      <c r="A7" t="s">
        <v>7</v>
      </c>
      <c r="B7">
        <v>1756.4006153846151</v>
      </c>
    </row>
    <row r="8" spans="1:2" x14ac:dyDescent="0.2">
      <c r="A8" t="s">
        <v>8</v>
      </c>
      <c r="B8">
        <v>7617.2774615384651</v>
      </c>
    </row>
    <row r="9" spans="1:2" x14ac:dyDescent="0.2">
      <c r="A9" t="s">
        <v>9</v>
      </c>
      <c r="B9">
        <v>6098.7483846153855</v>
      </c>
    </row>
    <row r="10" spans="1:2" x14ac:dyDescent="0.2">
      <c r="A10" t="s">
        <v>10</v>
      </c>
      <c r="B10">
        <v>7798.1336153846141</v>
      </c>
    </row>
    <row r="11" spans="1:2" x14ac:dyDescent="0.2">
      <c r="A11" t="s">
        <v>11</v>
      </c>
      <c r="B11">
        <v>6147.3081538461547</v>
      </c>
    </row>
    <row r="12" spans="1:2" x14ac:dyDescent="0.2">
      <c r="A12" t="s">
        <v>12</v>
      </c>
      <c r="B12">
        <v>1764.1229999999998</v>
      </c>
    </row>
    <row r="13" spans="1:2" x14ac:dyDescent="0.2">
      <c r="A13" t="s">
        <v>13</v>
      </c>
      <c r="B13">
        <v>4052.5456923076945</v>
      </c>
    </row>
    <row r="14" spans="1:2" x14ac:dyDescent="0.2">
      <c r="A14" t="s">
        <v>14</v>
      </c>
      <c r="B14">
        <v>2037.8947692307688</v>
      </c>
    </row>
    <row r="15" spans="1:2" x14ac:dyDescent="0.2">
      <c r="A15" t="s">
        <v>15</v>
      </c>
      <c r="B15">
        <v>8849.3960769230798</v>
      </c>
    </row>
    <row r="16" spans="1:2" x14ac:dyDescent="0.2">
      <c r="A16" t="s">
        <v>16</v>
      </c>
      <c r="B16">
        <v>5357.1443076923069</v>
      </c>
    </row>
    <row r="17" spans="1:2" x14ac:dyDescent="0.2">
      <c r="A17" t="s">
        <v>17</v>
      </c>
      <c r="B17">
        <v>51828.123076923068</v>
      </c>
    </row>
    <row r="18" spans="1:2" x14ac:dyDescent="0.2">
      <c r="A18" t="s">
        <v>18</v>
      </c>
      <c r="B18">
        <v>11557.444615384618</v>
      </c>
    </row>
    <row r="19" spans="1:2" x14ac:dyDescent="0.2">
      <c r="A19" t="s">
        <v>19</v>
      </c>
      <c r="B19">
        <v>11445.258846153842</v>
      </c>
    </row>
    <row r="20" spans="1:2" x14ac:dyDescent="0.2">
      <c r="A20" t="s">
        <v>20</v>
      </c>
      <c r="B20">
        <v>4709.59476923077</v>
      </c>
    </row>
    <row r="21" spans="1:2" x14ac:dyDescent="0.2">
      <c r="A21" t="s">
        <v>21</v>
      </c>
      <c r="B21">
        <v>2627.2494615384626</v>
      </c>
    </row>
    <row r="22" spans="1:2" x14ac:dyDescent="0.2">
      <c r="A22" t="s">
        <v>22</v>
      </c>
      <c r="B22">
        <v>1836.3848461538466</v>
      </c>
    </row>
    <row r="23" spans="1:2" x14ac:dyDescent="0.2">
      <c r="A23" t="s">
        <v>23</v>
      </c>
      <c r="B23">
        <v>1914.7634615384613</v>
      </c>
    </row>
    <row r="24" spans="1:2" x14ac:dyDescent="0.2">
      <c r="A24" t="s">
        <v>24</v>
      </c>
      <c r="B24">
        <v>1619.0913076923077</v>
      </c>
    </row>
    <row r="25" spans="1:2" x14ac:dyDescent="0.2">
      <c r="A25" t="s">
        <v>25</v>
      </c>
      <c r="B25">
        <v>5377.3594615384609</v>
      </c>
    </row>
    <row r="26" spans="1:2" x14ac:dyDescent="0.2">
      <c r="A26" t="s">
        <v>26</v>
      </c>
      <c r="B26">
        <v>964.42346153846165</v>
      </c>
    </row>
    <row r="27" spans="1:2" x14ac:dyDescent="0.2">
      <c r="A27" t="s">
        <v>27</v>
      </c>
      <c r="B27">
        <v>2659.375</v>
      </c>
    </row>
    <row r="28" spans="1:2" x14ac:dyDescent="0.2">
      <c r="A28" t="s">
        <v>28</v>
      </c>
      <c r="B28">
        <v>987.36584615384606</v>
      </c>
    </row>
    <row r="29" spans="1:2" x14ac:dyDescent="0.2">
      <c r="A29" t="s">
        <v>29</v>
      </c>
      <c r="B29">
        <v>2512.6153846153843</v>
      </c>
    </row>
    <row r="30" spans="1:2" x14ac:dyDescent="0.2">
      <c r="A30" t="s">
        <v>30</v>
      </c>
      <c r="B30">
        <v>2422.4130769230769</v>
      </c>
    </row>
    <row r="31" spans="1:2" x14ac:dyDescent="0.2">
      <c r="A31" t="s">
        <v>31</v>
      </c>
      <c r="B31">
        <v>1912.560769230769</v>
      </c>
    </row>
    <row r="32" spans="1:2" x14ac:dyDescent="0.2">
      <c r="A32" t="s">
        <v>32</v>
      </c>
      <c r="B32">
        <v>3911.7447692307692</v>
      </c>
    </row>
    <row r="33" spans="1:2" x14ac:dyDescent="0.2">
      <c r="A33" t="s">
        <v>33</v>
      </c>
      <c r="B33">
        <v>4369.4178461538468</v>
      </c>
    </row>
    <row r="34" spans="1:2" x14ac:dyDescent="0.2">
      <c r="A34" t="s">
        <v>34</v>
      </c>
      <c r="B34">
        <v>5397.9739230769201</v>
      </c>
    </row>
    <row r="35" spans="1:2" x14ac:dyDescent="0.2">
      <c r="A35" t="s">
        <v>35</v>
      </c>
      <c r="B35">
        <v>2267.3814615384617</v>
      </c>
    </row>
    <row r="36" spans="1:2" x14ac:dyDescent="0.2">
      <c r="A36" t="s">
        <v>36</v>
      </c>
      <c r="B36">
        <v>1559.4059999999997</v>
      </c>
    </row>
    <row r="37" spans="1:2" x14ac:dyDescent="0.2">
      <c r="A37" t="s">
        <v>37</v>
      </c>
      <c r="B37">
        <v>1742.6308461538465</v>
      </c>
    </row>
    <row r="38" spans="1:2" x14ac:dyDescent="0.2">
      <c r="A38" t="s">
        <v>38</v>
      </c>
      <c r="B38">
        <v>2305.5280000000012</v>
      </c>
    </row>
    <row r="39" spans="1:2" x14ac:dyDescent="0.2">
      <c r="A39" t="s">
        <v>39</v>
      </c>
      <c r="B39">
        <v>3042.5178461538458</v>
      </c>
    </row>
    <row r="40" spans="1:2" x14ac:dyDescent="0.2">
      <c r="A40" t="s">
        <v>40</v>
      </c>
      <c r="B40">
        <v>2166.0177692307698</v>
      </c>
    </row>
    <row r="41" spans="1:2" x14ac:dyDescent="0.2">
      <c r="A41" t="s">
        <v>41</v>
      </c>
      <c r="B41">
        <v>489.10807692307702</v>
      </c>
    </row>
    <row r="42" spans="1:2" x14ac:dyDescent="0.2">
      <c r="A42" t="s">
        <v>42</v>
      </c>
      <c r="B42">
        <v>1382.4256923076919</v>
      </c>
    </row>
    <row r="43" spans="1:2" x14ac:dyDescent="0.2">
      <c r="A43" t="s">
        <v>43</v>
      </c>
      <c r="B43">
        <v>2185.0651538461534</v>
      </c>
    </row>
    <row r="44" spans="1:2" x14ac:dyDescent="0.2">
      <c r="A44" t="s">
        <v>44</v>
      </c>
      <c r="B44">
        <v>1368.8810769230772</v>
      </c>
    </row>
    <row r="45" spans="1:2" x14ac:dyDescent="0.2">
      <c r="A45" t="s">
        <v>45</v>
      </c>
      <c r="B45">
        <v>3067.803230769231</v>
      </c>
    </row>
    <row r="46" spans="1:2" x14ac:dyDescent="0.2">
      <c r="A46" t="s">
        <v>46</v>
      </c>
      <c r="B46">
        <v>1553.8691538461537</v>
      </c>
    </row>
    <row r="47" spans="1:2" x14ac:dyDescent="0.2">
      <c r="A47" t="s">
        <v>47</v>
      </c>
      <c r="B47">
        <v>2050.5682307692314</v>
      </c>
    </row>
    <row r="48" spans="1:2" x14ac:dyDescent="0.2">
      <c r="A48" t="s">
        <v>48</v>
      </c>
      <c r="B48">
        <v>2254.9693846153846</v>
      </c>
    </row>
    <row r="49" spans="1:2" x14ac:dyDescent="0.2">
      <c r="A49" t="s">
        <v>49</v>
      </c>
      <c r="B49">
        <v>12424.089153846151</v>
      </c>
    </row>
    <row r="50" spans="1:2" x14ac:dyDescent="0.2">
      <c r="A50" t="s">
        <v>50</v>
      </c>
      <c r="B50">
        <v>5140.8982307692304</v>
      </c>
    </row>
    <row r="51" spans="1:2" x14ac:dyDescent="0.2">
      <c r="A51" t="s">
        <v>51</v>
      </c>
      <c r="B51">
        <v>1472.9110769230772</v>
      </c>
    </row>
    <row r="52" spans="1:2" x14ac:dyDescent="0.2">
      <c r="A52" t="s">
        <v>52</v>
      </c>
      <c r="B52">
        <v>2127.5916153846147</v>
      </c>
    </row>
    <row r="53" spans="1:2" x14ac:dyDescent="0.2">
      <c r="A53" t="s">
        <v>53</v>
      </c>
      <c r="B53">
        <v>937.11261538461542</v>
      </c>
    </row>
    <row r="54" spans="1:2" x14ac:dyDescent="0.2">
      <c r="A54" t="s">
        <v>54</v>
      </c>
      <c r="B54">
        <v>1182.9733846153847</v>
      </c>
    </row>
    <row r="55" spans="1:2" x14ac:dyDescent="0.2">
      <c r="A55" t="s">
        <v>55</v>
      </c>
      <c r="B55">
        <v>2497.6478461538463</v>
      </c>
    </row>
    <row r="56" spans="1:2" x14ac:dyDescent="0.2">
      <c r="A56" t="s">
        <v>56</v>
      </c>
      <c r="B56">
        <v>2958.3487692307699</v>
      </c>
    </row>
    <row r="57" spans="1:2" x14ac:dyDescent="0.2">
      <c r="A57" t="s">
        <v>57</v>
      </c>
      <c r="B57">
        <v>1916.3725384615386</v>
      </c>
    </row>
    <row r="58" spans="1:2" x14ac:dyDescent="0.2">
      <c r="A58" t="s">
        <v>58</v>
      </c>
      <c r="B58">
        <v>5200.5762307692303</v>
      </c>
    </row>
    <row r="59" spans="1:2" x14ac:dyDescent="0.2">
      <c r="A59" t="s">
        <v>59</v>
      </c>
      <c r="B59">
        <v>1909.2684615384615</v>
      </c>
    </row>
    <row r="60" spans="1:2" x14ac:dyDescent="0.2">
      <c r="A60" t="s">
        <v>60</v>
      </c>
      <c r="B60">
        <v>1606.4127692307693</v>
      </c>
    </row>
    <row r="61" spans="1:2" x14ac:dyDescent="0.2">
      <c r="A61" t="s">
        <v>61</v>
      </c>
      <c r="B61">
        <v>2936.0619230769234</v>
      </c>
    </row>
    <row r="62" spans="1:2" x14ac:dyDescent="0.2">
      <c r="A62" t="s">
        <v>62</v>
      </c>
      <c r="B62">
        <v>1642.3130769230768</v>
      </c>
    </row>
    <row r="63" spans="1:2" x14ac:dyDescent="0.2">
      <c r="A63" t="s">
        <v>63</v>
      </c>
      <c r="B63">
        <v>6739.7991538461538</v>
      </c>
    </row>
    <row r="64" spans="1:2" x14ac:dyDescent="0.2">
      <c r="A64" t="s">
        <v>64</v>
      </c>
      <c r="B64">
        <v>3422.0053846153842</v>
      </c>
    </row>
    <row r="65" spans="1:2" x14ac:dyDescent="0.2">
      <c r="A65" t="s">
        <v>65</v>
      </c>
      <c r="B65">
        <v>5761.5236153846163</v>
      </c>
    </row>
    <row r="66" spans="1:2" x14ac:dyDescent="0.2">
      <c r="A66" t="s">
        <v>66</v>
      </c>
      <c r="B66">
        <v>1204.5882307692304</v>
      </c>
    </row>
    <row r="67" spans="1:2" x14ac:dyDescent="0.2">
      <c r="A67" t="s">
        <v>67</v>
      </c>
      <c r="B67">
        <v>3782.8555384615379</v>
      </c>
    </row>
    <row r="68" spans="1:2" x14ac:dyDescent="0.2">
      <c r="A68" t="s">
        <v>68</v>
      </c>
      <c r="B68">
        <v>2343.4276153846163</v>
      </c>
    </row>
    <row r="69" spans="1:2" x14ac:dyDescent="0.2">
      <c r="A69" t="s">
        <v>69</v>
      </c>
      <c r="B69">
        <v>691.64853846153858</v>
      </c>
    </row>
    <row r="70" spans="1:2" x14ac:dyDescent="0.2">
      <c r="A70" t="s">
        <v>70</v>
      </c>
      <c r="B70">
        <v>4150.6694615384631</v>
      </c>
    </row>
    <row r="71" spans="1:2" x14ac:dyDescent="0.2">
      <c r="A71" t="s">
        <v>71</v>
      </c>
      <c r="B71">
        <v>1813.5266153846155</v>
      </c>
    </row>
    <row r="72" spans="1:2" x14ac:dyDescent="0.2">
      <c r="A72" t="s">
        <v>72</v>
      </c>
      <c r="B72">
        <v>6988.2653846153853</v>
      </c>
    </row>
    <row r="73" spans="1:2" x14ac:dyDescent="0.2">
      <c r="A73" t="s">
        <v>73</v>
      </c>
      <c r="B73">
        <v>1681.7270769230768</v>
      </c>
    </row>
    <row r="74" spans="1:2" x14ac:dyDescent="0.2">
      <c r="A74" t="s">
        <v>74</v>
      </c>
      <c r="B74">
        <v>2215.2439999999997</v>
      </c>
    </row>
    <row r="75" spans="1:2" x14ac:dyDescent="0.2">
      <c r="A75" t="s">
        <v>75</v>
      </c>
      <c r="B75">
        <v>2901.9728461538466</v>
      </c>
    </row>
    <row r="76" spans="1:2" x14ac:dyDescent="0.2">
      <c r="A76" t="s">
        <v>76</v>
      </c>
      <c r="B76">
        <v>1560.8426923076922</v>
      </c>
    </row>
    <row r="77" spans="1:2" x14ac:dyDescent="0.2">
      <c r="A77" t="s">
        <v>77</v>
      </c>
      <c r="B77">
        <v>1110.9256153846154</v>
      </c>
    </row>
    <row r="78" spans="1:2" x14ac:dyDescent="0.2">
      <c r="A78" t="s">
        <v>78</v>
      </c>
      <c r="B78">
        <v>3265.5707692307692</v>
      </c>
    </row>
    <row r="79" spans="1:2" x14ac:dyDescent="0.2">
      <c r="A79" t="s">
        <v>79</v>
      </c>
      <c r="B79">
        <v>1874.1294615384613</v>
      </c>
    </row>
    <row r="80" spans="1:2" x14ac:dyDescent="0.2">
      <c r="A80" t="s">
        <v>80</v>
      </c>
      <c r="B80">
        <v>8319.9830769230775</v>
      </c>
    </row>
    <row r="81" spans="1:2" x14ac:dyDescent="0.2">
      <c r="A81" t="s">
        <v>81</v>
      </c>
      <c r="B81">
        <v>623.68153846153837</v>
      </c>
    </row>
    <row r="82" spans="1:2" x14ac:dyDescent="0.2">
      <c r="A82" t="s">
        <v>82</v>
      </c>
      <c r="B82">
        <v>6531.9302307692305</v>
      </c>
    </row>
    <row r="83" spans="1:2" x14ac:dyDescent="0.2">
      <c r="A83" t="s">
        <v>83</v>
      </c>
      <c r="B83">
        <v>2051.9411538461536</v>
      </c>
    </row>
    <row r="84" spans="1:2" x14ac:dyDescent="0.2">
      <c r="A84" t="s">
        <v>84</v>
      </c>
      <c r="B84">
        <v>2064.4740000000002</v>
      </c>
    </row>
    <row r="85" spans="1:2" x14ac:dyDescent="0.2">
      <c r="A85" t="s">
        <v>85</v>
      </c>
      <c r="B85">
        <v>13911.808692307695</v>
      </c>
    </row>
    <row r="86" spans="1:2" x14ac:dyDescent="0.2">
      <c r="A86" t="s">
        <v>86</v>
      </c>
      <c r="B86">
        <v>1883.2800769230769</v>
      </c>
    </row>
    <row r="87" spans="1:2" x14ac:dyDescent="0.2">
      <c r="A87" t="s">
        <v>87</v>
      </c>
      <c r="B87">
        <v>8360.906384615384</v>
      </c>
    </row>
    <row r="88" spans="1:2" x14ac:dyDescent="0.2">
      <c r="A88" t="s">
        <v>88</v>
      </c>
      <c r="B88">
        <v>1181.8789999999999</v>
      </c>
    </row>
    <row r="89" spans="1:2" x14ac:dyDescent="0.2">
      <c r="A89" t="s">
        <v>89</v>
      </c>
      <c r="B89">
        <v>10203.403692307695</v>
      </c>
    </row>
    <row r="90" spans="1:2" x14ac:dyDescent="0.2">
      <c r="A90" t="s">
        <v>90</v>
      </c>
      <c r="B90">
        <v>3261.4054615384607</v>
      </c>
    </row>
    <row r="91" spans="1:2" x14ac:dyDescent="0.2">
      <c r="A91" t="s">
        <v>91</v>
      </c>
      <c r="B91">
        <v>3627.9691538461534</v>
      </c>
    </row>
    <row r="92" spans="1:2" x14ac:dyDescent="0.2">
      <c r="A92" t="s">
        <v>92</v>
      </c>
      <c r="B92">
        <v>2277.8263846153841</v>
      </c>
    </row>
    <row r="93" spans="1:2" x14ac:dyDescent="0.2">
      <c r="A93" t="s">
        <v>93</v>
      </c>
      <c r="B93">
        <v>7905.8107692307713</v>
      </c>
    </row>
    <row r="94" spans="1:2" x14ac:dyDescent="0.2">
      <c r="A94" t="s">
        <v>94</v>
      </c>
      <c r="B94">
        <v>1208.8899230769234</v>
      </c>
    </row>
    <row r="95" spans="1:2" x14ac:dyDescent="0.2">
      <c r="A95" t="s">
        <v>95</v>
      </c>
      <c r="B95">
        <v>2247.6194615384616</v>
      </c>
    </row>
    <row r="96" spans="1:2" x14ac:dyDescent="0.2">
      <c r="A96" t="s">
        <v>96</v>
      </c>
      <c r="B96">
        <v>4033.9834615384621</v>
      </c>
    </row>
    <row r="97" spans="1:2" x14ac:dyDescent="0.2">
      <c r="A97" t="s">
        <v>97</v>
      </c>
      <c r="B97">
        <v>1644.6216923076922</v>
      </c>
    </row>
    <row r="98" spans="1:2" x14ac:dyDescent="0.2">
      <c r="A98" t="s">
        <v>98</v>
      </c>
      <c r="B98">
        <v>2081.4771538461541</v>
      </c>
    </row>
    <row r="99" spans="1:2" x14ac:dyDescent="0.2">
      <c r="A99" t="s">
        <v>99</v>
      </c>
      <c r="B99">
        <v>6090.4641538461547</v>
      </c>
    </row>
    <row r="100" spans="1:2" x14ac:dyDescent="0.2">
      <c r="A100" t="s">
        <v>100</v>
      </c>
      <c r="B100">
        <v>3435.7604615384616</v>
      </c>
    </row>
    <row r="101" spans="1:2" x14ac:dyDescent="0.2">
      <c r="A101" t="s">
        <v>101</v>
      </c>
      <c r="B101">
        <v>1468.0720000000001</v>
      </c>
    </row>
    <row r="102" spans="1:2" x14ac:dyDescent="0.2">
      <c r="A102" t="s">
        <v>102</v>
      </c>
      <c r="B102">
        <v>3895.2193846153846</v>
      </c>
    </row>
    <row r="103" spans="1:2" x14ac:dyDescent="0.2">
      <c r="A103" t="s">
        <v>103</v>
      </c>
      <c r="B103">
        <v>2630.927076923077</v>
      </c>
    </row>
    <row r="104" spans="1:2" x14ac:dyDescent="0.2">
      <c r="A104" t="s">
        <v>104</v>
      </c>
      <c r="B104">
        <v>4767.4884615384617</v>
      </c>
    </row>
    <row r="105" spans="1:2" x14ac:dyDescent="0.2">
      <c r="A105" t="s">
        <v>105</v>
      </c>
      <c r="B105">
        <v>29826.918461538469</v>
      </c>
    </row>
    <row r="106" spans="1:2" x14ac:dyDescent="0.2">
      <c r="A106" t="s">
        <v>106</v>
      </c>
      <c r="B106">
        <v>14752.964230769234</v>
      </c>
    </row>
    <row r="107" spans="1:2" x14ac:dyDescent="0.2">
      <c r="A107" t="s">
        <v>107</v>
      </c>
      <c r="B107">
        <v>1833.1795384615389</v>
      </c>
    </row>
    <row r="108" spans="1:2" x14ac:dyDescent="0.2">
      <c r="A108" t="s">
        <v>108</v>
      </c>
      <c r="B108">
        <v>2404.4422307692303</v>
      </c>
    </row>
    <row r="109" spans="1:2" x14ac:dyDescent="0.2">
      <c r="A109" t="s">
        <v>109</v>
      </c>
      <c r="B109">
        <v>8766.0378461538439</v>
      </c>
    </row>
    <row r="110" spans="1:2" x14ac:dyDescent="0.2">
      <c r="A110" t="s">
        <v>110</v>
      </c>
      <c r="B110">
        <v>7073.9758461538449</v>
      </c>
    </row>
    <row r="111" spans="1:2" x14ac:dyDescent="0.2">
      <c r="A111" t="s">
        <v>111</v>
      </c>
      <c r="B111">
        <v>2523.985923076923</v>
      </c>
    </row>
    <row r="112" spans="1:2" x14ac:dyDescent="0.2">
      <c r="A112" t="s">
        <v>112</v>
      </c>
      <c r="B112">
        <v>5998.9859999999999</v>
      </c>
    </row>
    <row r="113" spans="1:2" x14ac:dyDescent="0.2">
      <c r="A113" t="s">
        <v>113</v>
      </c>
      <c r="B113">
        <v>2949.9303846153848</v>
      </c>
    </row>
    <row r="114" spans="1:2" x14ac:dyDescent="0.2">
      <c r="A114" t="s">
        <v>114</v>
      </c>
      <c r="B114">
        <v>832.10707692307676</v>
      </c>
    </row>
    <row r="115" spans="1:2" x14ac:dyDescent="0.2">
      <c r="A115" t="s">
        <v>115</v>
      </c>
      <c r="B115">
        <v>1262.2943846153848</v>
      </c>
    </row>
    <row r="116" spans="1:2" x14ac:dyDescent="0.2">
      <c r="A116" t="s">
        <v>116</v>
      </c>
      <c r="B116">
        <v>830.27861538461548</v>
      </c>
    </row>
    <row r="117" spans="1:2" x14ac:dyDescent="0.2">
      <c r="A117" t="s">
        <v>117</v>
      </c>
      <c r="B117">
        <v>1991.9560000000006</v>
      </c>
    </row>
    <row r="118" spans="1:2" x14ac:dyDescent="0.2">
      <c r="A118" t="s">
        <v>118</v>
      </c>
      <c r="B118">
        <v>1671.3317692307694</v>
      </c>
    </row>
    <row r="119" spans="1:2" x14ac:dyDescent="0.2">
      <c r="A119" t="s">
        <v>119</v>
      </c>
      <c r="B119">
        <v>1442.8583846153847</v>
      </c>
    </row>
    <row r="120" spans="1:2" x14ac:dyDescent="0.2">
      <c r="A120" t="s">
        <v>120</v>
      </c>
      <c r="B120">
        <v>5742.3323076923079</v>
      </c>
    </row>
    <row r="121" spans="1:2" x14ac:dyDescent="0.2">
      <c r="A121" t="s">
        <v>121</v>
      </c>
      <c r="B121">
        <v>6635.5543846153878</v>
      </c>
    </row>
    <row r="122" spans="1:2" x14ac:dyDescent="0.2">
      <c r="A122" t="s">
        <v>122</v>
      </c>
      <c r="B122">
        <v>1744.8271538461538</v>
      </c>
    </row>
    <row r="123" spans="1:2" x14ac:dyDescent="0.2">
      <c r="A123" t="s">
        <v>123</v>
      </c>
      <c r="B123">
        <v>1213.5378461538457</v>
      </c>
    </row>
    <row r="124" spans="1:2" x14ac:dyDescent="0.2">
      <c r="A124" t="s">
        <v>124</v>
      </c>
      <c r="B124">
        <v>5100.2568461538467</v>
      </c>
    </row>
    <row r="125" spans="1:2" x14ac:dyDescent="0.2">
      <c r="A125" t="s">
        <v>125</v>
      </c>
      <c r="B125">
        <v>3387.5062307692315</v>
      </c>
    </row>
    <row r="126" spans="1:2" x14ac:dyDescent="0.2">
      <c r="A126" t="s">
        <v>126</v>
      </c>
      <c r="B126">
        <v>4925.3214615384632</v>
      </c>
    </row>
    <row r="127" spans="1:2" x14ac:dyDescent="0.2">
      <c r="A127" t="s">
        <v>127</v>
      </c>
      <c r="B127">
        <v>885.56338461538462</v>
      </c>
    </row>
    <row r="128" spans="1:2" x14ac:dyDescent="0.2">
      <c r="A128" t="s">
        <v>128</v>
      </c>
      <c r="B128">
        <v>5438.824461538461</v>
      </c>
    </row>
    <row r="129" spans="1:2" x14ac:dyDescent="0.2">
      <c r="A129" t="s">
        <v>129</v>
      </c>
      <c r="B129">
        <v>10230.297692307693</v>
      </c>
    </row>
    <row r="130" spans="1:2" x14ac:dyDescent="0.2">
      <c r="A130" t="s">
        <v>130</v>
      </c>
      <c r="B130">
        <v>1056.6260769230771</v>
      </c>
    </row>
    <row r="131" spans="1:2" x14ac:dyDescent="0.2">
      <c r="A131" t="s">
        <v>131</v>
      </c>
      <c r="B131">
        <v>3349.8580000000002</v>
      </c>
    </row>
    <row r="132" spans="1:2" x14ac:dyDescent="0.2">
      <c r="A132" t="s">
        <v>132</v>
      </c>
      <c r="B132">
        <v>1299.6298461538463</v>
      </c>
    </row>
    <row r="133" spans="1:2" x14ac:dyDescent="0.2">
      <c r="A133" t="s">
        <v>133</v>
      </c>
      <c r="B133">
        <v>1976.7147692307692</v>
      </c>
    </row>
    <row r="134" spans="1:2" x14ac:dyDescent="0.2">
      <c r="A134" t="s">
        <v>134</v>
      </c>
      <c r="B134">
        <v>5488.4402307692299</v>
      </c>
    </row>
    <row r="135" spans="1:2" x14ac:dyDescent="0.2">
      <c r="A135" t="s">
        <v>135</v>
      </c>
      <c r="B135">
        <v>5020.1335384615386</v>
      </c>
    </row>
    <row r="136" spans="1:2" x14ac:dyDescent="0.2">
      <c r="A136" t="s">
        <v>136</v>
      </c>
      <c r="B136">
        <v>3586.6223076923084</v>
      </c>
    </row>
    <row r="137" spans="1:2" x14ac:dyDescent="0.2">
      <c r="A137" t="s">
        <v>137</v>
      </c>
      <c r="B137">
        <v>8630.4074615384598</v>
      </c>
    </row>
    <row r="138" spans="1:2" x14ac:dyDescent="0.2">
      <c r="A138" t="s">
        <v>138</v>
      </c>
      <c r="B138">
        <v>6468.5330769230759</v>
      </c>
    </row>
    <row r="139" spans="1:2" x14ac:dyDescent="0.2">
      <c r="A139" t="s">
        <v>139</v>
      </c>
      <c r="B139">
        <v>4732.6073076923094</v>
      </c>
    </row>
    <row r="140" spans="1:2" x14ac:dyDescent="0.2">
      <c r="A140" t="s">
        <v>140</v>
      </c>
      <c r="B140">
        <v>4075.7452307692306</v>
      </c>
    </row>
    <row r="141" spans="1:2" x14ac:dyDescent="0.2">
      <c r="A141" t="s">
        <v>141</v>
      </c>
      <c r="B141">
        <v>5769.0156153846156</v>
      </c>
    </row>
    <row r="142" spans="1:2" x14ac:dyDescent="0.2">
      <c r="A142" t="s">
        <v>142</v>
      </c>
      <c r="B142">
        <v>2266.3461538461538</v>
      </c>
    </row>
    <row r="143" spans="1:2" x14ac:dyDescent="0.2">
      <c r="A143" t="s">
        <v>143</v>
      </c>
      <c r="B143">
        <v>1654.201615384615</v>
      </c>
    </row>
    <row r="144" spans="1:2" x14ac:dyDescent="0.2">
      <c r="A144" t="s">
        <v>144</v>
      </c>
      <c r="B144">
        <v>1931.2483846153846</v>
      </c>
    </row>
    <row r="145" spans="1:2" x14ac:dyDescent="0.2">
      <c r="A145" t="s">
        <v>145</v>
      </c>
      <c r="B145">
        <v>1304.7920769230768</v>
      </c>
    </row>
    <row r="146" spans="1:2" x14ac:dyDescent="0.2">
      <c r="A146" t="s">
        <v>146</v>
      </c>
      <c r="B146">
        <v>2833.8058461538453</v>
      </c>
    </row>
    <row r="147" spans="1:2" x14ac:dyDescent="0.2">
      <c r="A147" t="s">
        <v>147</v>
      </c>
      <c r="B147">
        <v>4384.2084615384611</v>
      </c>
    </row>
    <row r="148" spans="1:2" x14ac:dyDescent="0.2">
      <c r="A148" t="s">
        <v>148</v>
      </c>
      <c r="B148">
        <v>1066.2848461538463</v>
      </c>
    </row>
    <row r="149" spans="1:2" x14ac:dyDescent="0.2">
      <c r="A149" t="s">
        <v>149</v>
      </c>
      <c r="B149">
        <v>3856.8030769230768</v>
      </c>
    </row>
    <row r="150" spans="1:2" x14ac:dyDescent="0.2">
      <c r="A150" t="s">
        <v>150</v>
      </c>
      <c r="B150">
        <v>3076.2904615384614</v>
      </c>
    </row>
    <row r="151" spans="1:2" x14ac:dyDescent="0.2">
      <c r="A151" t="s">
        <v>151</v>
      </c>
      <c r="B151">
        <v>1588.4919230769237</v>
      </c>
    </row>
    <row r="152" spans="1:2" x14ac:dyDescent="0.2">
      <c r="A152" t="s">
        <v>152</v>
      </c>
      <c r="B152">
        <v>1294.2393846153848</v>
      </c>
    </row>
    <row r="153" spans="1:2" x14ac:dyDescent="0.2">
      <c r="A153" t="s">
        <v>153</v>
      </c>
      <c r="B153">
        <v>3242.4783846153846</v>
      </c>
    </row>
    <row r="154" spans="1:2" x14ac:dyDescent="0.2">
      <c r="A154" t="s">
        <v>154</v>
      </c>
      <c r="B154">
        <v>3841.9869230769232</v>
      </c>
    </row>
    <row r="155" spans="1:2" x14ac:dyDescent="0.2">
      <c r="A155" t="s">
        <v>155</v>
      </c>
      <c r="B155">
        <v>10168.627769230767</v>
      </c>
    </row>
    <row r="156" spans="1:2" x14ac:dyDescent="0.2">
      <c r="A156" t="s">
        <v>156</v>
      </c>
      <c r="B156">
        <v>2215.9685384615391</v>
      </c>
    </row>
    <row r="157" spans="1:2" x14ac:dyDescent="0.2">
      <c r="A157" t="s">
        <v>157</v>
      </c>
      <c r="B157">
        <v>567.72469230769229</v>
      </c>
    </row>
    <row r="158" spans="1:2" x14ac:dyDescent="0.2">
      <c r="A158" t="s">
        <v>158</v>
      </c>
      <c r="B158">
        <v>2816.7917692307688</v>
      </c>
    </row>
    <row r="159" spans="1:2" x14ac:dyDescent="0.2">
      <c r="A159" t="s">
        <v>159</v>
      </c>
      <c r="B159">
        <v>878.51530769230749</v>
      </c>
    </row>
    <row r="160" spans="1:2" x14ac:dyDescent="0.2">
      <c r="A160" t="s">
        <v>160</v>
      </c>
      <c r="B160">
        <v>11032.829615384617</v>
      </c>
    </row>
    <row r="161" spans="1:2" x14ac:dyDescent="0.2">
      <c r="A161" t="s">
        <v>161</v>
      </c>
      <c r="B161">
        <v>7081.3492307692313</v>
      </c>
    </row>
    <row r="162" spans="1:2" x14ac:dyDescent="0.2">
      <c r="A162" t="s">
        <v>162</v>
      </c>
      <c r="B162">
        <v>1624.4420769230769</v>
      </c>
    </row>
    <row r="163" spans="1:2" x14ac:dyDescent="0.2">
      <c r="A163" t="s">
        <v>163</v>
      </c>
      <c r="B163">
        <v>4318.451384615385</v>
      </c>
    </row>
    <row r="164" spans="1:2" x14ac:dyDescent="0.2">
      <c r="A164" t="s">
        <v>164</v>
      </c>
      <c r="B164">
        <v>4312.8283846153845</v>
      </c>
    </row>
    <row r="165" spans="1:2" x14ac:dyDescent="0.2">
      <c r="A165" t="s">
        <v>165</v>
      </c>
      <c r="B165">
        <v>5652.0126923076941</v>
      </c>
    </row>
    <row r="166" spans="1:2" x14ac:dyDescent="0.2">
      <c r="A166" t="s">
        <v>166</v>
      </c>
      <c r="B166">
        <v>1627.4709230769229</v>
      </c>
    </row>
    <row r="167" spans="1:2" x14ac:dyDescent="0.2">
      <c r="A167" t="s">
        <v>167</v>
      </c>
      <c r="B167">
        <v>3311.8016153846147</v>
      </c>
    </row>
    <row r="168" spans="1:2" x14ac:dyDescent="0.2">
      <c r="A168" t="s">
        <v>168</v>
      </c>
      <c r="B168">
        <v>1361.2356923076925</v>
      </c>
    </row>
    <row r="169" spans="1:2" x14ac:dyDescent="0.2">
      <c r="A169" t="s">
        <v>169</v>
      </c>
      <c r="B169">
        <v>4284.7996923076926</v>
      </c>
    </row>
    <row r="170" spans="1:2" x14ac:dyDescent="0.2">
      <c r="A170" t="s">
        <v>170</v>
      </c>
      <c r="B170">
        <v>1614.4108461538467</v>
      </c>
    </row>
    <row r="171" spans="1:2" x14ac:dyDescent="0.2">
      <c r="A171" t="s">
        <v>171</v>
      </c>
      <c r="B171">
        <v>813.00907692307692</v>
      </c>
    </row>
    <row r="172" spans="1:2" x14ac:dyDescent="0.2">
      <c r="A172" t="s">
        <v>172</v>
      </c>
      <c r="B172">
        <v>2137.1916923076924</v>
      </c>
    </row>
    <row r="173" spans="1:2" x14ac:dyDescent="0.2">
      <c r="A173" t="s">
        <v>173</v>
      </c>
      <c r="B173">
        <v>2270.8553076923076</v>
      </c>
    </row>
    <row r="174" spans="1:2" x14ac:dyDescent="0.2">
      <c r="A174" t="s">
        <v>174</v>
      </c>
      <c r="B174">
        <v>2482.6723076923081</v>
      </c>
    </row>
    <row r="175" spans="1:2" x14ac:dyDescent="0.2">
      <c r="A175" t="s">
        <v>175</v>
      </c>
      <c r="B175">
        <v>5562.4298461538465</v>
      </c>
    </row>
    <row r="176" spans="1:2" x14ac:dyDescent="0.2">
      <c r="A176" t="s">
        <v>176</v>
      </c>
      <c r="B176">
        <v>1643.4783846153846</v>
      </c>
    </row>
    <row r="177" spans="1:2" x14ac:dyDescent="0.2">
      <c r="A177" t="s">
        <v>177</v>
      </c>
      <c r="B177">
        <v>8283.0489230769235</v>
      </c>
    </row>
    <row r="178" spans="1:2" x14ac:dyDescent="0.2">
      <c r="A178" t="s">
        <v>178</v>
      </c>
      <c r="B178">
        <v>4891.411538461537</v>
      </c>
    </row>
    <row r="179" spans="1:2" x14ac:dyDescent="0.2">
      <c r="A179" t="s">
        <v>179</v>
      </c>
      <c r="B179">
        <v>1293.6631538461536</v>
      </c>
    </row>
    <row r="180" spans="1:2" x14ac:dyDescent="0.2">
      <c r="A180" t="s">
        <v>180</v>
      </c>
      <c r="B180">
        <v>6409.0523076923055</v>
      </c>
    </row>
    <row r="181" spans="1:2" x14ac:dyDescent="0.2">
      <c r="A181" t="s">
        <v>181</v>
      </c>
      <c r="B181">
        <v>2725.2226153846159</v>
      </c>
    </row>
    <row r="182" spans="1:2" x14ac:dyDescent="0.2">
      <c r="A182" t="s">
        <v>182</v>
      </c>
      <c r="B182">
        <v>4885.2636153846152</v>
      </c>
    </row>
    <row r="183" spans="1:2" x14ac:dyDescent="0.2">
      <c r="A183" t="s">
        <v>183</v>
      </c>
      <c r="B183">
        <v>1484.0135384615385</v>
      </c>
    </row>
    <row r="184" spans="1:2" x14ac:dyDescent="0.2">
      <c r="A184" t="s">
        <v>184</v>
      </c>
      <c r="B184">
        <v>4906.5719230769218</v>
      </c>
    </row>
    <row r="185" spans="1:2" x14ac:dyDescent="0.2">
      <c r="A185" t="s">
        <v>185</v>
      </c>
      <c r="B185">
        <v>6277.0664615384621</v>
      </c>
    </row>
    <row r="186" spans="1:2" x14ac:dyDescent="0.2">
      <c r="A186" t="s">
        <v>186</v>
      </c>
      <c r="B186">
        <v>2766.361230769232</v>
      </c>
    </row>
    <row r="187" spans="1:2" x14ac:dyDescent="0.2">
      <c r="A187" t="s">
        <v>187</v>
      </c>
      <c r="B187">
        <v>2142.8618461538463</v>
      </c>
    </row>
    <row r="188" spans="1:2" x14ac:dyDescent="0.2">
      <c r="A188" t="s">
        <v>188</v>
      </c>
      <c r="B188">
        <v>2730.9979999999996</v>
      </c>
    </row>
    <row r="189" spans="1:2" x14ac:dyDescent="0.2">
      <c r="A189" t="s">
        <v>189</v>
      </c>
      <c r="B189">
        <v>792.05630769230777</v>
      </c>
    </row>
    <row r="190" spans="1:2" x14ac:dyDescent="0.2">
      <c r="A190" t="s">
        <v>190</v>
      </c>
      <c r="B190">
        <v>499.5143846153847</v>
      </c>
    </row>
    <row r="191" spans="1:2" x14ac:dyDescent="0.2">
      <c r="A191" t="s">
        <v>191</v>
      </c>
      <c r="B191">
        <v>1654.738230769231</v>
      </c>
    </row>
    <row r="192" spans="1:2" x14ac:dyDescent="0.2">
      <c r="A192" t="s">
        <v>192</v>
      </c>
      <c r="B192">
        <v>1709.0194615384614</v>
      </c>
    </row>
    <row r="193" spans="1:2" x14ac:dyDescent="0.2">
      <c r="A193" t="s">
        <v>193</v>
      </c>
      <c r="B193">
        <v>2770.9413076923074</v>
      </c>
    </row>
    <row r="194" spans="1:2" x14ac:dyDescent="0.2">
      <c r="A194" t="s">
        <v>194</v>
      </c>
      <c r="B194">
        <v>2324.4300000000003</v>
      </c>
    </row>
    <row r="195" spans="1:2" x14ac:dyDescent="0.2">
      <c r="A195" t="s">
        <v>195</v>
      </c>
      <c r="B195">
        <v>2004.7299230769231</v>
      </c>
    </row>
    <row r="196" spans="1:2" x14ac:dyDescent="0.2">
      <c r="A196" t="s">
        <v>196</v>
      </c>
      <c r="B196">
        <v>10601.421846153846</v>
      </c>
    </row>
    <row r="197" spans="1:2" x14ac:dyDescent="0.2">
      <c r="A197" t="s">
        <v>197</v>
      </c>
      <c r="B197">
        <v>4345.5904615384616</v>
      </c>
    </row>
    <row r="198" spans="1:2" x14ac:dyDescent="0.2">
      <c r="A198" t="s">
        <v>198</v>
      </c>
      <c r="B198">
        <v>7206.8101538461551</v>
      </c>
    </row>
    <row r="199" spans="1:2" x14ac:dyDescent="0.2">
      <c r="A199" t="s">
        <v>199</v>
      </c>
      <c r="B199">
        <v>1734.3002307692304</v>
      </c>
    </row>
    <row r="200" spans="1:2" x14ac:dyDescent="0.2">
      <c r="A200" t="s">
        <v>200</v>
      </c>
      <c r="B200">
        <v>3479.4842307692306</v>
      </c>
    </row>
    <row r="201" spans="1:2" x14ac:dyDescent="0.2">
      <c r="A201" t="s">
        <v>201</v>
      </c>
      <c r="B201">
        <v>6149.4472307692313</v>
      </c>
    </row>
    <row r="202" spans="1:2" x14ac:dyDescent="0.2">
      <c r="A202" t="s">
        <v>202</v>
      </c>
      <c r="B202">
        <v>4327.1615384615397</v>
      </c>
    </row>
    <row r="203" spans="1:2" x14ac:dyDescent="0.2">
      <c r="A203" t="s">
        <v>203</v>
      </c>
      <c r="B203">
        <v>1322.8609999999996</v>
      </c>
    </row>
    <row r="204" spans="1:2" x14ac:dyDescent="0.2">
      <c r="A204" t="s">
        <v>204</v>
      </c>
      <c r="B204">
        <v>2697.7316923076919</v>
      </c>
    </row>
    <row r="205" spans="1:2" x14ac:dyDescent="0.2">
      <c r="A205" t="s">
        <v>205</v>
      </c>
      <c r="B205">
        <v>1465.650076923077</v>
      </c>
    </row>
    <row r="206" spans="1:2" x14ac:dyDescent="0.2">
      <c r="A206" t="s">
        <v>206</v>
      </c>
      <c r="B206">
        <v>2627.1316153846151</v>
      </c>
    </row>
    <row r="207" spans="1:2" x14ac:dyDescent="0.2">
      <c r="A207" t="s">
        <v>207</v>
      </c>
      <c r="B207">
        <v>2825.2004615384617</v>
      </c>
    </row>
    <row r="208" spans="1:2" x14ac:dyDescent="0.2">
      <c r="A208" t="s">
        <v>208</v>
      </c>
      <c r="B208">
        <v>5098.4477692307682</v>
      </c>
    </row>
    <row r="209" spans="1:2" x14ac:dyDescent="0.2">
      <c r="A209" t="s">
        <v>209</v>
      </c>
      <c r="B209">
        <v>1642.0233076923075</v>
      </c>
    </row>
    <row r="210" spans="1:2" x14ac:dyDescent="0.2">
      <c r="A210" t="s">
        <v>210</v>
      </c>
      <c r="B210">
        <v>2087.5774615384616</v>
      </c>
    </row>
    <row r="211" spans="1:2" x14ac:dyDescent="0.2">
      <c r="A211" t="s">
        <v>211</v>
      </c>
      <c r="B211">
        <v>1730.0313846153842</v>
      </c>
    </row>
    <row r="212" spans="1:2" x14ac:dyDescent="0.2">
      <c r="A212" t="s">
        <v>212</v>
      </c>
      <c r="B212">
        <v>2931.3690769230775</v>
      </c>
    </row>
    <row r="213" spans="1:2" x14ac:dyDescent="0.2">
      <c r="A213" t="s">
        <v>213</v>
      </c>
      <c r="B213">
        <v>3578.3460000000009</v>
      </c>
    </row>
    <row r="214" spans="1:2" x14ac:dyDescent="0.2">
      <c r="A214" t="s">
        <v>214</v>
      </c>
      <c r="B214">
        <v>4117.346307692309</v>
      </c>
    </row>
    <row r="215" spans="1:2" x14ac:dyDescent="0.2">
      <c r="A215" t="s">
        <v>215</v>
      </c>
      <c r="B215">
        <v>3636.8222307692304</v>
      </c>
    </row>
    <row r="216" spans="1:2" x14ac:dyDescent="0.2">
      <c r="A216" t="s">
        <v>216</v>
      </c>
      <c r="B216">
        <v>259.80500000000001</v>
      </c>
    </row>
    <row r="217" spans="1:2" x14ac:dyDescent="0.2">
      <c r="A217" t="s">
        <v>217</v>
      </c>
      <c r="B217">
        <v>1221.5019230769228</v>
      </c>
    </row>
    <row r="218" spans="1:2" x14ac:dyDescent="0.2">
      <c r="A218" t="s">
        <v>218</v>
      </c>
      <c r="B218">
        <v>3952.5497692307699</v>
      </c>
    </row>
    <row r="219" spans="1:2" x14ac:dyDescent="0.2">
      <c r="A219" t="s">
        <v>219</v>
      </c>
      <c r="B219">
        <v>5111.2114615384617</v>
      </c>
    </row>
    <row r="220" spans="1:2" x14ac:dyDescent="0.2">
      <c r="A220" t="s">
        <v>220</v>
      </c>
      <c r="B220">
        <v>3714.9349999999999</v>
      </c>
    </row>
    <row r="221" spans="1:2" x14ac:dyDescent="0.2">
      <c r="A221" t="s">
        <v>221</v>
      </c>
      <c r="B221">
        <v>1012.3913076923077</v>
      </c>
    </row>
    <row r="222" spans="1:2" x14ac:dyDescent="0.2">
      <c r="A222" t="s">
        <v>222</v>
      </c>
      <c r="B222">
        <v>733.07223076923071</v>
      </c>
    </row>
    <row r="223" spans="1:2" x14ac:dyDescent="0.2">
      <c r="A223" t="s">
        <v>223</v>
      </c>
      <c r="B223">
        <v>3440.1655384615383</v>
      </c>
    </row>
    <row r="224" spans="1:2" x14ac:dyDescent="0.2">
      <c r="A224" t="s">
        <v>224</v>
      </c>
      <c r="B224">
        <v>1560.4282307692308</v>
      </c>
    </row>
    <row r="225" spans="1:2" x14ac:dyDescent="0.2">
      <c r="A225" t="s">
        <v>225</v>
      </c>
      <c r="B225">
        <v>4450.4343076923078</v>
      </c>
    </row>
    <row r="226" spans="1:2" x14ac:dyDescent="0.2">
      <c r="A226" t="s">
        <v>226</v>
      </c>
      <c r="B226">
        <v>656.94930769230757</v>
      </c>
    </row>
    <row r="227" spans="1:2" x14ac:dyDescent="0.2">
      <c r="A227" t="s">
        <v>227</v>
      </c>
      <c r="B227">
        <v>3554.8623846153855</v>
      </c>
    </row>
    <row r="228" spans="1:2" x14ac:dyDescent="0.2">
      <c r="A228" t="s">
        <v>228</v>
      </c>
      <c r="B228">
        <v>4640.5063076923079</v>
      </c>
    </row>
    <row r="229" spans="1:2" x14ac:dyDescent="0.2">
      <c r="A229" t="s">
        <v>229</v>
      </c>
      <c r="B229">
        <v>2299.324461538461</v>
      </c>
    </row>
    <row r="230" spans="1:2" x14ac:dyDescent="0.2">
      <c r="A230" t="s">
        <v>230</v>
      </c>
      <c r="B230">
        <v>3143.4183846153851</v>
      </c>
    </row>
    <row r="231" spans="1:2" x14ac:dyDescent="0.2">
      <c r="A231" t="s">
        <v>231</v>
      </c>
      <c r="B231">
        <v>1221.0574615384614</v>
      </c>
    </row>
    <row r="232" spans="1:2" x14ac:dyDescent="0.2">
      <c r="A232" t="s">
        <v>232</v>
      </c>
      <c r="B232">
        <v>1797.2970769230769</v>
      </c>
    </row>
    <row r="233" spans="1:2" x14ac:dyDescent="0.2">
      <c r="A233" t="s">
        <v>233</v>
      </c>
      <c r="B233">
        <v>412.10869230769237</v>
      </c>
    </row>
    <row r="234" spans="1:2" x14ac:dyDescent="0.2">
      <c r="A234" t="s">
        <v>234</v>
      </c>
      <c r="B234">
        <v>1169.3678461538459</v>
      </c>
    </row>
    <row r="235" spans="1:2" x14ac:dyDescent="0.2">
      <c r="A235" t="s">
        <v>235</v>
      </c>
      <c r="B235">
        <v>2691.1117692307689</v>
      </c>
    </row>
    <row r="236" spans="1:2" x14ac:dyDescent="0.2">
      <c r="A236" t="s">
        <v>236</v>
      </c>
      <c r="B236">
        <v>1072.5453846153848</v>
      </c>
    </row>
    <row r="237" spans="1:2" x14ac:dyDescent="0.2">
      <c r="A237" t="s">
        <v>237</v>
      </c>
      <c r="B237">
        <v>3119.3603076923077</v>
      </c>
    </row>
    <row r="238" spans="1:2" x14ac:dyDescent="0.2">
      <c r="A238" t="s">
        <v>238</v>
      </c>
      <c r="B238">
        <v>3446.8194615384618</v>
      </c>
    </row>
    <row r="239" spans="1:2" x14ac:dyDescent="0.2">
      <c r="A239" t="s">
        <v>239</v>
      </c>
      <c r="B239">
        <v>2492.7443076923073</v>
      </c>
    </row>
    <row r="240" spans="1:2" x14ac:dyDescent="0.2">
      <c r="A240" t="s">
        <v>240</v>
      </c>
      <c r="B240">
        <v>1647.9442307692304</v>
      </c>
    </row>
    <row r="241" spans="1:2" x14ac:dyDescent="0.2">
      <c r="A241" t="s">
        <v>241</v>
      </c>
      <c r="B241">
        <v>4009.1255384615374</v>
      </c>
    </row>
    <row r="242" spans="1:2" x14ac:dyDescent="0.2">
      <c r="A242" t="s">
        <v>242</v>
      </c>
      <c r="B242">
        <v>3117.7605384615385</v>
      </c>
    </row>
    <row r="243" spans="1:2" x14ac:dyDescent="0.2">
      <c r="A243" t="s">
        <v>243</v>
      </c>
      <c r="B243">
        <v>5506.8463846153845</v>
      </c>
    </row>
    <row r="244" spans="1:2" x14ac:dyDescent="0.2">
      <c r="A244" t="s">
        <v>244</v>
      </c>
      <c r="B244">
        <v>36989.436153846167</v>
      </c>
    </row>
    <row r="245" spans="1:2" x14ac:dyDescent="0.2">
      <c r="A245" t="s">
        <v>245</v>
      </c>
      <c r="B245">
        <v>108.4426923076923</v>
      </c>
    </row>
    <row r="246" spans="1:2" x14ac:dyDescent="0.2">
      <c r="A246" t="s">
        <v>246</v>
      </c>
      <c r="B246">
        <v>2181.8209999999999</v>
      </c>
    </row>
    <row r="247" spans="1:2" x14ac:dyDescent="0.2">
      <c r="A247" t="s">
        <v>247</v>
      </c>
      <c r="B247">
        <v>6004.5264615384613</v>
      </c>
    </row>
    <row r="248" spans="1:2" x14ac:dyDescent="0.2">
      <c r="A248" t="s">
        <v>248</v>
      </c>
      <c r="B248">
        <v>584.88492307692297</v>
      </c>
    </row>
    <row r="249" spans="1:2" x14ac:dyDescent="0.2">
      <c r="A249" t="s">
        <v>249</v>
      </c>
      <c r="B249">
        <v>4098.9762307692299</v>
      </c>
    </row>
    <row r="250" spans="1:2" x14ac:dyDescent="0.2">
      <c r="A250" t="s">
        <v>250</v>
      </c>
      <c r="B250">
        <v>612.36915384615384</v>
      </c>
    </row>
    <row r="251" spans="1:2" x14ac:dyDescent="0.2">
      <c r="A251" t="s">
        <v>251</v>
      </c>
      <c r="B251">
        <v>5680.4266153846129</v>
      </c>
    </row>
    <row r="252" spans="1:2" x14ac:dyDescent="0.2">
      <c r="A252" t="s">
        <v>252</v>
      </c>
      <c r="B252">
        <v>894.79284615384643</v>
      </c>
    </row>
    <row r="253" spans="1:2" x14ac:dyDescent="0.2">
      <c r="A253" t="s">
        <v>253</v>
      </c>
      <c r="B253">
        <v>2053.5288461538457</v>
      </c>
    </row>
    <row r="254" spans="1:2" x14ac:dyDescent="0.2">
      <c r="A254" t="s">
        <v>254</v>
      </c>
      <c r="B254">
        <v>6661.5866153846164</v>
      </c>
    </row>
    <row r="255" spans="1:2" x14ac:dyDescent="0.2">
      <c r="A255" t="s">
        <v>255</v>
      </c>
      <c r="B255">
        <v>1473.8526153846151</v>
      </c>
    </row>
    <row r="256" spans="1:2" x14ac:dyDescent="0.2">
      <c r="A256" t="s">
        <v>256</v>
      </c>
      <c r="B256">
        <v>5229.4630769230762</v>
      </c>
    </row>
    <row r="257" spans="1:2" x14ac:dyDescent="0.2">
      <c r="A257" t="s">
        <v>257</v>
      </c>
      <c r="B257">
        <v>4452.3200000000015</v>
      </c>
    </row>
    <row r="258" spans="1:2" x14ac:dyDescent="0.2">
      <c r="A258" t="s">
        <v>258</v>
      </c>
      <c r="B258">
        <v>3457.8276153846145</v>
      </c>
    </row>
    <row r="259" spans="1:2" x14ac:dyDescent="0.2">
      <c r="A259" t="s">
        <v>259</v>
      </c>
      <c r="B259">
        <v>1979.8813076923077</v>
      </c>
    </row>
    <row r="260" spans="1:2" x14ac:dyDescent="0.2">
      <c r="A260" t="s">
        <v>260</v>
      </c>
      <c r="B260">
        <v>919.79899999999975</v>
      </c>
    </row>
    <row r="261" spans="1:2" x14ac:dyDescent="0.2">
      <c r="A261" t="s">
        <v>261</v>
      </c>
      <c r="B261">
        <v>2836.0176153846151</v>
      </c>
    </row>
    <row r="262" spans="1:2" x14ac:dyDescent="0.2">
      <c r="A262" t="s">
        <v>262</v>
      </c>
      <c r="B262">
        <v>2641.3519999999994</v>
      </c>
    </row>
    <row r="263" spans="1:2" x14ac:dyDescent="0.2">
      <c r="A263" t="s">
        <v>263</v>
      </c>
      <c r="B263">
        <v>1019.4837692307691</v>
      </c>
    </row>
    <row r="264" spans="1:2" x14ac:dyDescent="0.2">
      <c r="A264" t="s">
        <v>264</v>
      </c>
      <c r="B264">
        <v>4132.7087692307678</v>
      </c>
    </row>
    <row r="265" spans="1:2" x14ac:dyDescent="0.2">
      <c r="A265" t="s">
        <v>265</v>
      </c>
      <c r="B265">
        <v>5399.0259230769243</v>
      </c>
    </row>
    <row r="266" spans="1:2" x14ac:dyDescent="0.2">
      <c r="A266" t="s">
        <v>266</v>
      </c>
      <c r="B266">
        <v>1435.161076923077</v>
      </c>
    </row>
    <row r="267" spans="1:2" x14ac:dyDescent="0.2">
      <c r="A267" t="s">
        <v>267</v>
      </c>
      <c r="B267">
        <v>2851.8307692307694</v>
      </c>
    </row>
    <row r="268" spans="1:2" x14ac:dyDescent="0.2">
      <c r="A268" t="s">
        <v>268</v>
      </c>
      <c r="B268">
        <v>13873.485076923072</v>
      </c>
    </row>
    <row r="269" spans="1:2" x14ac:dyDescent="0.2">
      <c r="A269" t="s">
        <v>269</v>
      </c>
      <c r="B269">
        <v>4300.9040769230778</v>
      </c>
    </row>
    <row r="270" spans="1:2" x14ac:dyDescent="0.2">
      <c r="A270" t="s">
        <v>270</v>
      </c>
      <c r="B270">
        <v>1586.0204615384616</v>
      </c>
    </row>
    <row r="271" spans="1:2" x14ac:dyDescent="0.2">
      <c r="A271" t="s">
        <v>271</v>
      </c>
      <c r="B271">
        <v>4025.5919230769241</v>
      </c>
    </row>
    <row r="272" spans="1:2" x14ac:dyDescent="0.2">
      <c r="A272" t="s">
        <v>272</v>
      </c>
      <c r="B272">
        <v>1736.4016923076922</v>
      </c>
    </row>
    <row r="273" spans="1:2" x14ac:dyDescent="0.2">
      <c r="A273" t="s">
        <v>273</v>
      </c>
      <c r="B273">
        <v>1859.0050769230768</v>
      </c>
    </row>
    <row r="274" spans="1:2" x14ac:dyDescent="0.2">
      <c r="A274" t="s">
        <v>274</v>
      </c>
      <c r="B274">
        <v>2676.4413076923083</v>
      </c>
    </row>
    <row r="275" spans="1:2" x14ac:dyDescent="0.2">
      <c r="A275" t="s">
        <v>275</v>
      </c>
      <c r="B275">
        <v>13481.961923076924</v>
      </c>
    </row>
    <row r="276" spans="1:2" x14ac:dyDescent="0.2">
      <c r="A276" t="s">
        <v>276</v>
      </c>
      <c r="B276">
        <v>2586.3067692307695</v>
      </c>
    </row>
    <row r="277" spans="1:2" x14ac:dyDescent="0.2">
      <c r="A277" t="s">
        <v>277</v>
      </c>
      <c r="B277">
        <v>2781.9721538461536</v>
      </c>
    </row>
    <row r="278" spans="1:2" x14ac:dyDescent="0.2">
      <c r="A278" t="s">
        <v>278</v>
      </c>
      <c r="B278">
        <v>3491.6603846153853</v>
      </c>
    </row>
    <row r="279" spans="1:2" x14ac:dyDescent="0.2">
      <c r="A279" t="s">
        <v>279</v>
      </c>
      <c r="B279">
        <v>3527.8740000000003</v>
      </c>
    </row>
    <row r="280" spans="1:2" x14ac:dyDescent="0.2">
      <c r="A280" t="s">
        <v>280</v>
      </c>
      <c r="B280">
        <v>491.19661538461537</v>
      </c>
    </row>
    <row r="281" spans="1:2" x14ac:dyDescent="0.2">
      <c r="A281" t="s">
        <v>281</v>
      </c>
      <c r="B281">
        <v>1540.2969230769229</v>
      </c>
    </row>
    <row r="282" spans="1:2" x14ac:dyDescent="0.2">
      <c r="A282" t="s">
        <v>282</v>
      </c>
      <c r="B282">
        <v>980.37969230769238</v>
      </c>
    </row>
    <row r="283" spans="1:2" x14ac:dyDescent="0.2">
      <c r="A283" t="s">
        <v>283</v>
      </c>
      <c r="B283">
        <v>22676.199384615385</v>
      </c>
    </row>
    <row r="284" spans="1:2" x14ac:dyDescent="0.2">
      <c r="A284" t="s">
        <v>284</v>
      </c>
      <c r="B284">
        <v>5100.2533076923091</v>
      </c>
    </row>
    <row r="285" spans="1:2" x14ac:dyDescent="0.2">
      <c r="A285" t="s">
        <v>285</v>
      </c>
      <c r="B285">
        <v>1104.8523846153846</v>
      </c>
    </row>
    <row r="286" spans="1:2" x14ac:dyDescent="0.2">
      <c r="A286" t="s">
        <v>286</v>
      </c>
      <c r="B286">
        <v>2356.2323846153854</v>
      </c>
    </row>
    <row r="287" spans="1:2" x14ac:dyDescent="0.2">
      <c r="A287" t="s">
        <v>287</v>
      </c>
      <c r="B287">
        <v>2298.955769230769</v>
      </c>
    </row>
    <row r="288" spans="1:2" x14ac:dyDescent="0.2">
      <c r="A288" t="s">
        <v>288</v>
      </c>
      <c r="B288">
        <v>2158.3173076923072</v>
      </c>
    </row>
    <row r="289" spans="1:2" x14ac:dyDescent="0.2">
      <c r="A289" t="s">
        <v>289</v>
      </c>
      <c r="B289">
        <v>3210.9726923076933</v>
      </c>
    </row>
    <row r="290" spans="1:2" x14ac:dyDescent="0.2">
      <c r="A290" t="s">
        <v>290</v>
      </c>
      <c r="B290">
        <v>4536.5798461538452</v>
      </c>
    </row>
    <row r="291" spans="1:2" x14ac:dyDescent="0.2">
      <c r="A291" t="s">
        <v>291</v>
      </c>
      <c r="B291">
        <v>2866.961615384615</v>
      </c>
    </row>
    <row r="292" spans="1:2" x14ac:dyDescent="0.2">
      <c r="A292" t="s">
        <v>292</v>
      </c>
      <c r="B292">
        <v>3437.606153846154</v>
      </c>
    </row>
    <row r="293" spans="1:2" x14ac:dyDescent="0.2">
      <c r="A293" t="s">
        <v>293</v>
      </c>
      <c r="B293">
        <v>7865.7317692307697</v>
      </c>
    </row>
    <row r="294" spans="1:2" x14ac:dyDescent="0.2">
      <c r="A294" t="s">
        <v>294</v>
      </c>
      <c r="B294">
        <v>4675.494846153847</v>
      </c>
    </row>
    <row r="295" spans="1:2" x14ac:dyDescent="0.2">
      <c r="A295" t="s">
        <v>295</v>
      </c>
      <c r="B295">
        <v>3359.1425384615391</v>
      </c>
    </row>
    <row r="296" spans="1:2" x14ac:dyDescent="0.2">
      <c r="A296" t="s">
        <v>296</v>
      </c>
      <c r="B296">
        <v>4147.1056923076922</v>
      </c>
    </row>
    <row r="297" spans="1:2" x14ac:dyDescent="0.2">
      <c r="A297" t="s">
        <v>297</v>
      </c>
      <c r="B297">
        <v>460.20446153846154</v>
      </c>
    </row>
    <row r="298" spans="1:2" x14ac:dyDescent="0.2">
      <c r="A298" t="s">
        <v>298</v>
      </c>
      <c r="B298">
        <v>2453.7276923076915</v>
      </c>
    </row>
    <row r="299" spans="1:2" x14ac:dyDescent="0.2">
      <c r="A299" t="s">
        <v>299</v>
      </c>
      <c r="B299">
        <v>805.01130769230781</v>
      </c>
    </row>
    <row r="300" spans="1:2" x14ac:dyDescent="0.2">
      <c r="A300" t="s">
        <v>300</v>
      </c>
      <c r="B300">
        <v>5604.6146153846166</v>
      </c>
    </row>
    <row r="301" spans="1:2" x14ac:dyDescent="0.2">
      <c r="A301" t="s">
        <v>301</v>
      </c>
      <c r="B301">
        <v>1215.4093076923075</v>
      </c>
    </row>
    <row r="302" spans="1:2" x14ac:dyDescent="0.2">
      <c r="A302" t="s">
        <v>302</v>
      </c>
      <c r="B302">
        <v>2258.4985384615388</v>
      </c>
    </row>
    <row r="303" spans="1:2" x14ac:dyDescent="0.2">
      <c r="A303" t="s">
        <v>303</v>
      </c>
      <c r="B303">
        <v>2862.8708461538454</v>
      </c>
    </row>
    <row r="304" spans="1:2" x14ac:dyDescent="0.2">
      <c r="A304" t="s">
        <v>304</v>
      </c>
      <c r="B304">
        <v>6403.0807692307671</v>
      </c>
    </row>
    <row r="305" spans="1:2" x14ac:dyDescent="0.2">
      <c r="A305" t="s">
        <v>305</v>
      </c>
      <c r="B305">
        <v>792.62792307692303</v>
      </c>
    </row>
    <row r="306" spans="1:2" x14ac:dyDescent="0.2">
      <c r="A306" t="s">
        <v>306</v>
      </c>
      <c r="B306">
        <v>3317.8275384615386</v>
      </c>
    </row>
    <row r="307" spans="1:2" x14ac:dyDescent="0.2">
      <c r="A307" t="s">
        <v>307</v>
      </c>
      <c r="B307">
        <v>1338.1806153846155</v>
      </c>
    </row>
    <row r="308" spans="1:2" x14ac:dyDescent="0.2">
      <c r="A308" t="s">
        <v>308</v>
      </c>
      <c r="B308">
        <v>2507.5953846153852</v>
      </c>
    </row>
    <row r="309" spans="1:2" x14ac:dyDescent="0.2">
      <c r="A309" t="s">
        <v>309</v>
      </c>
      <c r="B309">
        <v>1734.545384615385</v>
      </c>
    </row>
    <row r="310" spans="1:2" x14ac:dyDescent="0.2">
      <c r="A310" t="s">
        <v>310</v>
      </c>
      <c r="B310">
        <v>961.2336153846154</v>
      </c>
    </row>
    <row r="311" spans="1:2" x14ac:dyDescent="0.2">
      <c r="A311" t="s">
        <v>311</v>
      </c>
      <c r="B311">
        <v>4519.9116153846153</v>
      </c>
    </row>
    <row r="312" spans="1:2" x14ac:dyDescent="0.2">
      <c r="A312" t="s">
        <v>312</v>
      </c>
      <c r="B312">
        <v>5975.3957692307695</v>
      </c>
    </row>
    <row r="313" spans="1:2" x14ac:dyDescent="0.2">
      <c r="A313" t="s">
        <v>313</v>
      </c>
      <c r="B313">
        <v>1957.8995384615384</v>
      </c>
    </row>
    <row r="314" spans="1:2" x14ac:dyDescent="0.2">
      <c r="A314" t="s">
        <v>314</v>
      </c>
      <c r="B314">
        <v>7770.577538461539</v>
      </c>
    </row>
    <row r="315" spans="1:2" x14ac:dyDescent="0.2">
      <c r="A315" t="s">
        <v>315</v>
      </c>
      <c r="B315">
        <v>3945.2555384615389</v>
      </c>
    </row>
    <row r="316" spans="1:2" x14ac:dyDescent="0.2">
      <c r="A316" t="s">
        <v>316</v>
      </c>
      <c r="B316">
        <v>552.75169230769234</v>
      </c>
    </row>
    <row r="317" spans="1:2" x14ac:dyDescent="0.2">
      <c r="A317" t="s">
        <v>317</v>
      </c>
      <c r="B317">
        <v>3735.976923076923</v>
      </c>
    </row>
    <row r="318" spans="1:2" x14ac:dyDescent="0.2">
      <c r="A318" t="s">
        <v>318</v>
      </c>
      <c r="B318">
        <v>7600.9759999999987</v>
      </c>
    </row>
    <row r="319" spans="1:2" x14ac:dyDescent="0.2">
      <c r="A319" t="s">
        <v>319</v>
      </c>
      <c r="B319">
        <v>3518.0049230769218</v>
      </c>
    </row>
    <row r="320" spans="1:2" x14ac:dyDescent="0.2">
      <c r="A320" t="s">
        <v>320</v>
      </c>
      <c r="B320">
        <v>1727.7886923076921</v>
      </c>
    </row>
    <row r="321" spans="1:2" x14ac:dyDescent="0.2">
      <c r="A321" t="s">
        <v>321</v>
      </c>
      <c r="B321">
        <v>2611.315076923077</v>
      </c>
    </row>
    <row r="322" spans="1:2" x14ac:dyDescent="0.2">
      <c r="A322" t="s">
        <v>322</v>
      </c>
      <c r="B322">
        <v>1716.002</v>
      </c>
    </row>
    <row r="323" spans="1:2" x14ac:dyDescent="0.2">
      <c r="A323" t="s">
        <v>323</v>
      </c>
      <c r="B323">
        <v>1525.401076923077</v>
      </c>
    </row>
    <row r="324" spans="1:2" x14ac:dyDescent="0.2">
      <c r="A324" t="s">
        <v>324</v>
      </c>
      <c r="B324">
        <v>3282.3194615384618</v>
      </c>
    </row>
    <row r="325" spans="1:2" x14ac:dyDescent="0.2">
      <c r="A325" t="s">
        <v>325</v>
      </c>
      <c r="B325">
        <v>2012.1597692307694</v>
      </c>
    </row>
    <row r="326" spans="1:2" x14ac:dyDescent="0.2">
      <c r="A326" t="s">
        <v>326</v>
      </c>
      <c r="B326">
        <v>2864.2891538461545</v>
      </c>
    </row>
    <row r="327" spans="1:2" x14ac:dyDescent="0.2">
      <c r="A327" t="s">
        <v>327</v>
      </c>
      <c r="B327">
        <v>3090.0236923076927</v>
      </c>
    </row>
    <row r="328" spans="1:2" x14ac:dyDescent="0.2">
      <c r="A328" t="s">
        <v>328</v>
      </c>
      <c r="B328">
        <v>832.60153846153833</v>
      </c>
    </row>
    <row r="329" spans="1:2" x14ac:dyDescent="0.2">
      <c r="A329" t="s">
        <v>329</v>
      </c>
      <c r="B329">
        <v>874.29453846153854</v>
      </c>
    </row>
    <row r="330" spans="1:2" x14ac:dyDescent="0.2">
      <c r="A330" t="s">
        <v>330</v>
      </c>
      <c r="B330">
        <v>6921.7013846153814</v>
      </c>
    </row>
    <row r="331" spans="1:2" x14ac:dyDescent="0.2">
      <c r="A331" t="s">
        <v>331</v>
      </c>
      <c r="B331">
        <v>8030.8012307692297</v>
      </c>
    </row>
    <row r="332" spans="1:2" x14ac:dyDescent="0.2">
      <c r="A332" t="s">
        <v>332</v>
      </c>
      <c r="B332">
        <v>1706.3989230769232</v>
      </c>
    </row>
    <row r="333" spans="1:2" x14ac:dyDescent="0.2">
      <c r="A333" t="s">
        <v>333</v>
      </c>
      <c r="B333">
        <v>2519.6305384615389</v>
      </c>
    </row>
    <row r="334" spans="1:2" x14ac:dyDescent="0.2">
      <c r="A334" t="s">
        <v>334</v>
      </c>
      <c r="B334">
        <v>4910.8412307692315</v>
      </c>
    </row>
    <row r="335" spans="1:2" x14ac:dyDescent="0.2">
      <c r="A335" t="s">
        <v>335</v>
      </c>
      <c r="B335">
        <v>2716.5984615384618</v>
      </c>
    </row>
    <row r="336" spans="1:2" x14ac:dyDescent="0.2">
      <c r="A336" t="s">
        <v>336</v>
      </c>
      <c r="B336">
        <v>5736.3126153846133</v>
      </c>
    </row>
    <row r="337" spans="1:2" x14ac:dyDescent="0.2">
      <c r="A337" t="s">
        <v>337</v>
      </c>
      <c r="B337">
        <v>630.71276923076925</v>
      </c>
    </row>
    <row r="338" spans="1:2" x14ac:dyDescent="0.2">
      <c r="A338" t="s">
        <v>338</v>
      </c>
      <c r="B338">
        <v>3056.6441538461531</v>
      </c>
    </row>
    <row r="339" spans="1:2" x14ac:dyDescent="0.2">
      <c r="A339" t="s">
        <v>339</v>
      </c>
      <c r="B339">
        <v>2539.4899230769233</v>
      </c>
    </row>
    <row r="340" spans="1:2" x14ac:dyDescent="0.2">
      <c r="A340" t="s">
        <v>340</v>
      </c>
      <c r="B340">
        <v>3311.7866153846148</v>
      </c>
    </row>
    <row r="341" spans="1:2" x14ac:dyDescent="0.2">
      <c r="A341" t="s">
        <v>341</v>
      </c>
      <c r="B341">
        <v>1799.1849230769233</v>
      </c>
    </row>
    <row r="342" spans="1:2" x14ac:dyDescent="0.2">
      <c r="A342" t="s">
        <v>342</v>
      </c>
      <c r="B342">
        <v>2239.2741538461541</v>
      </c>
    </row>
    <row r="343" spans="1:2" x14ac:dyDescent="0.2">
      <c r="A343" t="s">
        <v>343</v>
      </c>
      <c r="B343">
        <v>7842.4889999999978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64E8-9FF7-AA42-B7DD-E844958F1613}">
  <sheetPr>
    <tabColor theme="9" tint="0.39997558519241921"/>
  </sheetPr>
  <dimension ref="A1:F343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693</v>
      </c>
      <c r="C1" s="1" t="s">
        <v>694</v>
      </c>
      <c r="D1" s="1" t="s">
        <v>344</v>
      </c>
      <c r="E1" s="1" t="s">
        <v>702</v>
      </c>
      <c r="F1" s="1" t="s">
        <v>703</v>
      </c>
    </row>
    <row r="2" spans="1:6" x14ac:dyDescent="0.2">
      <c r="A2" t="s">
        <v>2</v>
      </c>
      <c r="B2">
        <v>187.48842647030909</v>
      </c>
      <c r="C2">
        <v>8.405868743878997E-3</v>
      </c>
      <c r="D2">
        <v>0</v>
      </c>
      <c r="E2">
        <v>276.06032316816174</v>
      </c>
      <c r="F2">
        <v>0</v>
      </c>
    </row>
    <row r="3" spans="1:6" x14ac:dyDescent="0.2">
      <c r="A3" t="s">
        <v>3</v>
      </c>
      <c r="B3">
        <v>7.6329903408542199</v>
      </c>
      <c r="C3">
        <v>3.4221800319326665E-4</v>
      </c>
      <c r="D3">
        <v>1.1068605007412372E-2</v>
      </c>
      <c r="E3">
        <v>20.098981930911101</v>
      </c>
      <c r="F3">
        <v>0</v>
      </c>
    </row>
    <row r="4" spans="1:6" x14ac:dyDescent="0.2">
      <c r="A4" t="s">
        <v>4</v>
      </c>
      <c r="B4">
        <v>80.464677651704065</v>
      </c>
      <c r="C4">
        <v>3.6075587789194535E-3</v>
      </c>
      <c r="D4">
        <v>0</v>
      </c>
      <c r="E4">
        <v>96.530352115103554</v>
      </c>
      <c r="F4">
        <v>0</v>
      </c>
    </row>
    <row r="5" spans="1:6" x14ac:dyDescent="0.2">
      <c r="A5" t="s">
        <v>5</v>
      </c>
      <c r="B5">
        <v>85.163222537116724</v>
      </c>
      <c r="C5">
        <v>3.8182136568633853E-3</v>
      </c>
      <c r="D5">
        <v>8.091987041411256E-5</v>
      </c>
      <c r="E5">
        <v>102.20595714229219</v>
      </c>
      <c r="F5">
        <v>0</v>
      </c>
    </row>
    <row r="6" spans="1:6" x14ac:dyDescent="0.2">
      <c r="A6" t="s">
        <v>6</v>
      </c>
      <c r="B6">
        <v>2.9173258002609002</v>
      </c>
      <c r="C6">
        <v>1.3079558147557614E-4</v>
      </c>
      <c r="D6">
        <v>0</v>
      </c>
      <c r="E6">
        <v>8.7726386295683465</v>
      </c>
      <c r="F6">
        <v>0</v>
      </c>
    </row>
    <row r="7" spans="1:6" x14ac:dyDescent="0.2">
      <c r="A7" t="s">
        <v>7</v>
      </c>
      <c r="B7">
        <v>10.912898559213502</v>
      </c>
      <c r="C7">
        <v>4.8926962922984354E-4</v>
      </c>
      <c r="D7">
        <v>3.0093901027849031E-4</v>
      </c>
      <c r="E7">
        <v>21.665085701468293</v>
      </c>
      <c r="F7">
        <v>0</v>
      </c>
    </row>
    <row r="8" spans="1:6" x14ac:dyDescent="0.2">
      <c r="A8" t="s">
        <v>8</v>
      </c>
      <c r="B8">
        <v>77.929015513536655</v>
      </c>
      <c r="C8">
        <v>3.4938747317837006E-3</v>
      </c>
      <c r="D8">
        <v>3.3622706952999524E-4</v>
      </c>
      <c r="E8">
        <v>110.31265219516035</v>
      </c>
      <c r="F8">
        <v>0</v>
      </c>
    </row>
    <row r="9" spans="1:6" x14ac:dyDescent="0.2">
      <c r="A9" t="s">
        <v>9</v>
      </c>
      <c r="B9">
        <v>35.396501019881278</v>
      </c>
      <c r="C9">
        <v>1.5869691114657662E-3</v>
      </c>
      <c r="D9">
        <v>0</v>
      </c>
      <c r="E9">
        <v>67.180698665028871</v>
      </c>
      <c r="F9">
        <v>0</v>
      </c>
    </row>
    <row r="10" spans="1:6" x14ac:dyDescent="0.2">
      <c r="A10" t="s">
        <v>10</v>
      </c>
      <c r="B10">
        <v>32.413440059292292</v>
      </c>
      <c r="C10">
        <v>1.4532263553833178E-3</v>
      </c>
      <c r="D10">
        <v>8.9035873779613316E-3</v>
      </c>
      <c r="E10">
        <v>129.17945664968752</v>
      </c>
      <c r="F10">
        <v>0</v>
      </c>
    </row>
    <row r="11" spans="1:6" x14ac:dyDescent="0.2">
      <c r="A11" t="s">
        <v>11</v>
      </c>
      <c r="B11">
        <v>93.385315180046817</v>
      </c>
      <c r="C11">
        <v>4.1868435123570439E-3</v>
      </c>
      <c r="D11">
        <v>4.7111813387507272E-3</v>
      </c>
      <c r="E11">
        <v>125.92551873681799</v>
      </c>
      <c r="F11">
        <v>0</v>
      </c>
    </row>
    <row r="12" spans="1:6" x14ac:dyDescent="0.2">
      <c r="A12" t="s">
        <v>12</v>
      </c>
      <c r="B12">
        <v>65.508470443524118</v>
      </c>
      <c r="C12">
        <v>2.9370111773152196E-3</v>
      </c>
      <c r="D12">
        <v>1.16567595994736E-3</v>
      </c>
      <c r="E12">
        <v>92.980240047021994</v>
      </c>
      <c r="F12">
        <v>0</v>
      </c>
    </row>
    <row r="13" spans="1:6" x14ac:dyDescent="0.2">
      <c r="A13" t="s">
        <v>13</v>
      </c>
      <c r="B13">
        <v>154.74114158246991</v>
      </c>
      <c r="C13">
        <v>6.9376747669607445E-3</v>
      </c>
      <c r="D13">
        <v>2.3249888521817432E-3</v>
      </c>
      <c r="E13">
        <v>199.7398075973073</v>
      </c>
      <c r="F13">
        <v>0</v>
      </c>
    </row>
    <row r="14" spans="1:6" x14ac:dyDescent="0.2">
      <c r="A14" t="s">
        <v>14</v>
      </c>
      <c r="B14">
        <v>19.245650355670733</v>
      </c>
      <c r="C14">
        <v>8.6286078466808953E-4</v>
      </c>
      <c r="D14">
        <v>0</v>
      </c>
      <c r="E14">
        <v>56.591981678304556</v>
      </c>
      <c r="F14">
        <v>211.14660931307256</v>
      </c>
    </row>
    <row r="15" spans="1:6" x14ac:dyDescent="0.2">
      <c r="A15" t="s">
        <v>15</v>
      </c>
      <c r="B15">
        <v>19.368912306528866</v>
      </c>
      <c r="C15">
        <v>8.6838711927729277E-4</v>
      </c>
      <c r="D15">
        <v>0</v>
      </c>
      <c r="E15">
        <v>62.491849067000828</v>
      </c>
      <c r="F15">
        <v>0</v>
      </c>
    </row>
    <row r="16" spans="1:6" x14ac:dyDescent="0.2">
      <c r="A16" t="s">
        <v>16</v>
      </c>
      <c r="B16">
        <v>15.8029984682228</v>
      </c>
      <c r="C16">
        <v>7.0851269800719188E-4</v>
      </c>
      <c r="D16">
        <v>7.9027909013034709E-3</v>
      </c>
      <c r="E16">
        <v>41.113715183294232</v>
      </c>
      <c r="F16">
        <v>0</v>
      </c>
    </row>
    <row r="17" spans="1:6" x14ac:dyDescent="0.2">
      <c r="A17" t="s">
        <v>17</v>
      </c>
      <c r="B17">
        <v>44.152688492926117</v>
      </c>
      <c r="C17">
        <v>1.9795446105559372E-3</v>
      </c>
      <c r="D17">
        <v>1.8033875056239651E-3</v>
      </c>
      <c r="E17">
        <v>188.12228878629364</v>
      </c>
      <c r="F17">
        <v>0</v>
      </c>
    </row>
    <row r="18" spans="1:6" x14ac:dyDescent="0.2">
      <c r="A18" t="s">
        <v>18</v>
      </c>
      <c r="B18">
        <v>82.736473716488405</v>
      </c>
      <c r="C18">
        <v>3.7094126367439102E-3</v>
      </c>
      <c r="D18">
        <v>3.3438636068200796E-4</v>
      </c>
      <c r="E18">
        <v>339.86101313860593</v>
      </c>
      <c r="F18">
        <v>0</v>
      </c>
    </row>
    <row r="19" spans="1:6" x14ac:dyDescent="0.2">
      <c r="A19" t="s">
        <v>19</v>
      </c>
      <c r="B19">
        <v>15.721138042859431</v>
      </c>
      <c r="C19">
        <v>7.0484256218133296E-4</v>
      </c>
      <c r="D19">
        <v>8.9847798190023593E-5</v>
      </c>
      <c r="E19">
        <v>97.739964257544329</v>
      </c>
      <c r="F19">
        <v>0</v>
      </c>
    </row>
    <row r="20" spans="1:6" x14ac:dyDescent="0.2">
      <c r="A20" t="s">
        <v>20</v>
      </c>
      <c r="B20">
        <v>39.647122560302755</v>
      </c>
      <c r="C20">
        <v>1.7775417639827788E-3</v>
      </c>
      <c r="D20">
        <v>0</v>
      </c>
      <c r="E20">
        <v>81.877477601711831</v>
      </c>
      <c r="F20">
        <v>0</v>
      </c>
    </row>
    <row r="21" spans="1:6" x14ac:dyDescent="0.2">
      <c r="A21" t="s">
        <v>21</v>
      </c>
      <c r="B21">
        <v>45.879823398899745</v>
      </c>
      <c r="C21">
        <v>2.0569790932912502E-3</v>
      </c>
      <c r="D21">
        <v>9.790721306175719E-3</v>
      </c>
      <c r="E21">
        <v>70.211320655465073</v>
      </c>
      <c r="F21">
        <v>0</v>
      </c>
    </row>
    <row r="22" spans="1:6" x14ac:dyDescent="0.2">
      <c r="A22" t="s">
        <v>22</v>
      </c>
      <c r="B22">
        <v>62.805504733055677</v>
      </c>
      <c r="C22">
        <v>2.8158262305473108E-3</v>
      </c>
      <c r="D22">
        <v>2.9409068778588483E-4</v>
      </c>
      <c r="E22">
        <v>76.124566310967509</v>
      </c>
      <c r="F22">
        <v>0</v>
      </c>
    </row>
    <row r="23" spans="1:6" x14ac:dyDescent="0.2">
      <c r="A23" t="s">
        <v>23</v>
      </c>
      <c r="B23">
        <v>7.6360630522261026</v>
      </c>
      <c r="C23">
        <v>3.4235576534192896E-4</v>
      </c>
      <c r="D23">
        <v>0</v>
      </c>
      <c r="E23">
        <v>32.540049408747294</v>
      </c>
      <c r="F23">
        <v>0</v>
      </c>
    </row>
    <row r="24" spans="1:6" x14ac:dyDescent="0.2">
      <c r="A24" t="s">
        <v>24</v>
      </c>
      <c r="B24">
        <v>3.472410552611743</v>
      </c>
      <c r="C24">
        <v>1.5568228865975892E-4</v>
      </c>
      <c r="D24">
        <v>1.2320904253928188E-3</v>
      </c>
      <c r="E24">
        <v>19.577332271842522</v>
      </c>
      <c r="F24">
        <v>0</v>
      </c>
    </row>
    <row r="25" spans="1:6" x14ac:dyDescent="0.2">
      <c r="A25" t="s">
        <v>25</v>
      </c>
      <c r="B25">
        <v>93.89116633491183</v>
      </c>
      <c r="C25">
        <v>4.2095228771145713E-3</v>
      </c>
      <c r="D25">
        <v>0</v>
      </c>
      <c r="E25">
        <v>175.83656621749662</v>
      </c>
      <c r="F25">
        <v>0</v>
      </c>
    </row>
    <row r="26" spans="1:6" x14ac:dyDescent="0.2">
      <c r="A26" t="s">
        <v>26</v>
      </c>
      <c r="B26">
        <v>13.094854510543357</v>
      </c>
      <c r="C26">
        <v>5.8709558935495518E-4</v>
      </c>
      <c r="D26">
        <v>0</v>
      </c>
      <c r="E26">
        <v>21.069002795312784</v>
      </c>
      <c r="F26">
        <v>0</v>
      </c>
    </row>
    <row r="27" spans="1:6" x14ac:dyDescent="0.2">
      <c r="A27" t="s">
        <v>27</v>
      </c>
      <c r="B27">
        <v>56.037879543541884</v>
      </c>
      <c r="C27">
        <v>2.5124060668508014E-3</v>
      </c>
      <c r="D27">
        <v>0</v>
      </c>
      <c r="E27">
        <v>78.301319703964325</v>
      </c>
      <c r="F27">
        <v>0</v>
      </c>
    </row>
    <row r="28" spans="1:6" x14ac:dyDescent="0.2">
      <c r="A28" t="s">
        <v>28</v>
      </c>
      <c r="B28">
        <v>18.157155003734339</v>
      </c>
      <c r="C28">
        <v>8.1405911072503863E-4</v>
      </c>
      <c r="D28">
        <v>7.7136291036807231E-4</v>
      </c>
      <c r="E28">
        <v>27.877943974300692</v>
      </c>
      <c r="F28">
        <v>0</v>
      </c>
    </row>
    <row r="29" spans="1:6" x14ac:dyDescent="0.2">
      <c r="A29" t="s">
        <v>29</v>
      </c>
      <c r="B29">
        <v>49.718076912374457</v>
      </c>
      <c r="C29">
        <v>2.2290636099059871E-3</v>
      </c>
      <c r="D29">
        <v>1.4159861359514995E-4</v>
      </c>
      <c r="E29">
        <v>86.388698940498799</v>
      </c>
      <c r="F29">
        <v>0</v>
      </c>
    </row>
    <row r="30" spans="1:6" x14ac:dyDescent="0.2">
      <c r="A30" t="s">
        <v>30</v>
      </c>
      <c r="B30">
        <v>61.664193836879448</v>
      </c>
      <c r="C30">
        <v>2.7646566209355112E-3</v>
      </c>
      <c r="D30">
        <v>0</v>
      </c>
      <c r="E30">
        <v>101.01835181391904</v>
      </c>
      <c r="F30">
        <v>0</v>
      </c>
    </row>
    <row r="31" spans="1:6" x14ac:dyDescent="0.2">
      <c r="A31" t="s">
        <v>31</v>
      </c>
      <c r="B31">
        <v>55.174813507274308</v>
      </c>
      <c r="C31">
        <v>2.4737113060341169E-3</v>
      </c>
      <c r="D31">
        <v>2.9173257815689494E-3</v>
      </c>
      <c r="E31">
        <v>103.25586194339063</v>
      </c>
      <c r="F31">
        <v>0</v>
      </c>
    </row>
    <row r="32" spans="1:6" x14ac:dyDescent="0.2">
      <c r="A32" t="s">
        <v>32</v>
      </c>
      <c r="B32">
        <v>41.800120272919791</v>
      </c>
      <c r="C32">
        <v>1.8740694084824596E-3</v>
      </c>
      <c r="D32">
        <v>0</v>
      </c>
      <c r="E32">
        <v>98.999711780138199</v>
      </c>
      <c r="F32">
        <v>20.296734018036435</v>
      </c>
    </row>
    <row r="33" spans="1:6" x14ac:dyDescent="0.2">
      <c r="A33" t="s">
        <v>33</v>
      </c>
      <c r="B33">
        <v>33.293888855412249</v>
      </c>
      <c r="C33">
        <v>1.4927004560263389E-3</v>
      </c>
      <c r="D33">
        <v>2.6551087230351949E-3</v>
      </c>
      <c r="E33">
        <v>79.969802861501392</v>
      </c>
      <c r="F33">
        <v>0</v>
      </c>
    </row>
    <row r="34" spans="1:6" x14ac:dyDescent="0.2">
      <c r="A34" t="s">
        <v>34</v>
      </c>
      <c r="B34">
        <v>211.59115296449113</v>
      </c>
      <c r="C34">
        <v>9.486492007373044E-3</v>
      </c>
      <c r="D34">
        <v>0</v>
      </c>
      <c r="E34">
        <v>258.09175602602704</v>
      </c>
      <c r="F34">
        <v>0</v>
      </c>
    </row>
    <row r="35" spans="1:6" x14ac:dyDescent="0.2">
      <c r="A35" t="s">
        <v>35</v>
      </c>
      <c r="B35">
        <v>65.648802624006819</v>
      </c>
      <c r="C35">
        <v>2.9433028397494697E-3</v>
      </c>
      <c r="D35">
        <v>1.0183709804024246E-4</v>
      </c>
      <c r="E35">
        <v>89.726368383071133</v>
      </c>
      <c r="F35">
        <v>0</v>
      </c>
    </row>
    <row r="36" spans="1:6" x14ac:dyDescent="0.2">
      <c r="A36" t="s">
        <v>36</v>
      </c>
      <c r="B36">
        <v>14.800787365309784</v>
      </c>
      <c r="C36">
        <v>6.6357949789801532E-4</v>
      </c>
      <c r="D36">
        <v>0</v>
      </c>
      <c r="E36">
        <v>33.888595099105039</v>
      </c>
      <c r="F36">
        <v>0</v>
      </c>
    </row>
    <row r="37" spans="1:6" x14ac:dyDescent="0.2">
      <c r="A37" t="s">
        <v>37</v>
      </c>
      <c r="B37">
        <v>30.438715086614931</v>
      </c>
      <c r="C37">
        <v>1.3646914029167205E-3</v>
      </c>
      <c r="D37">
        <v>1.0875759204316408E-4</v>
      </c>
      <c r="E37">
        <v>43.604271207553353</v>
      </c>
      <c r="F37">
        <v>0</v>
      </c>
    </row>
    <row r="38" spans="1:6" x14ac:dyDescent="0.2">
      <c r="A38" t="s">
        <v>38</v>
      </c>
      <c r="B38">
        <v>3.896434836818603</v>
      </c>
      <c r="C38">
        <v>1.7469302198534133E-4</v>
      </c>
      <c r="D38">
        <v>0</v>
      </c>
      <c r="E38">
        <v>18.352453268056934</v>
      </c>
      <c r="F38">
        <v>1.2003536019062</v>
      </c>
    </row>
    <row r="39" spans="1:6" x14ac:dyDescent="0.2">
      <c r="A39" t="s">
        <v>39</v>
      </c>
      <c r="B39">
        <v>33.915299134301947</v>
      </c>
      <c r="C39">
        <v>1.5205608063358618E-3</v>
      </c>
      <c r="D39">
        <v>2.451447570227613E-4</v>
      </c>
      <c r="E39">
        <v>66.187747761261704</v>
      </c>
      <c r="F39">
        <v>0</v>
      </c>
    </row>
    <row r="40" spans="1:6" x14ac:dyDescent="0.2">
      <c r="A40" t="s">
        <v>40</v>
      </c>
      <c r="B40">
        <v>42.144051132953692</v>
      </c>
      <c r="C40">
        <v>1.8894892278326007E-3</v>
      </c>
      <c r="D40">
        <v>6.3624024115880912E-4</v>
      </c>
      <c r="E40">
        <v>75.333985082654308</v>
      </c>
      <c r="F40">
        <v>0</v>
      </c>
    </row>
    <row r="41" spans="1:6" x14ac:dyDescent="0.2">
      <c r="A41" t="s">
        <v>41</v>
      </c>
      <c r="B41">
        <v>3.323177235779406</v>
      </c>
      <c r="C41">
        <v>1.4899155207871994E-4</v>
      </c>
      <c r="D41">
        <v>0</v>
      </c>
      <c r="E41">
        <v>11.073163251155338</v>
      </c>
      <c r="F41">
        <v>0</v>
      </c>
    </row>
    <row r="42" spans="1:6" x14ac:dyDescent="0.2">
      <c r="A42" t="s">
        <v>42</v>
      </c>
      <c r="B42">
        <v>4.2183270317021622</v>
      </c>
      <c r="C42">
        <v>1.8912475833733852E-4</v>
      </c>
      <c r="D42">
        <v>0</v>
      </c>
      <c r="E42">
        <v>39.767135226923749</v>
      </c>
      <c r="F42">
        <v>4.6858478766222564</v>
      </c>
    </row>
    <row r="43" spans="1:6" x14ac:dyDescent="0.2">
      <c r="A43" t="s">
        <v>43</v>
      </c>
      <c r="B43">
        <v>62.890349826545737</v>
      </c>
      <c r="C43">
        <v>2.8196301811850453E-3</v>
      </c>
      <c r="D43">
        <v>5.8230773797331658E-4</v>
      </c>
      <c r="E43">
        <v>75.403604197481215</v>
      </c>
      <c r="F43">
        <v>0</v>
      </c>
    </row>
    <row r="44" spans="1:6" x14ac:dyDescent="0.2">
      <c r="A44" t="s">
        <v>44</v>
      </c>
      <c r="B44">
        <v>28.917915191156524</v>
      </c>
      <c r="C44">
        <v>1.2965077579440924E-3</v>
      </c>
      <c r="D44">
        <v>1.444352311622914E-3</v>
      </c>
      <c r="E44">
        <v>34.499204836138439</v>
      </c>
      <c r="F44">
        <v>0</v>
      </c>
    </row>
    <row r="45" spans="1:6" x14ac:dyDescent="0.2">
      <c r="A45" t="s">
        <v>45</v>
      </c>
      <c r="B45">
        <v>213.11438554296328</v>
      </c>
      <c r="C45">
        <v>9.5547847194198052E-3</v>
      </c>
      <c r="D45">
        <v>0</v>
      </c>
      <c r="E45">
        <v>274.68570220411311</v>
      </c>
      <c r="F45">
        <v>0</v>
      </c>
    </row>
    <row r="46" spans="1:6" x14ac:dyDescent="0.2">
      <c r="A46" t="s">
        <v>46</v>
      </c>
      <c r="B46">
        <v>16.082348313810243</v>
      </c>
      <c r="C46">
        <v>7.2103708780467499E-4</v>
      </c>
      <c r="D46">
        <v>0</v>
      </c>
      <c r="E46">
        <v>25.989929172112774</v>
      </c>
      <c r="F46">
        <v>0</v>
      </c>
    </row>
    <row r="47" spans="1:6" x14ac:dyDescent="0.2">
      <c r="A47" t="s">
        <v>47</v>
      </c>
      <c r="B47">
        <v>116.63885880063927</v>
      </c>
      <c r="C47">
        <v>5.2293944536852509E-3</v>
      </c>
      <c r="D47">
        <v>0</v>
      </c>
      <c r="E47">
        <v>141.47138525996314</v>
      </c>
      <c r="F47">
        <v>51.74009659251444</v>
      </c>
    </row>
    <row r="48" spans="1:6" x14ac:dyDescent="0.2">
      <c r="A48" t="s">
        <v>48</v>
      </c>
      <c r="B48">
        <v>39.671449985230183</v>
      </c>
      <c r="C48">
        <v>1.7786324613909676E-3</v>
      </c>
      <c r="D48">
        <v>6.1011728409160525E-4</v>
      </c>
      <c r="E48">
        <v>69.012860605230387</v>
      </c>
      <c r="F48">
        <v>0</v>
      </c>
    </row>
    <row r="49" spans="1:6" x14ac:dyDescent="0.2">
      <c r="A49" t="s">
        <v>49</v>
      </c>
      <c r="B49">
        <v>56.117209650110809</v>
      </c>
      <c r="C49">
        <v>2.5159627581933571E-3</v>
      </c>
      <c r="D49">
        <v>7.2127880363927546E-3</v>
      </c>
      <c r="E49">
        <v>125.69177392806185</v>
      </c>
      <c r="F49">
        <v>0</v>
      </c>
    </row>
    <row r="50" spans="1:6" x14ac:dyDescent="0.2">
      <c r="A50" t="s">
        <v>50</v>
      </c>
      <c r="B50">
        <v>226.66500350547471</v>
      </c>
      <c r="C50">
        <v>1.0162314038086087E-2</v>
      </c>
      <c r="D50">
        <v>1.7506629236517762E-4</v>
      </c>
      <c r="E50">
        <v>283.53268988271174</v>
      </c>
      <c r="F50">
        <v>0</v>
      </c>
    </row>
    <row r="51" spans="1:6" x14ac:dyDescent="0.2">
      <c r="A51" t="s">
        <v>51</v>
      </c>
      <c r="B51">
        <v>57.798325303934917</v>
      </c>
      <c r="C51">
        <v>2.5913340106773794E-3</v>
      </c>
      <c r="D51">
        <v>0</v>
      </c>
      <c r="E51">
        <v>83.62839585000296</v>
      </c>
      <c r="F51">
        <v>0</v>
      </c>
    </row>
    <row r="52" spans="1:6" x14ac:dyDescent="0.2">
      <c r="A52" t="s">
        <v>52</v>
      </c>
      <c r="B52">
        <v>1.7687564282447295</v>
      </c>
      <c r="C52">
        <v>7.9300544868949184E-5</v>
      </c>
      <c r="D52">
        <v>0</v>
      </c>
      <c r="E52">
        <v>17.239431235819094</v>
      </c>
      <c r="F52">
        <v>0</v>
      </c>
    </row>
    <row r="53" spans="1:6" x14ac:dyDescent="0.2">
      <c r="A53" t="s">
        <v>53</v>
      </c>
      <c r="B53">
        <v>28.238290334213676</v>
      </c>
      <c r="C53">
        <v>1.2660374113200898E-3</v>
      </c>
      <c r="D53">
        <v>0</v>
      </c>
      <c r="E53">
        <v>36.930307777284426</v>
      </c>
      <c r="F53">
        <v>0</v>
      </c>
    </row>
    <row r="54" spans="1:6" x14ac:dyDescent="0.2">
      <c r="A54" t="s">
        <v>54</v>
      </c>
      <c r="B54">
        <v>24.271383752774774</v>
      </c>
      <c r="C54">
        <v>1.0881848543886051E-3</v>
      </c>
      <c r="D54">
        <v>0</v>
      </c>
      <c r="E54">
        <v>30.388726066727529</v>
      </c>
      <c r="F54">
        <v>0</v>
      </c>
    </row>
    <row r="55" spans="1:6" x14ac:dyDescent="0.2">
      <c r="A55" t="s">
        <v>55</v>
      </c>
      <c r="B55">
        <v>114.61844772712739</v>
      </c>
      <c r="C55">
        <v>5.1388112074958652E-3</v>
      </c>
      <c r="D55">
        <v>3.0284779999746391E-4</v>
      </c>
      <c r="E55">
        <v>133.59676144534848</v>
      </c>
      <c r="F55">
        <v>0</v>
      </c>
    </row>
    <row r="56" spans="1:6" x14ac:dyDescent="0.2">
      <c r="A56" t="s">
        <v>56</v>
      </c>
      <c r="B56">
        <v>0.75160596028947535</v>
      </c>
      <c r="C56">
        <v>3.3697552260971003E-5</v>
      </c>
      <c r="D56">
        <v>0</v>
      </c>
      <c r="E56">
        <v>14.14249361314101</v>
      </c>
      <c r="F56">
        <v>0</v>
      </c>
    </row>
    <row r="57" spans="1:6" x14ac:dyDescent="0.2">
      <c r="A57" t="s">
        <v>57</v>
      </c>
      <c r="B57">
        <v>22.990972658267424</v>
      </c>
      <c r="C57">
        <v>1.0307788171133407E-3</v>
      </c>
      <c r="D57">
        <v>7.1424673092829695E-5</v>
      </c>
      <c r="E57">
        <v>49.642566430448042</v>
      </c>
      <c r="F57">
        <v>5.1866627521989832</v>
      </c>
    </row>
    <row r="58" spans="1:6" x14ac:dyDescent="0.2">
      <c r="A58" t="s">
        <v>58</v>
      </c>
      <c r="B58">
        <v>229.74050034112162</v>
      </c>
      <c r="C58">
        <v>1.0300201070418491E-2</v>
      </c>
      <c r="D58">
        <v>7.2464947098750204E-5</v>
      </c>
      <c r="E58">
        <v>296.11387458970103</v>
      </c>
      <c r="F58">
        <v>0</v>
      </c>
    </row>
    <row r="59" spans="1:6" x14ac:dyDescent="0.2">
      <c r="A59" t="s">
        <v>59</v>
      </c>
      <c r="B59">
        <v>37.226199936978063</v>
      </c>
      <c r="C59">
        <v>1.6690019559857385E-3</v>
      </c>
      <c r="D59">
        <v>7.1105958141008847E-4</v>
      </c>
      <c r="E59">
        <v>76.49641500477405</v>
      </c>
      <c r="F59">
        <v>0</v>
      </c>
    </row>
    <row r="60" spans="1:6" x14ac:dyDescent="0.2">
      <c r="A60" t="s">
        <v>60</v>
      </c>
      <c r="B60">
        <v>18.068999347389084</v>
      </c>
      <c r="C60">
        <v>8.1010673408921433E-4</v>
      </c>
      <c r="D60">
        <v>0</v>
      </c>
      <c r="E60">
        <v>29.271603488733248</v>
      </c>
      <c r="F60">
        <v>0</v>
      </c>
    </row>
    <row r="61" spans="1:6" x14ac:dyDescent="0.2">
      <c r="A61" t="s">
        <v>61</v>
      </c>
      <c r="B61">
        <v>133.96546414328535</v>
      </c>
      <c r="C61">
        <v>6.0062166449490941E-3</v>
      </c>
      <c r="D61">
        <v>0</v>
      </c>
      <c r="E61">
        <v>165.01939242129069</v>
      </c>
      <c r="F61">
        <v>0</v>
      </c>
    </row>
    <row r="62" spans="1:6" x14ac:dyDescent="0.2">
      <c r="A62" t="s">
        <v>62</v>
      </c>
      <c r="B62">
        <v>69.908518525795756</v>
      </c>
      <c r="C62">
        <v>3.1342832294767383E-3</v>
      </c>
      <c r="D62">
        <v>1.7926534665015404E-4</v>
      </c>
      <c r="E62">
        <v>84.597145207571472</v>
      </c>
      <c r="F62">
        <v>0</v>
      </c>
    </row>
    <row r="63" spans="1:6" x14ac:dyDescent="0.2">
      <c r="A63" t="s">
        <v>63</v>
      </c>
      <c r="B63">
        <v>2.0863086763951362</v>
      </c>
      <c r="C63">
        <v>9.3537703756720443E-5</v>
      </c>
      <c r="D63">
        <v>0</v>
      </c>
      <c r="E63">
        <v>22.664705743726717</v>
      </c>
      <c r="F63">
        <v>0</v>
      </c>
    </row>
    <row r="64" spans="1:6" x14ac:dyDescent="0.2">
      <c r="A64" t="s">
        <v>64</v>
      </c>
      <c r="B64">
        <v>74.741215986881841</v>
      </c>
      <c r="C64">
        <v>3.3509527130365676E-3</v>
      </c>
      <c r="D64">
        <v>2.5192580951178263E-3</v>
      </c>
      <c r="E64">
        <v>116.75841898270235</v>
      </c>
      <c r="F64">
        <v>0</v>
      </c>
    </row>
    <row r="65" spans="1:6" x14ac:dyDescent="0.2">
      <c r="A65" t="s">
        <v>65</v>
      </c>
      <c r="B65">
        <v>85.02104926751727</v>
      </c>
      <c r="C65">
        <v>3.8118394509156365E-3</v>
      </c>
      <c r="D65">
        <v>0</v>
      </c>
      <c r="E65">
        <v>130.56337774726845</v>
      </c>
      <c r="F65">
        <v>0</v>
      </c>
    </row>
    <row r="66" spans="1:6" x14ac:dyDescent="0.2">
      <c r="A66" t="s">
        <v>66</v>
      </c>
      <c r="B66">
        <v>2.3259500399698432</v>
      </c>
      <c r="C66">
        <v>1.0428180079639652E-4</v>
      </c>
      <c r="D66">
        <v>0</v>
      </c>
      <c r="E66">
        <v>11.946556089097003</v>
      </c>
      <c r="F66">
        <v>0</v>
      </c>
    </row>
    <row r="67" spans="1:6" x14ac:dyDescent="0.2">
      <c r="A67" t="s">
        <v>67</v>
      </c>
      <c r="B67">
        <v>32.636212308831958</v>
      </c>
      <c r="C67">
        <v>1.4632141414278373E-3</v>
      </c>
      <c r="D67">
        <v>1.2775756525396167E-2</v>
      </c>
      <c r="E67">
        <v>61.899244763458292</v>
      </c>
      <c r="F67">
        <v>0</v>
      </c>
    </row>
    <row r="68" spans="1:6" x14ac:dyDescent="0.2">
      <c r="A68" t="s">
        <v>68</v>
      </c>
      <c r="B68">
        <v>142.77948547957766</v>
      </c>
      <c r="C68">
        <v>6.4013850713604973E-3</v>
      </c>
      <c r="D68">
        <v>2.3833223008975606E-3</v>
      </c>
      <c r="E68">
        <v>175.72407305876598</v>
      </c>
      <c r="F68">
        <v>0</v>
      </c>
    </row>
    <row r="69" spans="1:6" x14ac:dyDescent="0.2">
      <c r="A69" t="s">
        <v>69</v>
      </c>
      <c r="B69">
        <v>7.3697778263580851</v>
      </c>
      <c r="C69">
        <v>3.304171155851388E-4</v>
      </c>
      <c r="D69">
        <v>0</v>
      </c>
      <c r="E69">
        <v>11.558612893386517</v>
      </c>
      <c r="F69">
        <v>0</v>
      </c>
    </row>
    <row r="70" spans="1:6" x14ac:dyDescent="0.2">
      <c r="A70" t="s">
        <v>70</v>
      </c>
      <c r="B70">
        <v>49.567186036563818</v>
      </c>
      <c r="C70">
        <v>2.2222985582140416E-3</v>
      </c>
      <c r="D70">
        <v>2.475509978991396E-4</v>
      </c>
      <c r="E70">
        <v>79.043058876808658</v>
      </c>
      <c r="F70">
        <v>0</v>
      </c>
    </row>
    <row r="71" spans="1:6" x14ac:dyDescent="0.2">
      <c r="A71" t="s">
        <v>71</v>
      </c>
      <c r="B71">
        <v>19.970988155547762</v>
      </c>
      <c r="C71">
        <v>8.9538062845538494E-4</v>
      </c>
      <c r="D71">
        <v>4.2619409896332014E-3</v>
      </c>
      <c r="E71">
        <v>29.233524637715423</v>
      </c>
      <c r="F71">
        <v>0</v>
      </c>
    </row>
    <row r="72" spans="1:6" x14ac:dyDescent="0.2">
      <c r="A72" t="s">
        <v>72</v>
      </c>
      <c r="B72">
        <v>27.780238336877005</v>
      </c>
      <c r="C72">
        <v>1.2455010772115234E-3</v>
      </c>
      <c r="D72">
        <v>3.8533499366728038E-4</v>
      </c>
      <c r="E72">
        <v>77.556489524521737</v>
      </c>
      <c r="F72">
        <v>0</v>
      </c>
    </row>
    <row r="73" spans="1:6" x14ac:dyDescent="0.2">
      <c r="A73" t="s">
        <v>73</v>
      </c>
      <c r="B73">
        <v>50.688441534376572</v>
      </c>
      <c r="C73">
        <v>2.2725690027444365E-3</v>
      </c>
      <c r="D73">
        <v>2.5905683668519608E-3</v>
      </c>
      <c r="E73">
        <v>58.884886834287855</v>
      </c>
      <c r="F73">
        <v>0</v>
      </c>
    </row>
    <row r="74" spans="1:6" x14ac:dyDescent="0.2">
      <c r="A74" t="s">
        <v>74</v>
      </c>
      <c r="B74">
        <v>66.908414458408657</v>
      </c>
      <c r="C74">
        <v>2.9997763615958713E-3</v>
      </c>
      <c r="D74">
        <v>1.2638126457752004E-2</v>
      </c>
      <c r="E74">
        <v>95.051225358775667</v>
      </c>
      <c r="F74">
        <v>0</v>
      </c>
    </row>
    <row r="75" spans="1:6" x14ac:dyDescent="0.2">
      <c r="A75" t="s">
        <v>75</v>
      </c>
      <c r="B75">
        <v>264.18229805317816</v>
      </c>
      <c r="C75">
        <v>1.1844366949460774E-2</v>
      </c>
      <c r="D75">
        <v>0</v>
      </c>
      <c r="E75">
        <v>333.60196039364638</v>
      </c>
      <c r="F75">
        <v>0</v>
      </c>
    </row>
    <row r="76" spans="1:6" x14ac:dyDescent="0.2">
      <c r="A76" t="s">
        <v>76</v>
      </c>
      <c r="B76">
        <v>27.540796667033007</v>
      </c>
      <c r="C76">
        <v>1.2347659332540236E-3</v>
      </c>
      <c r="D76">
        <v>2.1684844320682894E-4</v>
      </c>
      <c r="E76">
        <v>37.521089857453191</v>
      </c>
      <c r="F76">
        <v>0</v>
      </c>
    </row>
    <row r="77" spans="1:6" x14ac:dyDescent="0.2">
      <c r="A77" t="s">
        <v>77</v>
      </c>
      <c r="B77">
        <v>23.037099570399395</v>
      </c>
      <c r="C77">
        <v>1.0328468741995372E-3</v>
      </c>
      <c r="D77">
        <v>8.1793632199424551E-4</v>
      </c>
      <c r="E77">
        <v>33.87941234209503</v>
      </c>
      <c r="F77">
        <v>0</v>
      </c>
    </row>
    <row r="78" spans="1:6" x14ac:dyDescent="0.2">
      <c r="A78" t="s">
        <v>78</v>
      </c>
      <c r="B78">
        <v>70.471523382832117</v>
      </c>
      <c r="C78">
        <v>3.1595250271679864E-3</v>
      </c>
      <c r="D78">
        <v>0</v>
      </c>
      <c r="E78">
        <v>103.02282996085204</v>
      </c>
      <c r="F78">
        <v>0</v>
      </c>
    </row>
    <row r="79" spans="1:6" x14ac:dyDescent="0.2">
      <c r="A79" t="s">
        <v>79</v>
      </c>
      <c r="B79">
        <v>43.913922188083532</v>
      </c>
      <c r="C79">
        <v>1.9688397459584118E-3</v>
      </c>
      <c r="D79">
        <v>0</v>
      </c>
      <c r="E79">
        <v>54.321552169300546</v>
      </c>
      <c r="F79">
        <v>0</v>
      </c>
    </row>
    <row r="80" spans="1:6" x14ac:dyDescent="0.2">
      <c r="A80" t="s">
        <v>80</v>
      </c>
      <c r="B80">
        <v>108.04053468842739</v>
      </c>
      <c r="C80">
        <v>4.843896611150267E-3</v>
      </c>
      <c r="D80">
        <v>0</v>
      </c>
      <c r="E80">
        <v>318.14513928119197</v>
      </c>
      <c r="F80">
        <v>0</v>
      </c>
    </row>
    <row r="81" spans="1:6" x14ac:dyDescent="0.2">
      <c r="A81" t="s">
        <v>81</v>
      </c>
      <c r="B81">
        <v>25.359512190481809</v>
      </c>
      <c r="C81">
        <v>1.136970078074377E-3</v>
      </c>
      <c r="D81">
        <v>0</v>
      </c>
      <c r="E81">
        <v>31.038686315206046</v>
      </c>
      <c r="F81">
        <v>0</v>
      </c>
    </row>
    <row r="82" spans="1:6" x14ac:dyDescent="0.2">
      <c r="A82" t="s">
        <v>82</v>
      </c>
      <c r="B82">
        <v>225.54356009591081</v>
      </c>
      <c r="C82">
        <v>1.0112035168707581E-2</v>
      </c>
      <c r="D82">
        <v>0</v>
      </c>
      <c r="E82">
        <v>268.07011451303754</v>
      </c>
      <c r="F82">
        <v>91.198267377227452</v>
      </c>
    </row>
    <row r="83" spans="1:6" x14ac:dyDescent="0.2">
      <c r="A83" t="s">
        <v>83</v>
      </c>
      <c r="B83">
        <v>49.947112432116384</v>
      </c>
      <c r="C83">
        <v>2.2393322038287253E-3</v>
      </c>
      <c r="D83">
        <v>0</v>
      </c>
      <c r="E83">
        <v>82.466347572362977</v>
      </c>
      <c r="F83">
        <v>0</v>
      </c>
    </row>
    <row r="84" spans="1:6" x14ac:dyDescent="0.2">
      <c r="A84" t="s">
        <v>84</v>
      </c>
      <c r="B84">
        <v>60.620538576157429</v>
      </c>
      <c r="C84">
        <v>2.7178653106629419E-3</v>
      </c>
      <c r="D84">
        <v>0</v>
      </c>
      <c r="E84">
        <v>77.556931684694405</v>
      </c>
      <c r="F84">
        <v>0</v>
      </c>
    </row>
    <row r="85" spans="1:6" x14ac:dyDescent="0.2">
      <c r="A85" t="s">
        <v>85</v>
      </c>
      <c r="B85">
        <v>12.943546540523357</v>
      </c>
      <c r="C85">
        <v>5.8031183763312662E-4</v>
      </c>
      <c r="D85">
        <v>6.7088750333715034E-5</v>
      </c>
      <c r="E85">
        <v>88.015589266133986</v>
      </c>
      <c r="F85">
        <v>0</v>
      </c>
    </row>
    <row r="86" spans="1:6" x14ac:dyDescent="0.2">
      <c r="A86" t="s">
        <v>86</v>
      </c>
      <c r="B86">
        <v>29.478345059071092</v>
      </c>
      <c r="C86">
        <v>1.3216341083995714E-3</v>
      </c>
      <c r="D86">
        <v>0</v>
      </c>
      <c r="E86">
        <v>63.815822310179165</v>
      </c>
      <c r="F86">
        <v>0</v>
      </c>
    </row>
    <row r="87" spans="1:6" x14ac:dyDescent="0.2">
      <c r="A87" t="s">
        <v>87</v>
      </c>
      <c r="B87">
        <v>234.60203403556403</v>
      </c>
      <c r="C87">
        <v>1.0518163399607379E-2</v>
      </c>
      <c r="D87">
        <v>2.0579550253819402E-2</v>
      </c>
      <c r="E87">
        <v>335.33164429722126</v>
      </c>
      <c r="F87">
        <v>0</v>
      </c>
    </row>
    <row r="88" spans="1:6" x14ac:dyDescent="0.2">
      <c r="A88" t="s">
        <v>88</v>
      </c>
      <c r="B88">
        <v>6.8381019794170985</v>
      </c>
      <c r="C88">
        <v>3.065799248432112E-4</v>
      </c>
      <c r="D88">
        <v>1.5354029460427233E-3</v>
      </c>
      <c r="E88">
        <v>12.664444396442176</v>
      </c>
      <c r="F88">
        <v>0</v>
      </c>
    </row>
    <row r="89" spans="1:6" x14ac:dyDescent="0.2">
      <c r="A89" t="s">
        <v>89</v>
      </c>
      <c r="B89">
        <v>68.372859143868766</v>
      </c>
      <c r="C89">
        <v>3.0654333732866609E-3</v>
      </c>
      <c r="D89">
        <v>1.0442342791484661E-4</v>
      </c>
      <c r="E89">
        <v>140.7280983291613</v>
      </c>
      <c r="F89">
        <v>0</v>
      </c>
    </row>
    <row r="90" spans="1:6" x14ac:dyDescent="0.2">
      <c r="A90" t="s">
        <v>90</v>
      </c>
      <c r="B90">
        <v>68.195269578597461</v>
      </c>
      <c r="C90">
        <v>3.0574713107526866E-3</v>
      </c>
      <c r="D90">
        <v>2.0396660695850061E-4</v>
      </c>
      <c r="E90">
        <v>156.12126957288288</v>
      </c>
      <c r="F90">
        <v>0</v>
      </c>
    </row>
    <row r="91" spans="1:6" x14ac:dyDescent="0.2">
      <c r="A91" t="s">
        <v>91</v>
      </c>
      <c r="B91">
        <v>19.845070440298077</v>
      </c>
      <c r="C91">
        <v>8.8973522512652615E-4</v>
      </c>
      <c r="D91">
        <v>8.7412265478302193E-5</v>
      </c>
      <c r="E91">
        <v>85.636074431539157</v>
      </c>
      <c r="F91">
        <v>0</v>
      </c>
    </row>
    <row r="92" spans="1:6" x14ac:dyDescent="0.2">
      <c r="A92" t="s">
        <v>92</v>
      </c>
      <c r="B92">
        <v>37.975767092614724</v>
      </c>
      <c r="C92">
        <v>1.7026081003415465E-3</v>
      </c>
      <c r="D92">
        <v>6.1815701787597353E-3</v>
      </c>
      <c r="E92">
        <v>55.291716216490322</v>
      </c>
      <c r="F92">
        <v>0</v>
      </c>
    </row>
    <row r="93" spans="1:6" x14ac:dyDescent="0.2">
      <c r="A93" t="s">
        <v>93</v>
      </c>
      <c r="B93">
        <v>291.76625501540428</v>
      </c>
      <c r="C93">
        <v>1.3081067934297289E-2</v>
      </c>
      <c r="D93">
        <v>1.9532312921577659E-5</v>
      </c>
      <c r="E93">
        <v>351.21015657638969</v>
      </c>
      <c r="F93">
        <v>0</v>
      </c>
    </row>
    <row r="94" spans="1:6" x14ac:dyDescent="0.2">
      <c r="A94" t="s">
        <v>94</v>
      </c>
      <c r="B94">
        <v>15.982406857325334</v>
      </c>
      <c r="C94">
        <v>7.1655630581135402E-4</v>
      </c>
      <c r="D94">
        <v>2.7863547692586843E-4</v>
      </c>
      <c r="E94">
        <v>26.597301943185716</v>
      </c>
      <c r="F94">
        <v>0</v>
      </c>
    </row>
    <row r="95" spans="1:6" x14ac:dyDescent="0.2">
      <c r="A95" t="s">
        <v>95</v>
      </c>
      <c r="B95">
        <v>10.393079603125441</v>
      </c>
      <c r="C95">
        <v>4.659640311312409E-4</v>
      </c>
      <c r="D95">
        <v>0</v>
      </c>
      <c r="E95">
        <v>31.014497218788883</v>
      </c>
      <c r="F95">
        <v>0</v>
      </c>
    </row>
    <row r="96" spans="1:6" x14ac:dyDescent="0.2">
      <c r="A96" t="s">
        <v>96</v>
      </c>
      <c r="B96">
        <v>77.698565718055946</v>
      </c>
      <c r="C96">
        <v>3.483542730127207E-3</v>
      </c>
      <c r="D96">
        <v>1.018132738297136E-3</v>
      </c>
      <c r="E96">
        <v>122.06547014241615</v>
      </c>
      <c r="F96">
        <v>0</v>
      </c>
    </row>
    <row r="97" spans="1:6" x14ac:dyDescent="0.2">
      <c r="A97" t="s">
        <v>97</v>
      </c>
      <c r="B97">
        <v>31.754765849001853</v>
      </c>
      <c r="C97">
        <v>1.4236953114628208E-3</v>
      </c>
      <c r="D97">
        <v>9.2719896746656374E-5</v>
      </c>
      <c r="E97">
        <v>47.568142549713954</v>
      </c>
      <c r="F97">
        <v>0</v>
      </c>
    </row>
    <row r="98" spans="1:6" x14ac:dyDescent="0.2">
      <c r="A98" t="s">
        <v>98</v>
      </c>
      <c r="B98">
        <v>36.554573052491605</v>
      </c>
      <c r="C98">
        <v>1.6388901909976869E-3</v>
      </c>
      <c r="D98">
        <v>6.8443333146412245E-4</v>
      </c>
      <c r="E98">
        <v>65.383203546074625</v>
      </c>
      <c r="F98">
        <v>0</v>
      </c>
    </row>
    <row r="99" spans="1:6" x14ac:dyDescent="0.2">
      <c r="A99" t="s">
        <v>99</v>
      </c>
      <c r="B99">
        <v>180.32958511372794</v>
      </c>
      <c r="C99">
        <v>8.0849087681910924E-3</v>
      </c>
      <c r="D99">
        <v>2.4462142707077014E-3</v>
      </c>
      <c r="E99">
        <v>262.20188414135885</v>
      </c>
      <c r="F99">
        <v>43.968544754637925</v>
      </c>
    </row>
    <row r="100" spans="1:6" x14ac:dyDescent="0.2">
      <c r="A100" t="s">
        <v>100</v>
      </c>
      <c r="B100">
        <v>69.325287362814791</v>
      </c>
      <c r="C100">
        <v>3.1081346042220789E-3</v>
      </c>
      <c r="D100">
        <v>0</v>
      </c>
      <c r="E100">
        <v>92.475490921089019</v>
      </c>
      <c r="F100">
        <v>3.1201733050502747</v>
      </c>
    </row>
    <row r="101" spans="1:6" x14ac:dyDescent="0.2">
      <c r="A101" t="s">
        <v>101</v>
      </c>
      <c r="B101">
        <v>24.550024974905469</v>
      </c>
      <c r="C101">
        <v>1.1006774737142868E-3</v>
      </c>
      <c r="D101">
        <v>0</v>
      </c>
      <c r="E101">
        <v>42.973911882014633</v>
      </c>
      <c r="F101">
        <v>0</v>
      </c>
    </row>
    <row r="102" spans="1:6" x14ac:dyDescent="0.2">
      <c r="A102" t="s">
        <v>102</v>
      </c>
      <c r="B102">
        <v>13.222762612256536</v>
      </c>
      <c r="C102">
        <v>5.9283022980461504E-4</v>
      </c>
      <c r="D102">
        <v>0</v>
      </c>
      <c r="E102">
        <v>41.434410523423395</v>
      </c>
      <c r="F102">
        <v>0</v>
      </c>
    </row>
    <row r="103" spans="1:6" x14ac:dyDescent="0.2">
      <c r="A103" t="s">
        <v>103</v>
      </c>
      <c r="B103">
        <v>7.1139992714291145</v>
      </c>
      <c r="C103">
        <v>3.1894952262108748E-4</v>
      </c>
      <c r="D103">
        <v>0</v>
      </c>
      <c r="E103">
        <v>18.713698779777406</v>
      </c>
      <c r="F103">
        <v>0</v>
      </c>
    </row>
    <row r="104" spans="1:6" x14ac:dyDescent="0.2">
      <c r="A104" t="s">
        <v>104</v>
      </c>
      <c r="B104">
        <v>2.9848483640896148</v>
      </c>
      <c r="C104">
        <v>1.3382289265141692E-4</v>
      </c>
      <c r="D104">
        <v>0</v>
      </c>
      <c r="E104">
        <v>16.498846295895035</v>
      </c>
      <c r="F104">
        <v>0</v>
      </c>
    </row>
    <row r="105" spans="1:6" x14ac:dyDescent="0.2">
      <c r="A105" t="s">
        <v>105</v>
      </c>
      <c r="B105">
        <v>1.7675393427219539</v>
      </c>
      <c r="C105">
        <v>7.9245977974623326E-5</v>
      </c>
      <c r="D105">
        <v>5.8318693867423456E-4</v>
      </c>
      <c r="E105">
        <v>82.441743355257017</v>
      </c>
      <c r="F105">
        <v>12.52226543498686</v>
      </c>
    </row>
    <row r="106" spans="1:6" x14ac:dyDescent="0.2">
      <c r="A106" t="s">
        <v>106</v>
      </c>
      <c r="B106">
        <v>107.77586438640375</v>
      </c>
      <c r="C106">
        <v>4.8320303649979175E-3</v>
      </c>
      <c r="D106">
        <v>7.3827627326495881E-5</v>
      </c>
      <c r="E106">
        <v>185.52543901989941</v>
      </c>
      <c r="F106">
        <v>0</v>
      </c>
    </row>
    <row r="107" spans="1:6" x14ac:dyDescent="0.2">
      <c r="A107" t="s">
        <v>107</v>
      </c>
      <c r="B107">
        <v>58.417349020811969</v>
      </c>
      <c r="C107">
        <v>2.6190873617048397E-3</v>
      </c>
      <c r="D107">
        <v>0</v>
      </c>
      <c r="E107">
        <v>73.180766813427468</v>
      </c>
      <c r="F107">
        <v>0</v>
      </c>
    </row>
    <row r="108" spans="1:6" x14ac:dyDescent="0.2">
      <c r="A108" t="s">
        <v>108</v>
      </c>
      <c r="B108">
        <v>71.193729035508113</v>
      </c>
      <c r="C108">
        <v>3.191904444056651E-3</v>
      </c>
      <c r="D108">
        <v>0</v>
      </c>
      <c r="E108">
        <v>104.78101760147196</v>
      </c>
      <c r="F108">
        <v>0</v>
      </c>
    </row>
    <row r="109" spans="1:6" x14ac:dyDescent="0.2">
      <c r="A109" t="s">
        <v>109</v>
      </c>
      <c r="B109">
        <v>4.0949479066104022</v>
      </c>
      <c r="C109">
        <v>1.8359317033065056E-4</v>
      </c>
      <c r="D109">
        <v>6.6248161985937826E-5</v>
      </c>
      <c r="E109">
        <v>29.212163456993313</v>
      </c>
      <c r="F109">
        <v>0</v>
      </c>
    </row>
    <row r="110" spans="1:6" x14ac:dyDescent="0.2">
      <c r="A110" t="s">
        <v>110</v>
      </c>
      <c r="B110">
        <v>115.14336187119153</v>
      </c>
      <c r="C110">
        <v>5.1623452435954611E-3</v>
      </c>
      <c r="D110">
        <v>1.0920586724130994E-2</v>
      </c>
      <c r="E110">
        <v>197.21476682005294</v>
      </c>
      <c r="F110">
        <v>0</v>
      </c>
    </row>
    <row r="111" spans="1:6" x14ac:dyDescent="0.2">
      <c r="A111" t="s">
        <v>111</v>
      </c>
      <c r="B111">
        <v>57.756972043825499</v>
      </c>
      <c r="C111">
        <v>2.5894799758275737E-3</v>
      </c>
      <c r="D111">
        <v>2.1069706180160512E-3</v>
      </c>
      <c r="E111">
        <v>74.443246769027752</v>
      </c>
      <c r="F111">
        <v>0</v>
      </c>
    </row>
    <row r="112" spans="1:6" x14ac:dyDescent="0.2">
      <c r="A112" t="s">
        <v>112</v>
      </c>
      <c r="B112">
        <v>254.73029249563788</v>
      </c>
      <c r="C112">
        <v>1.1420595095491533E-2</v>
      </c>
      <c r="D112">
        <v>4.4400212717631136E-5</v>
      </c>
      <c r="E112">
        <v>312.159552631049</v>
      </c>
      <c r="F112">
        <v>0</v>
      </c>
    </row>
    <row r="113" spans="1:6" x14ac:dyDescent="0.2">
      <c r="A113" t="s">
        <v>113</v>
      </c>
      <c r="B113">
        <v>8.4131240697540406</v>
      </c>
      <c r="C113">
        <v>3.7719457135409264E-4</v>
      </c>
      <c r="D113">
        <v>2.8061070065552691E-4</v>
      </c>
      <c r="E113">
        <v>38.924963627040476</v>
      </c>
      <c r="F113">
        <v>0</v>
      </c>
    </row>
    <row r="114" spans="1:6" x14ac:dyDescent="0.2">
      <c r="A114" t="s">
        <v>114</v>
      </c>
      <c r="B114">
        <v>10.777038092795975</v>
      </c>
      <c r="C114">
        <v>4.8317845192526057E-4</v>
      </c>
      <c r="D114">
        <v>0</v>
      </c>
      <c r="E114">
        <v>16.857726296777663</v>
      </c>
      <c r="F114">
        <v>0</v>
      </c>
    </row>
    <row r="115" spans="1:6" x14ac:dyDescent="0.2">
      <c r="A115" t="s">
        <v>115</v>
      </c>
      <c r="B115">
        <v>16.643181453467498</v>
      </c>
      <c r="C115">
        <v>7.4618151857263498E-4</v>
      </c>
      <c r="D115">
        <v>0</v>
      </c>
      <c r="E115">
        <v>24.961534998076878</v>
      </c>
      <c r="F115">
        <v>361.83092671452499</v>
      </c>
    </row>
    <row r="116" spans="1:6" x14ac:dyDescent="0.2">
      <c r="A116" t="s">
        <v>116</v>
      </c>
      <c r="B116">
        <v>12.485283717108954</v>
      </c>
      <c r="C116">
        <v>5.5976605133398725E-4</v>
      </c>
      <c r="D116">
        <v>0</v>
      </c>
      <c r="E116">
        <v>23.069233376110265</v>
      </c>
      <c r="F116">
        <v>0</v>
      </c>
    </row>
    <row r="117" spans="1:6" x14ac:dyDescent="0.2">
      <c r="A117" t="s">
        <v>117</v>
      </c>
      <c r="B117">
        <v>6.6699013840182388</v>
      </c>
      <c r="C117">
        <v>2.9903880801705328E-4</v>
      </c>
      <c r="D117">
        <v>1.6256203105506947E-3</v>
      </c>
      <c r="E117">
        <v>27.271261407577803</v>
      </c>
      <c r="F117">
        <v>3.9718404139393599</v>
      </c>
    </row>
    <row r="118" spans="1:6" x14ac:dyDescent="0.2">
      <c r="A118" t="s">
        <v>118</v>
      </c>
      <c r="B118">
        <v>1.5018102715469872</v>
      </c>
      <c r="C118">
        <v>6.7332262894810764E-5</v>
      </c>
      <c r="D118">
        <v>1.2403108814267581E-4</v>
      </c>
      <c r="E118">
        <v>9.1717099360630243</v>
      </c>
      <c r="F118">
        <v>0</v>
      </c>
    </row>
    <row r="119" spans="1:6" x14ac:dyDescent="0.2">
      <c r="A119" t="s">
        <v>119</v>
      </c>
      <c r="B119">
        <v>39.613484231427499</v>
      </c>
      <c r="C119">
        <v>1.7760336208796973E-3</v>
      </c>
      <c r="D119">
        <v>3.7948282222082869E-4</v>
      </c>
      <c r="E119">
        <v>78.545222122870285</v>
      </c>
      <c r="F119">
        <v>0</v>
      </c>
    </row>
    <row r="120" spans="1:6" x14ac:dyDescent="0.2">
      <c r="A120" t="s">
        <v>120</v>
      </c>
      <c r="B120">
        <v>146.15501373964958</v>
      </c>
      <c r="C120">
        <v>6.5527237327893516E-3</v>
      </c>
      <c r="D120">
        <v>0</v>
      </c>
      <c r="E120">
        <v>189.96621279943272</v>
      </c>
      <c r="F120">
        <v>0</v>
      </c>
    </row>
    <row r="121" spans="1:6" x14ac:dyDescent="0.2">
      <c r="A121" t="s">
        <v>121</v>
      </c>
      <c r="B121">
        <v>7.8080097987348935</v>
      </c>
      <c r="C121">
        <v>3.5006483735933598E-4</v>
      </c>
      <c r="D121">
        <v>0</v>
      </c>
      <c r="E121">
        <v>44.906352551259531</v>
      </c>
      <c r="F121">
        <v>0</v>
      </c>
    </row>
    <row r="122" spans="1:6" x14ac:dyDescent="0.2">
      <c r="A122" t="s">
        <v>122</v>
      </c>
      <c r="B122">
        <v>44.360953184083982</v>
      </c>
      <c r="C122">
        <v>1.9888819637505608E-3</v>
      </c>
      <c r="D122">
        <v>0</v>
      </c>
      <c r="E122">
        <v>103.9230460680202</v>
      </c>
      <c r="F122">
        <v>0</v>
      </c>
    </row>
    <row r="123" spans="1:6" x14ac:dyDescent="0.2">
      <c r="A123" t="s">
        <v>123</v>
      </c>
      <c r="B123">
        <v>9.5512160500175654</v>
      </c>
      <c r="C123">
        <v>4.2821986387299644E-4</v>
      </c>
      <c r="D123">
        <v>3.0222916374783636E-4</v>
      </c>
      <c r="E123">
        <v>18.705400839253159</v>
      </c>
      <c r="F123">
        <v>0</v>
      </c>
    </row>
    <row r="124" spans="1:6" x14ac:dyDescent="0.2">
      <c r="A124" t="s">
        <v>124</v>
      </c>
      <c r="B124">
        <v>17.20185698426717</v>
      </c>
      <c r="C124">
        <v>7.7122921495971128E-4</v>
      </c>
      <c r="D124">
        <v>0</v>
      </c>
      <c r="E124">
        <v>45.10239665611639</v>
      </c>
      <c r="F124">
        <v>131.45155982945974</v>
      </c>
    </row>
    <row r="125" spans="1:6" x14ac:dyDescent="0.2">
      <c r="A125" t="s">
        <v>125</v>
      </c>
      <c r="B125">
        <v>81.584624491643751</v>
      </c>
      <c r="C125">
        <v>3.6577705509946005E-3</v>
      </c>
      <c r="D125">
        <v>0</v>
      </c>
      <c r="E125">
        <v>137.93113188372433</v>
      </c>
      <c r="F125">
        <v>0</v>
      </c>
    </row>
    <row r="126" spans="1:6" x14ac:dyDescent="0.2">
      <c r="A126" t="s">
        <v>126</v>
      </c>
      <c r="B126">
        <v>14.93424421215655</v>
      </c>
      <c r="C126">
        <v>6.6956291116082567E-4</v>
      </c>
      <c r="D126">
        <v>1.9965504122548424E-3</v>
      </c>
      <c r="E126">
        <v>53.166478627600107</v>
      </c>
      <c r="F126">
        <v>0</v>
      </c>
    </row>
    <row r="127" spans="1:6" x14ac:dyDescent="0.2">
      <c r="A127" t="s">
        <v>127</v>
      </c>
      <c r="B127">
        <v>2.3477819112961953</v>
      </c>
      <c r="C127">
        <v>1.0526061238630355E-4</v>
      </c>
      <c r="D127">
        <v>1.7901130134020716E-3</v>
      </c>
      <c r="E127">
        <v>10.186659609621266</v>
      </c>
      <c r="F127">
        <v>0</v>
      </c>
    </row>
    <row r="128" spans="1:6" x14ac:dyDescent="0.2">
      <c r="A128" t="s">
        <v>128</v>
      </c>
      <c r="B128">
        <v>25.266086644476403</v>
      </c>
      <c r="C128">
        <v>1.1327814308504853E-3</v>
      </c>
      <c r="D128">
        <v>7.5085423906853118E-5</v>
      </c>
      <c r="E128">
        <v>60.841271004611514</v>
      </c>
      <c r="F128">
        <v>0</v>
      </c>
    </row>
    <row r="129" spans="1:6" x14ac:dyDescent="0.2">
      <c r="A129" t="s">
        <v>129</v>
      </c>
      <c r="B129">
        <v>54.350588042539755</v>
      </c>
      <c r="C129">
        <v>2.4367579260183188E-3</v>
      </c>
      <c r="D129">
        <v>2.0593934024335262E-4</v>
      </c>
      <c r="E129">
        <v>109.48325302416399</v>
      </c>
      <c r="F129">
        <v>0</v>
      </c>
    </row>
    <row r="130" spans="1:6" x14ac:dyDescent="0.2">
      <c r="A130" t="s">
        <v>130</v>
      </c>
      <c r="B130">
        <v>23.253884326115948</v>
      </c>
      <c r="C130">
        <v>1.0425662165426009E-3</v>
      </c>
      <c r="D130">
        <v>0</v>
      </c>
      <c r="E130">
        <v>39.728603710473436</v>
      </c>
      <c r="F130">
        <v>0</v>
      </c>
    </row>
    <row r="131" spans="1:6" x14ac:dyDescent="0.2">
      <c r="A131" t="s">
        <v>131</v>
      </c>
      <c r="B131">
        <v>46.082515523278644</v>
      </c>
      <c r="C131">
        <v>2.0660666056514696E-3</v>
      </c>
      <c r="D131">
        <v>6.6810350378554246E-3</v>
      </c>
      <c r="E131">
        <v>78.856163840336592</v>
      </c>
      <c r="F131">
        <v>0</v>
      </c>
    </row>
    <row r="132" spans="1:6" x14ac:dyDescent="0.2">
      <c r="A132" t="s">
        <v>132</v>
      </c>
      <c r="B132">
        <v>7.4634289259606099</v>
      </c>
      <c r="C132">
        <v>3.3461587529419972E-4</v>
      </c>
      <c r="D132">
        <v>7.1124982662144887E-4</v>
      </c>
      <c r="E132">
        <v>12.855136969305642</v>
      </c>
      <c r="F132">
        <v>0</v>
      </c>
    </row>
    <row r="133" spans="1:6" x14ac:dyDescent="0.2">
      <c r="A133" t="s">
        <v>133</v>
      </c>
      <c r="B133">
        <v>56.579512307153273</v>
      </c>
      <c r="C133">
        <v>2.5366896666655491E-3</v>
      </c>
      <c r="D133">
        <v>1.359943342107794E-4</v>
      </c>
      <c r="E133">
        <v>94.866811394775596</v>
      </c>
      <c r="F133">
        <v>0</v>
      </c>
    </row>
    <row r="134" spans="1:6" x14ac:dyDescent="0.2">
      <c r="A134" t="s">
        <v>134</v>
      </c>
      <c r="B134">
        <v>5.7028829498417943</v>
      </c>
      <c r="C134">
        <v>2.5568343838902006E-4</v>
      </c>
      <c r="D134">
        <v>0</v>
      </c>
      <c r="E134">
        <v>45.609861533720768</v>
      </c>
      <c r="F134">
        <v>0</v>
      </c>
    </row>
    <row r="135" spans="1:6" x14ac:dyDescent="0.2">
      <c r="A135" t="s">
        <v>135</v>
      </c>
      <c r="B135">
        <v>213.97384359388656</v>
      </c>
      <c r="C135">
        <v>9.5933177195784858E-3</v>
      </c>
      <c r="D135">
        <v>5.0332208207168033E-3</v>
      </c>
      <c r="E135">
        <v>268.54000919820652</v>
      </c>
      <c r="F135">
        <v>0</v>
      </c>
    </row>
    <row r="136" spans="1:6" x14ac:dyDescent="0.2">
      <c r="A136" t="s">
        <v>136</v>
      </c>
      <c r="B136">
        <v>156.85794790346876</v>
      </c>
      <c r="C136">
        <v>7.0325798041703212E-3</v>
      </c>
      <c r="D136">
        <v>0</v>
      </c>
      <c r="E136">
        <v>212.43296672545057</v>
      </c>
      <c r="F136">
        <v>0</v>
      </c>
    </row>
    <row r="137" spans="1:6" x14ac:dyDescent="0.2">
      <c r="A137" t="s">
        <v>137</v>
      </c>
      <c r="B137">
        <v>385.2723773471227</v>
      </c>
      <c r="C137">
        <v>1.7273327722631421E-2</v>
      </c>
      <c r="D137">
        <v>5.85775335416607E-4</v>
      </c>
      <c r="E137">
        <v>476.74325988701298</v>
      </c>
      <c r="F137">
        <v>408.51588145626062</v>
      </c>
    </row>
    <row r="138" spans="1:6" x14ac:dyDescent="0.2">
      <c r="A138" t="s">
        <v>138</v>
      </c>
      <c r="B138">
        <v>316.63735138222785</v>
      </c>
      <c r="C138">
        <v>1.4196140344428121E-2</v>
      </c>
      <c r="D138">
        <v>2.704745803167324E-2</v>
      </c>
      <c r="E138">
        <v>357.63239796268215</v>
      </c>
      <c r="F138">
        <v>178.48801292899211</v>
      </c>
    </row>
    <row r="139" spans="1:6" x14ac:dyDescent="0.2">
      <c r="A139" t="s">
        <v>139</v>
      </c>
      <c r="B139">
        <v>87.706570186718039</v>
      </c>
      <c r="C139">
        <v>3.9322422767365563E-3</v>
      </c>
      <c r="D139">
        <v>0</v>
      </c>
      <c r="E139">
        <v>127.54361879986234</v>
      </c>
      <c r="F139">
        <v>0</v>
      </c>
    </row>
    <row r="140" spans="1:6" x14ac:dyDescent="0.2">
      <c r="A140" t="s">
        <v>140</v>
      </c>
      <c r="B140">
        <v>2.3357524402259489</v>
      </c>
      <c r="C140">
        <v>1.047212822698881E-4</v>
      </c>
      <c r="D140">
        <v>7.5595561383202278E-5</v>
      </c>
      <c r="E140">
        <v>20.374904995172518</v>
      </c>
      <c r="F140">
        <v>0</v>
      </c>
    </row>
    <row r="141" spans="1:6" x14ac:dyDescent="0.2">
      <c r="A141" t="s">
        <v>141</v>
      </c>
      <c r="B141">
        <v>130.84153334230703</v>
      </c>
      <c r="C141">
        <v>5.8661581209519184E-3</v>
      </c>
      <c r="D141">
        <v>2.441188433909542E-2</v>
      </c>
      <c r="E141">
        <v>188.67493216300332</v>
      </c>
      <c r="F141">
        <v>0</v>
      </c>
    </row>
    <row r="142" spans="1:6" x14ac:dyDescent="0.2">
      <c r="A142" t="s">
        <v>142</v>
      </c>
      <c r="B142">
        <v>38.758069212991387</v>
      </c>
      <c r="C142">
        <v>1.7376818863119345E-3</v>
      </c>
      <c r="D142">
        <v>2.0470098856857342E-3</v>
      </c>
      <c r="E142">
        <v>54.901557039245539</v>
      </c>
      <c r="F142">
        <v>0</v>
      </c>
    </row>
    <row r="143" spans="1:6" x14ac:dyDescent="0.2">
      <c r="A143" t="s">
        <v>143</v>
      </c>
      <c r="B143">
        <v>1.0885681727547294</v>
      </c>
      <c r="C143">
        <v>4.8804938796526272E-5</v>
      </c>
      <c r="D143">
        <v>0</v>
      </c>
      <c r="E143">
        <v>15.81048946783582</v>
      </c>
      <c r="F143">
        <v>0</v>
      </c>
    </row>
    <row r="144" spans="1:6" x14ac:dyDescent="0.2">
      <c r="A144" t="s">
        <v>144</v>
      </c>
      <c r="B144">
        <v>154.1930040090414</v>
      </c>
      <c r="C144">
        <v>6.9130995300644123E-3</v>
      </c>
      <c r="D144">
        <v>0</v>
      </c>
      <c r="E144">
        <v>201.26175456169352</v>
      </c>
      <c r="F144">
        <v>47.28585368325237</v>
      </c>
    </row>
    <row r="145" spans="1:6" x14ac:dyDescent="0.2">
      <c r="A145" t="s">
        <v>145</v>
      </c>
      <c r="B145">
        <v>13.126999965480509</v>
      </c>
      <c r="C145">
        <v>5.8853680084731779E-4</v>
      </c>
      <c r="D145">
        <v>0</v>
      </c>
      <c r="E145">
        <v>21.011514657808466</v>
      </c>
      <c r="F145">
        <v>0</v>
      </c>
    </row>
    <row r="146" spans="1:6" x14ac:dyDescent="0.2">
      <c r="A146" t="s">
        <v>146</v>
      </c>
      <c r="B146">
        <v>53.803730457071673</v>
      </c>
      <c r="C146">
        <v>2.4122400761884401E-3</v>
      </c>
      <c r="D146">
        <v>1.039177422750176E-2</v>
      </c>
      <c r="E146">
        <v>63.134650204362835</v>
      </c>
      <c r="F146">
        <v>0</v>
      </c>
    </row>
    <row r="147" spans="1:6" x14ac:dyDescent="0.2">
      <c r="A147" t="s">
        <v>147</v>
      </c>
      <c r="B147">
        <v>112.6527669652222</v>
      </c>
      <c r="C147">
        <v>5.0506817437843557E-3</v>
      </c>
      <c r="D147">
        <v>8.0714793975219853E-3</v>
      </c>
      <c r="E147">
        <v>141.2331602236732</v>
      </c>
      <c r="F147">
        <v>0</v>
      </c>
    </row>
    <row r="148" spans="1:6" x14ac:dyDescent="0.2">
      <c r="A148" t="s">
        <v>148</v>
      </c>
      <c r="B148">
        <v>27.763022170847037</v>
      </c>
      <c r="C148">
        <v>1.2447292064638447E-3</v>
      </c>
      <c r="D148">
        <v>5.6220187966384639E-3</v>
      </c>
      <c r="E148">
        <v>37.13450101268775</v>
      </c>
      <c r="F148">
        <v>11.514021110197374</v>
      </c>
    </row>
    <row r="149" spans="1:6" x14ac:dyDescent="0.2">
      <c r="A149" t="s">
        <v>149</v>
      </c>
      <c r="B149">
        <v>6.1847245583206014</v>
      </c>
      <c r="C149">
        <v>2.7728635752629168E-4</v>
      </c>
      <c r="D149">
        <v>7.0013731121634252E-3</v>
      </c>
      <c r="E149">
        <v>24.806679359597901</v>
      </c>
      <c r="F149">
        <v>4.787786228875091</v>
      </c>
    </row>
    <row r="150" spans="1:6" x14ac:dyDescent="0.2">
      <c r="A150" t="s">
        <v>150</v>
      </c>
      <c r="B150">
        <v>3.7006355368719199</v>
      </c>
      <c r="C150">
        <v>1.6591454298010068E-4</v>
      </c>
      <c r="D150">
        <v>0</v>
      </c>
      <c r="E150">
        <v>21.908525979752362</v>
      </c>
      <c r="F150">
        <v>0</v>
      </c>
    </row>
    <row r="151" spans="1:6" x14ac:dyDescent="0.2">
      <c r="A151" t="s">
        <v>151</v>
      </c>
      <c r="B151">
        <v>69.457288852798911</v>
      </c>
      <c r="C151">
        <v>3.1140527679172584E-3</v>
      </c>
      <c r="D151">
        <v>3.8218233079480553E-3</v>
      </c>
      <c r="E151">
        <v>80.255394285738632</v>
      </c>
      <c r="F151">
        <v>0</v>
      </c>
    </row>
    <row r="152" spans="1:6" x14ac:dyDescent="0.2">
      <c r="A152" t="s">
        <v>152</v>
      </c>
      <c r="B152">
        <v>0.41330670143927117</v>
      </c>
      <c r="C152">
        <v>1.8530220497713106E-5</v>
      </c>
      <c r="D152">
        <v>0</v>
      </c>
      <c r="E152">
        <v>7.6736574001028783</v>
      </c>
      <c r="F152">
        <v>0</v>
      </c>
    </row>
    <row r="153" spans="1:6" x14ac:dyDescent="0.2">
      <c r="A153" t="s">
        <v>153</v>
      </c>
      <c r="B153">
        <v>128.32422063175952</v>
      </c>
      <c r="C153">
        <v>5.753296753290317E-3</v>
      </c>
      <c r="D153">
        <v>0</v>
      </c>
      <c r="E153">
        <v>148.31997927308242</v>
      </c>
      <c r="F153">
        <v>0</v>
      </c>
    </row>
    <row r="154" spans="1:6" x14ac:dyDescent="0.2">
      <c r="A154" t="s">
        <v>154</v>
      </c>
      <c r="B154">
        <v>38.442436606368467</v>
      </c>
      <c r="C154">
        <v>1.7235307927617369E-3</v>
      </c>
      <c r="D154">
        <v>2.5483411960367411E-3</v>
      </c>
      <c r="E154">
        <v>55.351120704882035</v>
      </c>
      <c r="F154">
        <v>0</v>
      </c>
    </row>
    <row r="155" spans="1:6" x14ac:dyDescent="0.2">
      <c r="A155" t="s">
        <v>155</v>
      </c>
      <c r="B155">
        <v>252.35299424517959</v>
      </c>
      <c r="C155">
        <v>1.1314011145566655E-2</v>
      </c>
      <c r="D155">
        <v>1.8875727009770786E-3</v>
      </c>
      <c r="E155">
        <v>341.26222393210134</v>
      </c>
      <c r="F155">
        <v>0</v>
      </c>
    </row>
    <row r="156" spans="1:6" x14ac:dyDescent="0.2">
      <c r="A156" t="s">
        <v>156</v>
      </c>
      <c r="B156">
        <v>7.4389564098424641</v>
      </c>
      <c r="C156">
        <v>3.3351867285779134E-4</v>
      </c>
      <c r="D156">
        <v>0</v>
      </c>
      <c r="E156">
        <v>24.58345798594452</v>
      </c>
      <c r="F156">
        <v>0</v>
      </c>
    </row>
    <row r="157" spans="1:6" x14ac:dyDescent="0.2">
      <c r="A157" t="s">
        <v>157</v>
      </c>
      <c r="B157">
        <v>15.152176129077624</v>
      </c>
      <c r="C157">
        <v>6.7933368540661944E-4</v>
      </c>
      <c r="D157">
        <v>0</v>
      </c>
      <c r="E157">
        <v>22.438720314639351</v>
      </c>
      <c r="F157">
        <v>0</v>
      </c>
    </row>
    <row r="158" spans="1:6" x14ac:dyDescent="0.2">
      <c r="A158" t="s">
        <v>158</v>
      </c>
      <c r="B158">
        <v>29.464497123292986</v>
      </c>
      <c r="C158">
        <v>1.3210132491139298E-3</v>
      </c>
      <c r="D158">
        <v>7.5475284078914032E-2</v>
      </c>
      <c r="E158">
        <v>53.272435617192123</v>
      </c>
      <c r="F158">
        <v>0</v>
      </c>
    </row>
    <row r="159" spans="1:6" x14ac:dyDescent="0.2">
      <c r="A159" t="s">
        <v>159</v>
      </c>
      <c r="B159">
        <v>0.46107839081198276</v>
      </c>
      <c r="C159">
        <v>2.0672019637533422E-5</v>
      </c>
      <c r="D159">
        <v>0</v>
      </c>
      <c r="E159">
        <v>12.410486094763888</v>
      </c>
      <c r="F159">
        <v>0</v>
      </c>
    </row>
    <row r="160" spans="1:6" x14ac:dyDescent="0.2">
      <c r="A160" t="s">
        <v>160</v>
      </c>
      <c r="B160">
        <v>178.47708403311091</v>
      </c>
      <c r="C160">
        <v>8.0018536099356209E-3</v>
      </c>
      <c r="D160">
        <v>1.5601957724502007E-4</v>
      </c>
      <c r="E160">
        <v>237.55444095273234</v>
      </c>
      <c r="F160">
        <v>0</v>
      </c>
    </row>
    <row r="161" spans="1:6" x14ac:dyDescent="0.2">
      <c r="A161" t="s">
        <v>161</v>
      </c>
      <c r="B161">
        <v>2.1568463157632816</v>
      </c>
      <c r="C161">
        <v>9.6700193032428345E-5</v>
      </c>
      <c r="D161">
        <v>0</v>
      </c>
      <c r="E161">
        <v>21.852276839843668</v>
      </c>
      <c r="F161">
        <v>0</v>
      </c>
    </row>
    <row r="162" spans="1:6" x14ac:dyDescent="0.2">
      <c r="A162" t="s">
        <v>162</v>
      </c>
      <c r="B162">
        <v>5.2055787249715149</v>
      </c>
      <c r="C162">
        <v>2.3338726726670255E-4</v>
      </c>
      <c r="D162">
        <v>0</v>
      </c>
      <c r="E162">
        <v>11.496369052972273</v>
      </c>
      <c r="F162">
        <v>0</v>
      </c>
    </row>
    <row r="163" spans="1:6" x14ac:dyDescent="0.2">
      <c r="A163" t="s">
        <v>163</v>
      </c>
      <c r="B163">
        <v>16.919892105692096</v>
      </c>
      <c r="C163">
        <v>7.5858758259708008E-4</v>
      </c>
      <c r="D163">
        <v>1.9417433891766333E-3</v>
      </c>
      <c r="E163">
        <v>32.609868564741127</v>
      </c>
      <c r="F163">
        <v>0</v>
      </c>
    </row>
    <row r="164" spans="1:6" x14ac:dyDescent="0.2">
      <c r="A164" t="s">
        <v>164</v>
      </c>
      <c r="B164">
        <v>113.24555219365075</v>
      </c>
      <c r="C164">
        <v>5.0772587166529708E-3</v>
      </c>
      <c r="D164">
        <v>0</v>
      </c>
      <c r="E164">
        <v>228.99871207083163</v>
      </c>
      <c r="F164">
        <v>0</v>
      </c>
    </row>
    <row r="165" spans="1:6" x14ac:dyDescent="0.2">
      <c r="A165" t="s">
        <v>165</v>
      </c>
      <c r="B165">
        <v>112.90387718679402</v>
      </c>
      <c r="C165">
        <v>5.0619400363761564E-3</v>
      </c>
      <c r="D165">
        <v>2.7846929576483964E-3</v>
      </c>
      <c r="E165">
        <v>162.5081077402875</v>
      </c>
      <c r="F165">
        <v>0</v>
      </c>
    </row>
    <row r="166" spans="1:6" x14ac:dyDescent="0.2">
      <c r="A166" t="s">
        <v>166</v>
      </c>
      <c r="B166">
        <v>27.992906957828197</v>
      </c>
      <c r="C166">
        <v>1.2550358764912034E-3</v>
      </c>
      <c r="D166">
        <v>0</v>
      </c>
      <c r="E166">
        <v>58.506151853970067</v>
      </c>
      <c r="F166">
        <v>0</v>
      </c>
    </row>
    <row r="167" spans="1:6" x14ac:dyDescent="0.2">
      <c r="A167" t="s">
        <v>167</v>
      </c>
      <c r="B167">
        <v>45.447439605994987</v>
      </c>
      <c r="C167">
        <v>2.0375935691895075E-3</v>
      </c>
      <c r="D167">
        <v>1.4314388682204898E-2</v>
      </c>
      <c r="E167">
        <v>61.964813203863599</v>
      </c>
      <c r="F167">
        <v>0</v>
      </c>
    </row>
    <row r="168" spans="1:6" x14ac:dyDescent="0.2">
      <c r="A168" t="s">
        <v>168</v>
      </c>
      <c r="B168">
        <v>8.1966495584660954</v>
      </c>
      <c r="C168">
        <v>3.6748913853064321E-4</v>
      </c>
      <c r="D168">
        <v>5.9848930141499334E-4</v>
      </c>
      <c r="E168">
        <v>15.698628687520124</v>
      </c>
      <c r="F168">
        <v>0</v>
      </c>
    </row>
    <row r="169" spans="1:6" x14ac:dyDescent="0.2">
      <c r="A169" t="s">
        <v>169</v>
      </c>
      <c r="B169">
        <v>159.17027934000811</v>
      </c>
      <c r="C169">
        <v>7.1362510275829998E-3</v>
      </c>
      <c r="D169">
        <v>6.8713219530129987E-5</v>
      </c>
      <c r="E169">
        <v>213.0462125088057</v>
      </c>
      <c r="F169">
        <v>0</v>
      </c>
    </row>
    <row r="170" spans="1:6" x14ac:dyDescent="0.2">
      <c r="A170" t="s">
        <v>170</v>
      </c>
      <c r="B170">
        <v>22.229211685034475</v>
      </c>
      <c r="C170">
        <v>9.9662597431789623E-4</v>
      </c>
      <c r="D170">
        <v>5.864794376518104E-4</v>
      </c>
      <c r="E170">
        <v>49.91612835321591</v>
      </c>
      <c r="F170">
        <v>0</v>
      </c>
    </row>
    <row r="171" spans="1:6" x14ac:dyDescent="0.2">
      <c r="A171" t="s">
        <v>171</v>
      </c>
      <c r="B171">
        <v>69.374152225855141</v>
      </c>
      <c r="C171">
        <v>3.1103254147837635E-3</v>
      </c>
      <c r="D171">
        <v>0</v>
      </c>
      <c r="E171">
        <v>75.558797198209348</v>
      </c>
      <c r="F171">
        <v>0</v>
      </c>
    </row>
    <row r="172" spans="1:6" x14ac:dyDescent="0.2">
      <c r="A172" t="s">
        <v>172</v>
      </c>
      <c r="B172">
        <v>71.243911351778081</v>
      </c>
      <c r="C172">
        <v>3.1941543214051922E-3</v>
      </c>
      <c r="D172">
        <v>0</v>
      </c>
      <c r="E172">
        <v>98.742866490514132</v>
      </c>
      <c r="F172">
        <v>0</v>
      </c>
    </row>
    <row r="173" spans="1:6" x14ac:dyDescent="0.2">
      <c r="A173" t="s">
        <v>173</v>
      </c>
      <c r="B173">
        <v>52.667351654943623</v>
      </c>
      <c r="C173">
        <v>2.361291592413483E-3</v>
      </c>
      <c r="D173">
        <v>2.7418496687357675E-3</v>
      </c>
      <c r="E173">
        <v>65.884396143661519</v>
      </c>
      <c r="F173">
        <v>0</v>
      </c>
    </row>
    <row r="174" spans="1:6" x14ac:dyDescent="0.2">
      <c r="A174" t="s">
        <v>174</v>
      </c>
      <c r="B174">
        <v>23.805486051911362</v>
      </c>
      <c r="C174">
        <v>1.0672967654795384E-3</v>
      </c>
      <c r="D174">
        <v>6.8755398476388552E-5</v>
      </c>
      <c r="E174">
        <v>45.697993736308334</v>
      </c>
      <c r="F174">
        <v>0</v>
      </c>
    </row>
    <row r="175" spans="1:6" x14ac:dyDescent="0.2">
      <c r="A175" t="s">
        <v>175</v>
      </c>
      <c r="B175">
        <v>85.570524336528749</v>
      </c>
      <c r="C175">
        <v>3.8364746531790454E-3</v>
      </c>
      <c r="D175">
        <v>7.876253757349447E-4</v>
      </c>
      <c r="E175">
        <v>137.32534014430576</v>
      </c>
      <c r="F175">
        <v>0</v>
      </c>
    </row>
    <row r="176" spans="1:6" x14ac:dyDescent="0.2">
      <c r="A176" t="s">
        <v>176</v>
      </c>
      <c r="B176">
        <v>1.6293798700883035</v>
      </c>
      <c r="C176">
        <v>7.3051726870457598E-5</v>
      </c>
      <c r="D176">
        <v>3.3153174231491129E-4</v>
      </c>
      <c r="E176">
        <v>8.4448119826037971</v>
      </c>
      <c r="F176">
        <v>0</v>
      </c>
    </row>
    <row r="177" spans="1:6" x14ac:dyDescent="0.2">
      <c r="A177" t="s">
        <v>177</v>
      </c>
      <c r="B177">
        <v>19.180618936374433</v>
      </c>
      <c r="C177">
        <v>8.599451616340489E-4</v>
      </c>
      <c r="D177">
        <v>0</v>
      </c>
      <c r="E177">
        <v>55.786464130134299</v>
      </c>
      <c r="F177">
        <v>0</v>
      </c>
    </row>
    <row r="178" spans="1:6" x14ac:dyDescent="0.2">
      <c r="A178" t="s">
        <v>178</v>
      </c>
      <c r="B178">
        <v>98.986246342503108</v>
      </c>
      <c r="C178">
        <v>4.4379560374417058E-3</v>
      </c>
      <c r="D178">
        <v>1.629233264538257E-2</v>
      </c>
      <c r="E178">
        <v>121.22861131374538</v>
      </c>
      <c r="F178">
        <v>0</v>
      </c>
    </row>
    <row r="179" spans="1:6" x14ac:dyDescent="0.2">
      <c r="A179" t="s">
        <v>179</v>
      </c>
      <c r="B179">
        <v>16.041037854423237</v>
      </c>
      <c r="C179">
        <v>7.1918497188534119E-4</v>
      </c>
      <c r="D179">
        <v>0</v>
      </c>
      <c r="E179">
        <v>26.725124934616751</v>
      </c>
      <c r="F179">
        <v>0</v>
      </c>
    </row>
    <row r="180" spans="1:6" x14ac:dyDescent="0.2">
      <c r="A180" t="s">
        <v>180</v>
      </c>
      <c r="B180">
        <v>131.84250120611532</v>
      </c>
      <c r="C180">
        <v>5.9110355815953138E-3</v>
      </c>
      <c r="D180">
        <v>2.1067406664521662E-3</v>
      </c>
      <c r="E180">
        <v>183.99811843584408</v>
      </c>
      <c r="F180">
        <v>0</v>
      </c>
    </row>
    <row r="181" spans="1:6" x14ac:dyDescent="0.2">
      <c r="A181" t="s">
        <v>181</v>
      </c>
      <c r="B181">
        <v>39.567474212972819</v>
      </c>
      <c r="C181">
        <v>1.7739708046125035E-3</v>
      </c>
      <c r="D181">
        <v>0</v>
      </c>
      <c r="E181">
        <v>55.502037195783608</v>
      </c>
      <c r="F181">
        <v>0</v>
      </c>
    </row>
    <row r="182" spans="1:6" x14ac:dyDescent="0.2">
      <c r="A182" t="s">
        <v>182</v>
      </c>
      <c r="B182">
        <v>28.400538226649743</v>
      </c>
      <c r="C182">
        <v>1.273311644260567E-3</v>
      </c>
      <c r="D182">
        <v>6.7057094155311911E-4</v>
      </c>
      <c r="E182">
        <v>48.377411119913468</v>
      </c>
      <c r="F182">
        <v>0</v>
      </c>
    </row>
    <row r="183" spans="1:6" x14ac:dyDescent="0.2">
      <c r="A183" t="s">
        <v>183</v>
      </c>
      <c r="B183">
        <v>37.970401325165057</v>
      </c>
      <c r="C183">
        <v>1.7023675311622045E-3</v>
      </c>
      <c r="D183">
        <v>1.7161708500724536E-2</v>
      </c>
      <c r="E183">
        <v>47.187210399273901</v>
      </c>
      <c r="F183">
        <v>0</v>
      </c>
    </row>
    <row r="184" spans="1:6" x14ac:dyDescent="0.2">
      <c r="A184" t="s">
        <v>184</v>
      </c>
      <c r="B184">
        <v>250.52427178323668</v>
      </c>
      <c r="C184">
        <v>1.1232022079502838E-2</v>
      </c>
      <c r="D184">
        <v>0</v>
      </c>
      <c r="E184">
        <v>340.62237937351966</v>
      </c>
      <c r="F184">
        <v>0</v>
      </c>
    </row>
    <row r="185" spans="1:6" x14ac:dyDescent="0.2">
      <c r="A185" t="s">
        <v>185</v>
      </c>
      <c r="B185">
        <v>221.23261056275518</v>
      </c>
      <c r="C185">
        <v>9.9187577668998946E-3</v>
      </c>
      <c r="D185">
        <v>4.7740303327194217E-3</v>
      </c>
      <c r="E185">
        <v>277.94869258319193</v>
      </c>
      <c r="F185">
        <v>0</v>
      </c>
    </row>
    <row r="186" spans="1:6" x14ac:dyDescent="0.2">
      <c r="A186" t="s">
        <v>186</v>
      </c>
      <c r="B186">
        <v>116.2407236177786</v>
      </c>
      <c r="C186">
        <v>5.2115444340736288E-3</v>
      </c>
      <c r="D186">
        <v>4.3631785626598481E-3</v>
      </c>
      <c r="E186">
        <v>159.16854328541569</v>
      </c>
      <c r="F186">
        <v>0</v>
      </c>
    </row>
    <row r="187" spans="1:6" x14ac:dyDescent="0.2">
      <c r="A187" t="s">
        <v>187</v>
      </c>
      <c r="B187">
        <v>161.29092439487934</v>
      </c>
      <c r="C187">
        <v>7.2313281708456349E-3</v>
      </c>
      <c r="D187">
        <v>0</v>
      </c>
      <c r="E187">
        <v>181.57231895099846</v>
      </c>
      <c r="F187">
        <v>0</v>
      </c>
    </row>
    <row r="188" spans="1:6" x14ac:dyDescent="0.2">
      <c r="A188" t="s">
        <v>188</v>
      </c>
      <c r="B188">
        <v>73.414357671488375</v>
      </c>
      <c r="C188">
        <v>3.2914642579308434E-3</v>
      </c>
      <c r="D188">
        <v>0</v>
      </c>
      <c r="E188">
        <v>105.69816483051811</v>
      </c>
      <c r="F188">
        <v>0</v>
      </c>
    </row>
    <row r="189" spans="1:6" x14ac:dyDescent="0.2">
      <c r="A189" t="s">
        <v>189</v>
      </c>
      <c r="B189">
        <v>32.880596067674212</v>
      </c>
      <c r="C189">
        <v>1.4741708593364444E-3</v>
      </c>
      <c r="D189">
        <v>0</v>
      </c>
      <c r="E189">
        <v>37.579012697804302</v>
      </c>
      <c r="F189">
        <v>0</v>
      </c>
    </row>
    <row r="190" spans="1:6" x14ac:dyDescent="0.2">
      <c r="A190" t="s">
        <v>190</v>
      </c>
      <c r="B190">
        <v>7.0331301279001543</v>
      </c>
      <c r="C190">
        <v>3.153238299917774E-4</v>
      </c>
      <c r="D190">
        <v>0</v>
      </c>
      <c r="E190">
        <v>17.388613028468896</v>
      </c>
      <c r="F190">
        <v>0</v>
      </c>
    </row>
    <row r="191" spans="1:6" x14ac:dyDescent="0.2">
      <c r="A191" t="s">
        <v>191</v>
      </c>
      <c r="B191">
        <v>47.459706199440433</v>
      </c>
      <c r="C191">
        <v>2.1278116652108832E-3</v>
      </c>
      <c r="D191">
        <v>6.5846136244346798E-4</v>
      </c>
      <c r="E191">
        <v>59.99001404733319</v>
      </c>
      <c r="F191">
        <v>0</v>
      </c>
    </row>
    <row r="192" spans="1:6" x14ac:dyDescent="0.2">
      <c r="A192" t="s">
        <v>192</v>
      </c>
      <c r="B192">
        <v>73.140400394459164</v>
      </c>
      <c r="C192">
        <v>3.2791816389154092E-3</v>
      </c>
      <c r="D192">
        <v>2.0465621061410374E-4</v>
      </c>
      <c r="E192">
        <v>99.899996817692809</v>
      </c>
      <c r="F192">
        <v>0</v>
      </c>
    </row>
    <row r="193" spans="1:6" x14ac:dyDescent="0.2">
      <c r="A193" t="s">
        <v>193</v>
      </c>
      <c r="B193">
        <v>2.8074751971689125</v>
      </c>
      <c r="C193">
        <v>1.2587053213567237E-4</v>
      </c>
      <c r="D193">
        <v>0</v>
      </c>
      <c r="E193">
        <v>23.415277937566756</v>
      </c>
      <c r="F193">
        <v>0</v>
      </c>
    </row>
    <row r="194" spans="1:6" x14ac:dyDescent="0.2">
      <c r="A194" t="s">
        <v>194</v>
      </c>
      <c r="B194">
        <v>60.6534529355609</v>
      </c>
      <c r="C194">
        <v>2.71934099526995E-3</v>
      </c>
      <c r="D194">
        <v>1.0286544520517535E-2</v>
      </c>
      <c r="E194">
        <v>78.464440180716807</v>
      </c>
      <c r="F194">
        <v>0</v>
      </c>
    </row>
    <row r="195" spans="1:6" x14ac:dyDescent="0.2">
      <c r="A195" t="s">
        <v>195</v>
      </c>
      <c r="B195">
        <v>48.718468439537958</v>
      </c>
      <c r="C195">
        <v>2.1842470962890061E-3</v>
      </c>
      <c r="D195">
        <v>0</v>
      </c>
      <c r="E195">
        <v>69.320915213225149</v>
      </c>
      <c r="F195">
        <v>0</v>
      </c>
    </row>
    <row r="196" spans="1:6" x14ac:dyDescent="0.2">
      <c r="A196" t="s">
        <v>196</v>
      </c>
      <c r="B196">
        <v>8.6007247079805218</v>
      </c>
      <c r="C196">
        <v>3.8560547100740779E-4</v>
      </c>
      <c r="D196">
        <v>2.2742514520910197E-4</v>
      </c>
      <c r="E196">
        <v>52.805701808352318</v>
      </c>
      <c r="F196">
        <v>0</v>
      </c>
    </row>
    <row r="197" spans="1:6" x14ac:dyDescent="0.2">
      <c r="A197" t="s">
        <v>197</v>
      </c>
      <c r="B197">
        <v>45.929861105711119</v>
      </c>
      <c r="C197">
        <v>2.059222487209582E-3</v>
      </c>
      <c r="D197">
        <v>2.033994887191899E-4</v>
      </c>
      <c r="E197">
        <v>73.310007029954733</v>
      </c>
      <c r="F197">
        <v>0</v>
      </c>
    </row>
    <row r="198" spans="1:6" x14ac:dyDescent="0.2">
      <c r="A198" t="s">
        <v>198</v>
      </c>
      <c r="B198">
        <v>305.28036712279987</v>
      </c>
      <c r="C198">
        <v>1.3686960546995827E-2</v>
      </c>
      <c r="D198">
        <v>1.438510502573361E-4</v>
      </c>
      <c r="E198">
        <v>379.21898426288868</v>
      </c>
      <c r="F198">
        <v>119.62832621901303</v>
      </c>
    </row>
    <row r="199" spans="1:6" x14ac:dyDescent="0.2">
      <c r="A199" t="s">
        <v>199</v>
      </c>
      <c r="B199">
        <v>69.657006687351398</v>
      </c>
      <c r="C199">
        <v>3.1230069307670162E-3</v>
      </c>
      <c r="D199">
        <v>0</v>
      </c>
      <c r="E199">
        <v>86.002673332098553</v>
      </c>
      <c r="F199">
        <v>28.50564473681327</v>
      </c>
    </row>
    <row r="200" spans="1:6" x14ac:dyDescent="0.2">
      <c r="A200" t="s">
        <v>200</v>
      </c>
      <c r="B200">
        <v>129.99740980609741</v>
      </c>
      <c r="C200">
        <v>5.8283126294590305E-3</v>
      </c>
      <c r="D200">
        <v>0</v>
      </c>
      <c r="E200">
        <v>199.01244382452845</v>
      </c>
      <c r="F200">
        <v>0</v>
      </c>
    </row>
    <row r="201" spans="1:6" x14ac:dyDescent="0.2">
      <c r="A201" t="s">
        <v>201</v>
      </c>
      <c r="B201">
        <v>401.74496380629063</v>
      </c>
      <c r="C201">
        <v>1.8011860773736271E-2</v>
      </c>
      <c r="D201">
        <v>2.670692165681296E-2</v>
      </c>
      <c r="E201">
        <v>458.08871973132926</v>
      </c>
      <c r="F201">
        <v>0</v>
      </c>
    </row>
    <row r="202" spans="1:6" x14ac:dyDescent="0.2">
      <c r="A202" t="s">
        <v>202</v>
      </c>
      <c r="B202">
        <v>22.322168099840884</v>
      </c>
      <c r="C202">
        <v>1.0007935884820058E-3</v>
      </c>
      <c r="D202">
        <v>1.7609135099917906E-3</v>
      </c>
      <c r="E202">
        <v>58.337582826424367</v>
      </c>
      <c r="F202">
        <v>15.544459230618022</v>
      </c>
    </row>
    <row r="203" spans="1:6" x14ac:dyDescent="0.2">
      <c r="A203" t="s">
        <v>203</v>
      </c>
      <c r="B203">
        <v>19.194983419478046</v>
      </c>
      <c r="C203">
        <v>8.6058917983728323E-4</v>
      </c>
      <c r="D203">
        <v>0</v>
      </c>
      <c r="E203">
        <v>33.646021190652164</v>
      </c>
      <c r="F203">
        <v>0</v>
      </c>
    </row>
    <row r="204" spans="1:6" x14ac:dyDescent="0.2">
      <c r="A204" t="s">
        <v>204</v>
      </c>
      <c r="B204">
        <v>29.625902153856838</v>
      </c>
      <c r="C204">
        <v>1.3282496931284428E-3</v>
      </c>
      <c r="D204">
        <v>0</v>
      </c>
      <c r="E204">
        <v>128.73210375990257</v>
      </c>
      <c r="F204">
        <v>0</v>
      </c>
    </row>
    <row r="205" spans="1:6" x14ac:dyDescent="0.2">
      <c r="A205" t="s">
        <v>205</v>
      </c>
      <c r="B205">
        <v>1.1030543953467149</v>
      </c>
      <c r="C205">
        <v>4.9454415076184149E-5</v>
      </c>
      <c r="D205">
        <v>3.2424641754033064E-4</v>
      </c>
      <c r="E205">
        <v>7.2940108777987698</v>
      </c>
      <c r="F205">
        <v>0</v>
      </c>
    </row>
    <row r="206" spans="1:6" x14ac:dyDescent="0.2">
      <c r="A206" t="s">
        <v>206</v>
      </c>
      <c r="B206">
        <v>57.772467431733951</v>
      </c>
      <c r="C206">
        <v>2.5901746970930194E-3</v>
      </c>
      <c r="D206">
        <v>1.1486424851013814E-3</v>
      </c>
      <c r="E206">
        <v>101.79264190041796</v>
      </c>
      <c r="F206">
        <v>0</v>
      </c>
    </row>
    <row r="207" spans="1:6" x14ac:dyDescent="0.2">
      <c r="A207" t="s">
        <v>207</v>
      </c>
      <c r="B207">
        <v>48.82234847435501</v>
      </c>
      <c r="C207">
        <v>2.1889044607686214E-3</v>
      </c>
      <c r="D207">
        <v>1.1024217885081396E-3</v>
      </c>
      <c r="E207">
        <v>80.107242685163115</v>
      </c>
      <c r="F207">
        <v>0</v>
      </c>
    </row>
    <row r="208" spans="1:6" x14ac:dyDescent="0.2">
      <c r="A208" t="s">
        <v>208</v>
      </c>
      <c r="B208">
        <v>183.31891870372525</v>
      </c>
      <c r="C208">
        <v>8.2189327517630337E-3</v>
      </c>
      <c r="D208">
        <v>0</v>
      </c>
      <c r="E208">
        <v>226.57229571942244</v>
      </c>
      <c r="F208">
        <v>55.465779255462273</v>
      </c>
    </row>
    <row r="209" spans="1:6" x14ac:dyDescent="0.2">
      <c r="A209" t="s">
        <v>209</v>
      </c>
      <c r="B209">
        <v>57.440159440792307</v>
      </c>
      <c r="C209">
        <v>2.5752759782388191E-3</v>
      </c>
      <c r="D209">
        <v>1.4128552953320895E-4</v>
      </c>
      <c r="E209">
        <v>97.661283425882232</v>
      </c>
      <c r="F209">
        <v>0</v>
      </c>
    </row>
    <row r="210" spans="1:6" x14ac:dyDescent="0.2">
      <c r="A210" t="s">
        <v>210</v>
      </c>
      <c r="B210">
        <v>6.9612213368906621</v>
      </c>
      <c r="C210">
        <v>3.1209986641100385E-4</v>
      </c>
      <c r="D210">
        <v>0</v>
      </c>
      <c r="E210">
        <v>21.553756492206873</v>
      </c>
      <c r="F210">
        <v>0</v>
      </c>
    </row>
    <row r="211" spans="1:6" x14ac:dyDescent="0.2">
      <c r="A211" t="s">
        <v>211</v>
      </c>
      <c r="B211">
        <v>96.325354846887564</v>
      </c>
      <c r="C211">
        <v>4.3186574488571442E-3</v>
      </c>
      <c r="D211">
        <v>0</v>
      </c>
      <c r="E211">
        <v>113.66240249113329</v>
      </c>
      <c r="F211">
        <v>0</v>
      </c>
    </row>
    <row r="212" spans="1:6" x14ac:dyDescent="0.2">
      <c r="A212" t="s">
        <v>212</v>
      </c>
      <c r="B212">
        <v>113.19300548932807</v>
      </c>
      <c r="C212">
        <v>5.0749028341711801E-3</v>
      </c>
      <c r="D212">
        <v>0</v>
      </c>
      <c r="E212">
        <v>179.84682429915236</v>
      </c>
      <c r="F212">
        <v>0</v>
      </c>
    </row>
    <row r="213" spans="1:6" x14ac:dyDescent="0.2">
      <c r="A213" t="s">
        <v>213</v>
      </c>
      <c r="B213">
        <v>89.549354183022345</v>
      </c>
      <c r="C213">
        <v>4.0148617785792894E-3</v>
      </c>
      <c r="D213">
        <v>0</v>
      </c>
      <c r="E213">
        <v>109.93418037384318</v>
      </c>
      <c r="F213">
        <v>0</v>
      </c>
    </row>
    <row r="214" spans="1:6" x14ac:dyDescent="0.2">
      <c r="A214" t="s">
        <v>214</v>
      </c>
      <c r="B214">
        <v>33.133846913489954</v>
      </c>
      <c r="C214">
        <v>1.4855251248198159E-3</v>
      </c>
      <c r="D214">
        <v>1.7376672970907702E-3</v>
      </c>
      <c r="E214">
        <v>71.429403186695879</v>
      </c>
      <c r="F214">
        <v>0</v>
      </c>
    </row>
    <row r="215" spans="1:6" x14ac:dyDescent="0.2">
      <c r="A215" t="s">
        <v>215</v>
      </c>
      <c r="B215">
        <v>162.76547658993019</v>
      </c>
      <c r="C215">
        <v>7.2974383433023812E-3</v>
      </c>
      <c r="D215">
        <v>0</v>
      </c>
      <c r="E215">
        <v>223.29610828652088</v>
      </c>
      <c r="F215">
        <v>0</v>
      </c>
    </row>
    <row r="216" spans="1:6" x14ac:dyDescent="0.2">
      <c r="A216" t="s">
        <v>216</v>
      </c>
      <c r="B216">
        <v>5.1236880022893185</v>
      </c>
      <c r="C216">
        <v>2.2971577308881022E-4</v>
      </c>
      <c r="D216">
        <v>0</v>
      </c>
      <c r="E216">
        <v>11.558012265981404</v>
      </c>
      <c r="F216">
        <v>0</v>
      </c>
    </row>
    <row r="217" spans="1:6" x14ac:dyDescent="0.2">
      <c r="A217" t="s">
        <v>217</v>
      </c>
      <c r="B217">
        <v>36.382363786448785</v>
      </c>
      <c r="C217">
        <v>1.6311693491618047E-3</v>
      </c>
      <c r="D217">
        <v>1.1783461355332387E-3</v>
      </c>
      <c r="E217">
        <v>41.479109162414609</v>
      </c>
      <c r="F217">
        <v>0</v>
      </c>
    </row>
    <row r="218" spans="1:6" x14ac:dyDescent="0.2">
      <c r="A218" t="s">
        <v>218</v>
      </c>
      <c r="B218">
        <v>177.71202434809831</v>
      </c>
      <c r="C218">
        <v>7.9675528724740072E-3</v>
      </c>
      <c r="D218">
        <v>0</v>
      </c>
      <c r="E218">
        <v>224.40128957216035</v>
      </c>
      <c r="F218">
        <v>0</v>
      </c>
    </row>
    <row r="219" spans="1:6" x14ac:dyDescent="0.2">
      <c r="A219" t="s">
        <v>219</v>
      </c>
      <c r="B219">
        <v>116.17715909407946</v>
      </c>
      <c r="C219">
        <v>5.2086945779356193E-3</v>
      </c>
      <c r="D219">
        <v>3.468296663120504E-4</v>
      </c>
      <c r="E219">
        <v>162.00936549364616</v>
      </c>
      <c r="F219">
        <v>0</v>
      </c>
    </row>
    <row r="220" spans="1:6" x14ac:dyDescent="0.2">
      <c r="A220" t="s">
        <v>220</v>
      </c>
      <c r="B220">
        <v>112.05882636565133</v>
      </c>
      <c r="C220">
        <v>5.0240529709281063E-3</v>
      </c>
      <c r="D220">
        <v>6.8907551624271471E-5</v>
      </c>
      <c r="E220">
        <v>136.0706565024874</v>
      </c>
      <c r="F220">
        <v>0</v>
      </c>
    </row>
    <row r="221" spans="1:6" x14ac:dyDescent="0.2">
      <c r="A221" t="s">
        <v>221</v>
      </c>
      <c r="B221">
        <v>15.803288646680848</v>
      </c>
      <c r="C221">
        <v>7.0852570788772988E-4</v>
      </c>
      <c r="D221">
        <v>0</v>
      </c>
      <c r="E221">
        <v>23.950611649182861</v>
      </c>
      <c r="F221">
        <v>0</v>
      </c>
    </row>
    <row r="222" spans="1:6" x14ac:dyDescent="0.2">
      <c r="A222" t="s">
        <v>222</v>
      </c>
      <c r="B222">
        <v>35.783161484426984</v>
      </c>
      <c r="C222">
        <v>1.6043046727833774E-3</v>
      </c>
      <c r="D222">
        <v>1.5760358817876375E-4</v>
      </c>
      <c r="E222">
        <v>38.896476701651252</v>
      </c>
      <c r="F222">
        <v>0</v>
      </c>
    </row>
    <row r="223" spans="1:6" x14ac:dyDescent="0.2">
      <c r="A223" t="s">
        <v>223</v>
      </c>
      <c r="B223">
        <v>85.051550261996084</v>
      </c>
      <c r="C223">
        <v>3.813206934557019E-3</v>
      </c>
      <c r="D223">
        <v>1.579045477605305E-3</v>
      </c>
      <c r="E223">
        <v>109.03315126384106</v>
      </c>
      <c r="F223">
        <v>0</v>
      </c>
    </row>
    <row r="224" spans="1:6" x14ac:dyDescent="0.2">
      <c r="A224" t="s">
        <v>224</v>
      </c>
      <c r="B224">
        <v>1.3451919358840316</v>
      </c>
      <c r="C224">
        <v>6.0310425881974811E-5</v>
      </c>
      <c r="D224">
        <v>0</v>
      </c>
      <c r="E224">
        <v>9.4144587294146689</v>
      </c>
      <c r="F224">
        <v>0</v>
      </c>
    </row>
    <row r="225" spans="1:6" x14ac:dyDescent="0.2">
      <c r="A225" t="s">
        <v>225</v>
      </c>
      <c r="B225">
        <v>112.27331713860941</v>
      </c>
      <c r="C225">
        <v>5.0336694646936258E-3</v>
      </c>
      <c r="D225">
        <v>3.0004634210870313E-2</v>
      </c>
      <c r="E225">
        <v>159.35150731342793</v>
      </c>
      <c r="F225">
        <v>0</v>
      </c>
    </row>
    <row r="226" spans="1:6" x14ac:dyDescent="0.2">
      <c r="A226" t="s">
        <v>226</v>
      </c>
      <c r="B226">
        <v>40.344083434442354</v>
      </c>
      <c r="C226">
        <v>1.8087893547697462E-3</v>
      </c>
      <c r="D226">
        <v>0</v>
      </c>
      <c r="E226">
        <v>49.038409560194523</v>
      </c>
      <c r="F226">
        <v>0</v>
      </c>
    </row>
    <row r="227" spans="1:6" x14ac:dyDescent="0.2">
      <c r="A227" t="s">
        <v>227</v>
      </c>
      <c r="B227">
        <v>21.414706423111042</v>
      </c>
      <c r="C227">
        <v>9.6010839052980369E-4</v>
      </c>
      <c r="D227">
        <v>3.383350195385975E-2</v>
      </c>
      <c r="E227">
        <v>36.873674565120417</v>
      </c>
      <c r="F227">
        <v>0</v>
      </c>
    </row>
    <row r="228" spans="1:6" x14ac:dyDescent="0.2">
      <c r="A228" t="s">
        <v>228</v>
      </c>
      <c r="B228">
        <v>67.250476313111733</v>
      </c>
      <c r="C228">
        <v>3.0151123858350912E-3</v>
      </c>
      <c r="D228">
        <v>1.1604631000694708E-3</v>
      </c>
      <c r="E228">
        <v>93.607461975491987</v>
      </c>
      <c r="F228">
        <v>0</v>
      </c>
    </row>
    <row r="229" spans="1:6" x14ac:dyDescent="0.2">
      <c r="A229" t="s">
        <v>229</v>
      </c>
      <c r="B229">
        <v>46.917532334335192</v>
      </c>
      <c r="C229">
        <v>2.1035038056153046E-3</v>
      </c>
      <c r="D229">
        <v>0</v>
      </c>
      <c r="E229">
        <v>85.213350190751427</v>
      </c>
      <c r="F229">
        <v>0</v>
      </c>
    </row>
    <row r="230" spans="1:6" x14ac:dyDescent="0.2">
      <c r="A230" t="s">
        <v>230</v>
      </c>
      <c r="B230">
        <v>139.51551140098155</v>
      </c>
      <c r="C230">
        <v>6.255047837619581E-3</v>
      </c>
      <c r="D230">
        <v>2.2116431812832583E-4</v>
      </c>
      <c r="E230">
        <v>170.97205575674539</v>
      </c>
      <c r="F230">
        <v>0</v>
      </c>
    </row>
    <row r="231" spans="1:6" x14ac:dyDescent="0.2">
      <c r="A231" t="s">
        <v>231</v>
      </c>
      <c r="B231">
        <v>74.838578036741524</v>
      </c>
      <c r="C231">
        <v>3.3553178497394728E-3</v>
      </c>
      <c r="D231">
        <v>8.2089439811770387E-3</v>
      </c>
      <c r="E231">
        <v>101.76005235897857</v>
      </c>
      <c r="F231">
        <v>129.52333747125442</v>
      </c>
    </row>
    <row r="232" spans="1:6" x14ac:dyDescent="0.2">
      <c r="A232" t="s">
        <v>232</v>
      </c>
      <c r="B232">
        <v>15.303768768759674</v>
      </c>
      <c r="C232">
        <v>6.8613020002725525E-4</v>
      </c>
      <c r="D232">
        <v>0</v>
      </c>
      <c r="E232">
        <v>45.95756518330171</v>
      </c>
      <c r="F232">
        <v>0</v>
      </c>
    </row>
    <row r="233" spans="1:6" x14ac:dyDescent="0.2">
      <c r="A233" t="s">
        <v>233</v>
      </c>
      <c r="B233">
        <v>14.977226747028578</v>
      </c>
      <c r="C233">
        <v>6.7148999302510642E-4</v>
      </c>
      <c r="D233">
        <v>0</v>
      </c>
      <c r="E233">
        <v>18.388676730749498</v>
      </c>
      <c r="F233">
        <v>0</v>
      </c>
    </row>
    <row r="234" spans="1:6" x14ac:dyDescent="0.2">
      <c r="A234" t="s">
        <v>234</v>
      </c>
      <c r="B234">
        <v>48.252667209077792</v>
      </c>
      <c r="C234">
        <v>2.1633633325404979E-3</v>
      </c>
      <c r="D234">
        <v>2.0292956419772591E-4</v>
      </c>
      <c r="E234">
        <v>77.811141929752239</v>
      </c>
      <c r="F234">
        <v>0</v>
      </c>
    </row>
    <row r="235" spans="1:6" x14ac:dyDescent="0.2">
      <c r="A235" t="s">
        <v>235</v>
      </c>
      <c r="B235">
        <v>24.772888473378636</v>
      </c>
      <c r="C235">
        <v>1.1106693508196386E-3</v>
      </c>
      <c r="D235">
        <v>0</v>
      </c>
      <c r="E235">
        <v>81.774750970587903</v>
      </c>
      <c r="F235">
        <v>0</v>
      </c>
    </row>
    <row r="236" spans="1:6" x14ac:dyDescent="0.2">
      <c r="A236" t="s">
        <v>236</v>
      </c>
      <c r="B236">
        <v>21.796704303347891</v>
      </c>
      <c r="C236">
        <v>9.7723490922838291E-4</v>
      </c>
      <c r="D236">
        <v>1.3892250004072292E-4</v>
      </c>
      <c r="E236">
        <v>42.022657775035789</v>
      </c>
      <c r="F236">
        <v>0</v>
      </c>
    </row>
    <row r="237" spans="1:6" x14ac:dyDescent="0.2">
      <c r="A237" t="s">
        <v>237</v>
      </c>
      <c r="B237">
        <v>8.3827307102095183</v>
      </c>
      <c r="C237">
        <v>3.7583191342460578E-4</v>
      </c>
      <c r="D237">
        <v>5.1985241260445935E-3</v>
      </c>
      <c r="E237">
        <v>23.475635983516927</v>
      </c>
      <c r="F237">
        <v>0</v>
      </c>
    </row>
    <row r="238" spans="1:6" x14ac:dyDescent="0.2">
      <c r="A238" t="s">
        <v>238</v>
      </c>
      <c r="B238">
        <v>53.432074349639372</v>
      </c>
      <c r="C238">
        <v>2.395577221228528E-3</v>
      </c>
      <c r="D238">
        <v>0</v>
      </c>
      <c r="E238">
        <v>94.123212033832999</v>
      </c>
      <c r="F238">
        <v>0</v>
      </c>
    </row>
    <row r="239" spans="1:6" x14ac:dyDescent="0.2">
      <c r="A239" t="s">
        <v>239</v>
      </c>
      <c r="B239">
        <v>0.81476292713890142</v>
      </c>
      <c r="C239">
        <v>3.6529135967722442E-5</v>
      </c>
      <c r="D239">
        <v>5.3152457279473809E-4</v>
      </c>
      <c r="E239">
        <v>13.976406873865631</v>
      </c>
      <c r="F239">
        <v>0</v>
      </c>
    </row>
    <row r="240" spans="1:6" x14ac:dyDescent="0.2">
      <c r="A240" t="s">
        <v>240</v>
      </c>
      <c r="B240">
        <v>49.19136952704622</v>
      </c>
      <c r="C240">
        <v>2.2054491755067419E-3</v>
      </c>
      <c r="D240">
        <v>3.7430191362905279E-4</v>
      </c>
      <c r="E240">
        <v>88.214096759287713</v>
      </c>
      <c r="F240">
        <v>0</v>
      </c>
    </row>
    <row r="241" spans="1:6" x14ac:dyDescent="0.2">
      <c r="A241" t="s">
        <v>241</v>
      </c>
      <c r="B241">
        <v>27.81822960691547</v>
      </c>
      <c r="C241">
        <v>1.2472043803719835E-3</v>
      </c>
      <c r="D241">
        <v>0</v>
      </c>
      <c r="E241">
        <v>60.635630335639064</v>
      </c>
      <c r="F241">
        <v>0</v>
      </c>
    </row>
    <row r="242" spans="1:6" x14ac:dyDescent="0.2">
      <c r="A242" t="s">
        <v>242</v>
      </c>
      <c r="B242">
        <v>80.405993075657634</v>
      </c>
      <c r="C242">
        <v>3.6049277106832787E-3</v>
      </c>
      <c r="D242">
        <v>2.3337950438773584E-3</v>
      </c>
      <c r="E242">
        <v>99.678007899269176</v>
      </c>
      <c r="F242">
        <v>0</v>
      </c>
    </row>
    <row r="243" spans="1:6" x14ac:dyDescent="0.2">
      <c r="A243" t="s">
        <v>243</v>
      </c>
      <c r="B243">
        <v>71.244131360695633</v>
      </c>
      <c r="C243">
        <v>3.1941641852998243E-3</v>
      </c>
      <c r="D243">
        <v>3.3421497658994879E-3</v>
      </c>
      <c r="E243">
        <v>106.49715796851181</v>
      </c>
      <c r="F243">
        <v>0</v>
      </c>
    </row>
    <row r="244" spans="1:6" x14ac:dyDescent="0.2">
      <c r="A244" t="s">
        <v>244</v>
      </c>
      <c r="B244">
        <v>23.190115586050243</v>
      </c>
      <c r="C244">
        <v>1.0397072045542541E-3</v>
      </c>
      <c r="D244">
        <v>9.5212559640770935E-3</v>
      </c>
      <c r="E244">
        <v>218.42384208055719</v>
      </c>
      <c r="F244">
        <v>30.112469722496026</v>
      </c>
    </row>
    <row r="245" spans="1:6" x14ac:dyDescent="0.2">
      <c r="A245" t="s">
        <v>245</v>
      </c>
      <c r="B245">
        <v>0.6132842723617028</v>
      </c>
      <c r="C245">
        <v>2.7496028385379793E-5</v>
      </c>
      <c r="D245">
        <v>0</v>
      </c>
      <c r="E245">
        <v>27.895860362621061</v>
      </c>
      <c r="F245">
        <v>0</v>
      </c>
    </row>
    <row r="246" spans="1:6" x14ac:dyDescent="0.2">
      <c r="A246" t="s">
        <v>246</v>
      </c>
      <c r="B246">
        <v>42.120844937605582</v>
      </c>
      <c r="C246">
        <v>1.888448799706911E-3</v>
      </c>
      <c r="D246">
        <v>1.0220024429085409E-3</v>
      </c>
      <c r="E246">
        <v>64.380361000806147</v>
      </c>
      <c r="F246">
        <v>0</v>
      </c>
    </row>
    <row r="247" spans="1:6" x14ac:dyDescent="0.2">
      <c r="A247" t="s">
        <v>247</v>
      </c>
      <c r="B247">
        <v>132.09316224054498</v>
      </c>
      <c r="C247">
        <v>5.9222737353005206E-3</v>
      </c>
      <c r="D247">
        <v>1.5577895231477193E-3</v>
      </c>
      <c r="E247">
        <v>167.99046125332146</v>
      </c>
      <c r="F247">
        <v>15.276746839212278</v>
      </c>
    </row>
    <row r="248" spans="1:6" x14ac:dyDescent="0.2">
      <c r="A248" t="s">
        <v>248</v>
      </c>
      <c r="B248">
        <v>9.2583777462016155</v>
      </c>
      <c r="C248">
        <v>4.1509073163054923E-4</v>
      </c>
      <c r="D248">
        <v>0</v>
      </c>
      <c r="E248">
        <v>13.785649335721184</v>
      </c>
      <c r="F248">
        <v>0</v>
      </c>
    </row>
    <row r="249" spans="1:6" x14ac:dyDescent="0.2">
      <c r="A249" t="s">
        <v>249</v>
      </c>
      <c r="B249">
        <v>2.759298091266237</v>
      </c>
      <c r="C249">
        <v>1.2371055652383385E-4</v>
      </c>
      <c r="D249">
        <v>0</v>
      </c>
      <c r="E249">
        <v>17.807586076247375</v>
      </c>
      <c r="F249">
        <v>0</v>
      </c>
    </row>
    <row r="250" spans="1:6" x14ac:dyDescent="0.2">
      <c r="A250" t="s">
        <v>250</v>
      </c>
      <c r="B250">
        <v>3.0582549677748148</v>
      </c>
      <c r="C250">
        <v>1.3711400926660411E-4</v>
      </c>
      <c r="D250">
        <v>0</v>
      </c>
      <c r="E250">
        <v>42.933024053928314</v>
      </c>
      <c r="F250">
        <v>160.23018511576078</v>
      </c>
    </row>
    <row r="251" spans="1:6" x14ac:dyDescent="0.2">
      <c r="A251" t="s">
        <v>251</v>
      </c>
      <c r="B251">
        <v>154.01477534142393</v>
      </c>
      <c r="C251">
        <v>6.905108813972792E-3</v>
      </c>
      <c r="D251">
        <v>4.7766697404976795E-3</v>
      </c>
      <c r="E251">
        <v>228.59786185108095</v>
      </c>
      <c r="F251">
        <v>187.11200533192539</v>
      </c>
    </row>
    <row r="252" spans="1:6" x14ac:dyDescent="0.2">
      <c r="A252" t="s">
        <v>252</v>
      </c>
      <c r="B252">
        <v>11.971203154428121</v>
      </c>
      <c r="C252">
        <v>5.3671772875201243E-4</v>
      </c>
      <c r="D252">
        <v>0</v>
      </c>
      <c r="E252">
        <v>16.029947167813383</v>
      </c>
      <c r="F252">
        <v>0</v>
      </c>
    </row>
    <row r="253" spans="1:6" x14ac:dyDescent="0.2">
      <c r="A253" t="s">
        <v>253</v>
      </c>
      <c r="B253">
        <v>43.867168107030473</v>
      </c>
      <c r="C253">
        <v>1.9667435703385533E-3</v>
      </c>
      <c r="D253">
        <v>8.4851304198300533E-5</v>
      </c>
      <c r="E253">
        <v>58.349857361826018</v>
      </c>
      <c r="F253">
        <v>0</v>
      </c>
    </row>
    <row r="254" spans="1:6" x14ac:dyDescent="0.2">
      <c r="A254" t="s">
        <v>254</v>
      </c>
      <c r="B254">
        <v>30.382369830481188</v>
      </c>
      <c r="C254">
        <v>1.362165215907116E-3</v>
      </c>
      <c r="D254">
        <v>0</v>
      </c>
      <c r="E254">
        <v>78.614331958728101</v>
      </c>
      <c r="F254">
        <v>0</v>
      </c>
    </row>
    <row r="255" spans="1:6" x14ac:dyDescent="0.2">
      <c r="A255" t="s">
        <v>255</v>
      </c>
      <c r="B255">
        <v>6.4834640603700882</v>
      </c>
      <c r="C255">
        <v>2.9068006448791807E-4</v>
      </c>
      <c r="D255">
        <v>0</v>
      </c>
      <c r="E255">
        <v>12.846620532337219</v>
      </c>
      <c r="F255">
        <v>0</v>
      </c>
    </row>
    <row r="256" spans="1:6" x14ac:dyDescent="0.2">
      <c r="A256" t="s">
        <v>256</v>
      </c>
      <c r="B256">
        <v>245.71999436789957</v>
      </c>
      <c r="C256">
        <v>1.101662678218884E-2</v>
      </c>
      <c r="D256">
        <v>6.7755984100286589E-5</v>
      </c>
      <c r="E256">
        <v>278.60275138777598</v>
      </c>
      <c r="F256">
        <v>23.93333179013398</v>
      </c>
    </row>
    <row r="257" spans="1:6" x14ac:dyDescent="0.2">
      <c r="A257" t="s">
        <v>257</v>
      </c>
      <c r="B257">
        <v>87.889217028001809</v>
      </c>
      <c r="C257">
        <v>3.9404310775239936E-3</v>
      </c>
      <c r="D257">
        <v>1.7509891707047498E-4</v>
      </c>
      <c r="E257">
        <v>117.17254397770004</v>
      </c>
      <c r="F257">
        <v>0</v>
      </c>
    </row>
    <row r="258" spans="1:6" x14ac:dyDescent="0.2">
      <c r="A258" t="s">
        <v>258</v>
      </c>
      <c r="B258">
        <v>12.583857270657667</v>
      </c>
      <c r="C258">
        <v>5.6418550467490813E-4</v>
      </c>
      <c r="D258">
        <v>0</v>
      </c>
      <c r="E258">
        <v>46.249763595312267</v>
      </c>
      <c r="F258">
        <v>0</v>
      </c>
    </row>
    <row r="259" spans="1:6" x14ac:dyDescent="0.2">
      <c r="A259" t="s">
        <v>259</v>
      </c>
      <c r="B259">
        <v>54.224823241943177</v>
      </c>
      <c r="C259">
        <v>2.4311193784753199E-3</v>
      </c>
      <c r="D259">
        <v>6.6913052418041581E-3</v>
      </c>
      <c r="E259">
        <v>80.097911278764627</v>
      </c>
      <c r="F259">
        <v>0</v>
      </c>
    </row>
    <row r="260" spans="1:6" x14ac:dyDescent="0.2">
      <c r="A260" t="s">
        <v>260</v>
      </c>
      <c r="B260">
        <v>11.78907430033869</v>
      </c>
      <c r="C260">
        <v>5.2855215143734406E-4</v>
      </c>
      <c r="D260">
        <v>0</v>
      </c>
      <c r="E260">
        <v>25.951398759788152</v>
      </c>
      <c r="F260">
        <v>0</v>
      </c>
    </row>
    <row r="261" spans="1:6" x14ac:dyDescent="0.2">
      <c r="A261" t="s">
        <v>261</v>
      </c>
      <c r="B261">
        <v>93.094045293367415</v>
      </c>
      <c r="C261">
        <v>4.1737846986341651E-3</v>
      </c>
      <c r="D261">
        <v>0</v>
      </c>
      <c r="E261">
        <v>117.62989040439302</v>
      </c>
      <c r="F261">
        <v>0</v>
      </c>
    </row>
    <row r="262" spans="1:6" x14ac:dyDescent="0.2">
      <c r="A262" t="s">
        <v>262</v>
      </c>
      <c r="B262">
        <v>111.40319181976514</v>
      </c>
      <c r="C262">
        <v>4.9946582075262981E-3</v>
      </c>
      <c r="D262">
        <v>0</v>
      </c>
      <c r="E262">
        <v>133.94303559151425</v>
      </c>
      <c r="F262">
        <v>0</v>
      </c>
    </row>
    <row r="263" spans="1:6" x14ac:dyDescent="0.2">
      <c r="A263" t="s">
        <v>263</v>
      </c>
      <c r="B263">
        <v>7.1666868206774623</v>
      </c>
      <c r="C263">
        <v>3.2131171975376442E-4</v>
      </c>
      <c r="D263">
        <v>1.5680642771454827E-3</v>
      </c>
      <c r="E263">
        <v>14.48271731834199</v>
      </c>
      <c r="F263">
        <v>0</v>
      </c>
    </row>
    <row r="264" spans="1:6" x14ac:dyDescent="0.2">
      <c r="A264" t="s">
        <v>264</v>
      </c>
      <c r="B264">
        <v>124.93523882467851</v>
      </c>
      <c r="C264">
        <v>5.6013549146284617E-3</v>
      </c>
      <c r="D264">
        <v>1.259515903095401E-2</v>
      </c>
      <c r="E264">
        <v>146.50394029482462</v>
      </c>
      <c r="F264">
        <v>0</v>
      </c>
    </row>
    <row r="265" spans="1:6" x14ac:dyDescent="0.2">
      <c r="A265" t="s">
        <v>265</v>
      </c>
      <c r="B265">
        <v>190.39263370568565</v>
      </c>
      <c r="C265">
        <v>8.5360761667327215E-3</v>
      </c>
      <c r="D265">
        <v>0</v>
      </c>
      <c r="E265">
        <v>288.31323997483116</v>
      </c>
      <c r="F265">
        <v>0</v>
      </c>
    </row>
    <row r="266" spans="1:6" x14ac:dyDescent="0.2">
      <c r="A266" t="s">
        <v>266</v>
      </c>
      <c r="B266">
        <v>9.0476565594173515</v>
      </c>
      <c r="C266">
        <v>4.0564324374551202E-4</v>
      </c>
      <c r="D266">
        <v>0</v>
      </c>
      <c r="E266">
        <v>20.923456959324767</v>
      </c>
      <c r="F266">
        <v>0</v>
      </c>
    </row>
    <row r="267" spans="1:6" x14ac:dyDescent="0.2">
      <c r="A267" t="s">
        <v>267</v>
      </c>
      <c r="B267">
        <v>70.385292907979903</v>
      </c>
      <c r="C267">
        <v>3.1556589642489246E-3</v>
      </c>
      <c r="D267">
        <v>9.9621642703396577E-4</v>
      </c>
      <c r="E267">
        <v>96.035702615040734</v>
      </c>
      <c r="F267">
        <v>0</v>
      </c>
    </row>
    <row r="268" spans="1:6" x14ac:dyDescent="0.2">
      <c r="A268" t="s">
        <v>268</v>
      </c>
      <c r="B268">
        <v>458.42838755790234</v>
      </c>
      <c r="C268">
        <v>2.0553209213103413E-2</v>
      </c>
      <c r="D268">
        <v>5.9787719585110716E-4</v>
      </c>
      <c r="E268">
        <v>522.69709907260881</v>
      </c>
      <c r="F268">
        <v>6.4258047457232896</v>
      </c>
    </row>
    <row r="269" spans="1:6" x14ac:dyDescent="0.2">
      <c r="A269" t="s">
        <v>269</v>
      </c>
      <c r="B269">
        <v>196.92188747256648</v>
      </c>
      <c r="C269">
        <v>8.8288091700072964E-3</v>
      </c>
      <c r="D269">
        <v>7.6106033360343632E-3</v>
      </c>
      <c r="E269">
        <v>250.1269694493979</v>
      </c>
      <c r="F269">
        <v>56.780498612498043</v>
      </c>
    </row>
    <row r="270" spans="1:6" x14ac:dyDescent="0.2">
      <c r="A270" t="s">
        <v>270</v>
      </c>
      <c r="B270">
        <v>13.644874630284004</v>
      </c>
      <c r="C270">
        <v>6.1175522845947699E-4</v>
      </c>
      <c r="D270">
        <v>0</v>
      </c>
      <c r="E270">
        <v>87.205653423271485</v>
      </c>
      <c r="F270">
        <v>586.28317035020518</v>
      </c>
    </row>
    <row r="271" spans="1:6" x14ac:dyDescent="0.2">
      <c r="A271" t="s">
        <v>271</v>
      </c>
      <c r="B271">
        <v>99.954986057802657</v>
      </c>
      <c r="C271">
        <v>4.4813885791035787E-3</v>
      </c>
      <c r="D271">
        <v>0</v>
      </c>
      <c r="E271">
        <v>162.25837290647615</v>
      </c>
      <c r="F271">
        <v>298.21901326165863</v>
      </c>
    </row>
    <row r="272" spans="1:6" x14ac:dyDescent="0.2">
      <c r="A272" t="s">
        <v>272</v>
      </c>
      <c r="B272">
        <v>17.371558293032379</v>
      </c>
      <c r="C272">
        <v>7.7883761487004236E-4</v>
      </c>
      <c r="D272">
        <v>5.4092897487572288E-4</v>
      </c>
      <c r="E272">
        <v>28.318744341808955</v>
      </c>
      <c r="F272">
        <v>0</v>
      </c>
    </row>
    <row r="273" spans="1:6" x14ac:dyDescent="0.2">
      <c r="A273" t="s">
        <v>273</v>
      </c>
      <c r="B273">
        <v>119.76671444038601</v>
      </c>
      <c r="C273">
        <v>5.3696289441681946E-3</v>
      </c>
      <c r="D273">
        <v>3.7004364809228411E-3</v>
      </c>
      <c r="E273">
        <v>146.71827172796301</v>
      </c>
      <c r="F273">
        <v>91.679182788379464</v>
      </c>
    </row>
    <row r="274" spans="1:6" x14ac:dyDescent="0.2">
      <c r="A274" t="s">
        <v>274</v>
      </c>
      <c r="B274">
        <v>17.551191595242816</v>
      </c>
      <c r="C274">
        <v>7.8689130644363724E-4</v>
      </c>
      <c r="D274">
        <v>0</v>
      </c>
      <c r="E274">
        <v>32.798899056443688</v>
      </c>
      <c r="F274">
        <v>0</v>
      </c>
    </row>
    <row r="275" spans="1:6" x14ac:dyDescent="0.2">
      <c r="A275" t="s">
        <v>275</v>
      </c>
      <c r="B275">
        <v>44.961327815006683</v>
      </c>
      <c r="C275">
        <v>2.0157992004019134E-3</v>
      </c>
      <c r="D275">
        <v>5.4827876773059982E-4</v>
      </c>
      <c r="E275">
        <v>125.8860606700889</v>
      </c>
      <c r="F275">
        <v>0</v>
      </c>
    </row>
    <row r="276" spans="1:6" x14ac:dyDescent="0.2">
      <c r="A276" t="s">
        <v>276</v>
      </c>
      <c r="B276">
        <v>125.82809852220208</v>
      </c>
      <c r="C276">
        <v>5.6413854464611628E-3</v>
      </c>
      <c r="D276">
        <v>0</v>
      </c>
      <c r="E276">
        <v>147.0020894180993</v>
      </c>
      <c r="F276">
        <v>0</v>
      </c>
    </row>
    <row r="277" spans="1:6" x14ac:dyDescent="0.2">
      <c r="A277" t="s">
        <v>277</v>
      </c>
      <c r="B277">
        <v>79.285878196972519</v>
      </c>
      <c r="C277">
        <v>3.5547084047476982E-3</v>
      </c>
      <c r="D277">
        <v>0</v>
      </c>
      <c r="E277">
        <v>106.14005126260699</v>
      </c>
      <c r="F277">
        <v>0</v>
      </c>
    </row>
    <row r="278" spans="1:6" x14ac:dyDescent="0.2">
      <c r="A278" t="s">
        <v>278</v>
      </c>
      <c r="B278">
        <v>107.78626123630511</v>
      </c>
      <c r="C278">
        <v>4.8324964980668537E-3</v>
      </c>
      <c r="D278">
        <v>5.1215116468341705E-4</v>
      </c>
      <c r="E278">
        <v>142.87738400862835</v>
      </c>
      <c r="F278">
        <v>0</v>
      </c>
    </row>
    <row r="279" spans="1:6" x14ac:dyDescent="0.2">
      <c r="A279" t="s">
        <v>279</v>
      </c>
      <c r="B279">
        <v>120.16582801032355</v>
      </c>
      <c r="C279">
        <v>5.3875228288519372E-3</v>
      </c>
      <c r="D279">
        <v>0</v>
      </c>
      <c r="E279">
        <v>148.6322716869291</v>
      </c>
      <c r="F279">
        <v>0</v>
      </c>
    </row>
    <row r="280" spans="1:6" x14ac:dyDescent="0.2">
      <c r="A280" t="s">
        <v>280</v>
      </c>
      <c r="B280">
        <v>14.689519814531875</v>
      </c>
      <c r="C280">
        <v>6.5859092103009813E-4</v>
      </c>
      <c r="D280">
        <v>0</v>
      </c>
      <c r="E280">
        <v>19.155918747205835</v>
      </c>
      <c r="F280">
        <v>0</v>
      </c>
    </row>
    <row r="281" spans="1:6" x14ac:dyDescent="0.2">
      <c r="A281" t="s">
        <v>281</v>
      </c>
      <c r="B281">
        <v>10.108921604368057</v>
      </c>
      <c r="C281">
        <v>4.5322407227060065E-4</v>
      </c>
      <c r="D281">
        <v>1.797856878763323E-2</v>
      </c>
      <c r="E281">
        <v>18.121113987190732</v>
      </c>
      <c r="F281">
        <v>0</v>
      </c>
    </row>
    <row r="282" spans="1:6" x14ac:dyDescent="0.2">
      <c r="A282" t="s">
        <v>282</v>
      </c>
      <c r="B282">
        <v>5.4687318499400259</v>
      </c>
      <c r="C282">
        <v>2.4518549220074769E-4</v>
      </c>
      <c r="D282">
        <v>0</v>
      </c>
      <c r="E282">
        <v>13.142182843566651</v>
      </c>
      <c r="F282">
        <v>0</v>
      </c>
    </row>
    <row r="283" spans="1:6" x14ac:dyDescent="0.2">
      <c r="A283" t="s">
        <v>283</v>
      </c>
      <c r="B283">
        <v>24.168896984966114</v>
      </c>
      <c r="C283">
        <v>1.0835899557359119E-3</v>
      </c>
      <c r="D283">
        <v>4.7767760755188307E-4</v>
      </c>
      <c r="E283">
        <v>93.770644439743378</v>
      </c>
      <c r="F283">
        <v>0</v>
      </c>
    </row>
    <row r="284" spans="1:6" x14ac:dyDescent="0.2">
      <c r="A284" t="s">
        <v>284</v>
      </c>
      <c r="B284">
        <v>48.403433726017937</v>
      </c>
      <c r="C284">
        <v>2.1701228087184655E-3</v>
      </c>
      <c r="D284">
        <v>1.1999015763122914E-4</v>
      </c>
      <c r="E284">
        <v>132.01797916509736</v>
      </c>
      <c r="F284">
        <v>0</v>
      </c>
    </row>
    <row r="285" spans="1:6" x14ac:dyDescent="0.2">
      <c r="A285" t="s">
        <v>285</v>
      </c>
      <c r="B285">
        <v>14.649799003799721</v>
      </c>
      <c r="C285">
        <v>6.5681007552565395E-4</v>
      </c>
      <c r="D285">
        <v>0</v>
      </c>
      <c r="E285">
        <v>23.888343522103025</v>
      </c>
      <c r="F285">
        <v>0</v>
      </c>
    </row>
    <row r="286" spans="1:6" x14ac:dyDescent="0.2">
      <c r="A286" t="s">
        <v>286</v>
      </c>
      <c r="B286">
        <v>24.210698376742585</v>
      </c>
      <c r="C286">
        <v>1.0854640821510702E-3</v>
      </c>
      <c r="D286">
        <v>0</v>
      </c>
      <c r="E286">
        <v>36.727231305331294</v>
      </c>
      <c r="F286">
        <v>0</v>
      </c>
    </row>
    <row r="287" spans="1:6" x14ac:dyDescent="0.2">
      <c r="A287" t="s">
        <v>287</v>
      </c>
      <c r="B287">
        <v>24.687510973752868</v>
      </c>
      <c r="C287">
        <v>1.1068415302493463E-3</v>
      </c>
      <c r="D287">
        <v>0</v>
      </c>
      <c r="E287">
        <v>54.905285608962686</v>
      </c>
      <c r="F287">
        <v>0</v>
      </c>
    </row>
    <row r="288" spans="1:6" x14ac:dyDescent="0.2">
      <c r="A288" t="s">
        <v>288</v>
      </c>
      <c r="B288">
        <v>57.000793770357859</v>
      </c>
      <c r="C288">
        <v>2.5555774281695257E-3</v>
      </c>
      <c r="D288">
        <v>0</v>
      </c>
      <c r="E288">
        <v>75.933264679493092</v>
      </c>
      <c r="F288">
        <v>0</v>
      </c>
    </row>
    <row r="289" spans="1:6" x14ac:dyDescent="0.2">
      <c r="A289" t="s">
        <v>289</v>
      </c>
      <c r="B289">
        <v>3.7933490567361439</v>
      </c>
      <c r="C289">
        <v>1.7007126717600779E-4</v>
      </c>
      <c r="D289">
        <v>0</v>
      </c>
      <c r="E289">
        <v>19.424255307376242</v>
      </c>
      <c r="F289">
        <v>0</v>
      </c>
    </row>
    <row r="290" spans="1:6" x14ac:dyDescent="0.2">
      <c r="A290" t="s">
        <v>290</v>
      </c>
      <c r="B290">
        <v>94.087580447047927</v>
      </c>
      <c r="C290">
        <v>4.2183289206509334E-3</v>
      </c>
      <c r="D290">
        <v>7.9107169885616669E-4</v>
      </c>
      <c r="E290">
        <v>132.98760972867646</v>
      </c>
      <c r="F290">
        <v>63.918137882753328</v>
      </c>
    </row>
    <row r="291" spans="1:6" x14ac:dyDescent="0.2">
      <c r="A291" t="s">
        <v>291</v>
      </c>
      <c r="B291">
        <v>11.799494530524873</v>
      </c>
      <c r="C291">
        <v>5.2901933273954527E-4</v>
      </c>
      <c r="D291">
        <v>2.547696669016826E-4</v>
      </c>
      <c r="E291">
        <v>31.678849915651945</v>
      </c>
      <c r="F291">
        <v>0</v>
      </c>
    </row>
    <row r="292" spans="1:6" x14ac:dyDescent="0.2">
      <c r="A292" t="s">
        <v>292</v>
      </c>
      <c r="B292">
        <v>3.3217045958995626</v>
      </c>
      <c r="C292">
        <v>1.4892552764313204E-4</v>
      </c>
      <c r="D292">
        <v>0</v>
      </c>
      <c r="E292">
        <v>45.028299914721529</v>
      </c>
      <c r="F292">
        <v>13.878990041315232</v>
      </c>
    </row>
    <row r="293" spans="1:6" x14ac:dyDescent="0.2">
      <c r="A293" t="s">
        <v>293</v>
      </c>
      <c r="B293">
        <v>47.511277424639374</v>
      </c>
      <c r="C293">
        <v>2.1301238129959195E-3</v>
      </c>
      <c r="D293">
        <v>1.9849041028057783E-2</v>
      </c>
      <c r="E293">
        <v>124.16002405088699</v>
      </c>
      <c r="F293">
        <v>0</v>
      </c>
    </row>
    <row r="294" spans="1:6" x14ac:dyDescent="0.2">
      <c r="A294" t="s">
        <v>294</v>
      </c>
      <c r="B294">
        <v>108.83513371311894</v>
      </c>
      <c r="C294">
        <v>4.8795217173571784E-3</v>
      </c>
      <c r="D294">
        <v>1.6353329676124316E-3</v>
      </c>
      <c r="E294">
        <v>163.18068076707871</v>
      </c>
      <c r="F294">
        <v>0</v>
      </c>
    </row>
    <row r="295" spans="1:6" x14ac:dyDescent="0.2">
      <c r="A295" t="s">
        <v>295</v>
      </c>
      <c r="B295">
        <v>117.58892481876423</v>
      </c>
      <c r="C295">
        <v>5.2719897775499094E-3</v>
      </c>
      <c r="D295">
        <v>0</v>
      </c>
      <c r="E295">
        <v>146.27989976866104</v>
      </c>
      <c r="F295">
        <v>0</v>
      </c>
    </row>
    <row r="296" spans="1:6" x14ac:dyDescent="0.2">
      <c r="A296" t="s">
        <v>296</v>
      </c>
      <c r="B296">
        <v>4.0848190491694769</v>
      </c>
      <c r="C296">
        <v>1.8313905245374062E-4</v>
      </c>
      <c r="D296">
        <v>0</v>
      </c>
      <c r="E296">
        <v>23.36311165888544</v>
      </c>
      <c r="F296">
        <v>0</v>
      </c>
    </row>
    <row r="297" spans="1:6" x14ac:dyDescent="0.2">
      <c r="A297" t="s">
        <v>297</v>
      </c>
      <c r="B297">
        <v>0.12533647833412301</v>
      </c>
      <c r="C297">
        <v>5.6193441138272877E-6</v>
      </c>
      <c r="D297">
        <v>0</v>
      </c>
      <c r="E297">
        <v>41.839636666572375</v>
      </c>
      <c r="F297">
        <v>273.26182887549066</v>
      </c>
    </row>
    <row r="298" spans="1:6" x14ac:dyDescent="0.2">
      <c r="A298" t="s">
        <v>298</v>
      </c>
      <c r="B298">
        <v>12.315865574517327</v>
      </c>
      <c r="C298">
        <v>5.5217034691496002E-4</v>
      </c>
      <c r="D298">
        <v>0</v>
      </c>
      <c r="E298">
        <v>34.369799467935195</v>
      </c>
      <c r="F298">
        <v>309.38197168126425</v>
      </c>
    </row>
    <row r="299" spans="1:6" x14ac:dyDescent="0.2">
      <c r="A299" t="s">
        <v>299</v>
      </c>
      <c r="B299">
        <v>25.309496447822688</v>
      </c>
      <c r="C299">
        <v>1.134727668898327E-3</v>
      </c>
      <c r="D299">
        <v>0</v>
      </c>
      <c r="E299">
        <v>31.510423735834607</v>
      </c>
      <c r="F299">
        <v>0</v>
      </c>
    </row>
    <row r="300" spans="1:6" x14ac:dyDescent="0.2">
      <c r="A300" t="s">
        <v>300</v>
      </c>
      <c r="B300">
        <v>74.91465142633497</v>
      </c>
      <c r="C300">
        <v>3.3587285292137376E-3</v>
      </c>
      <c r="D300">
        <v>1.9816229834304356E-2</v>
      </c>
      <c r="E300">
        <v>121.76937325163375</v>
      </c>
      <c r="F300">
        <v>40.204921049117019</v>
      </c>
    </row>
    <row r="301" spans="1:6" x14ac:dyDescent="0.2">
      <c r="A301" t="s">
        <v>301</v>
      </c>
      <c r="B301">
        <v>4.4923288341065266</v>
      </c>
      <c r="C301">
        <v>2.0140937360644206E-4</v>
      </c>
      <c r="D301">
        <v>1.2587619842860821E-4</v>
      </c>
      <c r="E301">
        <v>11.113149500134433</v>
      </c>
      <c r="F301">
        <v>0</v>
      </c>
    </row>
    <row r="302" spans="1:6" x14ac:dyDescent="0.2">
      <c r="A302" t="s">
        <v>302</v>
      </c>
      <c r="B302">
        <v>99.296049400517816</v>
      </c>
      <c r="C302">
        <v>4.4518457686168527E-3</v>
      </c>
      <c r="D302">
        <v>1.1975112158339679E-3</v>
      </c>
      <c r="E302">
        <v>122.92537781597855</v>
      </c>
      <c r="F302">
        <v>0</v>
      </c>
    </row>
    <row r="303" spans="1:6" x14ac:dyDescent="0.2">
      <c r="A303" t="s">
        <v>303</v>
      </c>
      <c r="B303">
        <v>32.382535129029705</v>
      </c>
      <c r="C303">
        <v>1.4518407616577916E-3</v>
      </c>
      <c r="D303">
        <v>0</v>
      </c>
      <c r="E303">
        <v>60.018943589764604</v>
      </c>
      <c r="F303">
        <v>0</v>
      </c>
    </row>
    <row r="304" spans="1:6" x14ac:dyDescent="0.2">
      <c r="A304" t="s">
        <v>304</v>
      </c>
      <c r="B304">
        <v>253.55730038482849</v>
      </c>
      <c r="C304">
        <v>1.1368005088168438E-2</v>
      </c>
      <c r="D304">
        <v>1.0442034744836846E-2</v>
      </c>
      <c r="E304">
        <v>285.41815132724531</v>
      </c>
      <c r="F304">
        <v>26.42682589659044</v>
      </c>
    </row>
    <row r="305" spans="1:6" x14ac:dyDescent="0.2">
      <c r="A305" t="s">
        <v>305</v>
      </c>
      <c r="B305">
        <v>8.510152710807338</v>
      </c>
      <c r="C305">
        <v>3.8154475998410987E-4</v>
      </c>
      <c r="D305">
        <v>0</v>
      </c>
      <c r="E305">
        <v>22.384666474732402</v>
      </c>
      <c r="F305">
        <v>0</v>
      </c>
    </row>
    <row r="306" spans="1:6" x14ac:dyDescent="0.2">
      <c r="A306" t="s">
        <v>306</v>
      </c>
      <c r="B306">
        <v>42.522184680624832</v>
      </c>
      <c r="C306">
        <v>1.9064424927845804E-3</v>
      </c>
      <c r="D306">
        <v>1.0929282517171482E-3</v>
      </c>
      <c r="E306">
        <v>64.538438794393301</v>
      </c>
      <c r="F306">
        <v>0</v>
      </c>
    </row>
    <row r="307" spans="1:6" x14ac:dyDescent="0.2">
      <c r="A307" t="s">
        <v>307</v>
      </c>
      <c r="B307">
        <v>17.270449975235778</v>
      </c>
      <c r="C307">
        <v>7.7430451773805899E-4</v>
      </c>
      <c r="D307">
        <v>7.6960637228445381E-3</v>
      </c>
      <c r="E307">
        <v>27.754262898080455</v>
      </c>
      <c r="F307">
        <v>0</v>
      </c>
    </row>
    <row r="308" spans="1:6" x14ac:dyDescent="0.2">
      <c r="A308" t="s">
        <v>308</v>
      </c>
      <c r="B308">
        <v>15.096172294992988</v>
      </c>
      <c r="C308">
        <v>6.7682280573616691E-4</v>
      </c>
      <c r="D308">
        <v>2.5616031247493532E-4</v>
      </c>
      <c r="E308">
        <v>30.419446429110263</v>
      </c>
      <c r="F308">
        <v>0</v>
      </c>
    </row>
    <row r="309" spans="1:6" x14ac:dyDescent="0.2">
      <c r="A309" t="s">
        <v>309</v>
      </c>
      <c r="B309">
        <v>12.001746818896486</v>
      </c>
      <c r="C309">
        <v>5.3808712546258121E-4</v>
      </c>
      <c r="D309">
        <v>0</v>
      </c>
      <c r="E309">
        <v>51.175797610308408</v>
      </c>
      <c r="F309">
        <v>9.453494428750119</v>
      </c>
    </row>
    <row r="310" spans="1:6" x14ac:dyDescent="0.2">
      <c r="A310" t="s">
        <v>310</v>
      </c>
      <c r="B310">
        <v>44.940159662524017</v>
      </c>
      <c r="C310">
        <v>2.0148501460273607E-3</v>
      </c>
      <c r="D310">
        <v>0</v>
      </c>
      <c r="E310">
        <v>51.992611682177504</v>
      </c>
      <c r="F310">
        <v>0</v>
      </c>
    </row>
    <row r="311" spans="1:6" x14ac:dyDescent="0.2">
      <c r="A311" t="s">
        <v>311</v>
      </c>
      <c r="B311">
        <v>56.714110072165177</v>
      </c>
      <c r="C311">
        <v>2.5427242319302416E-3</v>
      </c>
      <c r="D311">
        <v>4.325964569211488E-4</v>
      </c>
      <c r="E311">
        <v>104.24572673911184</v>
      </c>
      <c r="F311">
        <v>0</v>
      </c>
    </row>
    <row r="312" spans="1:6" x14ac:dyDescent="0.2">
      <c r="A312" t="s">
        <v>312</v>
      </c>
      <c r="B312">
        <v>171.51023507211309</v>
      </c>
      <c r="C312">
        <v>7.6895014342462523E-3</v>
      </c>
      <c r="D312">
        <v>6.6800274116733428E-3</v>
      </c>
      <c r="E312">
        <v>215.92656314578923</v>
      </c>
      <c r="F312">
        <v>0</v>
      </c>
    </row>
    <row r="313" spans="1:6" x14ac:dyDescent="0.2">
      <c r="A313" t="s">
        <v>313</v>
      </c>
      <c r="B313">
        <v>61.974435547039377</v>
      </c>
      <c r="C313">
        <v>2.7785660186704906E-3</v>
      </c>
      <c r="D313">
        <v>5.6560267214239102E-4</v>
      </c>
      <c r="E313">
        <v>76.186741513368219</v>
      </c>
      <c r="F313">
        <v>0</v>
      </c>
    </row>
    <row r="314" spans="1:6" x14ac:dyDescent="0.2">
      <c r="A314" t="s">
        <v>314</v>
      </c>
      <c r="B314">
        <v>322.48695665562815</v>
      </c>
      <c r="C314">
        <v>1.445840194135657E-2</v>
      </c>
      <c r="D314">
        <v>1.702603933218354E-4</v>
      </c>
      <c r="E314">
        <v>362.63370295940894</v>
      </c>
      <c r="F314">
        <v>0</v>
      </c>
    </row>
    <row r="315" spans="1:6" x14ac:dyDescent="0.2">
      <c r="A315" t="s">
        <v>315</v>
      </c>
      <c r="B315">
        <v>155.81363250161948</v>
      </c>
      <c r="C315">
        <v>6.9857588970859774E-3</v>
      </c>
      <c r="D315">
        <v>0</v>
      </c>
      <c r="E315">
        <v>278.64917093156777</v>
      </c>
      <c r="F315">
        <v>0</v>
      </c>
    </row>
    <row r="316" spans="1:6" x14ac:dyDescent="0.2">
      <c r="A316" t="s">
        <v>316</v>
      </c>
      <c r="B316">
        <v>2.8999181689944491</v>
      </c>
      <c r="C316">
        <v>1.3001512656258553E-4</v>
      </c>
      <c r="D316">
        <v>0</v>
      </c>
      <c r="E316">
        <v>7.0139626509463291</v>
      </c>
      <c r="F316">
        <v>0</v>
      </c>
    </row>
    <row r="317" spans="1:6" x14ac:dyDescent="0.2">
      <c r="A317" t="s">
        <v>317</v>
      </c>
      <c r="B317">
        <v>236.18015426930305</v>
      </c>
      <c r="C317">
        <v>1.0588916948488278E-2</v>
      </c>
      <c r="D317">
        <v>0</v>
      </c>
      <c r="E317">
        <v>275.76967489501271</v>
      </c>
      <c r="F317">
        <v>0</v>
      </c>
    </row>
    <row r="318" spans="1:6" x14ac:dyDescent="0.2">
      <c r="A318" t="s">
        <v>318</v>
      </c>
      <c r="B318">
        <v>48.191679960875938</v>
      </c>
      <c r="C318">
        <v>2.1606290261457707E-3</v>
      </c>
      <c r="D318">
        <v>0.24398550613679393</v>
      </c>
      <c r="E318">
        <v>80.756371234754752</v>
      </c>
      <c r="F318">
        <v>7.7257993766131365</v>
      </c>
    </row>
    <row r="319" spans="1:6" x14ac:dyDescent="0.2">
      <c r="A319" t="s">
        <v>319</v>
      </c>
      <c r="B319">
        <v>182.23760561892138</v>
      </c>
      <c r="C319">
        <v>8.1704530880684877E-3</v>
      </c>
      <c r="D319">
        <v>4.0041795354533715E-6</v>
      </c>
      <c r="E319">
        <v>220.19973053383598</v>
      </c>
      <c r="F319">
        <v>0</v>
      </c>
    </row>
    <row r="320" spans="1:6" x14ac:dyDescent="0.2">
      <c r="A320" t="s">
        <v>320</v>
      </c>
      <c r="B320">
        <v>72.894301317410736</v>
      </c>
      <c r="C320">
        <v>3.2681480163147818E-3</v>
      </c>
      <c r="D320">
        <v>0</v>
      </c>
      <c r="E320">
        <v>94.604629557619447</v>
      </c>
      <c r="F320">
        <v>0</v>
      </c>
    </row>
    <row r="321" spans="1:6" x14ac:dyDescent="0.2">
      <c r="A321" t="s">
        <v>321</v>
      </c>
      <c r="B321">
        <v>43.811593243833507</v>
      </c>
      <c r="C321">
        <v>1.9642519231777792E-3</v>
      </c>
      <c r="D321">
        <v>2.0304464311120642E-4</v>
      </c>
      <c r="E321">
        <v>66.038940891860733</v>
      </c>
      <c r="F321">
        <v>0</v>
      </c>
    </row>
    <row r="322" spans="1:6" x14ac:dyDescent="0.2">
      <c r="A322" t="s">
        <v>322</v>
      </c>
      <c r="B322">
        <v>26.555891440253532</v>
      </c>
      <c r="C322">
        <v>1.1906086259613534E-3</v>
      </c>
      <c r="D322">
        <v>1.7358270842796593E-4</v>
      </c>
      <c r="E322">
        <v>47.537373663341249</v>
      </c>
      <c r="F322">
        <v>0</v>
      </c>
    </row>
    <row r="323" spans="1:6" x14ac:dyDescent="0.2">
      <c r="A323" t="s">
        <v>323</v>
      </c>
      <c r="B323">
        <v>36.721000621928752</v>
      </c>
      <c r="C323">
        <v>1.6463518158584245E-3</v>
      </c>
      <c r="D323">
        <v>0</v>
      </c>
      <c r="E323">
        <v>47.576909339130488</v>
      </c>
      <c r="F323">
        <v>0</v>
      </c>
    </row>
    <row r="324" spans="1:6" x14ac:dyDescent="0.2">
      <c r="A324" t="s">
        <v>324</v>
      </c>
      <c r="B324">
        <v>103.88615378696005</v>
      </c>
      <c r="C324">
        <v>4.6576388179240692E-3</v>
      </c>
      <c r="D324">
        <v>8.7749876643775641E-5</v>
      </c>
      <c r="E324">
        <v>138.13066598874454</v>
      </c>
      <c r="F324">
        <v>0</v>
      </c>
    </row>
    <row r="325" spans="1:6" x14ac:dyDescent="0.2">
      <c r="A325" t="s">
        <v>325</v>
      </c>
      <c r="B325">
        <v>41.969524657993553</v>
      </c>
      <c r="C325">
        <v>1.881664496096004E-3</v>
      </c>
      <c r="D325">
        <v>1.2004130079114423E-4</v>
      </c>
      <c r="E325">
        <v>91.656953548085298</v>
      </c>
      <c r="F325">
        <v>0</v>
      </c>
    </row>
    <row r="326" spans="1:6" x14ac:dyDescent="0.2">
      <c r="A326" t="s">
        <v>326</v>
      </c>
      <c r="B326">
        <v>71.75668119977118</v>
      </c>
      <c r="C326">
        <v>3.2171438793165514E-3</v>
      </c>
      <c r="D326">
        <v>5.4072587387796692E-3</v>
      </c>
      <c r="E326">
        <v>88.554933079039515</v>
      </c>
      <c r="F326">
        <v>0</v>
      </c>
    </row>
    <row r="327" spans="1:6" x14ac:dyDescent="0.2">
      <c r="A327" t="s">
        <v>327</v>
      </c>
      <c r="B327">
        <v>185.01621224946857</v>
      </c>
      <c r="C327">
        <v>8.2950293249433038E-3</v>
      </c>
      <c r="D327">
        <v>0</v>
      </c>
      <c r="E327">
        <v>224.3901197162661</v>
      </c>
      <c r="F327">
        <v>0</v>
      </c>
    </row>
    <row r="328" spans="1:6" x14ac:dyDescent="0.2">
      <c r="A328" t="s">
        <v>328</v>
      </c>
      <c r="B328">
        <v>32.273897267981049</v>
      </c>
      <c r="C328">
        <v>1.4469700844763637E-3</v>
      </c>
      <c r="D328">
        <v>0</v>
      </c>
      <c r="E328">
        <v>38.514072935314282</v>
      </c>
      <c r="F328">
        <v>0</v>
      </c>
    </row>
    <row r="329" spans="1:6" x14ac:dyDescent="0.2">
      <c r="A329" t="s">
        <v>329</v>
      </c>
      <c r="B329">
        <v>22.522274810551043</v>
      </c>
      <c r="C329">
        <v>1.0097651862316158E-3</v>
      </c>
      <c r="D329">
        <v>0</v>
      </c>
      <c r="E329">
        <v>36.521839908104205</v>
      </c>
      <c r="F329">
        <v>0</v>
      </c>
    </row>
    <row r="330" spans="1:6" x14ac:dyDescent="0.2">
      <c r="A330" t="s">
        <v>330</v>
      </c>
      <c r="B330">
        <v>35.943576317213264</v>
      </c>
      <c r="C330">
        <v>1.6114967222040188E-3</v>
      </c>
      <c r="D330">
        <v>5.5748341125544474E-4</v>
      </c>
      <c r="E330">
        <v>73.740614898965731</v>
      </c>
      <c r="F330">
        <v>0</v>
      </c>
    </row>
    <row r="331" spans="1:6" x14ac:dyDescent="0.2">
      <c r="A331" t="s">
        <v>331</v>
      </c>
      <c r="B331">
        <v>59.471175130713945</v>
      </c>
      <c r="C331">
        <v>2.6663346725147759E-3</v>
      </c>
      <c r="D331">
        <v>2.5089957627346275E-2</v>
      </c>
      <c r="E331">
        <v>78.649633474631059</v>
      </c>
      <c r="F331">
        <v>0</v>
      </c>
    </row>
    <row r="332" spans="1:6" x14ac:dyDescent="0.2">
      <c r="A332" t="s">
        <v>332</v>
      </c>
      <c r="B332">
        <v>0.10588171661845099</v>
      </c>
      <c r="C332">
        <v>4.7471080163566069E-6</v>
      </c>
      <c r="D332">
        <v>0</v>
      </c>
      <c r="E332">
        <v>32.078735042693069</v>
      </c>
      <c r="F332">
        <v>10.227055795381215</v>
      </c>
    </row>
    <row r="333" spans="1:6" x14ac:dyDescent="0.2">
      <c r="A333" t="s">
        <v>333</v>
      </c>
      <c r="B333">
        <v>173.07825623075408</v>
      </c>
      <c r="C333">
        <v>7.7598022005138092E-3</v>
      </c>
      <c r="D333">
        <v>1.1355477828462859E-4</v>
      </c>
      <c r="E333">
        <v>247.10788859716894</v>
      </c>
      <c r="F333">
        <v>0</v>
      </c>
    </row>
    <row r="334" spans="1:6" x14ac:dyDescent="0.2">
      <c r="A334" t="s">
        <v>334</v>
      </c>
      <c r="B334">
        <v>5.9056044434414581</v>
      </c>
      <c r="C334">
        <v>2.647722674908619E-4</v>
      </c>
      <c r="D334">
        <v>0</v>
      </c>
      <c r="E334">
        <v>48.50066542818513</v>
      </c>
      <c r="F334">
        <v>0</v>
      </c>
    </row>
    <row r="335" spans="1:6" x14ac:dyDescent="0.2">
      <c r="A335" t="s">
        <v>335</v>
      </c>
      <c r="B335">
        <v>67.887294677694527</v>
      </c>
      <c r="C335">
        <v>3.0436635432966553E-3</v>
      </c>
      <c r="D335">
        <v>3.1412449661522886E-4</v>
      </c>
      <c r="E335">
        <v>92.617458208151817</v>
      </c>
      <c r="F335">
        <v>0</v>
      </c>
    </row>
    <row r="336" spans="1:6" x14ac:dyDescent="0.2">
      <c r="A336" t="s">
        <v>336</v>
      </c>
      <c r="B336">
        <v>7.0123472418291701</v>
      </c>
      <c r="C336">
        <v>3.1439204867748195E-4</v>
      </c>
      <c r="D336">
        <v>3.4067701868579124E-6</v>
      </c>
      <c r="E336">
        <v>34.429411935612272</v>
      </c>
      <c r="F336">
        <v>0</v>
      </c>
    </row>
    <row r="337" spans="1:6" x14ac:dyDescent="0.2">
      <c r="A337" t="s">
        <v>337</v>
      </c>
      <c r="B337">
        <v>17.504050345714013</v>
      </c>
      <c r="C337">
        <v>7.8477777248625287E-4</v>
      </c>
      <c r="D337">
        <v>3.3815680448214897E-4</v>
      </c>
      <c r="E337">
        <v>21.155302027283316</v>
      </c>
      <c r="F337">
        <v>0</v>
      </c>
    </row>
    <row r="338" spans="1:6" x14ac:dyDescent="0.2">
      <c r="A338" t="s">
        <v>338</v>
      </c>
      <c r="B338">
        <v>41.035120228069154</v>
      </c>
      <c r="C338">
        <v>1.8397713449318843E-3</v>
      </c>
      <c r="D338">
        <v>2.6034767084697166E-2</v>
      </c>
      <c r="E338">
        <v>57.956869085982227</v>
      </c>
      <c r="F338">
        <v>0</v>
      </c>
    </row>
    <row r="339" spans="1:6" x14ac:dyDescent="0.2">
      <c r="A339" t="s">
        <v>339</v>
      </c>
      <c r="B339">
        <v>95.355703057432564</v>
      </c>
      <c r="C339">
        <v>4.2751840152011377E-3</v>
      </c>
      <c r="D339">
        <v>7.1038658351898409E-3</v>
      </c>
      <c r="E339">
        <v>120.59023146167999</v>
      </c>
      <c r="F339">
        <v>0</v>
      </c>
    </row>
    <row r="340" spans="1:6" x14ac:dyDescent="0.2">
      <c r="A340" t="s">
        <v>340</v>
      </c>
      <c r="B340">
        <v>19.444325423093904</v>
      </c>
      <c r="C340">
        <v>8.7176819602611784E-4</v>
      </c>
      <c r="D340">
        <v>8.6797016351081613E-4</v>
      </c>
      <c r="E340">
        <v>40.919395823300988</v>
      </c>
      <c r="F340">
        <v>0</v>
      </c>
    </row>
    <row r="341" spans="1:6" x14ac:dyDescent="0.2">
      <c r="A341" t="s">
        <v>341</v>
      </c>
      <c r="B341">
        <v>67.651264291210239</v>
      </c>
      <c r="C341">
        <v>3.0330813410471306E-3</v>
      </c>
      <c r="D341">
        <v>0</v>
      </c>
      <c r="E341">
        <v>82.355564280674443</v>
      </c>
      <c r="F341">
        <v>0</v>
      </c>
    </row>
    <row r="342" spans="1:6" x14ac:dyDescent="0.2">
      <c r="A342" t="s">
        <v>342</v>
      </c>
      <c r="B342">
        <v>5.4190718573044334</v>
      </c>
      <c r="C342">
        <v>2.4295903274522022E-4</v>
      </c>
      <c r="D342">
        <v>5.3880026227075197E-4</v>
      </c>
      <c r="E342">
        <v>20.307321276012658</v>
      </c>
      <c r="F342">
        <v>0</v>
      </c>
    </row>
    <row r="343" spans="1:6" x14ac:dyDescent="0.2">
      <c r="A343" t="s">
        <v>343</v>
      </c>
      <c r="B343">
        <v>66.072161880123886</v>
      </c>
      <c r="C343">
        <v>2.96228375716087E-3</v>
      </c>
      <c r="D343">
        <v>9.3655252211002487E-5</v>
      </c>
      <c r="E343">
        <v>110.67247223208489</v>
      </c>
      <c r="F3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272B-C1B5-634D-98FA-BE1C458262BA}">
  <sheetPr>
    <tabColor theme="9" tint="0.39997558519241921"/>
  </sheetPr>
  <dimension ref="A1:B343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345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>
        <v>0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0</v>
      </c>
    </row>
    <row r="34" spans="1:2" x14ac:dyDescent="0.2">
      <c r="A34" t="s">
        <v>34</v>
      </c>
      <c r="B34">
        <v>0</v>
  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</c>
      <c r="B36">
        <v>0</v>
      </c>
    </row>
    <row r="37" spans="1:2" x14ac:dyDescent="0.2">
      <c r="A37" t="s">
        <v>37</v>
      </c>
      <c r="B37">
        <v>0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>
        <v>0</v>
      </c>
    </row>
    <row r="40" spans="1:2" x14ac:dyDescent="0.2">
      <c r="A40" t="s">
        <v>40</v>
      </c>
      <c r="B40">
        <v>0</v>
      </c>
    </row>
    <row r="41" spans="1:2" x14ac:dyDescent="0.2">
      <c r="A41" t="s">
        <v>41</v>
      </c>
      <c r="B41">
        <v>0</v>
      </c>
    </row>
    <row r="42" spans="1:2" x14ac:dyDescent="0.2">
      <c r="A42" t="s">
        <v>42</v>
      </c>
      <c r="B42">
        <v>0</v>
      </c>
    </row>
    <row r="43" spans="1:2" x14ac:dyDescent="0.2">
      <c r="A43" t="s">
        <v>43</v>
      </c>
      <c r="B43">
        <v>0</v>
      </c>
    </row>
    <row r="44" spans="1:2" x14ac:dyDescent="0.2">
      <c r="A44" t="s">
        <v>44</v>
      </c>
      <c r="B44">
        <v>0</v>
      </c>
    </row>
    <row r="45" spans="1:2" x14ac:dyDescent="0.2">
      <c r="A45" t="s">
        <v>45</v>
      </c>
      <c r="B45">
        <v>0</v>
      </c>
    </row>
    <row r="46" spans="1:2" x14ac:dyDescent="0.2">
      <c r="A46" t="s">
        <v>46</v>
      </c>
      <c r="B46">
        <v>0</v>
      </c>
    </row>
    <row r="47" spans="1:2" x14ac:dyDescent="0.2">
      <c r="A47" t="s">
        <v>47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49</v>
      </c>
      <c r="B49">
        <v>0</v>
      </c>
    </row>
    <row r="50" spans="1:2" x14ac:dyDescent="0.2">
      <c r="A50" t="s">
        <v>50</v>
      </c>
      <c r="B50">
        <v>0</v>
      </c>
    </row>
    <row r="51" spans="1:2" x14ac:dyDescent="0.2">
      <c r="A51" t="s">
        <v>51</v>
      </c>
      <c r="B51">
        <v>0</v>
      </c>
    </row>
    <row r="52" spans="1:2" x14ac:dyDescent="0.2">
      <c r="A52" t="s">
        <v>52</v>
      </c>
      <c r="B52">
        <v>0</v>
      </c>
    </row>
    <row r="53" spans="1:2" x14ac:dyDescent="0.2">
      <c r="A53" t="s">
        <v>53</v>
      </c>
      <c r="B53">
        <v>0</v>
      </c>
    </row>
    <row r="54" spans="1:2" x14ac:dyDescent="0.2">
      <c r="A54" t="s">
        <v>54</v>
      </c>
      <c r="B54">
        <v>0</v>
      </c>
    </row>
    <row r="55" spans="1:2" x14ac:dyDescent="0.2">
      <c r="A55" t="s">
        <v>55</v>
      </c>
      <c r="B55">
        <v>0</v>
      </c>
    </row>
    <row r="56" spans="1:2" x14ac:dyDescent="0.2">
      <c r="A56" t="s">
        <v>56</v>
      </c>
      <c r="B56">
        <v>0</v>
      </c>
    </row>
    <row r="57" spans="1:2" x14ac:dyDescent="0.2">
      <c r="A57" t="s">
        <v>57</v>
      </c>
      <c r="B57">
        <v>0</v>
      </c>
    </row>
    <row r="58" spans="1:2" x14ac:dyDescent="0.2">
      <c r="A58" t="s">
        <v>58</v>
      </c>
      <c r="B58">
        <v>0</v>
      </c>
    </row>
    <row r="59" spans="1:2" x14ac:dyDescent="0.2">
      <c r="A59" t="s">
        <v>59</v>
      </c>
      <c r="B59">
        <v>0</v>
      </c>
    </row>
    <row r="60" spans="1:2" x14ac:dyDescent="0.2">
      <c r="A60" t="s">
        <v>60</v>
      </c>
      <c r="B60">
        <v>0</v>
      </c>
    </row>
    <row r="61" spans="1:2" x14ac:dyDescent="0.2">
      <c r="A61" t="s">
        <v>61</v>
      </c>
      <c r="B61">
        <v>0</v>
      </c>
    </row>
    <row r="62" spans="1:2" x14ac:dyDescent="0.2">
      <c r="A62" t="s">
        <v>62</v>
      </c>
      <c r="B62">
        <v>0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0</v>
      </c>
    </row>
    <row r="65" spans="1:2" x14ac:dyDescent="0.2">
      <c r="A65" t="s">
        <v>65</v>
      </c>
      <c r="B65">
        <v>0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0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0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0</v>
      </c>
    </row>
    <row r="73" spans="1:2" x14ac:dyDescent="0.2">
      <c r="A73" t="s">
        <v>73</v>
      </c>
      <c r="B73">
        <v>0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0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0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0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0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0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0</v>
      </c>
    </row>
    <row r="103" spans="1:2" x14ac:dyDescent="0.2">
      <c r="A103" t="s">
        <v>103</v>
      </c>
      <c r="B103">
        <v>0</v>
      </c>
    </row>
    <row r="104" spans="1:2" x14ac:dyDescent="0.2">
      <c r="A104" t="s">
        <v>104</v>
      </c>
      <c r="B104">
        <v>0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0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0</v>
      </c>
    </row>
    <row r="110" spans="1:2" x14ac:dyDescent="0.2">
      <c r="A110" t="s">
        <v>110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112</v>
      </c>
      <c r="B112">
        <v>0</v>
      </c>
    </row>
    <row r="113" spans="1:2" x14ac:dyDescent="0.2">
      <c r="A113" t="s">
        <v>113</v>
      </c>
      <c r="B113">
        <v>0</v>
      </c>
    </row>
    <row r="114" spans="1:2" x14ac:dyDescent="0.2">
      <c r="A114" t="s">
        <v>114</v>
      </c>
      <c r="B114">
        <v>0</v>
      </c>
    </row>
    <row r="115" spans="1:2" x14ac:dyDescent="0.2">
      <c r="A115" t="s">
        <v>115</v>
      </c>
      <c r="B115">
        <v>0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0</v>
      </c>
    </row>
    <row r="118" spans="1:2" x14ac:dyDescent="0.2">
      <c r="A118" t="s">
        <v>118</v>
      </c>
      <c r="B118">
        <v>0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0</v>
      </c>
    </row>
    <row r="121" spans="1:2" x14ac:dyDescent="0.2">
      <c r="A121" t="s">
        <v>121</v>
      </c>
      <c r="B121">
        <v>0</v>
      </c>
    </row>
    <row r="122" spans="1:2" x14ac:dyDescent="0.2">
      <c r="A122" t="s">
        <v>122</v>
      </c>
      <c r="B122">
        <v>0</v>
      </c>
    </row>
    <row r="123" spans="1:2" x14ac:dyDescent="0.2">
      <c r="A123" t="s">
        <v>123</v>
      </c>
      <c r="B123">
        <v>0</v>
      </c>
    </row>
    <row r="124" spans="1:2" x14ac:dyDescent="0.2">
      <c r="A124" t="s">
        <v>124</v>
      </c>
      <c r="B124">
        <v>0</v>
      </c>
    </row>
    <row r="125" spans="1:2" x14ac:dyDescent="0.2">
      <c r="A125" t="s">
        <v>125</v>
      </c>
      <c r="B125">
        <v>0</v>
      </c>
    </row>
    <row r="126" spans="1:2" x14ac:dyDescent="0.2">
      <c r="A126" t="s">
        <v>126</v>
      </c>
      <c r="B126">
        <v>0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0</v>
      </c>
    </row>
    <row r="129" spans="1:2" x14ac:dyDescent="0.2">
      <c r="A129" t="s">
        <v>129</v>
      </c>
      <c r="B129">
        <v>0</v>
      </c>
    </row>
    <row r="130" spans="1:2" x14ac:dyDescent="0.2">
      <c r="A130" t="s">
        <v>130</v>
      </c>
      <c r="B130">
        <v>0</v>
      </c>
    </row>
    <row r="131" spans="1:2" x14ac:dyDescent="0.2">
      <c r="A131" t="s">
        <v>131</v>
      </c>
      <c r="B131">
        <v>0</v>
      </c>
    </row>
    <row r="132" spans="1:2" x14ac:dyDescent="0.2">
      <c r="A132" t="s">
        <v>132</v>
      </c>
      <c r="B132">
        <v>0</v>
      </c>
    </row>
    <row r="133" spans="1:2" x14ac:dyDescent="0.2">
      <c r="A133" t="s">
        <v>133</v>
      </c>
      <c r="B133">
        <v>0</v>
      </c>
    </row>
    <row r="134" spans="1:2" x14ac:dyDescent="0.2">
      <c r="A134" t="s">
        <v>134</v>
      </c>
      <c r="B134">
        <v>0</v>
      </c>
    </row>
    <row r="135" spans="1:2" x14ac:dyDescent="0.2">
      <c r="A135" t="s">
        <v>135</v>
      </c>
      <c r="B135">
        <v>0</v>
      </c>
    </row>
    <row r="136" spans="1:2" x14ac:dyDescent="0.2">
      <c r="A136" t="s">
        <v>136</v>
      </c>
      <c r="B136">
        <v>0</v>
      </c>
    </row>
    <row r="137" spans="1:2" x14ac:dyDescent="0.2">
      <c r="A137" t="s">
        <v>137</v>
      </c>
      <c r="B137">
        <v>0</v>
      </c>
    </row>
    <row r="138" spans="1:2" x14ac:dyDescent="0.2">
      <c r="A138" t="s">
        <v>138</v>
      </c>
      <c r="B138">
        <v>0</v>
      </c>
    </row>
    <row r="139" spans="1:2" x14ac:dyDescent="0.2">
      <c r="A139" t="s">
        <v>139</v>
      </c>
      <c r="B139">
        <v>0</v>
      </c>
    </row>
    <row r="140" spans="1:2" x14ac:dyDescent="0.2">
      <c r="A140" t="s">
        <v>140</v>
      </c>
      <c r="B140">
        <v>0</v>
      </c>
    </row>
    <row r="141" spans="1:2" x14ac:dyDescent="0.2">
      <c r="A141" t="s">
        <v>141</v>
      </c>
      <c r="B141">
        <v>0</v>
      </c>
    </row>
    <row r="142" spans="1:2" x14ac:dyDescent="0.2">
      <c r="A142" t="s">
        <v>142</v>
      </c>
      <c r="B142">
        <v>0</v>
      </c>
    </row>
    <row r="143" spans="1:2" x14ac:dyDescent="0.2">
      <c r="A143" t="s">
        <v>143</v>
      </c>
      <c r="B143">
        <v>0</v>
      </c>
    </row>
    <row r="144" spans="1:2" x14ac:dyDescent="0.2">
      <c r="A144" t="s">
        <v>144</v>
      </c>
      <c r="B144">
        <v>0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0</v>
      </c>
    </row>
    <row r="147" spans="1:2" x14ac:dyDescent="0.2">
      <c r="A147" t="s">
        <v>147</v>
      </c>
      <c r="B147">
        <v>0</v>
      </c>
    </row>
    <row r="148" spans="1:2" x14ac:dyDescent="0.2">
      <c r="A148" t="s">
        <v>148</v>
      </c>
      <c r="B148">
        <v>0</v>
      </c>
    </row>
    <row r="149" spans="1:2" x14ac:dyDescent="0.2">
      <c r="A149" t="s">
        <v>149</v>
      </c>
      <c r="B149">
        <v>0</v>
      </c>
    </row>
    <row r="150" spans="1:2" x14ac:dyDescent="0.2">
      <c r="A150" t="s">
        <v>150</v>
      </c>
      <c r="B150">
        <v>0</v>
      </c>
    </row>
    <row r="151" spans="1:2" x14ac:dyDescent="0.2">
      <c r="A151" t="s">
        <v>151</v>
      </c>
      <c r="B151">
        <v>0</v>
      </c>
    </row>
    <row r="152" spans="1:2" x14ac:dyDescent="0.2">
      <c r="A152" t="s">
        <v>152</v>
      </c>
      <c r="B152">
        <v>0</v>
      </c>
    </row>
    <row r="153" spans="1:2" x14ac:dyDescent="0.2">
      <c r="A153" t="s">
        <v>153</v>
      </c>
      <c r="B153">
        <v>0</v>
      </c>
    </row>
    <row r="154" spans="1:2" x14ac:dyDescent="0.2">
      <c r="A154" t="s">
        <v>154</v>
      </c>
      <c r="B154">
        <v>0</v>
      </c>
    </row>
    <row r="155" spans="1:2" x14ac:dyDescent="0.2">
      <c r="A155" t="s">
        <v>155</v>
      </c>
      <c r="B155">
        <v>0</v>
      </c>
    </row>
    <row r="156" spans="1:2" x14ac:dyDescent="0.2">
      <c r="A156" t="s">
        <v>156</v>
      </c>
      <c r="B156">
        <v>0</v>
      </c>
    </row>
    <row r="157" spans="1:2" x14ac:dyDescent="0.2">
      <c r="A157" t="s">
        <v>157</v>
      </c>
      <c r="B157">
        <v>0</v>
      </c>
    </row>
    <row r="158" spans="1:2" x14ac:dyDescent="0.2">
      <c r="A158" t="s">
        <v>158</v>
      </c>
      <c r="B158">
        <v>0</v>
      </c>
    </row>
    <row r="159" spans="1:2" x14ac:dyDescent="0.2">
      <c r="A159" t="s">
        <v>159</v>
      </c>
      <c r="B159">
        <v>0</v>
      </c>
    </row>
    <row r="160" spans="1:2" x14ac:dyDescent="0.2">
      <c r="A160" t="s">
        <v>160</v>
      </c>
      <c r="B160">
        <v>0</v>
      </c>
    </row>
    <row r="161" spans="1:2" x14ac:dyDescent="0.2">
      <c r="A161" t="s">
        <v>161</v>
      </c>
      <c r="B161">
        <v>0</v>
      </c>
    </row>
    <row r="162" spans="1:2" x14ac:dyDescent="0.2">
      <c r="A162" t="s">
        <v>162</v>
      </c>
      <c r="B162">
        <v>0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0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0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0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0</v>
      </c>
    </row>
    <row r="182" spans="1:2" x14ac:dyDescent="0.2">
      <c r="A182" t="s">
        <v>182</v>
      </c>
      <c r="B182">
        <v>0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0</v>
      </c>
    </row>
    <row r="185" spans="1:2" x14ac:dyDescent="0.2">
      <c r="A185" t="s">
        <v>185</v>
      </c>
      <c r="B185">
        <v>0</v>
      </c>
    </row>
    <row r="186" spans="1:2" x14ac:dyDescent="0.2">
      <c r="A186" t="s">
        <v>186</v>
      </c>
      <c r="B186">
        <v>0</v>
      </c>
    </row>
    <row r="187" spans="1:2" x14ac:dyDescent="0.2">
      <c r="A187" t="s">
        <v>187</v>
      </c>
      <c r="B187">
        <v>0</v>
      </c>
    </row>
    <row r="188" spans="1:2" x14ac:dyDescent="0.2">
      <c r="A188" t="s">
        <v>188</v>
      </c>
      <c r="B188">
        <v>0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0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0</v>
      </c>
    </row>
    <row r="196" spans="1:2" x14ac:dyDescent="0.2">
      <c r="A196" t="s">
        <v>196</v>
      </c>
      <c r="B196">
        <v>0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0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0</v>
      </c>
    </row>
    <row r="208" spans="1:2" x14ac:dyDescent="0.2">
      <c r="A208" t="s">
        <v>208</v>
      </c>
      <c r="B208">
        <v>0</v>
      </c>
    </row>
    <row r="209" spans="1:2" x14ac:dyDescent="0.2">
      <c r="A209" t="s">
        <v>209</v>
      </c>
      <c r="B209">
        <v>0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0</v>
      </c>
    </row>
    <row r="212" spans="1:2" x14ac:dyDescent="0.2">
      <c r="A212" t="s">
        <v>212</v>
      </c>
      <c r="B212">
        <v>0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0</v>
      </c>
    </row>
    <row r="220" spans="1:2" x14ac:dyDescent="0.2">
      <c r="A220" t="s">
        <v>220</v>
      </c>
      <c r="B220">
        <v>0</v>
      </c>
    </row>
    <row r="221" spans="1:2" x14ac:dyDescent="0.2">
      <c r="A221" t="s">
        <v>221</v>
      </c>
      <c r="B221">
        <v>0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0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0</v>
      </c>
    </row>
    <row r="226" spans="1:2" x14ac:dyDescent="0.2">
      <c r="A226" t="s">
        <v>226</v>
      </c>
      <c r="B226">
        <v>0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0</v>
      </c>
    </row>
    <row r="229" spans="1:2" x14ac:dyDescent="0.2">
      <c r="A229" t="s">
        <v>229</v>
      </c>
      <c r="B229">
        <v>0</v>
      </c>
    </row>
    <row r="230" spans="1:2" x14ac:dyDescent="0.2">
      <c r="A230" t="s">
        <v>230</v>
      </c>
      <c r="B230">
        <v>0</v>
      </c>
    </row>
    <row r="231" spans="1:2" x14ac:dyDescent="0.2">
      <c r="A231" t="s">
        <v>231</v>
      </c>
      <c r="B231">
        <v>0</v>
      </c>
    </row>
    <row r="232" spans="1:2" x14ac:dyDescent="0.2">
      <c r="A232" t="s">
        <v>232</v>
      </c>
      <c r="B232">
        <v>0</v>
      </c>
    </row>
    <row r="233" spans="1:2" x14ac:dyDescent="0.2">
      <c r="A233" t="s">
        <v>233</v>
      </c>
      <c r="B233">
        <v>0</v>
      </c>
    </row>
    <row r="234" spans="1:2" x14ac:dyDescent="0.2">
      <c r="A234" t="s">
        <v>234</v>
      </c>
      <c r="B234">
        <v>0</v>
      </c>
    </row>
    <row r="235" spans="1:2" x14ac:dyDescent="0.2">
      <c r="A235" t="s">
        <v>235</v>
      </c>
      <c r="B235">
        <v>0</v>
      </c>
    </row>
    <row r="236" spans="1:2" x14ac:dyDescent="0.2">
      <c r="A236" t="s">
        <v>236</v>
      </c>
      <c r="B236">
        <v>0</v>
      </c>
    </row>
    <row r="237" spans="1:2" x14ac:dyDescent="0.2">
      <c r="A237" t="s">
        <v>237</v>
      </c>
      <c r="B237">
        <v>0</v>
      </c>
    </row>
    <row r="238" spans="1:2" x14ac:dyDescent="0.2">
      <c r="A238" t="s">
        <v>238</v>
      </c>
      <c r="B238">
        <v>0</v>
      </c>
    </row>
    <row r="239" spans="1:2" x14ac:dyDescent="0.2">
      <c r="A239" t="s">
        <v>239</v>
      </c>
      <c r="B239">
        <v>1</v>
      </c>
    </row>
    <row r="240" spans="1:2" x14ac:dyDescent="0.2">
      <c r="A240" t="s">
        <v>240</v>
      </c>
      <c r="B240">
        <v>0</v>
      </c>
    </row>
    <row r="241" spans="1:2" x14ac:dyDescent="0.2">
      <c r="A241" t="s">
        <v>241</v>
      </c>
      <c r="B241">
        <v>0</v>
      </c>
    </row>
    <row r="242" spans="1:2" x14ac:dyDescent="0.2">
      <c r="A242" t="s">
        <v>242</v>
      </c>
      <c r="B242">
        <v>0</v>
      </c>
    </row>
    <row r="243" spans="1:2" x14ac:dyDescent="0.2">
      <c r="A243" t="s">
        <v>243</v>
      </c>
      <c r="B243">
        <v>0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0</v>
      </c>
    </row>
    <row r="246" spans="1:2" x14ac:dyDescent="0.2">
      <c r="A246" t="s">
        <v>246</v>
      </c>
      <c r="B246">
        <v>0</v>
      </c>
    </row>
    <row r="247" spans="1:2" x14ac:dyDescent="0.2">
      <c r="A247" t="s">
        <v>247</v>
      </c>
      <c r="B247">
        <v>0</v>
      </c>
    </row>
    <row r="248" spans="1:2" x14ac:dyDescent="0.2">
      <c r="A248" t="s">
        <v>248</v>
      </c>
      <c r="B248">
        <v>0</v>
      </c>
    </row>
    <row r="249" spans="1:2" x14ac:dyDescent="0.2">
      <c r="A249" t="s">
        <v>249</v>
      </c>
      <c r="B249">
        <v>1</v>
      </c>
    </row>
    <row r="250" spans="1:2" x14ac:dyDescent="0.2">
      <c r="A250" t="s">
        <v>250</v>
      </c>
      <c r="B250">
        <v>0</v>
      </c>
    </row>
    <row r="251" spans="1:2" x14ac:dyDescent="0.2">
      <c r="A251" t="s">
        <v>251</v>
      </c>
      <c r="B251">
        <v>0</v>
      </c>
    </row>
    <row r="252" spans="1:2" x14ac:dyDescent="0.2">
      <c r="A252" t="s">
        <v>252</v>
      </c>
      <c r="B252">
        <v>0</v>
      </c>
    </row>
    <row r="253" spans="1:2" x14ac:dyDescent="0.2">
      <c r="A253" t="s">
        <v>253</v>
      </c>
      <c r="B253">
        <v>0</v>
      </c>
    </row>
    <row r="254" spans="1:2" x14ac:dyDescent="0.2">
      <c r="A254" t="s">
        <v>254</v>
      </c>
      <c r="B254">
        <v>0</v>
      </c>
    </row>
    <row r="255" spans="1:2" x14ac:dyDescent="0.2">
      <c r="A255" t="s">
        <v>255</v>
      </c>
      <c r="B255">
        <v>0</v>
      </c>
    </row>
    <row r="256" spans="1:2" x14ac:dyDescent="0.2">
      <c r="A256" t="s">
        <v>256</v>
      </c>
      <c r="B256">
        <v>0</v>
      </c>
    </row>
    <row r="257" spans="1:2" x14ac:dyDescent="0.2">
      <c r="A257" t="s">
        <v>257</v>
      </c>
      <c r="B257">
        <v>0</v>
      </c>
    </row>
    <row r="258" spans="1:2" x14ac:dyDescent="0.2">
      <c r="A258" t="s">
        <v>258</v>
      </c>
      <c r="B258">
        <v>0</v>
      </c>
    </row>
    <row r="259" spans="1:2" x14ac:dyDescent="0.2">
      <c r="A259" t="s">
        <v>259</v>
      </c>
      <c r="B259">
        <v>0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0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0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0</v>
      </c>
    </row>
    <row r="268" spans="1:2" x14ac:dyDescent="0.2">
      <c r="A268" t="s">
        <v>268</v>
      </c>
      <c r="B268">
        <v>0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0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0</v>
      </c>
    </row>
    <row r="275" spans="1:2" x14ac:dyDescent="0.2">
      <c r="A275" t="s">
        <v>275</v>
      </c>
      <c r="B275">
        <v>0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0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1</v>
      </c>
    </row>
    <row r="284" spans="1:2" x14ac:dyDescent="0.2">
      <c r="A284" t="s">
        <v>284</v>
      </c>
      <c r="B284">
        <v>0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0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0</v>
      </c>
    </row>
    <row r="293" spans="1:2" x14ac:dyDescent="0.2">
      <c r="A293" t="s">
        <v>293</v>
      </c>
      <c r="B293">
        <v>0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0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0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0</v>
      </c>
    </row>
    <row r="302" spans="1:2" x14ac:dyDescent="0.2">
      <c r="A302" t="s">
        <v>302</v>
      </c>
      <c r="B302">
        <v>0</v>
      </c>
    </row>
    <row r="303" spans="1:2" x14ac:dyDescent="0.2">
      <c r="A303" t="s">
        <v>303</v>
      </c>
      <c r="B303">
        <v>0</v>
      </c>
    </row>
    <row r="304" spans="1:2" x14ac:dyDescent="0.2">
      <c r="A304" t="s">
        <v>304</v>
      </c>
      <c r="B304">
        <v>0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0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0</v>
      </c>
    </row>
    <row r="312" spans="1:2" x14ac:dyDescent="0.2">
      <c r="A312" t="s">
        <v>312</v>
      </c>
      <c r="B312">
        <v>0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0</v>
      </c>
    </row>
    <row r="320" spans="1:2" x14ac:dyDescent="0.2">
      <c r="A320" t="s">
        <v>320</v>
      </c>
      <c r="B320">
        <v>0</v>
      </c>
    </row>
    <row r="321" spans="1:2" x14ac:dyDescent="0.2">
      <c r="A321" t="s">
        <v>321</v>
      </c>
      <c r="B321">
        <v>0</v>
      </c>
    </row>
    <row r="322" spans="1:2" x14ac:dyDescent="0.2">
      <c r="A322" t="s">
        <v>322</v>
      </c>
      <c r="B322">
        <v>0</v>
      </c>
    </row>
    <row r="323" spans="1:2" x14ac:dyDescent="0.2">
      <c r="A323" t="s">
        <v>323</v>
      </c>
      <c r="B323">
        <v>0</v>
      </c>
    </row>
    <row r="324" spans="1:2" x14ac:dyDescent="0.2">
      <c r="A324" t="s">
        <v>324</v>
      </c>
      <c r="B324">
        <v>0</v>
      </c>
    </row>
    <row r="325" spans="1:2" x14ac:dyDescent="0.2">
      <c r="A325" t="s">
        <v>325</v>
      </c>
      <c r="B325">
        <v>0</v>
      </c>
    </row>
    <row r="326" spans="1:2" x14ac:dyDescent="0.2">
      <c r="A326" t="s">
        <v>326</v>
      </c>
      <c r="B326">
        <v>0</v>
      </c>
    </row>
    <row r="327" spans="1:2" x14ac:dyDescent="0.2">
      <c r="A327" t="s">
        <v>327</v>
      </c>
      <c r="B327">
        <v>0</v>
      </c>
    </row>
    <row r="328" spans="1:2" x14ac:dyDescent="0.2">
      <c r="A328" t="s">
        <v>328</v>
      </c>
      <c r="B328">
        <v>0</v>
      </c>
    </row>
    <row r="329" spans="1:2" x14ac:dyDescent="0.2">
      <c r="A329" t="s">
        <v>329</v>
      </c>
      <c r="B329">
        <v>0</v>
      </c>
    </row>
    <row r="330" spans="1:2" x14ac:dyDescent="0.2">
      <c r="A330" t="s">
        <v>330</v>
      </c>
      <c r="B330">
        <v>0</v>
      </c>
    </row>
    <row r="331" spans="1:2" x14ac:dyDescent="0.2">
      <c r="A331" t="s">
        <v>331</v>
      </c>
      <c r="B331">
        <v>0</v>
      </c>
    </row>
    <row r="332" spans="1:2" x14ac:dyDescent="0.2">
      <c r="A332" t="s">
        <v>332</v>
      </c>
      <c r="B332">
        <v>0</v>
      </c>
    </row>
    <row r="333" spans="1:2" x14ac:dyDescent="0.2">
      <c r="A333" t="s">
        <v>333</v>
      </c>
      <c r="B333">
        <v>0</v>
      </c>
    </row>
    <row r="334" spans="1:2" x14ac:dyDescent="0.2">
      <c r="A334" t="s">
        <v>334</v>
      </c>
      <c r="B334">
        <v>0</v>
      </c>
    </row>
    <row r="335" spans="1:2" x14ac:dyDescent="0.2">
      <c r="A335" t="s">
        <v>335</v>
      </c>
      <c r="B335">
        <v>0</v>
      </c>
    </row>
    <row r="336" spans="1:2" x14ac:dyDescent="0.2">
      <c r="A336" t="s">
        <v>336</v>
      </c>
      <c r="B336">
        <v>1</v>
      </c>
    </row>
    <row r="337" spans="1:2" x14ac:dyDescent="0.2">
      <c r="A337" t="s">
        <v>337</v>
      </c>
      <c r="B337">
        <v>0</v>
      </c>
    </row>
    <row r="338" spans="1:2" x14ac:dyDescent="0.2">
      <c r="A338" t="s">
        <v>338</v>
      </c>
      <c r="B338">
        <v>0</v>
      </c>
    </row>
    <row r="339" spans="1:2" x14ac:dyDescent="0.2">
      <c r="A339" t="s">
        <v>339</v>
      </c>
      <c r="B339">
        <v>0</v>
      </c>
    </row>
    <row r="340" spans="1:2" x14ac:dyDescent="0.2">
      <c r="A340" t="s">
        <v>340</v>
      </c>
      <c r="B340">
        <v>0</v>
      </c>
    </row>
    <row r="341" spans="1:2" x14ac:dyDescent="0.2">
      <c r="A341" t="s">
        <v>341</v>
      </c>
      <c r="B341">
        <v>0</v>
      </c>
    </row>
    <row r="342" spans="1:2" x14ac:dyDescent="0.2">
      <c r="A342" t="s">
        <v>342</v>
      </c>
      <c r="B342">
        <v>0</v>
      </c>
    </row>
    <row r="343" spans="1:2" x14ac:dyDescent="0.2">
      <c r="A343" t="s">
        <v>343</v>
      </c>
      <c r="B34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17534-A0E3-A24F-8AF0-AC54E1C803A0}">
  <sheetPr>
    <tabColor theme="9" tint="0.39997558519241921"/>
  </sheetPr>
  <dimension ref="A1:F343"/>
  <sheetViews>
    <sheetView workbookViewId="0">
      <selection activeCell="E1" sqref="B1:E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695</v>
      </c>
      <c r="C1" s="1" t="s">
        <v>696</v>
      </c>
      <c r="D1" s="1" t="s">
        <v>697</v>
      </c>
      <c r="E1" s="1" t="s">
        <v>698</v>
      </c>
      <c r="F1" s="1"/>
    </row>
    <row r="2" spans="1:6" x14ac:dyDescent="0.2">
      <c r="A2" t="s">
        <v>2</v>
      </c>
      <c r="B2">
        <v>15568</v>
      </c>
      <c r="C2">
        <v>1826</v>
      </c>
      <c r="D2">
        <v>101</v>
      </c>
      <c r="E2">
        <v>3</v>
      </c>
    </row>
    <row r="3" spans="1:6" x14ac:dyDescent="0.2">
      <c r="A3" t="s">
        <v>3</v>
      </c>
      <c r="B3">
        <v>17396</v>
      </c>
      <c r="C3">
        <v>1963</v>
      </c>
      <c r="D3">
        <v>181</v>
      </c>
      <c r="E3">
        <v>17</v>
      </c>
    </row>
    <row r="4" spans="1:6" x14ac:dyDescent="0.2">
      <c r="A4" t="s">
        <v>4</v>
      </c>
      <c r="B4">
        <v>14912</v>
      </c>
      <c r="C4">
        <v>1763</v>
      </c>
      <c r="D4">
        <v>91</v>
      </c>
      <c r="E4">
        <v>2</v>
      </c>
    </row>
    <row r="5" spans="1:6" x14ac:dyDescent="0.2">
      <c r="A5" t="s">
        <v>5</v>
      </c>
      <c r="B5">
        <v>15604</v>
      </c>
      <c r="C5">
        <v>2554</v>
      </c>
      <c r="D5">
        <v>152</v>
      </c>
      <c r="E5">
        <v>40</v>
      </c>
    </row>
    <row r="6" spans="1:6" x14ac:dyDescent="0.2">
      <c r="A6" t="s">
        <v>6</v>
      </c>
      <c r="B6">
        <v>9531</v>
      </c>
      <c r="C6">
        <v>1210</v>
      </c>
      <c r="D6">
        <v>83</v>
      </c>
      <c r="E6">
        <v>28</v>
      </c>
    </row>
    <row r="7" spans="1:6" x14ac:dyDescent="0.2">
      <c r="A7" t="s">
        <v>7</v>
      </c>
      <c r="B7">
        <v>12936</v>
      </c>
      <c r="C7">
        <v>908</v>
      </c>
      <c r="D7">
        <v>49</v>
      </c>
      <c r="E7">
        <v>4</v>
      </c>
    </row>
    <row r="8" spans="1:6" x14ac:dyDescent="0.2">
      <c r="A8" t="s">
        <v>8</v>
      </c>
      <c r="B8">
        <v>58882</v>
      </c>
      <c r="C8">
        <v>6290</v>
      </c>
      <c r="D8">
        <v>479</v>
      </c>
      <c r="E8">
        <v>20</v>
      </c>
    </row>
    <row r="9" spans="1:6" x14ac:dyDescent="0.2">
      <c r="A9" t="s">
        <v>9</v>
      </c>
      <c r="B9">
        <v>36279</v>
      </c>
      <c r="C9">
        <v>3787</v>
      </c>
      <c r="D9">
        <v>201</v>
      </c>
      <c r="E9">
        <v>5</v>
      </c>
    </row>
    <row r="10" spans="1:6" x14ac:dyDescent="0.2">
      <c r="A10" t="s">
        <v>10</v>
      </c>
      <c r="B10">
        <v>258677</v>
      </c>
      <c r="C10">
        <v>31940</v>
      </c>
      <c r="D10">
        <v>658</v>
      </c>
      <c r="E10">
        <v>21</v>
      </c>
    </row>
    <row r="11" spans="1:6" x14ac:dyDescent="0.2">
      <c r="A11" t="s">
        <v>11</v>
      </c>
      <c r="B11">
        <v>55413</v>
      </c>
      <c r="C11">
        <v>6214</v>
      </c>
      <c r="D11">
        <v>557</v>
      </c>
      <c r="E11">
        <v>33</v>
      </c>
    </row>
    <row r="12" spans="1:6" x14ac:dyDescent="0.2">
      <c r="A12" t="s">
        <v>12</v>
      </c>
      <c r="B12">
        <v>6532</v>
      </c>
      <c r="C12">
        <v>966</v>
      </c>
      <c r="D12">
        <v>56</v>
      </c>
      <c r="E12">
        <v>0</v>
      </c>
    </row>
    <row r="13" spans="1:6" x14ac:dyDescent="0.2">
      <c r="A13" t="s">
        <v>13</v>
      </c>
      <c r="B13">
        <v>31112</v>
      </c>
      <c r="C13">
        <v>4893</v>
      </c>
      <c r="D13">
        <v>424</v>
      </c>
      <c r="E13">
        <v>19</v>
      </c>
    </row>
    <row r="14" spans="1:6" x14ac:dyDescent="0.2">
      <c r="A14" t="s">
        <v>14</v>
      </c>
      <c r="B14">
        <v>2007</v>
      </c>
      <c r="C14">
        <v>412</v>
      </c>
      <c r="D14">
        <v>35</v>
      </c>
      <c r="E14">
        <v>0</v>
      </c>
    </row>
    <row r="15" spans="1:6" x14ac:dyDescent="0.2">
      <c r="A15" t="s">
        <v>15</v>
      </c>
      <c r="B15">
        <v>124805</v>
      </c>
      <c r="C15">
        <v>17202</v>
      </c>
      <c r="D15">
        <v>343</v>
      </c>
      <c r="E15">
        <v>613</v>
      </c>
    </row>
    <row r="16" spans="1:6" x14ac:dyDescent="0.2">
      <c r="A16" t="s">
        <v>16</v>
      </c>
      <c r="B16">
        <v>39013</v>
      </c>
      <c r="C16">
        <v>2105</v>
      </c>
      <c r="D16">
        <v>139</v>
      </c>
      <c r="E16">
        <v>18</v>
      </c>
    </row>
    <row r="17" spans="1:5" x14ac:dyDescent="0.2">
      <c r="A17" t="s">
        <v>17</v>
      </c>
      <c r="B17">
        <v>249771</v>
      </c>
      <c r="C17">
        <v>21249</v>
      </c>
      <c r="D17">
        <v>978</v>
      </c>
      <c r="E17">
        <v>301</v>
      </c>
    </row>
    <row r="18" spans="1:5" x14ac:dyDescent="0.2">
      <c r="A18" t="s">
        <v>18</v>
      </c>
      <c r="B18">
        <v>84942</v>
      </c>
      <c r="C18">
        <v>8563</v>
      </c>
      <c r="D18">
        <v>961</v>
      </c>
      <c r="E18">
        <v>55</v>
      </c>
    </row>
    <row r="19" spans="1:5" x14ac:dyDescent="0.2">
      <c r="A19" t="s">
        <v>19</v>
      </c>
      <c r="B19">
        <v>69313</v>
      </c>
      <c r="C19">
        <v>4725</v>
      </c>
      <c r="D19">
        <v>607</v>
      </c>
      <c r="E19">
        <v>4</v>
      </c>
    </row>
    <row r="20" spans="1:5" x14ac:dyDescent="0.2">
      <c r="A20" t="s">
        <v>20</v>
      </c>
      <c r="B20">
        <v>34450</v>
      </c>
      <c r="C20">
        <v>2659</v>
      </c>
      <c r="D20">
        <v>180</v>
      </c>
      <c r="E20">
        <v>48</v>
      </c>
    </row>
    <row r="21" spans="1:5" x14ac:dyDescent="0.2">
      <c r="A21" t="s">
        <v>21</v>
      </c>
      <c r="B21">
        <v>9591</v>
      </c>
      <c r="C21">
        <v>1488</v>
      </c>
      <c r="D21">
        <v>103</v>
      </c>
      <c r="E21">
        <v>2</v>
      </c>
    </row>
    <row r="22" spans="1:5" x14ac:dyDescent="0.2">
      <c r="A22" t="s">
        <v>22</v>
      </c>
      <c r="B22">
        <v>4372</v>
      </c>
      <c r="C22">
        <v>694</v>
      </c>
      <c r="D22">
        <v>41</v>
      </c>
      <c r="E22">
        <v>4</v>
      </c>
    </row>
    <row r="23" spans="1:5" x14ac:dyDescent="0.2">
      <c r="A23" t="s">
        <v>23</v>
      </c>
      <c r="B23">
        <v>12562</v>
      </c>
      <c r="C23">
        <v>935</v>
      </c>
      <c r="D23">
        <v>24</v>
      </c>
      <c r="E23">
        <v>8</v>
      </c>
    </row>
    <row r="24" spans="1:5" x14ac:dyDescent="0.2">
      <c r="A24" t="s">
        <v>24</v>
      </c>
      <c r="B24">
        <v>24077</v>
      </c>
      <c r="C24">
        <v>2326</v>
      </c>
      <c r="D24">
        <v>276</v>
      </c>
      <c r="E24">
        <v>8</v>
      </c>
    </row>
    <row r="25" spans="1:5" x14ac:dyDescent="0.2">
      <c r="A25" t="s">
        <v>25</v>
      </c>
      <c r="B25">
        <v>30757</v>
      </c>
      <c r="C25">
        <v>5966</v>
      </c>
      <c r="D25">
        <v>396</v>
      </c>
      <c r="E25">
        <v>46</v>
      </c>
    </row>
    <row r="26" spans="1:5" x14ac:dyDescent="0.2">
      <c r="A26" t="s">
        <v>26</v>
      </c>
      <c r="B26">
        <v>9695</v>
      </c>
      <c r="C26">
        <v>811</v>
      </c>
      <c r="D26">
        <v>61</v>
      </c>
      <c r="E26">
        <v>1</v>
      </c>
    </row>
    <row r="27" spans="1:5" x14ac:dyDescent="0.2">
      <c r="A27" t="s">
        <v>27</v>
      </c>
      <c r="B27">
        <v>22365</v>
      </c>
      <c r="C27">
        <v>2074</v>
      </c>
      <c r="D27">
        <v>154</v>
      </c>
      <c r="E27">
        <v>1</v>
      </c>
    </row>
    <row r="28" spans="1:5" x14ac:dyDescent="0.2">
      <c r="A28" t="s">
        <v>28</v>
      </c>
      <c r="B28">
        <v>7338</v>
      </c>
      <c r="C28">
        <v>548</v>
      </c>
      <c r="D28">
        <v>41</v>
      </c>
      <c r="E28">
        <v>0</v>
      </c>
    </row>
    <row r="29" spans="1:5" x14ac:dyDescent="0.2">
      <c r="A29" t="s">
        <v>29</v>
      </c>
      <c r="B29">
        <v>19031</v>
      </c>
      <c r="C29">
        <v>1763</v>
      </c>
      <c r="D29">
        <v>69</v>
      </c>
      <c r="E29">
        <v>10</v>
      </c>
    </row>
    <row r="30" spans="1:5" x14ac:dyDescent="0.2">
      <c r="A30" t="s">
        <v>30</v>
      </c>
      <c r="B30">
        <v>11303</v>
      </c>
      <c r="C30">
        <v>1837</v>
      </c>
      <c r="D30">
        <v>69</v>
      </c>
      <c r="E30">
        <v>19</v>
      </c>
    </row>
    <row r="31" spans="1:5" x14ac:dyDescent="0.2">
      <c r="A31" t="s">
        <v>31</v>
      </c>
      <c r="B31">
        <v>8123</v>
      </c>
      <c r="C31">
        <v>915</v>
      </c>
      <c r="D31">
        <v>55</v>
      </c>
      <c r="E31">
        <v>1</v>
      </c>
    </row>
    <row r="32" spans="1:5" x14ac:dyDescent="0.2">
      <c r="A32" t="s">
        <v>32</v>
      </c>
      <c r="B32">
        <v>16520</v>
      </c>
      <c r="C32">
        <v>1395</v>
      </c>
      <c r="D32">
        <v>66</v>
      </c>
      <c r="E32">
        <v>2</v>
      </c>
    </row>
    <row r="33" spans="1:5" x14ac:dyDescent="0.2">
      <c r="A33" t="s">
        <v>33</v>
      </c>
      <c r="B33">
        <v>33852</v>
      </c>
      <c r="C33">
        <v>2726</v>
      </c>
      <c r="D33">
        <v>241</v>
      </c>
      <c r="E33">
        <v>42</v>
      </c>
    </row>
    <row r="34" spans="1:5" x14ac:dyDescent="0.2">
      <c r="A34" t="s">
        <v>34</v>
      </c>
      <c r="B34">
        <v>25664</v>
      </c>
      <c r="C34">
        <v>3014</v>
      </c>
      <c r="D34">
        <v>195</v>
      </c>
      <c r="E34">
        <v>7</v>
      </c>
    </row>
    <row r="35" spans="1:5" x14ac:dyDescent="0.2">
      <c r="A35" t="s">
        <v>35</v>
      </c>
      <c r="B35">
        <v>17768</v>
      </c>
      <c r="C35">
        <v>2975</v>
      </c>
      <c r="D35">
        <v>202</v>
      </c>
      <c r="E35">
        <v>3</v>
      </c>
    </row>
    <row r="36" spans="1:5" x14ac:dyDescent="0.2">
      <c r="A36" t="s">
        <v>36</v>
      </c>
      <c r="B36">
        <v>16148</v>
      </c>
      <c r="C36">
        <v>1436</v>
      </c>
      <c r="D36">
        <v>102</v>
      </c>
      <c r="E36">
        <v>2</v>
      </c>
    </row>
    <row r="37" spans="1:5" x14ac:dyDescent="0.2">
      <c r="A37" t="s">
        <v>37</v>
      </c>
      <c r="B37">
        <v>14289</v>
      </c>
      <c r="C37">
        <v>1253</v>
      </c>
      <c r="D37">
        <v>88</v>
      </c>
      <c r="E37">
        <v>0</v>
      </c>
    </row>
    <row r="38" spans="1:5" x14ac:dyDescent="0.2">
      <c r="A38" t="s">
        <v>38</v>
      </c>
      <c r="B38">
        <v>20145</v>
      </c>
      <c r="C38">
        <v>2195</v>
      </c>
      <c r="D38">
        <v>270</v>
      </c>
      <c r="E38">
        <v>1</v>
      </c>
    </row>
    <row r="39" spans="1:5" x14ac:dyDescent="0.2">
      <c r="A39" t="s">
        <v>39</v>
      </c>
      <c r="B39">
        <v>21742</v>
      </c>
      <c r="C39">
        <v>1807</v>
      </c>
      <c r="D39">
        <v>107</v>
      </c>
      <c r="E39">
        <v>0</v>
      </c>
    </row>
    <row r="40" spans="1:5" x14ac:dyDescent="0.2">
      <c r="A40" t="s">
        <v>40</v>
      </c>
      <c r="B40">
        <v>12452</v>
      </c>
      <c r="C40">
        <v>1926</v>
      </c>
      <c r="D40">
        <v>141</v>
      </c>
      <c r="E40">
        <v>2</v>
      </c>
    </row>
    <row r="41" spans="1:5" x14ac:dyDescent="0.2">
      <c r="A41" t="s">
        <v>41</v>
      </c>
      <c r="B41">
        <v>7177</v>
      </c>
      <c r="C41">
        <v>388</v>
      </c>
      <c r="D41">
        <v>27</v>
      </c>
      <c r="E41">
        <v>0</v>
      </c>
    </row>
    <row r="42" spans="1:5" x14ac:dyDescent="0.2">
      <c r="A42" t="s">
        <v>42</v>
      </c>
      <c r="B42">
        <v>12488</v>
      </c>
      <c r="C42">
        <v>478</v>
      </c>
      <c r="D42">
        <v>6</v>
      </c>
      <c r="E42">
        <v>0</v>
      </c>
    </row>
    <row r="43" spans="1:5" x14ac:dyDescent="0.2">
      <c r="A43" t="s">
        <v>43</v>
      </c>
      <c r="B43">
        <v>17882</v>
      </c>
      <c r="C43">
        <v>2587</v>
      </c>
      <c r="D43">
        <v>223</v>
      </c>
      <c r="E43">
        <v>13</v>
      </c>
    </row>
    <row r="44" spans="1:5" x14ac:dyDescent="0.2">
      <c r="A44" t="s">
        <v>44</v>
      </c>
      <c r="B44">
        <v>6209</v>
      </c>
      <c r="C44">
        <v>1165</v>
      </c>
      <c r="D44">
        <v>56</v>
      </c>
      <c r="E44">
        <v>1</v>
      </c>
    </row>
    <row r="45" spans="1:5" x14ac:dyDescent="0.2">
      <c r="A45" t="s">
        <v>45</v>
      </c>
      <c r="B45">
        <v>15982</v>
      </c>
      <c r="C45">
        <v>2265</v>
      </c>
      <c r="D45">
        <v>127</v>
      </c>
      <c r="E45">
        <v>3</v>
      </c>
    </row>
    <row r="46" spans="1:5" x14ac:dyDescent="0.2">
      <c r="A46" t="s">
        <v>46</v>
      </c>
      <c r="B46">
        <v>12586</v>
      </c>
      <c r="C46">
        <v>1225</v>
      </c>
      <c r="D46">
        <v>77</v>
      </c>
      <c r="E46">
        <v>7</v>
      </c>
    </row>
    <row r="47" spans="1:5" x14ac:dyDescent="0.2">
      <c r="A47" t="s">
        <v>47</v>
      </c>
      <c r="B47">
        <v>13512</v>
      </c>
      <c r="C47">
        <v>2322</v>
      </c>
      <c r="D47">
        <v>139</v>
      </c>
      <c r="E47">
        <v>36</v>
      </c>
    </row>
    <row r="48" spans="1:5" x14ac:dyDescent="0.2">
      <c r="A48" t="s">
        <v>48</v>
      </c>
      <c r="B48">
        <v>16841</v>
      </c>
      <c r="C48">
        <v>2116</v>
      </c>
      <c r="D48">
        <v>142</v>
      </c>
      <c r="E48">
        <v>5</v>
      </c>
    </row>
    <row r="49" spans="1:5" x14ac:dyDescent="0.2">
      <c r="A49" t="s">
        <v>49</v>
      </c>
      <c r="B49">
        <v>148119</v>
      </c>
      <c r="C49">
        <v>15376</v>
      </c>
      <c r="D49">
        <v>423</v>
      </c>
      <c r="E49">
        <v>31</v>
      </c>
    </row>
    <row r="50" spans="1:5" x14ac:dyDescent="0.2">
      <c r="A50" t="s">
        <v>50</v>
      </c>
      <c r="B50">
        <v>22460</v>
      </c>
      <c r="C50">
        <v>3402</v>
      </c>
      <c r="D50">
        <v>153</v>
      </c>
      <c r="E50">
        <v>1</v>
      </c>
    </row>
    <row r="51" spans="1:5" x14ac:dyDescent="0.2">
      <c r="A51" t="s">
        <v>51</v>
      </c>
      <c r="B51">
        <v>11886</v>
      </c>
      <c r="C51">
        <v>1193</v>
      </c>
      <c r="D51">
        <v>67</v>
      </c>
      <c r="E51">
        <v>1</v>
      </c>
    </row>
    <row r="52" spans="1:5" x14ac:dyDescent="0.2">
      <c r="A52" t="s">
        <v>52</v>
      </c>
      <c r="B52">
        <v>15780</v>
      </c>
      <c r="C52">
        <v>1042</v>
      </c>
      <c r="D52">
        <v>49</v>
      </c>
      <c r="E52">
        <v>9</v>
      </c>
    </row>
    <row r="53" spans="1:5" x14ac:dyDescent="0.2">
      <c r="A53" t="s">
        <v>53</v>
      </c>
      <c r="B53">
        <v>7576</v>
      </c>
      <c r="C53">
        <v>882</v>
      </c>
      <c r="D53">
        <v>40</v>
      </c>
      <c r="E53">
        <v>15</v>
      </c>
    </row>
    <row r="54" spans="1:5" x14ac:dyDescent="0.2">
      <c r="A54" t="s">
        <v>54</v>
      </c>
      <c r="B54">
        <v>10167</v>
      </c>
      <c r="C54">
        <v>1549</v>
      </c>
      <c r="D54">
        <v>217</v>
      </c>
      <c r="E54">
        <v>0</v>
      </c>
    </row>
    <row r="55" spans="1:5" x14ac:dyDescent="0.2">
      <c r="A55" t="s">
        <v>55</v>
      </c>
      <c r="B55">
        <v>16537</v>
      </c>
      <c r="C55">
        <v>2672</v>
      </c>
      <c r="D55">
        <v>284</v>
      </c>
      <c r="E55">
        <v>0</v>
      </c>
    </row>
    <row r="56" spans="1:5" x14ac:dyDescent="0.2">
      <c r="A56" t="s">
        <v>56</v>
      </c>
      <c r="B56">
        <v>31332</v>
      </c>
      <c r="C56">
        <v>2593</v>
      </c>
      <c r="D56">
        <v>97</v>
      </c>
      <c r="E56">
        <v>4</v>
      </c>
    </row>
    <row r="57" spans="1:5" x14ac:dyDescent="0.2">
      <c r="A57" t="s">
        <v>57</v>
      </c>
      <c r="B57">
        <v>18053</v>
      </c>
      <c r="C57">
        <v>1548</v>
      </c>
      <c r="D57">
        <v>129</v>
      </c>
      <c r="E57">
        <v>0</v>
      </c>
    </row>
    <row r="58" spans="1:5" x14ac:dyDescent="0.2">
      <c r="A58" t="s">
        <v>58</v>
      </c>
      <c r="B58">
        <v>20478</v>
      </c>
      <c r="C58">
        <v>2689</v>
      </c>
      <c r="D58">
        <v>122</v>
      </c>
      <c r="E58">
        <v>1</v>
      </c>
    </row>
    <row r="59" spans="1:5" x14ac:dyDescent="0.2">
      <c r="A59" t="s">
        <v>59</v>
      </c>
      <c r="B59">
        <v>12459</v>
      </c>
      <c r="C59">
        <v>1689</v>
      </c>
      <c r="D59">
        <v>87</v>
      </c>
      <c r="E59">
        <v>0</v>
      </c>
    </row>
    <row r="60" spans="1:5" x14ac:dyDescent="0.2">
      <c r="A60" t="s">
        <v>60</v>
      </c>
      <c r="B60">
        <v>14009</v>
      </c>
      <c r="C60">
        <v>1211</v>
      </c>
      <c r="D60">
        <v>156</v>
      </c>
      <c r="E60">
        <v>2</v>
      </c>
    </row>
    <row r="61" spans="1:5" x14ac:dyDescent="0.2">
      <c r="A61" t="s">
        <v>61</v>
      </c>
      <c r="B61">
        <v>17307</v>
      </c>
      <c r="C61">
        <v>2612</v>
      </c>
      <c r="D61">
        <v>233</v>
      </c>
      <c r="E61">
        <v>127</v>
      </c>
    </row>
    <row r="62" spans="1:5" x14ac:dyDescent="0.2">
      <c r="A62" t="s">
        <v>62</v>
      </c>
      <c r="B62">
        <v>10509</v>
      </c>
      <c r="C62">
        <v>1536</v>
      </c>
      <c r="D62">
        <v>58</v>
      </c>
      <c r="E62">
        <v>10</v>
      </c>
    </row>
    <row r="63" spans="1:5" x14ac:dyDescent="0.2">
      <c r="A63" t="s">
        <v>63</v>
      </c>
      <c r="B63">
        <v>34212</v>
      </c>
      <c r="C63">
        <v>2529</v>
      </c>
      <c r="D63">
        <v>106</v>
      </c>
      <c r="E63">
        <v>1</v>
      </c>
    </row>
    <row r="64" spans="1:5" x14ac:dyDescent="0.2">
      <c r="A64" t="s">
        <v>64</v>
      </c>
      <c r="B64">
        <v>17766</v>
      </c>
      <c r="C64">
        <v>2854</v>
      </c>
      <c r="D64">
        <v>220</v>
      </c>
      <c r="E64">
        <v>20</v>
      </c>
    </row>
    <row r="65" spans="1:5" x14ac:dyDescent="0.2">
      <c r="A65" t="s">
        <v>65</v>
      </c>
      <c r="B65">
        <v>47012</v>
      </c>
      <c r="C65">
        <v>3583</v>
      </c>
      <c r="D65">
        <v>171</v>
      </c>
      <c r="E65">
        <v>748</v>
      </c>
    </row>
    <row r="66" spans="1:5" x14ac:dyDescent="0.2">
      <c r="A66" t="s">
        <v>66</v>
      </c>
      <c r="B66">
        <v>10737</v>
      </c>
      <c r="C66">
        <v>951</v>
      </c>
      <c r="D66">
        <v>73</v>
      </c>
      <c r="E66">
        <v>43</v>
      </c>
    </row>
    <row r="67" spans="1:5" x14ac:dyDescent="0.2">
      <c r="A67" t="s">
        <v>67</v>
      </c>
      <c r="B67">
        <v>44840</v>
      </c>
      <c r="C67">
        <v>4588</v>
      </c>
      <c r="D67">
        <v>275</v>
      </c>
      <c r="E67">
        <v>5</v>
      </c>
    </row>
    <row r="68" spans="1:5" x14ac:dyDescent="0.2">
      <c r="A68" t="s">
        <v>68</v>
      </c>
      <c r="B68">
        <v>15457</v>
      </c>
      <c r="C68">
        <v>2617</v>
      </c>
      <c r="D68">
        <v>197</v>
      </c>
      <c r="E68">
        <v>24</v>
      </c>
    </row>
    <row r="69" spans="1:5" x14ac:dyDescent="0.2">
      <c r="A69" t="s">
        <v>69</v>
      </c>
      <c r="B69">
        <v>6066</v>
      </c>
      <c r="C69">
        <v>416</v>
      </c>
      <c r="D69">
        <v>28</v>
      </c>
      <c r="E69">
        <v>1</v>
      </c>
    </row>
    <row r="70" spans="1:5" x14ac:dyDescent="0.2">
      <c r="A70" t="s">
        <v>70</v>
      </c>
      <c r="B70">
        <v>32465</v>
      </c>
      <c r="C70">
        <v>3560</v>
      </c>
      <c r="D70">
        <v>182</v>
      </c>
      <c r="E70">
        <v>6</v>
      </c>
    </row>
    <row r="71" spans="1:5" x14ac:dyDescent="0.2">
      <c r="A71" t="s">
        <v>71</v>
      </c>
      <c r="B71">
        <v>14868</v>
      </c>
      <c r="C71">
        <v>1331</v>
      </c>
      <c r="D71">
        <v>125</v>
      </c>
      <c r="E71">
        <v>25</v>
      </c>
    </row>
    <row r="72" spans="1:5" x14ac:dyDescent="0.2">
      <c r="A72" t="s">
        <v>72</v>
      </c>
      <c r="B72">
        <v>60837</v>
      </c>
      <c r="C72">
        <v>6809</v>
      </c>
      <c r="D72">
        <v>296</v>
      </c>
      <c r="E72">
        <v>18</v>
      </c>
    </row>
    <row r="73" spans="1:5" x14ac:dyDescent="0.2">
      <c r="A73" t="s">
        <v>73</v>
      </c>
      <c r="B73">
        <v>10583</v>
      </c>
      <c r="C73">
        <v>1571</v>
      </c>
      <c r="D73">
        <v>101</v>
      </c>
      <c r="E73">
        <v>4</v>
      </c>
    </row>
    <row r="74" spans="1:5" x14ac:dyDescent="0.2">
      <c r="A74" t="s">
        <v>74</v>
      </c>
      <c r="B74">
        <v>15610</v>
      </c>
      <c r="C74">
        <v>2006</v>
      </c>
      <c r="D74">
        <v>84</v>
      </c>
      <c r="E74">
        <v>7</v>
      </c>
    </row>
    <row r="75" spans="1:5" x14ac:dyDescent="0.2">
      <c r="A75" t="s">
        <v>75</v>
      </c>
      <c r="B75">
        <v>22910</v>
      </c>
      <c r="C75">
        <v>2593</v>
      </c>
      <c r="D75">
        <v>154</v>
      </c>
      <c r="E75">
        <v>11</v>
      </c>
    </row>
    <row r="76" spans="1:5" x14ac:dyDescent="0.2">
      <c r="A76" t="s">
        <v>76</v>
      </c>
      <c r="B76">
        <v>10649</v>
      </c>
      <c r="C76">
        <v>1322</v>
      </c>
      <c r="D76">
        <v>99</v>
      </c>
      <c r="E76">
        <v>2</v>
      </c>
    </row>
    <row r="77" spans="1:5" x14ac:dyDescent="0.2">
      <c r="A77" t="s">
        <v>77</v>
      </c>
      <c r="B77">
        <v>13492</v>
      </c>
      <c r="C77">
        <v>1113</v>
      </c>
      <c r="D77">
        <v>159</v>
      </c>
      <c r="E77">
        <v>0</v>
      </c>
    </row>
    <row r="78" spans="1:5" x14ac:dyDescent="0.2">
      <c r="A78" t="s">
        <v>78</v>
      </c>
      <c r="B78">
        <v>19395</v>
      </c>
      <c r="C78">
        <v>1969</v>
      </c>
      <c r="D78">
        <v>138</v>
      </c>
      <c r="E78">
        <v>16</v>
      </c>
    </row>
    <row r="79" spans="1:5" x14ac:dyDescent="0.2">
      <c r="A79" t="s">
        <v>79</v>
      </c>
      <c r="B79">
        <v>15856</v>
      </c>
      <c r="C79">
        <v>2973</v>
      </c>
      <c r="D79">
        <v>118</v>
      </c>
      <c r="E79">
        <v>21</v>
      </c>
    </row>
    <row r="80" spans="1:5" x14ac:dyDescent="0.2">
      <c r="A80" t="s">
        <v>80</v>
      </c>
      <c r="B80">
        <v>61460</v>
      </c>
      <c r="C80">
        <v>8561</v>
      </c>
      <c r="D80">
        <v>849</v>
      </c>
      <c r="E80">
        <v>22</v>
      </c>
    </row>
    <row r="81" spans="1:5" x14ac:dyDescent="0.2">
      <c r="A81" t="s">
        <v>81</v>
      </c>
      <c r="B81">
        <v>5335</v>
      </c>
      <c r="C81">
        <v>742</v>
      </c>
      <c r="D81">
        <v>46</v>
      </c>
      <c r="E81">
        <v>0</v>
      </c>
    </row>
    <row r="82" spans="1:5" x14ac:dyDescent="0.2">
      <c r="A82" t="s">
        <v>82</v>
      </c>
      <c r="B82">
        <v>24198</v>
      </c>
      <c r="C82">
        <v>2504</v>
      </c>
      <c r="D82">
        <v>77</v>
      </c>
      <c r="E82">
        <v>1</v>
      </c>
    </row>
    <row r="83" spans="1:5" x14ac:dyDescent="0.2">
      <c r="A83" t="s">
        <v>83</v>
      </c>
      <c r="B83">
        <v>11707</v>
      </c>
      <c r="C83">
        <v>1709</v>
      </c>
      <c r="D83">
        <v>114</v>
      </c>
      <c r="E83">
        <v>1</v>
      </c>
    </row>
    <row r="84" spans="1:5" x14ac:dyDescent="0.2">
      <c r="A84" t="s">
        <v>84</v>
      </c>
      <c r="B84">
        <v>15129</v>
      </c>
      <c r="C84">
        <v>1386</v>
      </c>
      <c r="D84">
        <v>130</v>
      </c>
      <c r="E84">
        <v>2</v>
      </c>
    </row>
    <row r="85" spans="1:5" x14ac:dyDescent="0.2">
      <c r="A85" t="s">
        <v>85</v>
      </c>
      <c r="B85">
        <v>104234</v>
      </c>
      <c r="C85">
        <v>8986</v>
      </c>
      <c r="D85">
        <v>1533</v>
      </c>
      <c r="E85">
        <v>22</v>
      </c>
    </row>
    <row r="86" spans="1:5" x14ac:dyDescent="0.2">
      <c r="A86" t="s">
        <v>86</v>
      </c>
      <c r="B86">
        <v>12668</v>
      </c>
      <c r="C86">
        <v>1579</v>
      </c>
      <c r="D86">
        <v>74</v>
      </c>
      <c r="E86">
        <v>0</v>
      </c>
    </row>
    <row r="87" spans="1:5" x14ac:dyDescent="0.2">
      <c r="A87" t="s">
        <v>87</v>
      </c>
      <c r="B87">
        <v>58987</v>
      </c>
      <c r="C87">
        <v>6749</v>
      </c>
      <c r="D87">
        <v>397</v>
      </c>
      <c r="E87">
        <v>5</v>
      </c>
    </row>
    <row r="88" spans="1:5" x14ac:dyDescent="0.2">
      <c r="A88" t="s">
        <v>88</v>
      </c>
      <c r="B88">
        <v>8436</v>
      </c>
      <c r="C88">
        <v>908</v>
      </c>
      <c r="D88">
        <v>25</v>
      </c>
      <c r="E88">
        <v>0</v>
      </c>
    </row>
    <row r="89" spans="1:5" x14ac:dyDescent="0.2">
      <c r="A89" t="s">
        <v>89</v>
      </c>
      <c r="B89">
        <v>70551</v>
      </c>
      <c r="C89">
        <v>5791</v>
      </c>
      <c r="D89">
        <v>511</v>
      </c>
      <c r="E89">
        <v>2</v>
      </c>
    </row>
    <row r="90" spans="1:5" x14ac:dyDescent="0.2">
      <c r="A90" t="s">
        <v>90</v>
      </c>
      <c r="B90">
        <v>19091</v>
      </c>
      <c r="C90">
        <v>2358</v>
      </c>
      <c r="D90">
        <v>136</v>
      </c>
      <c r="E90">
        <v>0</v>
      </c>
    </row>
    <row r="91" spans="1:5" x14ac:dyDescent="0.2">
      <c r="A91" t="s">
        <v>91</v>
      </c>
      <c r="B91">
        <v>14211</v>
      </c>
      <c r="C91">
        <v>1596</v>
      </c>
      <c r="D91">
        <v>207</v>
      </c>
      <c r="E91">
        <v>5</v>
      </c>
    </row>
    <row r="92" spans="1:5" x14ac:dyDescent="0.2">
      <c r="A92" t="s">
        <v>92</v>
      </c>
      <c r="B92">
        <v>22913</v>
      </c>
      <c r="C92">
        <v>2084</v>
      </c>
      <c r="D92">
        <v>217</v>
      </c>
      <c r="E92">
        <v>4</v>
      </c>
    </row>
    <row r="93" spans="1:5" x14ac:dyDescent="0.2">
      <c r="A93" t="s">
        <v>93</v>
      </c>
      <c r="B93">
        <v>29481</v>
      </c>
      <c r="C93">
        <v>4399</v>
      </c>
      <c r="D93">
        <v>224</v>
      </c>
      <c r="E93">
        <v>23</v>
      </c>
    </row>
    <row r="94" spans="1:5" x14ac:dyDescent="0.2">
      <c r="A94" t="s">
        <v>94</v>
      </c>
      <c r="B94">
        <v>11974</v>
      </c>
      <c r="C94">
        <v>1245</v>
      </c>
      <c r="D94">
        <v>59</v>
      </c>
      <c r="E94">
        <v>4</v>
      </c>
    </row>
    <row r="95" spans="1:5" x14ac:dyDescent="0.2">
      <c r="A95" t="s">
        <v>95</v>
      </c>
      <c r="B95">
        <v>22240</v>
      </c>
      <c r="C95">
        <v>2380</v>
      </c>
      <c r="D95">
        <v>115</v>
      </c>
      <c r="E95">
        <v>7</v>
      </c>
    </row>
    <row r="96" spans="1:5" x14ac:dyDescent="0.2">
      <c r="A96" t="s">
        <v>96</v>
      </c>
      <c r="B96">
        <v>17310</v>
      </c>
      <c r="C96">
        <v>2712</v>
      </c>
      <c r="D96">
        <v>208</v>
      </c>
      <c r="E96">
        <v>4</v>
      </c>
    </row>
    <row r="97" spans="1:5" x14ac:dyDescent="0.2">
      <c r="A97" t="s">
        <v>97</v>
      </c>
      <c r="B97">
        <v>9799</v>
      </c>
      <c r="C97">
        <v>972</v>
      </c>
      <c r="D97">
        <v>117</v>
      </c>
      <c r="E97">
        <v>0</v>
      </c>
    </row>
    <row r="98" spans="1:5" x14ac:dyDescent="0.2">
      <c r="A98" t="s">
        <v>98</v>
      </c>
      <c r="B98">
        <v>14443</v>
      </c>
      <c r="C98">
        <v>1518</v>
      </c>
      <c r="D98">
        <v>98</v>
      </c>
      <c r="E98">
        <v>1</v>
      </c>
    </row>
    <row r="99" spans="1:5" x14ac:dyDescent="0.2">
      <c r="A99" t="s">
        <v>99</v>
      </c>
      <c r="B99">
        <v>28379</v>
      </c>
      <c r="C99">
        <v>3716</v>
      </c>
      <c r="D99">
        <v>197</v>
      </c>
      <c r="E99">
        <v>79</v>
      </c>
    </row>
    <row r="100" spans="1:5" x14ac:dyDescent="0.2">
      <c r="A100" t="s">
        <v>100</v>
      </c>
      <c r="B100">
        <v>21617</v>
      </c>
      <c r="C100">
        <v>2483</v>
      </c>
      <c r="D100">
        <v>130</v>
      </c>
      <c r="E100">
        <v>1</v>
      </c>
    </row>
    <row r="101" spans="1:5" x14ac:dyDescent="0.2">
      <c r="A101" t="s">
        <v>101</v>
      </c>
      <c r="B101">
        <v>12645</v>
      </c>
      <c r="C101">
        <v>1146</v>
      </c>
      <c r="D101">
        <v>85</v>
      </c>
      <c r="E101">
        <v>2</v>
      </c>
    </row>
    <row r="102" spans="1:5" x14ac:dyDescent="0.2">
      <c r="A102" t="s">
        <v>102</v>
      </c>
      <c r="B102">
        <v>29412</v>
      </c>
      <c r="C102">
        <v>1838</v>
      </c>
      <c r="D102">
        <v>47</v>
      </c>
      <c r="E102">
        <v>0</v>
      </c>
    </row>
    <row r="103" spans="1:5" x14ac:dyDescent="0.2">
      <c r="A103" t="s">
        <v>103</v>
      </c>
      <c r="B103">
        <v>17719</v>
      </c>
      <c r="C103">
        <v>1901</v>
      </c>
      <c r="D103">
        <v>97</v>
      </c>
      <c r="E103">
        <v>5</v>
      </c>
    </row>
    <row r="104" spans="1:5" x14ac:dyDescent="0.2">
      <c r="A104" t="s">
        <v>104</v>
      </c>
      <c r="B104">
        <v>29676</v>
      </c>
      <c r="C104">
        <v>2498</v>
      </c>
      <c r="D104">
        <v>94</v>
      </c>
      <c r="E104">
        <v>3</v>
      </c>
    </row>
    <row r="105" spans="1:5" x14ac:dyDescent="0.2">
      <c r="A105" t="s">
        <v>105</v>
      </c>
      <c r="B105">
        <v>203451</v>
      </c>
      <c r="C105">
        <v>20724</v>
      </c>
      <c r="D105">
        <v>486</v>
      </c>
      <c r="E105">
        <v>156</v>
      </c>
    </row>
    <row r="106" spans="1:5" x14ac:dyDescent="0.2">
      <c r="A106" t="s">
        <v>106</v>
      </c>
      <c r="B106">
        <v>97287</v>
      </c>
      <c r="C106">
        <v>11095</v>
      </c>
      <c r="D106">
        <v>412</v>
      </c>
      <c r="E106">
        <v>308</v>
      </c>
    </row>
    <row r="107" spans="1:5" x14ac:dyDescent="0.2">
      <c r="A107" t="s">
        <v>107</v>
      </c>
      <c r="B107">
        <v>8458</v>
      </c>
      <c r="C107">
        <v>750</v>
      </c>
      <c r="D107">
        <v>45</v>
      </c>
      <c r="E107">
        <v>2</v>
      </c>
    </row>
    <row r="108" spans="1:5" x14ac:dyDescent="0.2">
      <c r="A108" t="s">
        <v>108</v>
      </c>
      <c r="B108">
        <v>13663</v>
      </c>
      <c r="C108">
        <v>1631</v>
      </c>
      <c r="D108">
        <v>86</v>
      </c>
      <c r="E108">
        <v>0</v>
      </c>
    </row>
    <row r="109" spans="1:5" x14ac:dyDescent="0.2">
      <c r="A109" t="s">
        <v>109</v>
      </c>
      <c r="B109">
        <v>64102</v>
      </c>
      <c r="C109">
        <v>5030</v>
      </c>
      <c r="D109">
        <v>247</v>
      </c>
      <c r="E109">
        <v>95</v>
      </c>
    </row>
    <row r="110" spans="1:5" x14ac:dyDescent="0.2">
      <c r="A110" t="s">
        <v>110</v>
      </c>
      <c r="B110">
        <v>126589</v>
      </c>
      <c r="C110">
        <v>20457</v>
      </c>
      <c r="D110">
        <v>1098</v>
      </c>
      <c r="E110">
        <v>44</v>
      </c>
    </row>
    <row r="111" spans="1:5" x14ac:dyDescent="0.2">
      <c r="A111" t="s">
        <v>111</v>
      </c>
      <c r="B111">
        <v>17657</v>
      </c>
      <c r="C111">
        <v>1955</v>
      </c>
      <c r="D111">
        <v>135</v>
      </c>
      <c r="E111">
        <v>8</v>
      </c>
    </row>
    <row r="112" spans="1:5" x14ac:dyDescent="0.2">
      <c r="A112" t="s">
        <v>112</v>
      </c>
      <c r="B112">
        <v>34363</v>
      </c>
      <c r="C112">
        <v>4799</v>
      </c>
      <c r="D112">
        <v>339</v>
      </c>
      <c r="E112">
        <v>1</v>
      </c>
    </row>
    <row r="113" spans="1:5" x14ac:dyDescent="0.2">
      <c r="A113" t="s">
        <v>113</v>
      </c>
      <c r="B113">
        <v>23473</v>
      </c>
      <c r="C113">
        <v>2459</v>
      </c>
      <c r="D113">
        <v>124</v>
      </c>
      <c r="E113">
        <v>1</v>
      </c>
    </row>
    <row r="114" spans="1:5" x14ac:dyDescent="0.2">
      <c r="A114" t="s">
        <v>114</v>
      </c>
      <c r="B114">
        <v>8979</v>
      </c>
      <c r="C114">
        <v>1420</v>
      </c>
      <c r="D114">
        <v>115</v>
      </c>
      <c r="E114">
        <v>16</v>
      </c>
    </row>
    <row r="115" spans="1:5" x14ac:dyDescent="0.2">
      <c r="A115" t="s">
        <v>115</v>
      </c>
      <c r="B115">
        <v>7605</v>
      </c>
      <c r="C115">
        <v>962</v>
      </c>
      <c r="D115">
        <v>67</v>
      </c>
      <c r="E115">
        <v>3</v>
      </c>
    </row>
    <row r="116" spans="1:5" x14ac:dyDescent="0.2">
      <c r="A116" t="s">
        <v>116</v>
      </c>
      <c r="B116">
        <v>6399</v>
      </c>
      <c r="C116">
        <v>564</v>
      </c>
      <c r="D116">
        <v>30</v>
      </c>
      <c r="E116">
        <v>0</v>
      </c>
    </row>
    <row r="117" spans="1:5" x14ac:dyDescent="0.2">
      <c r="A117" t="s">
        <v>117</v>
      </c>
      <c r="B117">
        <v>19366</v>
      </c>
      <c r="C117">
        <v>1559</v>
      </c>
      <c r="D117">
        <v>49</v>
      </c>
      <c r="E117">
        <v>1</v>
      </c>
    </row>
    <row r="118" spans="1:5" x14ac:dyDescent="0.2">
      <c r="A118" t="s">
        <v>118</v>
      </c>
      <c r="B118">
        <v>13628</v>
      </c>
      <c r="C118">
        <v>523</v>
      </c>
      <c r="D118">
        <v>52</v>
      </c>
      <c r="E118">
        <v>0</v>
      </c>
    </row>
    <row r="119" spans="1:5" x14ac:dyDescent="0.2">
      <c r="A119" t="s">
        <v>119</v>
      </c>
      <c r="B119">
        <v>10621</v>
      </c>
      <c r="C119">
        <v>1204</v>
      </c>
      <c r="D119">
        <v>75</v>
      </c>
      <c r="E119">
        <v>4</v>
      </c>
    </row>
    <row r="120" spans="1:5" x14ac:dyDescent="0.2">
      <c r="A120" t="s">
        <v>120</v>
      </c>
      <c r="B120">
        <v>27468</v>
      </c>
      <c r="C120">
        <v>3258</v>
      </c>
      <c r="D120">
        <v>321</v>
      </c>
      <c r="E120">
        <v>1180</v>
      </c>
    </row>
    <row r="121" spans="1:5" x14ac:dyDescent="0.2">
      <c r="A121" t="s">
        <v>121</v>
      </c>
      <c r="B121">
        <v>45757</v>
      </c>
      <c r="C121">
        <v>3225</v>
      </c>
      <c r="D121">
        <v>248</v>
      </c>
      <c r="E121">
        <v>8</v>
      </c>
    </row>
    <row r="122" spans="1:5" x14ac:dyDescent="0.2">
      <c r="A122" t="s">
        <v>122</v>
      </c>
      <c r="B122">
        <v>9702</v>
      </c>
      <c r="C122">
        <v>1169</v>
      </c>
      <c r="D122">
        <v>58</v>
      </c>
      <c r="E122">
        <v>3</v>
      </c>
    </row>
    <row r="123" spans="1:5" x14ac:dyDescent="0.2">
      <c r="A123" t="s">
        <v>123</v>
      </c>
      <c r="B123">
        <v>12107</v>
      </c>
      <c r="C123">
        <v>881</v>
      </c>
      <c r="D123">
        <v>47</v>
      </c>
      <c r="E123">
        <v>1</v>
      </c>
    </row>
    <row r="124" spans="1:5" x14ac:dyDescent="0.2">
      <c r="A124" t="s">
        <v>124</v>
      </c>
      <c r="B124">
        <v>26441</v>
      </c>
      <c r="C124">
        <v>2107</v>
      </c>
      <c r="D124">
        <v>67</v>
      </c>
      <c r="E124">
        <v>10</v>
      </c>
    </row>
    <row r="125" spans="1:5" x14ac:dyDescent="0.2">
      <c r="A125" t="s">
        <v>125</v>
      </c>
      <c r="B125">
        <v>20609</v>
      </c>
      <c r="C125">
        <v>2174</v>
      </c>
      <c r="D125">
        <v>105</v>
      </c>
      <c r="E125">
        <v>8</v>
      </c>
    </row>
    <row r="126" spans="1:5" x14ac:dyDescent="0.2">
      <c r="A126" t="s">
        <v>126</v>
      </c>
      <c r="B126">
        <v>46215</v>
      </c>
      <c r="C126">
        <v>4308</v>
      </c>
      <c r="D126">
        <v>215</v>
      </c>
      <c r="E126">
        <v>13</v>
      </c>
    </row>
    <row r="127" spans="1:5" x14ac:dyDescent="0.2">
      <c r="A127" t="s">
        <v>127</v>
      </c>
      <c r="B127">
        <v>15048</v>
      </c>
      <c r="C127">
        <v>1047</v>
      </c>
      <c r="D127">
        <v>25</v>
      </c>
      <c r="E127">
        <v>0</v>
      </c>
    </row>
    <row r="128" spans="1:5" x14ac:dyDescent="0.2">
      <c r="A128" t="s">
        <v>128</v>
      </c>
      <c r="B128">
        <v>49781</v>
      </c>
      <c r="C128">
        <v>4390</v>
      </c>
      <c r="D128">
        <v>267</v>
      </c>
      <c r="E128">
        <v>9</v>
      </c>
    </row>
    <row r="129" spans="1:5" x14ac:dyDescent="0.2">
      <c r="A129" t="s">
        <v>129</v>
      </c>
      <c r="B129">
        <v>84703</v>
      </c>
      <c r="C129">
        <v>8574</v>
      </c>
      <c r="D129">
        <v>714</v>
      </c>
      <c r="E129">
        <v>7</v>
      </c>
    </row>
    <row r="130" spans="1:5" x14ac:dyDescent="0.2">
      <c r="A130" t="s">
        <v>130</v>
      </c>
      <c r="B130">
        <v>8904</v>
      </c>
      <c r="C130">
        <v>726</v>
      </c>
      <c r="D130">
        <v>43</v>
      </c>
      <c r="E130">
        <v>15</v>
      </c>
    </row>
    <row r="131" spans="1:5" x14ac:dyDescent="0.2">
      <c r="A131" t="s">
        <v>131</v>
      </c>
      <c r="B131">
        <v>25750</v>
      </c>
      <c r="C131">
        <v>2861</v>
      </c>
      <c r="D131">
        <v>175</v>
      </c>
      <c r="E131">
        <v>3</v>
      </c>
    </row>
    <row r="132" spans="1:5" x14ac:dyDescent="0.2">
      <c r="A132" t="s">
        <v>132</v>
      </c>
      <c r="B132">
        <v>11957</v>
      </c>
      <c r="C132">
        <v>1142</v>
      </c>
      <c r="D132">
        <v>102</v>
      </c>
      <c r="E132">
        <v>0</v>
      </c>
    </row>
    <row r="133" spans="1:5" x14ac:dyDescent="0.2">
      <c r="A133" t="s">
        <v>133</v>
      </c>
      <c r="B133">
        <v>9322</v>
      </c>
      <c r="C133">
        <v>1450</v>
      </c>
      <c r="D133">
        <v>129</v>
      </c>
      <c r="E133">
        <v>1</v>
      </c>
    </row>
    <row r="134" spans="1:5" x14ac:dyDescent="0.2">
      <c r="A134" t="s">
        <v>134</v>
      </c>
      <c r="B134">
        <v>41060</v>
      </c>
      <c r="C134">
        <v>3190</v>
      </c>
      <c r="D134">
        <v>107</v>
      </c>
      <c r="E134">
        <v>1414</v>
      </c>
    </row>
    <row r="135" spans="1:5" x14ac:dyDescent="0.2">
      <c r="A135" t="s">
        <v>135</v>
      </c>
      <c r="B135">
        <v>48613</v>
      </c>
      <c r="C135">
        <v>5521</v>
      </c>
      <c r="D135">
        <v>319</v>
      </c>
      <c r="E135">
        <v>22</v>
      </c>
    </row>
    <row r="136" spans="1:5" x14ac:dyDescent="0.2">
      <c r="A136" t="s">
        <v>136</v>
      </c>
      <c r="B136">
        <v>20660</v>
      </c>
      <c r="C136">
        <v>2569</v>
      </c>
      <c r="D136">
        <v>107</v>
      </c>
      <c r="E136">
        <v>18</v>
      </c>
    </row>
    <row r="137" spans="1:5" x14ac:dyDescent="0.2">
      <c r="A137" t="s">
        <v>137</v>
      </c>
      <c r="B137">
        <v>25586</v>
      </c>
      <c r="C137">
        <v>3350</v>
      </c>
      <c r="D137">
        <v>115</v>
      </c>
      <c r="E137">
        <v>8</v>
      </c>
    </row>
    <row r="138" spans="1:5" x14ac:dyDescent="0.2">
      <c r="A138" t="s">
        <v>138</v>
      </c>
      <c r="B138">
        <v>27912</v>
      </c>
      <c r="C138">
        <v>4574</v>
      </c>
      <c r="D138">
        <v>443</v>
      </c>
      <c r="E138">
        <v>21</v>
      </c>
    </row>
    <row r="139" spans="1:5" x14ac:dyDescent="0.2">
      <c r="A139" t="s">
        <v>139</v>
      </c>
      <c r="B139">
        <v>29044</v>
      </c>
      <c r="C139">
        <v>3998</v>
      </c>
      <c r="D139">
        <v>204</v>
      </c>
      <c r="E139">
        <v>28</v>
      </c>
    </row>
    <row r="140" spans="1:5" x14ac:dyDescent="0.2">
      <c r="A140" t="s">
        <v>140</v>
      </c>
      <c r="B140">
        <v>34648</v>
      </c>
      <c r="C140">
        <v>4814</v>
      </c>
      <c r="D140">
        <v>183</v>
      </c>
      <c r="E140">
        <v>0</v>
      </c>
    </row>
    <row r="141" spans="1:5" x14ac:dyDescent="0.2">
      <c r="A141" t="s">
        <v>141</v>
      </c>
      <c r="B141">
        <v>25862</v>
      </c>
      <c r="C141">
        <v>2943</v>
      </c>
      <c r="D141">
        <v>269</v>
      </c>
      <c r="E141">
        <v>24</v>
      </c>
    </row>
    <row r="142" spans="1:5" x14ac:dyDescent="0.2">
      <c r="A142" t="s">
        <v>142</v>
      </c>
      <c r="B142">
        <v>73318</v>
      </c>
      <c r="C142">
        <v>8749</v>
      </c>
      <c r="D142">
        <v>163</v>
      </c>
      <c r="E142">
        <v>1</v>
      </c>
    </row>
    <row r="143" spans="1:5" x14ac:dyDescent="0.2">
      <c r="A143" t="s">
        <v>143</v>
      </c>
      <c r="B143">
        <v>22066</v>
      </c>
      <c r="C143">
        <v>1553</v>
      </c>
      <c r="D143">
        <v>38</v>
      </c>
      <c r="E143">
        <v>0</v>
      </c>
    </row>
    <row r="144" spans="1:5" x14ac:dyDescent="0.2">
      <c r="A144" t="s">
        <v>144</v>
      </c>
      <c r="B144">
        <v>16652</v>
      </c>
      <c r="C144">
        <v>1539</v>
      </c>
      <c r="D144">
        <v>102</v>
      </c>
      <c r="E144">
        <v>1</v>
      </c>
    </row>
    <row r="145" spans="1:5" x14ac:dyDescent="0.2">
      <c r="A145" t="s">
        <v>145</v>
      </c>
      <c r="B145">
        <v>15587</v>
      </c>
      <c r="C145">
        <v>1335</v>
      </c>
      <c r="D145">
        <v>67</v>
      </c>
      <c r="E145">
        <v>0</v>
      </c>
    </row>
    <row r="146" spans="1:5" x14ac:dyDescent="0.2">
      <c r="A146" t="s">
        <v>146</v>
      </c>
      <c r="B146">
        <v>15061</v>
      </c>
      <c r="C146">
        <v>1888</v>
      </c>
      <c r="D146">
        <v>183</v>
      </c>
      <c r="E146">
        <v>0</v>
      </c>
    </row>
    <row r="147" spans="1:5" x14ac:dyDescent="0.2">
      <c r="A147" t="s">
        <v>147</v>
      </c>
      <c r="B147">
        <v>24565</v>
      </c>
      <c r="C147">
        <v>3209</v>
      </c>
      <c r="D147">
        <v>195</v>
      </c>
      <c r="E147">
        <v>0</v>
      </c>
    </row>
    <row r="148" spans="1:5" x14ac:dyDescent="0.2">
      <c r="A148" t="s">
        <v>148</v>
      </c>
      <c r="B148">
        <v>7227</v>
      </c>
      <c r="C148">
        <v>909</v>
      </c>
      <c r="D148">
        <v>39</v>
      </c>
      <c r="E148">
        <v>30</v>
      </c>
    </row>
    <row r="149" spans="1:5" x14ac:dyDescent="0.2">
      <c r="A149" t="s">
        <v>149</v>
      </c>
      <c r="B149">
        <v>27215</v>
      </c>
      <c r="C149">
        <v>3027</v>
      </c>
      <c r="D149">
        <v>486</v>
      </c>
      <c r="E149">
        <v>19</v>
      </c>
    </row>
    <row r="150" spans="1:5" x14ac:dyDescent="0.2">
      <c r="A150" t="s">
        <v>150</v>
      </c>
      <c r="B150">
        <v>24608</v>
      </c>
      <c r="C150">
        <v>1711</v>
      </c>
      <c r="D150">
        <v>104</v>
      </c>
      <c r="E150">
        <v>21</v>
      </c>
    </row>
    <row r="151" spans="1:5" x14ac:dyDescent="0.2">
      <c r="A151" t="s">
        <v>151</v>
      </c>
      <c r="B151">
        <v>12898</v>
      </c>
      <c r="C151">
        <v>2220</v>
      </c>
      <c r="D151">
        <v>168</v>
      </c>
      <c r="E151">
        <v>3</v>
      </c>
    </row>
    <row r="152" spans="1:5" x14ac:dyDescent="0.2">
      <c r="A152" t="s">
        <v>152</v>
      </c>
      <c r="B152">
        <v>13987</v>
      </c>
      <c r="C152">
        <v>1029</v>
      </c>
      <c r="D152">
        <v>98</v>
      </c>
      <c r="E152">
        <v>0</v>
      </c>
    </row>
    <row r="153" spans="1:5" x14ac:dyDescent="0.2">
      <c r="A153" t="s">
        <v>153</v>
      </c>
      <c r="B153">
        <v>28953</v>
      </c>
      <c r="C153">
        <v>4194</v>
      </c>
      <c r="D153">
        <v>288</v>
      </c>
      <c r="E153">
        <v>0</v>
      </c>
    </row>
    <row r="154" spans="1:5" x14ac:dyDescent="0.2">
      <c r="A154" t="s">
        <v>154</v>
      </c>
      <c r="B154">
        <v>12970</v>
      </c>
      <c r="C154">
        <v>1703</v>
      </c>
      <c r="D154">
        <v>168</v>
      </c>
      <c r="E154">
        <v>0</v>
      </c>
    </row>
    <row r="155" spans="1:5" x14ac:dyDescent="0.2">
      <c r="A155" t="s">
        <v>155</v>
      </c>
      <c r="B155">
        <v>52033</v>
      </c>
      <c r="C155">
        <v>5881</v>
      </c>
      <c r="D155">
        <v>614</v>
      </c>
      <c r="E155">
        <v>13</v>
      </c>
    </row>
    <row r="156" spans="1:5" x14ac:dyDescent="0.2">
      <c r="A156" t="s">
        <v>156</v>
      </c>
      <c r="B156">
        <v>21428</v>
      </c>
      <c r="C156">
        <v>1438</v>
      </c>
      <c r="D156">
        <v>93</v>
      </c>
      <c r="E156">
        <v>0</v>
      </c>
    </row>
    <row r="157" spans="1:5" x14ac:dyDescent="0.2">
      <c r="A157" t="s">
        <v>157</v>
      </c>
      <c r="B157">
        <v>5678</v>
      </c>
      <c r="C157">
        <v>539</v>
      </c>
      <c r="D157">
        <v>13</v>
      </c>
      <c r="E157">
        <v>1</v>
      </c>
    </row>
    <row r="158" spans="1:5" x14ac:dyDescent="0.2">
      <c r="A158" t="s">
        <v>158</v>
      </c>
      <c r="B158">
        <v>32099</v>
      </c>
      <c r="C158">
        <v>3557</v>
      </c>
      <c r="D158">
        <v>340</v>
      </c>
      <c r="E158">
        <v>6</v>
      </c>
    </row>
    <row r="159" spans="1:5" x14ac:dyDescent="0.2">
      <c r="A159" t="s">
        <v>159</v>
      </c>
      <c r="B159">
        <v>6932</v>
      </c>
      <c r="C159">
        <v>396</v>
      </c>
      <c r="D159">
        <v>12</v>
      </c>
      <c r="E159">
        <v>0</v>
      </c>
    </row>
    <row r="160" spans="1:5" x14ac:dyDescent="0.2">
      <c r="A160" t="s">
        <v>160</v>
      </c>
      <c r="B160">
        <v>57846</v>
      </c>
      <c r="C160">
        <v>6119</v>
      </c>
      <c r="D160">
        <v>410</v>
      </c>
      <c r="E160">
        <v>9</v>
      </c>
    </row>
    <row r="161" spans="1:5" x14ac:dyDescent="0.2">
      <c r="A161" t="s">
        <v>161</v>
      </c>
      <c r="B161">
        <v>40657</v>
      </c>
      <c r="C161">
        <v>3195</v>
      </c>
      <c r="D161">
        <v>129</v>
      </c>
      <c r="E161">
        <v>0</v>
      </c>
    </row>
    <row r="162" spans="1:5" x14ac:dyDescent="0.2">
      <c r="A162" t="s">
        <v>162</v>
      </c>
      <c r="B162">
        <v>13131</v>
      </c>
      <c r="C162">
        <v>1100</v>
      </c>
      <c r="D162">
        <v>26</v>
      </c>
      <c r="E162">
        <v>0</v>
      </c>
    </row>
    <row r="163" spans="1:5" x14ac:dyDescent="0.2">
      <c r="A163" t="s">
        <v>163</v>
      </c>
      <c r="B163">
        <v>36033</v>
      </c>
      <c r="C163">
        <v>3136</v>
      </c>
      <c r="D163">
        <v>90</v>
      </c>
      <c r="E163">
        <v>1</v>
      </c>
    </row>
    <row r="164" spans="1:5" x14ac:dyDescent="0.2">
      <c r="A164" t="s">
        <v>164</v>
      </c>
      <c r="B164">
        <v>37988</v>
      </c>
      <c r="C164">
        <v>3330</v>
      </c>
      <c r="D164">
        <v>84</v>
      </c>
      <c r="E164">
        <v>10</v>
      </c>
    </row>
    <row r="165" spans="1:5" x14ac:dyDescent="0.2">
      <c r="A165" t="s">
        <v>165</v>
      </c>
      <c r="B165">
        <v>21858</v>
      </c>
      <c r="C165">
        <v>2638</v>
      </c>
      <c r="D165">
        <v>237</v>
      </c>
      <c r="E165">
        <v>26</v>
      </c>
    </row>
    <row r="166" spans="1:5" x14ac:dyDescent="0.2">
      <c r="A166" t="s">
        <v>166</v>
      </c>
      <c r="B166">
        <v>16235</v>
      </c>
      <c r="C166">
        <v>1167</v>
      </c>
      <c r="D166">
        <v>34</v>
      </c>
      <c r="E166">
        <v>0</v>
      </c>
    </row>
    <row r="167" spans="1:5" x14ac:dyDescent="0.2">
      <c r="A167" t="s">
        <v>167</v>
      </c>
      <c r="B167">
        <v>24972</v>
      </c>
      <c r="C167">
        <v>2217</v>
      </c>
      <c r="D167">
        <v>203</v>
      </c>
      <c r="E167">
        <v>0</v>
      </c>
    </row>
    <row r="168" spans="1:5" x14ac:dyDescent="0.2">
      <c r="A168" t="s">
        <v>168</v>
      </c>
      <c r="B168">
        <v>12078</v>
      </c>
      <c r="C168">
        <v>1221</v>
      </c>
      <c r="D168">
        <v>83</v>
      </c>
      <c r="E168">
        <v>0</v>
      </c>
    </row>
    <row r="169" spans="1:5" x14ac:dyDescent="0.2">
      <c r="A169" t="s">
        <v>169</v>
      </c>
      <c r="B169">
        <v>20069</v>
      </c>
      <c r="C169">
        <v>1858</v>
      </c>
      <c r="D169">
        <v>110</v>
      </c>
      <c r="E169">
        <v>0</v>
      </c>
    </row>
    <row r="170" spans="1:5" x14ac:dyDescent="0.2">
      <c r="A170" t="s">
        <v>170</v>
      </c>
      <c r="B170">
        <v>13392</v>
      </c>
      <c r="C170">
        <v>1388</v>
      </c>
      <c r="D170">
        <v>73</v>
      </c>
      <c r="E170">
        <v>1</v>
      </c>
    </row>
    <row r="171" spans="1:5" x14ac:dyDescent="0.2">
      <c r="A171" t="s">
        <v>171</v>
      </c>
      <c r="B171">
        <v>7931</v>
      </c>
      <c r="C171">
        <v>1637</v>
      </c>
      <c r="D171">
        <v>169</v>
      </c>
      <c r="E171">
        <v>1</v>
      </c>
    </row>
    <row r="172" spans="1:5" x14ac:dyDescent="0.2">
      <c r="A172" t="s">
        <v>172</v>
      </c>
      <c r="B172">
        <v>12734</v>
      </c>
      <c r="C172">
        <v>1134</v>
      </c>
      <c r="D172">
        <v>48</v>
      </c>
      <c r="E172">
        <v>7</v>
      </c>
    </row>
    <row r="173" spans="1:5" x14ac:dyDescent="0.2">
      <c r="A173" t="s">
        <v>173</v>
      </c>
      <c r="B173">
        <v>15021</v>
      </c>
      <c r="C173">
        <v>2622</v>
      </c>
      <c r="D173">
        <v>239</v>
      </c>
      <c r="E173">
        <v>81</v>
      </c>
    </row>
    <row r="174" spans="1:5" x14ac:dyDescent="0.2">
      <c r="A174" t="s">
        <v>174</v>
      </c>
      <c r="B174">
        <v>14577</v>
      </c>
      <c r="C174">
        <v>1472</v>
      </c>
      <c r="D174">
        <v>110</v>
      </c>
      <c r="E174">
        <v>5</v>
      </c>
    </row>
    <row r="175" spans="1:5" x14ac:dyDescent="0.2">
      <c r="A175" t="s">
        <v>175</v>
      </c>
      <c r="B175">
        <v>35218</v>
      </c>
      <c r="C175">
        <v>5610</v>
      </c>
      <c r="D175">
        <v>502</v>
      </c>
      <c r="E175">
        <v>9</v>
      </c>
    </row>
    <row r="176" spans="1:5" x14ac:dyDescent="0.2">
      <c r="A176" t="s">
        <v>176</v>
      </c>
      <c r="B176">
        <v>15676</v>
      </c>
      <c r="C176">
        <v>1053</v>
      </c>
      <c r="D176">
        <v>39</v>
      </c>
      <c r="E176">
        <v>9</v>
      </c>
    </row>
    <row r="177" spans="1:5" x14ac:dyDescent="0.2">
      <c r="A177" t="s">
        <v>177</v>
      </c>
      <c r="B177">
        <v>46846</v>
      </c>
      <c r="C177">
        <v>3355</v>
      </c>
      <c r="D177">
        <v>222</v>
      </c>
      <c r="E177">
        <v>10</v>
      </c>
    </row>
    <row r="178" spans="1:5" x14ac:dyDescent="0.2">
      <c r="A178" t="s">
        <v>178</v>
      </c>
      <c r="B178">
        <v>24869</v>
      </c>
      <c r="C178">
        <v>3894</v>
      </c>
      <c r="D178">
        <v>503</v>
      </c>
      <c r="E178">
        <v>5</v>
      </c>
    </row>
    <row r="179" spans="1:5" x14ac:dyDescent="0.2">
      <c r="A179" t="s">
        <v>179</v>
      </c>
      <c r="B179">
        <v>10761</v>
      </c>
      <c r="C179">
        <v>1225</v>
      </c>
      <c r="D179">
        <v>141</v>
      </c>
      <c r="E179">
        <v>1</v>
      </c>
    </row>
    <row r="180" spans="1:5" x14ac:dyDescent="0.2">
      <c r="A180" t="s">
        <v>180</v>
      </c>
      <c r="B180">
        <v>47192</v>
      </c>
      <c r="C180">
        <v>7310</v>
      </c>
      <c r="D180">
        <v>557</v>
      </c>
      <c r="E180">
        <v>33</v>
      </c>
    </row>
    <row r="181" spans="1:5" x14ac:dyDescent="0.2">
      <c r="A181" t="s">
        <v>181</v>
      </c>
      <c r="B181">
        <v>17758</v>
      </c>
      <c r="C181">
        <v>1684</v>
      </c>
      <c r="D181">
        <v>116</v>
      </c>
      <c r="E181">
        <v>7</v>
      </c>
    </row>
    <row r="182" spans="1:5" x14ac:dyDescent="0.2">
      <c r="A182" t="s">
        <v>182</v>
      </c>
      <c r="B182">
        <v>23385</v>
      </c>
      <c r="C182">
        <v>2085</v>
      </c>
      <c r="D182">
        <v>156</v>
      </c>
      <c r="E182">
        <v>4</v>
      </c>
    </row>
    <row r="183" spans="1:5" x14ac:dyDescent="0.2">
      <c r="A183" t="s">
        <v>183</v>
      </c>
      <c r="B183">
        <v>9567</v>
      </c>
      <c r="C183">
        <v>1383</v>
      </c>
      <c r="D183">
        <v>137</v>
      </c>
      <c r="E183">
        <v>2</v>
      </c>
    </row>
    <row r="184" spans="1:5" x14ac:dyDescent="0.2">
      <c r="A184" t="s">
        <v>184</v>
      </c>
      <c r="B184">
        <v>19624</v>
      </c>
      <c r="C184">
        <v>3024</v>
      </c>
      <c r="D184">
        <v>119</v>
      </c>
      <c r="E184">
        <v>4</v>
      </c>
    </row>
    <row r="185" spans="1:5" x14ac:dyDescent="0.2">
      <c r="A185" t="s">
        <v>185</v>
      </c>
      <c r="B185">
        <v>34106</v>
      </c>
      <c r="C185">
        <v>3649</v>
      </c>
      <c r="D185">
        <v>238</v>
      </c>
      <c r="E185">
        <v>18</v>
      </c>
    </row>
    <row r="186" spans="1:5" x14ac:dyDescent="0.2">
      <c r="A186" t="s">
        <v>186</v>
      </c>
      <c r="B186">
        <v>22291</v>
      </c>
      <c r="C186">
        <v>2954</v>
      </c>
      <c r="D186">
        <v>267</v>
      </c>
      <c r="E186">
        <v>39</v>
      </c>
    </row>
    <row r="187" spans="1:5" x14ac:dyDescent="0.2">
      <c r="A187" t="s">
        <v>187</v>
      </c>
      <c r="B187">
        <v>24092</v>
      </c>
      <c r="C187">
        <v>4031</v>
      </c>
      <c r="D187">
        <v>358</v>
      </c>
      <c r="E187">
        <v>12</v>
      </c>
    </row>
    <row r="188" spans="1:5" x14ac:dyDescent="0.2">
      <c r="A188" t="s">
        <v>188</v>
      </c>
      <c r="B188">
        <v>20732</v>
      </c>
      <c r="C188">
        <v>2283</v>
      </c>
      <c r="D188">
        <v>220</v>
      </c>
      <c r="E188">
        <v>10</v>
      </c>
    </row>
    <row r="189" spans="1:5" x14ac:dyDescent="0.2">
      <c r="A189" t="s">
        <v>189</v>
      </c>
      <c r="B189">
        <v>7153</v>
      </c>
      <c r="C189">
        <v>1193</v>
      </c>
      <c r="D189">
        <v>116</v>
      </c>
      <c r="E189">
        <v>0</v>
      </c>
    </row>
    <row r="190" spans="1:5" x14ac:dyDescent="0.2">
      <c r="A190" t="s">
        <v>190</v>
      </c>
      <c r="B190">
        <v>4799</v>
      </c>
      <c r="C190">
        <v>451</v>
      </c>
      <c r="D190">
        <v>18</v>
      </c>
      <c r="E190">
        <v>1</v>
      </c>
    </row>
    <row r="191" spans="1:5" x14ac:dyDescent="0.2">
      <c r="A191" t="s">
        <v>191</v>
      </c>
      <c r="B191">
        <v>13251</v>
      </c>
      <c r="C191">
        <v>2574</v>
      </c>
      <c r="D191">
        <v>225</v>
      </c>
      <c r="E191">
        <v>11</v>
      </c>
    </row>
    <row r="192" spans="1:5" x14ac:dyDescent="0.2">
      <c r="A192" t="s">
        <v>192</v>
      </c>
      <c r="B192">
        <v>10579</v>
      </c>
      <c r="C192">
        <v>1506</v>
      </c>
      <c r="D192">
        <v>105</v>
      </c>
      <c r="E192">
        <v>2</v>
      </c>
    </row>
    <row r="193" spans="1:5" x14ac:dyDescent="0.2">
      <c r="A193" t="s">
        <v>193</v>
      </c>
      <c r="B193">
        <v>32187</v>
      </c>
      <c r="C193">
        <v>3041</v>
      </c>
      <c r="D193">
        <v>134</v>
      </c>
      <c r="E193">
        <v>13</v>
      </c>
    </row>
    <row r="194" spans="1:5" x14ac:dyDescent="0.2">
      <c r="A194" t="s">
        <v>194</v>
      </c>
      <c r="B194">
        <v>16113</v>
      </c>
      <c r="C194">
        <v>2398</v>
      </c>
      <c r="D194">
        <v>264</v>
      </c>
      <c r="E194">
        <v>19</v>
      </c>
    </row>
    <row r="195" spans="1:5" x14ac:dyDescent="0.2">
      <c r="A195" t="s">
        <v>195</v>
      </c>
      <c r="B195">
        <v>22898</v>
      </c>
      <c r="C195">
        <v>3114</v>
      </c>
      <c r="D195">
        <v>326</v>
      </c>
      <c r="E195">
        <v>1</v>
      </c>
    </row>
    <row r="196" spans="1:5" x14ac:dyDescent="0.2">
      <c r="A196" t="s">
        <v>196</v>
      </c>
      <c r="B196">
        <v>71811</v>
      </c>
      <c r="C196">
        <v>4974</v>
      </c>
      <c r="D196">
        <v>454</v>
      </c>
      <c r="E196">
        <v>10</v>
      </c>
    </row>
    <row r="197" spans="1:5" x14ac:dyDescent="0.2">
      <c r="A197" t="s">
        <v>197</v>
      </c>
      <c r="B197">
        <v>42601</v>
      </c>
      <c r="C197">
        <v>3151</v>
      </c>
      <c r="D197">
        <v>106</v>
      </c>
      <c r="E197">
        <v>7</v>
      </c>
    </row>
    <row r="198" spans="1:5" x14ac:dyDescent="0.2">
      <c r="A198" t="s">
        <v>198</v>
      </c>
      <c r="B198">
        <v>24938</v>
      </c>
      <c r="C198">
        <v>3836</v>
      </c>
      <c r="D198">
        <v>233</v>
      </c>
      <c r="E198">
        <v>0</v>
      </c>
    </row>
    <row r="199" spans="1:5" x14ac:dyDescent="0.2">
      <c r="A199" t="s">
        <v>199</v>
      </c>
      <c r="B199">
        <v>4810</v>
      </c>
      <c r="C199">
        <v>731</v>
      </c>
      <c r="D199">
        <v>15</v>
      </c>
      <c r="E199">
        <v>1</v>
      </c>
    </row>
    <row r="200" spans="1:5" x14ac:dyDescent="0.2">
      <c r="A200" t="s">
        <v>200</v>
      </c>
      <c r="B200">
        <v>17968</v>
      </c>
      <c r="C200">
        <v>1831</v>
      </c>
      <c r="D200">
        <v>82</v>
      </c>
      <c r="E200">
        <v>4</v>
      </c>
    </row>
    <row r="201" spans="1:5" x14ac:dyDescent="0.2">
      <c r="A201" t="s">
        <v>201</v>
      </c>
      <c r="B201">
        <v>25773</v>
      </c>
      <c r="C201">
        <v>3814</v>
      </c>
      <c r="D201">
        <v>144</v>
      </c>
      <c r="E201">
        <v>18</v>
      </c>
    </row>
    <row r="202" spans="1:5" x14ac:dyDescent="0.2">
      <c r="A202" t="s">
        <v>202</v>
      </c>
      <c r="B202">
        <v>22980</v>
      </c>
      <c r="C202">
        <v>2401</v>
      </c>
      <c r="D202">
        <v>242</v>
      </c>
      <c r="E202">
        <v>84</v>
      </c>
    </row>
    <row r="203" spans="1:5" x14ac:dyDescent="0.2">
      <c r="A203" t="s">
        <v>203</v>
      </c>
      <c r="B203">
        <v>13484</v>
      </c>
      <c r="C203">
        <v>1139</v>
      </c>
      <c r="D203">
        <v>46</v>
      </c>
      <c r="E203">
        <v>0</v>
      </c>
    </row>
    <row r="204" spans="1:5" x14ac:dyDescent="0.2">
      <c r="A204" t="s">
        <v>204</v>
      </c>
      <c r="B204">
        <v>14617</v>
      </c>
      <c r="C204">
        <v>2224</v>
      </c>
      <c r="D204">
        <v>126</v>
      </c>
      <c r="E204">
        <v>13</v>
      </c>
    </row>
    <row r="205" spans="1:5" x14ac:dyDescent="0.2">
      <c r="A205" t="s">
        <v>205</v>
      </c>
      <c r="B205">
        <v>11040</v>
      </c>
      <c r="C205">
        <v>497</v>
      </c>
      <c r="D205">
        <v>78</v>
      </c>
      <c r="E205">
        <v>0</v>
      </c>
    </row>
    <row r="206" spans="1:5" x14ac:dyDescent="0.2">
      <c r="A206" t="s">
        <v>206</v>
      </c>
      <c r="B206">
        <v>11287</v>
      </c>
      <c r="C206">
        <v>1557</v>
      </c>
      <c r="D206">
        <v>121</v>
      </c>
      <c r="E206">
        <v>7</v>
      </c>
    </row>
    <row r="207" spans="1:5" x14ac:dyDescent="0.2">
      <c r="A207" t="s">
        <v>207</v>
      </c>
      <c r="B207">
        <v>17927</v>
      </c>
      <c r="C207">
        <v>2009</v>
      </c>
      <c r="D207">
        <v>102</v>
      </c>
      <c r="E207">
        <v>0</v>
      </c>
    </row>
    <row r="208" spans="1:5" x14ac:dyDescent="0.2">
      <c r="A208" t="s">
        <v>208</v>
      </c>
      <c r="B208">
        <v>21789</v>
      </c>
      <c r="C208">
        <v>2214</v>
      </c>
      <c r="D208">
        <v>151</v>
      </c>
      <c r="E208">
        <v>6</v>
      </c>
    </row>
    <row r="209" spans="1:5" x14ac:dyDescent="0.2">
      <c r="A209" t="s">
        <v>209</v>
      </c>
      <c r="B209">
        <v>12329</v>
      </c>
      <c r="C209">
        <v>1884</v>
      </c>
      <c r="D209">
        <v>208</v>
      </c>
      <c r="E209">
        <v>5</v>
      </c>
    </row>
    <row r="210" spans="1:5" x14ac:dyDescent="0.2">
      <c r="A210" t="s">
        <v>210</v>
      </c>
      <c r="B210">
        <v>16772</v>
      </c>
      <c r="C210">
        <v>1787</v>
      </c>
      <c r="D210">
        <v>109</v>
      </c>
      <c r="E210">
        <v>29</v>
      </c>
    </row>
    <row r="211" spans="1:5" x14ac:dyDescent="0.2">
      <c r="A211" t="s">
        <v>211</v>
      </c>
      <c r="B211">
        <v>10182</v>
      </c>
      <c r="C211">
        <v>1071</v>
      </c>
      <c r="D211">
        <v>40</v>
      </c>
      <c r="E211">
        <v>10</v>
      </c>
    </row>
    <row r="212" spans="1:5" x14ac:dyDescent="0.2">
      <c r="A212" t="s">
        <v>212</v>
      </c>
      <c r="B212">
        <v>10401</v>
      </c>
      <c r="C212">
        <v>1393</v>
      </c>
      <c r="D212">
        <v>75</v>
      </c>
      <c r="E212">
        <v>2</v>
      </c>
    </row>
    <row r="213" spans="1:5" x14ac:dyDescent="0.2">
      <c r="A213" t="s">
        <v>213</v>
      </c>
      <c r="B213">
        <v>16764</v>
      </c>
      <c r="C213">
        <v>2473</v>
      </c>
      <c r="D213">
        <v>339</v>
      </c>
      <c r="E213">
        <v>5</v>
      </c>
    </row>
    <row r="214" spans="1:5" x14ac:dyDescent="0.2">
      <c r="A214" t="s">
        <v>214</v>
      </c>
      <c r="B214">
        <v>31753</v>
      </c>
      <c r="C214">
        <v>3425</v>
      </c>
      <c r="D214">
        <v>299</v>
      </c>
      <c r="E214">
        <v>15</v>
      </c>
    </row>
    <row r="215" spans="1:5" x14ac:dyDescent="0.2">
      <c r="A215" t="s">
        <v>215</v>
      </c>
      <c r="B215">
        <v>14961</v>
      </c>
      <c r="C215">
        <v>2019</v>
      </c>
      <c r="D215">
        <v>161</v>
      </c>
      <c r="E215">
        <v>5</v>
      </c>
    </row>
    <row r="216" spans="1:5" x14ac:dyDescent="0.2">
      <c r="A216" t="s">
        <v>216</v>
      </c>
      <c r="B216">
        <v>5108</v>
      </c>
      <c r="C216">
        <v>509</v>
      </c>
      <c r="D216">
        <v>78</v>
      </c>
      <c r="E216">
        <v>0</v>
      </c>
    </row>
    <row r="217" spans="1:5" x14ac:dyDescent="0.2">
      <c r="A217" t="s">
        <v>217</v>
      </c>
      <c r="B217">
        <v>6930</v>
      </c>
      <c r="C217">
        <v>1036</v>
      </c>
      <c r="D217">
        <v>69</v>
      </c>
      <c r="E217">
        <v>1</v>
      </c>
    </row>
    <row r="218" spans="1:5" x14ac:dyDescent="0.2">
      <c r="A218" t="s">
        <v>218</v>
      </c>
      <c r="B218">
        <v>17163</v>
      </c>
      <c r="C218">
        <v>2323</v>
      </c>
      <c r="D218">
        <v>111</v>
      </c>
      <c r="E218">
        <v>2</v>
      </c>
    </row>
    <row r="219" spans="1:5" x14ac:dyDescent="0.2">
      <c r="A219" t="s">
        <v>219</v>
      </c>
      <c r="B219">
        <v>50225</v>
      </c>
      <c r="C219">
        <v>6548</v>
      </c>
      <c r="D219">
        <v>437</v>
      </c>
      <c r="E219">
        <v>64</v>
      </c>
    </row>
    <row r="220" spans="1:5" x14ac:dyDescent="0.2">
      <c r="A220" t="s">
        <v>220</v>
      </c>
      <c r="B220">
        <v>22394</v>
      </c>
      <c r="C220">
        <v>2473</v>
      </c>
      <c r="D220">
        <v>141</v>
      </c>
      <c r="E220">
        <v>0</v>
      </c>
    </row>
    <row r="221" spans="1:5" x14ac:dyDescent="0.2">
      <c r="A221" t="s">
        <v>221</v>
      </c>
      <c r="B221">
        <v>7360</v>
      </c>
      <c r="C221">
        <v>2242</v>
      </c>
      <c r="D221">
        <v>85</v>
      </c>
      <c r="E221">
        <v>31</v>
      </c>
    </row>
    <row r="222" spans="1:5" x14ac:dyDescent="0.2">
      <c r="A222" t="s">
        <v>222</v>
      </c>
      <c r="B222">
        <v>5253</v>
      </c>
      <c r="C222">
        <v>993</v>
      </c>
      <c r="D222">
        <v>173</v>
      </c>
      <c r="E222">
        <v>0</v>
      </c>
    </row>
    <row r="223" spans="1:5" x14ac:dyDescent="0.2">
      <c r="A223" t="s">
        <v>223</v>
      </c>
      <c r="B223">
        <v>27552</v>
      </c>
      <c r="C223">
        <v>3119</v>
      </c>
      <c r="D223">
        <v>298</v>
      </c>
      <c r="E223">
        <v>62</v>
      </c>
    </row>
    <row r="224" spans="1:5" x14ac:dyDescent="0.2">
      <c r="A224" t="s">
        <v>224</v>
      </c>
      <c r="B224">
        <v>15914</v>
      </c>
      <c r="C224">
        <v>1072</v>
      </c>
      <c r="D224">
        <v>141</v>
      </c>
      <c r="E224">
        <v>1</v>
      </c>
    </row>
    <row r="225" spans="1:5" x14ac:dyDescent="0.2">
      <c r="A225" t="s">
        <v>225</v>
      </c>
      <c r="B225">
        <v>25383</v>
      </c>
      <c r="C225">
        <v>3004</v>
      </c>
      <c r="D225">
        <v>220</v>
      </c>
      <c r="E225">
        <v>44</v>
      </c>
    </row>
    <row r="226" spans="1:5" x14ac:dyDescent="0.2">
      <c r="A226" t="s">
        <v>226</v>
      </c>
      <c r="B226">
        <v>7337</v>
      </c>
      <c r="C226">
        <v>721</v>
      </c>
      <c r="D226">
        <v>45</v>
      </c>
      <c r="E226">
        <v>0</v>
      </c>
    </row>
    <row r="227" spans="1:5" x14ac:dyDescent="0.2">
      <c r="A227" t="s">
        <v>227</v>
      </c>
      <c r="B227">
        <v>25964</v>
      </c>
      <c r="C227">
        <v>2543</v>
      </c>
      <c r="D227">
        <v>183</v>
      </c>
      <c r="E227">
        <v>22</v>
      </c>
    </row>
    <row r="228" spans="1:5" x14ac:dyDescent="0.2">
      <c r="A228" t="s">
        <v>228</v>
      </c>
      <c r="B228">
        <v>45153</v>
      </c>
      <c r="C228">
        <v>4516</v>
      </c>
      <c r="D228">
        <v>199</v>
      </c>
      <c r="E228">
        <v>357</v>
      </c>
    </row>
    <row r="229" spans="1:5" x14ac:dyDescent="0.2">
      <c r="A229" t="s">
        <v>229</v>
      </c>
      <c r="B229">
        <v>12904</v>
      </c>
      <c r="C229">
        <v>2180</v>
      </c>
      <c r="D229">
        <v>164</v>
      </c>
      <c r="E229">
        <v>2</v>
      </c>
    </row>
    <row r="230" spans="1:5" x14ac:dyDescent="0.2">
      <c r="A230" t="s">
        <v>230</v>
      </c>
      <c r="B230">
        <v>21267</v>
      </c>
      <c r="C230">
        <v>2566</v>
      </c>
      <c r="D230">
        <v>184</v>
      </c>
      <c r="E230">
        <v>56</v>
      </c>
    </row>
    <row r="231" spans="1:5" x14ac:dyDescent="0.2">
      <c r="A231" t="s">
        <v>231</v>
      </c>
      <c r="B231">
        <v>11870</v>
      </c>
      <c r="C231">
        <v>2120</v>
      </c>
      <c r="D231">
        <v>98</v>
      </c>
      <c r="E231">
        <v>0</v>
      </c>
    </row>
    <row r="232" spans="1:5" x14ac:dyDescent="0.2">
      <c r="A232" t="s">
        <v>232</v>
      </c>
      <c r="B232">
        <v>16972</v>
      </c>
      <c r="C232">
        <v>1156</v>
      </c>
      <c r="D232">
        <v>49</v>
      </c>
      <c r="E232">
        <v>0</v>
      </c>
    </row>
    <row r="233" spans="1:5" x14ac:dyDescent="0.2">
      <c r="A233" t="s">
        <v>233</v>
      </c>
      <c r="B233">
        <v>3158</v>
      </c>
      <c r="C233">
        <v>721</v>
      </c>
      <c r="D233">
        <v>50</v>
      </c>
      <c r="E233">
        <v>0</v>
      </c>
    </row>
    <row r="234" spans="1:5" x14ac:dyDescent="0.2">
      <c r="A234" t="s">
        <v>234</v>
      </c>
      <c r="B234">
        <v>7685</v>
      </c>
      <c r="C234">
        <v>1237</v>
      </c>
      <c r="D234">
        <v>62</v>
      </c>
      <c r="E234">
        <v>1</v>
      </c>
    </row>
    <row r="235" spans="1:5" x14ac:dyDescent="0.2">
      <c r="A235" t="s">
        <v>235</v>
      </c>
      <c r="B235">
        <v>22516</v>
      </c>
      <c r="C235">
        <v>1711</v>
      </c>
      <c r="D235">
        <v>56</v>
      </c>
      <c r="E235">
        <v>4</v>
      </c>
    </row>
    <row r="236" spans="1:5" x14ac:dyDescent="0.2">
      <c r="A236" t="s">
        <v>236</v>
      </c>
      <c r="B236">
        <v>10670</v>
      </c>
      <c r="C236">
        <v>1313</v>
      </c>
      <c r="D236">
        <v>66</v>
      </c>
      <c r="E236">
        <v>0</v>
      </c>
    </row>
    <row r="237" spans="1:5" x14ac:dyDescent="0.2">
      <c r="A237" t="s">
        <v>237</v>
      </c>
      <c r="B237">
        <v>23698</v>
      </c>
      <c r="C237">
        <v>2443</v>
      </c>
      <c r="D237">
        <v>131</v>
      </c>
      <c r="E237">
        <v>16</v>
      </c>
    </row>
    <row r="238" spans="1:5" x14ac:dyDescent="0.2">
      <c r="A238" t="s">
        <v>238</v>
      </c>
      <c r="B238">
        <v>20346</v>
      </c>
      <c r="C238">
        <v>2728</v>
      </c>
      <c r="D238">
        <v>337</v>
      </c>
      <c r="E238">
        <v>1</v>
      </c>
    </row>
    <row r="239" spans="1:5" x14ac:dyDescent="0.2">
      <c r="A239" t="s">
        <v>239</v>
      </c>
      <c r="B239">
        <v>30895</v>
      </c>
      <c r="C239">
        <v>2109</v>
      </c>
      <c r="D239">
        <v>50</v>
      </c>
      <c r="E239">
        <v>18</v>
      </c>
    </row>
    <row r="240" spans="1:5" x14ac:dyDescent="0.2">
      <c r="A240" t="s">
        <v>240</v>
      </c>
      <c r="B240">
        <v>12614</v>
      </c>
      <c r="C240">
        <v>1126</v>
      </c>
      <c r="D240">
        <v>56</v>
      </c>
      <c r="E240">
        <v>4</v>
      </c>
    </row>
    <row r="241" spans="1:5" x14ac:dyDescent="0.2">
      <c r="A241" t="s">
        <v>241</v>
      </c>
      <c r="B241">
        <v>30470</v>
      </c>
      <c r="C241">
        <v>2686</v>
      </c>
      <c r="D241">
        <v>157</v>
      </c>
      <c r="E241">
        <v>4</v>
      </c>
    </row>
    <row r="242" spans="1:5" x14ac:dyDescent="0.2">
      <c r="A242" t="s">
        <v>242</v>
      </c>
      <c r="B242">
        <v>24541</v>
      </c>
      <c r="C242">
        <v>3107</v>
      </c>
      <c r="D242">
        <v>312</v>
      </c>
      <c r="E242">
        <v>7</v>
      </c>
    </row>
    <row r="243" spans="1:5" x14ac:dyDescent="0.2">
      <c r="A243" t="s">
        <v>243</v>
      </c>
      <c r="B243">
        <v>40572</v>
      </c>
      <c r="C243">
        <v>4124</v>
      </c>
      <c r="D243">
        <v>291</v>
      </c>
      <c r="E243">
        <v>13</v>
      </c>
    </row>
    <row r="244" spans="1:5" x14ac:dyDescent="0.2">
      <c r="A244" t="s">
        <v>244</v>
      </c>
      <c r="B244">
        <v>244366</v>
      </c>
      <c r="C244">
        <v>23553</v>
      </c>
      <c r="D244">
        <v>1226</v>
      </c>
      <c r="E244">
        <v>397</v>
      </c>
    </row>
    <row r="245" spans="1:5" x14ac:dyDescent="0.2">
      <c r="A245" t="s">
        <v>245</v>
      </c>
      <c r="B245">
        <v>1039</v>
      </c>
      <c r="C245">
        <v>32</v>
      </c>
      <c r="D245">
        <v>7</v>
      </c>
      <c r="E245">
        <v>0</v>
      </c>
    </row>
    <row r="246" spans="1:5" x14ac:dyDescent="0.2">
      <c r="A246" t="s">
        <v>246</v>
      </c>
      <c r="B246">
        <v>13890</v>
      </c>
      <c r="C246">
        <v>2131</v>
      </c>
      <c r="D246">
        <v>157</v>
      </c>
      <c r="E246">
        <v>15</v>
      </c>
    </row>
    <row r="247" spans="1:5" x14ac:dyDescent="0.2">
      <c r="A247" t="s">
        <v>247</v>
      </c>
      <c r="B247">
        <v>25888</v>
      </c>
      <c r="C247">
        <v>3798</v>
      </c>
      <c r="D247">
        <v>199</v>
      </c>
      <c r="E247">
        <v>2</v>
      </c>
    </row>
    <row r="248" spans="1:5" x14ac:dyDescent="0.2">
      <c r="A248" t="s">
        <v>248</v>
      </c>
      <c r="B248">
        <v>5351</v>
      </c>
      <c r="C248">
        <v>761</v>
      </c>
      <c r="D248">
        <v>52</v>
      </c>
      <c r="E248">
        <v>1</v>
      </c>
    </row>
    <row r="249" spans="1:5" x14ac:dyDescent="0.2">
      <c r="A249" t="s">
        <v>249</v>
      </c>
      <c r="B249">
        <v>32009</v>
      </c>
      <c r="C249">
        <v>3171</v>
      </c>
      <c r="D249">
        <v>141</v>
      </c>
      <c r="E249">
        <v>1</v>
      </c>
    </row>
    <row r="250" spans="1:5" x14ac:dyDescent="0.2">
      <c r="A250" t="s">
        <v>250</v>
      </c>
      <c r="B250">
        <v>355</v>
      </c>
      <c r="C250">
        <v>78</v>
      </c>
      <c r="D250">
        <v>4</v>
      </c>
      <c r="E250">
        <v>1</v>
      </c>
    </row>
    <row r="251" spans="1:5" x14ac:dyDescent="0.2">
      <c r="A251" t="s">
        <v>251</v>
      </c>
      <c r="B251">
        <v>19718</v>
      </c>
      <c r="C251">
        <v>2851</v>
      </c>
      <c r="D251">
        <v>125</v>
      </c>
      <c r="E251">
        <v>28</v>
      </c>
    </row>
    <row r="252" spans="1:5" x14ac:dyDescent="0.2">
      <c r="A252" t="s">
        <v>252</v>
      </c>
      <c r="B252">
        <v>6260</v>
      </c>
      <c r="C252">
        <v>418</v>
      </c>
      <c r="D252">
        <v>22</v>
      </c>
      <c r="E252">
        <v>12</v>
      </c>
    </row>
    <row r="253" spans="1:5" x14ac:dyDescent="0.2">
      <c r="A253" t="s">
        <v>253</v>
      </c>
      <c r="B253">
        <v>16400</v>
      </c>
      <c r="C253">
        <v>2104</v>
      </c>
      <c r="D253">
        <v>167</v>
      </c>
      <c r="E253">
        <v>0</v>
      </c>
    </row>
    <row r="254" spans="1:5" x14ac:dyDescent="0.2">
      <c r="A254" t="s">
        <v>254</v>
      </c>
      <c r="B254">
        <v>53330</v>
      </c>
      <c r="C254">
        <v>5212</v>
      </c>
      <c r="D254">
        <v>309</v>
      </c>
      <c r="E254">
        <v>2</v>
      </c>
    </row>
    <row r="255" spans="1:5" x14ac:dyDescent="0.2">
      <c r="A255" t="s">
        <v>255</v>
      </c>
      <c r="B255">
        <v>12361</v>
      </c>
      <c r="C255">
        <v>1460</v>
      </c>
      <c r="D255">
        <v>86</v>
      </c>
      <c r="E255">
        <v>1</v>
      </c>
    </row>
    <row r="256" spans="1:5" x14ac:dyDescent="0.2">
      <c r="A256" t="s">
        <v>256</v>
      </c>
      <c r="B256">
        <v>13867</v>
      </c>
      <c r="C256">
        <v>1865</v>
      </c>
      <c r="D256">
        <v>114</v>
      </c>
      <c r="E256">
        <v>7</v>
      </c>
    </row>
    <row r="257" spans="1:5" x14ac:dyDescent="0.2">
      <c r="A257" t="s">
        <v>257</v>
      </c>
      <c r="B257">
        <v>34558</v>
      </c>
      <c r="C257">
        <v>5539</v>
      </c>
      <c r="D257">
        <v>232</v>
      </c>
      <c r="E257">
        <v>20</v>
      </c>
    </row>
    <row r="258" spans="1:5" x14ac:dyDescent="0.2">
      <c r="A258" t="s">
        <v>258</v>
      </c>
      <c r="B258">
        <v>25008</v>
      </c>
      <c r="C258">
        <v>2176</v>
      </c>
      <c r="D258">
        <v>169</v>
      </c>
      <c r="E258">
        <v>1</v>
      </c>
    </row>
    <row r="259" spans="1:5" x14ac:dyDescent="0.2">
      <c r="A259" t="s">
        <v>259</v>
      </c>
      <c r="B259">
        <v>11140</v>
      </c>
      <c r="C259">
        <v>2078</v>
      </c>
      <c r="D259">
        <v>198</v>
      </c>
      <c r="E259">
        <v>2</v>
      </c>
    </row>
    <row r="260" spans="1:5" x14ac:dyDescent="0.2">
      <c r="A260" t="s">
        <v>260</v>
      </c>
      <c r="B260">
        <v>10566</v>
      </c>
      <c r="C260">
        <v>1006</v>
      </c>
      <c r="D260">
        <v>335</v>
      </c>
      <c r="E260">
        <v>0</v>
      </c>
    </row>
    <row r="261" spans="1:5" x14ac:dyDescent="0.2">
      <c r="A261" t="s">
        <v>261</v>
      </c>
      <c r="B261">
        <v>17836</v>
      </c>
      <c r="C261">
        <v>2459</v>
      </c>
      <c r="D261">
        <v>123</v>
      </c>
      <c r="E261">
        <v>2</v>
      </c>
    </row>
    <row r="262" spans="1:5" x14ac:dyDescent="0.2">
      <c r="A262" t="s">
        <v>262</v>
      </c>
      <c r="B262">
        <v>9565</v>
      </c>
      <c r="C262">
        <v>2037</v>
      </c>
      <c r="D262">
        <v>174</v>
      </c>
      <c r="E262">
        <v>1</v>
      </c>
    </row>
    <row r="263" spans="1:5" x14ac:dyDescent="0.2">
      <c r="A263" t="s">
        <v>263</v>
      </c>
      <c r="B263">
        <v>10320</v>
      </c>
      <c r="C263">
        <v>986</v>
      </c>
      <c r="D263">
        <v>63</v>
      </c>
      <c r="E263">
        <v>1</v>
      </c>
    </row>
    <row r="264" spans="1:5" x14ac:dyDescent="0.2">
      <c r="A264" t="s">
        <v>264</v>
      </c>
      <c r="B264">
        <v>13892</v>
      </c>
      <c r="C264">
        <v>1654</v>
      </c>
      <c r="D264">
        <v>100</v>
      </c>
      <c r="E264">
        <v>2</v>
      </c>
    </row>
    <row r="265" spans="1:5" x14ac:dyDescent="0.2">
      <c r="A265" t="s">
        <v>265</v>
      </c>
      <c r="B265">
        <v>24610</v>
      </c>
      <c r="C265">
        <v>3369</v>
      </c>
      <c r="D265">
        <v>150</v>
      </c>
      <c r="E265">
        <v>10</v>
      </c>
    </row>
    <row r="266" spans="1:5" x14ac:dyDescent="0.2">
      <c r="A266" t="s">
        <v>266</v>
      </c>
      <c r="B266">
        <v>15105</v>
      </c>
      <c r="C266">
        <v>1217</v>
      </c>
      <c r="D266">
        <v>104</v>
      </c>
      <c r="E266">
        <v>9</v>
      </c>
    </row>
    <row r="267" spans="1:5" x14ac:dyDescent="0.2">
      <c r="A267" t="s">
        <v>267</v>
      </c>
      <c r="B267">
        <v>33292</v>
      </c>
      <c r="C267">
        <v>2946</v>
      </c>
      <c r="D267">
        <v>178</v>
      </c>
      <c r="E267">
        <v>3</v>
      </c>
    </row>
    <row r="268" spans="1:5" x14ac:dyDescent="0.2">
      <c r="A268" t="s">
        <v>268</v>
      </c>
      <c r="B268">
        <v>46531</v>
      </c>
      <c r="C268">
        <v>7138</v>
      </c>
      <c r="D268">
        <v>396</v>
      </c>
      <c r="E268">
        <v>7</v>
      </c>
    </row>
    <row r="269" spans="1:5" x14ac:dyDescent="0.2">
      <c r="A269" t="s">
        <v>269</v>
      </c>
      <c r="B269">
        <v>31377</v>
      </c>
      <c r="C269">
        <v>3119</v>
      </c>
      <c r="D269">
        <v>220</v>
      </c>
      <c r="E269">
        <v>3</v>
      </c>
    </row>
    <row r="270" spans="1:5" x14ac:dyDescent="0.2">
      <c r="A270" t="s">
        <v>270</v>
      </c>
      <c r="B270">
        <v>2547</v>
      </c>
      <c r="C270">
        <v>666</v>
      </c>
      <c r="D270">
        <v>34</v>
      </c>
      <c r="E270">
        <v>4</v>
      </c>
    </row>
    <row r="271" spans="1:5" x14ac:dyDescent="0.2">
      <c r="A271" t="s">
        <v>271</v>
      </c>
      <c r="B271">
        <v>7566</v>
      </c>
      <c r="C271">
        <v>1660</v>
      </c>
      <c r="D271">
        <v>77</v>
      </c>
      <c r="E271">
        <v>12</v>
      </c>
    </row>
    <row r="272" spans="1:5" x14ac:dyDescent="0.2">
      <c r="A272" t="s">
        <v>272</v>
      </c>
      <c r="B272">
        <v>20106</v>
      </c>
      <c r="C272">
        <v>1940</v>
      </c>
      <c r="D272">
        <v>165</v>
      </c>
      <c r="E272">
        <v>1</v>
      </c>
    </row>
    <row r="273" spans="1:5" x14ac:dyDescent="0.2">
      <c r="A273" t="s">
        <v>273</v>
      </c>
      <c r="B273">
        <v>14329</v>
      </c>
      <c r="C273">
        <v>2335</v>
      </c>
      <c r="D273">
        <v>85</v>
      </c>
      <c r="E273">
        <v>10</v>
      </c>
    </row>
    <row r="274" spans="1:5" x14ac:dyDescent="0.2">
      <c r="A274" t="s">
        <v>274</v>
      </c>
      <c r="B274">
        <v>24699</v>
      </c>
      <c r="C274">
        <v>2874</v>
      </c>
      <c r="D274">
        <v>220</v>
      </c>
      <c r="E274">
        <v>16</v>
      </c>
    </row>
    <row r="275" spans="1:5" x14ac:dyDescent="0.2">
      <c r="A275" t="s">
        <v>275</v>
      </c>
      <c r="B275">
        <v>122310</v>
      </c>
      <c r="C275">
        <v>13072</v>
      </c>
      <c r="D275">
        <v>777</v>
      </c>
      <c r="E275">
        <v>41</v>
      </c>
    </row>
    <row r="276" spans="1:5" x14ac:dyDescent="0.2">
      <c r="A276" t="s">
        <v>276</v>
      </c>
      <c r="B276">
        <v>13166</v>
      </c>
      <c r="C276">
        <v>2733</v>
      </c>
      <c r="D276">
        <v>137</v>
      </c>
      <c r="E276">
        <v>23</v>
      </c>
    </row>
    <row r="277" spans="1:5" x14ac:dyDescent="0.2">
      <c r="A277" t="s">
        <v>277</v>
      </c>
      <c r="B277">
        <v>18736</v>
      </c>
      <c r="C277">
        <v>2728</v>
      </c>
      <c r="D277">
        <v>206</v>
      </c>
      <c r="E277">
        <v>8</v>
      </c>
    </row>
    <row r="278" spans="1:5" x14ac:dyDescent="0.2">
      <c r="A278" t="s">
        <v>278</v>
      </c>
      <c r="B278">
        <v>24440</v>
      </c>
      <c r="C278">
        <v>2140</v>
      </c>
      <c r="D278">
        <v>80</v>
      </c>
      <c r="E278">
        <v>0</v>
      </c>
    </row>
    <row r="279" spans="1:5" x14ac:dyDescent="0.2">
      <c r="A279" t="s">
        <v>279</v>
      </c>
      <c r="B279">
        <v>17785</v>
      </c>
      <c r="C279">
        <v>2344</v>
      </c>
      <c r="D279">
        <v>166</v>
      </c>
      <c r="E279">
        <v>3</v>
      </c>
    </row>
    <row r="280" spans="1:5" x14ac:dyDescent="0.2">
      <c r="A280" t="s">
        <v>280</v>
      </c>
      <c r="B280">
        <v>6732</v>
      </c>
      <c r="C280">
        <v>811</v>
      </c>
      <c r="D280">
        <v>32</v>
      </c>
      <c r="E280">
        <v>1</v>
      </c>
    </row>
    <row r="281" spans="1:5" x14ac:dyDescent="0.2">
      <c r="A281" t="s">
        <v>281</v>
      </c>
      <c r="B281">
        <v>15911</v>
      </c>
      <c r="C281">
        <v>1372</v>
      </c>
      <c r="D281">
        <v>109</v>
      </c>
      <c r="E281">
        <v>1</v>
      </c>
    </row>
    <row r="282" spans="1:5" x14ac:dyDescent="0.2">
      <c r="A282" t="s">
        <v>282</v>
      </c>
      <c r="B282">
        <v>7875</v>
      </c>
      <c r="C282">
        <v>1427</v>
      </c>
      <c r="D282">
        <v>59</v>
      </c>
      <c r="E282">
        <v>2</v>
      </c>
    </row>
    <row r="283" spans="1:5" x14ac:dyDescent="0.2">
      <c r="A283" t="s">
        <v>283</v>
      </c>
      <c r="B283">
        <v>135664</v>
      </c>
      <c r="C283">
        <v>16260</v>
      </c>
      <c r="D283">
        <v>1250</v>
      </c>
      <c r="E283">
        <v>72</v>
      </c>
    </row>
    <row r="284" spans="1:5" x14ac:dyDescent="0.2">
      <c r="A284" t="s">
        <v>284</v>
      </c>
      <c r="B284">
        <v>26201</v>
      </c>
      <c r="C284">
        <v>2295</v>
      </c>
      <c r="D284">
        <v>109</v>
      </c>
      <c r="E284">
        <v>0</v>
      </c>
    </row>
    <row r="285" spans="1:5" x14ac:dyDescent="0.2">
      <c r="A285" t="s">
        <v>285</v>
      </c>
      <c r="B285">
        <v>4943</v>
      </c>
      <c r="C285">
        <v>289</v>
      </c>
      <c r="D285">
        <v>21</v>
      </c>
      <c r="E285">
        <v>4</v>
      </c>
    </row>
    <row r="286" spans="1:5" x14ac:dyDescent="0.2">
      <c r="A286" t="s">
        <v>286</v>
      </c>
      <c r="B286">
        <v>9224</v>
      </c>
      <c r="C286">
        <v>814</v>
      </c>
      <c r="D286">
        <v>49</v>
      </c>
      <c r="E286">
        <v>39</v>
      </c>
    </row>
    <row r="287" spans="1:5" x14ac:dyDescent="0.2">
      <c r="A287" t="s">
        <v>287</v>
      </c>
      <c r="B287">
        <v>17582</v>
      </c>
      <c r="C287">
        <v>1721</v>
      </c>
      <c r="D287">
        <v>93</v>
      </c>
      <c r="E287">
        <v>12</v>
      </c>
    </row>
    <row r="288" spans="1:5" x14ac:dyDescent="0.2">
      <c r="A288" t="s">
        <v>288</v>
      </c>
      <c r="B288">
        <v>15515</v>
      </c>
      <c r="C288">
        <v>1539</v>
      </c>
      <c r="D288">
        <v>72</v>
      </c>
      <c r="E288">
        <v>0</v>
      </c>
    </row>
    <row r="289" spans="1:5" x14ac:dyDescent="0.2">
      <c r="A289" t="s">
        <v>289</v>
      </c>
      <c r="B289">
        <v>33139</v>
      </c>
      <c r="C289">
        <v>3232</v>
      </c>
      <c r="D289">
        <v>185</v>
      </c>
      <c r="E289">
        <v>0</v>
      </c>
    </row>
    <row r="290" spans="1:5" x14ac:dyDescent="0.2">
      <c r="A290" t="s">
        <v>290</v>
      </c>
      <c r="B290">
        <v>12393</v>
      </c>
      <c r="C290">
        <v>1862</v>
      </c>
      <c r="D290">
        <v>79</v>
      </c>
      <c r="E290">
        <v>0</v>
      </c>
    </row>
    <row r="291" spans="1:5" x14ac:dyDescent="0.2">
      <c r="A291" t="s">
        <v>291</v>
      </c>
      <c r="B291">
        <v>24215</v>
      </c>
      <c r="C291">
        <v>2256</v>
      </c>
      <c r="D291">
        <v>157</v>
      </c>
      <c r="E291">
        <v>9</v>
      </c>
    </row>
    <row r="292" spans="1:5" x14ac:dyDescent="0.2">
      <c r="A292" t="s">
        <v>292</v>
      </c>
      <c r="B292">
        <v>33524</v>
      </c>
      <c r="C292">
        <v>3298</v>
      </c>
      <c r="D292">
        <v>142</v>
      </c>
      <c r="E292">
        <v>7</v>
      </c>
    </row>
    <row r="293" spans="1:5" x14ac:dyDescent="0.2">
      <c r="A293" t="s">
        <v>293</v>
      </c>
      <c r="B293">
        <v>51000</v>
      </c>
      <c r="C293">
        <v>3916</v>
      </c>
      <c r="D293">
        <v>395</v>
      </c>
      <c r="E293">
        <v>48</v>
      </c>
    </row>
    <row r="294" spans="1:5" x14ac:dyDescent="0.2">
      <c r="A294" t="s">
        <v>294</v>
      </c>
      <c r="B294">
        <v>24336</v>
      </c>
      <c r="C294">
        <v>2724</v>
      </c>
      <c r="D294">
        <v>178</v>
      </c>
      <c r="E294">
        <v>2</v>
      </c>
    </row>
    <row r="295" spans="1:5" x14ac:dyDescent="0.2">
      <c r="A295" t="s">
        <v>295</v>
      </c>
      <c r="B295">
        <v>33235</v>
      </c>
      <c r="C295">
        <v>4875</v>
      </c>
      <c r="D295">
        <v>541</v>
      </c>
      <c r="E295">
        <v>191</v>
      </c>
    </row>
    <row r="296" spans="1:5" x14ac:dyDescent="0.2">
      <c r="A296" t="s">
        <v>296</v>
      </c>
      <c r="B296">
        <v>32237</v>
      </c>
      <c r="C296">
        <v>2878</v>
      </c>
      <c r="D296">
        <v>119</v>
      </c>
      <c r="E296">
        <v>7</v>
      </c>
    </row>
    <row r="297" spans="1:5" x14ac:dyDescent="0.2">
      <c r="A297" t="s">
        <v>297</v>
      </c>
      <c r="B297">
        <v>482</v>
      </c>
      <c r="C297">
        <v>140</v>
      </c>
      <c r="D297">
        <v>11</v>
      </c>
      <c r="E297">
        <v>0</v>
      </c>
    </row>
    <row r="298" spans="1:5" x14ac:dyDescent="0.2">
      <c r="A298" t="s">
        <v>298</v>
      </c>
      <c r="B298">
        <v>21619</v>
      </c>
      <c r="C298">
        <v>1617</v>
      </c>
      <c r="D298">
        <v>75</v>
      </c>
      <c r="E298">
        <v>2</v>
      </c>
    </row>
    <row r="299" spans="1:5" x14ac:dyDescent="0.2">
      <c r="A299" t="s">
        <v>299</v>
      </c>
      <c r="B299">
        <v>7447</v>
      </c>
      <c r="C299">
        <v>649</v>
      </c>
      <c r="D299">
        <v>31</v>
      </c>
      <c r="E299">
        <v>1</v>
      </c>
    </row>
    <row r="300" spans="1:5" x14ac:dyDescent="0.2">
      <c r="A300" t="s">
        <v>300</v>
      </c>
      <c r="B300">
        <v>40724</v>
      </c>
      <c r="C300">
        <v>3281</v>
      </c>
      <c r="D300">
        <v>132</v>
      </c>
      <c r="E300">
        <v>2</v>
      </c>
    </row>
    <row r="301" spans="1:5" x14ac:dyDescent="0.2">
      <c r="A301" t="s">
        <v>301</v>
      </c>
      <c r="B301">
        <v>11695</v>
      </c>
      <c r="C301">
        <v>724</v>
      </c>
      <c r="D301">
        <v>43</v>
      </c>
      <c r="E301">
        <v>0</v>
      </c>
    </row>
    <row r="302" spans="1:5" x14ac:dyDescent="0.2">
      <c r="A302" t="s">
        <v>302</v>
      </c>
      <c r="B302">
        <v>13585</v>
      </c>
      <c r="C302">
        <v>1648</v>
      </c>
      <c r="D302">
        <v>149</v>
      </c>
      <c r="E302">
        <v>0</v>
      </c>
    </row>
    <row r="303" spans="1:5" x14ac:dyDescent="0.2">
      <c r="A303" t="s">
        <v>303</v>
      </c>
      <c r="B303">
        <v>16286</v>
      </c>
      <c r="C303">
        <v>1370</v>
      </c>
      <c r="D303">
        <v>102</v>
      </c>
      <c r="E303">
        <v>3</v>
      </c>
    </row>
    <row r="304" spans="1:5" x14ac:dyDescent="0.2">
      <c r="A304" t="s">
        <v>304</v>
      </c>
      <c r="B304">
        <v>25114</v>
      </c>
      <c r="C304">
        <v>3729</v>
      </c>
      <c r="D304">
        <v>217</v>
      </c>
      <c r="E304">
        <v>10</v>
      </c>
    </row>
    <row r="305" spans="1:5" x14ac:dyDescent="0.2">
      <c r="A305" t="s">
        <v>305</v>
      </c>
      <c r="B305">
        <v>9708</v>
      </c>
      <c r="C305">
        <v>548</v>
      </c>
      <c r="D305">
        <v>21</v>
      </c>
      <c r="E305">
        <v>1</v>
      </c>
    </row>
    <row r="306" spans="1:5" x14ac:dyDescent="0.2">
      <c r="A306" t="s">
        <v>306</v>
      </c>
      <c r="B306">
        <v>27607</v>
      </c>
      <c r="C306">
        <v>3049</v>
      </c>
      <c r="D306">
        <v>244</v>
      </c>
      <c r="E306">
        <v>0</v>
      </c>
    </row>
    <row r="307" spans="1:5" x14ac:dyDescent="0.2">
      <c r="A307" t="s">
        <v>307</v>
      </c>
      <c r="B307">
        <v>15867</v>
      </c>
      <c r="C307">
        <v>1670</v>
      </c>
      <c r="D307">
        <v>102</v>
      </c>
      <c r="E307">
        <v>24</v>
      </c>
    </row>
    <row r="308" spans="1:5" x14ac:dyDescent="0.2">
      <c r="A308" t="s">
        <v>308</v>
      </c>
      <c r="B308">
        <v>14110</v>
      </c>
      <c r="C308">
        <v>960</v>
      </c>
      <c r="D308">
        <v>44</v>
      </c>
      <c r="E308">
        <v>0</v>
      </c>
    </row>
    <row r="309" spans="1:5" x14ac:dyDescent="0.2">
      <c r="A309" t="s">
        <v>309</v>
      </c>
      <c r="B309">
        <v>13870</v>
      </c>
      <c r="C309">
        <v>856</v>
      </c>
      <c r="D309">
        <v>71</v>
      </c>
      <c r="E309">
        <v>0</v>
      </c>
    </row>
    <row r="310" spans="1:5" x14ac:dyDescent="0.2">
      <c r="A310" t="s">
        <v>310</v>
      </c>
      <c r="B310">
        <v>8289</v>
      </c>
      <c r="C310">
        <v>865</v>
      </c>
      <c r="D310">
        <v>47</v>
      </c>
      <c r="E310">
        <v>0</v>
      </c>
    </row>
    <row r="311" spans="1:5" x14ac:dyDescent="0.2">
      <c r="A311" t="s">
        <v>311</v>
      </c>
      <c r="B311">
        <v>26277</v>
      </c>
      <c r="C311">
        <v>2492</v>
      </c>
      <c r="D311">
        <v>201</v>
      </c>
      <c r="E311">
        <v>75</v>
      </c>
    </row>
    <row r="312" spans="1:5" x14ac:dyDescent="0.2">
      <c r="A312" t="s">
        <v>312</v>
      </c>
      <c r="B312">
        <v>29803</v>
      </c>
      <c r="C312">
        <v>5165</v>
      </c>
      <c r="D312">
        <v>546</v>
      </c>
      <c r="E312">
        <v>14</v>
      </c>
    </row>
    <row r="313" spans="1:5" x14ac:dyDescent="0.2">
      <c r="A313" t="s">
        <v>313</v>
      </c>
      <c r="B313">
        <v>11939</v>
      </c>
      <c r="C313">
        <v>1769</v>
      </c>
      <c r="D313">
        <v>115</v>
      </c>
      <c r="E313">
        <v>4</v>
      </c>
    </row>
    <row r="314" spans="1:5" x14ac:dyDescent="0.2">
      <c r="A314" t="s">
        <v>314</v>
      </c>
      <c r="B314">
        <v>35948</v>
      </c>
      <c r="C314">
        <v>5157</v>
      </c>
      <c r="D314">
        <v>391</v>
      </c>
      <c r="E314">
        <v>9</v>
      </c>
    </row>
    <row r="315" spans="1:5" x14ac:dyDescent="0.2">
      <c r="A315" t="s">
        <v>315</v>
      </c>
      <c r="B315">
        <v>12001</v>
      </c>
      <c r="C315">
        <v>1730</v>
      </c>
      <c r="D315">
        <v>65</v>
      </c>
      <c r="E315">
        <v>3</v>
      </c>
    </row>
    <row r="316" spans="1:5" x14ac:dyDescent="0.2">
      <c r="A316" t="s">
        <v>316</v>
      </c>
      <c r="B316">
        <v>7632</v>
      </c>
      <c r="C316">
        <v>545</v>
      </c>
      <c r="D316">
        <v>19</v>
      </c>
      <c r="E316">
        <v>0</v>
      </c>
    </row>
    <row r="317" spans="1:5" x14ac:dyDescent="0.2">
      <c r="A317" t="s">
        <v>317</v>
      </c>
      <c r="B317">
        <v>15515</v>
      </c>
      <c r="C317">
        <v>2154</v>
      </c>
      <c r="D317">
        <v>79</v>
      </c>
      <c r="E317">
        <v>12</v>
      </c>
    </row>
    <row r="318" spans="1:5" x14ac:dyDescent="0.2">
      <c r="A318" t="s">
        <v>318</v>
      </c>
      <c r="B318">
        <v>58286</v>
      </c>
      <c r="C318">
        <v>9395</v>
      </c>
      <c r="D318">
        <v>1031</v>
      </c>
      <c r="E318">
        <v>39</v>
      </c>
    </row>
    <row r="319" spans="1:5" x14ac:dyDescent="0.2">
      <c r="A319" t="s">
        <v>319</v>
      </c>
      <c r="B319">
        <v>14856</v>
      </c>
      <c r="C319">
        <v>2146</v>
      </c>
      <c r="D319">
        <v>93</v>
      </c>
      <c r="E319">
        <v>24</v>
      </c>
    </row>
    <row r="320" spans="1:5" x14ac:dyDescent="0.2">
      <c r="A320" t="s">
        <v>320</v>
      </c>
      <c r="B320">
        <v>19795</v>
      </c>
      <c r="C320">
        <v>3945</v>
      </c>
      <c r="D320">
        <v>98</v>
      </c>
      <c r="E320">
        <v>15</v>
      </c>
    </row>
    <row r="321" spans="1:5" x14ac:dyDescent="0.2">
      <c r="A321" t="s">
        <v>321</v>
      </c>
      <c r="B321">
        <v>22302</v>
      </c>
      <c r="C321">
        <v>2365</v>
      </c>
      <c r="D321">
        <v>190</v>
      </c>
      <c r="E321">
        <v>1</v>
      </c>
    </row>
    <row r="322" spans="1:5" x14ac:dyDescent="0.2">
      <c r="A322" t="s">
        <v>322</v>
      </c>
      <c r="B322">
        <v>14695</v>
      </c>
      <c r="C322">
        <v>1794</v>
      </c>
      <c r="D322">
        <v>155</v>
      </c>
      <c r="E322">
        <v>11</v>
      </c>
    </row>
    <row r="323" spans="1:5" x14ac:dyDescent="0.2">
      <c r="A323" t="s">
        <v>323</v>
      </c>
      <c r="B323">
        <v>12719</v>
      </c>
      <c r="C323">
        <v>1183</v>
      </c>
      <c r="D323">
        <v>41</v>
      </c>
      <c r="E323">
        <v>8</v>
      </c>
    </row>
    <row r="324" spans="1:5" x14ac:dyDescent="0.2">
      <c r="A324" t="s">
        <v>324</v>
      </c>
      <c r="B324">
        <v>14943</v>
      </c>
      <c r="C324">
        <v>1576</v>
      </c>
      <c r="D324">
        <v>121</v>
      </c>
      <c r="E324">
        <v>10</v>
      </c>
    </row>
    <row r="325" spans="1:5" x14ac:dyDescent="0.2">
      <c r="A325" t="s">
        <v>325</v>
      </c>
      <c r="B325">
        <v>12788</v>
      </c>
      <c r="C325">
        <v>1270</v>
      </c>
      <c r="D325">
        <v>54</v>
      </c>
      <c r="E325">
        <v>2</v>
      </c>
    </row>
    <row r="326" spans="1:5" x14ac:dyDescent="0.2">
      <c r="A326" t="s">
        <v>326</v>
      </c>
      <c r="B326">
        <v>25779</v>
      </c>
      <c r="C326">
        <v>3238</v>
      </c>
      <c r="D326">
        <v>306</v>
      </c>
      <c r="E326">
        <v>10</v>
      </c>
    </row>
    <row r="327" spans="1:5" x14ac:dyDescent="0.2">
      <c r="A327" t="s">
        <v>327</v>
      </c>
      <c r="B327">
        <v>14855</v>
      </c>
      <c r="C327">
        <v>2239</v>
      </c>
      <c r="D327">
        <v>125</v>
      </c>
      <c r="E327">
        <v>5</v>
      </c>
    </row>
    <row r="328" spans="1:5" x14ac:dyDescent="0.2">
      <c r="A328" t="s">
        <v>328</v>
      </c>
      <c r="B328">
        <v>8230</v>
      </c>
      <c r="C328">
        <v>951</v>
      </c>
      <c r="D328">
        <v>30</v>
      </c>
      <c r="E328">
        <v>1</v>
      </c>
    </row>
    <row r="329" spans="1:5" x14ac:dyDescent="0.2">
      <c r="A329" t="s">
        <v>329</v>
      </c>
      <c r="B329">
        <v>7079</v>
      </c>
      <c r="C329">
        <v>1156</v>
      </c>
      <c r="D329">
        <v>56</v>
      </c>
      <c r="E329">
        <v>7</v>
      </c>
    </row>
    <row r="330" spans="1:5" x14ac:dyDescent="0.2">
      <c r="A330" t="s">
        <v>330</v>
      </c>
      <c r="B330">
        <v>68201</v>
      </c>
      <c r="C330">
        <v>6995</v>
      </c>
      <c r="D330">
        <v>263</v>
      </c>
      <c r="E330">
        <v>67</v>
      </c>
    </row>
    <row r="331" spans="1:5" x14ac:dyDescent="0.2">
      <c r="A331" t="s">
        <v>331</v>
      </c>
      <c r="B331">
        <v>15940</v>
      </c>
      <c r="C331">
        <v>2498</v>
      </c>
      <c r="D331">
        <v>252</v>
      </c>
      <c r="E331">
        <v>2</v>
      </c>
    </row>
    <row r="332" spans="1:5" x14ac:dyDescent="0.2">
      <c r="A332" t="s">
        <v>332</v>
      </c>
      <c r="B332">
        <v>8059</v>
      </c>
      <c r="C332">
        <v>667</v>
      </c>
      <c r="D332">
        <v>14</v>
      </c>
      <c r="E332">
        <v>1</v>
      </c>
    </row>
    <row r="333" spans="1:5" x14ac:dyDescent="0.2">
      <c r="A333" t="s">
        <v>333</v>
      </c>
      <c r="B333">
        <v>12579</v>
      </c>
      <c r="C333">
        <v>1430</v>
      </c>
      <c r="D333">
        <v>98</v>
      </c>
      <c r="E333">
        <v>0</v>
      </c>
    </row>
    <row r="334" spans="1:5" x14ac:dyDescent="0.2">
      <c r="A334" t="s">
        <v>334</v>
      </c>
      <c r="B334">
        <v>32370</v>
      </c>
      <c r="C334">
        <v>2351</v>
      </c>
      <c r="D334">
        <v>47</v>
      </c>
      <c r="E334">
        <v>1</v>
      </c>
    </row>
    <row r="335" spans="1:5" x14ac:dyDescent="0.2">
      <c r="A335" t="s">
        <v>335</v>
      </c>
      <c r="B335">
        <v>24878</v>
      </c>
      <c r="C335">
        <v>2309</v>
      </c>
      <c r="D335">
        <v>106</v>
      </c>
      <c r="E335">
        <v>2</v>
      </c>
    </row>
    <row r="336" spans="1:5" x14ac:dyDescent="0.2">
      <c r="A336" t="s">
        <v>336</v>
      </c>
      <c r="B336">
        <v>58492</v>
      </c>
      <c r="C336">
        <v>3648</v>
      </c>
      <c r="D336">
        <v>184</v>
      </c>
      <c r="E336">
        <v>16</v>
      </c>
    </row>
    <row r="337" spans="1:5" x14ac:dyDescent="0.2">
      <c r="A337" t="s">
        <v>337</v>
      </c>
      <c r="B337">
        <v>4490</v>
      </c>
      <c r="C337">
        <v>670</v>
      </c>
      <c r="D337">
        <v>62</v>
      </c>
      <c r="E337">
        <v>0</v>
      </c>
    </row>
    <row r="338" spans="1:5" x14ac:dyDescent="0.2">
      <c r="A338" t="s">
        <v>338</v>
      </c>
      <c r="B338">
        <v>23432</v>
      </c>
      <c r="C338">
        <v>2877</v>
      </c>
      <c r="D338">
        <v>172</v>
      </c>
      <c r="E338">
        <v>4</v>
      </c>
    </row>
    <row r="339" spans="1:5" x14ac:dyDescent="0.2">
      <c r="A339" t="s">
        <v>339</v>
      </c>
      <c r="B339">
        <v>13157</v>
      </c>
      <c r="C339">
        <v>1902</v>
      </c>
      <c r="D339">
        <v>135</v>
      </c>
      <c r="E339">
        <v>2</v>
      </c>
    </row>
    <row r="340" spans="1:5" x14ac:dyDescent="0.2">
      <c r="A340" t="s">
        <v>340</v>
      </c>
      <c r="B340">
        <v>22824</v>
      </c>
      <c r="C340">
        <v>1704</v>
      </c>
      <c r="D340">
        <v>141</v>
      </c>
      <c r="E340">
        <v>4</v>
      </c>
    </row>
    <row r="341" spans="1:5" x14ac:dyDescent="0.2">
      <c r="A341" t="s">
        <v>341</v>
      </c>
      <c r="B341">
        <v>11741</v>
      </c>
      <c r="C341">
        <v>2621</v>
      </c>
      <c r="D341">
        <v>190</v>
      </c>
      <c r="E341">
        <v>0</v>
      </c>
    </row>
    <row r="342" spans="1:5" x14ac:dyDescent="0.2">
      <c r="A342" t="s">
        <v>342</v>
      </c>
      <c r="B342">
        <v>22118</v>
      </c>
      <c r="C342">
        <v>2019</v>
      </c>
      <c r="D342">
        <v>105</v>
      </c>
      <c r="E342">
        <v>0</v>
      </c>
    </row>
    <row r="343" spans="1:5" x14ac:dyDescent="0.2">
      <c r="A343" t="s">
        <v>343</v>
      </c>
      <c r="B343">
        <v>58042</v>
      </c>
      <c r="C343">
        <v>5862</v>
      </c>
      <c r="D343">
        <v>211</v>
      </c>
      <c r="E343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4FC1-F7B5-024E-95D1-CA98081C1619}">
  <sheetPr>
    <tabColor theme="9" tint="0.39997558519241921"/>
  </sheetPr>
  <dimension ref="A1:B343"/>
  <sheetViews>
    <sheetView workbookViewId="0">
      <selection sqref="A1:A343"/>
    </sheetView>
  </sheetViews>
  <sheetFormatPr baseColWidth="10" defaultRowHeight="16" x14ac:dyDescent="0.2"/>
  <cols>
    <col min="2" max="2" width="15" bestFit="1" customWidth="1"/>
  </cols>
  <sheetData>
    <row r="1" spans="1:2" x14ac:dyDescent="0.2">
      <c r="A1" s="1" t="s">
        <v>0</v>
      </c>
      <c r="B1" s="1" t="s">
        <v>690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6.0624419642945531E-4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7.443617507825539E-3</v>
      </c>
    </row>
    <row r="9" spans="1:2" x14ac:dyDescent="0.2">
      <c r="A9" t="s">
        <v>9</v>
      </c>
      <c r="B9">
        <v>2.6633562803295339E-3</v>
      </c>
    </row>
    <row r="10" spans="1:2" x14ac:dyDescent="0.2">
      <c r="A10" t="s">
        <v>10</v>
      </c>
      <c r="B10">
        <v>1.9053728441405963E-2</v>
      </c>
    </row>
    <row r="11" spans="1:2" x14ac:dyDescent="0.2">
      <c r="A11" t="s">
        <v>11</v>
      </c>
      <c r="B11">
        <v>4.9307333337293129E-3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2.0565577129823771E-2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0.15669650370141586</v>
      </c>
    </row>
    <row r="18" spans="1:2" x14ac:dyDescent="0.2">
      <c r="A18" t="s">
        <v>18</v>
      </c>
      <c r="B18">
        <v>5.6601270697339218E-3</v>
      </c>
    </row>
    <row r="19" spans="1:2" x14ac:dyDescent="0.2">
      <c r="A19" t="s">
        <v>19</v>
      </c>
      <c r="B19">
        <v>2.0056743823219033E-2</v>
      </c>
    </row>
    <row r="20" spans="1:2" x14ac:dyDescent="0.2">
      <c r="A20" t="s">
        <v>20</v>
      </c>
      <c r="B20">
        <v>2.9888512048657926E-3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1.6175751420080503E-3</v>
      </c>
    </row>
    <row r="24" spans="1:2" x14ac:dyDescent="0.2">
      <c r="A24" t="s">
        <v>24</v>
      </c>
      <c r="B24">
        <v>2.0741391906580579E-3</v>
      </c>
    </row>
    <row r="25" spans="1:2" x14ac:dyDescent="0.2">
      <c r="A25" t="s">
        <v>25</v>
      </c>
      <c r="B25">
        <v>1.8420953636772213E-3</v>
      </c>
    </row>
    <row r="26" spans="1:2" x14ac:dyDescent="0.2">
      <c r="A26" t="s">
        <v>26</v>
      </c>
      <c r="B26">
        <v>8.7432213306089961E-4</v>
      </c>
    </row>
    <row r="27" spans="1:2" x14ac:dyDescent="0.2">
      <c r="A27" t="s">
        <v>27</v>
      </c>
      <c r="B27">
        <v>2.9500452406266769E-4</v>
      </c>
    </row>
    <row r="28" spans="1:2" x14ac:dyDescent="0.2">
      <c r="A28" t="s">
        <v>28</v>
      </c>
      <c r="B28">
        <v>1.0932986455530543E-3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2.1030456742239302E-3</v>
      </c>
    </row>
    <row r="34" spans="1:2" x14ac:dyDescent="0.2">
      <c r="A34" t="s">
        <v>34</v>
      </c>
      <c r="B34">
        <v>0</v>
  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</c>
      <c r="B36">
        <v>2.0155342650724543E-3</v>
      </c>
    </row>
    <row r="37" spans="1:2" x14ac:dyDescent="0.2">
      <c r="A37" t="s">
        <v>37</v>
      </c>
      <c r="B37">
        <v>0</v>
      </c>
    </row>
    <row r="38" spans="1:2" x14ac:dyDescent="0.2">
      <c r="A38" t="s">
        <v>38</v>
      </c>
      <c r="B38">
        <v>1.6742001714590052E-3</v>
      </c>
    </row>
    <row r="39" spans="1:2" x14ac:dyDescent="0.2">
      <c r="A39" t="s">
        <v>39</v>
      </c>
      <c r="B39">
        <v>2.1719460597097078E-3</v>
      </c>
    </row>
    <row r="40" spans="1:2" x14ac:dyDescent="0.2">
      <c r="A40" t="s">
        <v>40</v>
      </c>
      <c r="B40">
        <v>0</v>
      </c>
    </row>
    <row r="41" spans="1:2" x14ac:dyDescent="0.2">
      <c r="A41" t="s">
        <v>41</v>
      </c>
      <c r="B41">
        <v>0</v>
      </c>
    </row>
    <row r="42" spans="1:2" x14ac:dyDescent="0.2">
      <c r="A42" t="s">
        <v>42</v>
      </c>
      <c r="B42">
        <v>1.1740784078467243E-3</v>
      </c>
    </row>
    <row r="43" spans="1:2" x14ac:dyDescent="0.2">
      <c r="A43" t="s">
        <v>43</v>
      </c>
      <c r="B43">
        <v>1.1899175769239146E-3</v>
      </c>
    </row>
    <row r="44" spans="1:2" x14ac:dyDescent="0.2">
      <c r="A44" t="s">
        <v>44</v>
      </c>
      <c r="B44">
        <v>0</v>
      </c>
    </row>
    <row r="45" spans="1:2" x14ac:dyDescent="0.2">
      <c r="A45" t="s">
        <v>45</v>
      </c>
      <c r="B45">
        <v>0</v>
      </c>
    </row>
    <row r="46" spans="1:2" x14ac:dyDescent="0.2">
      <c r="A46" t="s">
        <v>46</v>
      </c>
      <c r="B46">
        <v>1.1325005890191E-4</v>
      </c>
    </row>
    <row r="47" spans="1:2" x14ac:dyDescent="0.2">
      <c r="A47" t="s">
        <v>47</v>
      </c>
      <c r="B47">
        <v>0</v>
      </c>
    </row>
    <row r="48" spans="1:2" x14ac:dyDescent="0.2">
      <c r="A48" t="s">
        <v>48</v>
      </c>
      <c r="B48">
        <v>2.0678035230271819E-3</v>
      </c>
    </row>
    <row r="49" spans="1:2" x14ac:dyDescent="0.2">
      <c r="A49" t="s">
        <v>49</v>
      </c>
      <c r="B49">
        <v>1.4866644095850732E-2</v>
      </c>
    </row>
    <row r="50" spans="1:2" x14ac:dyDescent="0.2">
      <c r="A50" t="s">
        <v>50</v>
      </c>
      <c r="B50">
        <v>0</v>
      </c>
    </row>
    <row r="51" spans="1:2" x14ac:dyDescent="0.2">
      <c r="A51" t="s">
        <v>51</v>
      </c>
      <c r="B51">
        <v>3.2509894530932909E-4</v>
      </c>
    </row>
    <row r="52" spans="1:2" x14ac:dyDescent="0.2">
      <c r="A52" t="s">
        <v>52</v>
      </c>
      <c r="B52">
        <v>0</v>
      </c>
    </row>
    <row r="53" spans="1:2" x14ac:dyDescent="0.2">
      <c r="A53" t="s">
        <v>53</v>
      </c>
      <c r="B53">
        <v>7.9473030844801886E-4</v>
      </c>
    </row>
    <row r="54" spans="1:2" x14ac:dyDescent="0.2">
      <c r="A54" t="s">
        <v>54</v>
      </c>
      <c r="B54">
        <v>0</v>
      </c>
    </row>
    <row r="55" spans="1:2" x14ac:dyDescent="0.2">
      <c r="A55" t="s">
        <v>55</v>
      </c>
      <c r="B55">
        <v>0</v>
      </c>
    </row>
    <row r="56" spans="1:2" x14ac:dyDescent="0.2">
      <c r="A56" t="s">
        <v>56</v>
      </c>
      <c r="B56">
        <v>7.6423990797442763E-4</v>
      </c>
    </row>
    <row r="57" spans="1:2" x14ac:dyDescent="0.2">
      <c r="A57" t="s">
        <v>57</v>
      </c>
      <c r="B57">
        <v>2.5572338475123597E-3</v>
      </c>
    </row>
    <row r="58" spans="1:2" x14ac:dyDescent="0.2">
      <c r="A58" t="s">
        <v>58</v>
      </c>
      <c r="B58">
        <v>6.5415768288795576E-4</v>
      </c>
    </row>
    <row r="59" spans="1:2" x14ac:dyDescent="0.2">
      <c r="A59" t="s">
        <v>59</v>
      </c>
      <c r="B59">
        <v>4.9537001288912387E-4</v>
      </c>
    </row>
    <row r="60" spans="1:2" x14ac:dyDescent="0.2">
      <c r="A60" t="s">
        <v>60</v>
      </c>
      <c r="B60">
        <v>3.1052690975831407E-3</v>
      </c>
    </row>
    <row r="61" spans="1:2" x14ac:dyDescent="0.2">
      <c r="A61" t="s">
        <v>61</v>
      </c>
      <c r="B61">
        <v>4.541881732884293E-4</v>
      </c>
    </row>
    <row r="62" spans="1:2" x14ac:dyDescent="0.2">
      <c r="A62" t="s">
        <v>62</v>
      </c>
      <c r="B62">
        <v>0</v>
      </c>
    </row>
    <row r="63" spans="1:2" x14ac:dyDescent="0.2">
      <c r="A63" t="s">
        <v>63</v>
      </c>
      <c r="B63">
        <v>1.5530701259411932E-2</v>
      </c>
    </row>
    <row r="64" spans="1:2" x14ac:dyDescent="0.2">
      <c r="A64" t="s">
        <v>64</v>
      </c>
      <c r="B64">
        <v>1.5316476497642933E-3</v>
      </c>
    </row>
    <row r="65" spans="1:2" x14ac:dyDescent="0.2">
      <c r="A65" t="s">
        <v>65</v>
      </c>
      <c r="B65">
        <v>8.510781524401231E-3</v>
      </c>
    </row>
    <row r="66" spans="1:2" x14ac:dyDescent="0.2">
      <c r="A66" t="s">
        <v>66</v>
      </c>
      <c r="B66">
        <v>2.3663718601322175E-3</v>
      </c>
    </row>
    <row r="67" spans="1:2" x14ac:dyDescent="0.2">
      <c r="A67" t="s">
        <v>67</v>
      </c>
      <c r="B67">
        <v>1.5328355874450826E-3</v>
      </c>
    </row>
    <row r="68" spans="1:2" x14ac:dyDescent="0.2">
      <c r="A68" t="s">
        <v>68</v>
      </c>
      <c r="B68">
        <v>0</v>
      </c>
    </row>
    <row r="69" spans="1:2" x14ac:dyDescent="0.2">
      <c r="A69" t="s">
        <v>69</v>
      </c>
      <c r="B69">
        <v>0</v>
      </c>
    </row>
    <row r="70" spans="1:2" x14ac:dyDescent="0.2">
      <c r="A70" t="s">
        <v>70</v>
      </c>
      <c r="B70">
        <v>3.6061828196492811E-3</v>
      </c>
    </row>
    <row r="71" spans="1:2" x14ac:dyDescent="0.2">
      <c r="A71" t="s">
        <v>71</v>
      </c>
      <c r="B71">
        <v>0</v>
      </c>
    </row>
    <row r="72" spans="1:2" x14ac:dyDescent="0.2">
      <c r="A72" t="s">
        <v>72</v>
      </c>
      <c r="B72">
        <v>8.7087711378661063E-3</v>
      </c>
    </row>
    <row r="73" spans="1:2" x14ac:dyDescent="0.2">
      <c r="A73" t="s">
        <v>73</v>
      </c>
      <c r="B73">
        <v>5.1065481104861235E-3</v>
      </c>
    </row>
    <row r="74" spans="1:2" x14ac:dyDescent="0.2">
      <c r="A74" t="s">
        <v>74</v>
      </c>
      <c r="B74">
        <v>3.425220312942383E-4</v>
      </c>
    </row>
    <row r="75" spans="1:2" x14ac:dyDescent="0.2">
      <c r="A75" t="s">
        <v>75</v>
      </c>
      <c r="B75">
        <v>1.1127016276726122E-3</v>
      </c>
    </row>
    <row r="76" spans="1:2" x14ac:dyDescent="0.2">
      <c r="A76" t="s">
        <v>76</v>
      </c>
      <c r="B76">
        <v>0</v>
      </c>
    </row>
    <row r="77" spans="1:2" x14ac:dyDescent="0.2">
      <c r="A77" t="s">
        <v>77</v>
      </c>
      <c r="B77">
        <v>1.2924761966987212E-3</v>
      </c>
    </row>
    <row r="78" spans="1:2" x14ac:dyDescent="0.2">
      <c r="A78" t="s">
        <v>78</v>
      </c>
      <c r="B78">
        <v>1.1629909894926912E-3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6.0766972164640245E-3</v>
      </c>
    </row>
    <row r="81" spans="1:2" x14ac:dyDescent="0.2">
      <c r="A81" t="s">
        <v>81</v>
      </c>
      <c r="B81">
        <v>0</v>
      </c>
    </row>
    <row r="82" spans="1:2" x14ac:dyDescent="0.2">
      <c r="A82" t="s">
        <v>82</v>
      </c>
      <c r="B82">
        <v>1.4991773531560534E-3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6.3356676308760847E-5</v>
      </c>
    </row>
    <row r="85" spans="1:2" x14ac:dyDescent="0.2">
      <c r="A85" t="s">
        <v>85</v>
      </c>
      <c r="B85">
        <v>2.669652350037717E-2</v>
      </c>
    </row>
    <row r="86" spans="1:2" x14ac:dyDescent="0.2">
      <c r="A86" t="s">
        <v>86</v>
      </c>
      <c r="B86">
        <v>4.7636300999649559E-4</v>
      </c>
    </row>
    <row r="87" spans="1:2" x14ac:dyDescent="0.2">
      <c r="A87" t="s">
        <v>87</v>
      </c>
      <c r="B87">
        <v>1.2227838527590843E-3</v>
      </c>
    </row>
    <row r="88" spans="1:2" x14ac:dyDescent="0.2">
      <c r="A88" t="s">
        <v>88</v>
      </c>
      <c r="B88">
        <v>6.3633861767611671E-4</v>
      </c>
    </row>
    <row r="89" spans="1:2" x14ac:dyDescent="0.2">
      <c r="A89" t="s">
        <v>89</v>
      </c>
      <c r="B89">
        <v>3.4576906095506229E-3</v>
      </c>
    </row>
    <row r="90" spans="1:2" x14ac:dyDescent="0.2">
      <c r="A90" t="s">
        <v>90</v>
      </c>
      <c r="B90">
        <v>0</v>
      </c>
    </row>
    <row r="91" spans="1:2" x14ac:dyDescent="0.2">
      <c r="A91" t="s">
        <v>91</v>
      </c>
      <c r="B91">
        <v>8.826376968264245E-4</v>
      </c>
    </row>
    <row r="92" spans="1:2" x14ac:dyDescent="0.2">
      <c r="A92" t="s">
        <v>92</v>
      </c>
      <c r="B92">
        <v>1.1618030518119019E-3</v>
      </c>
    </row>
    <row r="93" spans="1:2" x14ac:dyDescent="0.2">
      <c r="A93" t="s">
        <v>93</v>
      </c>
      <c r="B93">
        <v>0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5.9594873652928169E-4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1.7767587912338118E-3</v>
      </c>
    </row>
    <row r="99" spans="1:2" x14ac:dyDescent="0.2">
      <c r="A99" t="s">
        <v>99</v>
      </c>
      <c r="B99">
        <v>0</v>
      </c>
    </row>
    <row r="100" spans="1:2" x14ac:dyDescent="0.2">
      <c r="A100" t="s">
        <v>100</v>
      </c>
      <c r="B100">
        <v>2.2911358070155639E-3</v>
      </c>
    </row>
    <row r="101" spans="1:2" x14ac:dyDescent="0.2">
      <c r="A101" t="s">
        <v>101</v>
      </c>
      <c r="B101">
        <v>0</v>
      </c>
    </row>
    <row r="102" spans="1:2" x14ac:dyDescent="0.2">
      <c r="A102" t="s">
        <v>102</v>
      </c>
      <c r="B102">
        <v>4.9556800250258872E-3</v>
      </c>
    </row>
    <row r="103" spans="1:2" x14ac:dyDescent="0.2">
      <c r="A103" t="s">
        <v>103</v>
      </c>
      <c r="B103">
        <v>6.5732551670339377E-4</v>
      </c>
    </row>
    <row r="104" spans="1:2" x14ac:dyDescent="0.2">
      <c r="A104" t="s">
        <v>104</v>
      </c>
      <c r="B104">
        <v>1.2169233602005239E-2</v>
      </c>
    </row>
    <row r="105" spans="1:2" x14ac:dyDescent="0.2">
      <c r="A105" t="s">
        <v>105</v>
      </c>
      <c r="B105">
        <v>5.345521573938232E-2</v>
      </c>
    </row>
    <row r="106" spans="1:2" x14ac:dyDescent="0.2">
      <c r="A106" t="s">
        <v>106</v>
      </c>
      <c r="B106">
        <v>8.5733462422561326E-3</v>
      </c>
    </row>
    <row r="107" spans="1:2" x14ac:dyDescent="0.2">
      <c r="A107" t="s">
        <v>107</v>
      </c>
      <c r="B107">
        <v>0</v>
      </c>
    </row>
    <row r="108" spans="1:2" x14ac:dyDescent="0.2">
      <c r="A108" t="s">
        <v>108</v>
      </c>
      <c r="B108">
        <v>0</v>
      </c>
    </row>
    <row r="109" spans="1:2" x14ac:dyDescent="0.2">
      <c r="A109" t="s">
        <v>109</v>
      </c>
      <c r="B109">
        <v>1.5902921732725901E-2</v>
      </c>
    </row>
    <row r="110" spans="1:2" x14ac:dyDescent="0.2">
      <c r="A110" t="s">
        <v>110</v>
      </c>
      <c r="B110">
        <v>3.9426067708488013E-2</v>
      </c>
    </row>
    <row r="111" spans="1:2" x14ac:dyDescent="0.2">
      <c r="A111" t="s">
        <v>111</v>
      </c>
      <c r="B111">
        <v>4.1221437523387522E-4</v>
      </c>
    </row>
    <row r="112" spans="1:2" x14ac:dyDescent="0.2">
      <c r="A112" t="s">
        <v>112</v>
      </c>
      <c r="B112">
        <v>1.3431615377457299E-3</v>
      </c>
    </row>
    <row r="113" spans="1:2" x14ac:dyDescent="0.2">
      <c r="A113" t="s">
        <v>113</v>
      </c>
      <c r="B113">
        <v>1.9771242800602682E-3</v>
      </c>
    </row>
    <row r="114" spans="1:2" x14ac:dyDescent="0.2">
      <c r="A114" t="s">
        <v>114</v>
      </c>
      <c r="B114">
        <v>4.9457805443526431E-4</v>
      </c>
    </row>
    <row r="115" spans="1:2" x14ac:dyDescent="0.2">
      <c r="A115" t="s">
        <v>115</v>
      </c>
      <c r="B115">
        <v>8.3512018959485388E-4</v>
      </c>
    </row>
    <row r="116" spans="1:2" x14ac:dyDescent="0.2">
      <c r="A116" t="s">
        <v>116</v>
      </c>
      <c r="B116">
        <v>0</v>
      </c>
    </row>
    <row r="117" spans="1:2" x14ac:dyDescent="0.2">
      <c r="A117" t="s">
        <v>117</v>
      </c>
      <c r="B117">
        <v>9.099602634845776E-4</v>
      </c>
    </row>
    <row r="118" spans="1:2" x14ac:dyDescent="0.2">
      <c r="A118" t="s">
        <v>118</v>
      </c>
      <c r="B118">
        <v>2.4776420228994787E-3</v>
      </c>
    </row>
    <row r="119" spans="1:2" x14ac:dyDescent="0.2">
      <c r="A119" t="s">
        <v>119</v>
      </c>
      <c r="B119">
        <v>0</v>
      </c>
    </row>
    <row r="120" spans="1:2" x14ac:dyDescent="0.2">
      <c r="A120" t="s">
        <v>120</v>
      </c>
      <c r="B120">
        <v>4.8139194617850354E-3</v>
      </c>
    </row>
    <row r="121" spans="1:2" x14ac:dyDescent="0.2">
      <c r="A121" t="s">
        <v>121</v>
      </c>
      <c r="B121">
        <v>1.0774594764758642E-3</v>
      </c>
    </row>
    <row r="122" spans="1:2" x14ac:dyDescent="0.2">
      <c r="A122" t="s">
        <v>122</v>
      </c>
      <c r="B122">
        <v>1.6183671004619097E-3</v>
      </c>
    </row>
    <row r="123" spans="1:2" x14ac:dyDescent="0.2">
      <c r="A123" t="s">
        <v>123</v>
      </c>
      <c r="B123">
        <v>2.8074927189319649E-4</v>
      </c>
    </row>
    <row r="124" spans="1:2" x14ac:dyDescent="0.2">
      <c r="A124" t="s">
        <v>124</v>
      </c>
      <c r="B124">
        <v>1.9181233752477347E-3</v>
      </c>
    </row>
    <row r="125" spans="1:2" x14ac:dyDescent="0.2">
      <c r="A125" t="s">
        <v>125</v>
      </c>
      <c r="B125">
        <v>1.2334752918861877E-3</v>
      </c>
    </row>
    <row r="126" spans="1:2" x14ac:dyDescent="0.2">
      <c r="A126" t="s">
        <v>126</v>
      </c>
      <c r="B126">
        <v>1.6999388212094394E-3</v>
      </c>
    </row>
    <row r="127" spans="1:2" x14ac:dyDescent="0.2">
      <c r="A127" t="s">
        <v>127</v>
      </c>
      <c r="B127">
        <v>0</v>
      </c>
    </row>
    <row r="128" spans="1:2" x14ac:dyDescent="0.2">
      <c r="A128" t="s">
        <v>128</v>
      </c>
      <c r="B128">
        <v>2.4883334620265821E-2</v>
      </c>
    </row>
    <row r="129" spans="1:2" x14ac:dyDescent="0.2">
      <c r="A129" t="s">
        <v>129</v>
      </c>
      <c r="B129">
        <v>2.0325613718304341E-3</v>
      </c>
    </row>
    <row r="130" spans="1:2" x14ac:dyDescent="0.2">
      <c r="A130" t="s">
        <v>130</v>
      </c>
      <c r="B130">
        <v>0</v>
      </c>
    </row>
    <row r="131" spans="1:2" x14ac:dyDescent="0.2">
      <c r="A131" t="s">
        <v>131</v>
      </c>
      <c r="B131">
        <v>0</v>
      </c>
    </row>
    <row r="132" spans="1:2" x14ac:dyDescent="0.2">
      <c r="A132" t="s">
        <v>132</v>
      </c>
      <c r="B132">
        <v>9.8761178988550254E-3</v>
      </c>
    </row>
    <row r="133" spans="1:2" x14ac:dyDescent="0.2">
      <c r="A133" t="s">
        <v>133</v>
      </c>
      <c r="B133">
        <v>0</v>
      </c>
    </row>
    <row r="134" spans="1:2" x14ac:dyDescent="0.2">
      <c r="A134" t="s">
        <v>134</v>
      </c>
      <c r="B134">
        <v>3.8829722992731802E-3</v>
      </c>
    </row>
    <row r="135" spans="1:2" x14ac:dyDescent="0.2">
      <c r="A135" t="s">
        <v>135</v>
      </c>
      <c r="B135">
        <v>0</v>
      </c>
    </row>
    <row r="136" spans="1:2" x14ac:dyDescent="0.2">
      <c r="A136" t="s">
        <v>136</v>
      </c>
      <c r="B136">
        <v>0</v>
      </c>
    </row>
    <row r="137" spans="1:2" x14ac:dyDescent="0.2">
      <c r="A137" t="s">
        <v>137</v>
      </c>
      <c r="B137">
        <v>2.3620160886359902E-3</v>
      </c>
    </row>
    <row r="138" spans="1:2" x14ac:dyDescent="0.2">
      <c r="A138" t="s">
        <v>138</v>
      </c>
      <c r="B138">
        <v>6.3039892927217039E-4</v>
      </c>
    </row>
    <row r="139" spans="1:2" x14ac:dyDescent="0.2">
      <c r="A139" t="s">
        <v>139</v>
      </c>
      <c r="B139">
        <v>3.833078916680031E-4</v>
      </c>
    </row>
    <row r="140" spans="1:2" x14ac:dyDescent="0.2">
      <c r="A140" t="s">
        <v>140</v>
      </c>
      <c r="B140">
        <v>2.4907093373881606E-3</v>
      </c>
    </row>
    <row r="141" spans="1:2" x14ac:dyDescent="0.2">
      <c r="A141" t="s">
        <v>141</v>
      </c>
      <c r="B141">
        <v>2.4134933881368582E-3</v>
      </c>
    </row>
    <row r="142" spans="1:2" x14ac:dyDescent="0.2">
      <c r="A142" t="s">
        <v>142</v>
      </c>
      <c r="B142">
        <v>1.9830639684642144E-3</v>
      </c>
    </row>
    <row r="143" spans="1:2" x14ac:dyDescent="0.2">
      <c r="A143" t="s">
        <v>143</v>
      </c>
      <c r="B143">
        <v>0</v>
      </c>
    </row>
    <row r="144" spans="1:2" x14ac:dyDescent="0.2">
      <c r="A144" t="s">
        <v>144</v>
      </c>
      <c r="B144">
        <v>0</v>
      </c>
    </row>
    <row r="145" spans="1:2" x14ac:dyDescent="0.2">
      <c r="A145" t="s">
        <v>145</v>
      </c>
      <c r="B145">
        <v>0</v>
      </c>
    </row>
    <row r="146" spans="1:2" x14ac:dyDescent="0.2">
      <c r="A146" t="s">
        <v>146</v>
      </c>
      <c r="B146">
        <v>0</v>
      </c>
    </row>
    <row r="147" spans="1:2" x14ac:dyDescent="0.2">
      <c r="A147" t="s">
        <v>147</v>
      </c>
      <c r="B147">
        <v>6.3831851381076544E-4</v>
      </c>
    </row>
    <row r="148" spans="1:2" x14ac:dyDescent="0.2">
      <c r="A148" t="s">
        <v>148</v>
      </c>
      <c r="B148">
        <v>3.8093201630642459E-4</v>
      </c>
    </row>
    <row r="149" spans="1:2" x14ac:dyDescent="0.2">
      <c r="A149" t="s">
        <v>149</v>
      </c>
      <c r="B149">
        <v>0</v>
      </c>
    </row>
    <row r="150" spans="1:2" x14ac:dyDescent="0.2">
      <c r="A150" t="s">
        <v>150</v>
      </c>
      <c r="B150">
        <v>0</v>
      </c>
    </row>
    <row r="151" spans="1:2" x14ac:dyDescent="0.2">
      <c r="A151" t="s">
        <v>151</v>
      </c>
      <c r="B151">
        <v>4.2250983513404889E-4</v>
      </c>
    </row>
    <row r="152" spans="1:2" x14ac:dyDescent="0.2">
      <c r="A152" t="s">
        <v>152</v>
      </c>
      <c r="B152">
        <v>0</v>
      </c>
    </row>
    <row r="153" spans="1:2" x14ac:dyDescent="0.2">
      <c r="A153" t="s">
        <v>153</v>
      </c>
      <c r="B153">
        <v>0</v>
      </c>
    </row>
    <row r="154" spans="1:2" x14ac:dyDescent="0.2">
      <c r="A154" t="s">
        <v>154</v>
      </c>
      <c r="B154">
        <v>0</v>
      </c>
    </row>
    <row r="155" spans="1:2" x14ac:dyDescent="0.2">
      <c r="A155" t="s">
        <v>155</v>
      </c>
      <c r="B155">
        <v>2.7928414875355639E-3</v>
      </c>
    </row>
    <row r="156" spans="1:2" x14ac:dyDescent="0.2">
      <c r="A156" t="s">
        <v>156</v>
      </c>
      <c r="B156">
        <v>0</v>
      </c>
    </row>
    <row r="157" spans="1:2" x14ac:dyDescent="0.2">
      <c r="A157" t="s">
        <v>157</v>
      </c>
      <c r="B157">
        <v>0</v>
      </c>
    </row>
    <row r="158" spans="1:2" x14ac:dyDescent="0.2">
      <c r="A158" t="s">
        <v>158</v>
      </c>
      <c r="B158">
        <v>0</v>
      </c>
    </row>
    <row r="159" spans="1:2" x14ac:dyDescent="0.2">
      <c r="A159" t="s">
        <v>159</v>
      </c>
      <c r="B159">
        <v>0</v>
      </c>
    </row>
    <row r="160" spans="1:2" x14ac:dyDescent="0.2">
      <c r="A160" t="s">
        <v>160</v>
      </c>
      <c r="B160">
        <v>3.8671331301959899E-3</v>
      </c>
    </row>
    <row r="161" spans="1:2" x14ac:dyDescent="0.2">
      <c r="A161" t="s">
        <v>161</v>
      </c>
      <c r="B161">
        <v>3.470678728193919E-2</v>
      </c>
    </row>
    <row r="162" spans="1:2" x14ac:dyDescent="0.2">
      <c r="A162" t="s">
        <v>162</v>
      </c>
      <c r="B162">
        <v>0</v>
      </c>
    </row>
    <row r="163" spans="1:2" x14ac:dyDescent="0.2">
      <c r="A163" t="s">
        <v>163</v>
      </c>
      <c r="B163">
        <v>5.3615587326288862E-4</v>
      </c>
    </row>
    <row r="164" spans="1:2" x14ac:dyDescent="0.2">
      <c r="A164" t="s">
        <v>164</v>
      </c>
      <c r="B164">
        <v>4.9861704254994784E-3</v>
      </c>
    </row>
    <row r="165" spans="1:2" x14ac:dyDescent="0.2">
      <c r="A165" t="s">
        <v>165</v>
      </c>
      <c r="B165">
        <v>0</v>
      </c>
    </row>
    <row r="166" spans="1:2" x14ac:dyDescent="0.2">
      <c r="A166" t="s">
        <v>166</v>
      </c>
      <c r="B166">
        <v>0</v>
      </c>
    </row>
    <row r="167" spans="1:2" x14ac:dyDescent="0.2">
      <c r="A167" t="s">
        <v>167</v>
      </c>
      <c r="B167">
        <v>0</v>
      </c>
    </row>
    <row r="168" spans="1:2" x14ac:dyDescent="0.2">
      <c r="A168" t="s">
        <v>168</v>
      </c>
      <c r="B168">
        <v>0</v>
      </c>
    </row>
    <row r="169" spans="1:2" x14ac:dyDescent="0.2">
      <c r="A169" t="s">
        <v>169</v>
      </c>
      <c r="B169">
        <v>0</v>
      </c>
    </row>
    <row r="170" spans="1:2" x14ac:dyDescent="0.2">
      <c r="A170" t="s">
        <v>170</v>
      </c>
      <c r="B170">
        <v>0</v>
      </c>
    </row>
    <row r="171" spans="1:2" x14ac:dyDescent="0.2">
      <c r="A171" t="s">
        <v>171</v>
      </c>
      <c r="B171">
        <v>0</v>
      </c>
    </row>
    <row r="172" spans="1:2" x14ac:dyDescent="0.2">
      <c r="A172" t="s">
        <v>172</v>
      </c>
      <c r="B172">
        <v>0</v>
      </c>
    </row>
    <row r="173" spans="1:2" x14ac:dyDescent="0.2">
      <c r="A173" t="s">
        <v>173</v>
      </c>
      <c r="B173">
        <v>0</v>
      </c>
    </row>
    <row r="174" spans="1:2" x14ac:dyDescent="0.2">
      <c r="A174" t="s">
        <v>174</v>
      </c>
      <c r="B174">
        <v>0</v>
      </c>
    </row>
    <row r="175" spans="1:2" x14ac:dyDescent="0.2">
      <c r="A175" t="s">
        <v>175</v>
      </c>
      <c r="B175">
        <v>0</v>
      </c>
    </row>
    <row r="176" spans="1:2" x14ac:dyDescent="0.2">
      <c r="A176" t="s">
        <v>176</v>
      </c>
      <c r="B176">
        <v>0</v>
      </c>
    </row>
    <row r="177" spans="1:2" x14ac:dyDescent="0.2">
      <c r="A177" t="s">
        <v>177</v>
      </c>
      <c r="B177">
        <v>3.9332616610932595E-3</v>
      </c>
    </row>
    <row r="178" spans="1:2" x14ac:dyDescent="0.2">
      <c r="A178" t="s">
        <v>178</v>
      </c>
      <c r="B178">
        <v>0</v>
      </c>
    </row>
    <row r="179" spans="1:2" x14ac:dyDescent="0.2">
      <c r="A179" t="s">
        <v>179</v>
      </c>
      <c r="B179">
        <v>3.3183059216713491E-4</v>
      </c>
    </row>
    <row r="180" spans="1:2" x14ac:dyDescent="0.2">
      <c r="A180" t="s">
        <v>180</v>
      </c>
      <c r="B180">
        <v>0</v>
      </c>
    </row>
    <row r="181" spans="1:2" x14ac:dyDescent="0.2">
      <c r="A181" t="s">
        <v>181</v>
      </c>
      <c r="B181">
        <v>2.5287233431734173E-3</v>
      </c>
    </row>
    <row r="182" spans="1:2" x14ac:dyDescent="0.2">
      <c r="A182" t="s">
        <v>182</v>
      </c>
      <c r="B182">
        <v>1.7225096371444354E-3</v>
      </c>
    </row>
    <row r="183" spans="1:2" x14ac:dyDescent="0.2">
      <c r="A183" t="s">
        <v>183</v>
      </c>
      <c r="B183">
        <v>0</v>
      </c>
    </row>
    <row r="184" spans="1:2" x14ac:dyDescent="0.2">
      <c r="A184" t="s">
        <v>184</v>
      </c>
      <c r="B184">
        <v>6.2841903313752166E-4</v>
      </c>
    </row>
    <row r="185" spans="1:2" x14ac:dyDescent="0.2">
      <c r="A185" t="s">
        <v>185</v>
      </c>
      <c r="B185">
        <v>1.5736214478188474E-3</v>
      </c>
    </row>
    <row r="186" spans="1:2" x14ac:dyDescent="0.2">
      <c r="A186" t="s">
        <v>186</v>
      </c>
      <c r="B186">
        <v>3.718244940870402E-4</v>
      </c>
    </row>
    <row r="187" spans="1:2" x14ac:dyDescent="0.2">
      <c r="A187" t="s">
        <v>187</v>
      </c>
      <c r="B187">
        <v>6.3356676308760847E-5</v>
      </c>
    </row>
    <row r="188" spans="1:2" x14ac:dyDescent="0.2">
      <c r="A188" t="s">
        <v>188</v>
      </c>
      <c r="B188">
        <v>7.4919269735109699E-4</v>
      </c>
    </row>
    <row r="189" spans="1:2" x14ac:dyDescent="0.2">
      <c r="A189" t="s">
        <v>189</v>
      </c>
      <c r="B189">
        <v>0</v>
      </c>
    </row>
    <row r="190" spans="1:2" x14ac:dyDescent="0.2">
      <c r="A190" t="s">
        <v>190</v>
      </c>
      <c r="B190">
        <v>4.9497403366219404E-4</v>
      </c>
    </row>
    <row r="191" spans="1:2" x14ac:dyDescent="0.2">
      <c r="A191" t="s">
        <v>191</v>
      </c>
      <c r="B191">
        <v>0</v>
      </c>
    </row>
    <row r="192" spans="1:2" x14ac:dyDescent="0.2">
      <c r="A192" t="s">
        <v>192</v>
      </c>
      <c r="B192">
        <v>0</v>
      </c>
    </row>
    <row r="193" spans="1:2" x14ac:dyDescent="0.2">
      <c r="A193" t="s">
        <v>193</v>
      </c>
      <c r="B193">
        <v>0</v>
      </c>
    </row>
    <row r="194" spans="1:2" x14ac:dyDescent="0.2">
      <c r="A194" t="s">
        <v>194</v>
      </c>
      <c r="B194">
        <v>0</v>
      </c>
    </row>
    <row r="195" spans="1:2" x14ac:dyDescent="0.2">
      <c r="A195" t="s">
        <v>195</v>
      </c>
      <c r="B195">
        <v>1.5094728130562269E-3</v>
      </c>
    </row>
    <row r="196" spans="1:2" x14ac:dyDescent="0.2">
      <c r="A196" t="s">
        <v>196</v>
      </c>
      <c r="B196">
        <v>1.9191529212377517E-2</v>
      </c>
    </row>
    <row r="197" spans="1:2" x14ac:dyDescent="0.2">
      <c r="A197" t="s">
        <v>197</v>
      </c>
      <c r="B197">
        <v>0</v>
      </c>
    </row>
    <row r="198" spans="1:2" x14ac:dyDescent="0.2">
      <c r="A198" t="s">
        <v>198</v>
      </c>
      <c r="B198">
        <v>0</v>
      </c>
    </row>
    <row r="199" spans="1:2" x14ac:dyDescent="0.2">
      <c r="A199" t="s">
        <v>199</v>
      </c>
      <c r="B199">
        <v>0</v>
      </c>
    </row>
    <row r="200" spans="1:2" x14ac:dyDescent="0.2">
      <c r="A200" t="s">
        <v>200</v>
      </c>
      <c r="B200">
        <v>0</v>
      </c>
    </row>
    <row r="201" spans="1:2" x14ac:dyDescent="0.2">
      <c r="A201" t="s">
        <v>201</v>
      </c>
      <c r="B201">
        <v>0</v>
      </c>
    </row>
    <row r="202" spans="1:2" x14ac:dyDescent="0.2">
      <c r="A202" t="s">
        <v>202</v>
      </c>
      <c r="B202">
        <v>0</v>
      </c>
    </row>
    <row r="203" spans="1:2" x14ac:dyDescent="0.2">
      <c r="A203" t="s">
        <v>203</v>
      </c>
      <c r="B203">
        <v>0</v>
      </c>
    </row>
    <row r="204" spans="1:2" x14ac:dyDescent="0.2">
      <c r="A204" t="s">
        <v>204</v>
      </c>
      <c r="B204">
        <v>9.0916830503071804E-4</v>
      </c>
    </row>
    <row r="205" spans="1:2" x14ac:dyDescent="0.2">
      <c r="A205" t="s">
        <v>205</v>
      </c>
      <c r="B205">
        <v>0</v>
      </c>
    </row>
    <row r="206" spans="1:2" x14ac:dyDescent="0.2">
      <c r="A206" t="s">
        <v>206</v>
      </c>
      <c r="B206">
        <v>0</v>
      </c>
    </row>
    <row r="207" spans="1:2" x14ac:dyDescent="0.2">
      <c r="A207" t="s">
        <v>207</v>
      </c>
      <c r="B207">
        <v>9.1629593111545364E-4</v>
      </c>
    </row>
    <row r="208" spans="1:2" x14ac:dyDescent="0.2">
      <c r="A208" t="s">
        <v>208</v>
      </c>
      <c r="B208">
        <v>1.5082848753754379E-3</v>
      </c>
    </row>
    <row r="209" spans="1:2" x14ac:dyDescent="0.2">
      <c r="A209" t="s">
        <v>209</v>
      </c>
      <c r="B209">
        <v>3.6707274336388312E-4</v>
      </c>
    </row>
    <row r="210" spans="1:2" x14ac:dyDescent="0.2">
      <c r="A210" t="s">
        <v>210</v>
      </c>
      <c r="B210">
        <v>0</v>
      </c>
    </row>
    <row r="211" spans="1:2" x14ac:dyDescent="0.2">
      <c r="A211" t="s">
        <v>211</v>
      </c>
      <c r="B211">
        <v>8.2799256351011818E-4</v>
      </c>
    </row>
    <row r="212" spans="1:2" x14ac:dyDescent="0.2">
      <c r="A212" t="s">
        <v>212</v>
      </c>
      <c r="B212">
        <v>6.806882910922493E-4</v>
      </c>
    </row>
    <row r="213" spans="1:2" x14ac:dyDescent="0.2">
      <c r="A213" t="s">
        <v>213</v>
      </c>
      <c r="B213">
        <v>0</v>
      </c>
    </row>
    <row r="214" spans="1:2" x14ac:dyDescent="0.2">
      <c r="A214" t="s">
        <v>214</v>
      </c>
      <c r="B214">
        <v>0</v>
      </c>
    </row>
    <row r="215" spans="1:2" x14ac:dyDescent="0.2">
      <c r="A215" t="s">
        <v>215</v>
      </c>
      <c r="B215">
        <v>0</v>
      </c>
    </row>
    <row r="216" spans="1:2" x14ac:dyDescent="0.2">
      <c r="A216" t="s">
        <v>216</v>
      </c>
      <c r="B216">
        <v>0</v>
      </c>
    </row>
    <row r="217" spans="1:2" x14ac:dyDescent="0.2">
      <c r="A217" t="s">
        <v>217</v>
      </c>
      <c r="B217">
        <v>0</v>
      </c>
    </row>
    <row r="218" spans="1:2" x14ac:dyDescent="0.2">
      <c r="A218" t="s">
        <v>218</v>
      </c>
      <c r="B218">
        <v>0</v>
      </c>
    </row>
    <row r="219" spans="1:2" x14ac:dyDescent="0.2">
      <c r="A219" t="s">
        <v>219</v>
      </c>
      <c r="B219">
        <v>3.8512939611187996E-3</v>
      </c>
    </row>
    <row r="220" spans="1:2" x14ac:dyDescent="0.2">
      <c r="A220" t="s">
        <v>220</v>
      </c>
      <c r="B220">
        <v>5.7060606600577732E-4</v>
      </c>
    </row>
    <row r="221" spans="1:2" x14ac:dyDescent="0.2">
      <c r="A221" t="s">
        <v>221</v>
      </c>
      <c r="B221">
        <v>3.7455675075285552E-3</v>
      </c>
    </row>
    <row r="222" spans="1:2" x14ac:dyDescent="0.2">
      <c r="A222" t="s">
        <v>222</v>
      </c>
      <c r="B222">
        <v>0</v>
      </c>
    </row>
    <row r="223" spans="1:2" x14ac:dyDescent="0.2">
      <c r="A223" t="s">
        <v>223</v>
      </c>
      <c r="B223">
        <v>1.4477000536551852E-3</v>
      </c>
    </row>
    <row r="224" spans="1:2" x14ac:dyDescent="0.2">
      <c r="A224" t="s">
        <v>224</v>
      </c>
      <c r="B224">
        <v>0</v>
      </c>
    </row>
    <row r="225" spans="1:2" x14ac:dyDescent="0.2">
      <c r="A225" t="s">
        <v>225</v>
      </c>
      <c r="B225">
        <v>0</v>
      </c>
    </row>
    <row r="226" spans="1:2" x14ac:dyDescent="0.2">
      <c r="A226" t="s">
        <v>226</v>
      </c>
      <c r="B226">
        <v>0</v>
      </c>
    </row>
    <row r="227" spans="1:2" x14ac:dyDescent="0.2">
      <c r="A227" t="s">
        <v>227</v>
      </c>
      <c r="B227">
        <v>0</v>
      </c>
    </row>
    <row r="228" spans="1:2" x14ac:dyDescent="0.2">
      <c r="A228" t="s">
        <v>228</v>
      </c>
      <c r="B228">
        <v>2.0190980781148223E-3</v>
      </c>
    </row>
    <row r="229" spans="1:2" x14ac:dyDescent="0.2">
      <c r="A229" t="s">
        <v>229</v>
      </c>
      <c r="B229">
        <v>6.3950645149155473E-4</v>
      </c>
    </row>
    <row r="230" spans="1:2" x14ac:dyDescent="0.2">
      <c r="A230" t="s">
        <v>230</v>
      </c>
      <c r="B230">
        <v>3.4034414554612465E-3</v>
      </c>
    </row>
    <row r="231" spans="1:2" x14ac:dyDescent="0.2">
      <c r="A231" t="s">
        <v>231</v>
      </c>
      <c r="B231">
        <v>6.8939983408470402E-4</v>
      </c>
    </row>
    <row r="232" spans="1:2" x14ac:dyDescent="0.2">
      <c r="A232" t="s">
        <v>232</v>
      </c>
      <c r="B232">
        <v>4.3478519116887124E-4</v>
      </c>
    </row>
    <row r="233" spans="1:2" x14ac:dyDescent="0.2">
      <c r="A233" t="s">
        <v>233</v>
      </c>
      <c r="B233">
        <v>0</v>
      </c>
    </row>
    <row r="234" spans="1:2" x14ac:dyDescent="0.2">
      <c r="A234" t="s">
        <v>234</v>
      </c>
      <c r="B234">
        <v>0</v>
      </c>
    </row>
    <row r="235" spans="1:2" x14ac:dyDescent="0.2">
      <c r="A235" t="s">
        <v>235</v>
      </c>
      <c r="B235">
        <v>2.2281751099337329E-3</v>
      </c>
    </row>
    <row r="236" spans="1:2" x14ac:dyDescent="0.2">
      <c r="A236" t="s">
        <v>236</v>
      </c>
      <c r="B236">
        <v>6.0862007179103388E-4</v>
      </c>
    </row>
    <row r="237" spans="1:2" x14ac:dyDescent="0.2">
      <c r="A237" t="s">
        <v>237</v>
      </c>
      <c r="B237">
        <v>0</v>
      </c>
    </row>
    <row r="238" spans="1:2" x14ac:dyDescent="0.2">
      <c r="A238" t="s">
        <v>238</v>
      </c>
      <c r="B238">
        <v>5.6038980195098967E-3</v>
      </c>
    </row>
    <row r="239" spans="1:2" x14ac:dyDescent="0.2">
      <c r="A239" t="s">
        <v>239</v>
      </c>
      <c r="B239">
        <v>2.0717633152964794E-3</v>
      </c>
    </row>
    <row r="240" spans="1:2" x14ac:dyDescent="0.2">
      <c r="A240" t="s">
        <v>240</v>
      </c>
      <c r="B240">
        <v>0</v>
      </c>
    </row>
    <row r="241" spans="1:2" x14ac:dyDescent="0.2">
      <c r="A241" t="s">
        <v>241</v>
      </c>
      <c r="B241">
        <v>3.5507457278791156E-3</v>
      </c>
    </row>
    <row r="242" spans="1:2" x14ac:dyDescent="0.2">
      <c r="A242" t="s">
        <v>242</v>
      </c>
      <c r="B242">
        <v>6.3317078386067869E-4</v>
      </c>
    </row>
    <row r="243" spans="1:2" x14ac:dyDescent="0.2">
      <c r="A243" t="s">
        <v>243</v>
      </c>
      <c r="B243">
        <v>4.4979280386950897E-3</v>
      </c>
    </row>
    <row r="244" spans="1:2" x14ac:dyDescent="0.2">
      <c r="A244" t="s">
        <v>244</v>
      </c>
      <c r="B244">
        <v>6.1514184965856693E-2</v>
      </c>
    </row>
    <row r="245" spans="1:2" x14ac:dyDescent="0.2">
      <c r="A245" t="s">
        <v>245</v>
      </c>
      <c r="B245">
        <v>0</v>
      </c>
    </row>
    <row r="246" spans="1:2" x14ac:dyDescent="0.2">
      <c r="A246" t="s">
        <v>246</v>
      </c>
      <c r="B246">
        <v>0</v>
      </c>
    </row>
    <row r="247" spans="1:2" x14ac:dyDescent="0.2">
      <c r="A247" t="s">
        <v>247</v>
      </c>
      <c r="B247">
        <v>1.6021319521577898E-3</v>
      </c>
    </row>
    <row r="248" spans="1:2" x14ac:dyDescent="0.2">
      <c r="A248" t="s">
        <v>248</v>
      </c>
      <c r="B248">
        <v>0</v>
      </c>
    </row>
    <row r="249" spans="1:2" x14ac:dyDescent="0.2">
      <c r="A249" t="s">
        <v>249</v>
      </c>
      <c r="B249">
        <v>7.6447749551058555E-3</v>
      </c>
    </row>
    <row r="250" spans="1:2" x14ac:dyDescent="0.2">
      <c r="A250" t="s">
        <v>250</v>
      </c>
      <c r="B250">
        <v>0</v>
      </c>
    </row>
    <row r="251" spans="1:2" x14ac:dyDescent="0.2">
      <c r="A251" t="s">
        <v>251</v>
      </c>
      <c r="B251">
        <v>0</v>
      </c>
    </row>
    <row r="252" spans="1:2" x14ac:dyDescent="0.2">
      <c r="A252" t="s">
        <v>252</v>
      </c>
      <c r="B252">
        <v>0</v>
      </c>
    </row>
    <row r="253" spans="1:2" x14ac:dyDescent="0.2">
      <c r="A253" t="s">
        <v>253</v>
      </c>
      <c r="B253">
        <v>0</v>
      </c>
    </row>
    <row r="254" spans="1:2" x14ac:dyDescent="0.2">
      <c r="A254" t="s">
        <v>254</v>
      </c>
      <c r="B254">
        <v>3.9673158746092183E-3</v>
      </c>
    </row>
    <row r="255" spans="1:2" x14ac:dyDescent="0.2">
      <c r="A255" t="s">
        <v>255</v>
      </c>
      <c r="B255">
        <v>5.6189452301332271E-4</v>
      </c>
    </row>
    <row r="256" spans="1:2" x14ac:dyDescent="0.2">
      <c r="A256" t="s">
        <v>256</v>
      </c>
      <c r="B256">
        <v>0</v>
      </c>
    </row>
    <row r="257" spans="1:2" x14ac:dyDescent="0.2">
      <c r="A257" t="s">
        <v>257</v>
      </c>
      <c r="B257">
        <v>0</v>
      </c>
    </row>
    <row r="258" spans="1:2" x14ac:dyDescent="0.2">
      <c r="A258" t="s">
        <v>258</v>
      </c>
      <c r="B258">
        <v>9.9351188036675593E-4</v>
      </c>
    </row>
    <row r="259" spans="1:2" x14ac:dyDescent="0.2">
      <c r="A259" t="s">
        <v>259</v>
      </c>
      <c r="B259">
        <v>0</v>
      </c>
    </row>
    <row r="260" spans="1:2" x14ac:dyDescent="0.2">
      <c r="A260" t="s">
        <v>260</v>
      </c>
      <c r="B260">
        <v>0</v>
      </c>
    </row>
    <row r="261" spans="1:2" x14ac:dyDescent="0.2">
      <c r="A261" t="s">
        <v>261</v>
      </c>
      <c r="B261">
        <v>0</v>
      </c>
    </row>
    <row r="262" spans="1:2" x14ac:dyDescent="0.2">
      <c r="A262" t="s">
        <v>262</v>
      </c>
      <c r="B262">
        <v>0</v>
      </c>
    </row>
    <row r="263" spans="1:2" x14ac:dyDescent="0.2">
      <c r="A263" t="s">
        <v>263</v>
      </c>
      <c r="B263">
        <v>8.5967090166449869E-4</v>
      </c>
    </row>
    <row r="264" spans="1:2" x14ac:dyDescent="0.2">
      <c r="A264" t="s">
        <v>264</v>
      </c>
      <c r="B264">
        <v>0</v>
      </c>
    </row>
    <row r="265" spans="1:2" x14ac:dyDescent="0.2">
      <c r="A265" t="s">
        <v>265</v>
      </c>
      <c r="B265">
        <v>1.2433747725594316E-3</v>
      </c>
    </row>
    <row r="266" spans="1:2" x14ac:dyDescent="0.2">
      <c r="A266" t="s">
        <v>266</v>
      </c>
      <c r="B266">
        <v>0</v>
      </c>
    </row>
    <row r="267" spans="1:2" x14ac:dyDescent="0.2">
      <c r="A267" t="s">
        <v>267</v>
      </c>
      <c r="B267">
        <v>3.9593962900706225E-3</v>
      </c>
    </row>
    <row r="268" spans="1:2" x14ac:dyDescent="0.2">
      <c r="A268" t="s">
        <v>268</v>
      </c>
      <c r="B268">
        <v>1.9102037907091393E-3</v>
      </c>
    </row>
    <row r="269" spans="1:2" x14ac:dyDescent="0.2">
      <c r="A269" t="s">
        <v>269</v>
      </c>
      <c r="B269">
        <v>0</v>
      </c>
    </row>
    <row r="270" spans="1:2" x14ac:dyDescent="0.2">
      <c r="A270" t="s">
        <v>270</v>
      </c>
      <c r="B270">
        <v>0</v>
      </c>
    </row>
    <row r="271" spans="1:2" x14ac:dyDescent="0.2">
      <c r="A271" t="s">
        <v>271</v>
      </c>
      <c r="B271">
        <v>0</v>
      </c>
    </row>
    <row r="272" spans="1:2" x14ac:dyDescent="0.2">
      <c r="A272" t="s">
        <v>272</v>
      </c>
      <c r="B272">
        <v>2.5738649750434092E-3</v>
      </c>
    </row>
    <row r="273" spans="1:2" x14ac:dyDescent="0.2">
      <c r="A273" t="s">
        <v>273</v>
      </c>
      <c r="B273">
        <v>0</v>
      </c>
    </row>
    <row r="274" spans="1:2" x14ac:dyDescent="0.2">
      <c r="A274" t="s">
        <v>274</v>
      </c>
      <c r="B274">
        <v>1.6124274120579633E-3</v>
      </c>
    </row>
    <row r="275" spans="1:2" x14ac:dyDescent="0.2">
      <c r="A275" t="s">
        <v>275</v>
      </c>
      <c r="B275">
        <v>1.5815410323574426E-2</v>
      </c>
    </row>
    <row r="276" spans="1:2" x14ac:dyDescent="0.2">
      <c r="A276" t="s">
        <v>276</v>
      </c>
      <c r="B276">
        <v>0</v>
      </c>
    </row>
    <row r="277" spans="1:2" x14ac:dyDescent="0.2">
      <c r="A277" t="s">
        <v>277</v>
      </c>
      <c r="B277">
        <v>0</v>
      </c>
    </row>
    <row r="278" spans="1:2" x14ac:dyDescent="0.2">
      <c r="A278" t="s">
        <v>278</v>
      </c>
      <c r="B278">
        <v>0</v>
      </c>
    </row>
    <row r="279" spans="1:2" x14ac:dyDescent="0.2">
      <c r="A279" t="s">
        <v>279</v>
      </c>
      <c r="B279">
        <v>0</v>
      </c>
    </row>
    <row r="280" spans="1:2" x14ac:dyDescent="0.2">
      <c r="A280" t="s">
        <v>280</v>
      </c>
      <c r="B280">
        <v>1.7767587912338118E-3</v>
      </c>
    </row>
    <row r="281" spans="1:2" x14ac:dyDescent="0.2">
      <c r="A281" t="s">
        <v>281</v>
      </c>
      <c r="B281">
        <v>0</v>
      </c>
    </row>
    <row r="282" spans="1:2" x14ac:dyDescent="0.2">
      <c r="A282" t="s">
        <v>282</v>
      </c>
      <c r="B282">
        <v>0</v>
      </c>
    </row>
    <row r="283" spans="1:2" x14ac:dyDescent="0.2">
      <c r="A283" t="s">
        <v>283</v>
      </c>
      <c r="B283">
        <v>0.10434013031676359</v>
      </c>
    </row>
    <row r="284" spans="1:2" x14ac:dyDescent="0.2">
      <c r="A284" t="s">
        <v>284</v>
      </c>
      <c r="B284">
        <v>4.1938159924130381E-3</v>
      </c>
    </row>
    <row r="285" spans="1:2" x14ac:dyDescent="0.2">
      <c r="A285" t="s">
        <v>285</v>
      </c>
      <c r="B285">
        <v>0</v>
      </c>
    </row>
    <row r="286" spans="1:2" x14ac:dyDescent="0.2">
      <c r="A286" t="s">
        <v>286</v>
      </c>
      <c r="B286">
        <v>0</v>
      </c>
    </row>
    <row r="287" spans="1:2" x14ac:dyDescent="0.2">
      <c r="A287" t="s">
        <v>287</v>
      </c>
      <c r="B287">
        <v>0</v>
      </c>
    </row>
    <row r="288" spans="1:2" x14ac:dyDescent="0.2">
      <c r="A288" t="s">
        <v>288</v>
      </c>
      <c r="B288">
        <v>0</v>
      </c>
    </row>
    <row r="289" spans="1:2" x14ac:dyDescent="0.2">
      <c r="A289" t="s">
        <v>289</v>
      </c>
      <c r="B289">
        <v>2.8051168435703861E-3</v>
      </c>
    </row>
    <row r="290" spans="1:2" x14ac:dyDescent="0.2">
      <c r="A290" t="s">
        <v>290</v>
      </c>
      <c r="B290">
        <v>0</v>
      </c>
    </row>
    <row r="291" spans="1:2" x14ac:dyDescent="0.2">
      <c r="A291" t="s">
        <v>291</v>
      </c>
      <c r="B291">
        <v>0</v>
      </c>
    </row>
    <row r="292" spans="1:2" x14ac:dyDescent="0.2">
      <c r="A292" t="s">
        <v>292</v>
      </c>
      <c r="B292">
        <v>9.7331693979333842E-4</v>
      </c>
    </row>
    <row r="293" spans="1:2" x14ac:dyDescent="0.2">
      <c r="A293" t="s">
        <v>293</v>
      </c>
      <c r="B293">
        <v>1.7755708535530225E-3</v>
      </c>
    </row>
    <row r="294" spans="1:2" x14ac:dyDescent="0.2">
      <c r="A294" t="s">
        <v>294</v>
      </c>
      <c r="B294">
        <v>0</v>
      </c>
    </row>
    <row r="295" spans="1:2" x14ac:dyDescent="0.2">
      <c r="A295" t="s">
        <v>295</v>
      </c>
      <c r="B295">
        <v>2.8193720957398572E-4</v>
      </c>
    </row>
    <row r="296" spans="1:2" x14ac:dyDescent="0.2">
      <c r="A296" t="s">
        <v>296</v>
      </c>
      <c r="B296">
        <v>0</v>
      </c>
    </row>
    <row r="297" spans="1:2" x14ac:dyDescent="0.2">
      <c r="A297" t="s">
        <v>297</v>
      </c>
      <c r="B297">
        <v>0</v>
      </c>
    </row>
    <row r="298" spans="1:2" x14ac:dyDescent="0.2">
      <c r="A298" t="s">
        <v>298</v>
      </c>
      <c r="B298">
        <v>1.0925066870991948E-3</v>
      </c>
    </row>
    <row r="299" spans="1:2" x14ac:dyDescent="0.2">
      <c r="A299" t="s">
        <v>299</v>
      </c>
      <c r="B299">
        <v>0</v>
      </c>
    </row>
    <row r="300" spans="1:2" x14ac:dyDescent="0.2">
      <c r="A300" t="s">
        <v>300</v>
      </c>
      <c r="B300">
        <v>0</v>
      </c>
    </row>
    <row r="301" spans="1:2" x14ac:dyDescent="0.2">
      <c r="A301" t="s">
        <v>301</v>
      </c>
      <c r="B301">
        <v>1.1241850252535753E-3</v>
      </c>
    </row>
    <row r="302" spans="1:2" x14ac:dyDescent="0.2">
      <c r="A302" t="s">
        <v>302</v>
      </c>
      <c r="B302">
        <v>4.541881732884293E-4</v>
      </c>
    </row>
    <row r="303" spans="1:2" x14ac:dyDescent="0.2">
      <c r="A303" t="s">
        <v>303</v>
      </c>
      <c r="B303">
        <v>6.5296974520716647E-4</v>
      </c>
    </row>
    <row r="304" spans="1:2" x14ac:dyDescent="0.2">
      <c r="A304" t="s">
        <v>304</v>
      </c>
      <c r="B304">
        <v>4.5022838101913177E-4</v>
      </c>
    </row>
    <row r="305" spans="1:2" x14ac:dyDescent="0.2">
      <c r="A305" t="s">
        <v>305</v>
      </c>
      <c r="B305">
        <v>0</v>
      </c>
    </row>
    <row r="306" spans="1:2" x14ac:dyDescent="0.2">
      <c r="A306" t="s">
        <v>306</v>
      </c>
      <c r="B306">
        <v>0</v>
      </c>
    </row>
    <row r="307" spans="1:2" x14ac:dyDescent="0.2">
      <c r="A307" t="s">
        <v>307</v>
      </c>
      <c r="B307">
        <v>1.3233625763992422E-3</v>
      </c>
    </row>
    <row r="308" spans="1:2" x14ac:dyDescent="0.2">
      <c r="A308" t="s">
        <v>308</v>
      </c>
      <c r="B308">
        <v>0</v>
      </c>
    </row>
    <row r="309" spans="1:2" x14ac:dyDescent="0.2">
      <c r="A309" t="s">
        <v>309</v>
      </c>
      <c r="B309">
        <v>0</v>
      </c>
    </row>
    <row r="310" spans="1:2" x14ac:dyDescent="0.2">
      <c r="A310" t="s">
        <v>310</v>
      </c>
      <c r="B310">
        <v>0</v>
      </c>
    </row>
    <row r="311" spans="1:2" x14ac:dyDescent="0.2">
      <c r="A311" t="s">
        <v>311</v>
      </c>
      <c r="B311">
        <v>2.668108031052691E-3</v>
      </c>
    </row>
    <row r="312" spans="1:2" x14ac:dyDescent="0.2">
      <c r="A312" t="s">
        <v>312</v>
      </c>
      <c r="B312">
        <v>2.538622823846661E-3</v>
      </c>
    </row>
    <row r="313" spans="1:2" x14ac:dyDescent="0.2">
      <c r="A313" t="s">
        <v>313</v>
      </c>
      <c r="B313">
        <v>0</v>
      </c>
    </row>
    <row r="314" spans="1:2" x14ac:dyDescent="0.2">
      <c r="A314" t="s">
        <v>314</v>
      </c>
      <c r="B314">
        <v>0</v>
      </c>
    </row>
    <row r="315" spans="1:2" x14ac:dyDescent="0.2">
      <c r="A315" t="s">
        <v>315</v>
      </c>
      <c r="B315">
        <v>0</v>
      </c>
    </row>
    <row r="316" spans="1:2" x14ac:dyDescent="0.2">
      <c r="A316" t="s">
        <v>316</v>
      </c>
      <c r="B316">
        <v>0</v>
      </c>
    </row>
    <row r="317" spans="1:2" x14ac:dyDescent="0.2">
      <c r="A317" t="s">
        <v>317</v>
      </c>
      <c r="B317">
        <v>0</v>
      </c>
    </row>
    <row r="318" spans="1:2" x14ac:dyDescent="0.2">
      <c r="A318" t="s">
        <v>318</v>
      </c>
      <c r="B318">
        <v>0</v>
      </c>
    </row>
    <row r="319" spans="1:2" x14ac:dyDescent="0.2">
      <c r="A319" t="s">
        <v>319</v>
      </c>
      <c r="B319">
        <v>5.3655185248981834E-4</v>
      </c>
    </row>
    <row r="320" spans="1:2" x14ac:dyDescent="0.2">
      <c r="A320" t="s">
        <v>320</v>
      </c>
      <c r="B320">
        <v>4.2607364817641669E-4</v>
      </c>
    </row>
    <row r="321" spans="1:2" x14ac:dyDescent="0.2">
      <c r="A321" t="s">
        <v>321</v>
      </c>
      <c r="B321">
        <v>1.5403591927567479E-3</v>
      </c>
    </row>
    <row r="322" spans="1:2" x14ac:dyDescent="0.2">
      <c r="A322" t="s">
        <v>322</v>
      </c>
      <c r="B322">
        <v>0</v>
      </c>
    </row>
    <row r="323" spans="1:2" x14ac:dyDescent="0.2">
      <c r="A323" t="s">
        <v>323</v>
      </c>
      <c r="B323">
        <v>0</v>
      </c>
    </row>
    <row r="324" spans="1:2" x14ac:dyDescent="0.2">
      <c r="A324" t="s">
        <v>324</v>
      </c>
      <c r="B324">
        <v>1.5221441483179792E-3</v>
      </c>
    </row>
    <row r="325" spans="1:2" x14ac:dyDescent="0.2">
      <c r="A325" t="s">
        <v>325</v>
      </c>
      <c r="B325">
        <v>0</v>
      </c>
    </row>
    <row r="326" spans="1:2" x14ac:dyDescent="0.2">
      <c r="A326" t="s">
        <v>326</v>
      </c>
      <c r="B326">
        <v>5.2098986887147902E-3</v>
      </c>
    </row>
    <row r="327" spans="1:2" x14ac:dyDescent="0.2">
      <c r="A327" t="s">
        <v>327</v>
      </c>
      <c r="B327">
        <v>0</v>
      </c>
    </row>
    <row r="328" spans="1:2" x14ac:dyDescent="0.2">
      <c r="A328" t="s">
        <v>328</v>
      </c>
      <c r="B328">
        <v>0</v>
      </c>
    </row>
    <row r="329" spans="1:2" x14ac:dyDescent="0.2">
      <c r="A329" t="s">
        <v>329</v>
      </c>
      <c r="B329">
        <v>0</v>
      </c>
    </row>
    <row r="330" spans="1:2" x14ac:dyDescent="0.2">
      <c r="A330" t="s">
        <v>330</v>
      </c>
      <c r="B330">
        <v>1.533983927203179E-2</v>
      </c>
    </row>
    <row r="331" spans="1:2" x14ac:dyDescent="0.2">
      <c r="A331" t="s">
        <v>331</v>
      </c>
      <c r="B331">
        <v>1.2956440305141592E-3</v>
      </c>
    </row>
    <row r="332" spans="1:2" x14ac:dyDescent="0.2">
      <c r="A332" t="s">
        <v>332</v>
      </c>
      <c r="B332">
        <v>2.1683822466673397E-3</v>
      </c>
    </row>
    <row r="333" spans="1:2" x14ac:dyDescent="0.2">
      <c r="A333" t="s">
        <v>333</v>
      </c>
      <c r="B333">
        <v>0</v>
      </c>
    </row>
    <row r="334" spans="1:2" x14ac:dyDescent="0.2">
      <c r="A334" t="s">
        <v>334</v>
      </c>
      <c r="B334">
        <v>7.0603096161575367E-4</v>
      </c>
    </row>
    <row r="335" spans="1:2" x14ac:dyDescent="0.2">
      <c r="A335" t="s">
        <v>335</v>
      </c>
      <c r="B335">
        <v>1.441760365251239E-3</v>
      </c>
    </row>
    <row r="336" spans="1:2" x14ac:dyDescent="0.2">
      <c r="A336" t="s">
        <v>336</v>
      </c>
      <c r="B336">
        <v>2.5413946784351694E-3</v>
      </c>
    </row>
    <row r="337" spans="1:2" x14ac:dyDescent="0.2">
      <c r="A337" t="s">
        <v>337</v>
      </c>
      <c r="B337">
        <v>0</v>
      </c>
    </row>
    <row r="338" spans="1:2" x14ac:dyDescent="0.2">
      <c r="A338" t="s">
        <v>338</v>
      </c>
      <c r="B338">
        <v>1.1348764643806786E-3</v>
      </c>
    </row>
    <row r="339" spans="1:2" x14ac:dyDescent="0.2">
      <c r="A339" t="s">
        <v>339</v>
      </c>
      <c r="B339">
        <v>0</v>
      </c>
    </row>
    <row r="340" spans="1:2" x14ac:dyDescent="0.2">
      <c r="A340" t="s">
        <v>340</v>
      </c>
      <c r="B340">
        <v>4.2619244194449556E-3</v>
      </c>
    </row>
    <row r="341" spans="1:2" x14ac:dyDescent="0.2">
      <c r="A341" t="s">
        <v>341</v>
      </c>
      <c r="B341">
        <v>0</v>
      </c>
    </row>
    <row r="342" spans="1:2" x14ac:dyDescent="0.2">
      <c r="A342" t="s">
        <v>342</v>
      </c>
      <c r="B342">
        <v>1.7137980941519808E-3</v>
      </c>
    </row>
    <row r="343" spans="1:2" x14ac:dyDescent="0.2">
      <c r="A343" t="s">
        <v>343</v>
      </c>
      <c r="B343">
        <v>1.7017603256533162E-2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A062-49AB-6145-AEE2-7BFB1FA3F5EC}">
  <sheetPr>
    <tabColor theme="9" tint="0.39997558519241921"/>
  </sheetPr>
  <dimension ref="A1:C343"/>
  <sheetViews>
    <sheetView workbookViewId="0">
      <selection activeCell="H24" sqref="H24"/>
    </sheetView>
  </sheetViews>
  <sheetFormatPr baseColWidth="10" defaultRowHeight="16" x14ac:dyDescent="0.2"/>
  <cols>
    <col min="2" max="2" width="26" bestFit="1" customWidth="1"/>
    <col min="3" max="3" width="24" bestFit="1" customWidth="1"/>
  </cols>
  <sheetData>
    <row r="1" spans="1:3" x14ac:dyDescent="0.2">
      <c r="A1" s="1" t="s">
        <v>0</v>
      </c>
      <c r="B1" s="1" t="s">
        <v>691</v>
      </c>
      <c r="C1" s="1" t="s">
        <v>692</v>
      </c>
    </row>
    <row r="2" spans="1:3" x14ac:dyDescent="0.2">
      <c r="A2" t="s">
        <v>2</v>
      </c>
      <c r="B2">
        <v>1.6218600000000001</v>
      </c>
      <c r="C2">
        <v>1.1517090000000001</v>
      </c>
    </row>
    <row r="3" spans="1:3" x14ac:dyDescent="0.2">
      <c r="A3" t="s">
        <v>3</v>
      </c>
      <c r="B3">
        <v>1.6787810000000001</v>
      </c>
      <c r="C3">
        <v>2.5855450000000002</v>
      </c>
    </row>
    <row r="4" spans="1:3" x14ac:dyDescent="0.2">
      <c r="A4" t="s">
        <v>4</v>
      </c>
      <c r="B4">
        <v>1.14036</v>
      </c>
      <c r="C4">
        <v>1.670153</v>
      </c>
    </row>
    <row r="5" spans="1:3" x14ac:dyDescent="0.2">
      <c r="A5" t="s">
        <v>5</v>
      </c>
      <c r="B5">
        <v>1.2892779999999999</v>
      </c>
      <c r="C5">
        <v>1.4041399999999999</v>
      </c>
    </row>
    <row r="6" spans="1:3" x14ac:dyDescent="0.2">
      <c r="A6" t="s">
        <v>6</v>
      </c>
      <c r="B6">
        <v>0.45585799999999999</v>
      </c>
      <c r="C6">
        <v>0.63334100000000004</v>
      </c>
    </row>
    <row r="7" spans="1:3" x14ac:dyDescent="0.2">
      <c r="A7" t="s">
        <v>7</v>
      </c>
      <c r="B7">
        <v>0.72690500000000002</v>
      </c>
      <c r="C7">
        <v>0.63101499999999999</v>
      </c>
    </row>
    <row r="8" spans="1:3" x14ac:dyDescent="0.2">
      <c r="A8" t="s">
        <v>8</v>
      </c>
      <c r="B8">
        <v>2.968289</v>
      </c>
      <c r="C8">
        <v>2.729409</v>
      </c>
    </row>
    <row r="9" spans="1:3" x14ac:dyDescent="0.2">
      <c r="A9" t="s">
        <v>9</v>
      </c>
      <c r="B9">
        <v>2.4152930000000001</v>
      </c>
      <c r="C9">
        <v>3.387203</v>
      </c>
    </row>
    <row r="10" spans="1:3" x14ac:dyDescent="0.2">
      <c r="A10" t="s">
        <v>10</v>
      </c>
      <c r="B10">
        <v>5.056762</v>
      </c>
      <c r="C10">
        <v>4.0665459999999998</v>
      </c>
    </row>
    <row r="11" spans="1:3" x14ac:dyDescent="0.2">
      <c r="A11" t="s">
        <v>11</v>
      </c>
      <c r="B11">
        <v>2.9457010000000001</v>
      </c>
      <c r="C11">
        <v>4.1376900000000001</v>
      </c>
    </row>
    <row r="12" spans="1:3" x14ac:dyDescent="0.2">
      <c r="A12" t="s">
        <v>12</v>
      </c>
      <c r="B12">
        <v>0.58342000000000005</v>
      </c>
      <c r="C12">
        <v>1.2494499999999999</v>
      </c>
    </row>
    <row r="13" spans="1:3" x14ac:dyDescent="0.2">
      <c r="A13" t="s">
        <v>13</v>
      </c>
      <c r="B13">
        <v>2.1051310000000001</v>
      </c>
      <c r="C13">
        <v>2.7551139999999998</v>
      </c>
    </row>
    <row r="14" spans="1:3" x14ac:dyDescent="0.2">
      <c r="A14" t="s">
        <v>14</v>
      </c>
      <c r="B14">
        <v>0.20733799999999999</v>
      </c>
      <c r="C14">
        <v>0.36789899999999998</v>
      </c>
    </row>
    <row r="15" spans="1:3" x14ac:dyDescent="0.2">
      <c r="A15" t="s">
        <v>15</v>
      </c>
      <c r="B15">
        <v>3.7951239999999999</v>
      </c>
      <c r="C15">
        <v>3.0529959999999998</v>
      </c>
    </row>
    <row r="16" spans="1:3" x14ac:dyDescent="0.2">
      <c r="A16" t="s">
        <v>16</v>
      </c>
      <c r="B16">
        <v>1.906968</v>
      </c>
      <c r="C16">
        <v>2.3052079999999999</v>
      </c>
    </row>
    <row r="17" spans="1:3" x14ac:dyDescent="0.2">
      <c r="A17" t="s">
        <v>17</v>
      </c>
      <c r="B17">
        <v>12.090522</v>
      </c>
      <c r="C17">
        <v>13.429494999999999</v>
      </c>
    </row>
    <row r="18" spans="1:3" x14ac:dyDescent="0.2">
      <c r="A18" t="s">
        <v>18</v>
      </c>
      <c r="B18">
        <v>5.109693</v>
      </c>
      <c r="C18">
        <v>5.378241</v>
      </c>
    </row>
    <row r="19" spans="1:3" x14ac:dyDescent="0.2">
      <c r="A19" t="s">
        <v>19</v>
      </c>
      <c r="B19">
        <v>3.7515640000000001</v>
      </c>
      <c r="C19">
        <v>3.0197189999999998</v>
      </c>
    </row>
    <row r="20" spans="1:3" x14ac:dyDescent="0.2">
      <c r="A20" t="s">
        <v>20</v>
      </c>
      <c r="B20">
        <v>2.2678639999999999</v>
      </c>
      <c r="C20">
        <v>1.742116</v>
      </c>
    </row>
    <row r="21" spans="1:3" x14ac:dyDescent="0.2">
      <c r="A21" t="s">
        <v>21</v>
      </c>
      <c r="B21">
        <v>0.78237999999999996</v>
      </c>
      <c r="C21">
        <v>2.6875439999999999</v>
      </c>
    </row>
    <row r="22" spans="1:3" x14ac:dyDescent="0.2">
      <c r="A22" t="s">
        <v>22</v>
      </c>
      <c r="B22">
        <v>0.38116699999999998</v>
      </c>
      <c r="C22">
        <v>1.1200889999999999</v>
      </c>
    </row>
    <row r="23" spans="1:3" x14ac:dyDescent="0.2">
      <c r="A23" t="s">
        <v>23</v>
      </c>
      <c r="B23">
        <v>0.76936099999999996</v>
      </c>
      <c r="C23">
        <v>0.49923000000000001</v>
      </c>
    </row>
    <row r="24" spans="1:3" x14ac:dyDescent="0.2">
      <c r="A24" t="s">
        <v>24</v>
      </c>
      <c r="B24">
        <v>1.2563770000000001</v>
      </c>
      <c r="C24">
        <v>1.2651110000000001</v>
      </c>
    </row>
    <row r="25" spans="1:3" x14ac:dyDescent="0.2">
      <c r="A25" t="s">
        <v>25</v>
      </c>
      <c r="B25">
        <v>2.0101010000000001</v>
      </c>
      <c r="C25">
        <v>4.4180260000000002</v>
      </c>
    </row>
    <row r="26" spans="1:3" x14ac:dyDescent="0.2">
      <c r="A26" t="s">
        <v>26</v>
      </c>
      <c r="B26">
        <v>0.672705</v>
      </c>
      <c r="C26">
        <v>0.60946400000000001</v>
      </c>
    </row>
    <row r="27" spans="1:3" x14ac:dyDescent="0.2">
      <c r="A27" t="s">
        <v>27</v>
      </c>
      <c r="B27">
        <v>1.80541</v>
      </c>
      <c r="C27">
        <v>0.94877999999999996</v>
      </c>
    </row>
    <row r="28" spans="1:3" x14ac:dyDescent="0.2">
      <c r="A28" t="s">
        <v>28</v>
      </c>
      <c r="B28">
        <v>0.56696400000000002</v>
      </c>
      <c r="C28">
        <v>0.650536</v>
      </c>
    </row>
    <row r="29" spans="1:3" x14ac:dyDescent="0.2">
      <c r="A29" t="s">
        <v>29</v>
      </c>
      <c r="B29">
        <v>1.327979</v>
      </c>
      <c r="C29">
        <v>1.1202080000000001</v>
      </c>
    </row>
    <row r="30" spans="1:3" x14ac:dyDescent="0.2">
      <c r="A30" t="s">
        <v>30</v>
      </c>
      <c r="B30">
        <v>0.99138899999999996</v>
      </c>
      <c r="C30">
        <v>1.4438949999999999</v>
      </c>
    </row>
    <row r="31" spans="1:3" x14ac:dyDescent="0.2">
      <c r="A31" t="s">
        <v>31</v>
      </c>
      <c r="B31">
        <v>0.66796699999999998</v>
      </c>
      <c r="C31">
        <v>1.169862</v>
      </c>
    </row>
    <row r="32" spans="1:3" x14ac:dyDescent="0.2">
      <c r="A32" t="s">
        <v>32</v>
      </c>
      <c r="B32">
        <v>1.2952889999999999</v>
      </c>
      <c r="C32">
        <v>0.885486</v>
      </c>
    </row>
    <row r="33" spans="1:3" x14ac:dyDescent="0.2">
      <c r="A33" t="s">
        <v>33</v>
      </c>
      <c r="B33">
        <v>2.080057</v>
      </c>
      <c r="C33">
        <v>2.8775559999999998</v>
      </c>
    </row>
    <row r="34" spans="1:3" x14ac:dyDescent="0.2">
      <c r="A34" t="s">
        <v>34</v>
      </c>
      <c r="B34">
        <v>2.2658999999999998</v>
      </c>
      <c r="C34">
        <v>3.2642799999999998</v>
      </c>
    </row>
    <row r="35" spans="1:3" x14ac:dyDescent="0.2">
      <c r="A35" t="s">
        <v>35</v>
      </c>
      <c r="B35">
        <v>1.435826</v>
      </c>
      <c r="C35">
        <v>2.021417</v>
      </c>
    </row>
    <row r="36" spans="1:3" x14ac:dyDescent="0.2">
      <c r="A36" t="s">
        <v>36</v>
      </c>
      <c r="B36">
        <v>1.026967</v>
      </c>
      <c r="C36">
        <v>1.3116129999999999</v>
      </c>
    </row>
    <row r="37" spans="1:3" x14ac:dyDescent="0.2">
      <c r="A37" t="s">
        <v>37</v>
      </c>
      <c r="B37">
        <v>0.93826399999999999</v>
      </c>
      <c r="C37">
        <v>0.8417</v>
      </c>
    </row>
    <row r="38" spans="1:3" x14ac:dyDescent="0.2">
      <c r="A38" t="s">
        <v>38</v>
      </c>
      <c r="B38">
        <v>0.97116400000000003</v>
      </c>
      <c r="C38">
        <v>1.459417</v>
      </c>
    </row>
    <row r="39" spans="1:3" x14ac:dyDescent="0.2">
      <c r="A39" t="s">
        <v>39</v>
      </c>
      <c r="B39">
        <v>1.466315</v>
      </c>
      <c r="C39">
        <v>1.035096</v>
      </c>
    </row>
    <row r="40" spans="1:3" x14ac:dyDescent="0.2">
      <c r="A40" t="s">
        <v>40</v>
      </c>
      <c r="B40">
        <v>1.0073369999999999</v>
      </c>
      <c r="C40">
        <v>1.7579659999999999</v>
      </c>
    </row>
    <row r="41" spans="1:3" x14ac:dyDescent="0.2">
      <c r="A41" t="s">
        <v>41</v>
      </c>
      <c r="B41">
        <v>0.470748</v>
      </c>
      <c r="C41">
        <v>0.13850999999999999</v>
      </c>
    </row>
    <row r="42" spans="1:3" x14ac:dyDescent="0.2">
      <c r="A42" t="s">
        <v>42</v>
      </c>
      <c r="B42">
        <v>0.89603299999999997</v>
      </c>
      <c r="C42">
        <v>0.31656699999999999</v>
      </c>
    </row>
    <row r="43" spans="1:3" x14ac:dyDescent="0.2">
      <c r="A43" t="s">
        <v>43</v>
      </c>
      <c r="B43">
        <v>1.214437</v>
      </c>
      <c r="C43">
        <v>1.286456</v>
      </c>
    </row>
    <row r="44" spans="1:3" x14ac:dyDescent="0.2">
      <c r="A44" t="s">
        <v>44</v>
      </c>
      <c r="B44">
        <v>0.60128999999999999</v>
      </c>
      <c r="C44">
        <v>1.1535249999999999</v>
      </c>
    </row>
    <row r="45" spans="1:3" x14ac:dyDescent="0.2">
      <c r="A45" t="s">
        <v>45</v>
      </c>
      <c r="B45">
        <v>1.4499550000000001</v>
      </c>
      <c r="C45">
        <v>1.4445939999999999</v>
      </c>
    </row>
    <row r="46" spans="1:3" x14ac:dyDescent="0.2">
      <c r="A46" t="s">
        <v>46</v>
      </c>
      <c r="B46">
        <v>0.87059600000000004</v>
      </c>
      <c r="C46">
        <v>0.57528800000000002</v>
      </c>
    </row>
    <row r="47" spans="1:3" x14ac:dyDescent="0.2">
      <c r="A47" t="s">
        <v>47</v>
      </c>
      <c r="B47">
        <v>0.97327200000000003</v>
      </c>
      <c r="C47">
        <v>1.8721730000000001</v>
      </c>
    </row>
    <row r="48" spans="1:3" x14ac:dyDescent="0.2">
      <c r="A48" t="s">
        <v>48</v>
      </c>
      <c r="B48">
        <v>1.2735190000000001</v>
      </c>
      <c r="C48">
        <v>1.3954120000000001</v>
      </c>
    </row>
    <row r="49" spans="1:3" x14ac:dyDescent="0.2">
      <c r="A49" t="s">
        <v>49</v>
      </c>
      <c r="B49">
        <v>5.3565420000000001</v>
      </c>
      <c r="C49">
        <v>6.3727169999999997</v>
      </c>
    </row>
    <row r="50" spans="1:3" x14ac:dyDescent="0.2">
      <c r="A50" t="s">
        <v>50</v>
      </c>
      <c r="B50">
        <v>1.9528300000000001</v>
      </c>
      <c r="C50">
        <v>2.7365930000000001</v>
      </c>
    </row>
    <row r="51" spans="1:3" x14ac:dyDescent="0.2">
      <c r="A51" t="s">
        <v>51</v>
      </c>
      <c r="B51">
        <v>0.79600000000000004</v>
      </c>
      <c r="C51">
        <v>1.053072</v>
      </c>
    </row>
    <row r="52" spans="1:3" x14ac:dyDescent="0.2">
      <c r="A52" t="s">
        <v>52</v>
      </c>
      <c r="B52">
        <v>1.0228710000000001</v>
      </c>
      <c r="C52">
        <v>0.69404900000000003</v>
      </c>
    </row>
    <row r="53" spans="1:3" x14ac:dyDescent="0.2">
      <c r="A53" t="s">
        <v>53</v>
      </c>
      <c r="B53">
        <v>0.54278099999999996</v>
      </c>
      <c r="C53">
        <v>0.60949200000000003</v>
      </c>
    </row>
    <row r="54" spans="1:3" x14ac:dyDescent="0.2">
      <c r="A54" t="s">
        <v>54</v>
      </c>
      <c r="B54">
        <v>0.60326000000000002</v>
      </c>
      <c r="C54">
        <v>0.845194</v>
      </c>
    </row>
    <row r="55" spans="1:3" x14ac:dyDescent="0.2">
      <c r="A55" t="s">
        <v>55</v>
      </c>
      <c r="B55">
        <v>1.2951239999999999</v>
      </c>
      <c r="C55">
        <v>1.5218769999999999</v>
      </c>
    </row>
    <row r="56" spans="1:3" x14ac:dyDescent="0.2">
      <c r="A56" t="s">
        <v>56</v>
      </c>
      <c r="B56">
        <v>1.330252</v>
      </c>
      <c r="C56">
        <v>0.97237300000000004</v>
      </c>
    </row>
    <row r="57" spans="1:3" x14ac:dyDescent="0.2">
      <c r="A57" t="s">
        <v>57</v>
      </c>
      <c r="B57">
        <v>1.250343</v>
      </c>
      <c r="C57">
        <v>0.68361700000000003</v>
      </c>
    </row>
    <row r="58" spans="1:3" x14ac:dyDescent="0.2">
      <c r="A58" t="s">
        <v>58</v>
      </c>
      <c r="B58">
        <v>1.9593970000000001</v>
      </c>
      <c r="C58">
        <v>2.3360880000000002</v>
      </c>
    </row>
    <row r="59" spans="1:3" x14ac:dyDescent="0.2">
      <c r="A59" t="s">
        <v>59</v>
      </c>
      <c r="B59">
        <v>0.97482599999999997</v>
      </c>
      <c r="C59">
        <v>1.403877</v>
      </c>
    </row>
    <row r="60" spans="1:3" x14ac:dyDescent="0.2">
      <c r="A60" t="s">
        <v>60</v>
      </c>
      <c r="B60">
        <v>0.840364</v>
      </c>
      <c r="C60">
        <v>1.023649</v>
      </c>
    </row>
    <row r="61" spans="1:3" x14ac:dyDescent="0.2">
      <c r="A61" t="s">
        <v>61</v>
      </c>
      <c r="B61">
        <v>1.3850180000000001</v>
      </c>
      <c r="C61">
        <v>2.0733739999999998</v>
      </c>
    </row>
    <row r="62" spans="1:3" x14ac:dyDescent="0.2">
      <c r="A62" t="s">
        <v>62</v>
      </c>
      <c r="B62">
        <v>0.97819599999999995</v>
      </c>
      <c r="C62">
        <v>0.664049</v>
      </c>
    </row>
    <row r="63" spans="1:3" x14ac:dyDescent="0.2">
      <c r="A63" t="s">
        <v>63</v>
      </c>
      <c r="B63">
        <v>1.810325</v>
      </c>
      <c r="C63">
        <v>1.745903</v>
      </c>
    </row>
    <row r="64" spans="1:3" x14ac:dyDescent="0.2">
      <c r="A64" t="s">
        <v>64</v>
      </c>
      <c r="B64">
        <v>1.627183</v>
      </c>
      <c r="C64">
        <v>3.1020720000000002</v>
      </c>
    </row>
    <row r="65" spans="1:3" x14ac:dyDescent="0.2">
      <c r="A65" t="s">
        <v>65</v>
      </c>
      <c r="B65">
        <v>2.903937</v>
      </c>
      <c r="C65">
        <v>3.0898539999999999</v>
      </c>
    </row>
    <row r="66" spans="1:3" x14ac:dyDescent="0.2">
      <c r="A66" t="s">
        <v>66</v>
      </c>
      <c r="B66">
        <v>0.56216699999999997</v>
      </c>
      <c r="C66">
        <v>0.45743600000000001</v>
      </c>
    </row>
    <row r="67" spans="1:3" x14ac:dyDescent="0.2">
      <c r="A67" t="s">
        <v>67</v>
      </c>
      <c r="B67">
        <v>2.673359</v>
      </c>
      <c r="C67">
        <v>3.79087</v>
      </c>
    </row>
    <row r="68" spans="1:3" x14ac:dyDescent="0.2">
      <c r="A68" t="s">
        <v>68</v>
      </c>
      <c r="B68">
        <v>1.3785240000000001</v>
      </c>
      <c r="C68">
        <v>2.2088429999999999</v>
      </c>
    </row>
    <row r="69" spans="1:3" x14ac:dyDescent="0.2">
      <c r="A69" t="s">
        <v>69</v>
      </c>
      <c r="B69">
        <v>0.36117500000000002</v>
      </c>
      <c r="C69">
        <v>0.26325999999999999</v>
      </c>
    </row>
    <row r="70" spans="1:3" x14ac:dyDescent="0.2">
      <c r="A70" t="s">
        <v>70</v>
      </c>
      <c r="B70">
        <v>1.9960960000000001</v>
      </c>
      <c r="C70">
        <v>2.4181970000000002</v>
      </c>
    </row>
    <row r="71" spans="1:3" x14ac:dyDescent="0.2">
      <c r="A71" t="s">
        <v>71</v>
      </c>
      <c r="B71">
        <v>1.1280399999999999</v>
      </c>
      <c r="C71">
        <v>1.5505169999999999</v>
      </c>
    </row>
    <row r="72" spans="1:3" x14ac:dyDescent="0.2">
      <c r="A72" t="s">
        <v>72</v>
      </c>
      <c r="B72">
        <v>2.6049980000000001</v>
      </c>
      <c r="C72">
        <v>2.8176770000000002</v>
      </c>
    </row>
    <row r="73" spans="1:3" x14ac:dyDescent="0.2">
      <c r="A73" t="s">
        <v>73</v>
      </c>
      <c r="B73">
        <v>0.83245000000000002</v>
      </c>
      <c r="C73">
        <v>1.4961899999999999</v>
      </c>
    </row>
    <row r="74" spans="1:3" x14ac:dyDescent="0.2">
      <c r="A74" t="s">
        <v>74</v>
      </c>
      <c r="B74">
        <v>1.070011</v>
      </c>
      <c r="C74">
        <v>2.6500590000000002</v>
      </c>
    </row>
    <row r="75" spans="1:3" x14ac:dyDescent="0.2">
      <c r="A75" t="s">
        <v>75</v>
      </c>
      <c r="B75">
        <v>1.4910410000000001</v>
      </c>
      <c r="C75">
        <v>2.5313729999999999</v>
      </c>
    </row>
    <row r="76" spans="1:3" x14ac:dyDescent="0.2">
      <c r="A76" t="s">
        <v>76</v>
      </c>
      <c r="B76">
        <v>0.74462799999999996</v>
      </c>
      <c r="C76">
        <v>0.75660300000000003</v>
      </c>
    </row>
    <row r="77" spans="1:3" x14ac:dyDescent="0.2">
      <c r="A77" t="s">
        <v>77</v>
      </c>
      <c r="B77">
        <v>0.88054299999999996</v>
      </c>
      <c r="C77">
        <v>1.2677099999999999</v>
      </c>
    </row>
    <row r="78" spans="1:3" x14ac:dyDescent="0.2">
      <c r="A78" t="s">
        <v>78</v>
      </c>
      <c r="B78">
        <v>1.6253709999999999</v>
      </c>
      <c r="C78">
        <v>1.4373549999999999</v>
      </c>
    </row>
    <row r="79" spans="1:3" x14ac:dyDescent="0.2">
      <c r="A79" t="s">
        <v>79</v>
      </c>
      <c r="B79">
        <v>1.2016709999999999</v>
      </c>
      <c r="C79">
        <v>0.83431999999999995</v>
      </c>
    </row>
    <row r="80" spans="1:3" x14ac:dyDescent="0.2">
      <c r="A80" t="s">
        <v>80</v>
      </c>
      <c r="B80">
        <v>3.6361379999999999</v>
      </c>
      <c r="C80">
        <v>5.4615400000000003</v>
      </c>
    </row>
    <row r="81" spans="1:3" x14ac:dyDescent="0.2">
      <c r="A81" t="s">
        <v>81</v>
      </c>
      <c r="B81">
        <v>0.32289899999999999</v>
      </c>
      <c r="C81">
        <v>0.25486599999999998</v>
      </c>
    </row>
    <row r="82" spans="1:3" x14ac:dyDescent="0.2">
      <c r="A82" t="s">
        <v>82</v>
      </c>
      <c r="B82">
        <v>2.5317280000000002</v>
      </c>
      <c r="C82">
        <v>2.4023620000000001</v>
      </c>
    </row>
    <row r="83" spans="1:3" x14ac:dyDescent="0.2">
      <c r="A83" t="s">
        <v>83</v>
      </c>
      <c r="B83">
        <v>0.98946199999999995</v>
      </c>
      <c r="C83">
        <v>1.275687</v>
      </c>
    </row>
    <row r="84" spans="1:3" x14ac:dyDescent="0.2">
      <c r="A84" t="s">
        <v>84</v>
      </c>
      <c r="B84">
        <v>1.2954159999999999</v>
      </c>
      <c r="C84">
        <v>0.95429600000000003</v>
      </c>
    </row>
    <row r="85" spans="1:3" x14ac:dyDescent="0.2">
      <c r="A85" t="s">
        <v>85</v>
      </c>
      <c r="B85">
        <v>6.2585699999999997</v>
      </c>
      <c r="C85">
        <v>6.3234519999999996</v>
      </c>
    </row>
    <row r="86" spans="1:3" x14ac:dyDescent="0.2">
      <c r="A86" t="s">
        <v>86</v>
      </c>
      <c r="B86">
        <v>0.77285499999999996</v>
      </c>
      <c r="C86">
        <v>0.91090000000000004</v>
      </c>
    </row>
    <row r="87" spans="1:3" x14ac:dyDescent="0.2">
      <c r="A87" t="s">
        <v>87</v>
      </c>
      <c r="B87">
        <v>4.7586849999999998</v>
      </c>
      <c r="C87">
        <v>6.9266779999999999</v>
      </c>
    </row>
    <row r="88" spans="1:3" x14ac:dyDescent="0.2">
      <c r="A88" t="s">
        <v>88</v>
      </c>
      <c r="B88">
        <v>0.58261300000000005</v>
      </c>
      <c r="C88">
        <v>0.79520299999999999</v>
      </c>
    </row>
    <row r="89" spans="1:3" x14ac:dyDescent="0.2">
      <c r="A89" t="s">
        <v>89</v>
      </c>
      <c r="B89">
        <v>4.7601360000000001</v>
      </c>
      <c r="C89">
        <v>4.4868600000000001</v>
      </c>
    </row>
    <row r="90" spans="1:3" x14ac:dyDescent="0.2">
      <c r="A90" t="s">
        <v>90</v>
      </c>
      <c r="B90">
        <v>1.2974619999999999</v>
      </c>
      <c r="C90">
        <v>1.676272</v>
      </c>
    </row>
    <row r="91" spans="1:3" x14ac:dyDescent="0.2">
      <c r="A91" t="s">
        <v>91</v>
      </c>
      <c r="B91">
        <v>1.0168489999999999</v>
      </c>
      <c r="C91">
        <v>1.3146139999999999</v>
      </c>
    </row>
    <row r="92" spans="1:3" x14ac:dyDescent="0.2">
      <c r="A92" t="s">
        <v>92</v>
      </c>
      <c r="B92">
        <v>1.4358390000000001</v>
      </c>
      <c r="C92">
        <v>3.027892</v>
      </c>
    </row>
    <row r="93" spans="1:3" x14ac:dyDescent="0.2">
      <c r="A93" t="s">
        <v>93</v>
      </c>
      <c r="B93">
        <v>2.9339390000000001</v>
      </c>
      <c r="C93">
        <v>2.6128170000000002</v>
      </c>
    </row>
    <row r="94" spans="1:3" x14ac:dyDescent="0.2">
      <c r="A94" t="s">
        <v>94</v>
      </c>
      <c r="B94">
        <v>0.71310700000000005</v>
      </c>
      <c r="C94">
        <v>1.30769</v>
      </c>
    </row>
    <row r="95" spans="1:3" x14ac:dyDescent="0.2">
      <c r="A95" t="s">
        <v>95</v>
      </c>
      <c r="B95">
        <v>1.4053469999999999</v>
      </c>
      <c r="C95">
        <v>1.147656</v>
      </c>
    </row>
    <row r="96" spans="1:3" x14ac:dyDescent="0.2">
      <c r="A96" t="s">
        <v>96</v>
      </c>
      <c r="B96">
        <v>1.4900249999999999</v>
      </c>
      <c r="C96">
        <v>2.5846710000000002</v>
      </c>
    </row>
    <row r="97" spans="1:3" x14ac:dyDescent="0.2">
      <c r="A97" t="s">
        <v>97</v>
      </c>
      <c r="B97">
        <v>0.73277400000000004</v>
      </c>
      <c r="C97">
        <v>1.1515010000000001</v>
      </c>
    </row>
    <row r="98" spans="1:3" x14ac:dyDescent="0.2">
      <c r="A98" t="s">
        <v>98</v>
      </c>
      <c r="B98">
        <v>0.98999400000000004</v>
      </c>
      <c r="C98">
        <v>1.630209</v>
      </c>
    </row>
    <row r="99" spans="1:3" x14ac:dyDescent="0.2">
      <c r="A99" t="s">
        <v>99</v>
      </c>
      <c r="B99">
        <v>1.86798</v>
      </c>
      <c r="C99">
        <v>2.70871</v>
      </c>
    </row>
    <row r="100" spans="1:3" x14ac:dyDescent="0.2">
      <c r="A100" t="s">
        <v>100</v>
      </c>
      <c r="B100">
        <v>1.348652</v>
      </c>
      <c r="C100">
        <v>1.380722</v>
      </c>
    </row>
    <row r="101" spans="1:3" x14ac:dyDescent="0.2">
      <c r="A101" t="s">
        <v>101</v>
      </c>
      <c r="B101">
        <v>0.91234899999999997</v>
      </c>
      <c r="C101">
        <v>0.78710100000000005</v>
      </c>
    </row>
    <row r="102" spans="1:3" x14ac:dyDescent="0.2">
      <c r="A102" t="s">
        <v>102</v>
      </c>
      <c r="B102">
        <v>1.724145</v>
      </c>
      <c r="C102">
        <v>1.009728</v>
      </c>
    </row>
    <row r="103" spans="1:3" x14ac:dyDescent="0.2">
      <c r="A103" t="s">
        <v>103</v>
      </c>
      <c r="B103">
        <v>0.873332</v>
      </c>
      <c r="C103">
        <v>1.153151</v>
      </c>
    </row>
    <row r="104" spans="1:3" x14ac:dyDescent="0.2">
      <c r="A104" t="s">
        <v>104</v>
      </c>
      <c r="B104">
        <v>1.6049819999999999</v>
      </c>
      <c r="C104">
        <v>1.1805140000000001</v>
      </c>
    </row>
    <row r="105" spans="1:3" x14ac:dyDescent="0.2">
      <c r="A105" t="s">
        <v>105</v>
      </c>
      <c r="B105">
        <v>9.800414</v>
      </c>
      <c r="C105">
        <v>5.9363619999999999</v>
      </c>
    </row>
    <row r="106" spans="1:3" x14ac:dyDescent="0.2">
      <c r="A106" t="s">
        <v>106</v>
      </c>
      <c r="B106">
        <v>5.9141069999999996</v>
      </c>
      <c r="C106">
        <v>4.6800750000000004</v>
      </c>
    </row>
    <row r="107" spans="1:3" x14ac:dyDescent="0.2">
      <c r="A107" t="s">
        <v>107</v>
      </c>
      <c r="B107">
        <v>0.74612699999999998</v>
      </c>
      <c r="C107">
        <v>0.46332499999999999</v>
      </c>
    </row>
    <row r="108" spans="1:3" x14ac:dyDescent="0.2">
      <c r="A108" t="s">
        <v>108</v>
      </c>
      <c r="B108">
        <v>1.0136069999999999</v>
      </c>
      <c r="C108">
        <v>1.55369</v>
      </c>
    </row>
    <row r="109" spans="1:3" x14ac:dyDescent="0.2">
      <c r="A109" t="s">
        <v>109</v>
      </c>
      <c r="B109">
        <v>3.6299160000000001</v>
      </c>
      <c r="C109">
        <v>2.3985280000000002</v>
      </c>
    </row>
    <row r="110" spans="1:3" x14ac:dyDescent="0.2">
      <c r="A110" t="s">
        <v>110</v>
      </c>
      <c r="B110">
        <v>4.3459820000000002</v>
      </c>
      <c r="C110">
        <v>8.1223329999999994</v>
      </c>
    </row>
    <row r="111" spans="1:3" x14ac:dyDescent="0.2">
      <c r="A111" t="s">
        <v>111</v>
      </c>
      <c r="B111">
        <v>1.3017570000000001</v>
      </c>
      <c r="C111">
        <v>2.0892460000000002</v>
      </c>
    </row>
    <row r="112" spans="1:3" x14ac:dyDescent="0.2">
      <c r="A112" t="s">
        <v>112</v>
      </c>
      <c r="B112">
        <v>2.622064</v>
      </c>
      <c r="C112">
        <v>4.0289060000000001</v>
      </c>
    </row>
    <row r="113" spans="1:3" x14ac:dyDescent="0.2">
      <c r="A113" t="s">
        <v>113</v>
      </c>
      <c r="B113">
        <v>1.344503</v>
      </c>
      <c r="C113">
        <v>1.524939</v>
      </c>
    </row>
    <row r="114" spans="1:3" x14ac:dyDescent="0.2">
      <c r="A114" t="s">
        <v>114</v>
      </c>
      <c r="B114">
        <v>0.50745399999999996</v>
      </c>
      <c r="C114">
        <v>0.60350199999999998</v>
      </c>
    </row>
    <row r="115" spans="1:3" x14ac:dyDescent="0.2">
      <c r="A115" t="s">
        <v>115</v>
      </c>
      <c r="B115">
        <v>0.59136500000000003</v>
      </c>
      <c r="C115">
        <v>0.66145500000000002</v>
      </c>
    </row>
    <row r="116" spans="1:3" x14ac:dyDescent="0.2">
      <c r="A116" t="s">
        <v>116</v>
      </c>
      <c r="B116">
        <v>0.46233999999999997</v>
      </c>
      <c r="C116">
        <v>0.32574599999999998</v>
      </c>
    </row>
    <row r="117" spans="1:3" x14ac:dyDescent="0.2">
      <c r="A117" t="s">
        <v>117</v>
      </c>
      <c r="B117">
        <v>1.0384500000000001</v>
      </c>
      <c r="C117">
        <v>0.86505299999999996</v>
      </c>
    </row>
    <row r="118" spans="1:3" x14ac:dyDescent="0.2">
      <c r="A118" t="s">
        <v>118</v>
      </c>
      <c r="B118">
        <v>0.83099999999999996</v>
      </c>
      <c r="C118">
        <v>0.40239399999999997</v>
      </c>
    </row>
    <row r="119" spans="1:3" x14ac:dyDescent="0.2">
      <c r="A119" t="s">
        <v>119</v>
      </c>
      <c r="B119">
        <v>0.75131199999999998</v>
      </c>
      <c r="C119">
        <v>0.87812800000000002</v>
      </c>
    </row>
    <row r="120" spans="1:3" x14ac:dyDescent="0.2">
      <c r="A120" t="s">
        <v>120</v>
      </c>
      <c r="B120">
        <v>2.2902719999999999</v>
      </c>
      <c r="C120">
        <v>2.3601809999999999</v>
      </c>
    </row>
    <row r="121" spans="1:3" x14ac:dyDescent="0.2">
      <c r="A121" t="s">
        <v>121</v>
      </c>
      <c r="B121">
        <v>2.74654</v>
      </c>
      <c r="C121">
        <v>2.5264630000000001</v>
      </c>
    </row>
    <row r="122" spans="1:3" x14ac:dyDescent="0.2">
      <c r="A122" t="s">
        <v>122</v>
      </c>
      <c r="B122">
        <v>0.81258799999999998</v>
      </c>
      <c r="C122">
        <v>0.97178299999999995</v>
      </c>
    </row>
    <row r="123" spans="1:3" x14ac:dyDescent="0.2">
      <c r="A123" t="s">
        <v>123</v>
      </c>
      <c r="B123">
        <v>0.808728</v>
      </c>
      <c r="C123">
        <v>0.47938500000000001</v>
      </c>
    </row>
    <row r="124" spans="1:3" x14ac:dyDescent="0.2">
      <c r="A124" t="s">
        <v>124</v>
      </c>
      <c r="B124">
        <v>1.734834</v>
      </c>
      <c r="C124">
        <v>1.62707</v>
      </c>
    </row>
    <row r="125" spans="1:3" x14ac:dyDescent="0.2">
      <c r="A125" t="s">
        <v>125</v>
      </c>
      <c r="B125">
        <v>1.3979029999999999</v>
      </c>
      <c r="C125">
        <v>1.902855</v>
      </c>
    </row>
    <row r="126" spans="1:3" x14ac:dyDescent="0.2">
      <c r="A126" t="s">
        <v>126</v>
      </c>
      <c r="B126">
        <v>2.8999619999999999</v>
      </c>
      <c r="C126">
        <v>3.3496489999999999</v>
      </c>
    </row>
    <row r="127" spans="1:3" x14ac:dyDescent="0.2">
      <c r="A127" t="s">
        <v>127</v>
      </c>
      <c r="B127">
        <v>0.72286899999999998</v>
      </c>
      <c r="C127">
        <v>0.65250399999999997</v>
      </c>
    </row>
    <row r="128" spans="1:3" x14ac:dyDescent="0.2">
      <c r="A128" t="s">
        <v>128</v>
      </c>
      <c r="B128">
        <v>2.6613540000000002</v>
      </c>
      <c r="C128">
        <v>2.6773920000000002</v>
      </c>
    </row>
    <row r="129" spans="1:3" x14ac:dyDescent="0.2">
      <c r="A129" t="s">
        <v>129</v>
      </c>
      <c r="B129">
        <v>4.6411930000000003</v>
      </c>
      <c r="C129">
        <v>4.2446020000000004</v>
      </c>
    </row>
    <row r="130" spans="1:3" x14ac:dyDescent="0.2">
      <c r="A130" t="s">
        <v>130</v>
      </c>
      <c r="B130">
        <v>0.68394699999999997</v>
      </c>
      <c r="C130">
        <v>0.60572400000000004</v>
      </c>
    </row>
    <row r="131" spans="1:3" x14ac:dyDescent="0.2">
      <c r="A131" t="s">
        <v>131</v>
      </c>
      <c r="B131">
        <v>1.7330669999999999</v>
      </c>
      <c r="C131">
        <v>2.7480349999999998</v>
      </c>
    </row>
    <row r="132" spans="1:3" x14ac:dyDescent="0.2">
      <c r="A132" t="s">
        <v>132</v>
      </c>
      <c r="B132">
        <v>0.63271699999999997</v>
      </c>
      <c r="C132">
        <v>0.84483399999999997</v>
      </c>
    </row>
    <row r="133" spans="1:3" x14ac:dyDescent="0.2">
      <c r="A133" t="s">
        <v>133</v>
      </c>
      <c r="B133">
        <v>0.819415</v>
      </c>
      <c r="C133">
        <v>1.3319700000000001</v>
      </c>
    </row>
    <row r="134" spans="1:3" x14ac:dyDescent="0.2">
      <c r="A134" t="s">
        <v>134</v>
      </c>
      <c r="B134">
        <v>2.3548589999999998</v>
      </c>
      <c r="C134">
        <v>1.6982870000000001</v>
      </c>
    </row>
    <row r="135" spans="1:3" x14ac:dyDescent="0.2">
      <c r="A135" t="s">
        <v>135</v>
      </c>
      <c r="B135">
        <v>3.0087890000000002</v>
      </c>
      <c r="C135">
        <v>3.6596000000000002</v>
      </c>
    </row>
    <row r="136" spans="1:3" x14ac:dyDescent="0.2">
      <c r="A136" t="s">
        <v>136</v>
      </c>
      <c r="B136">
        <v>1.5890629999999999</v>
      </c>
      <c r="C136">
        <v>3.002939</v>
      </c>
    </row>
    <row r="137" spans="1:3" x14ac:dyDescent="0.2">
      <c r="A137" t="s">
        <v>137</v>
      </c>
      <c r="B137">
        <v>3.2957049999999999</v>
      </c>
      <c r="C137">
        <v>2.9930219999999998</v>
      </c>
    </row>
    <row r="138" spans="1:3" x14ac:dyDescent="0.2">
      <c r="A138" t="s">
        <v>138</v>
      </c>
      <c r="B138">
        <v>2.4122300000000001</v>
      </c>
      <c r="C138">
        <v>7.539034</v>
      </c>
    </row>
    <row r="139" spans="1:3" x14ac:dyDescent="0.2">
      <c r="A139" t="s">
        <v>139</v>
      </c>
      <c r="B139">
        <v>2.114922</v>
      </c>
      <c r="C139">
        <v>2.4113889999999998</v>
      </c>
    </row>
    <row r="140" spans="1:3" x14ac:dyDescent="0.2">
      <c r="A140" t="s">
        <v>140</v>
      </c>
      <c r="B140">
        <v>2.0069970000000001</v>
      </c>
      <c r="C140">
        <v>1.4918009999999999</v>
      </c>
    </row>
    <row r="141" spans="1:3" x14ac:dyDescent="0.2">
      <c r="A141" t="s">
        <v>141</v>
      </c>
      <c r="B141">
        <v>2.2922129999999998</v>
      </c>
      <c r="C141">
        <v>7.16927</v>
      </c>
    </row>
    <row r="142" spans="1:3" x14ac:dyDescent="0.2">
      <c r="A142" t="s">
        <v>142</v>
      </c>
      <c r="B142">
        <v>1.4442349999999999</v>
      </c>
      <c r="C142">
        <v>1.449055</v>
      </c>
    </row>
    <row r="143" spans="1:3" x14ac:dyDescent="0.2">
      <c r="A143" t="s">
        <v>143</v>
      </c>
      <c r="B143">
        <v>1.1802060000000001</v>
      </c>
      <c r="C143">
        <v>0.526335</v>
      </c>
    </row>
    <row r="144" spans="1:3" x14ac:dyDescent="0.2">
      <c r="A144" t="s">
        <v>144</v>
      </c>
      <c r="B144">
        <v>1.3392189999999999</v>
      </c>
      <c r="C144">
        <v>1.5802099999999999</v>
      </c>
    </row>
    <row r="145" spans="1:3" x14ac:dyDescent="0.2">
      <c r="A145" t="s">
        <v>145</v>
      </c>
      <c r="B145">
        <v>0.90505400000000003</v>
      </c>
      <c r="C145">
        <v>0.622776</v>
      </c>
    </row>
    <row r="146" spans="1:3" x14ac:dyDescent="0.2">
      <c r="A146" t="s">
        <v>146</v>
      </c>
      <c r="B146">
        <v>1.0117510000000001</v>
      </c>
      <c r="C146">
        <v>2.1929720000000001</v>
      </c>
    </row>
    <row r="147" spans="1:3" x14ac:dyDescent="0.2">
      <c r="A147" t="s">
        <v>147</v>
      </c>
      <c r="B147">
        <v>1.799342</v>
      </c>
      <c r="C147">
        <v>3.087253</v>
      </c>
    </row>
    <row r="148" spans="1:3" x14ac:dyDescent="0.2">
      <c r="A148" t="s">
        <v>148</v>
      </c>
      <c r="B148">
        <v>0.48567900000000003</v>
      </c>
      <c r="C148">
        <v>1.4305589999999999</v>
      </c>
    </row>
    <row r="149" spans="1:3" x14ac:dyDescent="0.2">
      <c r="A149" t="s">
        <v>149</v>
      </c>
      <c r="B149">
        <v>1.548098</v>
      </c>
      <c r="C149">
        <v>2.374806</v>
      </c>
    </row>
    <row r="150" spans="1:3" x14ac:dyDescent="0.2">
      <c r="A150" t="s">
        <v>150</v>
      </c>
      <c r="B150">
        <v>1.6326940000000001</v>
      </c>
      <c r="C150">
        <v>1.349664</v>
      </c>
    </row>
    <row r="151" spans="1:3" x14ac:dyDescent="0.2">
      <c r="A151" t="s">
        <v>151</v>
      </c>
      <c r="B151">
        <v>0.93553799999999998</v>
      </c>
      <c r="C151">
        <v>1.6027769999999999</v>
      </c>
    </row>
    <row r="152" spans="1:3" x14ac:dyDescent="0.2">
      <c r="A152" t="s">
        <v>152</v>
      </c>
      <c r="B152">
        <v>0.75375599999999998</v>
      </c>
      <c r="C152">
        <v>0.53451300000000002</v>
      </c>
    </row>
    <row r="153" spans="1:3" x14ac:dyDescent="0.2">
      <c r="A153" t="s">
        <v>153</v>
      </c>
      <c r="B153">
        <v>1.8124819999999999</v>
      </c>
      <c r="C153">
        <v>2.067755</v>
      </c>
    </row>
    <row r="154" spans="1:3" x14ac:dyDescent="0.2">
      <c r="A154" t="s">
        <v>154</v>
      </c>
      <c r="B154">
        <v>0.96957300000000002</v>
      </c>
      <c r="C154">
        <v>1.706577</v>
      </c>
    </row>
    <row r="155" spans="1:3" x14ac:dyDescent="0.2">
      <c r="A155" t="s">
        <v>155</v>
      </c>
      <c r="B155">
        <v>3.9601860000000002</v>
      </c>
      <c r="C155">
        <v>6.8094340000000004</v>
      </c>
    </row>
    <row r="156" spans="1:3" x14ac:dyDescent="0.2">
      <c r="A156" t="s">
        <v>156</v>
      </c>
      <c r="B156">
        <v>1.4519040000000001</v>
      </c>
      <c r="C156">
        <v>0.73620300000000005</v>
      </c>
    </row>
    <row r="157" spans="1:3" x14ac:dyDescent="0.2">
      <c r="A157" t="s">
        <v>157</v>
      </c>
      <c r="B157">
        <v>0.37240600000000001</v>
      </c>
      <c r="C157">
        <v>0.21550900000000001</v>
      </c>
    </row>
    <row r="158" spans="1:3" x14ac:dyDescent="0.2">
      <c r="A158" t="s">
        <v>158</v>
      </c>
      <c r="B158">
        <v>1.7303379999999999</v>
      </c>
      <c r="C158">
        <v>11.350783</v>
      </c>
    </row>
    <row r="159" spans="1:3" x14ac:dyDescent="0.2">
      <c r="A159" t="s">
        <v>159</v>
      </c>
      <c r="B159">
        <v>0.53057900000000002</v>
      </c>
      <c r="C159">
        <v>0.221939</v>
      </c>
    </row>
    <row r="160" spans="1:3" x14ac:dyDescent="0.2">
      <c r="A160" t="s">
        <v>160</v>
      </c>
      <c r="B160">
        <v>4.2945529999999996</v>
      </c>
      <c r="C160">
        <v>3.775684</v>
      </c>
    </row>
    <row r="161" spans="1:3" x14ac:dyDescent="0.2">
      <c r="A161" t="s">
        <v>161</v>
      </c>
      <c r="B161">
        <v>2.4845259999999998</v>
      </c>
      <c r="C161">
        <v>1.770472</v>
      </c>
    </row>
    <row r="162" spans="1:3" x14ac:dyDescent="0.2">
      <c r="A162" t="s">
        <v>162</v>
      </c>
      <c r="B162">
        <v>0.65597300000000003</v>
      </c>
      <c r="C162">
        <v>0.41381400000000002</v>
      </c>
    </row>
    <row r="163" spans="1:3" x14ac:dyDescent="0.2">
      <c r="A163" t="s">
        <v>163</v>
      </c>
      <c r="B163">
        <v>1.7435400000000001</v>
      </c>
      <c r="C163">
        <v>1.136341</v>
      </c>
    </row>
    <row r="164" spans="1:3" x14ac:dyDescent="0.2">
      <c r="A164" t="s">
        <v>164</v>
      </c>
      <c r="B164">
        <v>2.4109940000000001</v>
      </c>
      <c r="C164">
        <v>2.4386570000000001</v>
      </c>
    </row>
    <row r="165" spans="1:3" x14ac:dyDescent="0.2">
      <c r="A165" t="s">
        <v>165</v>
      </c>
      <c r="B165">
        <v>2.0583879999999999</v>
      </c>
      <c r="C165">
        <v>2.8626510000000001</v>
      </c>
    </row>
    <row r="166" spans="1:3" x14ac:dyDescent="0.2">
      <c r="A166" t="s">
        <v>166</v>
      </c>
      <c r="B166">
        <v>0.98410299999999995</v>
      </c>
      <c r="C166">
        <v>0.80015099999999995</v>
      </c>
    </row>
    <row r="167" spans="1:3" x14ac:dyDescent="0.2">
      <c r="A167" t="s">
        <v>167</v>
      </c>
      <c r="B167">
        <v>1.733414</v>
      </c>
      <c r="C167">
        <v>3.286842</v>
      </c>
    </row>
    <row r="168" spans="1:3" x14ac:dyDescent="0.2">
      <c r="A168" t="s">
        <v>168</v>
      </c>
      <c r="B168">
        <v>0.60979099999999997</v>
      </c>
      <c r="C168">
        <v>0.85768299999999997</v>
      </c>
    </row>
    <row r="169" spans="1:3" x14ac:dyDescent="0.2">
      <c r="A169" t="s">
        <v>169</v>
      </c>
      <c r="B169">
        <v>1.728694</v>
      </c>
      <c r="C169">
        <v>2.1125039999999999</v>
      </c>
    </row>
    <row r="170" spans="1:3" x14ac:dyDescent="0.2">
      <c r="A170" t="s">
        <v>170</v>
      </c>
      <c r="B170">
        <v>0.84823300000000001</v>
      </c>
      <c r="C170">
        <v>0.98161799999999999</v>
      </c>
    </row>
    <row r="171" spans="1:3" x14ac:dyDescent="0.2">
      <c r="A171" t="s">
        <v>171</v>
      </c>
      <c r="B171">
        <v>0.52927100000000005</v>
      </c>
      <c r="C171">
        <v>0.89976</v>
      </c>
    </row>
    <row r="172" spans="1:3" x14ac:dyDescent="0.2">
      <c r="A172" t="s">
        <v>172</v>
      </c>
      <c r="B172">
        <v>0.986487</v>
      </c>
      <c r="C172">
        <v>0.99026499999999995</v>
      </c>
    </row>
    <row r="173" spans="1:3" x14ac:dyDescent="0.2">
      <c r="A173" t="s">
        <v>173</v>
      </c>
      <c r="B173">
        <v>1.272448</v>
      </c>
      <c r="C173">
        <v>2.0089380000000001</v>
      </c>
    </row>
    <row r="174" spans="1:3" x14ac:dyDescent="0.2">
      <c r="A174" t="s">
        <v>174</v>
      </c>
      <c r="B174">
        <v>1.250586</v>
      </c>
      <c r="C174">
        <v>0.84377800000000003</v>
      </c>
    </row>
    <row r="175" spans="1:3" x14ac:dyDescent="0.2">
      <c r="A175" t="s">
        <v>175</v>
      </c>
      <c r="B175">
        <v>2.5111789999999998</v>
      </c>
      <c r="C175">
        <v>3.5965289999999999</v>
      </c>
    </row>
    <row r="176" spans="1:3" x14ac:dyDescent="0.2">
      <c r="A176" t="s">
        <v>176</v>
      </c>
      <c r="B176">
        <v>0.65873099999999996</v>
      </c>
      <c r="C176">
        <v>0.50731099999999996</v>
      </c>
    </row>
    <row r="177" spans="1:3" x14ac:dyDescent="0.2">
      <c r="A177" t="s">
        <v>177</v>
      </c>
      <c r="B177">
        <v>3.7110249999999998</v>
      </c>
      <c r="C177">
        <v>2.508613</v>
      </c>
    </row>
    <row r="178" spans="1:3" x14ac:dyDescent="0.2">
      <c r="A178" t="s">
        <v>178</v>
      </c>
      <c r="B178">
        <v>1.9379200000000001</v>
      </c>
      <c r="C178">
        <v>4.6461680000000003</v>
      </c>
    </row>
    <row r="179" spans="1:3" x14ac:dyDescent="0.2">
      <c r="A179" t="s">
        <v>179</v>
      </c>
      <c r="B179">
        <v>0.89902599999999999</v>
      </c>
      <c r="C179">
        <v>0.44373099999999999</v>
      </c>
    </row>
    <row r="180" spans="1:3" x14ac:dyDescent="0.2">
      <c r="A180" t="s">
        <v>180</v>
      </c>
      <c r="B180">
        <v>3.3385539999999998</v>
      </c>
      <c r="C180">
        <v>5.8804530000000002</v>
      </c>
    </row>
    <row r="181" spans="1:3" x14ac:dyDescent="0.2">
      <c r="A181" t="s">
        <v>181</v>
      </c>
      <c r="B181">
        <v>1.2348539999999999</v>
      </c>
      <c r="C181">
        <v>1.177297</v>
      </c>
    </row>
    <row r="182" spans="1:3" x14ac:dyDescent="0.2">
      <c r="A182" t="s">
        <v>182</v>
      </c>
      <c r="B182">
        <v>1.546057</v>
      </c>
      <c r="C182">
        <v>1.3655299999999999</v>
      </c>
    </row>
    <row r="183" spans="1:3" x14ac:dyDescent="0.2">
      <c r="A183" t="s">
        <v>183</v>
      </c>
      <c r="B183">
        <v>0.79992600000000003</v>
      </c>
      <c r="C183">
        <v>2.6446040000000002</v>
      </c>
    </row>
    <row r="184" spans="1:3" x14ac:dyDescent="0.2">
      <c r="A184" t="s">
        <v>184</v>
      </c>
      <c r="B184">
        <v>1.8183119999999999</v>
      </c>
      <c r="C184">
        <v>2.4571809999999998</v>
      </c>
    </row>
    <row r="185" spans="1:3" x14ac:dyDescent="0.2">
      <c r="A185" t="s">
        <v>185</v>
      </c>
      <c r="B185">
        <v>3.4396819999999999</v>
      </c>
      <c r="C185">
        <v>2.6975500000000001</v>
      </c>
    </row>
    <row r="186" spans="1:3" x14ac:dyDescent="0.2">
      <c r="A186" t="s">
        <v>186</v>
      </c>
      <c r="B186">
        <v>1.4308810000000001</v>
      </c>
      <c r="C186">
        <v>4.2485480000000004</v>
      </c>
    </row>
    <row r="187" spans="1:3" x14ac:dyDescent="0.2">
      <c r="A187" t="s">
        <v>187</v>
      </c>
      <c r="B187">
        <v>1.481169</v>
      </c>
      <c r="C187">
        <v>2.1637379999999999</v>
      </c>
    </row>
    <row r="188" spans="1:3" x14ac:dyDescent="0.2">
      <c r="A188" t="s">
        <v>188</v>
      </c>
      <c r="B188">
        <v>1.5834569999999999</v>
      </c>
      <c r="C188">
        <v>1.9536089999999999</v>
      </c>
    </row>
    <row r="189" spans="1:3" x14ac:dyDescent="0.2">
      <c r="A189" t="s">
        <v>189</v>
      </c>
      <c r="B189">
        <v>0.45617000000000002</v>
      </c>
      <c r="C189">
        <v>0.64643700000000004</v>
      </c>
    </row>
    <row r="190" spans="1:3" x14ac:dyDescent="0.2">
      <c r="A190" t="s">
        <v>190</v>
      </c>
      <c r="B190">
        <v>0.36868000000000001</v>
      </c>
      <c r="C190">
        <v>0.18232300000000001</v>
      </c>
    </row>
    <row r="191" spans="1:3" x14ac:dyDescent="0.2">
      <c r="A191" t="s">
        <v>191</v>
      </c>
      <c r="B191">
        <v>0.90628900000000001</v>
      </c>
      <c r="C191">
        <v>1.3757889999999999</v>
      </c>
    </row>
    <row r="192" spans="1:3" x14ac:dyDescent="0.2">
      <c r="A192" t="s">
        <v>192</v>
      </c>
      <c r="B192">
        <v>0.96972899999999995</v>
      </c>
      <c r="C192">
        <v>1.830856</v>
      </c>
    </row>
    <row r="193" spans="1:3" x14ac:dyDescent="0.2">
      <c r="A193" t="s">
        <v>193</v>
      </c>
      <c r="B193">
        <v>1.487158</v>
      </c>
      <c r="C193">
        <v>1.7236560000000001</v>
      </c>
    </row>
    <row r="194" spans="1:3" x14ac:dyDescent="0.2">
      <c r="A194" t="s">
        <v>194</v>
      </c>
      <c r="B194">
        <v>1.0587899999999999</v>
      </c>
      <c r="C194">
        <v>2.434787</v>
      </c>
    </row>
    <row r="195" spans="1:3" x14ac:dyDescent="0.2">
      <c r="A195" t="s">
        <v>195</v>
      </c>
      <c r="B195">
        <v>1.3625370000000001</v>
      </c>
      <c r="C195">
        <v>1.9664349999999999</v>
      </c>
    </row>
    <row r="196" spans="1:3" x14ac:dyDescent="0.2">
      <c r="A196" t="s">
        <v>196</v>
      </c>
      <c r="B196">
        <v>4.0706119999999997</v>
      </c>
      <c r="C196">
        <v>3.5174599999999998</v>
      </c>
    </row>
    <row r="197" spans="1:3" x14ac:dyDescent="0.2">
      <c r="A197" t="s">
        <v>197</v>
      </c>
      <c r="B197">
        <v>2.0724719999999999</v>
      </c>
      <c r="C197">
        <v>1.442679</v>
      </c>
    </row>
    <row r="198" spans="1:3" x14ac:dyDescent="0.2">
      <c r="A198" t="s">
        <v>198</v>
      </c>
      <c r="B198">
        <v>2.6140569999999999</v>
      </c>
      <c r="C198">
        <v>2.2947150000000001</v>
      </c>
    </row>
    <row r="199" spans="1:3" x14ac:dyDescent="0.2">
      <c r="A199" t="s">
        <v>199</v>
      </c>
      <c r="B199">
        <v>0.40307599999999999</v>
      </c>
      <c r="C199">
        <v>0.63110999999999995</v>
      </c>
    </row>
    <row r="200" spans="1:3" x14ac:dyDescent="0.2">
      <c r="A200" t="s">
        <v>200</v>
      </c>
      <c r="B200">
        <v>1.605078</v>
      </c>
      <c r="C200">
        <v>1.386617</v>
      </c>
    </row>
    <row r="201" spans="1:3" x14ac:dyDescent="0.2">
      <c r="A201" t="s">
        <v>201</v>
      </c>
      <c r="B201">
        <v>2.0898590000000001</v>
      </c>
      <c r="C201">
        <v>7.3164610000000003</v>
      </c>
    </row>
    <row r="202" spans="1:3" x14ac:dyDescent="0.2">
      <c r="A202" t="s">
        <v>202</v>
      </c>
      <c r="B202">
        <v>1.4382950000000001</v>
      </c>
      <c r="C202">
        <v>1.80776</v>
      </c>
    </row>
    <row r="203" spans="1:3" x14ac:dyDescent="0.2">
      <c r="A203" t="s">
        <v>203</v>
      </c>
      <c r="B203">
        <v>1.007045</v>
      </c>
      <c r="C203">
        <v>0.78577600000000003</v>
      </c>
    </row>
    <row r="204" spans="1:3" x14ac:dyDescent="0.2">
      <c r="A204" t="s">
        <v>204</v>
      </c>
      <c r="B204">
        <v>0.94142800000000004</v>
      </c>
      <c r="C204">
        <v>1.1914260000000001</v>
      </c>
    </row>
    <row r="205" spans="1:3" x14ac:dyDescent="0.2">
      <c r="A205" t="s">
        <v>205</v>
      </c>
      <c r="B205">
        <v>0.66608199999999995</v>
      </c>
      <c r="C205">
        <v>0.315278</v>
      </c>
    </row>
    <row r="206" spans="1:3" x14ac:dyDescent="0.2">
      <c r="A206" t="s">
        <v>206</v>
      </c>
      <c r="B206">
        <v>0.89842599999999995</v>
      </c>
      <c r="C206">
        <v>1.674029</v>
      </c>
    </row>
    <row r="207" spans="1:3" x14ac:dyDescent="0.2">
      <c r="A207" t="s">
        <v>207</v>
      </c>
      <c r="B207">
        <v>1.355564</v>
      </c>
      <c r="C207">
        <v>1.773226</v>
      </c>
    </row>
    <row r="208" spans="1:3" x14ac:dyDescent="0.2">
      <c r="A208" t="s">
        <v>208</v>
      </c>
      <c r="B208">
        <v>2.0890059999999999</v>
      </c>
      <c r="C208">
        <v>1.8998459999999999</v>
      </c>
    </row>
    <row r="209" spans="1:3" x14ac:dyDescent="0.2">
      <c r="A209" t="s">
        <v>209</v>
      </c>
      <c r="B209">
        <v>0.88231499999999996</v>
      </c>
      <c r="C209">
        <v>1.1569560000000001</v>
      </c>
    </row>
    <row r="210" spans="1:3" x14ac:dyDescent="0.2">
      <c r="A210" t="s">
        <v>210</v>
      </c>
      <c r="B210">
        <v>1.105029</v>
      </c>
      <c r="C210">
        <v>1.272675</v>
      </c>
    </row>
    <row r="211" spans="1:3" x14ac:dyDescent="0.2">
      <c r="A211" t="s">
        <v>211</v>
      </c>
      <c r="B211">
        <v>0.820689</v>
      </c>
      <c r="C211">
        <v>1.0104820000000001</v>
      </c>
    </row>
    <row r="212" spans="1:3" x14ac:dyDescent="0.2">
      <c r="A212" t="s">
        <v>212</v>
      </c>
      <c r="B212">
        <v>0.97517799999999999</v>
      </c>
      <c r="C212">
        <v>1.3676170000000001</v>
      </c>
    </row>
    <row r="213" spans="1:3" x14ac:dyDescent="0.2">
      <c r="A213" t="s">
        <v>213</v>
      </c>
      <c r="B213">
        <v>1.359823</v>
      </c>
      <c r="C213">
        <v>2.3869590000000001</v>
      </c>
    </row>
    <row r="214" spans="1:3" x14ac:dyDescent="0.2">
      <c r="A214" t="s">
        <v>214</v>
      </c>
      <c r="B214">
        <v>1.7820940000000001</v>
      </c>
      <c r="C214">
        <v>3.1452390000000001</v>
      </c>
    </row>
    <row r="215" spans="1:3" x14ac:dyDescent="0.2">
      <c r="A215" t="s">
        <v>215</v>
      </c>
      <c r="B215">
        <v>1.4688049999999999</v>
      </c>
      <c r="C215">
        <v>1.6751510000000001</v>
      </c>
    </row>
    <row r="216" spans="1:3" x14ac:dyDescent="0.2">
      <c r="A216" t="s">
        <v>216</v>
      </c>
      <c r="B216">
        <v>0.286634</v>
      </c>
      <c r="C216">
        <v>0.21035499999999999</v>
      </c>
    </row>
    <row r="217" spans="1:3" x14ac:dyDescent="0.2">
      <c r="A217" t="s">
        <v>217</v>
      </c>
      <c r="B217">
        <v>0.52914799999999995</v>
      </c>
      <c r="C217">
        <v>0.76263700000000001</v>
      </c>
    </row>
    <row r="218" spans="1:3" x14ac:dyDescent="0.2">
      <c r="A218" t="s">
        <v>218</v>
      </c>
      <c r="B218">
        <v>1.6622189999999999</v>
      </c>
      <c r="C218">
        <v>1.5601080000000001</v>
      </c>
    </row>
    <row r="219" spans="1:3" x14ac:dyDescent="0.2">
      <c r="A219" t="s">
        <v>219</v>
      </c>
      <c r="B219">
        <v>3.4161890000000001</v>
      </c>
      <c r="C219">
        <v>4.347029</v>
      </c>
    </row>
    <row r="220" spans="1:3" x14ac:dyDescent="0.2">
      <c r="A220" t="s">
        <v>220</v>
      </c>
      <c r="B220">
        <v>1.901556</v>
      </c>
      <c r="C220">
        <v>2.3368739999999999</v>
      </c>
    </row>
    <row r="221" spans="1:3" x14ac:dyDescent="0.2">
      <c r="A221" t="s">
        <v>221</v>
      </c>
      <c r="B221">
        <v>0.39449699999999999</v>
      </c>
      <c r="C221">
        <v>0.61461399999999999</v>
      </c>
    </row>
    <row r="222" spans="1:3" x14ac:dyDescent="0.2">
      <c r="A222" t="s">
        <v>222</v>
      </c>
      <c r="B222">
        <v>0.365452</v>
      </c>
      <c r="C222">
        <v>0.50567200000000001</v>
      </c>
    </row>
    <row r="223" spans="1:3" x14ac:dyDescent="0.2">
      <c r="A223" t="s">
        <v>223</v>
      </c>
      <c r="B223">
        <v>1.8351599999999999</v>
      </c>
      <c r="C223">
        <v>2.2425139999999999</v>
      </c>
    </row>
    <row r="224" spans="1:3" x14ac:dyDescent="0.2">
      <c r="A224" t="s">
        <v>224</v>
      </c>
      <c r="B224">
        <v>0.74162300000000003</v>
      </c>
      <c r="C224">
        <v>0.60779399999999995</v>
      </c>
    </row>
    <row r="225" spans="1:3" x14ac:dyDescent="0.2">
      <c r="A225" t="s">
        <v>225</v>
      </c>
      <c r="B225">
        <v>2.1594259999999998</v>
      </c>
      <c r="C225">
        <v>7.5433779999999997</v>
      </c>
    </row>
    <row r="226" spans="1:3" x14ac:dyDescent="0.2">
      <c r="A226" t="s">
        <v>226</v>
      </c>
      <c r="B226">
        <v>0.60964499999999999</v>
      </c>
      <c r="C226">
        <v>0.614923</v>
      </c>
    </row>
    <row r="227" spans="1:3" x14ac:dyDescent="0.2">
      <c r="A227" t="s">
        <v>227</v>
      </c>
      <c r="B227">
        <v>1.560802</v>
      </c>
      <c r="C227">
        <v>4.770791</v>
      </c>
    </row>
    <row r="228" spans="1:3" x14ac:dyDescent="0.2">
      <c r="A228" t="s">
        <v>228</v>
      </c>
      <c r="B228">
        <v>1.8863909999999999</v>
      </c>
      <c r="C228">
        <v>1.0811040000000001</v>
      </c>
    </row>
    <row r="229" spans="1:3" x14ac:dyDescent="0.2">
      <c r="A229" t="s">
        <v>229</v>
      </c>
      <c r="B229">
        <v>0.919937</v>
      </c>
      <c r="C229">
        <v>1.409268</v>
      </c>
    </row>
    <row r="230" spans="1:3" x14ac:dyDescent="0.2">
      <c r="A230" t="s">
        <v>230</v>
      </c>
      <c r="B230">
        <v>1.6192569999999999</v>
      </c>
      <c r="C230">
        <v>2.4584250000000001</v>
      </c>
    </row>
    <row r="231" spans="1:3" x14ac:dyDescent="0.2">
      <c r="A231" t="s">
        <v>231</v>
      </c>
      <c r="B231">
        <v>0.78179100000000001</v>
      </c>
      <c r="C231">
        <v>2.1500219999999999</v>
      </c>
    </row>
    <row r="232" spans="1:3" x14ac:dyDescent="0.2">
      <c r="A232" t="s">
        <v>232</v>
      </c>
      <c r="B232">
        <v>1.08338</v>
      </c>
      <c r="C232">
        <v>0.62957099999999999</v>
      </c>
    </row>
    <row r="233" spans="1:3" x14ac:dyDescent="0.2">
      <c r="A233" t="s">
        <v>233</v>
      </c>
      <c r="B233">
        <v>0.22173100000000001</v>
      </c>
      <c r="C233">
        <v>0.42998199999999998</v>
      </c>
    </row>
    <row r="234" spans="1:3" x14ac:dyDescent="0.2">
      <c r="A234" t="s">
        <v>234</v>
      </c>
      <c r="B234">
        <v>0.652007</v>
      </c>
      <c r="C234">
        <v>1.282816</v>
      </c>
    </row>
    <row r="235" spans="1:3" x14ac:dyDescent="0.2">
      <c r="A235" t="s">
        <v>235</v>
      </c>
      <c r="B235">
        <v>1.4389369999999999</v>
      </c>
      <c r="C235">
        <v>1.001296</v>
      </c>
    </row>
    <row r="236" spans="1:3" x14ac:dyDescent="0.2">
      <c r="A236" t="s">
        <v>236</v>
      </c>
      <c r="B236">
        <v>0.66506600000000005</v>
      </c>
      <c r="C236">
        <v>0.66798199999999996</v>
      </c>
    </row>
    <row r="237" spans="1:3" x14ac:dyDescent="0.2">
      <c r="A237" t="s">
        <v>237</v>
      </c>
      <c r="B237">
        <v>1.1947289999999999</v>
      </c>
      <c r="C237">
        <v>1.84598</v>
      </c>
    </row>
    <row r="238" spans="1:3" x14ac:dyDescent="0.2">
      <c r="A238" t="s">
        <v>238</v>
      </c>
      <c r="B238">
        <v>1.3222670000000001</v>
      </c>
      <c r="C238">
        <v>1.783237</v>
      </c>
    </row>
    <row r="239" spans="1:3" x14ac:dyDescent="0.2">
      <c r="A239" t="s">
        <v>239</v>
      </c>
      <c r="B239">
        <v>1.043677</v>
      </c>
      <c r="C239">
        <v>1.0552859999999999</v>
      </c>
    </row>
    <row r="240" spans="1:3" x14ac:dyDescent="0.2">
      <c r="A240" t="s">
        <v>240</v>
      </c>
      <c r="B240">
        <v>1.0576589999999999</v>
      </c>
      <c r="C240">
        <v>0.84684800000000005</v>
      </c>
    </row>
    <row r="241" spans="1:3" x14ac:dyDescent="0.2">
      <c r="A241" t="s">
        <v>241</v>
      </c>
      <c r="B241">
        <v>2.0445720000000001</v>
      </c>
      <c r="C241">
        <v>2.4065099999999999</v>
      </c>
    </row>
    <row r="242" spans="1:3" x14ac:dyDescent="0.2">
      <c r="A242" t="s">
        <v>242</v>
      </c>
      <c r="B242">
        <v>1.5809260000000001</v>
      </c>
      <c r="C242">
        <v>1.856012</v>
      </c>
    </row>
    <row r="243" spans="1:3" x14ac:dyDescent="0.2">
      <c r="A243" t="s">
        <v>243</v>
      </c>
      <c r="B243">
        <v>2.6382500000000002</v>
      </c>
      <c r="C243">
        <v>3.7118120000000001</v>
      </c>
    </row>
    <row r="244" spans="1:3" x14ac:dyDescent="0.2">
      <c r="A244" t="s">
        <v>244</v>
      </c>
      <c r="B244">
        <v>10.399875</v>
      </c>
      <c r="C244">
        <v>14.498324</v>
      </c>
    </row>
    <row r="245" spans="1:3" x14ac:dyDescent="0.2">
      <c r="A245" t="s">
        <v>245</v>
      </c>
      <c r="B245">
        <v>8.0466999999999997E-2</v>
      </c>
      <c r="C245">
        <v>2.5104000000000001E-2</v>
      </c>
    </row>
    <row r="246" spans="1:3" x14ac:dyDescent="0.2">
      <c r="A246" t="s">
        <v>246</v>
      </c>
      <c r="B246">
        <v>1.074209</v>
      </c>
      <c r="C246">
        <v>1.2059139999999999</v>
      </c>
    </row>
    <row r="247" spans="1:3" x14ac:dyDescent="0.2">
      <c r="A247" t="s">
        <v>247</v>
      </c>
      <c r="B247">
        <v>2.1530499999999999</v>
      </c>
      <c r="C247">
        <v>2.4680529999999998</v>
      </c>
    </row>
    <row r="248" spans="1:3" x14ac:dyDescent="0.2">
      <c r="A248" t="s">
        <v>248</v>
      </c>
      <c r="B248">
        <v>0.31998199999999999</v>
      </c>
      <c r="C248">
        <v>0.45593699999999998</v>
      </c>
    </row>
    <row r="249" spans="1:3" x14ac:dyDescent="0.2">
      <c r="A249" t="s">
        <v>249</v>
      </c>
      <c r="B249">
        <v>1.4200680000000001</v>
      </c>
      <c r="C249">
        <v>1.438879</v>
      </c>
    </row>
    <row r="250" spans="1:3" x14ac:dyDescent="0.2">
      <c r="A250" t="s">
        <v>250</v>
      </c>
      <c r="B250">
        <v>5.2935999999999997E-2</v>
      </c>
      <c r="C250">
        <v>9.8764000000000005E-2</v>
      </c>
    </row>
    <row r="251" spans="1:3" x14ac:dyDescent="0.2">
      <c r="A251" t="s">
        <v>251</v>
      </c>
      <c r="B251">
        <v>1.614706</v>
      </c>
      <c r="C251">
        <v>2.663586</v>
      </c>
    </row>
    <row r="252" spans="1:3" x14ac:dyDescent="0.2">
      <c r="A252" t="s">
        <v>252</v>
      </c>
      <c r="B252">
        <v>0.45927000000000001</v>
      </c>
      <c r="C252">
        <v>0.218082</v>
      </c>
    </row>
    <row r="253" spans="1:3" x14ac:dyDescent="0.2">
      <c r="A253" t="s">
        <v>253</v>
      </c>
      <c r="B253">
        <v>1.296729</v>
      </c>
      <c r="C253">
        <v>1.035199</v>
      </c>
    </row>
    <row r="254" spans="1:3" x14ac:dyDescent="0.2">
      <c r="A254" t="s">
        <v>254</v>
      </c>
      <c r="B254">
        <v>3.623828</v>
      </c>
      <c r="C254">
        <v>4.189781</v>
      </c>
    </row>
    <row r="255" spans="1:3" x14ac:dyDescent="0.2">
      <c r="A255" t="s">
        <v>255</v>
      </c>
      <c r="B255">
        <v>0.59987599999999996</v>
      </c>
      <c r="C255">
        <v>0.63731000000000004</v>
      </c>
    </row>
    <row r="256" spans="1:3" x14ac:dyDescent="0.2">
      <c r="A256" t="s">
        <v>256</v>
      </c>
      <c r="B256">
        <v>1.4009069999999999</v>
      </c>
      <c r="C256">
        <v>1.875875</v>
      </c>
    </row>
    <row r="257" spans="1:3" x14ac:dyDescent="0.2">
      <c r="A257" t="s">
        <v>257</v>
      </c>
      <c r="B257">
        <v>2.1536819999999999</v>
      </c>
      <c r="C257">
        <v>2.0372710000000001</v>
      </c>
    </row>
    <row r="258" spans="1:3" x14ac:dyDescent="0.2">
      <c r="A258" t="s">
        <v>258</v>
      </c>
      <c r="B258">
        <v>1.377756</v>
      </c>
      <c r="C258">
        <v>1.2763800000000001</v>
      </c>
    </row>
    <row r="259" spans="1:3" x14ac:dyDescent="0.2">
      <c r="A259" t="s">
        <v>259</v>
      </c>
      <c r="B259">
        <v>0.94990699999999995</v>
      </c>
      <c r="C259">
        <v>2.7372999999999998</v>
      </c>
    </row>
    <row r="260" spans="1:3" x14ac:dyDescent="0.2">
      <c r="A260" t="s">
        <v>260</v>
      </c>
      <c r="B260">
        <v>0.70759399999999995</v>
      </c>
      <c r="C260">
        <v>1.1014900000000001</v>
      </c>
    </row>
    <row r="261" spans="1:3" x14ac:dyDescent="0.2">
      <c r="A261" t="s">
        <v>261</v>
      </c>
      <c r="B261">
        <v>1.574322</v>
      </c>
      <c r="C261">
        <v>1.151227</v>
      </c>
    </row>
    <row r="262" spans="1:3" x14ac:dyDescent="0.2">
      <c r="A262" t="s">
        <v>262</v>
      </c>
      <c r="B262">
        <v>0.95152099999999995</v>
      </c>
      <c r="C262">
        <v>1.1848989999999999</v>
      </c>
    </row>
    <row r="263" spans="1:3" x14ac:dyDescent="0.2">
      <c r="A263" t="s">
        <v>263</v>
      </c>
      <c r="B263">
        <v>0.68976700000000002</v>
      </c>
      <c r="C263">
        <v>0.84094199999999997</v>
      </c>
    </row>
    <row r="264" spans="1:3" x14ac:dyDescent="0.2">
      <c r="A264" t="s">
        <v>264</v>
      </c>
      <c r="B264">
        <v>0.93236600000000003</v>
      </c>
      <c r="C264">
        <v>3.1712220000000002</v>
      </c>
    </row>
    <row r="265" spans="1:3" x14ac:dyDescent="0.2">
      <c r="A265" t="s">
        <v>265</v>
      </c>
      <c r="B265">
        <v>2.366879</v>
      </c>
      <c r="C265">
        <v>2.0245829999999998</v>
      </c>
    </row>
    <row r="266" spans="1:3" x14ac:dyDescent="0.2">
      <c r="A266" t="s">
        <v>266</v>
      </c>
      <c r="B266">
        <v>1.0448010000000001</v>
      </c>
      <c r="C266">
        <v>0.57128000000000001</v>
      </c>
    </row>
    <row r="267" spans="1:3" x14ac:dyDescent="0.2">
      <c r="A267" t="s">
        <v>267</v>
      </c>
      <c r="B267">
        <v>1.9457040000000001</v>
      </c>
      <c r="C267">
        <v>1.5935159999999999</v>
      </c>
    </row>
    <row r="268" spans="1:3" x14ac:dyDescent="0.2">
      <c r="A268" t="s">
        <v>268</v>
      </c>
      <c r="B268">
        <v>4.9790369999999999</v>
      </c>
      <c r="C268">
        <v>0</v>
      </c>
    </row>
    <row r="269" spans="1:3" x14ac:dyDescent="0.2">
      <c r="A269" t="s">
        <v>269</v>
      </c>
      <c r="B269">
        <v>2.0560990000000001</v>
      </c>
      <c r="C269">
        <v>4.3153969999999999</v>
      </c>
    </row>
    <row r="270" spans="1:3" x14ac:dyDescent="0.2">
      <c r="A270" t="s">
        <v>270</v>
      </c>
      <c r="B270">
        <v>0.23419100000000001</v>
      </c>
      <c r="C270">
        <v>0.26651000000000002</v>
      </c>
    </row>
    <row r="271" spans="1:3" x14ac:dyDescent="0.2">
      <c r="A271" t="s">
        <v>271</v>
      </c>
      <c r="B271">
        <v>0.82857099999999995</v>
      </c>
      <c r="C271">
        <v>0.98050700000000002</v>
      </c>
    </row>
    <row r="272" spans="1:3" x14ac:dyDescent="0.2">
      <c r="A272" t="s">
        <v>272</v>
      </c>
      <c r="B272">
        <v>1.103046</v>
      </c>
      <c r="C272">
        <v>1.239984</v>
      </c>
    </row>
    <row r="273" spans="1:3" x14ac:dyDescent="0.2">
      <c r="A273" t="s">
        <v>273</v>
      </c>
      <c r="B273">
        <v>0.96734500000000001</v>
      </c>
      <c r="C273">
        <v>1.7973220000000001</v>
      </c>
    </row>
    <row r="274" spans="1:3" x14ac:dyDescent="0.2">
      <c r="A274" t="s">
        <v>274</v>
      </c>
      <c r="B274">
        <v>1.1840729999999999</v>
      </c>
      <c r="C274">
        <v>1.8905209999999999</v>
      </c>
    </row>
    <row r="275" spans="1:3" x14ac:dyDescent="0.2">
      <c r="A275" t="s">
        <v>275</v>
      </c>
      <c r="B275">
        <v>5.9712800000000001</v>
      </c>
      <c r="C275">
        <v>7.3209439999999999</v>
      </c>
    </row>
    <row r="276" spans="1:3" x14ac:dyDescent="0.2">
      <c r="A276" t="s">
        <v>276</v>
      </c>
      <c r="B276">
        <v>1.080392</v>
      </c>
      <c r="C276">
        <v>1.966906</v>
      </c>
    </row>
    <row r="277" spans="1:3" x14ac:dyDescent="0.2">
      <c r="A277" t="s">
        <v>277</v>
      </c>
      <c r="B277">
        <v>1.450223</v>
      </c>
      <c r="C277">
        <v>1.7095199999999999</v>
      </c>
    </row>
    <row r="278" spans="1:3" x14ac:dyDescent="0.2">
      <c r="A278" t="s">
        <v>278</v>
      </c>
      <c r="B278">
        <v>1.637751</v>
      </c>
      <c r="C278">
        <v>1.310932</v>
      </c>
    </row>
    <row r="279" spans="1:3" x14ac:dyDescent="0.2">
      <c r="A279" t="s">
        <v>279</v>
      </c>
      <c r="B279">
        <v>1.620512</v>
      </c>
      <c r="C279">
        <v>1.292527</v>
      </c>
    </row>
    <row r="280" spans="1:3" x14ac:dyDescent="0.2">
      <c r="A280" t="s">
        <v>280</v>
      </c>
      <c r="B280">
        <v>0.399173</v>
      </c>
      <c r="C280">
        <v>0.32641500000000001</v>
      </c>
    </row>
    <row r="281" spans="1:3" x14ac:dyDescent="0.2">
      <c r="A281" t="s">
        <v>281</v>
      </c>
      <c r="B281">
        <v>0.79212199999999999</v>
      </c>
      <c r="C281">
        <v>3.1386069999999999</v>
      </c>
    </row>
    <row r="282" spans="1:3" x14ac:dyDescent="0.2">
      <c r="A282" t="s">
        <v>282</v>
      </c>
      <c r="B282">
        <v>0.49177199999999999</v>
      </c>
      <c r="C282">
        <v>0.52635799999999999</v>
      </c>
    </row>
    <row r="283" spans="1:3" x14ac:dyDescent="0.2">
      <c r="A283" t="s">
        <v>283</v>
      </c>
      <c r="B283">
        <v>7.072794</v>
      </c>
      <c r="C283">
        <v>6.1889760000000003</v>
      </c>
    </row>
    <row r="284" spans="1:3" x14ac:dyDescent="0.2">
      <c r="A284" t="s">
        <v>284</v>
      </c>
      <c r="B284">
        <v>1.848371</v>
      </c>
      <c r="C284">
        <v>1.4339299999999999</v>
      </c>
    </row>
    <row r="285" spans="1:3" x14ac:dyDescent="0.2">
      <c r="A285" t="s">
        <v>285</v>
      </c>
      <c r="B285">
        <v>0.38198700000000002</v>
      </c>
      <c r="C285">
        <v>0.23124900000000001</v>
      </c>
    </row>
    <row r="286" spans="1:3" x14ac:dyDescent="0.2">
      <c r="A286" t="s">
        <v>286</v>
      </c>
      <c r="B286">
        <v>0.72957700000000003</v>
      </c>
      <c r="C286">
        <v>0.46880100000000002</v>
      </c>
    </row>
    <row r="287" spans="1:3" x14ac:dyDescent="0.2">
      <c r="A287" t="s">
        <v>287</v>
      </c>
      <c r="B287">
        <v>1.199049</v>
      </c>
      <c r="C287">
        <v>1.2110639999999999</v>
      </c>
    </row>
    <row r="288" spans="1:3" x14ac:dyDescent="0.2">
      <c r="A288" t="s">
        <v>288</v>
      </c>
      <c r="B288">
        <v>1.1890160000000001</v>
      </c>
      <c r="C288">
        <v>1.3232889999999999</v>
      </c>
    </row>
    <row r="289" spans="1:3" x14ac:dyDescent="0.2">
      <c r="A289" t="s">
        <v>289</v>
      </c>
      <c r="B289">
        <v>1.5907739999999999</v>
      </c>
      <c r="C289">
        <v>1.941281</v>
      </c>
    </row>
    <row r="290" spans="1:3" x14ac:dyDescent="0.2">
      <c r="A290" t="s">
        <v>290</v>
      </c>
      <c r="B290">
        <v>1.088757</v>
      </c>
      <c r="C290">
        <v>1.386566</v>
      </c>
    </row>
    <row r="291" spans="1:3" x14ac:dyDescent="0.2">
      <c r="A291" t="s">
        <v>291</v>
      </c>
      <c r="B291">
        <v>1.641216</v>
      </c>
      <c r="C291">
        <v>1.436029</v>
      </c>
    </row>
    <row r="292" spans="1:3" x14ac:dyDescent="0.2">
      <c r="A292" t="s">
        <v>292</v>
      </c>
      <c r="B292">
        <v>1.6144259999999999</v>
      </c>
      <c r="C292">
        <v>2.375947</v>
      </c>
    </row>
    <row r="293" spans="1:3" x14ac:dyDescent="0.2">
      <c r="A293" t="s">
        <v>293</v>
      </c>
      <c r="B293">
        <v>3.791846</v>
      </c>
      <c r="C293">
        <v>8.7950719999999993</v>
      </c>
    </row>
    <row r="294" spans="1:3" x14ac:dyDescent="0.2">
      <c r="A294" t="s">
        <v>294</v>
      </c>
      <c r="B294">
        <v>2.130674</v>
      </c>
      <c r="C294">
        <v>4.033741</v>
      </c>
    </row>
    <row r="295" spans="1:3" x14ac:dyDescent="0.2">
      <c r="A295" t="s">
        <v>295</v>
      </c>
      <c r="B295">
        <v>1.766645</v>
      </c>
      <c r="C295">
        <v>2.361685</v>
      </c>
    </row>
    <row r="296" spans="1:3" x14ac:dyDescent="0.2">
      <c r="A296" t="s">
        <v>296</v>
      </c>
      <c r="B296">
        <v>1.3184739999999999</v>
      </c>
      <c r="C296">
        <v>1.1690849999999999</v>
      </c>
    </row>
    <row r="297" spans="1:3" x14ac:dyDescent="0.2">
      <c r="A297" t="s">
        <v>297</v>
      </c>
      <c r="B297">
        <v>4.9091000000000003E-2</v>
      </c>
      <c r="C297">
        <v>7.4446999999999999E-2</v>
      </c>
    </row>
    <row r="298" spans="1:3" x14ac:dyDescent="0.2">
      <c r="A298" t="s">
        <v>298</v>
      </c>
      <c r="B298">
        <v>1.289061</v>
      </c>
      <c r="C298">
        <v>1.7556799999999999</v>
      </c>
    </row>
    <row r="299" spans="1:3" x14ac:dyDescent="0.2">
      <c r="A299" t="s">
        <v>299</v>
      </c>
      <c r="B299">
        <v>0.59196000000000004</v>
      </c>
      <c r="C299">
        <v>0.31104199999999999</v>
      </c>
    </row>
    <row r="300" spans="1:3" x14ac:dyDescent="0.2">
      <c r="A300" t="s">
        <v>300</v>
      </c>
      <c r="B300">
        <v>2.4173830000000001</v>
      </c>
      <c r="C300">
        <v>3.9868640000000002</v>
      </c>
    </row>
    <row r="301" spans="1:3" x14ac:dyDescent="0.2">
      <c r="A301" t="s">
        <v>301</v>
      </c>
      <c r="B301">
        <v>0.67993899999999996</v>
      </c>
      <c r="C301">
        <v>0.41492200000000001</v>
      </c>
    </row>
    <row r="302" spans="1:3" x14ac:dyDescent="0.2">
      <c r="A302" t="s">
        <v>302</v>
      </c>
      <c r="B302">
        <v>1.091251</v>
      </c>
      <c r="C302">
        <v>1.8438380000000001</v>
      </c>
    </row>
    <row r="303" spans="1:3" x14ac:dyDescent="0.2">
      <c r="A303" t="s">
        <v>303</v>
      </c>
      <c r="B303">
        <v>1.1669750000000001</v>
      </c>
      <c r="C303">
        <v>0.93491000000000002</v>
      </c>
    </row>
    <row r="304" spans="1:3" x14ac:dyDescent="0.2">
      <c r="A304" t="s">
        <v>304</v>
      </c>
      <c r="B304">
        <v>2.5446179999999998</v>
      </c>
      <c r="C304">
        <v>3.4614039999999999</v>
      </c>
    </row>
    <row r="305" spans="1:3" x14ac:dyDescent="0.2">
      <c r="A305" t="s">
        <v>305</v>
      </c>
      <c r="B305">
        <v>0.72894800000000004</v>
      </c>
      <c r="C305">
        <v>0.339814</v>
      </c>
    </row>
    <row r="306" spans="1:3" x14ac:dyDescent="0.2">
      <c r="A306" t="s">
        <v>306</v>
      </c>
      <c r="B306">
        <v>1.694501</v>
      </c>
      <c r="C306">
        <v>2.884881</v>
      </c>
    </row>
    <row r="307" spans="1:3" x14ac:dyDescent="0.2">
      <c r="A307" t="s">
        <v>307</v>
      </c>
      <c r="B307">
        <v>0.79395800000000005</v>
      </c>
      <c r="C307">
        <v>2.1685249999999998</v>
      </c>
    </row>
    <row r="308" spans="1:3" x14ac:dyDescent="0.2">
      <c r="A308" t="s">
        <v>308</v>
      </c>
      <c r="B308">
        <v>0.92722800000000005</v>
      </c>
      <c r="C308">
        <v>0.75899700000000003</v>
      </c>
    </row>
    <row r="309" spans="1:3" x14ac:dyDescent="0.2">
      <c r="A309" t="s">
        <v>309</v>
      </c>
      <c r="B309">
        <v>0.97083799999999998</v>
      </c>
      <c r="C309">
        <v>0.55386299999999999</v>
      </c>
    </row>
    <row r="310" spans="1:3" x14ac:dyDescent="0.2">
      <c r="A310" t="s">
        <v>310</v>
      </c>
      <c r="B310">
        <v>0.55266599999999999</v>
      </c>
      <c r="C310">
        <v>0.45048199999999999</v>
      </c>
    </row>
    <row r="311" spans="1:3" x14ac:dyDescent="0.2">
      <c r="A311" t="s">
        <v>311</v>
      </c>
      <c r="B311">
        <v>2.0857049999999999</v>
      </c>
      <c r="C311">
        <v>2.7843070000000001</v>
      </c>
    </row>
    <row r="312" spans="1:3" x14ac:dyDescent="0.2">
      <c r="A312" t="s">
        <v>312</v>
      </c>
      <c r="B312">
        <v>2.4342999999999999</v>
      </c>
      <c r="C312">
        <v>3.8803169999999998</v>
      </c>
    </row>
    <row r="313" spans="1:3" x14ac:dyDescent="0.2">
      <c r="A313" t="s">
        <v>313</v>
      </c>
      <c r="B313">
        <v>0.99981799999999998</v>
      </c>
      <c r="C313">
        <v>1.278184</v>
      </c>
    </row>
    <row r="314" spans="1:3" x14ac:dyDescent="0.2">
      <c r="A314" t="s">
        <v>314</v>
      </c>
      <c r="B314">
        <v>3.449119</v>
      </c>
      <c r="C314">
        <v>3.2337180000000001</v>
      </c>
    </row>
    <row r="315" spans="1:3" x14ac:dyDescent="0.2">
      <c r="A315" t="s">
        <v>315</v>
      </c>
      <c r="B315">
        <v>1.2549049999999999</v>
      </c>
      <c r="C315">
        <v>1.0907389999999999</v>
      </c>
    </row>
    <row r="316" spans="1:3" x14ac:dyDescent="0.2">
      <c r="A316" t="s">
        <v>316</v>
      </c>
      <c r="B316">
        <v>0.46257399999999999</v>
      </c>
      <c r="C316">
        <v>0.17957999999999999</v>
      </c>
    </row>
    <row r="317" spans="1:3" x14ac:dyDescent="0.2">
      <c r="A317" t="s">
        <v>317</v>
      </c>
      <c r="B317">
        <v>1.67964</v>
      </c>
      <c r="C317">
        <v>1.625845</v>
      </c>
    </row>
    <row r="318" spans="1:3" x14ac:dyDescent="0.2">
      <c r="A318" t="s">
        <v>318</v>
      </c>
      <c r="B318">
        <v>3.321218</v>
      </c>
      <c r="C318">
        <v>33.151767</v>
      </c>
    </row>
    <row r="319" spans="1:3" x14ac:dyDescent="0.2">
      <c r="A319" t="s">
        <v>319</v>
      </c>
      <c r="B319">
        <v>1.508618</v>
      </c>
      <c r="C319">
        <v>1.6324730000000001</v>
      </c>
    </row>
    <row r="320" spans="1:3" x14ac:dyDescent="0.2">
      <c r="A320" t="s">
        <v>320</v>
      </c>
      <c r="B320">
        <v>1.0017929999999999</v>
      </c>
      <c r="C320">
        <v>1.2976380000000001</v>
      </c>
    </row>
    <row r="321" spans="1:3" x14ac:dyDescent="0.2">
      <c r="A321" t="s">
        <v>321</v>
      </c>
      <c r="B321">
        <v>1.4847649999999999</v>
      </c>
      <c r="C321">
        <v>1.817977</v>
      </c>
    </row>
    <row r="322" spans="1:3" x14ac:dyDescent="0.2">
      <c r="A322" t="s">
        <v>322</v>
      </c>
      <c r="B322">
        <v>0.86648599999999998</v>
      </c>
      <c r="C322">
        <v>0.79422499999999996</v>
      </c>
    </row>
    <row r="323" spans="1:3" x14ac:dyDescent="0.2">
      <c r="A323" t="s">
        <v>323</v>
      </c>
      <c r="B323">
        <v>0.80430199999999996</v>
      </c>
      <c r="C323">
        <v>0.608178</v>
      </c>
    </row>
    <row r="324" spans="1:3" x14ac:dyDescent="0.2">
      <c r="A324" t="s">
        <v>324</v>
      </c>
      <c r="B324">
        <v>1.2953790000000001</v>
      </c>
      <c r="C324">
        <v>1.717978</v>
      </c>
    </row>
    <row r="325" spans="1:3" x14ac:dyDescent="0.2">
      <c r="A325" t="s">
        <v>325</v>
      </c>
      <c r="B325">
        <v>0.90238099999999999</v>
      </c>
      <c r="C325">
        <v>1.253933</v>
      </c>
    </row>
    <row r="326" spans="1:3" x14ac:dyDescent="0.2">
      <c r="A326" t="s">
        <v>326</v>
      </c>
      <c r="B326">
        <v>1.5610889999999999</v>
      </c>
      <c r="C326">
        <v>2.3848229999999999</v>
      </c>
    </row>
    <row r="327" spans="1:3" x14ac:dyDescent="0.2">
      <c r="A327" t="s">
        <v>327</v>
      </c>
      <c r="B327">
        <v>1.5392779999999999</v>
      </c>
      <c r="C327">
        <v>1.4220120000000001</v>
      </c>
    </row>
    <row r="328" spans="1:3" x14ac:dyDescent="0.2">
      <c r="A328" t="s">
        <v>328</v>
      </c>
      <c r="B328">
        <v>0.48272700000000002</v>
      </c>
      <c r="C328">
        <v>0.47325499999999998</v>
      </c>
    </row>
    <row r="329" spans="1:3" x14ac:dyDescent="0.2">
      <c r="A329" t="s">
        <v>329</v>
      </c>
      <c r="B329">
        <v>0.44202799999999998</v>
      </c>
      <c r="C329">
        <v>0.59681700000000004</v>
      </c>
    </row>
    <row r="330" spans="1:3" x14ac:dyDescent="0.2">
      <c r="A330" t="s">
        <v>330</v>
      </c>
      <c r="B330">
        <v>3.4989309999999998</v>
      </c>
      <c r="C330">
        <v>3.6957659999999999</v>
      </c>
    </row>
    <row r="331" spans="1:3" x14ac:dyDescent="0.2">
      <c r="A331" t="s">
        <v>331</v>
      </c>
      <c r="B331">
        <v>1.736221</v>
      </c>
      <c r="C331">
        <v>4.5430840000000003</v>
      </c>
    </row>
    <row r="332" spans="1:3" x14ac:dyDescent="0.2">
      <c r="A332" t="s">
        <v>332</v>
      </c>
      <c r="B332">
        <v>0.52454999999999996</v>
      </c>
      <c r="C332">
        <v>0.215479</v>
      </c>
    </row>
    <row r="333" spans="1:3" x14ac:dyDescent="0.2">
      <c r="A333" t="s">
        <v>333</v>
      </c>
      <c r="B333">
        <v>0.66305400000000003</v>
      </c>
      <c r="C333">
        <v>1.802805</v>
      </c>
    </row>
    <row r="334" spans="1:3" x14ac:dyDescent="0.2">
      <c r="A334" t="s">
        <v>334</v>
      </c>
      <c r="B334">
        <v>1.821482</v>
      </c>
      <c r="C334">
        <v>1.2407459999999999</v>
      </c>
    </row>
    <row r="335" spans="1:3" x14ac:dyDescent="0.2">
      <c r="A335" t="s">
        <v>335</v>
      </c>
      <c r="B335">
        <v>1.6461129999999999</v>
      </c>
      <c r="C335">
        <v>1.7651809999999999</v>
      </c>
    </row>
    <row r="336" spans="1:3" x14ac:dyDescent="0.2">
      <c r="A336" t="s">
        <v>336</v>
      </c>
      <c r="B336">
        <v>2.6505030000000001</v>
      </c>
      <c r="C336">
        <v>1.8827339999999999</v>
      </c>
    </row>
    <row r="337" spans="1:3" x14ac:dyDescent="0.2">
      <c r="A337" t="s">
        <v>337</v>
      </c>
      <c r="B337">
        <v>0.29071900000000001</v>
      </c>
      <c r="C337">
        <v>0.64319400000000004</v>
      </c>
    </row>
    <row r="338" spans="1:3" x14ac:dyDescent="0.2">
      <c r="A338" t="s">
        <v>338</v>
      </c>
      <c r="B338">
        <v>1.2469600000000001</v>
      </c>
      <c r="C338">
        <v>4.649076</v>
      </c>
    </row>
    <row r="339" spans="1:3" x14ac:dyDescent="0.2">
      <c r="A339" t="s">
        <v>339</v>
      </c>
      <c r="B339">
        <v>1.169241</v>
      </c>
      <c r="C339">
        <v>2.3160319999999999</v>
      </c>
    </row>
    <row r="340" spans="1:3" x14ac:dyDescent="0.2">
      <c r="A340" t="s">
        <v>340</v>
      </c>
      <c r="B340">
        <v>1.3790420000000001</v>
      </c>
      <c r="C340">
        <v>1.431718</v>
      </c>
    </row>
    <row r="341" spans="1:3" x14ac:dyDescent="0.2">
      <c r="A341" t="s">
        <v>341</v>
      </c>
      <c r="B341">
        <v>0.84108799999999995</v>
      </c>
      <c r="C341">
        <v>1.500194</v>
      </c>
    </row>
    <row r="342" spans="1:3" x14ac:dyDescent="0.2">
      <c r="A342" t="s">
        <v>342</v>
      </c>
      <c r="B342">
        <v>1.04609</v>
      </c>
      <c r="C342">
        <v>1.3739030000000001</v>
      </c>
    </row>
    <row r="343" spans="1:3" x14ac:dyDescent="0.2">
      <c r="A343" t="s">
        <v>343</v>
      </c>
      <c r="B343">
        <v>3.4078819999999999</v>
      </c>
      <c r="C343">
        <v>3.4738980000000002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C63F-A56D-4645-A05C-1265492EBB2F}">
  <sheetPr>
    <tabColor theme="9" tint="0.39997558519241921"/>
  </sheetPr>
  <dimension ref="A1:D343"/>
  <sheetViews>
    <sheetView workbookViewId="0">
      <selection activeCell="B1" sqref="B1:D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699</v>
      </c>
      <c r="C1" s="1" t="s">
        <v>700</v>
      </c>
      <c r="D1" s="1" t="s">
        <v>701</v>
      </c>
    </row>
    <row r="2" spans="1:4" x14ac:dyDescent="0.2">
      <c r="A2" t="s">
        <v>2</v>
      </c>
      <c r="B2">
        <v>0.39537228941404168</v>
      </c>
      <c r="C2">
        <v>0.20660893058810922</v>
      </c>
      <c r="D2">
        <v>1.5423590206850845E-2</v>
      </c>
    </row>
    <row r="3" spans="1:4" x14ac:dyDescent="0.2">
      <c r="A3" t="s">
        <v>3</v>
      </c>
      <c r="B3">
        <v>0.19287007074076068</v>
      </c>
      <c r="C3">
        <v>8.3722820821381605E-2</v>
      </c>
      <c r="D3">
        <v>1.9276753725792309E-2</v>
      </c>
    </row>
    <row r="4" spans="1:4" x14ac:dyDescent="0.2">
      <c r="A4" t="s">
        <v>4</v>
      </c>
      <c r="B4">
        <v>0.24652072504147376</v>
      </c>
      <c r="C4">
        <v>0.11779276223418565</v>
      </c>
      <c r="D4">
        <v>1.6410879818689363E-2</v>
      </c>
    </row>
    <row r="5" spans="1:4" x14ac:dyDescent="0.2">
      <c r="A5" t="s">
        <v>5</v>
      </c>
      <c r="B5">
        <v>0.20659389199525954</v>
      </c>
      <c r="C5">
        <v>0.1505342622844838</v>
      </c>
      <c r="D5">
        <v>1.6921840165493172E-2</v>
      </c>
    </row>
    <row r="6" spans="1:4" x14ac:dyDescent="0.2">
      <c r="A6" t="s">
        <v>6</v>
      </c>
      <c r="B6">
        <v>4.120192913894629E-2</v>
      </c>
      <c r="C6">
        <v>5.1742699250553074E-2</v>
      </c>
      <c r="D6">
        <v>1.2193178596915212E-2</v>
      </c>
    </row>
    <row r="7" spans="1:4" x14ac:dyDescent="0.2">
      <c r="A7" t="s">
        <v>7</v>
      </c>
      <c r="B7">
        <v>6.867487596527555E-2</v>
      </c>
      <c r="C7">
        <v>7.4128047560974172E-2</v>
      </c>
      <c r="D7">
        <v>1.5353720480474578E-2</v>
      </c>
    </row>
    <row r="8" spans="1:4" x14ac:dyDescent="0.2">
      <c r="A8" t="s">
        <v>8</v>
      </c>
      <c r="B8">
        <v>0.40545865731968744</v>
      </c>
      <c r="C8">
        <v>0.3170422070606318</v>
      </c>
      <c r="D8">
        <v>6.5955806573517448E-2</v>
      </c>
    </row>
    <row r="9" spans="1:4" x14ac:dyDescent="0.2">
      <c r="A9" t="s">
        <v>9</v>
      </c>
      <c r="B9">
        <v>0.2185921508513822</v>
      </c>
      <c r="C9">
        <v>0.22426839019032715</v>
      </c>
      <c r="D9">
        <v>4.4260345189430277E-2</v>
      </c>
    </row>
    <row r="10" spans="1:4" x14ac:dyDescent="0.2">
      <c r="A10" t="s">
        <v>10</v>
      </c>
      <c r="B10">
        <v>0.58857011070467324</v>
      </c>
      <c r="C10">
        <v>0.61069085497330633</v>
      </c>
      <c r="D10">
        <v>0.12631474428287709</v>
      </c>
    </row>
    <row r="11" spans="1:4" x14ac:dyDescent="0.2">
      <c r="A11" t="s">
        <v>11</v>
      </c>
      <c r="B11">
        <v>0.4060484683138888</v>
      </c>
      <c r="C11">
        <v>0.31828343890162919</v>
      </c>
      <c r="D11">
        <v>6.7430969144313707E-2</v>
      </c>
    </row>
    <row r="12" spans="1:4" x14ac:dyDescent="0.2">
      <c r="A12" t="s">
        <v>12</v>
      </c>
      <c r="B12">
        <v>0.20447046866347682</v>
      </c>
      <c r="C12">
        <v>0.10702504969522833</v>
      </c>
      <c r="D12">
        <v>6.1661552434148434E-3</v>
      </c>
    </row>
    <row r="13" spans="1:4" x14ac:dyDescent="0.2">
      <c r="A13" t="s">
        <v>13</v>
      </c>
      <c r="B13">
        <v>0.64329520354208669</v>
      </c>
      <c r="C13">
        <v>0.23217256501502687</v>
      </c>
      <c r="D13">
        <v>3.3650475348485025E-2</v>
      </c>
    </row>
    <row r="14" spans="1:4" x14ac:dyDescent="0.2">
      <c r="A14" t="s">
        <v>14</v>
      </c>
      <c r="B14">
        <v>9.5491630549820447E-2</v>
      </c>
      <c r="C14">
        <v>1.704655818329312E-2</v>
      </c>
      <c r="D14">
        <v>2.231578304174078E-3</v>
      </c>
    </row>
    <row r="15" spans="1:4" x14ac:dyDescent="0.2">
      <c r="A15" t="s">
        <v>15</v>
      </c>
      <c r="B15">
        <v>0.30180075938322232</v>
      </c>
      <c r="C15">
        <v>0.41215335406790343</v>
      </c>
      <c r="D15">
        <v>9.4953565708181323E-2</v>
      </c>
    </row>
    <row r="16" spans="1:4" x14ac:dyDescent="0.2">
      <c r="A16" t="s">
        <v>16</v>
      </c>
      <c r="B16">
        <v>0.19983988374014353</v>
      </c>
      <c r="C16">
        <v>0.24417787021031734</v>
      </c>
      <c r="D16">
        <v>5.518979308319219E-2</v>
      </c>
    </row>
    <row r="17" spans="1:4" x14ac:dyDescent="0.2">
      <c r="A17" t="s">
        <v>17</v>
      </c>
      <c r="B17">
        <v>1.7264929622671312</v>
      </c>
      <c r="C17">
        <v>2.1943388574166653</v>
      </c>
      <c r="D17">
        <v>0.52430546454167803</v>
      </c>
    </row>
    <row r="18" spans="1:4" x14ac:dyDescent="0.2">
      <c r="A18" t="s">
        <v>18</v>
      </c>
      <c r="B18">
        <v>0.53322459775908848</v>
      </c>
      <c r="C18">
        <v>0.60985319821425577</v>
      </c>
      <c r="D18">
        <v>9.8695545227758807E-2</v>
      </c>
    </row>
    <row r="19" spans="1:4" x14ac:dyDescent="0.2">
      <c r="A19" t="s">
        <v>19</v>
      </c>
      <c r="B19">
        <v>0.33621994954151807</v>
      </c>
      <c r="C19">
        <v>0.46065659643044077</v>
      </c>
      <c r="D19">
        <v>9.6763495402745592E-2</v>
      </c>
    </row>
    <row r="20" spans="1:4" x14ac:dyDescent="0.2">
      <c r="A20" t="s">
        <v>20</v>
      </c>
      <c r="B20">
        <v>0.17628846503976092</v>
      </c>
      <c r="C20">
        <v>0.20338575694574926</v>
      </c>
      <c r="D20">
        <v>4.1291793162696128E-2</v>
      </c>
    </row>
    <row r="21" spans="1:4" x14ac:dyDescent="0.2">
      <c r="A21" t="s">
        <v>21</v>
      </c>
      <c r="B21">
        <v>0.24176476529686255</v>
      </c>
      <c r="C21">
        <v>0.15238122903576123</v>
      </c>
      <c r="D21">
        <v>1.0152375023890239E-2</v>
      </c>
    </row>
    <row r="22" spans="1:4" x14ac:dyDescent="0.2">
      <c r="A22" t="s">
        <v>22</v>
      </c>
      <c r="B22">
        <v>0.20956700429281172</v>
      </c>
      <c r="C22">
        <v>6.7345904311133312E-2</v>
      </c>
      <c r="D22">
        <v>4.1599827521589744E-3</v>
      </c>
    </row>
    <row r="23" spans="1:4" x14ac:dyDescent="0.2">
      <c r="A23" t="s">
        <v>23</v>
      </c>
      <c r="B23">
        <v>7.250232798423524E-2</v>
      </c>
      <c r="C23">
        <v>8.163535697695061E-2</v>
      </c>
      <c r="D23">
        <v>1.5047508810095124E-2</v>
      </c>
    </row>
    <row r="24" spans="1:4" x14ac:dyDescent="0.2">
      <c r="A24" t="s">
        <v>24</v>
      </c>
      <c r="B24">
        <v>9.284525806733869E-2</v>
      </c>
      <c r="C24">
        <v>0.13109559327452319</v>
      </c>
      <c r="D24">
        <v>2.9571906016625352E-2</v>
      </c>
    </row>
    <row r="25" spans="1:4" x14ac:dyDescent="0.2">
      <c r="A25" t="s">
        <v>25</v>
      </c>
      <c r="B25">
        <v>0.330408501156853</v>
      </c>
      <c r="C25">
        <v>0.46339949661305863</v>
      </c>
      <c r="D25">
        <v>3.5221025284855836E-2</v>
      </c>
    </row>
    <row r="26" spans="1:4" x14ac:dyDescent="0.2">
      <c r="A26" t="s">
        <v>26</v>
      </c>
      <c r="B26">
        <v>4.6394811615945296E-2</v>
      </c>
      <c r="C26">
        <v>4.5229136379027292E-2</v>
      </c>
      <c r="D26">
        <v>9.677868447369696E-3</v>
      </c>
    </row>
    <row r="27" spans="1:4" x14ac:dyDescent="0.2">
      <c r="A27" t="s">
        <v>27</v>
      </c>
      <c r="B27">
        <v>0.12833466852187952</v>
      </c>
      <c r="C27">
        <v>0.12376642914317235</v>
      </c>
      <c r="D27">
        <v>2.1706397515172147E-2</v>
      </c>
    </row>
    <row r="28" spans="1:4" x14ac:dyDescent="0.2">
      <c r="A28" t="s">
        <v>28</v>
      </c>
      <c r="B28">
        <v>6.4245333673379632E-2</v>
      </c>
      <c r="C28">
        <v>4.3796326799641155E-2</v>
      </c>
      <c r="D28">
        <v>8.2136420076584175E-3</v>
      </c>
    </row>
    <row r="29" spans="1:4" x14ac:dyDescent="0.2">
      <c r="A29" t="s">
        <v>29</v>
      </c>
      <c r="B29">
        <v>0.21668798094044917</v>
      </c>
      <c r="C29">
        <v>0.12819981717577131</v>
      </c>
      <c r="D29">
        <v>2.112678256766818E-2</v>
      </c>
    </row>
    <row r="30" spans="1:4" x14ac:dyDescent="0.2">
      <c r="A30" t="s">
        <v>30</v>
      </c>
      <c r="B30">
        <v>0.239272726648111</v>
      </c>
      <c r="C30">
        <v>0.14774133587438282</v>
      </c>
      <c r="D30">
        <v>1.1234444438465253E-2</v>
      </c>
    </row>
    <row r="31" spans="1:4" x14ac:dyDescent="0.2">
      <c r="A31" t="s">
        <v>31</v>
      </c>
      <c r="B31">
        <v>0.19858002553231743</v>
      </c>
      <c r="C31">
        <v>7.8750260633992986E-2</v>
      </c>
      <c r="D31">
        <v>7.9833756920357716E-3</v>
      </c>
    </row>
    <row r="32" spans="1:4" x14ac:dyDescent="0.2">
      <c r="A32" t="s">
        <v>32</v>
      </c>
      <c r="B32">
        <v>0.11733836007123571</v>
      </c>
      <c r="C32">
        <v>0.10225069169009413</v>
      </c>
      <c r="D32">
        <v>1.8211088507844767E-2</v>
      </c>
    </row>
    <row r="33" spans="1:4" x14ac:dyDescent="0.2">
      <c r="A33" t="s">
        <v>33</v>
      </c>
      <c r="B33">
        <v>0.39353223463380671</v>
      </c>
      <c r="C33">
        <v>0.19732357553575938</v>
      </c>
      <c r="D33">
        <v>4.0591880773257372E-2</v>
      </c>
    </row>
    <row r="34" spans="1:4" x14ac:dyDescent="0.2">
      <c r="A34" t="s">
        <v>34</v>
      </c>
      <c r="B34">
        <v>0.65017688390519557</v>
      </c>
      <c r="C34">
        <v>0.23594050525188034</v>
      </c>
      <c r="D34">
        <v>2.6674438841943569E-2</v>
      </c>
    </row>
    <row r="35" spans="1:4" x14ac:dyDescent="0.2">
      <c r="A35" t="s">
        <v>35</v>
      </c>
      <c r="B35">
        <v>0.32423565882639432</v>
      </c>
      <c r="C35">
        <v>0.24095590307619258</v>
      </c>
      <c r="D35">
        <v>1.8716580789106086E-2</v>
      </c>
    </row>
    <row r="36" spans="1:4" x14ac:dyDescent="0.2">
      <c r="A36" t="s">
        <v>36</v>
      </c>
      <c r="B36">
        <v>0.10965476886972883</v>
      </c>
      <c r="C36">
        <v>0.12649778103122256</v>
      </c>
      <c r="D36">
        <v>1.8118131393622429E-2</v>
      </c>
    </row>
    <row r="37" spans="1:4" x14ac:dyDescent="0.2">
      <c r="A37" t="s">
        <v>37</v>
      </c>
      <c r="B37">
        <v>9.9404341831363541E-2</v>
      </c>
      <c r="C37">
        <v>8.3252581041459967E-2</v>
      </c>
      <c r="D37">
        <v>1.5724941374525864E-2</v>
      </c>
    </row>
    <row r="38" spans="1:4" x14ac:dyDescent="0.2">
      <c r="A38" t="s">
        <v>38</v>
      </c>
      <c r="B38">
        <v>7.6219069765715075E-2</v>
      </c>
      <c r="C38">
        <v>0.10782937919082346</v>
      </c>
      <c r="D38">
        <v>2.5017007419730966E-2</v>
      </c>
    </row>
    <row r="39" spans="1:4" x14ac:dyDescent="0.2">
      <c r="A39" t="s">
        <v>39</v>
      </c>
      <c r="B39">
        <v>0.14749327938748388</v>
      </c>
      <c r="C39">
        <v>0.13808796898506065</v>
      </c>
      <c r="D39">
        <v>2.6018270976844737E-2</v>
      </c>
    </row>
    <row r="40" spans="1:4" x14ac:dyDescent="0.2">
      <c r="A40" t="s">
        <v>40</v>
      </c>
      <c r="B40">
        <v>0.20985113636535555</v>
      </c>
      <c r="C40">
        <v>0.12301663941975657</v>
      </c>
      <c r="D40">
        <v>1.2257580257748986E-2</v>
      </c>
    </row>
    <row r="41" spans="1:4" x14ac:dyDescent="0.2">
      <c r="A41" t="s">
        <v>41</v>
      </c>
      <c r="B41">
        <v>2.3003790555344895E-2</v>
      </c>
      <c r="C41">
        <v>3.2137314118653004E-2</v>
      </c>
      <c r="D41">
        <v>6.805918911886203E-3</v>
      </c>
    </row>
    <row r="42" spans="1:4" x14ac:dyDescent="0.2">
      <c r="A42" t="s">
        <v>42</v>
      </c>
      <c r="B42">
        <v>5.8499526330365308E-2</v>
      </c>
      <c r="C42">
        <v>7.0611707874379301E-2</v>
      </c>
      <c r="D42">
        <v>1.4223046038855207E-2</v>
      </c>
    </row>
    <row r="43" spans="1:4" x14ac:dyDescent="0.2">
      <c r="A43" t="s">
        <v>43</v>
      </c>
      <c r="B43">
        <v>0.31618105693934589</v>
      </c>
      <c r="C43">
        <v>0.10945153512670372</v>
      </c>
      <c r="D43">
        <v>2.0937830525033237E-2</v>
      </c>
    </row>
    <row r="44" spans="1:4" x14ac:dyDescent="0.2">
      <c r="A44" t="s">
        <v>44</v>
      </c>
      <c r="B44">
        <v>0.1451644994888012</v>
      </c>
      <c r="C44">
        <v>6.3332834862508916E-2</v>
      </c>
      <c r="D44">
        <v>6.4328753293207567E-3</v>
      </c>
    </row>
    <row r="45" spans="1:4" x14ac:dyDescent="0.2">
      <c r="A45" t="s">
        <v>45</v>
      </c>
      <c r="B45">
        <v>0.3868982895498792</v>
      </c>
      <c r="C45">
        <v>0.26631220284289553</v>
      </c>
      <c r="D45">
        <v>1.5415084327118082E-2</v>
      </c>
    </row>
    <row r="46" spans="1:4" x14ac:dyDescent="0.2">
      <c r="A46" t="s">
        <v>46</v>
      </c>
      <c r="B46">
        <v>6.8191568271452146E-2</v>
      </c>
      <c r="C46">
        <v>6.6748009569449984E-2</v>
      </c>
      <c r="D46">
        <v>1.4101533471244312E-2</v>
      </c>
    </row>
    <row r="47" spans="1:4" x14ac:dyDescent="0.2">
      <c r="A47" t="s">
        <v>47</v>
      </c>
      <c r="B47">
        <v>0.41207775238342714</v>
      </c>
      <c r="C47">
        <v>0.1259842317513401</v>
      </c>
      <c r="D47">
        <v>1.3852432707641978E-2</v>
      </c>
    </row>
    <row r="48" spans="1:4" x14ac:dyDescent="0.2">
      <c r="A48" t="s">
        <v>48</v>
      </c>
      <c r="B48">
        <v>0.17556673529587688</v>
      </c>
      <c r="C48">
        <v>0.10361126798644775</v>
      </c>
      <c r="D48">
        <v>1.868073458166087E-2</v>
      </c>
    </row>
    <row r="49" spans="1:4" x14ac:dyDescent="0.2">
      <c r="A49" t="s">
        <v>49</v>
      </c>
      <c r="B49">
        <v>0.4421368144636178</v>
      </c>
      <c r="C49">
        <v>0.49464419763566519</v>
      </c>
      <c r="D49">
        <v>0.11171440172159006</v>
      </c>
    </row>
    <row r="50" spans="1:4" x14ac:dyDescent="0.2">
      <c r="A50" t="s">
        <v>50</v>
      </c>
      <c r="B50">
        <v>0.61353219947548265</v>
      </c>
      <c r="C50">
        <v>0.23055398715265008</v>
      </c>
      <c r="D50">
        <v>2.2001065491628568E-2</v>
      </c>
    </row>
    <row r="51" spans="1:4" x14ac:dyDescent="0.2">
      <c r="A51" t="s">
        <v>51</v>
      </c>
      <c r="B51">
        <v>0.14641547586823492</v>
      </c>
      <c r="C51">
        <v>8.2156204333437108E-2</v>
      </c>
      <c r="D51">
        <v>1.2575335622051476E-2</v>
      </c>
    </row>
    <row r="52" spans="1:4" x14ac:dyDescent="0.2">
      <c r="A52" t="s">
        <v>52</v>
      </c>
      <c r="B52">
        <v>4.9652799944443625E-2</v>
      </c>
      <c r="C52">
        <v>7.5994737332157364E-2</v>
      </c>
      <c r="D52">
        <v>1.7074338437844845E-2</v>
      </c>
    </row>
    <row r="53" spans="1:4" x14ac:dyDescent="0.2">
      <c r="A53" t="s">
        <v>53</v>
      </c>
      <c r="B53">
        <v>9.2314968013810395E-2</v>
      </c>
      <c r="C53">
        <v>5.1672101423697964E-2</v>
      </c>
      <c r="D53">
        <v>9.2300946357235496E-3</v>
      </c>
    </row>
    <row r="54" spans="1:4" x14ac:dyDescent="0.2">
      <c r="A54" t="s">
        <v>54</v>
      </c>
      <c r="B54">
        <v>9.6149907002621882E-2</v>
      </c>
      <c r="C54">
        <v>6.1420414028197652E-2</v>
      </c>
      <c r="D54">
        <v>1.3108775793863303E-2</v>
      </c>
    </row>
    <row r="55" spans="1:4" x14ac:dyDescent="0.2">
      <c r="A55" t="s">
        <v>55</v>
      </c>
      <c r="B55">
        <v>0.25328938510796778</v>
      </c>
      <c r="C55">
        <v>0.10925434201466271</v>
      </c>
      <c r="D55">
        <v>1.6141729481431229E-2</v>
      </c>
    </row>
    <row r="56" spans="1:4" x14ac:dyDescent="0.2">
      <c r="A56" t="s">
        <v>56</v>
      </c>
      <c r="B56">
        <v>0.1196510381536451</v>
      </c>
      <c r="C56">
        <v>0.17402395278624205</v>
      </c>
      <c r="D56">
        <v>4.0596133713123754E-2</v>
      </c>
    </row>
    <row r="57" spans="1:4" x14ac:dyDescent="0.2">
      <c r="A57" t="s">
        <v>57</v>
      </c>
      <c r="B57">
        <v>0.15150205607099668</v>
      </c>
      <c r="C57">
        <v>0.10433644712164297</v>
      </c>
      <c r="D57">
        <v>2.1733737842884598E-2</v>
      </c>
    </row>
    <row r="58" spans="1:4" x14ac:dyDescent="0.2">
      <c r="A58" t="s">
        <v>58</v>
      </c>
      <c r="B58">
        <v>0.55411024072444282</v>
      </c>
      <c r="C58">
        <v>0.2128469055876599</v>
      </c>
      <c r="D58">
        <v>2.1558152182686852E-2</v>
      </c>
    </row>
    <row r="59" spans="1:4" x14ac:dyDescent="0.2">
      <c r="A59" t="s">
        <v>59</v>
      </c>
      <c r="B59">
        <v>0.16082887781542268</v>
      </c>
      <c r="C59">
        <v>8.6123764993617832E-2</v>
      </c>
      <c r="D59">
        <v>1.2418584409833422E-2</v>
      </c>
    </row>
    <row r="60" spans="1:4" x14ac:dyDescent="0.2">
      <c r="A60" t="s">
        <v>60</v>
      </c>
      <c r="B60">
        <v>8.5904843136550807E-2</v>
      </c>
      <c r="C60">
        <v>8.1321026123930343E-2</v>
      </c>
      <c r="D60">
        <v>1.7348956840645469E-2</v>
      </c>
    </row>
    <row r="61" spans="1:4" x14ac:dyDescent="0.2">
      <c r="A61" t="s">
        <v>61</v>
      </c>
      <c r="B61">
        <v>0.38179539417227154</v>
      </c>
      <c r="C61">
        <v>0.17992709259076112</v>
      </c>
      <c r="D61">
        <v>1.7314933321714417E-2</v>
      </c>
    </row>
    <row r="62" spans="1:4" x14ac:dyDescent="0.2">
      <c r="A62" t="s">
        <v>62</v>
      </c>
      <c r="B62">
        <v>0.2151180167680054</v>
      </c>
      <c r="C62">
        <v>6.9162572459935331E-2</v>
      </c>
      <c r="D62">
        <v>1.1496911584504787E-2</v>
      </c>
    </row>
    <row r="63" spans="1:4" x14ac:dyDescent="0.2">
      <c r="A63" t="s">
        <v>63</v>
      </c>
      <c r="B63">
        <v>0.18799510205179565</v>
      </c>
      <c r="C63">
        <v>0.26807125642415014</v>
      </c>
      <c r="D63">
        <v>6.2678005062213563E-2</v>
      </c>
    </row>
    <row r="64" spans="1:4" x14ac:dyDescent="0.2">
      <c r="A64" t="s">
        <v>64</v>
      </c>
      <c r="B64">
        <v>0.42956409205172541</v>
      </c>
      <c r="C64">
        <v>0.18348218456380405</v>
      </c>
      <c r="D64">
        <v>1.9661948565118846E-2</v>
      </c>
    </row>
    <row r="65" spans="1:4" x14ac:dyDescent="0.2">
      <c r="A65" t="s">
        <v>65</v>
      </c>
      <c r="B65">
        <v>0.39008031540187843</v>
      </c>
      <c r="C65">
        <v>0.34777051871264475</v>
      </c>
      <c r="D65">
        <v>6.0730158603410925E-2</v>
      </c>
    </row>
    <row r="66" spans="1:4" x14ac:dyDescent="0.2">
      <c r="A66" t="s">
        <v>66</v>
      </c>
      <c r="B66">
        <v>6.2426028761651882E-2</v>
      </c>
      <c r="C66">
        <v>7.8655133858550608E-2</v>
      </c>
      <c r="D66">
        <v>1.7738404619838385E-2</v>
      </c>
    </row>
    <row r="67" spans="1:4" x14ac:dyDescent="0.2">
      <c r="A67" t="s">
        <v>67</v>
      </c>
      <c r="B67">
        <v>0.10156537706250481</v>
      </c>
      <c r="C67">
        <v>7.4479585741124218E-2</v>
      </c>
      <c r="D67">
        <v>1.7006898962820798E-2</v>
      </c>
    </row>
    <row r="68" spans="1:4" x14ac:dyDescent="0.2">
      <c r="A68" t="s">
        <v>68</v>
      </c>
      <c r="B68">
        <v>0.41517777225396513</v>
      </c>
      <c r="C68">
        <v>0.14274564396114403</v>
      </c>
      <c r="D68">
        <v>1.6009280782735356E-2</v>
      </c>
    </row>
    <row r="69" spans="1:4" x14ac:dyDescent="0.2">
      <c r="A69" t="s">
        <v>69</v>
      </c>
      <c r="B69">
        <v>4.1844984559736308E-2</v>
      </c>
      <c r="C69">
        <v>3.2357928598900347E-2</v>
      </c>
      <c r="D69">
        <v>6.7731105186312618E-3</v>
      </c>
    </row>
    <row r="70" spans="1:4" x14ac:dyDescent="0.2">
      <c r="A70" t="s">
        <v>70</v>
      </c>
      <c r="B70">
        <v>0.22482266688535213</v>
      </c>
      <c r="C70">
        <v>0.19340829714689367</v>
      </c>
      <c r="D70">
        <v>3.4968279144225171E-2</v>
      </c>
    </row>
    <row r="71" spans="1:4" x14ac:dyDescent="0.2">
      <c r="A71" t="s">
        <v>71</v>
      </c>
      <c r="B71">
        <v>0.12090088237684292</v>
      </c>
      <c r="C71">
        <v>7.3511210049702597E-2</v>
      </c>
      <c r="D71">
        <v>1.5827619494157067E-2</v>
      </c>
    </row>
    <row r="72" spans="1:4" x14ac:dyDescent="0.2">
      <c r="A72" t="s">
        <v>72</v>
      </c>
      <c r="B72">
        <v>0.41776954869059918</v>
      </c>
      <c r="C72">
        <v>0.32941814765032179</v>
      </c>
      <c r="D72">
        <v>7.20897609865154E-2</v>
      </c>
    </row>
    <row r="73" spans="1:4" x14ac:dyDescent="0.2">
      <c r="A73" t="s">
        <v>73</v>
      </c>
      <c r="B73">
        <v>0.12342854343331446</v>
      </c>
      <c r="C73">
        <v>6.1876526540512594E-2</v>
      </c>
      <c r="D73">
        <v>1.1906408937353502E-2</v>
      </c>
    </row>
    <row r="74" spans="1:4" x14ac:dyDescent="0.2">
      <c r="A74" t="s">
        <v>74</v>
      </c>
      <c r="B74">
        <v>0.47012344104448633</v>
      </c>
      <c r="C74">
        <v>0.11547999751849428</v>
      </c>
      <c r="D74">
        <v>1.6495331053178935E-2</v>
      </c>
    </row>
    <row r="75" spans="1:4" x14ac:dyDescent="0.2">
      <c r="A75" t="s">
        <v>75</v>
      </c>
      <c r="B75">
        <v>1.4119880031970555</v>
      </c>
      <c r="C75">
        <v>0.30369120138497396</v>
      </c>
      <c r="D75">
        <v>2.4797677235193303E-2</v>
      </c>
    </row>
    <row r="76" spans="1:4" x14ac:dyDescent="0.2">
      <c r="A76" t="s">
        <v>76</v>
      </c>
      <c r="B76">
        <v>0.1196524814402477</v>
      </c>
      <c r="C76">
        <v>6.4544694358767862E-2</v>
      </c>
      <c r="D76">
        <v>1.1420358666909923E-2</v>
      </c>
    </row>
    <row r="77" spans="1:4" x14ac:dyDescent="0.2">
      <c r="A77" t="s">
        <v>77</v>
      </c>
      <c r="B77">
        <v>7.5266300467132258E-2</v>
      </c>
      <c r="C77">
        <v>7.5408714820610623E-2</v>
      </c>
      <c r="D77">
        <v>1.5390781813595902E-2</v>
      </c>
    </row>
    <row r="78" spans="1:4" x14ac:dyDescent="0.2">
      <c r="A78" t="s">
        <v>78</v>
      </c>
      <c r="B78">
        <v>0.23813623053504179</v>
      </c>
      <c r="C78">
        <v>0.13240936064295453</v>
      </c>
      <c r="D78">
        <v>1.9222073070367409E-2</v>
      </c>
    </row>
    <row r="79" spans="1:4" x14ac:dyDescent="0.2">
      <c r="A79" t="s">
        <v>79</v>
      </c>
      <c r="B79">
        <v>0.12089201513267291</v>
      </c>
      <c r="C79">
        <v>9.9381128225103366E-2</v>
      </c>
      <c r="D79">
        <v>2.193241089092841E-2</v>
      </c>
    </row>
    <row r="80" spans="1:4" x14ac:dyDescent="0.2">
      <c r="A80" t="s">
        <v>80</v>
      </c>
      <c r="B80">
        <v>0.51401909817853941</v>
      </c>
      <c r="C80">
        <v>0.65934156140615363</v>
      </c>
      <c r="D80">
        <v>7.0301095991283036E-2</v>
      </c>
    </row>
    <row r="81" spans="1:4" x14ac:dyDescent="0.2">
      <c r="A81" t="s">
        <v>81</v>
      </c>
      <c r="B81">
        <v>4.8351380230761638E-2</v>
      </c>
      <c r="C81">
        <v>2.9115338606624179E-2</v>
      </c>
      <c r="D81">
        <v>5.5367201431904102E-3</v>
      </c>
    </row>
    <row r="82" spans="1:4" x14ac:dyDescent="0.2">
      <c r="A82" t="s">
        <v>82</v>
      </c>
      <c r="B82">
        <v>0.63648365992322109</v>
      </c>
      <c r="C82">
        <v>0.35862879796139679</v>
      </c>
      <c r="D82">
        <v>2.7978876255246525E-2</v>
      </c>
    </row>
    <row r="83" spans="1:4" x14ac:dyDescent="0.2">
      <c r="A83" t="s">
        <v>83</v>
      </c>
      <c r="B83">
        <v>0.24405061058582031</v>
      </c>
      <c r="C83">
        <v>0.14880486255960373</v>
      </c>
      <c r="D83">
        <v>1.1610525835220974E-2</v>
      </c>
    </row>
    <row r="84" spans="1:4" x14ac:dyDescent="0.2">
      <c r="A84" t="s">
        <v>84</v>
      </c>
      <c r="B84">
        <v>0.15398132362769815</v>
      </c>
      <c r="C84">
        <v>9.5060103721117603E-2</v>
      </c>
      <c r="D84">
        <v>1.5588847298801662E-2</v>
      </c>
    </row>
    <row r="85" spans="1:4" x14ac:dyDescent="0.2">
      <c r="A85" t="s">
        <v>85</v>
      </c>
      <c r="B85">
        <v>0.40268014055363427</v>
      </c>
      <c r="C85">
        <v>0.61495074351740897</v>
      </c>
      <c r="D85">
        <v>0.14073707093261417</v>
      </c>
    </row>
    <row r="86" spans="1:4" x14ac:dyDescent="0.2">
      <c r="A86" t="s">
        <v>86</v>
      </c>
      <c r="B86">
        <v>9.8845995042497012E-2</v>
      </c>
      <c r="C86">
        <v>8.6079863665254788E-2</v>
      </c>
      <c r="D86">
        <v>1.4026195679325558E-2</v>
      </c>
    </row>
    <row r="87" spans="1:4" x14ac:dyDescent="0.2">
      <c r="A87" t="s">
        <v>87</v>
      </c>
      <c r="B87">
        <v>0.70669016942804463</v>
      </c>
      <c r="C87">
        <v>0.44355532925128666</v>
      </c>
      <c r="D87">
        <v>6.5077878272528741E-2</v>
      </c>
    </row>
    <row r="88" spans="1:4" x14ac:dyDescent="0.2">
      <c r="A88" t="s">
        <v>88</v>
      </c>
      <c r="B88">
        <v>4.6223851577717412E-2</v>
      </c>
      <c r="C88">
        <v>5.10560476878444E-2</v>
      </c>
      <c r="D88">
        <v>1.1244165443874125E-2</v>
      </c>
    </row>
    <row r="89" spans="1:4" x14ac:dyDescent="0.2">
      <c r="A89" t="s">
        <v>89</v>
      </c>
      <c r="B89">
        <v>0.37464382532054735</v>
      </c>
      <c r="C89">
        <v>0.46145506070278614</v>
      </c>
      <c r="D89">
        <v>9.6593985370928392E-2</v>
      </c>
    </row>
    <row r="90" spans="1:4" x14ac:dyDescent="0.2">
      <c r="A90" t="s">
        <v>90</v>
      </c>
      <c r="B90">
        <v>0.20768935758322499</v>
      </c>
      <c r="C90">
        <v>0.19227472008149943</v>
      </c>
      <c r="D90">
        <v>2.0137670267315496E-2</v>
      </c>
    </row>
    <row r="91" spans="1:4" x14ac:dyDescent="0.2">
      <c r="A91" t="s">
        <v>91</v>
      </c>
      <c r="B91">
        <v>0.10841848300528362</v>
      </c>
      <c r="C91">
        <v>0.11471908103870618</v>
      </c>
      <c r="D91">
        <v>1.6317922704467028E-2</v>
      </c>
    </row>
    <row r="92" spans="1:4" x14ac:dyDescent="0.2">
      <c r="A92" t="s">
        <v>92</v>
      </c>
      <c r="B92">
        <v>0.16981043944662633</v>
      </c>
      <c r="C92">
        <v>0.12662267878286787</v>
      </c>
      <c r="D92">
        <v>2.6595455672996485E-2</v>
      </c>
    </row>
    <row r="93" spans="1:4" x14ac:dyDescent="0.2">
      <c r="A93" t="s">
        <v>93</v>
      </c>
      <c r="B93">
        <v>1.496436485158118</v>
      </c>
      <c r="C93">
        <v>0.25956901450938091</v>
      </c>
      <c r="D93">
        <v>3.1246956761141528E-2</v>
      </c>
    </row>
    <row r="94" spans="1:4" x14ac:dyDescent="0.2">
      <c r="A94" t="s">
        <v>94</v>
      </c>
      <c r="B94">
        <v>0.11646328168489696</v>
      </c>
      <c r="C94">
        <v>8.6890725938067792E-2</v>
      </c>
      <c r="D94">
        <v>1.3071714460741979E-2</v>
      </c>
    </row>
    <row r="95" spans="1:4" x14ac:dyDescent="0.2">
      <c r="A95" t="s">
        <v>95</v>
      </c>
      <c r="B95">
        <v>0.10135744196763279</v>
      </c>
      <c r="C95">
        <v>0.11327529389597961</v>
      </c>
      <c r="D95">
        <v>2.4056450572766844E-2</v>
      </c>
    </row>
    <row r="96" spans="1:4" x14ac:dyDescent="0.2">
      <c r="A96" t="s">
        <v>96</v>
      </c>
      <c r="B96">
        <v>0.40799698234102572</v>
      </c>
      <c r="C96">
        <v>0.20265415843027146</v>
      </c>
      <c r="D96">
        <v>1.849846573024453E-2</v>
      </c>
    </row>
    <row r="97" spans="1:4" x14ac:dyDescent="0.2">
      <c r="A97" t="s">
        <v>97</v>
      </c>
      <c r="B97">
        <v>0.10980503993536793</v>
      </c>
      <c r="C97">
        <v>8.132685776065586E-2</v>
      </c>
      <c r="D97">
        <v>1.0371705208427902E-2</v>
      </c>
    </row>
    <row r="98" spans="1:4" x14ac:dyDescent="0.2">
      <c r="A98" t="s">
        <v>98</v>
      </c>
      <c r="B98">
        <v>0.163312124778136</v>
      </c>
      <c r="C98">
        <v>0.11989636465592671</v>
      </c>
      <c r="D98">
        <v>1.6058493372617767E-2</v>
      </c>
    </row>
    <row r="99" spans="1:4" x14ac:dyDescent="0.2">
      <c r="A99" t="s">
        <v>99</v>
      </c>
      <c r="B99">
        <v>0.88377795290577676</v>
      </c>
      <c r="C99">
        <v>0.21023075403157598</v>
      </c>
      <c r="D99">
        <v>3.0141799958720444E-2</v>
      </c>
    </row>
    <row r="100" spans="1:4" x14ac:dyDescent="0.2">
      <c r="A100" t="s">
        <v>100</v>
      </c>
      <c r="B100">
        <v>0.28547478873826415</v>
      </c>
      <c r="C100">
        <v>0.14721124191271467</v>
      </c>
      <c r="D100">
        <v>2.287656354126506E-2</v>
      </c>
    </row>
    <row r="101" spans="1:4" x14ac:dyDescent="0.2">
      <c r="A101" t="s">
        <v>101</v>
      </c>
      <c r="B101">
        <v>0.11269965182309268</v>
      </c>
      <c r="C101">
        <v>9.0162338544412454E-2</v>
      </c>
      <c r="D101">
        <v>1.4455742605830069E-2</v>
      </c>
    </row>
    <row r="102" spans="1:4" x14ac:dyDescent="0.2">
      <c r="A102" t="s">
        <v>102</v>
      </c>
      <c r="B102">
        <v>0.18160581891075198</v>
      </c>
      <c r="C102">
        <v>0.15836167839101969</v>
      </c>
      <c r="D102">
        <v>3.5065489198313891E-2</v>
      </c>
    </row>
    <row r="103" spans="1:4" x14ac:dyDescent="0.2">
      <c r="A103" t="s">
        <v>103</v>
      </c>
      <c r="B103">
        <v>8.6850654801330113E-2</v>
      </c>
      <c r="C103">
        <v>9.906936911486186E-2</v>
      </c>
      <c r="D103">
        <v>2.2286620025514167E-2</v>
      </c>
    </row>
    <row r="104" spans="1:4" x14ac:dyDescent="0.2">
      <c r="A104" t="s">
        <v>104</v>
      </c>
      <c r="B104">
        <v>0.13213914927156861</v>
      </c>
      <c r="C104">
        <v>0.18414991241020115</v>
      </c>
      <c r="D104">
        <v>4.4462056051664367E-2</v>
      </c>
    </row>
    <row r="105" spans="1:4" x14ac:dyDescent="0.2">
      <c r="A105" t="s">
        <v>105</v>
      </c>
      <c r="B105">
        <v>0.87632154982549071</v>
      </c>
      <c r="C105">
        <v>1.3478638092620112</v>
      </c>
      <c r="D105">
        <v>0.32676734387935125</v>
      </c>
    </row>
    <row r="106" spans="1:4" x14ac:dyDescent="0.2">
      <c r="A106" t="s">
        <v>106</v>
      </c>
      <c r="B106">
        <v>0.39986242791387738</v>
      </c>
      <c r="C106">
        <v>0.5372888038478032</v>
      </c>
      <c r="D106">
        <v>0.12383285008942457</v>
      </c>
    </row>
    <row r="107" spans="1:4" x14ac:dyDescent="0.2">
      <c r="A107" t="s">
        <v>107</v>
      </c>
      <c r="B107">
        <v>0.11368480723573229</v>
      </c>
      <c r="C107">
        <v>7.29896947404782E-2</v>
      </c>
      <c r="D107">
        <v>8.6553401909240171E-3</v>
      </c>
    </row>
    <row r="108" spans="1:4" x14ac:dyDescent="0.2">
      <c r="A108" t="s">
        <v>108</v>
      </c>
      <c r="B108">
        <v>0.2577566561167472</v>
      </c>
      <c r="C108">
        <v>0.10837059342506045</v>
      </c>
      <c r="D108">
        <v>1.4749803019448435E-2</v>
      </c>
    </row>
    <row r="109" spans="1:4" x14ac:dyDescent="0.2">
      <c r="A109" t="s">
        <v>109</v>
      </c>
      <c r="B109">
        <v>0.28908084732178047</v>
      </c>
      <c r="C109">
        <v>0.4075014187684789</v>
      </c>
      <c r="D109">
        <v>9.797862107885455E-2</v>
      </c>
    </row>
    <row r="110" spans="1:4" x14ac:dyDescent="0.2">
      <c r="A110" t="s">
        <v>110</v>
      </c>
      <c r="B110">
        <v>0.46114545038713317</v>
      </c>
      <c r="C110">
        <v>0.47316694513442431</v>
      </c>
      <c r="D110">
        <v>8.996061430504966E-2</v>
      </c>
    </row>
    <row r="111" spans="1:4" x14ac:dyDescent="0.2">
      <c r="A111" t="s">
        <v>111</v>
      </c>
      <c r="B111">
        <v>0.24741751920843788</v>
      </c>
      <c r="C111">
        <v>0.10418779713210809</v>
      </c>
      <c r="D111">
        <v>1.834475233221675E-2</v>
      </c>
    </row>
    <row r="112" spans="1:4" x14ac:dyDescent="0.2">
      <c r="A112" t="s">
        <v>112</v>
      </c>
      <c r="B112">
        <v>0.69103142440213761</v>
      </c>
      <c r="C112">
        <v>0.41243193123973632</v>
      </c>
      <c r="D112">
        <v>3.6802511352311627E-2</v>
      </c>
    </row>
    <row r="113" spans="1:4" x14ac:dyDescent="0.2">
      <c r="A113" t="s">
        <v>113</v>
      </c>
      <c r="B113">
        <v>9.5394836439883515E-2</v>
      </c>
      <c r="C113">
        <v>0.13611713531867184</v>
      </c>
      <c r="D113">
        <v>2.8908447397469866E-2</v>
      </c>
    </row>
    <row r="114" spans="1:4" x14ac:dyDescent="0.2">
      <c r="A114" t="s">
        <v>114</v>
      </c>
      <c r="B114">
        <v>6.7055027594344604E-2</v>
      </c>
      <c r="C114">
        <v>4.8973347556639298E-2</v>
      </c>
      <c r="D114">
        <v>1.0967116789721286E-2</v>
      </c>
    </row>
    <row r="115" spans="1:4" x14ac:dyDescent="0.2">
      <c r="A115" t="s">
        <v>115</v>
      </c>
      <c r="B115">
        <v>7.5143256405590012E-2</v>
      </c>
      <c r="C115">
        <v>4.7885000416000786E-2</v>
      </c>
      <c r="D115">
        <v>9.5739752020623809E-3</v>
      </c>
    </row>
    <row r="116" spans="1:4" x14ac:dyDescent="0.2">
      <c r="A116" t="s">
        <v>116</v>
      </c>
      <c r="B116">
        <v>4.74966685053895E-2</v>
      </c>
      <c r="C116">
        <v>3.7899229016419428E-2</v>
      </c>
      <c r="D116">
        <v>7.3958624276370963E-3</v>
      </c>
    </row>
    <row r="117" spans="1:4" x14ac:dyDescent="0.2">
      <c r="A117" t="s">
        <v>117</v>
      </c>
      <c r="B117">
        <v>7.7706147117131003E-2</v>
      </c>
      <c r="C117">
        <v>0.11034357347485098</v>
      </c>
      <c r="D117">
        <v>2.3794590989565371E-2</v>
      </c>
    </row>
    <row r="118" spans="1:4" x14ac:dyDescent="0.2">
      <c r="A118" t="s">
        <v>118</v>
      </c>
      <c r="B118">
        <v>5.0883182992003853E-2</v>
      </c>
      <c r="C118">
        <v>7.052604031488606E-2</v>
      </c>
      <c r="D118">
        <v>1.6577959599154344E-2</v>
      </c>
    </row>
    <row r="119" spans="1:4" x14ac:dyDescent="0.2">
      <c r="A119" t="s">
        <v>119</v>
      </c>
      <c r="B119">
        <v>0.11720674251645907</v>
      </c>
      <c r="C119">
        <v>8.3847731673902054E-2</v>
      </c>
      <c r="D119">
        <v>1.1267860394558252E-2</v>
      </c>
    </row>
    <row r="120" spans="1:4" x14ac:dyDescent="0.2">
      <c r="A120" t="s">
        <v>120</v>
      </c>
      <c r="B120">
        <v>0.50200930624471574</v>
      </c>
      <c r="C120">
        <v>0.23204633994292131</v>
      </c>
      <c r="D120">
        <v>3.0534285552103635E-2</v>
      </c>
    </row>
    <row r="121" spans="1:4" x14ac:dyDescent="0.2">
      <c r="A121" t="s">
        <v>121</v>
      </c>
      <c r="B121">
        <v>0.16056318282420964</v>
      </c>
      <c r="C121">
        <v>0.25856199499997051</v>
      </c>
      <c r="D121">
        <v>5.2755896353945973E-2</v>
      </c>
    </row>
    <row r="122" spans="1:4" x14ac:dyDescent="0.2">
      <c r="A122" t="s">
        <v>122</v>
      </c>
      <c r="B122">
        <v>0.20642522168391603</v>
      </c>
      <c r="C122">
        <v>0.12796684335850142</v>
      </c>
      <c r="D122">
        <v>9.6991331467016027E-3</v>
      </c>
    </row>
    <row r="123" spans="1:4" x14ac:dyDescent="0.2">
      <c r="A123" t="s">
        <v>123</v>
      </c>
      <c r="B123">
        <v>5.4586764786048153E-2</v>
      </c>
      <c r="C123">
        <v>6.3384461591559388E-2</v>
      </c>
      <c r="D123">
        <v>1.4255854432110146E-2</v>
      </c>
    </row>
    <row r="124" spans="1:4" x14ac:dyDescent="0.2">
      <c r="A124" t="s">
        <v>124</v>
      </c>
      <c r="B124">
        <v>0.13842781423878434</v>
      </c>
      <c r="C124">
        <v>0.15448853912489946</v>
      </c>
      <c r="D124">
        <v>3.3782924047180904E-2</v>
      </c>
    </row>
    <row r="125" spans="1:4" x14ac:dyDescent="0.2">
      <c r="A125" t="s">
        <v>125</v>
      </c>
      <c r="B125">
        <v>0.30083778731791644</v>
      </c>
      <c r="C125">
        <v>0.17883577388523525</v>
      </c>
      <c r="D125">
        <v>2.1755610105054557E-2</v>
      </c>
    </row>
    <row r="126" spans="1:4" x14ac:dyDescent="0.2">
      <c r="A126" t="s">
        <v>126</v>
      </c>
      <c r="B126">
        <v>0.19809098703168632</v>
      </c>
      <c r="C126">
        <v>0.25259016790557132</v>
      </c>
      <c r="D126">
        <v>5.5606581190097558E-2</v>
      </c>
    </row>
    <row r="127" spans="1:4" x14ac:dyDescent="0.2">
      <c r="A127" t="s">
        <v>127</v>
      </c>
      <c r="B127">
        <v>5.3183467442854467E-2</v>
      </c>
      <c r="C127">
        <v>7.8222006385551698E-2</v>
      </c>
      <c r="D127">
        <v>1.8813790843194803E-2</v>
      </c>
    </row>
    <row r="128" spans="1:4" x14ac:dyDescent="0.2">
      <c r="A128" t="s">
        <v>128</v>
      </c>
      <c r="B128">
        <v>0.17855317728409237</v>
      </c>
      <c r="C128">
        <v>0.21971202302478593</v>
      </c>
      <c r="D128">
        <v>4.9019992462749018E-2</v>
      </c>
    </row>
    <row r="129" spans="1:4" x14ac:dyDescent="0.2">
      <c r="A129" t="s">
        <v>129</v>
      </c>
      <c r="B129">
        <v>0.47227760205276254</v>
      </c>
      <c r="C129">
        <v>0.42696321367607964</v>
      </c>
      <c r="D129">
        <v>9.3689227442189965E-2</v>
      </c>
    </row>
    <row r="130" spans="1:4" x14ac:dyDescent="0.2">
      <c r="A130" t="s">
        <v>130</v>
      </c>
      <c r="B130">
        <v>8.6056421593908639E-2</v>
      </c>
      <c r="C130">
        <v>5.7017616887987538E-2</v>
      </c>
      <c r="D130">
        <v>1.0016280948166036E-2</v>
      </c>
    </row>
    <row r="131" spans="1:4" x14ac:dyDescent="0.2">
      <c r="A131" t="s">
        <v>131</v>
      </c>
      <c r="B131">
        <v>0.18127585469922358</v>
      </c>
      <c r="C131">
        <v>0.14777561515695031</v>
      </c>
      <c r="D131">
        <v>2.6814785857534152E-2</v>
      </c>
    </row>
    <row r="132" spans="1:4" x14ac:dyDescent="0.2">
      <c r="A132" t="s">
        <v>132</v>
      </c>
      <c r="B132">
        <v>4.7570255695377275E-2</v>
      </c>
      <c r="C132">
        <v>5.5402552162340898E-2</v>
      </c>
      <c r="D132">
        <v>1.3345725300704547E-2</v>
      </c>
    </row>
    <row r="133" spans="1:4" x14ac:dyDescent="0.2">
      <c r="A133" t="s">
        <v>133</v>
      </c>
      <c r="B133">
        <v>0.31838280902085192</v>
      </c>
      <c r="C133">
        <v>0.10362709311222564</v>
      </c>
      <c r="D133">
        <v>9.3163685587272834E-3</v>
      </c>
    </row>
    <row r="134" spans="1:4" x14ac:dyDescent="0.2">
      <c r="A134" t="s">
        <v>134</v>
      </c>
      <c r="B134">
        <v>0.17343744867569669</v>
      </c>
      <c r="C134">
        <v>0.23919425038438652</v>
      </c>
      <c r="D134">
        <v>5.4825255380359511E-2</v>
      </c>
    </row>
    <row r="135" spans="1:4" x14ac:dyDescent="0.2">
      <c r="A135" t="s">
        <v>135</v>
      </c>
      <c r="B135">
        <v>0.88208486440825706</v>
      </c>
      <c r="C135">
        <v>0.33528093788622187</v>
      </c>
      <c r="D135">
        <v>5.2648965294448388E-2</v>
      </c>
    </row>
    <row r="136" spans="1:4" x14ac:dyDescent="0.2">
      <c r="A136" t="s">
        <v>136</v>
      </c>
      <c r="B136">
        <v>0.49884197352656212</v>
      </c>
      <c r="C136">
        <v>0.28201255861175828</v>
      </c>
      <c r="D136">
        <v>2.1228245561623279E-2</v>
      </c>
    </row>
    <row r="137" spans="1:4" x14ac:dyDescent="0.2">
      <c r="A137" t="s">
        <v>137</v>
      </c>
      <c r="B137">
        <v>5.9918523243419664</v>
      </c>
      <c r="C137">
        <v>0.39252842660118065</v>
      </c>
      <c r="D137">
        <v>3.0041552090441456E-2</v>
      </c>
    </row>
    <row r="138" spans="1:4" x14ac:dyDescent="0.2">
      <c r="A138" t="s">
        <v>138</v>
      </c>
      <c r="B138">
        <v>0.9645742022461169</v>
      </c>
      <c r="C138">
        <v>0.28574194810780257</v>
      </c>
      <c r="D138">
        <v>2.9050617101574614E-2</v>
      </c>
    </row>
    <row r="139" spans="1:4" x14ac:dyDescent="0.2">
      <c r="A139" t="s">
        <v>139</v>
      </c>
      <c r="B139">
        <v>0.26978370044004157</v>
      </c>
      <c r="C139">
        <v>0.19755345046049061</v>
      </c>
      <c r="D139">
        <v>3.3818162691788056E-2</v>
      </c>
    </row>
    <row r="140" spans="1:4" x14ac:dyDescent="0.2">
      <c r="A140" t="s">
        <v>140</v>
      </c>
      <c r="B140">
        <v>0.12421933550391068</v>
      </c>
      <c r="C140">
        <v>0.18766936492230685</v>
      </c>
      <c r="D140">
        <v>4.4354517429328721E-2</v>
      </c>
    </row>
    <row r="141" spans="1:4" x14ac:dyDescent="0.2">
      <c r="A141" t="s">
        <v>141</v>
      </c>
      <c r="B141">
        <v>0.44179165001809151</v>
      </c>
      <c r="C141">
        <v>0.25039072936856854</v>
      </c>
      <c r="D141">
        <v>2.5694439984161703E-2</v>
      </c>
    </row>
    <row r="142" spans="1:4" x14ac:dyDescent="0.2">
      <c r="A142" t="s">
        <v>142</v>
      </c>
      <c r="B142">
        <v>0.17722554206986446</v>
      </c>
      <c r="C142">
        <v>0.14955834877192598</v>
      </c>
      <c r="D142">
        <v>3.0324068810136787E-2</v>
      </c>
    </row>
    <row r="143" spans="1:4" x14ac:dyDescent="0.2">
      <c r="A143" t="s">
        <v>143</v>
      </c>
      <c r="B143">
        <v>7.3081480129814413E-2</v>
      </c>
      <c r="C143">
        <v>0.10952401201627633</v>
      </c>
      <c r="D143">
        <v>2.5075941015022248E-2</v>
      </c>
    </row>
    <row r="144" spans="1:4" x14ac:dyDescent="0.2">
      <c r="A144" t="s">
        <v>144</v>
      </c>
      <c r="B144">
        <v>0.78860925409762972</v>
      </c>
      <c r="C144">
        <v>0.16979589726731953</v>
      </c>
      <c r="D144">
        <v>1.6722559554611306E-2</v>
      </c>
    </row>
    <row r="145" spans="1:4" x14ac:dyDescent="0.2">
      <c r="A145" t="s">
        <v>145</v>
      </c>
      <c r="B145">
        <v>8.5100249158424068E-2</v>
      </c>
      <c r="C145">
        <v>9.0055593736202338E-2</v>
      </c>
      <c r="D145">
        <v>2.0754346547940786E-2</v>
      </c>
    </row>
    <row r="146" spans="1:4" x14ac:dyDescent="0.2">
      <c r="A146" t="s">
        <v>146</v>
      </c>
      <c r="B146">
        <v>0.25318593448181353</v>
      </c>
      <c r="C146">
        <v>8.5713416089746489E-2</v>
      </c>
      <c r="D146">
        <v>1.6322783207171464E-2</v>
      </c>
    </row>
    <row r="147" spans="1:4" x14ac:dyDescent="0.2">
      <c r="A147" t="s">
        <v>147</v>
      </c>
      <c r="B147">
        <v>0.41951792287432499</v>
      </c>
      <c r="C147">
        <v>0.18794938778110787</v>
      </c>
      <c r="D147">
        <v>3.2674121867731484E-2</v>
      </c>
    </row>
    <row r="148" spans="1:4" x14ac:dyDescent="0.2">
      <c r="A148" t="s">
        <v>148</v>
      </c>
      <c r="B148">
        <v>0.11127201909048472</v>
      </c>
      <c r="C148">
        <v>4.8719860456113616E-2</v>
      </c>
      <c r="D148">
        <v>7.7676908845264337E-3</v>
      </c>
    </row>
    <row r="149" spans="1:4" x14ac:dyDescent="0.2">
      <c r="A149" t="s">
        <v>149</v>
      </c>
      <c r="B149">
        <v>0.12164297342239475</v>
      </c>
      <c r="C149">
        <v>0.16488679106664619</v>
      </c>
      <c r="D149">
        <v>3.9675068450633177E-2</v>
      </c>
    </row>
    <row r="150" spans="1:4" x14ac:dyDescent="0.2">
      <c r="A150" t="s">
        <v>150</v>
      </c>
      <c r="B150">
        <v>8.4247534001914773E-2</v>
      </c>
      <c r="C150">
        <v>0.12746662585882712</v>
      </c>
      <c r="D150">
        <v>2.7730383054482242E-2</v>
      </c>
    </row>
    <row r="151" spans="1:4" x14ac:dyDescent="0.2">
      <c r="A151" t="s">
        <v>151</v>
      </c>
      <c r="B151">
        <v>0.23431267267110781</v>
      </c>
      <c r="C151">
        <v>7.6284792522974737E-2</v>
      </c>
      <c r="D151">
        <v>1.38147638116826E-2</v>
      </c>
    </row>
    <row r="152" spans="1:4" x14ac:dyDescent="0.2">
      <c r="A152" t="s">
        <v>152</v>
      </c>
      <c r="B152">
        <v>5.6162528942513688E-2</v>
      </c>
      <c r="C152">
        <v>7.5603822903391155E-2</v>
      </c>
      <c r="D152">
        <v>1.7847765930688188E-2</v>
      </c>
    </row>
    <row r="153" spans="1:4" x14ac:dyDescent="0.2">
      <c r="A153" t="s">
        <v>153</v>
      </c>
      <c r="B153">
        <v>0.4161449357173907</v>
      </c>
      <c r="C153">
        <v>0.18209589527917747</v>
      </c>
      <c r="D153">
        <v>3.4052681947277084E-2</v>
      </c>
    </row>
    <row r="154" spans="1:4" x14ac:dyDescent="0.2">
      <c r="A154" t="s">
        <v>154</v>
      </c>
      <c r="B154">
        <v>0.17067014954975643</v>
      </c>
      <c r="C154">
        <v>0.10194270142437969</v>
      </c>
      <c r="D154">
        <v>1.3568700862270539E-2</v>
      </c>
    </row>
    <row r="155" spans="1:4" x14ac:dyDescent="0.2">
      <c r="A155" t="s">
        <v>155</v>
      </c>
      <c r="B155">
        <v>0.43055013646808088</v>
      </c>
      <c r="C155">
        <v>0.1076501192745089</v>
      </c>
      <c r="D155">
        <v>7.0513742984602097E-3</v>
      </c>
    </row>
    <row r="156" spans="1:4" x14ac:dyDescent="0.2">
      <c r="A156" t="s">
        <v>156</v>
      </c>
      <c r="B156">
        <v>7.0357422401018735E-2</v>
      </c>
      <c r="C156">
        <v>0.10660108874583597</v>
      </c>
      <c r="D156">
        <v>2.2838894645305686E-2</v>
      </c>
    </row>
    <row r="157" spans="1:4" x14ac:dyDescent="0.2">
      <c r="A157" t="s">
        <v>157</v>
      </c>
      <c r="B157">
        <v>0.10103783271513626</v>
      </c>
      <c r="C157">
        <v>3.1844012610771841E-2</v>
      </c>
      <c r="D157">
        <v>6.9796818835697822E-3</v>
      </c>
    </row>
    <row r="158" spans="1:4" x14ac:dyDescent="0.2">
      <c r="A158" t="s">
        <v>158</v>
      </c>
      <c r="B158">
        <v>0.15711356521181194</v>
      </c>
      <c r="C158">
        <v>0.16405134048691858</v>
      </c>
      <c r="D158">
        <v>3.7426478386993575E-2</v>
      </c>
    </row>
    <row r="159" spans="1:4" x14ac:dyDescent="0.2">
      <c r="A159" t="s">
        <v>159</v>
      </c>
      <c r="B159">
        <v>2.1415163133013018E-2</v>
      </c>
      <c r="C159">
        <v>3.2030384319426522E-2</v>
      </c>
      <c r="D159">
        <v>6.8016659720198224E-3</v>
      </c>
    </row>
    <row r="160" spans="1:4" x14ac:dyDescent="0.2">
      <c r="A160" t="s">
        <v>160</v>
      </c>
      <c r="B160">
        <v>0.78098563828074896</v>
      </c>
      <c r="C160">
        <v>0.38366373872107229</v>
      </c>
      <c r="D160">
        <v>7.4795238304371972E-2</v>
      </c>
    </row>
    <row r="161" spans="1:4" x14ac:dyDescent="0.2">
      <c r="A161" t="s">
        <v>161</v>
      </c>
      <c r="B161">
        <v>0.21052085911369639</v>
      </c>
      <c r="C161">
        <v>0.31241195065545513</v>
      </c>
      <c r="D161">
        <v>7.5883990910165594E-2</v>
      </c>
    </row>
    <row r="162" spans="1:4" x14ac:dyDescent="0.2">
      <c r="A162" t="s">
        <v>162</v>
      </c>
      <c r="B162">
        <v>5.7403091542497023E-2</v>
      </c>
      <c r="C162">
        <v>7.0630826191114382E-2</v>
      </c>
      <c r="D162">
        <v>1.6470420976818702E-2</v>
      </c>
    </row>
    <row r="163" spans="1:4" x14ac:dyDescent="0.2">
      <c r="A163" t="s">
        <v>163</v>
      </c>
      <c r="B163">
        <v>0.17687775448492868</v>
      </c>
      <c r="C163">
        <v>0.19601136997933094</v>
      </c>
      <c r="D163">
        <v>4.5825427060258599E-2</v>
      </c>
    </row>
    <row r="164" spans="1:4" x14ac:dyDescent="0.2">
      <c r="A164" t="s">
        <v>164</v>
      </c>
      <c r="B164">
        <v>1.1912035265664163</v>
      </c>
      <c r="C164">
        <v>0.32868983713987127</v>
      </c>
      <c r="D164">
        <v>4.7324892144577038E-2</v>
      </c>
    </row>
    <row r="165" spans="1:4" x14ac:dyDescent="0.2">
      <c r="A165" t="s">
        <v>165</v>
      </c>
      <c r="B165">
        <v>0.51629012663713869</v>
      </c>
      <c r="C165">
        <v>0.35058681498321725</v>
      </c>
      <c r="D165">
        <v>2.1678449624621638E-2</v>
      </c>
    </row>
    <row r="166" spans="1:4" x14ac:dyDescent="0.2">
      <c r="A166" t="s">
        <v>166</v>
      </c>
      <c r="B166">
        <v>0.11709328424300272</v>
      </c>
      <c r="C166">
        <v>0.10409760805639384</v>
      </c>
      <c r="D166">
        <v>1.8245112026775815E-2</v>
      </c>
    </row>
    <row r="167" spans="1:4" x14ac:dyDescent="0.2">
      <c r="A167" t="s">
        <v>167</v>
      </c>
      <c r="B167">
        <v>0.14830268405529196</v>
      </c>
      <c r="C167">
        <v>0.13820311227867846</v>
      </c>
      <c r="D167">
        <v>2.8236482898581619E-2</v>
      </c>
    </row>
    <row r="168" spans="1:4" x14ac:dyDescent="0.2">
      <c r="A168" t="s">
        <v>168</v>
      </c>
      <c r="B168">
        <v>5.2211125971136606E-2</v>
      </c>
      <c r="C168">
        <v>6.0258245696590093E-2</v>
      </c>
      <c r="D168">
        <v>1.3852432707641978E-2</v>
      </c>
    </row>
    <row r="169" spans="1:4" x14ac:dyDescent="0.2">
      <c r="A169" t="s">
        <v>169</v>
      </c>
      <c r="B169">
        <v>0.40765022792793687</v>
      </c>
      <c r="C169">
        <v>0.20050886825931349</v>
      </c>
      <c r="D169">
        <v>2.0408035730249737E-2</v>
      </c>
    </row>
    <row r="170" spans="1:4" x14ac:dyDescent="0.2">
      <c r="A170" t="s">
        <v>170</v>
      </c>
      <c r="B170">
        <v>9.4356749711553889E-2</v>
      </c>
      <c r="C170">
        <v>9.0596400958801018E-2</v>
      </c>
      <c r="D170">
        <v>1.4172618323296684E-2</v>
      </c>
    </row>
    <row r="171" spans="1:4" x14ac:dyDescent="0.2">
      <c r="A171" t="s">
        <v>171</v>
      </c>
      <c r="B171">
        <v>0.17714743086482487</v>
      </c>
      <c r="C171">
        <v>6.755415319758086E-2</v>
      </c>
      <c r="D171">
        <v>8.7932569551623842E-3</v>
      </c>
    </row>
    <row r="172" spans="1:4" x14ac:dyDescent="0.2">
      <c r="A172" t="s">
        <v>172</v>
      </c>
      <c r="B172">
        <v>0.19973762154767691</v>
      </c>
      <c r="C172">
        <v>0.10328212399683001</v>
      </c>
      <c r="D172">
        <v>1.3744286522468282E-2</v>
      </c>
    </row>
    <row r="173" spans="1:4" x14ac:dyDescent="0.2">
      <c r="A173" t="s">
        <v>173</v>
      </c>
      <c r="B173">
        <v>0.16606497392071454</v>
      </c>
      <c r="C173">
        <v>7.6861761585921798E-2</v>
      </c>
      <c r="D173">
        <v>1.5002549160079095E-2</v>
      </c>
    </row>
    <row r="174" spans="1:4" x14ac:dyDescent="0.2">
      <c r="A174" t="s">
        <v>174</v>
      </c>
      <c r="B174">
        <v>0.18161855223898193</v>
      </c>
      <c r="C174">
        <v>7.7318436000498342E-2</v>
      </c>
      <c r="D174">
        <v>1.4408960267299873E-2</v>
      </c>
    </row>
    <row r="175" spans="1:4" x14ac:dyDescent="0.2">
      <c r="A175" t="s">
        <v>175</v>
      </c>
      <c r="B175">
        <v>0.21841862021739814</v>
      </c>
      <c r="C175">
        <v>0.1680011264868933</v>
      </c>
      <c r="D175">
        <v>2.5385190499591977E-2</v>
      </c>
    </row>
    <row r="176" spans="1:4" x14ac:dyDescent="0.2">
      <c r="A176" t="s">
        <v>176</v>
      </c>
      <c r="B176">
        <v>5.6751106964287007E-2</v>
      </c>
      <c r="C176">
        <v>8.3415055218482748E-2</v>
      </c>
      <c r="D176">
        <v>1.9908619077368961E-2</v>
      </c>
    </row>
    <row r="177" spans="1:4" x14ac:dyDescent="0.2">
      <c r="A177" t="s">
        <v>177</v>
      </c>
      <c r="B177">
        <v>0.23745616168497369</v>
      </c>
      <c r="C177">
        <v>0.32702721533292539</v>
      </c>
      <c r="D177">
        <v>7.385837640809198E-2</v>
      </c>
    </row>
    <row r="178" spans="1:4" x14ac:dyDescent="0.2">
      <c r="A178" t="s">
        <v>178</v>
      </c>
      <c r="B178">
        <v>0.28622761516587208</v>
      </c>
      <c r="C178">
        <v>0.13909778973266909</v>
      </c>
      <c r="D178">
        <v>2.7224283210382869E-2</v>
      </c>
    </row>
    <row r="179" spans="1:4" x14ac:dyDescent="0.2">
      <c r="A179" t="s">
        <v>179</v>
      </c>
      <c r="B179">
        <v>5.3624921735925771E-2</v>
      </c>
      <c r="C179">
        <v>5.7888067445519206E-2</v>
      </c>
      <c r="D179">
        <v>1.1496911584504787E-2</v>
      </c>
    </row>
    <row r="180" spans="1:4" x14ac:dyDescent="0.2">
      <c r="A180" t="s">
        <v>180</v>
      </c>
      <c r="B180">
        <v>0.60574357078743346</v>
      </c>
      <c r="C180">
        <v>0.34999586656312176</v>
      </c>
      <c r="D180">
        <v>4.9100190757372209E-2</v>
      </c>
    </row>
    <row r="181" spans="1:4" x14ac:dyDescent="0.2">
      <c r="A181" t="s">
        <v>181</v>
      </c>
      <c r="B181">
        <v>0.14843929730484329</v>
      </c>
      <c r="C181">
        <v>0.1025606432314594</v>
      </c>
      <c r="D181">
        <v>2.0392239096460322E-2</v>
      </c>
    </row>
    <row r="182" spans="1:4" x14ac:dyDescent="0.2">
      <c r="A182" t="s">
        <v>182</v>
      </c>
      <c r="B182">
        <v>1.3771646754662845</v>
      </c>
      <c r="C182">
        <v>0.14418573008723989</v>
      </c>
      <c r="D182">
        <v>2.9493530410516323E-2</v>
      </c>
    </row>
    <row r="183" spans="1:4" x14ac:dyDescent="0.2">
      <c r="A183" t="s">
        <v>183</v>
      </c>
      <c r="B183">
        <v>0.13225352906956689</v>
      </c>
      <c r="C183">
        <v>5.9993136223824316E-2</v>
      </c>
      <c r="D183">
        <v>1.1781250992714279E-2</v>
      </c>
    </row>
    <row r="184" spans="1:4" x14ac:dyDescent="0.2">
      <c r="A184" t="s">
        <v>184</v>
      </c>
      <c r="B184">
        <v>0.6526341082104794</v>
      </c>
      <c r="C184">
        <v>0.35593190249884954</v>
      </c>
      <c r="D184">
        <v>2.0157719840971297E-2</v>
      </c>
    </row>
    <row r="185" spans="1:4" x14ac:dyDescent="0.2">
      <c r="A185" t="s">
        <v>185</v>
      </c>
      <c r="B185">
        <v>0.67549707974829609</v>
      </c>
      <c r="C185">
        <v>0.33336960143389405</v>
      </c>
      <c r="D185">
        <v>3.6999969274679329E-2</v>
      </c>
    </row>
    <row r="186" spans="1:4" x14ac:dyDescent="0.2">
      <c r="A186" t="s">
        <v>186</v>
      </c>
      <c r="B186">
        <v>0.51641384993315198</v>
      </c>
      <c r="C186">
        <v>0.18739201947584272</v>
      </c>
      <c r="D186">
        <v>2.2456130057331363E-2</v>
      </c>
    </row>
    <row r="187" spans="1:4" x14ac:dyDescent="0.2">
      <c r="A187" t="s">
        <v>187</v>
      </c>
      <c r="B187">
        <v>0.51389614972694486</v>
      </c>
      <c r="C187">
        <v>0.16875871075492832</v>
      </c>
      <c r="D187">
        <v>2.6646490951393063E-2</v>
      </c>
    </row>
    <row r="188" spans="1:4" x14ac:dyDescent="0.2">
      <c r="A188" t="s">
        <v>188</v>
      </c>
      <c r="B188">
        <v>0.22674125860981137</v>
      </c>
      <c r="C188">
        <v>0.15012794693430431</v>
      </c>
      <c r="D188">
        <v>2.1888058803750433E-2</v>
      </c>
    </row>
    <row r="189" spans="1:4" x14ac:dyDescent="0.2">
      <c r="A189" t="s">
        <v>189</v>
      </c>
      <c r="B189">
        <v>0.11877862773619755</v>
      </c>
      <c r="C189">
        <v>4.5522023031124903E-2</v>
      </c>
      <c r="D189">
        <v>8.5034494814103991E-3</v>
      </c>
    </row>
    <row r="190" spans="1:4" x14ac:dyDescent="0.2">
      <c r="A190" t="s">
        <v>190</v>
      </c>
      <c r="B190">
        <v>3.6985531439199755E-2</v>
      </c>
      <c r="C190">
        <v>2.7256443609208713E-2</v>
      </c>
      <c r="D190">
        <v>4.7426355138532137E-3</v>
      </c>
    </row>
    <row r="191" spans="1:4" x14ac:dyDescent="0.2">
      <c r="A191" t="s">
        <v>191</v>
      </c>
      <c r="B191">
        <v>0.11691823159177964</v>
      </c>
      <c r="C191">
        <v>0.16532390410191922</v>
      </c>
      <c r="D191">
        <v>1.4602165249801197E-2</v>
      </c>
    </row>
    <row r="192" spans="1:4" x14ac:dyDescent="0.2">
      <c r="A192" t="s">
        <v>192</v>
      </c>
      <c r="B192">
        <v>0.35590941673061649</v>
      </c>
      <c r="C192">
        <v>0.29123920253164448</v>
      </c>
      <c r="D192">
        <v>1.032917580976409E-2</v>
      </c>
    </row>
    <row r="193" spans="1:4" x14ac:dyDescent="0.2">
      <c r="A193" t="s">
        <v>193</v>
      </c>
      <c r="B193">
        <v>0.12672807433688296</v>
      </c>
      <c r="C193">
        <v>0.17468278886863059</v>
      </c>
      <c r="D193">
        <v>3.8298331059601745E-2</v>
      </c>
    </row>
    <row r="194" spans="1:4" x14ac:dyDescent="0.2">
      <c r="A194" t="s">
        <v>194</v>
      </c>
      <c r="B194">
        <v>0.34326322517715507</v>
      </c>
      <c r="C194">
        <v>9.3258163977201783E-2</v>
      </c>
      <c r="D194">
        <v>1.7393308927823443E-2</v>
      </c>
    </row>
    <row r="195" spans="1:4" x14ac:dyDescent="0.2">
      <c r="A195" t="s">
        <v>195</v>
      </c>
      <c r="B195">
        <v>0.16910729310457007</v>
      </c>
      <c r="C195">
        <v>0.19128791603531034</v>
      </c>
      <c r="D195">
        <v>2.6090570954573223E-2</v>
      </c>
    </row>
    <row r="196" spans="1:4" x14ac:dyDescent="0.2">
      <c r="A196" t="s">
        <v>196</v>
      </c>
      <c r="B196">
        <v>0.31008700040838327</v>
      </c>
      <c r="C196">
        <v>0.4620867000214432</v>
      </c>
      <c r="D196">
        <v>0.10739037700315637</v>
      </c>
    </row>
    <row r="197" spans="1:4" x14ac:dyDescent="0.2">
      <c r="A197" t="s">
        <v>197</v>
      </c>
      <c r="B197">
        <v>0.29612688026855144</v>
      </c>
      <c r="C197">
        <v>0.24990277449489914</v>
      </c>
      <c r="D197">
        <v>5.1519505978505124E-2</v>
      </c>
    </row>
    <row r="198" spans="1:4" x14ac:dyDescent="0.2">
      <c r="A198" t="s">
        <v>198</v>
      </c>
      <c r="B198">
        <v>1.1525510205682106</v>
      </c>
      <c r="C198">
        <v>0.29511998145225327</v>
      </c>
      <c r="D198">
        <v>2.7450296586139133E-2</v>
      </c>
    </row>
    <row r="199" spans="1:4" x14ac:dyDescent="0.2">
      <c r="A199" t="s">
        <v>199</v>
      </c>
      <c r="B199">
        <v>1.4040881959056846</v>
      </c>
      <c r="C199">
        <v>6.4005908799452921E-2</v>
      </c>
      <c r="D199">
        <v>4.4400692205020867E-3</v>
      </c>
    </row>
    <row r="200" spans="1:4" x14ac:dyDescent="0.2">
      <c r="A200" t="s">
        <v>200</v>
      </c>
      <c r="B200">
        <v>0.46882186393149117</v>
      </c>
      <c r="C200">
        <v>0.1635100138443909</v>
      </c>
      <c r="D200">
        <v>1.901064120272445E-2</v>
      </c>
    </row>
    <row r="201" spans="1:4" x14ac:dyDescent="0.2">
      <c r="A201" t="s">
        <v>201</v>
      </c>
      <c r="B201">
        <v>2.1225532047113047</v>
      </c>
      <c r="C201">
        <v>0.30654714183793597</v>
      </c>
      <c r="D201">
        <v>2.8471609716908697E-2</v>
      </c>
    </row>
    <row r="202" spans="1:4" x14ac:dyDescent="0.2">
      <c r="A202" t="s">
        <v>202</v>
      </c>
      <c r="B202">
        <v>5.0308516182456298E-2</v>
      </c>
      <c r="C202">
        <v>7.0540169304160891E-2</v>
      </c>
      <c r="D202">
        <v>1.5902349723237768E-2</v>
      </c>
    </row>
    <row r="203" spans="1:4" x14ac:dyDescent="0.2">
      <c r="A203" t="s">
        <v>203</v>
      </c>
      <c r="B203">
        <v>3.4908808579111307E-2</v>
      </c>
      <c r="C203">
        <v>5.4748603401090487E-2</v>
      </c>
      <c r="D203">
        <v>1.4086951963131004E-2</v>
      </c>
    </row>
    <row r="204" spans="1:4" x14ac:dyDescent="0.2">
      <c r="A204" t="s">
        <v>204</v>
      </c>
      <c r="B204">
        <v>0.14562150004597343</v>
      </c>
      <c r="C204">
        <v>0.14004277348973898</v>
      </c>
      <c r="D204">
        <v>1.6696434352574965E-2</v>
      </c>
    </row>
    <row r="205" spans="1:4" x14ac:dyDescent="0.2">
      <c r="A205" t="s">
        <v>205</v>
      </c>
      <c r="B205">
        <v>4.7290180749972446E-2</v>
      </c>
      <c r="C205">
        <v>6.3053896740134813E-2</v>
      </c>
      <c r="D205">
        <v>1.4840329882318551E-2</v>
      </c>
    </row>
    <row r="206" spans="1:4" x14ac:dyDescent="0.2">
      <c r="A206" t="s">
        <v>206</v>
      </c>
      <c r="B206">
        <v>0.24104541566227042</v>
      </c>
      <c r="C206">
        <v>0.15018925640369746</v>
      </c>
      <c r="D206">
        <v>1.1314642733088444E-2</v>
      </c>
    </row>
    <row r="207" spans="1:4" x14ac:dyDescent="0.2">
      <c r="A207" t="s">
        <v>207</v>
      </c>
      <c r="B207">
        <v>0.18622420839242501</v>
      </c>
      <c r="C207">
        <v>0.10723494630959908</v>
      </c>
      <c r="D207">
        <v>1.5881692586743917E-2</v>
      </c>
    </row>
    <row r="208" spans="1:4" x14ac:dyDescent="0.2">
      <c r="A208" t="s">
        <v>208</v>
      </c>
      <c r="B208">
        <v>0.56505786669869962</v>
      </c>
      <c r="C208">
        <v>0.28484276191411018</v>
      </c>
      <c r="D208">
        <v>2.3165763452178988E-2</v>
      </c>
    </row>
    <row r="209" spans="1:4" x14ac:dyDescent="0.2">
      <c r="A209" t="s">
        <v>209</v>
      </c>
      <c r="B209">
        <v>0.14813860428206535</v>
      </c>
      <c r="C209">
        <v>9.7763081660207515E-2</v>
      </c>
      <c r="D209">
        <v>1.4337267852409448E-2</v>
      </c>
    </row>
    <row r="210" spans="1:4" x14ac:dyDescent="0.2">
      <c r="A210" t="s">
        <v>210</v>
      </c>
      <c r="B210">
        <v>6.217695101031348E-2</v>
      </c>
      <c r="C210">
        <v>8.6661021113982106E-2</v>
      </c>
      <c r="D210">
        <v>1.9344800763654409E-2</v>
      </c>
    </row>
    <row r="211" spans="1:4" x14ac:dyDescent="0.2">
      <c r="A211" t="s">
        <v>211</v>
      </c>
      <c r="B211">
        <v>0.27512750134483394</v>
      </c>
      <c r="C211">
        <v>9.6057699065205893E-2</v>
      </c>
      <c r="D211">
        <v>1.0979268046482376E-2</v>
      </c>
    </row>
    <row r="212" spans="1:4" x14ac:dyDescent="0.2">
      <c r="A212" t="s">
        <v>212</v>
      </c>
      <c r="B212">
        <v>0.38686354165568682</v>
      </c>
      <c r="C212">
        <v>0.1658639582142917</v>
      </c>
      <c r="D212">
        <v>1.0822516834264322E-2</v>
      </c>
    </row>
    <row r="213" spans="1:4" x14ac:dyDescent="0.2">
      <c r="A213" t="s">
        <v>213</v>
      </c>
      <c r="B213">
        <v>0.33199943973466334</v>
      </c>
      <c r="C213">
        <v>0.17564811694330168</v>
      </c>
      <c r="D213">
        <v>1.8047046541570057E-2</v>
      </c>
    </row>
    <row r="214" spans="1:4" x14ac:dyDescent="0.2">
      <c r="A214" t="s">
        <v>214</v>
      </c>
      <c r="B214">
        <v>0.20238744938729419</v>
      </c>
      <c r="C214">
        <v>0.17494745272556048</v>
      </c>
      <c r="D214">
        <v>3.3790214801237554E-2</v>
      </c>
    </row>
    <row r="215" spans="1:4" x14ac:dyDescent="0.2">
      <c r="A215" t="s">
        <v>215</v>
      </c>
      <c r="B215">
        <v>0.52422587147584954</v>
      </c>
      <c r="C215">
        <v>0.18875606735374259</v>
      </c>
      <c r="D215">
        <v>1.549102968187489E-2</v>
      </c>
    </row>
    <row r="216" spans="1:4" x14ac:dyDescent="0.2">
      <c r="A216" t="s">
        <v>216</v>
      </c>
      <c r="B216">
        <v>7.82774086924381E-2</v>
      </c>
      <c r="C216">
        <v>2.5059125323079343E-2</v>
      </c>
      <c r="D216">
        <v>5.9279906108974907E-3</v>
      </c>
    </row>
    <row r="217" spans="1:4" x14ac:dyDescent="0.2">
      <c r="A217" t="s">
        <v>217</v>
      </c>
      <c r="B217">
        <v>0.10202169867175809</v>
      </c>
      <c r="C217">
        <v>4.233787720276113E-2</v>
      </c>
      <c r="D217">
        <v>7.1564826694436347E-3</v>
      </c>
    </row>
    <row r="218" spans="1:4" x14ac:dyDescent="0.2">
      <c r="A218" t="s">
        <v>218</v>
      </c>
      <c r="B218">
        <v>0.44687583208683429</v>
      </c>
      <c r="C218">
        <v>0.16158738797090733</v>
      </c>
      <c r="D218">
        <v>1.805859023549309E-2</v>
      </c>
    </row>
    <row r="219" spans="1:4" x14ac:dyDescent="0.2">
      <c r="A219" t="s">
        <v>219</v>
      </c>
      <c r="B219">
        <v>0.51990826154544378</v>
      </c>
      <c r="C219">
        <v>0.30945536253019063</v>
      </c>
      <c r="D219">
        <v>5.556222910291958E-2</v>
      </c>
    </row>
    <row r="220" spans="1:4" x14ac:dyDescent="0.2">
      <c r="A220" t="s">
        <v>220</v>
      </c>
      <c r="B220">
        <v>0.31358552972028469</v>
      </c>
      <c r="C220">
        <v>0.15996500101282343</v>
      </c>
      <c r="D220">
        <v>2.3982327906524197E-2</v>
      </c>
    </row>
    <row r="221" spans="1:4" x14ac:dyDescent="0.2">
      <c r="A221" t="s">
        <v>221</v>
      </c>
      <c r="B221">
        <v>6.4002619644989392E-2</v>
      </c>
      <c r="C221">
        <v>4.0773791978409787E-2</v>
      </c>
      <c r="D221">
        <v>8.4548444543660426E-3</v>
      </c>
    </row>
    <row r="222" spans="1:4" x14ac:dyDescent="0.2">
      <c r="A222" t="s">
        <v>222</v>
      </c>
      <c r="B222">
        <v>0.11355083806349153</v>
      </c>
      <c r="C222">
        <v>4.3957704136644619E-2</v>
      </c>
      <c r="D222">
        <v>6.1977485109936765E-3</v>
      </c>
    </row>
    <row r="223" spans="1:4" x14ac:dyDescent="0.2">
      <c r="A223" t="s">
        <v>223</v>
      </c>
      <c r="B223">
        <v>0.24370406585306253</v>
      </c>
      <c r="C223">
        <v>0.19388153475887895</v>
      </c>
      <c r="D223">
        <v>2.8885360009623797E-2</v>
      </c>
    </row>
    <row r="224" spans="1:4" x14ac:dyDescent="0.2">
      <c r="A224" t="s">
        <v>224</v>
      </c>
      <c r="B224">
        <v>5.7024475295786095E-2</v>
      </c>
      <c r="C224">
        <v>8.5370598916749779E-2</v>
      </c>
      <c r="D224">
        <v>1.9618204040778926E-2</v>
      </c>
    </row>
    <row r="225" spans="1:4" x14ac:dyDescent="0.2">
      <c r="A225" t="s">
        <v>225</v>
      </c>
      <c r="B225">
        <v>0.37302112926651415</v>
      </c>
      <c r="C225">
        <v>0.27869581842843894</v>
      </c>
      <c r="D225">
        <v>2.6314154078977268E-2</v>
      </c>
    </row>
    <row r="226" spans="1:4" x14ac:dyDescent="0.2">
      <c r="A226" t="s">
        <v>226</v>
      </c>
      <c r="B226">
        <v>9.4469572641168759E-2</v>
      </c>
      <c r="C226">
        <v>5.0247919783280352E-2</v>
      </c>
      <c r="D226">
        <v>7.4207725039973291E-3</v>
      </c>
    </row>
    <row r="227" spans="1:4" x14ac:dyDescent="0.2">
      <c r="A227" t="s">
        <v>227</v>
      </c>
      <c r="B227">
        <v>0.12405433756464813</v>
      </c>
      <c r="C227">
        <v>0.14187312002343133</v>
      </c>
      <c r="D227">
        <v>3.3009496554337554E-2</v>
      </c>
    </row>
    <row r="228" spans="1:4" x14ac:dyDescent="0.2">
      <c r="A228" t="s">
        <v>228</v>
      </c>
      <c r="B228">
        <v>0.1474525576264884</v>
      </c>
      <c r="C228">
        <v>0.20834136837829481</v>
      </c>
      <c r="D228">
        <v>4.867611189641019E-2</v>
      </c>
    </row>
    <row r="229" spans="1:4" x14ac:dyDescent="0.2">
      <c r="A229" t="s">
        <v>229</v>
      </c>
      <c r="B229">
        <v>0.15794513433230176</v>
      </c>
      <c r="C229">
        <v>0.15395402773450753</v>
      </c>
      <c r="D229">
        <v>1.4701805555242132E-2</v>
      </c>
    </row>
    <row r="230" spans="1:4" x14ac:dyDescent="0.2">
      <c r="A230" t="s">
        <v>230</v>
      </c>
      <c r="B230">
        <v>0.46794744143921124</v>
      </c>
      <c r="C230">
        <v>0.2157314292898688</v>
      </c>
      <c r="D230">
        <v>2.2790289618261326E-2</v>
      </c>
    </row>
    <row r="231" spans="1:4" x14ac:dyDescent="0.2">
      <c r="A231" t="s">
        <v>231</v>
      </c>
      <c r="B231">
        <v>0.39543224566493418</v>
      </c>
      <c r="C231">
        <v>0.11035921090554981</v>
      </c>
      <c r="D231">
        <v>1.3778310041399332E-2</v>
      </c>
    </row>
    <row r="232" spans="1:4" x14ac:dyDescent="0.2">
      <c r="A232" t="s">
        <v>232</v>
      </c>
      <c r="B232">
        <v>8.0297641275134612E-2</v>
      </c>
      <c r="C232">
        <v>9.8902071012509474E-2</v>
      </c>
      <c r="D232">
        <v>1.9017931956781104E-2</v>
      </c>
    </row>
    <row r="233" spans="1:4" x14ac:dyDescent="0.2">
      <c r="A233" t="s">
        <v>233</v>
      </c>
      <c r="B233">
        <v>5.4023222565341041E-2</v>
      </c>
      <c r="C233">
        <v>7.2506991254192021E-2</v>
      </c>
      <c r="D233">
        <v>3.1951729653284717E-3</v>
      </c>
    </row>
    <row r="234" spans="1:4" x14ac:dyDescent="0.2">
      <c r="A234" t="s">
        <v>234</v>
      </c>
      <c r="B234">
        <v>0.35805281767536479</v>
      </c>
      <c r="C234">
        <v>0.10306990895460755</v>
      </c>
      <c r="D234">
        <v>7.9347706649914133E-3</v>
      </c>
    </row>
    <row r="235" spans="1:4" x14ac:dyDescent="0.2">
      <c r="A235" t="s">
        <v>235</v>
      </c>
      <c r="B235">
        <v>0.15839733434999284</v>
      </c>
      <c r="C235">
        <v>0.15126335730347729</v>
      </c>
      <c r="D235">
        <v>2.6514042252697188E-2</v>
      </c>
    </row>
    <row r="236" spans="1:4" x14ac:dyDescent="0.2">
      <c r="A236" t="s">
        <v>236</v>
      </c>
      <c r="B236">
        <v>9.028315266771357E-2</v>
      </c>
      <c r="C236">
        <v>7.5890671339412019E-2</v>
      </c>
      <c r="D236">
        <v>1.2153687012441671E-2</v>
      </c>
    </row>
    <row r="237" spans="1:4" x14ac:dyDescent="0.2">
      <c r="A237" t="s">
        <v>237</v>
      </c>
      <c r="B237">
        <v>8.6954238610563353E-2</v>
      </c>
      <c r="C237">
        <v>0.12802739179589001</v>
      </c>
      <c r="D237">
        <v>2.8094313194476875E-2</v>
      </c>
    </row>
    <row r="238" spans="1:4" x14ac:dyDescent="0.2">
      <c r="A238" t="s">
        <v>238</v>
      </c>
      <c r="B238">
        <v>0.22360287825858652</v>
      </c>
      <c r="C238">
        <v>0.14936097728974951</v>
      </c>
      <c r="D238">
        <v>2.3269656697486304E-2</v>
      </c>
    </row>
    <row r="239" spans="1:4" x14ac:dyDescent="0.2">
      <c r="A239" t="s">
        <v>239</v>
      </c>
      <c r="B239">
        <v>9.5146898093648305E-2</v>
      </c>
      <c r="C239">
        <v>0.14776885042362253</v>
      </c>
      <c r="D239">
        <v>3.2484562262258487E-2</v>
      </c>
    </row>
    <row r="240" spans="1:4" x14ac:dyDescent="0.2">
      <c r="A240" t="s">
        <v>240</v>
      </c>
      <c r="B240">
        <v>0.15804927441832167</v>
      </c>
      <c r="C240">
        <v>9.8585042618576813E-2</v>
      </c>
      <c r="D240">
        <v>1.2524907906492954E-2</v>
      </c>
    </row>
    <row r="241" spans="1:4" x14ac:dyDescent="0.2">
      <c r="A241" t="s">
        <v>241</v>
      </c>
      <c r="B241">
        <v>0.21077809104362558</v>
      </c>
      <c r="C241">
        <v>0.171427169210081</v>
      </c>
      <c r="D241">
        <v>3.5365625240312802E-2</v>
      </c>
    </row>
    <row r="242" spans="1:4" x14ac:dyDescent="0.2">
      <c r="A242" t="s">
        <v>242</v>
      </c>
      <c r="B242">
        <v>0.39728239235216889</v>
      </c>
      <c r="C242">
        <v>0.13731830591111316</v>
      </c>
      <c r="D242">
        <v>2.676861108184201E-2</v>
      </c>
    </row>
    <row r="243" spans="1:4" x14ac:dyDescent="0.2">
      <c r="A243" t="s">
        <v>243</v>
      </c>
      <c r="B243">
        <v>0.33223034138549384</v>
      </c>
      <c r="C243">
        <v>0.24101195227671318</v>
      </c>
      <c r="D243">
        <v>4.6801780541012146E-2</v>
      </c>
    </row>
    <row r="244" spans="1:4" x14ac:dyDescent="0.2">
      <c r="A244" t="s">
        <v>244</v>
      </c>
      <c r="B244">
        <v>1.6159499572625451</v>
      </c>
      <c r="C244">
        <v>1.6837063808475587</v>
      </c>
      <c r="D244">
        <v>0.39164594154099808</v>
      </c>
    </row>
    <row r="245" spans="1:4" x14ac:dyDescent="0.2">
      <c r="A245" t="s">
        <v>245</v>
      </c>
      <c r="B245">
        <v>1.9516379596077882E-2</v>
      </c>
      <c r="C245">
        <v>2.2920241467397871E-2</v>
      </c>
      <c r="D245">
        <v>1.0049089341420978E-3</v>
      </c>
    </row>
    <row r="246" spans="1:4" x14ac:dyDescent="0.2">
      <c r="A246" t="s">
        <v>246</v>
      </c>
      <c r="B246">
        <v>0.15202212017259339</v>
      </c>
      <c r="C246">
        <v>7.9790495722440097E-2</v>
      </c>
      <c r="D246">
        <v>1.3713908380565557E-2</v>
      </c>
    </row>
    <row r="247" spans="1:4" x14ac:dyDescent="0.2">
      <c r="A247" t="s">
        <v>247</v>
      </c>
      <c r="B247">
        <v>0.398657334110188</v>
      </c>
      <c r="C247">
        <v>0.15223924611306333</v>
      </c>
      <c r="D247">
        <v>2.8283872799949868E-2</v>
      </c>
    </row>
    <row r="248" spans="1:4" x14ac:dyDescent="0.2">
      <c r="A248" t="s">
        <v>248</v>
      </c>
      <c r="B248">
        <v>3.6142904464474643E-2</v>
      </c>
      <c r="C248">
        <v>6.8900424273411379E-2</v>
      </c>
      <c r="D248">
        <v>5.9984679001118093E-3</v>
      </c>
    </row>
    <row r="249" spans="1:4" x14ac:dyDescent="0.2">
      <c r="A249" t="s">
        <v>249</v>
      </c>
      <c r="B249">
        <v>0.14426049812289476</v>
      </c>
      <c r="C249">
        <v>0.20332309667223383</v>
      </c>
      <c r="D249">
        <v>4.7389293805410813E-2</v>
      </c>
    </row>
    <row r="250" spans="1:4" x14ac:dyDescent="0.2">
      <c r="A250" t="s">
        <v>250</v>
      </c>
      <c r="B250">
        <v>0.11706907452775928</v>
      </c>
      <c r="C250">
        <v>5.9066152562261762E-3</v>
      </c>
      <c r="D250">
        <v>5.6867881641898643E-4</v>
      </c>
    </row>
    <row r="251" spans="1:4" x14ac:dyDescent="0.2">
      <c r="A251" t="s">
        <v>251</v>
      </c>
      <c r="B251">
        <v>0.67023350736353371</v>
      </c>
      <c r="C251">
        <v>0.16480221472949413</v>
      </c>
      <c r="D251">
        <v>2.0522865106642033E-2</v>
      </c>
    </row>
    <row r="252" spans="1:4" x14ac:dyDescent="0.2">
      <c r="A252" t="s">
        <v>252</v>
      </c>
      <c r="B252">
        <v>4.1474816613942388E-2</v>
      </c>
      <c r="C252">
        <v>3.3821998622201782E-2</v>
      </c>
      <c r="D252">
        <v>6.3891308049808344E-3</v>
      </c>
    </row>
    <row r="253" spans="1:4" x14ac:dyDescent="0.2">
      <c r="A253" t="s">
        <v>253</v>
      </c>
      <c r="B253">
        <v>0.15610260368519924</v>
      </c>
      <c r="C253">
        <v>9.5095364530398602E-2</v>
      </c>
      <c r="D253">
        <v>1.7613854238037217E-2</v>
      </c>
    </row>
    <row r="254" spans="1:4" x14ac:dyDescent="0.2">
      <c r="A254" t="s">
        <v>254</v>
      </c>
      <c r="B254">
        <v>0.2147205182060149</v>
      </c>
      <c r="C254">
        <v>0.26813790428630357</v>
      </c>
      <c r="D254">
        <v>5.6297380136965496E-2</v>
      </c>
    </row>
    <row r="255" spans="1:4" x14ac:dyDescent="0.2">
      <c r="A255" t="s">
        <v>255</v>
      </c>
      <c r="B255">
        <v>4.8059759430698006E-2</v>
      </c>
      <c r="C255">
        <v>6.4746269571155493E-2</v>
      </c>
      <c r="D255">
        <v>1.5204867585151235E-2</v>
      </c>
    </row>
    <row r="256" spans="1:4" x14ac:dyDescent="0.2">
      <c r="A256" t="s">
        <v>256</v>
      </c>
      <c r="B256">
        <v>0.68074704216281778</v>
      </c>
      <c r="C256">
        <v>0.22828177189592155</v>
      </c>
      <c r="D256">
        <v>1.4208464530741899E-2</v>
      </c>
    </row>
    <row r="257" spans="1:4" x14ac:dyDescent="0.2">
      <c r="A257" t="s">
        <v>257</v>
      </c>
      <c r="B257">
        <v>0.36794087093861211</v>
      </c>
      <c r="C257">
        <v>0.1920537376344128</v>
      </c>
      <c r="D257">
        <v>3.3985850035091095E-2</v>
      </c>
    </row>
    <row r="258" spans="1:4" x14ac:dyDescent="0.2">
      <c r="A258" t="s">
        <v>258</v>
      </c>
      <c r="B258">
        <v>0.10287153094977394</v>
      </c>
      <c r="C258">
        <v>0.13242882053606464</v>
      </c>
      <c r="D258">
        <v>2.8065757741088312E-2</v>
      </c>
    </row>
    <row r="259" spans="1:4" x14ac:dyDescent="0.2">
      <c r="A259" t="s">
        <v>259</v>
      </c>
      <c r="B259">
        <v>0.23966064850977764</v>
      </c>
      <c r="C259">
        <v>0.26175994322305507</v>
      </c>
      <c r="D259">
        <v>1.1739329156888523E-2</v>
      </c>
    </row>
    <row r="260" spans="1:4" x14ac:dyDescent="0.2">
      <c r="A260" t="s">
        <v>260</v>
      </c>
      <c r="B260">
        <v>5.5410537515019564E-2</v>
      </c>
      <c r="C260">
        <v>7.9455235972613336E-2</v>
      </c>
      <c r="D260">
        <v>1.0270242214472806E-2</v>
      </c>
    </row>
    <row r="261" spans="1:4" x14ac:dyDescent="0.2">
      <c r="A261" t="s">
        <v>261</v>
      </c>
      <c r="B261">
        <v>0.20668982630742594</v>
      </c>
      <c r="C261">
        <v>0.15903103001716057</v>
      </c>
      <c r="D261">
        <v>1.9313815058913632E-2</v>
      </c>
    </row>
    <row r="262" spans="1:4" x14ac:dyDescent="0.2">
      <c r="A262" t="s">
        <v>262</v>
      </c>
      <c r="B262">
        <v>0.27261177692661509</v>
      </c>
      <c r="C262">
        <v>0.12466831034862132</v>
      </c>
      <c r="D262">
        <v>1.0330390935440199E-2</v>
      </c>
    </row>
    <row r="263" spans="1:4" x14ac:dyDescent="0.2">
      <c r="A263" t="s">
        <v>263</v>
      </c>
      <c r="B263">
        <v>6.6069109418151806E-2</v>
      </c>
      <c r="C263">
        <v>5.9785565136310309E-2</v>
      </c>
      <c r="D263">
        <v>1.3187758962810384E-2</v>
      </c>
    </row>
    <row r="264" spans="1:4" x14ac:dyDescent="0.2">
      <c r="A264" t="s">
        <v>264</v>
      </c>
      <c r="B264">
        <v>0.54188152299766867</v>
      </c>
      <c r="C264">
        <v>0.12846893396012077</v>
      </c>
      <c r="D264">
        <v>1.5221879344616759E-2</v>
      </c>
    </row>
    <row r="265" spans="1:4" x14ac:dyDescent="0.2">
      <c r="A265" t="s">
        <v>265</v>
      </c>
      <c r="B265">
        <v>1.2799193754662679</v>
      </c>
      <c r="C265">
        <v>0.21128604226443232</v>
      </c>
      <c r="D265">
        <v>2.6696311104113531E-2</v>
      </c>
    </row>
    <row r="266" spans="1:4" x14ac:dyDescent="0.2">
      <c r="A266" t="s">
        <v>266</v>
      </c>
      <c r="B266">
        <v>6.5900395814489685E-2</v>
      </c>
      <c r="C266">
        <v>7.369620992579147E-2</v>
      </c>
      <c r="D266">
        <v>1.5165376000677694E-2</v>
      </c>
    </row>
    <row r="267" spans="1:4" x14ac:dyDescent="0.2">
      <c r="A267" t="s">
        <v>267</v>
      </c>
      <c r="B267">
        <v>0.3553401156128852</v>
      </c>
      <c r="C267">
        <v>0.19226540883832136</v>
      </c>
      <c r="D267">
        <v>3.9088162749072557E-2</v>
      </c>
    </row>
    <row r="268" spans="1:4" x14ac:dyDescent="0.2">
      <c r="A268" t="s">
        <v>268</v>
      </c>
      <c r="B268">
        <v>1.7712509713693525</v>
      </c>
      <c r="C268">
        <v>0.4476696168557639</v>
      </c>
      <c r="D268">
        <v>5.4504462201866749E-2</v>
      </c>
    </row>
    <row r="269" spans="1:4" x14ac:dyDescent="0.2">
      <c r="A269" t="s">
        <v>269</v>
      </c>
      <c r="B269">
        <v>0.7193365112801644</v>
      </c>
      <c r="C269">
        <v>0.26624498914620548</v>
      </c>
      <c r="D269">
        <v>3.3166247766555607E-2</v>
      </c>
    </row>
    <row r="270" spans="1:4" x14ac:dyDescent="0.2">
      <c r="A270" t="s">
        <v>270</v>
      </c>
      <c r="B270">
        <v>0.19397981026432343</v>
      </c>
      <c r="C270">
        <v>2.3914376437765249E-2</v>
      </c>
      <c r="D270">
        <v>2.9709822780863713E-3</v>
      </c>
    </row>
    <row r="271" spans="1:4" x14ac:dyDescent="0.2">
      <c r="A271" t="s">
        <v>271</v>
      </c>
      <c r="B271">
        <v>1.4458627894541727</v>
      </c>
      <c r="C271">
        <v>7.0931542605506714E-2</v>
      </c>
      <c r="D271">
        <v>8.2306537671239417E-3</v>
      </c>
    </row>
    <row r="272" spans="1:4" x14ac:dyDescent="0.2">
      <c r="A272" t="s">
        <v>272</v>
      </c>
      <c r="B272">
        <v>0.1319156705639285</v>
      </c>
      <c r="C272">
        <v>9.6413924833441203E-2</v>
      </c>
      <c r="D272">
        <v>2.2516886341136813E-2</v>
      </c>
    </row>
    <row r="273" spans="1:4" x14ac:dyDescent="0.2">
      <c r="A273" t="s">
        <v>273</v>
      </c>
      <c r="B273">
        <v>0.51207980167757694</v>
      </c>
      <c r="C273">
        <v>0.13415435932523595</v>
      </c>
      <c r="D273">
        <v>1.5662969965044307E-2</v>
      </c>
    </row>
    <row r="274" spans="1:4" x14ac:dyDescent="0.2">
      <c r="A274" t="s">
        <v>274</v>
      </c>
      <c r="B274">
        <v>0.10925886677752064</v>
      </c>
      <c r="C274">
        <v>0.11692893425214192</v>
      </c>
      <c r="D274">
        <v>2.5504272815850656E-2</v>
      </c>
    </row>
    <row r="275" spans="1:4" x14ac:dyDescent="0.2">
      <c r="A275" t="s">
        <v>275</v>
      </c>
      <c r="B275">
        <v>0.45585169963706046</v>
      </c>
      <c r="C275">
        <v>0.59096137591664755</v>
      </c>
      <c r="D275">
        <v>0.13199849463287669</v>
      </c>
    </row>
    <row r="276" spans="1:4" x14ac:dyDescent="0.2">
      <c r="A276" t="s">
        <v>276</v>
      </c>
      <c r="B276">
        <v>0.35834414732961173</v>
      </c>
      <c r="C276">
        <v>0.1625468566497035</v>
      </c>
      <c r="D276">
        <v>1.2926506942446962E-2</v>
      </c>
    </row>
    <row r="277" spans="1:4" x14ac:dyDescent="0.2">
      <c r="A277" t="s">
        <v>277</v>
      </c>
      <c r="B277">
        <v>0.26490519113346783</v>
      </c>
      <c r="C277">
        <v>0.14745293215595279</v>
      </c>
      <c r="D277">
        <v>2.0530763423536741E-2</v>
      </c>
    </row>
    <row r="278" spans="1:4" x14ac:dyDescent="0.2">
      <c r="A278" t="s">
        <v>278</v>
      </c>
      <c r="B278">
        <v>0.29561349108211343</v>
      </c>
      <c r="C278">
        <v>0.13677911082478017</v>
      </c>
      <c r="D278">
        <v>2.0473652516759623E-2</v>
      </c>
    </row>
    <row r="279" spans="1:4" x14ac:dyDescent="0.2">
      <c r="A279" t="s">
        <v>279</v>
      </c>
      <c r="B279">
        <v>0.46183971515481059</v>
      </c>
      <c r="C279">
        <v>0.1463398346633665</v>
      </c>
      <c r="D279">
        <v>1.9308346993371143E-2</v>
      </c>
    </row>
    <row r="280" spans="1:4" x14ac:dyDescent="0.2">
      <c r="A280" t="s">
        <v>280</v>
      </c>
      <c r="B280">
        <v>8.2642618067208365E-2</v>
      </c>
      <c r="C280">
        <v>3.7893643165291674E-2</v>
      </c>
      <c r="D280">
        <v>8.2191100732009071E-3</v>
      </c>
    </row>
    <row r="281" spans="1:4" x14ac:dyDescent="0.2">
      <c r="A281" t="s">
        <v>281</v>
      </c>
      <c r="B281">
        <v>6.7268062835534964E-2</v>
      </c>
      <c r="C281">
        <v>7.940136309394813E-2</v>
      </c>
      <c r="D281">
        <v>1.7876928946914804E-2</v>
      </c>
    </row>
    <row r="282" spans="1:4" x14ac:dyDescent="0.2">
      <c r="A282" t="s">
        <v>282</v>
      </c>
      <c r="B282">
        <v>7.5763153964070268E-2</v>
      </c>
      <c r="C282">
        <v>0.10231805470182485</v>
      </c>
      <c r="D282">
        <v>1.2614827206525016E-2</v>
      </c>
    </row>
    <row r="283" spans="1:4" x14ac:dyDescent="0.2">
      <c r="A283" t="s">
        <v>283</v>
      </c>
      <c r="B283">
        <v>0.63118380337024715</v>
      </c>
      <c r="C283">
        <v>0.90189762628264158</v>
      </c>
      <c r="D283">
        <v>0.21438826841292957</v>
      </c>
    </row>
    <row r="284" spans="1:4" x14ac:dyDescent="0.2">
      <c r="A284" t="s">
        <v>284</v>
      </c>
      <c r="B284">
        <v>0.23900229466356299</v>
      </c>
      <c r="C284">
        <v>0.21777593131487344</v>
      </c>
      <c r="D284">
        <v>3.0083473926267215E-2</v>
      </c>
    </row>
    <row r="285" spans="1:4" x14ac:dyDescent="0.2">
      <c r="A285" t="s">
        <v>285</v>
      </c>
      <c r="B285">
        <v>4.0095530040718766E-2</v>
      </c>
      <c r="C285">
        <v>3.6263485790160359E-2</v>
      </c>
      <c r="D285">
        <v>6.1315241616457386E-3</v>
      </c>
    </row>
    <row r="286" spans="1:4" x14ac:dyDescent="0.2">
      <c r="A286" t="s">
        <v>286</v>
      </c>
      <c r="B286">
        <v>7.1673739355834529E-2</v>
      </c>
      <c r="C286">
        <v>5.8214596920746285E-2</v>
      </c>
      <c r="D286">
        <v>1.0006559942757166E-2</v>
      </c>
    </row>
    <row r="287" spans="1:4" x14ac:dyDescent="0.2">
      <c r="A287" t="s">
        <v>287</v>
      </c>
      <c r="B287">
        <v>0.14483505840014935</v>
      </c>
      <c r="C287">
        <v>0.10172703696727066</v>
      </c>
      <c r="D287">
        <v>1.8779767324263751E-2</v>
      </c>
    </row>
    <row r="288" spans="1:4" x14ac:dyDescent="0.2">
      <c r="A288" t="s">
        <v>288</v>
      </c>
      <c r="B288">
        <v>0.13704252634107339</v>
      </c>
      <c r="C288">
        <v>0.10868918065275611</v>
      </c>
      <c r="D288">
        <v>1.6702509980955509E-2</v>
      </c>
    </row>
    <row r="289" spans="1:4" x14ac:dyDescent="0.2">
      <c r="A289" t="s">
        <v>289</v>
      </c>
      <c r="B289">
        <v>0.11361796394427727</v>
      </c>
      <c r="C289">
        <v>0.16595123044756813</v>
      </c>
      <c r="D289">
        <v>3.9849438985154806E-2</v>
      </c>
    </row>
    <row r="290" spans="1:4" x14ac:dyDescent="0.2">
      <c r="A290" t="s">
        <v>290</v>
      </c>
      <c r="B290">
        <v>2.6398472450789412</v>
      </c>
      <c r="C290">
        <v>0.13538228372135844</v>
      </c>
      <c r="D290">
        <v>1.326613456891941E-2</v>
      </c>
    </row>
    <row r="291" spans="1:4" x14ac:dyDescent="0.2">
      <c r="A291" t="s">
        <v>291</v>
      </c>
      <c r="B291">
        <v>0.10034470692978842</v>
      </c>
      <c r="C291">
        <v>0.12605690717022613</v>
      </c>
      <c r="D291">
        <v>2.7545076388875631E-2</v>
      </c>
    </row>
    <row r="292" spans="1:4" x14ac:dyDescent="0.2">
      <c r="A292" t="s">
        <v>292</v>
      </c>
      <c r="B292">
        <v>0.16293767700226836</v>
      </c>
      <c r="C292">
        <v>0.1889495263898226</v>
      </c>
      <c r="D292">
        <v>4.1525704855347095E-2</v>
      </c>
    </row>
    <row r="293" spans="1:4" x14ac:dyDescent="0.2">
      <c r="A293" t="s">
        <v>293</v>
      </c>
      <c r="B293">
        <v>0.27980274846486508</v>
      </c>
      <c r="C293">
        <v>0.31236040040200808</v>
      </c>
      <c r="D293">
        <v>6.1730207034848592E-2</v>
      </c>
    </row>
    <row r="294" spans="1:4" x14ac:dyDescent="0.2">
      <c r="A294" t="s">
        <v>294</v>
      </c>
      <c r="B294">
        <v>0.59295908949398324</v>
      </c>
      <c r="C294">
        <v>0.42971293596845772</v>
      </c>
      <c r="D294">
        <v>2.6323267521548083E-2</v>
      </c>
    </row>
    <row r="295" spans="1:4" x14ac:dyDescent="0.2">
      <c r="A295" t="s">
        <v>295</v>
      </c>
      <c r="B295">
        <v>0.34865784589199939</v>
      </c>
      <c r="C295">
        <v>0.19055728762352656</v>
      </c>
      <c r="D295">
        <v>3.3848540833690779E-2</v>
      </c>
    </row>
    <row r="296" spans="1:4" x14ac:dyDescent="0.2">
      <c r="A296" t="s">
        <v>296</v>
      </c>
      <c r="B296">
        <v>0.1368451737184295</v>
      </c>
      <c r="C296">
        <v>0.18926485381185609</v>
      </c>
      <c r="D296">
        <v>4.3989979726496042E-2</v>
      </c>
    </row>
    <row r="297" spans="1:4" x14ac:dyDescent="0.2">
      <c r="A297" t="s">
        <v>297</v>
      </c>
      <c r="B297">
        <v>2.3221151128819988E-2</v>
      </c>
      <c r="C297">
        <v>6.8474270500505545E-3</v>
      </c>
      <c r="D297">
        <v>6.9140650970598997E-4</v>
      </c>
    </row>
    <row r="298" spans="1:4" x14ac:dyDescent="0.2">
      <c r="A298" t="s">
        <v>298</v>
      </c>
      <c r="B298">
        <v>1.308352310662287</v>
      </c>
      <c r="C298">
        <v>0.12208288021803339</v>
      </c>
      <c r="D298">
        <v>2.6958170687315007E-2</v>
      </c>
    </row>
    <row r="299" spans="1:4" x14ac:dyDescent="0.2">
      <c r="A299" t="s">
        <v>299</v>
      </c>
      <c r="B299">
        <v>6.108554202380978E-2</v>
      </c>
      <c r="C299">
        <v>4.466804728581298E-2</v>
      </c>
      <c r="D299">
        <v>7.565372459454294E-3</v>
      </c>
    </row>
    <row r="300" spans="1:4" x14ac:dyDescent="0.2">
      <c r="A300" t="s">
        <v>300</v>
      </c>
      <c r="B300">
        <v>0.26165165371815247</v>
      </c>
      <c r="C300">
        <v>0.14250526411789038</v>
      </c>
      <c r="D300">
        <v>1.9873987995599855E-2</v>
      </c>
    </row>
    <row r="301" spans="1:4" x14ac:dyDescent="0.2">
      <c r="A301" t="s">
        <v>301</v>
      </c>
      <c r="B301">
        <v>5.0511361948850794E-2</v>
      </c>
      <c r="C301">
        <v>6.885311482849675E-2</v>
      </c>
      <c r="D301">
        <v>1.5480093550789909E-2</v>
      </c>
    </row>
    <row r="302" spans="1:4" x14ac:dyDescent="0.2">
      <c r="A302" t="s">
        <v>302</v>
      </c>
      <c r="B302">
        <v>0.26126547028846631</v>
      </c>
      <c r="C302">
        <v>0.114665241295696</v>
      </c>
      <c r="D302">
        <v>1.483486181677606E-2</v>
      </c>
    </row>
    <row r="303" spans="1:4" x14ac:dyDescent="0.2">
      <c r="A303" t="s">
        <v>303</v>
      </c>
      <c r="B303">
        <v>7.6728479936715749E-2</v>
      </c>
      <c r="C303">
        <v>7.8149799780437734E-2</v>
      </c>
      <c r="D303">
        <v>1.6037228673285862E-2</v>
      </c>
    </row>
    <row r="304" spans="1:4" x14ac:dyDescent="0.2">
      <c r="A304" t="s">
        <v>304</v>
      </c>
      <c r="B304">
        <v>0.72965989403330844</v>
      </c>
      <c r="C304">
        <v>0.29772111434947973</v>
      </c>
      <c r="D304">
        <v>2.7971585501189871E-2</v>
      </c>
    </row>
    <row r="305" spans="1:4" x14ac:dyDescent="0.2">
      <c r="A305" t="s">
        <v>305</v>
      </c>
      <c r="B305">
        <v>5.1594358030911135E-2</v>
      </c>
      <c r="C305">
        <v>5.3053437668426358E-2</v>
      </c>
      <c r="D305">
        <v>1.047863626792549E-2</v>
      </c>
    </row>
    <row r="306" spans="1:4" x14ac:dyDescent="0.2">
      <c r="A306" t="s">
        <v>306</v>
      </c>
      <c r="B306">
        <v>0.16409669268383781</v>
      </c>
      <c r="C306">
        <v>0.13502192727946682</v>
      </c>
      <c r="D306">
        <v>2.9308831307747762E-2</v>
      </c>
    </row>
    <row r="307" spans="1:4" x14ac:dyDescent="0.2">
      <c r="A307" t="s">
        <v>307</v>
      </c>
      <c r="B307">
        <v>8.0349604388142176E-2</v>
      </c>
      <c r="C307">
        <v>8.419382718770739E-2</v>
      </c>
      <c r="D307">
        <v>1.7203749322350449E-2</v>
      </c>
    </row>
    <row r="308" spans="1:4" x14ac:dyDescent="0.2">
      <c r="A308" t="s">
        <v>308</v>
      </c>
      <c r="B308">
        <v>9.0706338125732658E-2</v>
      </c>
      <c r="C308">
        <v>0.10966257876227245</v>
      </c>
      <c r="D308">
        <v>2.3557641482724122E-2</v>
      </c>
    </row>
    <row r="309" spans="1:4" x14ac:dyDescent="0.2">
      <c r="A309" t="s">
        <v>309</v>
      </c>
      <c r="B309">
        <v>8.4603859035456266E-2</v>
      </c>
      <c r="C309">
        <v>8.2749088003514298E-2</v>
      </c>
      <c r="D309">
        <v>1.5924829548245784E-2</v>
      </c>
    </row>
    <row r="310" spans="1:4" x14ac:dyDescent="0.2">
      <c r="A310" t="s">
        <v>310</v>
      </c>
      <c r="B310">
        <v>0.14070624708746934</v>
      </c>
      <c r="C310">
        <v>5.4282243901566399E-2</v>
      </c>
      <c r="D310">
        <v>1.0519950540913195E-2</v>
      </c>
    </row>
    <row r="311" spans="1:4" x14ac:dyDescent="0.2">
      <c r="A311" t="s">
        <v>311</v>
      </c>
      <c r="B311">
        <v>0.25418874005956016</v>
      </c>
      <c r="C311">
        <v>0.28910327649402395</v>
      </c>
      <c r="D311">
        <v>3.0282146974311027E-2</v>
      </c>
    </row>
    <row r="312" spans="1:4" x14ac:dyDescent="0.2">
      <c r="A312" t="s">
        <v>312</v>
      </c>
      <c r="B312">
        <v>0.4363579058044868</v>
      </c>
      <c r="C312">
        <v>0.1992021947813955</v>
      </c>
      <c r="D312">
        <v>3.0801613200847604E-2</v>
      </c>
    </row>
    <row r="313" spans="1:4" x14ac:dyDescent="0.2">
      <c r="A313" t="s">
        <v>313</v>
      </c>
      <c r="B313">
        <v>0.19435014538993514</v>
      </c>
      <c r="C313">
        <v>8.6251892693898297E-2</v>
      </c>
      <c r="D313">
        <v>1.1589868698727121E-2</v>
      </c>
    </row>
    <row r="314" spans="1:4" x14ac:dyDescent="0.2">
      <c r="A314" t="s">
        <v>314</v>
      </c>
      <c r="B314">
        <v>0.70880230932293564</v>
      </c>
      <c r="C314">
        <v>0.31760449813575764</v>
      </c>
      <c r="D314">
        <v>3.7348710343722599E-2</v>
      </c>
    </row>
    <row r="315" spans="1:4" x14ac:dyDescent="0.2">
      <c r="A315" t="s">
        <v>315</v>
      </c>
      <c r="B315">
        <v>0.45935418372335424</v>
      </c>
      <c r="C315">
        <v>0.16510690150818261</v>
      </c>
      <c r="D315">
        <v>1.1755125790677938E-2</v>
      </c>
    </row>
    <row r="316" spans="1:4" x14ac:dyDescent="0.2">
      <c r="A316" t="s">
        <v>316</v>
      </c>
      <c r="B316">
        <v>2.8562120498488681E-2</v>
      </c>
      <c r="C316">
        <v>3.8970670531176872E-2</v>
      </c>
      <c r="D316">
        <v>9.0794190518860389E-3</v>
      </c>
    </row>
    <row r="317" spans="1:4" x14ac:dyDescent="0.2">
      <c r="A317" t="s">
        <v>317</v>
      </c>
      <c r="B317">
        <v>0.43998661172687392</v>
      </c>
      <c r="C317">
        <v>0.21209255852933659</v>
      </c>
      <c r="D317">
        <v>1.5309975956134656E-2</v>
      </c>
    </row>
    <row r="318" spans="1:4" x14ac:dyDescent="0.2">
      <c r="A318" t="s">
        <v>318</v>
      </c>
      <c r="B318">
        <v>0.22386776344115294</v>
      </c>
      <c r="C318">
        <v>0.27893007096844596</v>
      </c>
      <c r="D318">
        <v>6.5983146901229903E-2</v>
      </c>
    </row>
    <row r="319" spans="1:4" x14ac:dyDescent="0.2">
      <c r="A319" t="s">
        <v>319</v>
      </c>
      <c r="B319">
        <v>0.64477989743971154</v>
      </c>
      <c r="C319">
        <v>0.16617119042772244</v>
      </c>
      <c r="D319">
        <v>1.5699423735327574E-2</v>
      </c>
    </row>
    <row r="320" spans="1:4" x14ac:dyDescent="0.2">
      <c r="A320" t="s">
        <v>320</v>
      </c>
      <c r="B320">
        <v>0.23443053797378144</v>
      </c>
      <c r="C320">
        <v>0.12585648944715883</v>
      </c>
      <c r="D320">
        <v>1.4794762669464464E-2</v>
      </c>
    </row>
    <row r="321" spans="1:4" x14ac:dyDescent="0.2">
      <c r="A321" t="s">
        <v>321</v>
      </c>
      <c r="B321">
        <v>0.19068211375312696</v>
      </c>
      <c r="C321">
        <v>0.12884968798338695</v>
      </c>
      <c r="D321">
        <v>2.4880305781168711E-2</v>
      </c>
    </row>
    <row r="322" spans="1:4" x14ac:dyDescent="0.2">
      <c r="A322" t="s">
        <v>322</v>
      </c>
      <c r="B322">
        <v>0.36744297359763167</v>
      </c>
      <c r="C322">
        <v>7.5978441000511529E-2</v>
      </c>
      <c r="D322">
        <v>1.4589406430202054E-2</v>
      </c>
    </row>
    <row r="323" spans="1:4" x14ac:dyDescent="0.2">
      <c r="A323" t="s">
        <v>323</v>
      </c>
      <c r="B323">
        <v>0.12545852141347566</v>
      </c>
      <c r="C323">
        <v>7.9812653376902215E-2</v>
      </c>
      <c r="D323">
        <v>1.443690815785038E-2</v>
      </c>
    </row>
    <row r="324" spans="1:4" x14ac:dyDescent="0.2">
      <c r="A324" t="s">
        <v>324</v>
      </c>
      <c r="B324">
        <v>0.25165378608274658</v>
      </c>
      <c r="C324">
        <v>0.13127805046336855</v>
      </c>
      <c r="D324">
        <v>1.7560388708288424E-2</v>
      </c>
    </row>
    <row r="325" spans="1:4" x14ac:dyDescent="0.2">
      <c r="A325" t="s">
        <v>325</v>
      </c>
      <c r="B325">
        <v>0.2107249236190129</v>
      </c>
      <c r="C325">
        <v>0.10511350074510421</v>
      </c>
      <c r="D325">
        <v>1.3284969016899101E-2</v>
      </c>
    </row>
    <row r="326" spans="1:4" x14ac:dyDescent="0.2">
      <c r="A326" t="s">
        <v>326</v>
      </c>
      <c r="B326">
        <v>0.27989883673863925</v>
      </c>
      <c r="C326">
        <v>0.1544470401835133</v>
      </c>
      <c r="D326">
        <v>3.1712957457929312E-2</v>
      </c>
    </row>
    <row r="327" spans="1:4" x14ac:dyDescent="0.2">
      <c r="A327" t="s">
        <v>327</v>
      </c>
      <c r="B327">
        <v>0.39107082458817793</v>
      </c>
      <c r="C327">
        <v>0.22327198098906934</v>
      </c>
      <c r="D327">
        <v>1.4648340025493338E-2</v>
      </c>
    </row>
    <row r="328" spans="1:4" x14ac:dyDescent="0.2">
      <c r="A328" t="s">
        <v>328</v>
      </c>
      <c r="B328">
        <v>0.1448336134494469</v>
      </c>
      <c r="C328">
        <v>4.8548529378463288E-2</v>
      </c>
      <c r="D328">
        <v>9.9208935825914855E-3</v>
      </c>
    </row>
    <row r="329" spans="1:4" x14ac:dyDescent="0.2">
      <c r="A329" t="s">
        <v>329</v>
      </c>
      <c r="B329">
        <v>9.2237971860069559E-2</v>
      </c>
      <c r="C329">
        <v>7.8550005349290186E-2</v>
      </c>
      <c r="D329">
        <v>7.9991723258251868E-3</v>
      </c>
    </row>
    <row r="330" spans="1:4" x14ac:dyDescent="0.2">
      <c r="A330" t="s">
        <v>330</v>
      </c>
      <c r="B330">
        <v>0.41440154810121577</v>
      </c>
      <c r="C330">
        <v>0.40291005875710656</v>
      </c>
      <c r="D330">
        <v>9.4709933010121469E-2</v>
      </c>
    </row>
    <row r="331" spans="1:4" x14ac:dyDescent="0.2">
      <c r="A331" t="s">
        <v>331</v>
      </c>
      <c r="B331">
        <v>0.1922717761494673</v>
      </c>
      <c r="C331">
        <v>0.10976380978110845</v>
      </c>
      <c r="D331">
        <v>1.7285770305487801E-2</v>
      </c>
    </row>
    <row r="332" spans="1:4" x14ac:dyDescent="0.2">
      <c r="A332" t="s">
        <v>332</v>
      </c>
      <c r="B332">
        <v>4.8425032322908797E-2</v>
      </c>
      <c r="C332">
        <v>4.5680433805227405E-2</v>
      </c>
      <c r="D332">
        <v>1.0335251438144634E-2</v>
      </c>
    </row>
    <row r="333" spans="1:4" x14ac:dyDescent="0.2">
      <c r="A333" t="s">
        <v>333</v>
      </c>
      <c r="B333">
        <v>0.95988297144060186</v>
      </c>
      <c r="C333">
        <v>0.21913421795011825</v>
      </c>
      <c r="D333">
        <v>1.3554119354157231E-2</v>
      </c>
    </row>
    <row r="334" spans="1:4" x14ac:dyDescent="0.2">
      <c r="A334" t="s">
        <v>334</v>
      </c>
      <c r="B334">
        <v>0.13034040206490957</v>
      </c>
      <c r="C334">
        <v>0.18526710394707041</v>
      </c>
      <c r="D334">
        <v>3.8843922488174656E-2</v>
      </c>
    </row>
    <row r="335" spans="1:4" x14ac:dyDescent="0.2">
      <c r="A335" t="s">
        <v>335</v>
      </c>
      <c r="B335">
        <v>0.23590442136792483</v>
      </c>
      <c r="C335">
        <v>0.13792457106197997</v>
      </c>
      <c r="D335">
        <v>2.6421692701312907E-2</v>
      </c>
    </row>
    <row r="336" spans="1:4" x14ac:dyDescent="0.2">
      <c r="A336" t="s">
        <v>336</v>
      </c>
      <c r="B336">
        <v>0.23916678173984077</v>
      </c>
      <c r="C336">
        <v>0.33546460945697021</v>
      </c>
      <c r="D336">
        <v>7.5911331237878035E-2</v>
      </c>
    </row>
    <row r="337" spans="1:4" x14ac:dyDescent="0.2">
      <c r="A337" t="s">
        <v>337</v>
      </c>
      <c r="B337">
        <v>5.8928538141208492E-2</v>
      </c>
      <c r="C337">
        <v>2.6889890990692271E-2</v>
      </c>
      <c r="D337">
        <v>5.1339059815602942E-3</v>
      </c>
    </row>
    <row r="338" spans="1:4" x14ac:dyDescent="0.2">
      <c r="A338" t="s">
        <v>338</v>
      </c>
      <c r="B338">
        <v>0.19940224476204699</v>
      </c>
      <c r="C338">
        <v>0.12412914043034312</v>
      </c>
      <c r="D338">
        <v>2.5980602080885363E-2</v>
      </c>
    </row>
    <row r="339" spans="1:4" x14ac:dyDescent="0.2">
      <c r="A339" t="s">
        <v>339</v>
      </c>
      <c r="B339">
        <v>0.23790986770761996</v>
      </c>
      <c r="C339">
        <v>0.1311710333033779</v>
      </c>
      <c r="D339">
        <v>1.3130648056033263E-2</v>
      </c>
    </row>
    <row r="340" spans="1:4" x14ac:dyDescent="0.2">
      <c r="A340" t="s">
        <v>340</v>
      </c>
      <c r="B340">
        <v>0.13272493655736162</v>
      </c>
      <c r="C340">
        <v>0.13912882808032292</v>
      </c>
      <c r="D340">
        <v>2.8925459156935392E-2</v>
      </c>
    </row>
    <row r="341" spans="1:4" x14ac:dyDescent="0.2">
      <c r="A341" t="s">
        <v>341</v>
      </c>
      <c r="B341">
        <v>0.25055994368922546</v>
      </c>
      <c r="C341">
        <v>7.9561889351609516E-2</v>
      </c>
      <c r="D341">
        <v>1.3671986544739799E-2</v>
      </c>
    </row>
    <row r="342" spans="1:4" x14ac:dyDescent="0.2">
      <c r="A342" t="s">
        <v>342</v>
      </c>
      <c r="B342">
        <v>8.8153871129224848E-2</v>
      </c>
      <c r="C342">
        <v>0.11901015746177902</v>
      </c>
      <c r="D342">
        <v>2.712099752791361E-2</v>
      </c>
    </row>
    <row r="343" spans="1:4" x14ac:dyDescent="0.2">
      <c r="A343" t="s">
        <v>343</v>
      </c>
      <c r="B343">
        <v>0.38396940566604115</v>
      </c>
      <c r="C343">
        <v>0.35732032926154211</v>
      </c>
      <c r="D343">
        <v>7.746243916343111E-2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7A59-CB9E-D048-B8F3-19EAB18FE1B9}">
  <dimension ref="A1:B343"/>
  <sheetViews>
    <sheetView workbookViewId="0">
      <selection activeCell="E8" sqref="E8"/>
    </sheetView>
  </sheetViews>
  <sheetFormatPr baseColWidth="10" defaultRowHeight="16" x14ac:dyDescent="0.2"/>
  <cols>
    <col min="1" max="1" width="18" bestFit="1" customWidth="1"/>
    <col min="2" max="2" width="32" bestFit="1" customWidth="1"/>
  </cols>
  <sheetData>
    <row r="1" spans="1:2" x14ac:dyDescent="0.2">
      <c r="A1" s="2" t="s">
        <v>346</v>
      </c>
      <c r="B1" s="2" t="s">
        <v>347</v>
      </c>
    </row>
    <row r="2" spans="1:2" x14ac:dyDescent="0.2">
      <c r="A2" s="3" t="s">
        <v>2</v>
      </c>
      <c r="B2" s="3" t="s">
        <v>348</v>
      </c>
    </row>
    <row r="3" spans="1:2" x14ac:dyDescent="0.2">
      <c r="A3" s="3" t="s">
        <v>3</v>
      </c>
      <c r="B3" s="3" t="s">
        <v>349</v>
      </c>
    </row>
    <row r="4" spans="1:2" x14ac:dyDescent="0.2">
      <c r="A4" s="3" t="s">
        <v>4</v>
      </c>
      <c r="B4" s="3" t="s">
        <v>350</v>
      </c>
    </row>
    <row r="5" spans="1:2" x14ac:dyDescent="0.2">
      <c r="A5" s="3" t="s">
        <v>5</v>
      </c>
      <c r="B5" s="3" t="s">
        <v>351</v>
      </c>
    </row>
    <row r="6" spans="1:2" x14ac:dyDescent="0.2">
      <c r="A6" s="3" t="s">
        <v>6</v>
      </c>
      <c r="B6" s="3" t="s">
        <v>352</v>
      </c>
    </row>
    <row r="7" spans="1:2" x14ac:dyDescent="0.2">
      <c r="A7" s="3" t="s">
        <v>7</v>
      </c>
      <c r="B7" s="3" t="s">
        <v>353</v>
      </c>
    </row>
    <row r="8" spans="1:2" x14ac:dyDescent="0.2">
      <c r="A8" s="3" t="s">
        <v>8</v>
      </c>
      <c r="B8" s="3" t="s">
        <v>354</v>
      </c>
    </row>
    <row r="9" spans="1:2" x14ac:dyDescent="0.2">
      <c r="A9" s="3" t="s">
        <v>9</v>
      </c>
      <c r="B9" s="3" t="s">
        <v>355</v>
      </c>
    </row>
    <row r="10" spans="1:2" x14ac:dyDescent="0.2">
      <c r="A10" s="3" t="s">
        <v>10</v>
      </c>
      <c r="B10" s="3" t="s">
        <v>356</v>
      </c>
    </row>
    <row r="11" spans="1:2" x14ac:dyDescent="0.2">
      <c r="A11" s="3" t="s">
        <v>11</v>
      </c>
      <c r="B11" s="3" t="s">
        <v>357</v>
      </c>
    </row>
    <row r="12" spans="1:2" x14ac:dyDescent="0.2">
      <c r="A12" s="3" t="s">
        <v>12</v>
      </c>
      <c r="B12" s="3" t="s">
        <v>358</v>
      </c>
    </row>
    <row r="13" spans="1:2" x14ac:dyDescent="0.2">
      <c r="A13" s="3" t="s">
        <v>13</v>
      </c>
      <c r="B13" s="3" t="s">
        <v>359</v>
      </c>
    </row>
    <row r="14" spans="1:2" x14ac:dyDescent="0.2">
      <c r="A14" s="3" t="s">
        <v>14</v>
      </c>
      <c r="B14" s="3" t="s">
        <v>360</v>
      </c>
    </row>
    <row r="15" spans="1:2" x14ac:dyDescent="0.2">
      <c r="A15" s="3" t="s">
        <v>15</v>
      </c>
      <c r="B15" s="3" t="s">
        <v>361</v>
      </c>
    </row>
    <row r="16" spans="1:2" x14ac:dyDescent="0.2">
      <c r="A16" s="3" t="s">
        <v>16</v>
      </c>
      <c r="B16" s="3" t="s">
        <v>362</v>
      </c>
    </row>
    <row r="17" spans="1:2" x14ac:dyDescent="0.2">
      <c r="A17" s="3" t="s">
        <v>17</v>
      </c>
      <c r="B17" s="3" t="s">
        <v>363</v>
      </c>
    </row>
    <row r="18" spans="1:2" x14ac:dyDescent="0.2">
      <c r="A18" s="3" t="s">
        <v>18</v>
      </c>
      <c r="B18" s="3" t="s">
        <v>364</v>
      </c>
    </row>
    <row r="19" spans="1:2" x14ac:dyDescent="0.2">
      <c r="A19" s="3" t="s">
        <v>19</v>
      </c>
      <c r="B19" s="3" t="s">
        <v>365</v>
      </c>
    </row>
    <row r="20" spans="1:2" x14ac:dyDescent="0.2">
      <c r="A20" s="3" t="s">
        <v>20</v>
      </c>
      <c r="B20" s="3" t="s">
        <v>366</v>
      </c>
    </row>
    <row r="21" spans="1:2" x14ac:dyDescent="0.2">
      <c r="A21" s="3" t="s">
        <v>21</v>
      </c>
      <c r="B21" s="3" t="s">
        <v>367</v>
      </c>
    </row>
    <row r="22" spans="1:2" x14ac:dyDescent="0.2">
      <c r="A22" s="3" t="s">
        <v>22</v>
      </c>
      <c r="B22" s="3" t="s">
        <v>368</v>
      </c>
    </row>
    <row r="23" spans="1:2" x14ac:dyDescent="0.2">
      <c r="A23" s="3" t="s">
        <v>23</v>
      </c>
      <c r="B23" s="3" t="s">
        <v>369</v>
      </c>
    </row>
    <row r="24" spans="1:2" x14ac:dyDescent="0.2">
      <c r="A24" s="3" t="s">
        <v>24</v>
      </c>
      <c r="B24" s="3" t="s">
        <v>370</v>
      </c>
    </row>
    <row r="25" spans="1:2" x14ac:dyDescent="0.2">
      <c r="A25" s="3" t="s">
        <v>25</v>
      </c>
      <c r="B25" s="3" t="s">
        <v>371</v>
      </c>
    </row>
    <row r="26" spans="1:2" x14ac:dyDescent="0.2">
      <c r="A26" s="3" t="s">
        <v>26</v>
      </c>
      <c r="B26" s="3" t="s">
        <v>372</v>
      </c>
    </row>
    <row r="27" spans="1:2" x14ac:dyDescent="0.2">
      <c r="A27" s="3" t="s">
        <v>27</v>
      </c>
      <c r="B27" s="3" t="s">
        <v>373</v>
      </c>
    </row>
    <row r="28" spans="1:2" x14ac:dyDescent="0.2">
      <c r="A28" s="3" t="s">
        <v>28</v>
      </c>
      <c r="B28" s="3" t="s">
        <v>374</v>
      </c>
    </row>
    <row r="29" spans="1:2" x14ac:dyDescent="0.2">
      <c r="A29" s="3" t="s">
        <v>29</v>
      </c>
      <c r="B29" s="3" t="s">
        <v>375</v>
      </c>
    </row>
    <row r="30" spans="1:2" x14ac:dyDescent="0.2">
      <c r="A30" s="3" t="s">
        <v>30</v>
      </c>
      <c r="B30" s="3" t="s">
        <v>376</v>
      </c>
    </row>
    <row r="31" spans="1:2" x14ac:dyDescent="0.2">
      <c r="A31" s="3" t="s">
        <v>31</v>
      </c>
      <c r="B31" s="3" t="s">
        <v>377</v>
      </c>
    </row>
    <row r="32" spans="1:2" x14ac:dyDescent="0.2">
      <c r="A32" s="3" t="s">
        <v>32</v>
      </c>
      <c r="B32" s="3" t="s">
        <v>378</v>
      </c>
    </row>
    <row r="33" spans="1:2" x14ac:dyDescent="0.2">
      <c r="A33" s="3" t="s">
        <v>33</v>
      </c>
      <c r="B33" s="3" t="s">
        <v>379</v>
      </c>
    </row>
    <row r="34" spans="1:2" x14ac:dyDescent="0.2">
      <c r="A34" s="3" t="s">
        <v>34</v>
      </c>
      <c r="B34" s="3" t="s">
        <v>380</v>
      </c>
    </row>
    <row r="35" spans="1:2" x14ac:dyDescent="0.2">
      <c r="A35" s="3" t="s">
        <v>35</v>
      </c>
      <c r="B35" s="3" t="s">
        <v>381</v>
      </c>
    </row>
    <row r="36" spans="1:2" x14ac:dyDescent="0.2">
      <c r="A36" s="3" t="s">
        <v>36</v>
      </c>
      <c r="B36" s="3" t="s">
        <v>382</v>
      </c>
    </row>
    <row r="37" spans="1:2" x14ac:dyDescent="0.2">
      <c r="A37" s="3" t="s">
        <v>37</v>
      </c>
      <c r="B37" s="3" t="s">
        <v>383</v>
      </c>
    </row>
    <row r="38" spans="1:2" x14ac:dyDescent="0.2">
      <c r="A38" s="3" t="s">
        <v>38</v>
      </c>
      <c r="B38" s="3" t="s">
        <v>384</v>
      </c>
    </row>
    <row r="39" spans="1:2" x14ac:dyDescent="0.2">
      <c r="A39" s="3" t="s">
        <v>39</v>
      </c>
      <c r="B39" s="3" t="s">
        <v>385</v>
      </c>
    </row>
    <row r="40" spans="1:2" x14ac:dyDescent="0.2">
      <c r="A40" s="3" t="s">
        <v>40</v>
      </c>
      <c r="B40" s="3" t="s">
        <v>386</v>
      </c>
    </row>
    <row r="41" spans="1:2" x14ac:dyDescent="0.2">
      <c r="A41" s="3" t="s">
        <v>41</v>
      </c>
      <c r="B41" s="3" t="s">
        <v>387</v>
      </c>
    </row>
    <row r="42" spans="1:2" x14ac:dyDescent="0.2">
      <c r="A42" s="3" t="s">
        <v>42</v>
      </c>
      <c r="B42" s="3" t="s">
        <v>388</v>
      </c>
    </row>
    <row r="43" spans="1:2" x14ac:dyDescent="0.2">
      <c r="A43" s="3" t="s">
        <v>43</v>
      </c>
      <c r="B43" s="3" t="s">
        <v>389</v>
      </c>
    </row>
    <row r="44" spans="1:2" x14ac:dyDescent="0.2">
      <c r="A44" s="3" t="s">
        <v>44</v>
      </c>
      <c r="B44" s="3" t="s">
        <v>390</v>
      </c>
    </row>
    <row r="45" spans="1:2" x14ac:dyDescent="0.2">
      <c r="A45" s="3" t="s">
        <v>45</v>
      </c>
      <c r="B45" s="3" t="s">
        <v>391</v>
      </c>
    </row>
    <row r="46" spans="1:2" x14ac:dyDescent="0.2">
      <c r="A46" s="3" t="s">
        <v>46</v>
      </c>
      <c r="B46" s="3" t="s">
        <v>392</v>
      </c>
    </row>
    <row r="47" spans="1:2" x14ac:dyDescent="0.2">
      <c r="A47" s="3" t="s">
        <v>47</v>
      </c>
      <c r="B47" s="3" t="s">
        <v>393</v>
      </c>
    </row>
    <row r="48" spans="1:2" x14ac:dyDescent="0.2">
      <c r="A48" s="3" t="s">
        <v>48</v>
      </c>
      <c r="B48" s="3" t="s">
        <v>394</v>
      </c>
    </row>
    <row r="49" spans="1:2" x14ac:dyDescent="0.2">
      <c r="A49" s="3" t="s">
        <v>49</v>
      </c>
      <c r="B49" s="3" t="s">
        <v>395</v>
      </c>
    </row>
    <row r="50" spans="1:2" x14ac:dyDescent="0.2">
      <c r="A50" s="3" t="s">
        <v>50</v>
      </c>
      <c r="B50" s="3" t="s">
        <v>396</v>
      </c>
    </row>
    <row r="51" spans="1:2" x14ac:dyDescent="0.2">
      <c r="A51" s="3" t="s">
        <v>51</v>
      </c>
      <c r="B51" s="3" t="s">
        <v>397</v>
      </c>
    </row>
    <row r="52" spans="1:2" x14ac:dyDescent="0.2">
      <c r="A52" s="3" t="s">
        <v>52</v>
      </c>
      <c r="B52" s="3" t="s">
        <v>398</v>
      </c>
    </row>
    <row r="53" spans="1:2" x14ac:dyDescent="0.2">
      <c r="A53" s="3" t="s">
        <v>53</v>
      </c>
      <c r="B53" s="3" t="s">
        <v>399</v>
      </c>
    </row>
    <row r="54" spans="1:2" x14ac:dyDescent="0.2">
      <c r="A54" s="3" t="s">
        <v>54</v>
      </c>
      <c r="B54" s="3" t="s">
        <v>400</v>
      </c>
    </row>
    <row r="55" spans="1:2" x14ac:dyDescent="0.2">
      <c r="A55" s="3" t="s">
        <v>55</v>
      </c>
      <c r="B55" s="3" t="s">
        <v>401</v>
      </c>
    </row>
    <row r="56" spans="1:2" x14ac:dyDescent="0.2">
      <c r="A56" s="3" t="s">
        <v>56</v>
      </c>
      <c r="B56" s="3" t="s">
        <v>402</v>
      </c>
    </row>
    <row r="57" spans="1:2" x14ac:dyDescent="0.2">
      <c r="A57" s="3" t="s">
        <v>57</v>
      </c>
      <c r="B57" s="3" t="s">
        <v>403</v>
      </c>
    </row>
    <row r="58" spans="1:2" x14ac:dyDescent="0.2">
      <c r="A58" s="3" t="s">
        <v>58</v>
      </c>
      <c r="B58" s="3" t="s">
        <v>404</v>
      </c>
    </row>
    <row r="59" spans="1:2" x14ac:dyDescent="0.2">
      <c r="A59" s="3" t="s">
        <v>59</v>
      </c>
      <c r="B59" s="3" t="s">
        <v>405</v>
      </c>
    </row>
    <row r="60" spans="1:2" x14ac:dyDescent="0.2">
      <c r="A60" s="3" t="s">
        <v>60</v>
      </c>
      <c r="B60" s="3" t="s">
        <v>406</v>
      </c>
    </row>
    <row r="61" spans="1:2" x14ac:dyDescent="0.2">
      <c r="A61" s="3" t="s">
        <v>61</v>
      </c>
      <c r="B61" s="3" t="s">
        <v>407</v>
      </c>
    </row>
    <row r="62" spans="1:2" x14ac:dyDescent="0.2">
      <c r="A62" s="3" t="s">
        <v>62</v>
      </c>
      <c r="B62" s="3" t="s">
        <v>408</v>
      </c>
    </row>
    <row r="63" spans="1:2" x14ac:dyDescent="0.2">
      <c r="A63" s="3" t="s">
        <v>63</v>
      </c>
      <c r="B63" s="3" t="s">
        <v>409</v>
      </c>
    </row>
    <row r="64" spans="1:2" x14ac:dyDescent="0.2">
      <c r="A64" s="3" t="s">
        <v>64</v>
      </c>
      <c r="B64" s="3" t="s">
        <v>410</v>
      </c>
    </row>
    <row r="65" spans="1:2" x14ac:dyDescent="0.2">
      <c r="A65" s="3" t="s">
        <v>65</v>
      </c>
      <c r="B65" s="3" t="s">
        <v>411</v>
      </c>
    </row>
    <row r="66" spans="1:2" x14ac:dyDescent="0.2">
      <c r="A66" s="3" t="s">
        <v>66</v>
      </c>
      <c r="B66" s="3" t="s">
        <v>412</v>
      </c>
    </row>
    <row r="67" spans="1:2" x14ac:dyDescent="0.2">
      <c r="A67" s="3" t="s">
        <v>67</v>
      </c>
      <c r="B67" s="3" t="s">
        <v>413</v>
      </c>
    </row>
    <row r="68" spans="1:2" x14ac:dyDescent="0.2">
      <c r="A68" s="3" t="s">
        <v>68</v>
      </c>
      <c r="B68" s="3" t="s">
        <v>414</v>
      </c>
    </row>
    <row r="69" spans="1:2" x14ac:dyDescent="0.2">
      <c r="A69" s="3" t="s">
        <v>69</v>
      </c>
      <c r="B69" s="3" t="s">
        <v>415</v>
      </c>
    </row>
    <row r="70" spans="1:2" x14ac:dyDescent="0.2">
      <c r="A70" s="3" t="s">
        <v>70</v>
      </c>
      <c r="B70" s="3" t="s">
        <v>416</v>
      </c>
    </row>
    <row r="71" spans="1:2" x14ac:dyDescent="0.2">
      <c r="A71" s="3" t="s">
        <v>71</v>
      </c>
      <c r="B71" s="3" t="s">
        <v>417</v>
      </c>
    </row>
    <row r="72" spans="1:2" x14ac:dyDescent="0.2">
      <c r="A72" s="3" t="s">
        <v>72</v>
      </c>
      <c r="B72" s="3" t="s">
        <v>418</v>
      </c>
    </row>
    <row r="73" spans="1:2" x14ac:dyDescent="0.2">
      <c r="A73" s="3" t="s">
        <v>73</v>
      </c>
      <c r="B73" s="3" t="s">
        <v>419</v>
      </c>
    </row>
    <row r="74" spans="1:2" x14ac:dyDescent="0.2">
      <c r="A74" s="3" t="s">
        <v>74</v>
      </c>
      <c r="B74" s="3" t="s">
        <v>420</v>
      </c>
    </row>
    <row r="75" spans="1:2" x14ac:dyDescent="0.2">
      <c r="A75" s="3" t="s">
        <v>75</v>
      </c>
      <c r="B75" s="3" t="s">
        <v>421</v>
      </c>
    </row>
    <row r="76" spans="1:2" x14ac:dyDescent="0.2">
      <c r="A76" s="3" t="s">
        <v>76</v>
      </c>
      <c r="B76" s="3" t="s">
        <v>422</v>
      </c>
    </row>
    <row r="77" spans="1:2" x14ac:dyDescent="0.2">
      <c r="A77" s="3" t="s">
        <v>77</v>
      </c>
      <c r="B77" s="3" t="s">
        <v>423</v>
      </c>
    </row>
    <row r="78" spans="1:2" x14ac:dyDescent="0.2">
      <c r="A78" s="3" t="s">
        <v>78</v>
      </c>
      <c r="B78" s="3" t="s">
        <v>424</v>
      </c>
    </row>
    <row r="79" spans="1:2" x14ac:dyDescent="0.2">
      <c r="A79" s="3" t="s">
        <v>79</v>
      </c>
      <c r="B79" s="3" t="s">
        <v>425</v>
      </c>
    </row>
    <row r="80" spans="1:2" x14ac:dyDescent="0.2">
      <c r="A80" s="3" t="s">
        <v>80</v>
      </c>
      <c r="B80" s="3" t="s">
        <v>426</v>
      </c>
    </row>
    <row r="81" spans="1:2" x14ac:dyDescent="0.2">
      <c r="A81" s="3" t="s">
        <v>81</v>
      </c>
      <c r="B81" s="3" t="s">
        <v>427</v>
      </c>
    </row>
    <row r="82" spans="1:2" x14ac:dyDescent="0.2">
      <c r="A82" s="3" t="s">
        <v>82</v>
      </c>
      <c r="B82" s="3" t="s">
        <v>428</v>
      </c>
    </row>
    <row r="83" spans="1:2" x14ac:dyDescent="0.2">
      <c r="A83" s="3" t="s">
        <v>83</v>
      </c>
      <c r="B83" s="3" t="s">
        <v>429</v>
      </c>
    </row>
    <row r="84" spans="1:2" x14ac:dyDescent="0.2">
      <c r="A84" s="3" t="s">
        <v>84</v>
      </c>
      <c r="B84" s="3" t="s">
        <v>430</v>
      </c>
    </row>
    <row r="85" spans="1:2" x14ac:dyDescent="0.2">
      <c r="A85" s="3" t="s">
        <v>85</v>
      </c>
      <c r="B85" s="3" t="s">
        <v>431</v>
      </c>
    </row>
    <row r="86" spans="1:2" x14ac:dyDescent="0.2">
      <c r="A86" s="3" t="s">
        <v>86</v>
      </c>
      <c r="B86" s="3" t="s">
        <v>432</v>
      </c>
    </row>
    <row r="87" spans="1:2" x14ac:dyDescent="0.2">
      <c r="A87" s="3" t="s">
        <v>87</v>
      </c>
      <c r="B87" s="3" t="s">
        <v>433</v>
      </c>
    </row>
    <row r="88" spans="1:2" x14ac:dyDescent="0.2">
      <c r="A88" s="3" t="s">
        <v>88</v>
      </c>
      <c r="B88" s="3" t="s">
        <v>434</v>
      </c>
    </row>
    <row r="89" spans="1:2" x14ac:dyDescent="0.2">
      <c r="A89" s="3" t="s">
        <v>89</v>
      </c>
      <c r="B89" s="3" t="s">
        <v>435</v>
      </c>
    </row>
    <row r="90" spans="1:2" x14ac:dyDescent="0.2">
      <c r="A90" s="3" t="s">
        <v>90</v>
      </c>
      <c r="B90" s="3" t="s">
        <v>436</v>
      </c>
    </row>
    <row r="91" spans="1:2" x14ac:dyDescent="0.2">
      <c r="A91" s="3" t="s">
        <v>91</v>
      </c>
      <c r="B91" s="3" t="s">
        <v>437</v>
      </c>
    </row>
    <row r="92" spans="1:2" x14ac:dyDescent="0.2">
      <c r="A92" s="3" t="s">
        <v>92</v>
      </c>
      <c r="B92" s="3" t="s">
        <v>438</v>
      </c>
    </row>
    <row r="93" spans="1:2" x14ac:dyDescent="0.2">
      <c r="A93" s="3" t="s">
        <v>93</v>
      </c>
      <c r="B93" s="3" t="s">
        <v>439</v>
      </c>
    </row>
    <row r="94" spans="1:2" x14ac:dyDescent="0.2">
      <c r="A94" s="3" t="s">
        <v>94</v>
      </c>
      <c r="B94" s="3" t="s">
        <v>440</v>
      </c>
    </row>
    <row r="95" spans="1:2" x14ac:dyDescent="0.2">
      <c r="A95" s="3" t="s">
        <v>95</v>
      </c>
      <c r="B95" s="3" t="s">
        <v>441</v>
      </c>
    </row>
    <row r="96" spans="1:2" x14ac:dyDescent="0.2">
      <c r="A96" s="3" t="s">
        <v>96</v>
      </c>
      <c r="B96" s="3" t="s">
        <v>442</v>
      </c>
    </row>
    <row r="97" spans="1:2" x14ac:dyDescent="0.2">
      <c r="A97" s="3" t="s">
        <v>97</v>
      </c>
      <c r="B97" s="3" t="s">
        <v>443</v>
      </c>
    </row>
    <row r="98" spans="1:2" x14ac:dyDescent="0.2">
      <c r="A98" s="3" t="s">
        <v>98</v>
      </c>
      <c r="B98" s="3" t="s">
        <v>444</v>
      </c>
    </row>
    <row r="99" spans="1:2" x14ac:dyDescent="0.2">
      <c r="A99" s="3" t="s">
        <v>99</v>
      </c>
      <c r="B99" s="3" t="s">
        <v>445</v>
      </c>
    </row>
    <row r="100" spans="1:2" x14ac:dyDescent="0.2">
      <c r="A100" s="3" t="s">
        <v>100</v>
      </c>
      <c r="B100" s="3" t="s">
        <v>446</v>
      </c>
    </row>
    <row r="101" spans="1:2" x14ac:dyDescent="0.2">
      <c r="A101" s="3" t="s">
        <v>101</v>
      </c>
      <c r="B101" s="3" t="s">
        <v>447</v>
      </c>
    </row>
    <row r="102" spans="1:2" x14ac:dyDescent="0.2">
      <c r="A102" s="3" t="s">
        <v>102</v>
      </c>
      <c r="B102" s="3" t="s">
        <v>448</v>
      </c>
    </row>
    <row r="103" spans="1:2" x14ac:dyDescent="0.2">
      <c r="A103" s="3" t="s">
        <v>103</v>
      </c>
      <c r="B103" s="3" t="s">
        <v>449</v>
      </c>
    </row>
    <row r="104" spans="1:2" x14ac:dyDescent="0.2">
      <c r="A104" s="3" t="s">
        <v>104</v>
      </c>
      <c r="B104" s="3" t="s">
        <v>450</v>
      </c>
    </row>
    <row r="105" spans="1:2" x14ac:dyDescent="0.2">
      <c r="A105" s="3" t="s">
        <v>105</v>
      </c>
      <c r="B105" s="3" t="s">
        <v>451</v>
      </c>
    </row>
    <row r="106" spans="1:2" x14ac:dyDescent="0.2">
      <c r="A106" s="3" t="s">
        <v>106</v>
      </c>
      <c r="B106" s="3" t="s">
        <v>452</v>
      </c>
    </row>
    <row r="107" spans="1:2" x14ac:dyDescent="0.2">
      <c r="A107" s="3" t="s">
        <v>107</v>
      </c>
      <c r="B107" s="3" t="s">
        <v>453</v>
      </c>
    </row>
    <row r="108" spans="1:2" x14ac:dyDescent="0.2">
      <c r="A108" s="3" t="s">
        <v>108</v>
      </c>
      <c r="B108" s="3" t="s">
        <v>454</v>
      </c>
    </row>
    <row r="109" spans="1:2" x14ac:dyDescent="0.2">
      <c r="A109" s="3" t="s">
        <v>109</v>
      </c>
      <c r="B109" s="3" t="s">
        <v>455</v>
      </c>
    </row>
    <row r="110" spans="1:2" x14ac:dyDescent="0.2">
      <c r="A110" s="3" t="s">
        <v>110</v>
      </c>
      <c r="B110" s="3" t="s">
        <v>456</v>
      </c>
    </row>
    <row r="111" spans="1:2" x14ac:dyDescent="0.2">
      <c r="A111" s="3" t="s">
        <v>111</v>
      </c>
      <c r="B111" s="3" t="s">
        <v>457</v>
      </c>
    </row>
    <row r="112" spans="1:2" x14ac:dyDescent="0.2">
      <c r="A112" s="3" t="s">
        <v>112</v>
      </c>
      <c r="B112" s="3" t="s">
        <v>458</v>
      </c>
    </row>
    <row r="113" spans="1:2" x14ac:dyDescent="0.2">
      <c r="A113" s="3" t="s">
        <v>113</v>
      </c>
      <c r="B113" s="3" t="s">
        <v>459</v>
      </c>
    </row>
    <row r="114" spans="1:2" x14ac:dyDescent="0.2">
      <c r="A114" s="3" t="s">
        <v>114</v>
      </c>
      <c r="B114" s="3" t="s">
        <v>460</v>
      </c>
    </row>
    <row r="115" spans="1:2" x14ac:dyDescent="0.2">
      <c r="A115" s="3" t="s">
        <v>115</v>
      </c>
      <c r="B115" s="3" t="s">
        <v>461</v>
      </c>
    </row>
    <row r="116" spans="1:2" x14ac:dyDescent="0.2">
      <c r="A116" s="3" t="s">
        <v>116</v>
      </c>
      <c r="B116" s="3" t="s">
        <v>462</v>
      </c>
    </row>
    <row r="117" spans="1:2" x14ac:dyDescent="0.2">
      <c r="A117" s="3" t="s">
        <v>117</v>
      </c>
      <c r="B117" s="3" t="s">
        <v>463</v>
      </c>
    </row>
    <row r="118" spans="1:2" x14ac:dyDescent="0.2">
      <c r="A118" s="3" t="s">
        <v>118</v>
      </c>
      <c r="B118" s="3" t="s">
        <v>464</v>
      </c>
    </row>
    <row r="119" spans="1:2" x14ac:dyDescent="0.2">
      <c r="A119" s="3" t="s">
        <v>119</v>
      </c>
      <c r="B119" s="3" t="s">
        <v>465</v>
      </c>
    </row>
    <row r="120" spans="1:2" x14ac:dyDescent="0.2">
      <c r="A120" s="3" t="s">
        <v>120</v>
      </c>
      <c r="B120" s="3" t="s">
        <v>466</v>
      </c>
    </row>
    <row r="121" spans="1:2" x14ac:dyDescent="0.2">
      <c r="A121" s="3" t="s">
        <v>121</v>
      </c>
      <c r="B121" s="3" t="s">
        <v>467</v>
      </c>
    </row>
    <row r="122" spans="1:2" x14ac:dyDescent="0.2">
      <c r="A122" s="3" t="s">
        <v>122</v>
      </c>
      <c r="B122" s="3" t="s">
        <v>468</v>
      </c>
    </row>
    <row r="123" spans="1:2" x14ac:dyDescent="0.2">
      <c r="A123" s="3" t="s">
        <v>123</v>
      </c>
      <c r="B123" s="3" t="s">
        <v>469</v>
      </c>
    </row>
    <row r="124" spans="1:2" x14ac:dyDescent="0.2">
      <c r="A124" s="3" t="s">
        <v>124</v>
      </c>
      <c r="B124" s="3" t="s">
        <v>470</v>
      </c>
    </row>
    <row r="125" spans="1:2" x14ac:dyDescent="0.2">
      <c r="A125" s="3" t="s">
        <v>125</v>
      </c>
      <c r="B125" s="3" t="s">
        <v>471</v>
      </c>
    </row>
    <row r="126" spans="1:2" x14ac:dyDescent="0.2">
      <c r="A126" s="3" t="s">
        <v>126</v>
      </c>
      <c r="B126" s="3" t="s">
        <v>472</v>
      </c>
    </row>
    <row r="127" spans="1:2" x14ac:dyDescent="0.2">
      <c r="A127" s="3" t="s">
        <v>127</v>
      </c>
      <c r="B127" s="3" t="s">
        <v>473</v>
      </c>
    </row>
    <row r="128" spans="1:2" x14ac:dyDescent="0.2">
      <c r="A128" s="3" t="s">
        <v>128</v>
      </c>
      <c r="B128" s="3" t="s">
        <v>474</v>
      </c>
    </row>
    <row r="129" spans="1:2" x14ac:dyDescent="0.2">
      <c r="A129" s="3" t="s">
        <v>129</v>
      </c>
      <c r="B129" s="3" t="s">
        <v>475</v>
      </c>
    </row>
    <row r="130" spans="1:2" x14ac:dyDescent="0.2">
      <c r="A130" s="3" t="s">
        <v>130</v>
      </c>
      <c r="B130" s="3" t="s">
        <v>476</v>
      </c>
    </row>
    <row r="131" spans="1:2" x14ac:dyDescent="0.2">
      <c r="A131" s="3" t="s">
        <v>131</v>
      </c>
      <c r="B131" s="3" t="s">
        <v>477</v>
      </c>
    </row>
    <row r="132" spans="1:2" x14ac:dyDescent="0.2">
      <c r="A132" s="3" t="s">
        <v>132</v>
      </c>
      <c r="B132" s="3" t="s">
        <v>478</v>
      </c>
    </row>
    <row r="133" spans="1:2" x14ac:dyDescent="0.2">
      <c r="A133" s="3" t="s">
        <v>133</v>
      </c>
      <c r="B133" s="3" t="s">
        <v>479</v>
      </c>
    </row>
    <row r="134" spans="1:2" x14ac:dyDescent="0.2">
      <c r="A134" s="3" t="s">
        <v>134</v>
      </c>
      <c r="B134" s="3" t="s">
        <v>480</v>
      </c>
    </row>
    <row r="135" spans="1:2" x14ac:dyDescent="0.2">
      <c r="A135" s="3" t="s">
        <v>135</v>
      </c>
      <c r="B135" s="3" t="s">
        <v>481</v>
      </c>
    </row>
    <row r="136" spans="1:2" x14ac:dyDescent="0.2">
      <c r="A136" s="3" t="s">
        <v>136</v>
      </c>
      <c r="B136" s="3" t="s">
        <v>482</v>
      </c>
    </row>
    <row r="137" spans="1:2" x14ac:dyDescent="0.2">
      <c r="A137" s="3" t="s">
        <v>137</v>
      </c>
      <c r="B137" s="3" t="s">
        <v>483</v>
      </c>
    </row>
    <row r="138" spans="1:2" x14ac:dyDescent="0.2">
      <c r="A138" s="3" t="s">
        <v>138</v>
      </c>
      <c r="B138" s="3" t="s">
        <v>484</v>
      </c>
    </row>
    <row r="139" spans="1:2" x14ac:dyDescent="0.2">
      <c r="A139" s="3" t="s">
        <v>139</v>
      </c>
      <c r="B139" s="3" t="s">
        <v>485</v>
      </c>
    </row>
    <row r="140" spans="1:2" x14ac:dyDescent="0.2">
      <c r="A140" s="3" t="s">
        <v>140</v>
      </c>
      <c r="B140" s="3" t="s">
        <v>486</v>
      </c>
    </row>
    <row r="141" spans="1:2" x14ac:dyDescent="0.2">
      <c r="A141" s="3" t="s">
        <v>141</v>
      </c>
      <c r="B141" s="3" t="s">
        <v>487</v>
      </c>
    </row>
    <row r="142" spans="1:2" x14ac:dyDescent="0.2">
      <c r="A142" s="3" t="s">
        <v>142</v>
      </c>
      <c r="B142" s="3" t="s">
        <v>488</v>
      </c>
    </row>
    <row r="143" spans="1:2" x14ac:dyDescent="0.2">
      <c r="A143" s="3" t="s">
        <v>143</v>
      </c>
      <c r="B143" s="3" t="s">
        <v>489</v>
      </c>
    </row>
    <row r="144" spans="1:2" x14ac:dyDescent="0.2">
      <c r="A144" s="3" t="s">
        <v>144</v>
      </c>
      <c r="B144" s="3" t="s">
        <v>490</v>
      </c>
    </row>
    <row r="145" spans="1:2" x14ac:dyDescent="0.2">
      <c r="A145" s="3" t="s">
        <v>145</v>
      </c>
      <c r="B145" s="3" t="s">
        <v>491</v>
      </c>
    </row>
    <row r="146" spans="1:2" x14ac:dyDescent="0.2">
      <c r="A146" s="3" t="s">
        <v>146</v>
      </c>
      <c r="B146" s="3" t="s">
        <v>492</v>
      </c>
    </row>
    <row r="147" spans="1:2" x14ac:dyDescent="0.2">
      <c r="A147" s="3" t="s">
        <v>147</v>
      </c>
      <c r="B147" s="3" t="s">
        <v>493</v>
      </c>
    </row>
    <row r="148" spans="1:2" x14ac:dyDescent="0.2">
      <c r="A148" s="3" t="s">
        <v>148</v>
      </c>
      <c r="B148" s="3" t="s">
        <v>494</v>
      </c>
    </row>
    <row r="149" spans="1:2" x14ac:dyDescent="0.2">
      <c r="A149" s="3" t="s">
        <v>149</v>
      </c>
      <c r="B149" s="3" t="s">
        <v>495</v>
      </c>
    </row>
    <row r="150" spans="1:2" x14ac:dyDescent="0.2">
      <c r="A150" s="3" t="s">
        <v>150</v>
      </c>
      <c r="B150" s="3" t="s">
        <v>496</v>
      </c>
    </row>
    <row r="151" spans="1:2" x14ac:dyDescent="0.2">
      <c r="A151" s="3" t="s">
        <v>151</v>
      </c>
      <c r="B151" s="3" t="s">
        <v>497</v>
      </c>
    </row>
    <row r="152" spans="1:2" x14ac:dyDescent="0.2">
      <c r="A152" s="3" t="s">
        <v>152</v>
      </c>
      <c r="B152" s="3" t="s">
        <v>498</v>
      </c>
    </row>
    <row r="153" spans="1:2" x14ac:dyDescent="0.2">
      <c r="A153" s="3" t="s">
        <v>153</v>
      </c>
      <c r="B153" s="3" t="s">
        <v>499</v>
      </c>
    </row>
    <row r="154" spans="1:2" x14ac:dyDescent="0.2">
      <c r="A154" s="3" t="s">
        <v>154</v>
      </c>
      <c r="B154" s="3" t="s">
        <v>500</v>
      </c>
    </row>
    <row r="155" spans="1:2" x14ac:dyDescent="0.2">
      <c r="A155" s="3" t="s">
        <v>155</v>
      </c>
      <c r="B155" s="3" t="s">
        <v>501</v>
      </c>
    </row>
    <row r="156" spans="1:2" x14ac:dyDescent="0.2">
      <c r="A156" s="3" t="s">
        <v>156</v>
      </c>
      <c r="B156" s="3" t="s">
        <v>502</v>
      </c>
    </row>
    <row r="157" spans="1:2" x14ac:dyDescent="0.2">
      <c r="A157" s="3" t="s">
        <v>157</v>
      </c>
      <c r="B157" s="3" t="s">
        <v>503</v>
      </c>
    </row>
    <row r="158" spans="1:2" x14ac:dyDescent="0.2">
      <c r="A158" s="3" t="s">
        <v>158</v>
      </c>
      <c r="B158" s="3" t="s">
        <v>504</v>
      </c>
    </row>
    <row r="159" spans="1:2" x14ac:dyDescent="0.2">
      <c r="A159" s="3" t="s">
        <v>159</v>
      </c>
      <c r="B159" s="3" t="s">
        <v>505</v>
      </c>
    </row>
    <row r="160" spans="1:2" x14ac:dyDescent="0.2">
      <c r="A160" s="3" t="s">
        <v>160</v>
      </c>
      <c r="B160" s="3" t="s">
        <v>506</v>
      </c>
    </row>
    <row r="161" spans="1:2" x14ac:dyDescent="0.2">
      <c r="A161" s="3" t="s">
        <v>161</v>
      </c>
      <c r="B161" s="3" t="s">
        <v>507</v>
      </c>
    </row>
    <row r="162" spans="1:2" x14ac:dyDescent="0.2">
      <c r="A162" s="3" t="s">
        <v>162</v>
      </c>
      <c r="B162" s="3" t="s">
        <v>508</v>
      </c>
    </row>
    <row r="163" spans="1:2" x14ac:dyDescent="0.2">
      <c r="A163" s="3" t="s">
        <v>163</v>
      </c>
      <c r="B163" s="3" t="s">
        <v>509</v>
      </c>
    </row>
    <row r="164" spans="1:2" x14ac:dyDescent="0.2">
      <c r="A164" s="3" t="s">
        <v>164</v>
      </c>
      <c r="B164" s="3" t="s">
        <v>510</v>
      </c>
    </row>
    <row r="165" spans="1:2" x14ac:dyDescent="0.2">
      <c r="A165" s="3" t="s">
        <v>165</v>
      </c>
      <c r="B165" s="3" t="s">
        <v>511</v>
      </c>
    </row>
    <row r="166" spans="1:2" x14ac:dyDescent="0.2">
      <c r="A166" s="3" t="s">
        <v>166</v>
      </c>
      <c r="B166" s="3" t="s">
        <v>512</v>
      </c>
    </row>
    <row r="167" spans="1:2" x14ac:dyDescent="0.2">
      <c r="A167" s="3" t="s">
        <v>167</v>
      </c>
      <c r="B167" s="3" t="s">
        <v>513</v>
      </c>
    </row>
    <row r="168" spans="1:2" x14ac:dyDescent="0.2">
      <c r="A168" s="3" t="s">
        <v>168</v>
      </c>
      <c r="B168" s="3" t="s">
        <v>514</v>
      </c>
    </row>
    <row r="169" spans="1:2" x14ac:dyDescent="0.2">
      <c r="A169" s="3" t="s">
        <v>169</v>
      </c>
      <c r="B169" s="3" t="s">
        <v>515</v>
      </c>
    </row>
    <row r="170" spans="1:2" x14ac:dyDescent="0.2">
      <c r="A170" s="3" t="s">
        <v>170</v>
      </c>
      <c r="B170" s="3" t="s">
        <v>516</v>
      </c>
    </row>
    <row r="171" spans="1:2" x14ac:dyDescent="0.2">
      <c r="A171" s="3" t="s">
        <v>171</v>
      </c>
      <c r="B171" s="3" t="s">
        <v>517</v>
      </c>
    </row>
    <row r="172" spans="1:2" x14ac:dyDescent="0.2">
      <c r="A172" s="3" t="s">
        <v>172</v>
      </c>
      <c r="B172" s="3" t="s">
        <v>518</v>
      </c>
    </row>
    <row r="173" spans="1:2" x14ac:dyDescent="0.2">
      <c r="A173" s="3" t="s">
        <v>173</v>
      </c>
      <c r="B173" s="3" t="s">
        <v>519</v>
      </c>
    </row>
    <row r="174" spans="1:2" x14ac:dyDescent="0.2">
      <c r="A174" s="3" t="s">
        <v>174</v>
      </c>
      <c r="B174" s="3" t="s">
        <v>520</v>
      </c>
    </row>
    <row r="175" spans="1:2" x14ac:dyDescent="0.2">
      <c r="A175" s="3" t="s">
        <v>175</v>
      </c>
      <c r="B175" s="3" t="s">
        <v>521</v>
      </c>
    </row>
    <row r="176" spans="1:2" x14ac:dyDescent="0.2">
      <c r="A176" s="3" t="s">
        <v>176</v>
      </c>
      <c r="B176" s="3" t="s">
        <v>522</v>
      </c>
    </row>
    <row r="177" spans="1:2" x14ac:dyDescent="0.2">
      <c r="A177" s="3" t="s">
        <v>177</v>
      </c>
      <c r="B177" s="3" t="s">
        <v>523</v>
      </c>
    </row>
    <row r="178" spans="1:2" x14ac:dyDescent="0.2">
      <c r="A178" s="3" t="s">
        <v>178</v>
      </c>
      <c r="B178" s="3" t="s">
        <v>524</v>
      </c>
    </row>
    <row r="179" spans="1:2" x14ac:dyDescent="0.2">
      <c r="A179" s="3" t="s">
        <v>179</v>
      </c>
      <c r="B179" s="3" t="s">
        <v>525</v>
      </c>
    </row>
    <row r="180" spans="1:2" x14ac:dyDescent="0.2">
      <c r="A180" s="3" t="s">
        <v>180</v>
      </c>
      <c r="B180" s="3" t="s">
        <v>526</v>
      </c>
    </row>
    <row r="181" spans="1:2" x14ac:dyDescent="0.2">
      <c r="A181" s="3" t="s">
        <v>181</v>
      </c>
      <c r="B181" s="3" t="s">
        <v>527</v>
      </c>
    </row>
    <row r="182" spans="1:2" x14ac:dyDescent="0.2">
      <c r="A182" s="3" t="s">
        <v>182</v>
      </c>
      <c r="B182" s="3" t="s">
        <v>528</v>
      </c>
    </row>
    <row r="183" spans="1:2" x14ac:dyDescent="0.2">
      <c r="A183" s="3" t="s">
        <v>183</v>
      </c>
      <c r="B183" s="3" t="s">
        <v>529</v>
      </c>
    </row>
    <row r="184" spans="1:2" x14ac:dyDescent="0.2">
      <c r="A184" s="3" t="s">
        <v>184</v>
      </c>
      <c r="B184" s="3" t="s">
        <v>530</v>
      </c>
    </row>
    <row r="185" spans="1:2" x14ac:dyDescent="0.2">
      <c r="A185" s="3" t="s">
        <v>185</v>
      </c>
      <c r="B185" s="3" t="s">
        <v>531</v>
      </c>
    </row>
    <row r="186" spans="1:2" x14ac:dyDescent="0.2">
      <c r="A186" s="3" t="s">
        <v>186</v>
      </c>
      <c r="B186" s="3" t="s">
        <v>532</v>
      </c>
    </row>
    <row r="187" spans="1:2" x14ac:dyDescent="0.2">
      <c r="A187" s="3" t="s">
        <v>187</v>
      </c>
      <c r="B187" s="3" t="s">
        <v>533</v>
      </c>
    </row>
    <row r="188" spans="1:2" x14ac:dyDescent="0.2">
      <c r="A188" s="3" t="s">
        <v>188</v>
      </c>
      <c r="B188" s="3" t="s">
        <v>534</v>
      </c>
    </row>
    <row r="189" spans="1:2" x14ac:dyDescent="0.2">
      <c r="A189" s="3" t="s">
        <v>189</v>
      </c>
      <c r="B189" s="3" t="s">
        <v>535</v>
      </c>
    </row>
    <row r="190" spans="1:2" x14ac:dyDescent="0.2">
      <c r="A190" s="3" t="s">
        <v>190</v>
      </c>
      <c r="B190" s="3" t="s">
        <v>536</v>
      </c>
    </row>
    <row r="191" spans="1:2" x14ac:dyDescent="0.2">
      <c r="A191" s="3" t="s">
        <v>191</v>
      </c>
      <c r="B191" s="3" t="s">
        <v>537</v>
      </c>
    </row>
    <row r="192" spans="1:2" x14ac:dyDescent="0.2">
      <c r="A192" s="3" t="s">
        <v>192</v>
      </c>
      <c r="B192" s="3" t="s">
        <v>538</v>
      </c>
    </row>
    <row r="193" spans="1:2" x14ac:dyDescent="0.2">
      <c r="A193" s="3" t="s">
        <v>193</v>
      </c>
      <c r="B193" s="3" t="s">
        <v>539</v>
      </c>
    </row>
    <row r="194" spans="1:2" x14ac:dyDescent="0.2">
      <c r="A194" s="3" t="s">
        <v>194</v>
      </c>
      <c r="B194" s="3" t="s">
        <v>540</v>
      </c>
    </row>
    <row r="195" spans="1:2" x14ac:dyDescent="0.2">
      <c r="A195" s="3" t="s">
        <v>195</v>
      </c>
      <c r="B195" s="3" t="s">
        <v>541</v>
      </c>
    </row>
    <row r="196" spans="1:2" x14ac:dyDescent="0.2">
      <c r="A196" s="3" t="s">
        <v>196</v>
      </c>
      <c r="B196" s="3" t="s">
        <v>542</v>
      </c>
    </row>
    <row r="197" spans="1:2" x14ac:dyDescent="0.2">
      <c r="A197" s="3" t="s">
        <v>197</v>
      </c>
      <c r="B197" s="3" t="s">
        <v>543</v>
      </c>
    </row>
    <row r="198" spans="1:2" x14ac:dyDescent="0.2">
      <c r="A198" s="3" t="s">
        <v>198</v>
      </c>
      <c r="B198" s="3" t="s">
        <v>544</v>
      </c>
    </row>
    <row r="199" spans="1:2" x14ac:dyDescent="0.2">
      <c r="A199" s="3" t="s">
        <v>199</v>
      </c>
      <c r="B199" s="3" t="s">
        <v>545</v>
      </c>
    </row>
    <row r="200" spans="1:2" x14ac:dyDescent="0.2">
      <c r="A200" s="3" t="s">
        <v>200</v>
      </c>
      <c r="B200" s="3" t="s">
        <v>546</v>
      </c>
    </row>
    <row r="201" spans="1:2" x14ac:dyDescent="0.2">
      <c r="A201" s="3" t="s">
        <v>201</v>
      </c>
      <c r="B201" s="3" t="s">
        <v>547</v>
      </c>
    </row>
    <row r="202" spans="1:2" x14ac:dyDescent="0.2">
      <c r="A202" s="3" t="s">
        <v>202</v>
      </c>
      <c r="B202" s="3" t="s">
        <v>548</v>
      </c>
    </row>
    <row r="203" spans="1:2" x14ac:dyDescent="0.2">
      <c r="A203" s="3" t="s">
        <v>203</v>
      </c>
      <c r="B203" s="3" t="s">
        <v>549</v>
      </c>
    </row>
    <row r="204" spans="1:2" x14ac:dyDescent="0.2">
      <c r="A204" s="3" t="s">
        <v>204</v>
      </c>
      <c r="B204" s="3" t="s">
        <v>550</v>
      </c>
    </row>
    <row r="205" spans="1:2" x14ac:dyDescent="0.2">
      <c r="A205" s="3" t="s">
        <v>205</v>
      </c>
      <c r="B205" s="3" t="s">
        <v>551</v>
      </c>
    </row>
    <row r="206" spans="1:2" x14ac:dyDescent="0.2">
      <c r="A206" s="3" t="s">
        <v>206</v>
      </c>
      <c r="B206" s="3" t="s">
        <v>552</v>
      </c>
    </row>
    <row r="207" spans="1:2" x14ac:dyDescent="0.2">
      <c r="A207" s="3" t="s">
        <v>207</v>
      </c>
      <c r="B207" s="3" t="s">
        <v>553</v>
      </c>
    </row>
    <row r="208" spans="1:2" x14ac:dyDescent="0.2">
      <c r="A208" s="3" t="s">
        <v>208</v>
      </c>
      <c r="B208" s="3" t="s">
        <v>554</v>
      </c>
    </row>
    <row r="209" spans="1:2" x14ac:dyDescent="0.2">
      <c r="A209" s="3" t="s">
        <v>209</v>
      </c>
      <c r="B209" s="3" t="s">
        <v>555</v>
      </c>
    </row>
    <row r="210" spans="1:2" x14ac:dyDescent="0.2">
      <c r="A210" s="3" t="s">
        <v>210</v>
      </c>
      <c r="B210" s="3" t="s">
        <v>556</v>
      </c>
    </row>
    <row r="211" spans="1:2" x14ac:dyDescent="0.2">
      <c r="A211" s="3" t="s">
        <v>211</v>
      </c>
      <c r="B211" s="3" t="s">
        <v>557</v>
      </c>
    </row>
    <row r="212" spans="1:2" x14ac:dyDescent="0.2">
      <c r="A212" s="3" t="s">
        <v>212</v>
      </c>
      <c r="B212" s="3" t="s">
        <v>558</v>
      </c>
    </row>
    <row r="213" spans="1:2" x14ac:dyDescent="0.2">
      <c r="A213" s="3" t="s">
        <v>213</v>
      </c>
      <c r="B213" s="3" t="s">
        <v>559</v>
      </c>
    </row>
    <row r="214" spans="1:2" x14ac:dyDescent="0.2">
      <c r="A214" s="3" t="s">
        <v>214</v>
      </c>
      <c r="B214" s="3" t="s">
        <v>560</v>
      </c>
    </row>
    <row r="215" spans="1:2" x14ac:dyDescent="0.2">
      <c r="A215" s="3" t="s">
        <v>215</v>
      </c>
      <c r="B215" s="3" t="s">
        <v>561</v>
      </c>
    </row>
    <row r="216" spans="1:2" x14ac:dyDescent="0.2">
      <c r="A216" s="3" t="s">
        <v>216</v>
      </c>
      <c r="B216" s="3" t="s">
        <v>562</v>
      </c>
    </row>
    <row r="217" spans="1:2" x14ac:dyDescent="0.2">
      <c r="A217" s="3" t="s">
        <v>217</v>
      </c>
      <c r="B217" s="3" t="s">
        <v>563</v>
      </c>
    </row>
    <row r="218" spans="1:2" x14ac:dyDescent="0.2">
      <c r="A218" s="3" t="s">
        <v>218</v>
      </c>
      <c r="B218" s="3" t="s">
        <v>564</v>
      </c>
    </row>
    <row r="219" spans="1:2" x14ac:dyDescent="0.2">
      <c r="A219" s="3" t="s">
        <v>219</v>
      </c>
      <c r="B219" s="3" t="s">
        <v>565</v>
      </c>
    </row>
    <row r="220" spans="1:2" x14ac:dyDescent="0.2">
      <c r="A220" s="3" t="s">
        <v>220</v>
      </c>
      <c r="B220" s="3" t="s">
        <v>566</v>
      </c>
    </row>
    <row r="221" spans="1:2" x14ac:dyDescent="0.2">
      <c r="A221" s="3" t="s">
        <v>221</v>
      </c>
      <c r="B221" s="3" t="s">
        <v>567</v>
      </c>
    </row>
    <row r="222" spans="1:2" x14ac:dyDescent="0.2">
      <c r="A222" s="3" t="s">
        <v>222</v>
      </c>
      <c r="B222" s="3" t="s">
        <v>568</v>
      </c>
    </row>
    <row r="223" spans="1:2" x14ac:dyDescent="0.2">
      <c r="A223" s="3" t="s">
        <v>223</v>
      </c>
      <c r="B223" s="3" t="s">
        <v>569</v>
      </c>
    </row>
    <row r="224" spans="1:2" x14ac:dyDescent="0.2">
      <c r="A224" s="3" t="s">
        <v>224</v>
      </c>
      <c r="B224" s="3" t="s">
        <v>570</v>
      </c>
    </row>
    <row r="225" spans="1:2" x14ac:dyDescent="0.2">
      <c r="A225" s="3" t="s">
        <v>225</v>
      </c>
      <c r="B225" s="3" t="s">
        <v>571</v>
      </c>
    </row>
    <row r="226" spans="1:2" x14ac:dyDescent="0.2">
      <c r="A226" s="3" t="s">
        <v>226</v>
      </c>
      <c r="B226" s="3" t="s">
        <v>572</v>
      </c>
    </row>
    <row r="227" spans="1:2" x14ac:dyDescent="0.2">
      <c r="A227" s="3" t="s">
        <v>227</v>
      </c>
      <c r="B227" s="3" t="s">
        <v>573</v>
      </c>
    </row>
    <row r="228" spans="1:2" x14ac:dyDescent="0.2">
      <c r="A228" s="3" t="s">
        <v>228</v>
      </c>
      <c r="B228" s="3" t="s">
        <v>574</v>
      </c>
    </row>
    <row r="229" spans="1:2" x14ac:dyDescent="0.2">
      <c r="A229" s="3" t="s">
        <v>229</v>
      </c>
      <c r="B229" s="3" t="s">
        <v>575</v>
      </c>
    </row>
    <row r="230" spans="1:2" x14ac:dyDescent="0.2">
      <c r="A230" s="3" t="s">
        <v>230</v>
      </c>
      <c r="B230" s="3" t="s">
        <v>576</v>
      </c>
    </row>
    <row r="231" spans="1:2" x14ac:dyDescent="0.2">
      <c r="A231" s="3" t="s">
        <v>231</v>
      </c>
      <c r="B231" s="3" t="s">
        <v>577</v>
      </c>
    </row>
    <row r="232" spans="1:2" x14ac:dyDescent="0.2">
      <c r="A232" s="3" t="s">
        <v>232</v>
      </c>
      <c r="B232" s="3" t="s">
        <v>578</v>
      </c>
    </row>
    <row r="233" spans="1:2" x14ac:dyDescent="0.2">
      <c r="A233" s="3" t="s">
        <v>233</v>
      </c>
      <c r="B233" s="3" t="s">
        <v>579</v>
      </c>
    </row>
    <row r="234" spans="1:2" x14ac:dyDescent="0.2">
      <c r="A234" s="3" t="s">
        <v>234</v>
      </c>
      <c r="B234" s="3" t="s">
        <v>580</v>
      </c>
    </row>
    <row r="235" spans="1:2" x14ac:dyDescent="0.2">
      <c r="A235" s="3" t="s">
        <v>235</v>
      </c>
      <c r="B235" s="3" t="s">
        <v>581</v>
      </c>
    </row>
    <row r="236" spans="1:2" x14ac:dyDescent="0.2">
      <c r="A236" s="3" t="s">
        <v>236</v>
      </c>
      <c r="B236" s="3" t="s">
        <v>582</v>
      </c>
    </row>
    <row r="237" spans="1:2" x14ac:dyDescent="0.2">
      <c r="A237" s="3" t="s">
        <v>237</v>
      </c>
      <c r="B237" s="3" t="s">
        <v>583</v>
      </c>
    </row>
    <row r="238" spans="1:2" x14ac:dyDescent="0.2">
      <c r="A238" s="3" t="s">
        <v>238</v>
      </c>
      <c r="B238" s="3" t="s">
        <v>584</v>
      </c>
    </row>
    <row r="239" spans="1:2" x14ac:dyDescent="0.2">
      <c r="A239" s="3" t="s">
        <v>239</v>
      </c>
      <c r="B239" s="3" t="s">
        <v>585</v>
      </c>
    </row>
    <row r="240" spans="1:2" x14ac:dyDescent="0.2">
      <c r="A240" s="3" t="s">
        <v>240</v>
      </c>
      <c r="B240" s="3" t="s">
        <v>586</v>
      </c>
    </row>
    <row r="241" spans="1:2" x14ac:dyDescent="0.2">
      <c r="A241" s="3" t="s">
        <v>241</v>
      </c>
      <c r="B241" s="3" t="s">
        <v>587</v>
      </c>
    </row>
    <row r="242" spans="1:2" x14ac:dyDescent="0.2">
      <c r="A242" s="3" t="s">
        <v>242</v>
      </c>
      <c r="B242" s="3" t="s">
        <v>588</v>
      </c>
    </row>
    <row r="243" spans="1:2" x14ac:dyDescent="0.2">
      <c r="A243" s="3" t="s">
        <v>243</v>
      </c>
      <c r="B243" s="3" t="s">
        <v>589</v>
      </c>
    </row>
    <row r="244" spans="1:2" x14ac:dyDescent="0.2">
      <c r="A244" s="3" t="s">
        <v>244</v>
      </c>
      <c r="B244" s="3" t="s">
        <v>590</v>
      </c>
    </row>
    <row r="245" spans="1:2" x14ac:dyDescent="0.2">
      <c r="A245" s="3" t="s">
        <v>245</v>
      </c>
      <c r="B245" s="3" t="s">
        <v>591</v>
      </c>
    </row>
    <row r="246" spans="1:2" x14ac:dyDescent="0.2">
      <c r="A246" s="3" t="s">
        <v>246</v>
      </c>
      <c r="B246" s="3" t="s">
        <v>592</v>
      </c>
    </row>
    <row r="247" spans="1:2" x14ac:dyDescent="0.2">
      <c r="A247" s="3" t="s">
        <v>247</v>
      </c>
      <c r="B247" s="3" t="s">
        <v>593</v>
      </c>
    </row>
    <row r="248" spans="1:2" x14ac:dyDescent="0.2">
      <c r="A248" s="3" t="s">
        <v>248</v>
      </c>
      <c r="B248" s="3" t="s">
        <v>594</v>
      </c>
    </row>
    <row r="249" spans="1:2" x14ac:dyDescent="0.2">
      <c r="A249" s="3" t="s">
        <v>249</v>
      </c>
      <c r="B249" s="3" t="s">
        <v>595</v>
      </c>
    </row>
    <row r="250" spans="1:2" x14ac:dyDescent="0.2">
      <c r="A250" s="3" t="s">
        <v>250</v>
      </c>
      <c r="B250" s="3" t="s">
        <v>596</v>
      </c>
    </row>
    <row r="251" spans="1:2" x14ac:dyDescent="0.2">
      <c r="A251" s="3" t="s">
        <v>251</v>
      </c>
      <c r="B251" s="3" t="s">
        <v>597</v>
      </c>
    </row>
    <row r="252" spans="1:2" x14ac:dyDescent="0.2">
      <c r="A252" s="3" t="s">
        <v>252</v>
      </c>
      <c r="B252" s="3" t="s">
        <v>598</v>
      </c>
    </row>
    <row r="253" spans="1:2" x14ac:dyDescent="0.2">
      <c r="A253" s="3" t="s">
        <v>253</v>
      </c>
      <c r="B253" s="3" t="s">
        <v>599</v>
      </c>
    </row>
    <row r="254" spans="1:2" x14ac:dyDescent="0.2">
      <c r="A254" s="3" t="s">
        <v>254</v>
      </c>
      <c r="B254" s="3" t="s">
        <v>600</v>
      </c>
    </row>
    <row r="255" spans="1:2" x14ac:dyDescent="0.2">
      <c r="A255" s="3" t="s">
        <v>255</v>
      </c>
      <c r="B255" s="3" t="s">
        <v>601</v>
      </c>
    </row>
    <row r="256" spans="1:2" x14ac:dyDescent="0.2">
      <c r="A256" s="3" t="s">
        <v>256</v>
      </c>
      <c r="B256" s="3" t="s">
        <v>602</v>
      </c>
    </row>
    <row r="257" spans="1:2" x14ac:dyDescent="0.2">
      <c r="A257" s="3" t="s">
        <v>257</v>
      </c>
      <c r="B257" s="3" t="s">
        <v>603</v>
      </c>
    </row>
    <row r="258" spans="1:2" x14ac:dyDescent="0.2">
      <c r="A258" s="3" t="s">
        <v>258</v>
      </c>
      <c r="B258" s="3" t="s">
        <v>604</v>
      </c>
    </row>
    <row r="259" spans="1:2" x14ac:dyDescent="0.2">
      <c r="A259" s="3" t="s">
        <v>259</v>
      </c>
      <c r="B259" s="3" t="s">
        <v>605</v>
      </c>
    </row>
    <row r="260" spans="1:2" x14ac:dyDescent="0.2">
      <c r="A260" s="3" t="s">
        <v>260</v>
      </c>
      <c r="B260" s="3" t="s">
        <v>606</v>
      </c>
    </row>
    <row r="261" spans="1:2" x14ac:dyDescent="0.2">
      <c r="A261" s="3" t="s">
        <v>261</v>
      </c>
      <c r="B261" s="3" t="s">
        <v>607</v>
      </c>
    </row>
    <row r="262" spans="1:2" x14ac:dyDescent="0.2">
      <c r="A262" s="3" t="s">
        <v>262</v>
      </c>
      <c r="B262" s="3" t="s">
        <v>608</v>
      </c>
    </row>
    <row r="263" spans="1:2" x14ac:dyDescent="0.2">
      <c r="A263" s="3" t="s">
        <v>263</v>
      </c>
      <c r="B263" s="3" t="s">
        <v>609</v>
      </c>
    </row>
    <row r="264" spans="1:2" x14ac:dyDescent="0.2">
      <c r="A264" s="3" t="s">
        <v>264</v>
      </c>
      <c r="B264" s="3" t="s">
        <v>610</v>
      </c>
    </row>
    <row r="265" spans="1:2" x14ac:dyDescent="0.2">
      <c r="A265" s="3" t="s">
        <v>265</v>
      </c>
      <c r="B265" s="3" t="s">
        <v>611</v>
      </c>
    </row>
    <row r="266" spans="1:2" x14ac:dyDescent="0.2">
      <c r="A266" s="3" t="s">
        <v>266</v>
      </c>
      <c r="B266" s="3" t="s">
        <v>612</v>
      </c>
    </row>
    <row r="267" spans="1:2" x14ac:dyDescent="0.2">
      <c r="A267" s="3" t="s">
        <v>267</v>
      </c>
      <c r="B267" s="3" t="s">
        <v>613</v>
      </c>
    </row>
    <row r="268" spans="1:2" x14ac:dyDescent="0.2">
      <c r="A268" s="3" t="s">
        <v>268</v>
      </c>
      <c r="B268" s="3" t="s">
        <v>614</v>
      </c>
    </row>
    <row r="269" spans="1:2" x14ac:dyDescent="0.2">
      <c r="A269" s="3" t="s">
        <v>269</v>
      </c>
      <c r="B269" s="3" t="s">
        <v>615</v>
      </c>
    </row>
    <row r="270" spans="1:2" x14ac:dyDescent="0.2">
      <c r="A270" s="3" t="s">
        <v>270</v>
      </c>
      <c r="B270" s="3" t="s">
        <v>616</v>
      </c>
    </row>
    <row r="271" spans="1:2" x14ac:dyDescent="0.2">
      <c r="A271" s="3" t="s">
        <v>271</v>
      </c>
      <c r="B271" s="3" t="s">
        <v>617</v>
      </c>
    </row>
    <row r="272" spans="1:2" x14ac:dyDescent="0.2">
      <c r="A272" s="3" t="s">
        <v>272</v>
      </c>
      <c r="B272" s="3" t="s">
        <v>618</v>
      </c>
    </row>
    <row r="273" spans="1:2" x14ac:dyDescent="0.2">
      <c r="A273" s="3" t="s">
        <v>273</v>
      </c>
      <c r="B273" s="3" t="s">
        <v>619</v>
      </c>
    </row>
    <row r="274" spans="1:2" x14ac:dyDescent="0.2">
      <c r="A274" s="3" t="s">
        <v>274</v>
      </c>
      <c r="B274" s="3" t="s">
        <v>620</v>
      </c>
    </row>
    <row r="275" spans="1:2" x14ac:dyDescent="0.2">
      <c r="A275" s="3" t="s">
        <v>275</v>
      </c>
      <c r="B275" s="3" t="s">
        <v>621</v>
      </c>
    </row>
    <row r="276" spans="1:2" x14ac:dyDescent="0.2">
      <c r="A276" s="3" t="s">
        <v>276</v>
      </c>
      <c r="B276" s="3" t="s">
        <v>622</v>
      </c>
    </row>
    <row r="277" spans="1:2" x14ac:dyDescent="0.2">
      <c r="A277" s="3" t="s">
        <v>277</v>
      </c>
      <c r="B277" s="3" t="s">
        <v>623</v>
      </c>
    </row>
    <row r="278" spans="1:2" x14ac:dyDescent="0.2">
      <c r="A278" s="3" t="s">
        <v>278</v>
      </c>
      <c r="B278" s="3" t="s">
        <v>624</v>
      </c>
    </row>
    <row r="279" spans="1:2" x14ac:dyDescent="0.2">
      <c r="A279" s="3" t="s">
        <v>279</v>
      </c>
      <c r="B279" s="3" t="s">
        <v>625</v>
      </c>
    </row>
    <row r="280" spans="1:2" x14ac:dyDescent="0.2">
      <c r="A280" s="3" t="s">
        <v>280</v>
      </c>
      <c r="B280" s="3" t="s">
        <v>626</v>
      </c>
    </row>
    <row r="281" spans="1:2" x14ac:dyDescent="0.2">
      <c r="A281" s="3" t="s">
        <v>281</v>
      </c>
      <c r="B281" s="3" t="s">
        <v>627</v>
      </c>
    </row>
    <row r="282" spans="1:2" x14ac:dyDescent="0.2">
      <c r="A282" s="3" t="s">
        <v>282</v>
      </c>
      <c r="B282" s="3" t="s">
        <v>628</v>
      </c>
    </row>
    <row r="283" spans="1:2" x14ac:dyDescent="0.2">
      <c r="A283" s="3" t="s">
        <v>283</v>
      </c>
      <c r="B283" s="3" t="s">
        <v>629</v>
      </c>
    </row>
    <row r="284" spans="1:2" x14ac:dyDescent="0.2">
      <c r="A284" s="3" t="s">
        <v>284</v>
      </c>
      <c r="B284" s="3" t="s">
        <v>630</v>
      </c>
    </row>
    <row r="285" spans="1:2" x14ac:dyDescent="0.2">
      <c r="A285" s="3" t="s">
        <v>285</v>
      </c>
      <c r="B285" s="3" t="s">
        <v>631</v>
      </c>
    </row>
    <row r="286" spans="1:2" x14ac:dyDescent="0.2">
      <c r="A286" s="3" t="s">
        <v>286</v>
      </c>
      <c r="B286" s="3" t="s">
        <v>632</v>
      </c>
    </row>
    <row r="287" spans="1:2" x14ac:dyDescent="0.2">
      <c r="A287" s="3" t="s">
        <v>287</v>
      </c>
      <c r="B287" s="3" t="s">
        <v>633</v>
      </c>
    </row>
    <row r="288" spans="1:2" x14ac:dyDescent="0.2">
      <c r="A288" s="3" t="s">
        <v>288</v>
      </c>
      <c r="B288" s="3" t="s">
        <v>634</v>
      </c>
    </row>
    <row r="289" spans="1:2" x14ac:dyDescent="0.2">
      <c r="A289" s="3" t="s">
        <v>289</v>
      </c>
      <c r="B289" s="3" t="s">
        <v>635</v>
      </c>
    </row>
    <row r="290" spans="1:2" x14ac:dyDescent="0.2">
      <c r="A290" s="3" t="s">
        <v>290</v>
      </c>
      <c r="B290" s="3" t="s">
        <v>636</v>
      </c>
    </row>
    <row r="291" spans="1:2" x14ac:dyDescent="0.2">
      <c r="A291" s="3" t="s">
        <v>291</v>
      </c>
      <c r="B291" s="3" t="s">
        <v>637</v>
      </c>
    </row>
    <row r="292" spans="1:2" x14ac:dyDescent="0.2">
      <c r="A292" s="3" t="s">
        <v>292</v>
      </c>
      <c r="B292" s="3" t="s">
        <v>638</v>
      </c>
    </row>
    <row r="293" spans="1:2" x14ac:dyDescent="0.2">
      <c r="A293" s="3" t="s">
        <v>293</v>
      </c>
      <c r="B293" s="3" t="s">
        <v>639</v>
      </c>
    </row>
    <row r="294" spans="1:2" x14ac:dyDescent="0.2">
      <c r="A294" s="3" t="s">
        <v>294</v>
      </c>
      <c r="B294" s="3" t="s">
        <v>640</v>
      </c>
    </row>
    <row r="295" spans="1:2" x14ac:dyDescent="0.2">
      <c r="A295" s="3" t="s">
        <v>295</v>
      </c>
      <c r="B295" s="3" t="s">
        <v>641</v>
      </c>
    </row>
    <row r="296" spans="1:2" x14ac:dyDescent="0.2">
      <c r="A296" s="3" t="s">
        <v>296</v>
      </c>
      <c r="B296" s="3" t="s">
        <v>642</v>
      </c>
    </row>
    <row r="297" spans="1:2" x14ac:dyDescent="0.2">
      <c r="A297" s="3" t="s">
        <v>297</v>
      </c>
      <c r="B297" s="3" t="s">
        <v>643</v>
      </c>
    </row>
    <row r="298" spans="1:2" x14ac:dyDescent="0.2">
      <c r="A298" s="3" t="s">
        <v>298</v>
      </c>
      <c r="B298" s="3" t="s">
        <v>644</v>
      </c>
    </row>
    <row r="299" spans="1:2" x14ac:dyDescent="0.2">
      <c r="A299" s="3" t="s">
        <v>299</v>
      </c>
      <c r="B299" s="3" t="s">
        <v>645</v>
      </c>
    </row>
    <row r="300" spans="1:2" x14ac:dyDescent="0.2">
      <c r="A300" s="3" t="s">
        <v>300</v>
      </c>
      <c r="B300" s="3" t="s">
        <v>646</v>
      </c>
    </row>
    <row r="301" spans="1:2" x14ac:dyDescent="0.2">
      <c r="A301" s="3" t="s">
        <v>301</v>
      </c>
      <c r="B301" s="3" t="s">
        <v>647</v>
      </c>
    </row>
    <row r="302" spans="1:2" x14ac:dyDescent="0.2">
      <c r="A302" s="3" t="s">
        <v>302</v>
      </c>
      <c r="B302" s="3" t="s">
        <v>648</v>
      </c>
    </row>
    <row r="303" spans="1:2" x14ac:dyDescent="0.2">
      <c r="A303" s="3" t="s">
        <v>303</v>
      </c>
      <c r="B303" s="3" t="s">
        <v>649</v>
      </c>
    </row>
    <row r="304" spans="1:2" x14ac:dyDescent="0.2">
      <c r="A304" s="3" t="s">
        <v>304</v>
      </c>
      <c r="B304" s="3" t="s">
        <v>650</v>
      </c>
    </row>
    <row r="305" spans="1:2" x14ac:dyDescent="0.2">
      <c r="A305" s="3" t="s">
        <v>305</v>
      </c>
      <c r="B305" s="3" t="s">
        <v>651</v>
      </c>
    </row>
    <row r="306" spans="1:2" x14ac:dyDescent="0.2">
      <c r="A306" s="3" t="s">
        <v>306</v>
      </c>
      <c r="B306" s="3" t="s">
        <v>652</v>
      </c>
    </row>
    <row r="307" spans="1:2" x14ac:dyDescent="0.2">
      <c r="A307" s="3" t="s">
        <v>307</v>
      </c>
      <c r="B307" s="3" t="s">
        <v>653</v>
      </c>
    </row>
    <row r="308" spans="1:2" x14ac:dyDescent="0.2">
      <c r="A308" s="3" t="s">
        <v>308</v>
      </c>
      <c r="B308" s="3" t="s">
        <v>654</v>
      </c>
    </row>
    <row r="309" spans="1:2" x14ac:dyDescent="0.2">
      <c r="A309" s="3" t="s">
        <v>309</v>
      </c>
      <c r="B309" s="3" t="s">
        <v>655</v>
      </c>
    </row>
    <row r="310" spans="1:2" x14ac:dyDescent="0.2">
      <c r="A310" s="3" t="s">
        <v>310</v>
      </c>
      <c r="B310" s="3" t="s">
        <v>656</v>
      </c>
    </row>
    <row r="311" spans="1:2" x14ac:dyDescent="0.2">
      <c r="A311" s="3" t="s">
        <v>311</v>
      </c>
      <c r="B311" s="3" t="s">
        <v>657</v>
      </c>
    </row>
    <row r="312" spans="1:2" x14ac:dyDescent="0.2">
      <c r="A312" s="3" t="s">
        <v>312</v>
      </c>
      <c r="B312" s="3" t="s">
        <v>658</v>
      </c>
    </row>
    <row r="313" spans="1:2" x14ac:dyDescent="0.2">
      <c r="A313" s="3" t="s">
        <v>313</v>
      </c>
      <c r="B313" s="3" t="s">
        <v>659</v>
      </c>
    </row>
    <row r="314" spans="1:2" x14ac:dyDescent="0.2">
      <c r="A314" s="3" t="s">
        <v>314</v>
      </c>
      <c r="B314" s="3" t="s">
        <v>660</v>
      </c>
    </row>
    <row r="315" spans="1:2" x14ac:dyDescent="0.2">
      <c r="A315" s="3" t="s">
        <v>315</v>
      </c>
      <c r="B315" s="3" t="s">
        <v>661</v>
      </c>
    </row>
    <row r="316" spans="1:2" x14ac:dyDescent="0.2">
      <c r="A316" s="3" t="s">
        <v>316</v>
      </c>
      <c r="B316" s="3" t="s">
        <v>662</v>
      </c>
    </row>
    <row r="317" spans="1:2" x14ac:dyDescent="0.2">
      <c r="A317" s="3" t="s">
        <v>317</v>
      </c>
      <c r="B317" s="3" t="s">
        <v>663</v>
      </c>
    </row>
    <row r="318" spans="1:2" x14ac:dyDescent="0.2">
      <c r="A318" s="3" t="s">
        <v>318</v>
      </c>
      <c r="B318" s="3" t="s">
        <v>664</v>
      </c>
    </row>
    <row r="319" spans="1:2" x14ac:dyDescent="0.2">
      <c r="A319" s="3" t="s">
        <v>319</v>
      </c>
      <c r="B319" s="3" t="s">
        <v>665</v>
      </c>
    </row>
    <row r="320" spans="1:2" x14ac:dyDescent="0.2">
      <c r="A320" s="3" t="s">
        <v>320</v>
      </c>
      <c r="B320" s="3" t="s">
        <v>666</v>
      </c>
    </row>
    <row r="321" spans="1:2" x14ac:dyDescent="0.2">
      <c r="A321" s="3" t="s">
        <v>321</v>
      </c>
      <c r="B321" s="3" t="s">
        <v>667</v>
      </c>
    </row>
    <row r="322" spans="1:2" x14ac:dyDescent="0.2">
      <c r="A322" s="3" t="s">
        <v>322</v>
      </c>
      <c r="B322" s="3" t="s">
        <v>668</v>
      </c>
    </row>
    <row r="323" spans="1:2" x14ac:dyDescent="0.2">
      <c r="A323" s="3" t="s">
        <v>323</v>
      </c>
      <c r="B323" s="3" t="s">
        <v>669</v>
      </c>
    </row>
    <row r="324" spans="1:2" x14ac:dyDescent="0.2">
      <c r="A324" s="3" t="s">
        <v>324</v>
      </c>
      <c r="B324" s="3" t="s">
        <v>670</v>
      </c>
    </row>
    <row r="325" spans="1:2" x14ac:dyDescent="0.2">
      <c r="A325" s="3" t="s">
        <v>325</v>
      </c>
      <c r="B325" s="3" t="s">
        <v>671</v>
      </c>
    </row>
    <row r="326" spans="1:2" x14ac:dyDescent="0.2">
      <c r="A326" s="3" t="s">
        <v>326</v>
      </c>
      <c r="B326" s="3" t="s">
        <v>672</v>
      </c>
    </row>
    <row r="327" spans="1:2" x14ac:dyDescent="0.2">
      <c r="A327" s="3" t="s">
        <v>327</v>
      </c>
      <c r="B327" s="3" t="s">
        <v>673</v>
      </c>
    </row>
    <row r="328" spans="1:2" x14ac:dyDescent="0.2">
      <c r="A328" s="3" t="s">
        <v>328</v>
      </c>
      <c r="B328" s="3" t="s">
        <v>674</v>
      </c>
    </row>
    <row r="329" spans="1:2" x14ac:dyDescent="0.2">
      <c r="A329" s="3" t="s">
        <v>329</v>
      </c>
      <c r="B329" s="3" t="s">
        <v>675</v>
      </c>
    </row>
    <row r="330" spans="1:2" x14ac:dyDescent="0.2">
      <c r="A330" s="3" t="s">
        <v>330</v>
      </c>
      <c r="B330" s="3" t="s">
        <v>676</v>
      </c>
    </row>
    <row r="331" spans="1:2" x14ac:dyDescent="0.2">
      <c r="A331" s="3" t="s">
        <v>331</v>
      </c>
      <c r="B331" s="3" t="s">
        <v>677</v>
      </c>
    </row>
    <row r="332" spans="1:2" x14ac:dyDescent="0.2">
      <c r="A332" s="3" t="s">
        <v>332</v>
      </c>
      <c r="B332" s="3" t="s">
        <v>678</v>
      </c>
    </row>
    <row r="333" spans="1:2" x14ac:dyDescent="0.2">
      <c r="A333" s="3" t="s">
        <v>333</v>
      </c>
      <c r="B333" s="3" t="s">
        <v>679</v>
      </c>
    </row>
    <row r="334" spans="1:2" x14ac:dyDescent="0.2">
      <c r="A334" s="3" t="s">
        <v>334</v>
      </c>
      <c r="B334" s="3" t="s">
        <v>680</v>
      </c>
    </row>
    <row r="335" spans="1:2" x14ac:dyDescent="0.2">
      <c r="A335" s="3" t="s">
        <v>335</v>
      </c>
      <c r="B335" s="3" t="s">
        <v>681</v>
      </c>
    </row>
    <row r="336" spans="1:2" x14ac:dyDescent="0.2">
      <c r="A336" s="3" t="s">
        <v>336</v>
      </c>
      <c r="B336" s="3" t="s">
        <v>682</v>
      </c>
    </row>
    <row r="337" spans="1:2" x14ac:dyDescent="0.2">
      <c r="A337" s="3" t="s">
        <v>337</v>
      </c>
      <c r="B337" s="3" t="s">
        <v>683</v>
      </c>
    </row>
    <row r="338" spans="1:2" x14ac:dyDescent="0.2">
      <c r="A338" s="3" t="s">
        <v>338</v>
      </c>
      <c r="B338" s="3" t="s">
        <v>684</v>
      </c>
    </row>
    <row r="339" spans="1:2" x14ac:dyDescent="0.2">
      <c r="A339" s="3" t="s">
        <v>339</v>
      </c>
      <c r="B339" s="3" t="s">
        <v>685</v>
      </c>
    </row>
    <row r="340" spans="1:2" x14ac:dyDescent="0.2">
      <c r="A340" s="3" t="s">
        <v>340</v>
      </c>
      <c r="B340" s="3" t="s">
        <v>686</v>
      </c>
    </row>
    <row r="341" spans="1:2" x14ac:dyDescent="0.2">
      <c r="A341" s="3" t="s">
        <v>341</v>
      </c>
      <c r="B341" s="3" t="s">
        <v>687</v>
      </c>
    </row>
    <row r="342" spans="1:2" x14ac:dyDescent="0.2">
      <c r="A342" s="3" t="s">
        <v>342</v>
      </c>
      <c r="B342" s="3" t="s">
        <v>688</v>
      </c>
    </row>
    <row r="343" spans="1:2" x14ac:dyDescent="0.2">
      <c r="A343" s="3" t="s">
        <v>343</v>
      </c>
      <c r="B343" s="3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miscellaneous_data_analysis</vt:lpstr>
      <vt:lpstr>1_buildings_total</vt:lpstr>
      <vt:lpstr>2_land_use</vt:lpstr>
      <vt:lpstr>3_has_tram_metro</vt:lpstr>
      <vt:lpstr>4_number_of_transport</vt:lpstr>
      <vt:lpstr>5_train_share_nl</vt:lpstr>
      <vt:lpstr>6_roof_surface</vt:lpstr>
      <vt:lpstr>7_biomass</vt:lpstr>
      <vt:lpstr>CBS_gemeenten_alfabetisch_2023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von Meijenfeldt</dc:creator>
  <cp:lastModifiedBy>Koen van Bemmelen</cp:lastModifiedBy>
  <dcterms:created xsi:type="dcterms:W3CDTF">2025-07-09T07:53:00Z</dcterms:created>
  <dcterms:modified xsi:type="dcterms:W3CDTF">2025-09-05T13:46:14Z</dcterms:modified>
</cp:coreProperties>
</file>