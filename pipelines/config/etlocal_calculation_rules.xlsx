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envanbemmelen/work/etdataset/pipelines/config/"/>
    </mc:Choice>
  </mc:AlternateContent>
  <xr:revisionPtr revIDLastSave="0" documentId="13_ncr:1_{1AA02196-C1EF-7145-8388-0C962EA4AF55}" xr6:coauthVersionLast="47" xr6:coauthVersionMax="47" xr10:uidLastSave="{00000000-0000-0000-0000-000000000000}"/>
  <bookViews>
    <workbookView xWindow="1080" yWindow="500" windowWidth="37320" windowHeight="21100" activeTab="1" xr2:uid="{8A89086D-D34F-A247-B8CF-CBD712F0B042}"/>
  </bookViews>
  <sheets>
    <sheet name="README" sheetId="9" r:id="rId1"/>
    <sheet name="D_ETLocal_keys_to_ovar" sheetId="1" r:id="rId2"/>
    <sheet name="custom_variables" sheetId="8" r:id="rId3"/>
    <sheet name="custom_functions" sheetId="6" r:id="rId4"/>
    <sheet name="A_km-var_to_ivar" sheetId="3" r:id="rId5"/>
    <sheet name="all_ivar_per_source" sheetId="5" r:id="rId6"/>
  </sheets>
  <definedNames>
    <definedName name="_xlnm._FilterDatabase" localSheetId="5" hidden="1">all_ivar_per_source!$A$1:$D$187</definedName>
    <definedName name="_xlnm._FilterDatabase" localSheetId="1" hidden="1">D_ETLocal_keys_to_ovar!$A$1:$C$583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4" i="1" l="1"/>
  <c r="C445" i="1"/>
  <c r="C446" i="1"/>
  <c r="C447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3" i="1"/>
  <c r="C582" i="1"/>
  <c r="C581" i="1"/>
  <c r="C580" i="1"/>
  <c r="C579" i="1"/>
  <c r="C578" i="1"/>
  <c r="C574" i="1"/>
  <c r="C575" i="1"/>
  <c r="C576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31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05" i="1"/>
  <c r="C503" i="1"/>
  <c r="C504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8" i="1"/>
  <c r="C449" i="1"/>
  <c r="C450" i="1"/>
  <c r="C451" i="1"/>
  <c r="C234" i="1"/>
  <c r="F5" i="8"/>
  <c r="F4" i="8"/>
</calcChain>
</file>

<file path=xl/sharedStrings.xml><?xml version="1.0" encoding="utf-8"?>
<sst xmlns="http://schemas.openxmlformats.org/spreadsheetml/2006/main" count="5212" uniqueCount="1434">
  <si>
    <t>Agriculture</t>
  </si>
  <si>
    <t>agriculture_final_demand_electricity_demand</t>
  </si>
  <si>
    <t>agriculture_final_demand_network_gas_demand</t>
  </si>
  <si>
    <t>input_agriculture_final_demand_steam_hot_water_demand</t>
  </si>
  <si>
    <t>agriculture_final_demand_wood_pellets_demand</t>
  </si>
  <si>
    <t>input_agriculture_final_demand_crude_oil_demand</t>
  </si>
  <si>
    <t>Buildings</t>
  </si>
  <si>
    <t>input_buildings_electricity_demand</t>
  </si>
  <si>
    <t>buildings_final_demand_network_gas_demand</t>
  </si>
  <si>
    <t>input_buildings_final_demand_steam_hot_water_demand</t>
  </si>
  <si>
    <t>buildings_final_demand_wood_pellets_demand</t>
  </si>
  <si>
    <t>buildings_final_demand_coal_demand</t>
  </si>
  <si>
    <t>input_buildings_final_demand_crude_oil_demand</t>
  </si>
  <si>
    <t>buildings_final_demand_solar_thermal_demand</t>
  </si>
  <si>
    <t>Energy production</t>
  </si>
  <si>
    <t>energy_power_sector_own_use_electricity_demand</t>
  </si>
  <si>
    <t>energy_power_hv_network_loss_demand</t>
  </si>
  <si>
    <t>energy_distribution_greengas_demand</t>
  </si>
  <si>
    <t>energy_regasification_lng_energy_national_gas_network_natural_gas_demand</t>
  </si>
  <si>
    <t>energy_distribution_network_gas_loss_demand</t>
  </si>
  <si>
    <t>Households</t>
  </si>
  <si>
    <t>households_final_demand_electricity_demand</t>
  </si>
  <si>
    <t>households_final_demand_network_gas_demand</t>
  </si>
  <si>
    <t>input_households_final_demand_steam_hot_water_demand</t>
  </si>
  <si>
    <t>households_final_demand_wood_pellets_demand</t>
  </si>
  <si>
    <t>households_final_demand_coal_demand</t>
  </si>
  <si>
    <t>input_households_final_demand_crude_oil_demand</t>
  </si>
  <si>
    <t>households_final_demand_solar_thermal_demand</t>
  </si>
  <si>
    <t>Industry</t>
  </si>
  <si>
    <t>input_industry_ict_electricity_demand</t>
  </si>
  <si>
    <t>input_industry_metal_aluminium_production</t>
  </si>
  <si>
    <t>input_industry_metal_aluminium_electricity_demand</t>
  </si>
  <si>
    <t>input_industry_metal_aluminium_network_gas_demand</t>
  </si>
  <si>
    <t>input_industry_chemical_other_electricity_demand</t>
  </si>
  <si>
    <t>input_industry_chemical_other_network_gas_demand</t>
  </si>
  <si>
    <t>input_industry_chemical_other_steam_hot_water_demand</t>
  </si>
  <si>
    <t>input_industry_chemical_other_wood_pellets_demand</t>
  </si>
  <si>
    <t>input_industry_chemical_other_crude_oil_demand</t>
  </si>
  <si>
    <t>input_industry_chemical_other_coal_demand</t>
  </si>
  <si>
    <t>input_industry_chemical_other_network_gas_non_energetic_demand</t>
  </si>
  <si>
    <t>input_industry_chemical_other_wood_pellets_non_energetic_demand</t>
  </si>
  <si>
    <t>input_industry_chemical_other_crude_oil_non_energetic_demand</t>
  </si>
  <si>
    <t>input_industry_chemical_other_coal_non_energetic_demand</t>
  </si>
  <si>
    <t>input_industry_chemical_fertilizers_electricity_demand</t>
  </si>
  <si>
    <t>input_industry_chemical_fertilizers_network_gas_demand</t>
  </si>
  <si>
    <t>input_industry_chemical_fertilizers_steam_hot_water_demand</t>
  </si>
  <si>
    <t>input_industry_chemical_fertilizers_wood_pellets_demand</t>
  </si>
  <si>
    <t>input_industry_chemical_fertilizers_crude_oil_demand</t>
  </si>
  <si>
    <t>input_industry_chemical_fertilizers_coal_demand</t>
  </si>
  <si>
    <t>input_industry_chemical_fertilizers_network_gas_non_energetic_demand</t>
  </si>
  <si>
    <t>input_industry_chemical_fertilizers_wood_pellets_non_energetic_demand</t>
  </si>
  <si>
    <t>input_industry_chemical_fertilizers_crude_oil_non_energetic_demand</t>
  </si>
  <si>
    <t>input_industry_chemical_fertilizers_coal_non_energetic_demand</t>
  </si>
  <si>
    <t>input_industry_chemical_fertilizers_hydrogen_non_energetic_demand</t>
  </si>
  <si>
    <t>input_industry_food_electricity_demand</t>
  </si>
  <si>
    <t>input_industry_food_network_gas_demand</t>
  </si>
  <si>
    <t>input_industry_food_steam_hot_water_demand</t>
  </si>
  <si>
    <t>input_industry_food_wood_pellets_demand</t>
  </si>
  <si>
    <t>input_industry_food_crude_oil_demand</t>
  </si>
  <si>
    <t>input_industry_food_coal_demand</t>
  </si>
  <si>
    <t>input_industry_metal_other_electricity_demand</t>
  </si>
  <si>
    <t>input_industry_metal_other_network_gas_demand</t>
  </si>
  <si>
    <t>input_industry_metal_other_steam_hot_water_demand</t>
  </si>
  <si>
    <t>input_industry_metal_other_crude_oil_demand</t>
  </si>
  <si>
    <t>input_industry_metal_other_coal_demand</t>
  </si>
  <si>
    <t>input_industry_other_electricity_demand</t>
  </si>
  <si>
    <t>input_industry_other_network_gas_demand</t>
  </si>
  <si>
    <t>input_industry_other_steam_hot_water_demand</t>
  </si>
  <si>
    <t>input_industry_other_wood_pellets_demand</t>
  </si>
  <si>
    <t>input_industry_other_crude_oil_demand</t>
  </si>
  <si>
    <t>input_industry_other_coal_demand</t>
  </si>
  <si>
    <t>input_industry_other_cokes_demand</t>
  </si>
  <si>
    <t>input_industry_other_network_gas_non_energetic_demand</t>
  </si>
  <si>
    <t>input_industry_other_wood_pellets_non_energetic_demand</t>
  </si>
  <si>
    <t>input_industry_other_crude_oil_non_energetic_demand</t>
  </si>
  <si>
    <t>input_industry_other_coal_non_energetic_demand</t>
  </si>
  <si>
    <t>input_industry_other_cokes_non_energetic_demand</t>
  </si>
  <si>
    <t>input_industry_paper_electricity_demand</t>
  </si>
  <si>
    <t>input_industry_paper_network_gas_demand</t>
  </si>
  <si>
    <t>input_industry_paper_steam_hot_water_demand</t>
  </si>
  <si>
    <t>input_industry_paper_wood_pellets_demand</t>
  </si>
  <si>
    <t>input_industry_paper_crude_oil_demand</t>
  </si>
  <si>
    <t>input_industry_paper_coal_demand</t>
  </si>
  <si>
    <t>industry_useful_demand_for_chemical_refineries_crude_oil_non_energetic_demand</t>
  </si>
  <si>
    <t>input_industry_chemical_refineries_wood_pellets_non_energetic_demand</t>
  </si>
  <si>
    <t>input_industry_chemical_refineries_network_gas_non_energetic_demand</t>
  </si>
  <si>
    <t>input_industry_chemical_refineries_coal_non_energetic_demand</t>
  </si>
  <si>
    <t>input_industry_chemical_refineries_electricity_demand</t>
  </si>
  <si>
    <t>input_industry_chemical_refineries_network_gas_demand</t>
  </si>
  <si>
    <t>input_industry_chemical_refineries_steam_hot_water_demand</t>
  </si>
  <si>
    <t>input_industry_chemical_refineries_wood_pellets_demand</t>
  </si>
  <si>
    <t>input_industry_chemical_refineries_coal_demand</t>
  </si>
  <si>
    <t>input_industry_chemical_refineries_crude_oil_demand</t>
  </si>
  <si>
    <t>input_industry_refinery_transformation_crude_oil_other_oil_demand</t>
  </si>
  <si>
    <t>input_industry_refinery_transformation_crude_oil_gasoline_demand</t>
  </si>
  <si>
    <t>input_industry_refinery_transformation_crude_oil_heavy_fuel_oil_demand</t>
  </si>
  <si>
    <t>input_industry_refinery_transformation_crude_oil_kerosene_demand</t>
  </si>
  <si>
    <t>input_industry_refinery_transformation_crude_oil_lpg_demand</t>
  </si>
  <si>
    <t>input_industry_refinery_transformation_crude_oil_refinery_gas_demand</t>
  </si>
  <si>
    <t>input_industry_refinery_transformation_crude_oil_diesel_demand</t>
  </si>
  <si>
    <t>energy_distribution_crude_oil_loss_demand</t>
  </si>
  <si>
    <t>input_industry_metal_steel_production</t>
  </si>
  <si>
    <t>input_industry_metal_steel_coal_demand</t>
  </si>
  <si>
    <t>input_industry_metal_steel_cokes_demand</t>
  </si>
  <si>
    <t>input_industry_metal_steel_coal_gas_demand</t>
  </si>
  <si>
    <t>input_industry_metal_steel_electricity_demand</t>
  </si>
  <si>
    <t>input_industry_metal_steel_network_gas_demand</t>
  </si>
  <si>
    <t>input_industry_metal_steel_steam_hot_water_demand</t>
  </si>
  <si>
    <t>input_industry_metal_steel_crude_oil_demand</t>
  </si>
  <si>
    <t>input_industry_metal_steel_wood_pellets_demand</t>
  </si>
  <si>
    <t>input_energy_cokesoven_transformation_coal_input_demand</t>
  </si>
  <si>
    <t>input_energy_blastfurnace_transformation_coal_input_demand</t>
  </si>
  <si>
    <t>input_energy_blastfurnace_transformation_cokes_input_demand</t>
  </si>
  <si>
    <t>input_energy_power_combined_cycle_coal_gas_coal_gas_input_demand</t>
  </si>
  <si>
    <t>input_energy_chp_coal_gas_coal_gas_input_demand</t>
  </si>
  <si>
    <t>Other energy demand</t>
  </si>
  <si>
    <t>Transport</t>
  </si>
  <si>
    <t>other_final_demand_electricity_demand</t>
  </si>
  <si>
    <t>other_final_demand_network_gas_demand</t>
  </si>
  <si>
    <t>input_other_final_demand_steam_hot_water_demand</t>
  </si>
  <si>
    <t>other_final_demand_wood_pellets_demand</t>
  </si>
  <si>
    <t>other_final_demand_coal_demand</t>
  </si>
  <si>
    <t>other_final_demand_crude_oil_demand</t>
  </si>
  <si>
    <t>other_final_demand_crude_oil_non_energetic_demand</t>
  </si>
  <si>
    <t>transport_final_demand_kerosene_demand</t>
  </si>
  <si>
    <t>input_transport_plane_gasoline_demand</t>
  </si>
  <si>
    <t>input_transport_plane_bio_ethanol_demand</t>
  </si>
  <si>
    <t>input_transport_plane_electricity_demand</t>
  </si>
  <si>
    <t>bunkers_total_useful_demand_planes_demand</t>
  </si>
  <si>
    <t>input_transport_rail_electricity_demand</t>
  </si>
  <si>
    <t>input_transport_rail_diesel_demand</t>
  </si>
  <si>
    <t>input_transport_rail_biodiesel_demand</t>
  </si>
  <si>
    <t>transport_final_demand_coal_demand</t>
  </si>
  <si>
    <t>input_transport_road_gasoline_demand</t>
  </si>
  <si>
    <t>input_transport_road_diesel_demand</t>
  </si>
  <si>
    <t>transport_final_demand_lpg_demand</t>
  </si>
  <si>
    <t>input_transport_road_electricity_demand</t>
  </si>
  <si>
    <t>input_transport_road_bio_ethanol_demand</t>
  </si>
  <si>
    <t>input_transport_road_biodiesel_demand</t>
  </si>
  <si>
    <t>transport_final_demand_for_road_compressed_network_gas_demand</t>
  </si>
  <si>
    <t>transport_final_demand_hydrogen_demand</t>
  </si>
  <si>
    <t>transport_final_demand_for_road_lng_demand</t>
  </si>
  <si>
    <t>transport_final_demand_for_road_bio_lng_demand</t>
  </si>
  <si>
    <t>input_transport_ship_diesel_demand</t>
  </si>
  <si>
    <t>input_transport_ship_biodiesel_demand</t>
  </si>
  <si>
    <t>transport_final_demand_for_shipping_lng_demand</t>
  </si>
  <si>
    <t>transport_final_demand_for_shipping_bio_lng_demand</t>
  </si>
  <si>
    <t>input_transport_ship_bio_ethanol_demand</t>
  </si>
  <si>
    <t>transport_final_demand_heavy_fuel_oil_demand</t>
  </si>
  <si>
    <t>input_transport_ship_electricity_demand</t>
  </si>
  <si>
    <t>bunkers_total_useful_demand_ships_demand</t>
  </si>
  <si>
    <t>agri_electricity_demand_tj</t>
  </si>
  <si>
    <t>agri_gas_fd_tj</t>
  </si>
  <si>
    <t>agri_heat_demand_tj</t>
  </si>
  <si>
    <t>zero</t>
  </si>
  <si>
    <t>bd_electricity_tj_corrected</t>
  </si>
  <si>
    <t>bd_gas_services_tj</t>
  </si>
  <si>
    <t>buildings_collective_heat_demand</t>
  </si>
  <si>
    <t>buildings_individual_biomass_demand</t>
  </si>
  <si>
    <t>ind_electricity_sbi_d_tj</t>
  </si>
  <si>
    <t>electricity_grid_losses</t>
  </si>
  <si>
    <t>green_gas_scaled</t>
  </si>
  <si>
    <t>N/A</t>
  </si>
  <si>
    <t>hh_elec_tj_inc_own_use_solar_minus_home_charging</t>
  </si>
  <si>
    <t>hh_gas_tj</t>
  </si>
  <si>
    <t>hh_heat_tj</t>
  </si>
  <si>
    <t>hh_biomass_total_tj</t>
  </si>
  <si>
    <t>bd_electricity_sbi_j_tj</t>
  </si>
  <si>
    <t>chemical_other_electricity_tj</t>
  </si>
  <si>
    <t>chemical_other_gas_tj</t>
  </si>
  <si>
    <t>food_electricity_tj</t>
  </si>
  <si>
    <t>food_gas_tj</t>
  </si>
  <si>
    <t>metal_other_electricity_tj</t>
  </si>
  <si>
    <t>metal_other_gas_tj</t>
  </si>
  <si>
    <t>industry_other_electricity_tj</t>
  </si>
  <si>
    <t>industry_other_gas_tj</t>
  </si>
  <si>
    <t>paper_electricity_tj</t>
  </si>
  <si>
    <t>paper_gas_tj</t>
  </si>
  <si>
    <t>tp_rail_electricity_tj</t>
  </si>
  <si>
    <t>tp_rail_diesel_tj</t>
  </si>
  <si>
    <t>tp_road_total_gasoline_tj</t>
  </si>
  <si>
    <t>tp_road_total_diesel_tj</t>
  </si>
  <si>
    <t>tp_road_total_lpg_tj</t>
  </si>
  <si>
    <t>tp_road_electricity_tj</t>
  </si>
  <si>
    <t>tp_road_total_bio_ethanol_tj</t>
  </si>
  <si>
    <t>tp_road_total_biodiesel_tj</t>
  </si>
  <si>
    <t>tp_road_total_natural_gas_tj</t>
  </si>
  <si>
    <t>tp_road_h2_tj</t>
  </si>
  <si>
    <t>transport_ship_diesel_tj</t>
  </si>
  <si>
    <t>Misc</t>
  </si>
  <si>
    <t>=</t>
  </si>
  <si>
    <t>one</t>
  </si>
  <si>
    <t>Area</t>
  </si>
  <si>
    <t>analysis_year</t>
  </si>
  <si>
    <t>lv_net_total_costs_present</t>
  </si>
  <si>
    <t>total_electricity_scaled</t>
  </si>
  <si>
    <t>*</t>
  </si>
  <si>
    <t>mv_net_total_costs_present</t>
  </si>
  <si>
    <t>hv_net_total_costs_present</t>
  </si>
  <si>
    <t>lv_mv_trafo_total_costs_present</t>
  </si>
  <si>
    <t>mv_hv_trafo_total_costs_present</t>
  </si>
  <si>
    <t>offshore_suitable_for_wind</t>
  </si>
  <si>
    <t>electric_car_fev_tj</t>
  </si>
  <si>
    <t>no_electric_cars_fev</t>
  </si>
  <si>
    <t>electric_car_phev_tj</t>
  </si>
  <si>
    <t>no_electric_cars_phev</t>
  </si>
  <si>
    <t>electric_car_tj</t>
  </si>
  <si>
    <t>+</t>
  </si>
  <si>
    <t>electric_bus_tj</t>
  </si>
  <si>
    <t>no_electric_busses</t>
  </si>
  <si>
    <t>electric_truck_tj</t>
  </si>
  <si>
    <t>electric_van_tj</t>
  </si>
  <si>
    <t>no_electric_vans</t>
  </si>
  <si>
    <t>electric_scooter_motorcycle_tj</t>
  </si>
  <si>
    <t>no_electric_motorcycles_scooters</t>
  </si>
  <si>
    <t>bike_kms_human_powered</t>
  </si>
  <si>
    <t>bike_kms</t>
  </si>
  <si>
    <t>bike_kms_e_bike</t>
  </si>
  <si>
    <t>electric_e_bike_tj</t>
  </si>
  <si>
    <t>tp_road_electricity_car_share</t>
  </si>
  <si>
    <t>/</t>
  </si>
  <si>
    <t>tp_road_electricity_bus_share</t>
  </si>
  <si>
    <t>tp_road_electricity_truck_share</t>
  </si>
  <si>
    <t>tp_road_electricity_van_share</t>
  </si>
  <si>
    <t>tp_road_electricity_motorcycle_share</t>
  </si>
  <si>
    <t>tp_road_electricity_bike_share</t>
  </si>
  <si>
    <t>-</t>
  </si>
  <si>
    <t>tp_road_electricity_charged_at_home_tj</t>
  </si>
  <si>
    <t>tp_road_electricity_charged_services</t>
  </si>
  <si>
    <t>tp_road_h2_car_tj</t>
  </si>
  <si>
    <t>no_h2_cars</t>
  </si>
  <si>
    <t>tp_road_h2_bus_tj</t>
  </si>
  <si>
    <t>no_h2_busses</t>
  </si>
  <si>
    <t>tp_road_h2_truck_tj</t>
  </si>
  <si>
    <t>no_h2_trucks</t>
  </si>
  <si>
    <t>tp_road_h2_van_tj</t>
  </si>
  <si>
    <t>no_h2_vans</t>
  </si>
  <si>
    <t>tp_road_h2_car_share</t>
  </si>
  <si>
    <t>tp_road_h2_bus_share</t>
  </si>
  <si>
    <t>tp_road_h2_truck_share</t>
  </si>
  <si>
    <t>tp_road_h2_van_share</t>
  </si>
  <si>
    <t>train_share_in_nl</t>
  </si>
  <si>
    <t>tp_rail_electricity_freight_train_share</t>
  </si>
  <si>
    <t>tp_rail_electricity_tram_share</t>
  </si>
  <si>
    <t>has_tram_metro</t>
  </si>
  <si>
    <t>tp_rail_electricity_passenger_train_share</t>
  </si>
  <si>
    <t>operand_1</t>
  </si>
  <si>
    <t>variable</t>
  </si>
  <si>
    <t>sector</t>
  </si>
  <si>
    <t>etlocal_key</t>
  </si>
  <si>
    <t>operand_2</t>
  </si>
  <si>
    <t>equals</t>
  </si>
  <si>
    <t>element_1</t>
  </si>
  <si>
    <t>element_2</t>
  </si>
  <si>
    <t>element_3</t>
  </si>
  <si>
    <t>operand_3</t>
  </si>
  <si>
    <t>hh_electricity_tj</t>
  </si>
  <si>
    <t>solar_pv_own_use_households_tj</t>
  </si>
  <si>
    <t>hh_solar_thermal_tj</t>
  </si>
  <si>
    <t>bd_solar_thermal_tj</t>
  </si>
  <si>
    <t>bd_elec_services_ex_ict_tj</t>
  </si>
  <si>
    <t>solar_pv_own_use_buildings_tj</t>
  </si>
  <si>
    <t>agriculture_gas_final_demand_relative</t>
  </si>
  <si>
    <t>agri_gas_tj</t>
  </si>
  <si>
    <t>agri_gas_chp_tj</t>
  </si>
  <si>
    <t>agriculture_gas_chp_relative</t>
  </si>
  <si>
    <t>totaal_gas_agri_buildings_tj</t>
  </si>
  <si>
    <t>agri_gas_share</t>
  </si>
  <si>
    <t>agri_biogas_heat_tj</t>
  </si>
  <si>
    <t>biogas_heat_tj</t>
  </si>
  <si>
    <t>bd_biogas_heat_tj</t>
  </si>
  <si>
    <t>agri_biogas_chp_input_tj</t>
  </si>
  <si>
    <t>agri_heat_pump_tj</t>
  </si>
  <si>
    <t>greenhouse_scaled</t>
  </si>
  <si>
    <t>agri_gas_chp_heat_tj</t>
  </si>
  <si>
    <t>agri_gas_chp_elec_tj</t>
  </si>
  <si>
    <t>geothermal_heat_tj</t>
  </si>
  <si>
    <t>agri_electricity_tj</t>
  </si>
  <si>
    <t>agri_local_heat_share</t>
  </si>
  <si>
    <t>agri_central_heat_share</t>
  </si>
  <si>
    <t>fertilizers_electricity_tj</t>
  </si>
  <si>
    <t>fertilizers_co2_scaled</t>
  </si>
  <si>
    <t>refineries_electricity_tj</t>
  </si>
  <si>
    <t>refineries_co2_scaled</t>
  </si>
  <si>
    <t>steel_electricity_tj</t>
  </si>
  <si>
    <t>steel_co2_scaled</t>
  </si>
  <si>
    <t>aluminium_electricity_tj</t>
  </si>
  <si>
    <t>aluminium_co2_scaled</t>
  </si>
  <si>
    <t>total_fert_ref_steel_alu_electricity</t>
  </si>
  <si>
    <t>industry_remaining_electricity_tj</t>
  </si>
  <si>
    <t>ind_electricity_sbi_c_tj</t>
  </si>
  <si>
    <t>industry_deficit_from_fert_ref_steel_alu_electricity</t>
  </si>
  <si>
    <t>chemical_other_co2_relative</t>
  </si>
  <si>
    <t>food_co2_relative</t>
  </si>
  <si>
    <t>metal_other_co2_relative</t>
  </si>
  <si>
    <t>paper_co2_relative</t>
  </si>
  <si>
    <t>industry_other_co2_relative</t>
  </si>
  <si>
    <t>ind_electricity_sbi_b_tj</t>
  </si>
  <si>
    <t>ind_electricity_sbi_e_tj</t>
  </si>
  <si>
    <t>ind_electricity_sbi_f_tj</t>
  </si>
  <si>
    <t>fertilizers_heat</t>
  </si>
  <si>
    <t>refineries_heat</t>
  </si>
  <si>
    <t>fertilizers_heat_gas</t>
  </si>
  <si>
    <t>refineries_heat_gas</t>
  </si>
  <si>
    <t>fertilizers_gas_ex_central_heat</t>
  </si>
  <si>
    <t>refineries_gas_ex_central_heat</t>
  </si>
  <si>
    <t>fertilizers_gas_total</t>
  </si>
  <si>
    <t>refineries_gas_total</t>
  </si>
  <si>
    <t>steel_gas_total</t>
  </si>
  <si>
    <t>aluminium_gas_total</t>
  </si>
  <si>
    <t>total_fert_ref_steel_alu_gas</t>
  </si>
  <si>
    <t>industry_remaining_gas_tj</t>
  </si>
  <si>
    <t>ind_gas_sbi_c_tj</t>
  </si>
  <si>
    <t>ind_gas_sbi_b_tj</t>
  </si>
  <si>
    <t>ind_gas_sbi_e_tj</t>
  </si>
  <si>
    <t>ind_gas_sbi_f_tj</t>
  </si>
  <si>
    <t>input_industry_steel_blastfurnace_bof_share</t>
  </si>
  <si>
    <t>input_industry_steel_scrap_hbi_eaf_share</t>
  </si>
  <si>
    <t>input_energy_cokesoven_transformation_cokes_output_conversion</t>
  </si>
  <si>
    <t>input_energy_cokesoven_transformation_coal_gas_output_conversion</t>
  </si>
  <si>
    <t>input_energy_cokesoven_transformation_loss_output_conversion</t>
  </si>
  <si>
    <t>input_energy_blastfurnace_transformation_coal_gas_output_conversion</t>
  </si>
  <si>
    <t>input_energy_blastfurnace_transformation_loss_output_conversion</t>
  </si>
  <si>
    <t>input_energy_power_combined_cycle_coal_gas_electricity_output_conversion</t>
  </si>
  <si>
    <t>input_energy_power_combined_cycle_coal_gas_loss_output_conversion</t>
  </si>
  <si>
    <t>input_energy_chp_coal_gas_electricity_output_conversion</t>
  </si>
  <si>
    <t>input_energy_chp_coal_gas_steam_hot_water_output_conversion</t>
  </si>
  <si>
    <t>input_energy_chp_coal_gas_loss_output_conversion</t>
  </si>
  <si>
    <t>industry_final_demand_for_metal_steel_coal_industry_steel_blastfurnace_bof_parent_share</t>
  </si>
  <si>
    <t>industry_final_demand_for_metal_steel_coal_industry_steel_scrap_hbi_eaf_parent_share</t>
  </si>
  <si>
    <t>industry_final_demand_for_metal_steel_cokes_industry_steel_blastfurnace_bof_parent_share</t>
  </si>
  <si>
    <t>industry_final_demand_for_metal_steel_cokes_industry_steel_scrap_hbi_eaf_parent_share</t>
  </si>
  <si>
    <t>industry_final_demand_for_metal_steel_crude_oil_industry_steel_blastfurnace_bof_parent_share</t>
  </si>
  <si>
    <t>industry_final_demand_for_metal_steel_crude_oil_industry_steel_scrap_hbi_eaf_parent_share</t>
  </si>
  <si>
    <t>industry_final_demand_for_metal_steel_electricity_industry_steel_blastfurnace_bof_parent_share</t>
  </si>
  <si>
    <t>industry_final_demand_for_metal_steel_electricity_industry_steel_scrap_hbi_eaf_parent_share</t>
  </si>
  <si>
    <t>industry_final_demand_for_metal_steel_network_gas_industry_steel_blastfurnace_bof_parent_share</t>
  </si>
  <si>
    <t>industry_final_demand_for_metal_steel_network_gas_industry_steel_scrap_hbi_eaf_parent_share</t>
  </si>
  <si>
    <t>industry_final_demand_for_metal_steel_steam_hot_water_industry_steel_blastfurnace_bof_parent_share</t>
  </si>
  <si>
    <t>industry_final_demand_for_metal_steel_steam_hot_water_industry_steel_scrap_hbi_eaf_parent_share</t>
  </si>
  <si>
    <t>industry_final_demand_for_metal_steel_wood_pellets_industry_steel_blastfurnace_bof_parent_share</t>
  </si>
  <si>
    <t>industry_final_demand_for_metal_steel_wood_pellets_industry_steel_scrap_hbi_eaf_parent_share</t>
  </si>
  <si>
    <t>Energy</t>
  </si>
  <si>
    <t>wind_inland_tj</t>
  </si>
  <si>
    <t>wind_electricity_tj</t>
  </si>
  <si>
    <t>total_gas_scaled</t>
  </si>
  <si>
    <t>total_electricity_tj</t>
  </si>
  <si>
    <t>cofiring_coal_electricity_tj</t>
  </si>
  <si>
    <t>diff_heat_production_heat_demand</t>
  </si>
  <si>
    <t>renewable_heat_supplying_district_heat</t>
  </si>
  <si>
    <t>hh_heat_tj_temp_corrected</t>
  </si>
  <si>
    <t>renewable_heat_supplying_district_heat_Amsterdam</t>
  </si>
  <si>
    <t>biomass_firms_heat_tj</t>
  </si>
  <si>
    <t>remaining_heat_demand</t>
  </si>
  <si>
    <t>bd_thermal_storage_tj</t>
  </si>
  <si>
    <t>buildings_biogas_share</t>
  </si>
  <si>
    <t>buildings_heat_pump_share</t>
  </si>
  <si>
    <t>buildings_large_scale_share</t>
  </si>
  <si>
    <t>remaining_biomass_heat</t>
  </si>
  <si>
    <t>biomass_heater_demand_tj</t>
  </si>
  <si>
    <t>biomass_firms_chp_heat_tj</t>
  </si>
  <si>
    <t>energy_biogas_chp_e_production</t>
  </si>
  <si>
    <t>mq_lv_net_total_costs_present</t>
  </si>
  <si>
    <t>mq_back_up_heater_heat_efficiency</t>
  </si>
  <si>
    <t>rule_type</t>
  </si>
  <si>
    <t>basic</t>
  </si>
  <si>
    <t>if</t>
  </si>
  <si>
    <t>min</t>
  </si>
  <si>
    <t>max</t>
  </si>
  <si>
    <t>Conversion</t>
  </si>
  <si>
    <t>Converted unit</t>
  </si>
  <si>
    <t>Conversion factor</t>
  </si>
  <si>
    <t>no_inhabitants</t>
  </si>
  <si>
    <t>no conversion</t>
  </si>
  <si>
    <t>#</t>
  </si>
  <si>
    <t>no_residences</t>
  </si>
  <si>
    <t>no_cars</t>
  </si>
  <si>
    <t>total_energy_tj</t>
  </si>
  <si>
    <t>TJ</t>
  </si>
  <si>
    <t>tp_total_energy_tj</t>
  </si>
  <si>
    <t>total_gas_heat_tj_temp_corrected</t>
  </si>
  <si>
    <t>solar_pv_own_use_total_tj</t>
  </si>
  <si>
    <t>total_renewable_heat_tj</t>
  </si>
  <si>
    <t>hh_gas_tj_temp_corrected</t>
  </si>
  <si>
    <t>mln m3 (natural gas) to TJ</t>
  </si>
  <si>
    <t>GJ to TJ</t>
  </si>
  <si>
    <t>hh_biomass_cooking_tj</t>
  </si>
  <si>
    <t>hh_biomass_heat_tj</t>
  </si>
  <si>
    <t>bd_commercial_gas_tj</t>
  </si>
  <si>
    <t>m3 (natural gas) to TJ</t>
  </si>
  <si>
    <t>bd_public_gas_tj</t>
  </si>
  <si>
    <t>bd_commercial_electricity_tj</t>
  </si>
  <si>
    <t>kWh to TJ</t>
  </si>
  <si>
    <t>bd_public_electricity_tj</t>
  </si>
  <si>
    <t>bd_gas_sbi_g_tj</t>
  </si>
  <si>
    <t>bd_gas_sbi_h_tj</t>
  </si>
  <si>
    <t>bd_gas_sbi_i_tj</t>
  </si>
  <si>
    <t>bd_gas_sbi_j_tj</t>
  </si>
  <si>
    <t>bd_gas_sbi_k_tj</t>
  </si>
  <si>
    <t>bd_gas_sbi_l_tj</t>
  </si>
  <si>
    <t>bd_gas_sbi_m_tj</t>
  </si>
  <si>
    <t>bd_gas_sbi_n_tj</t>
  </si>
  <si>
    <t>bd_gas_sbi_o_tj</t>
  </si>
  <si>
    <t>bd_gas_sbi_p_tj</t>
  </si>
  <si>
    <t>bd_gas_sbi_q_tj</t>
  </si>
  <si>
    <t>bd_gas_sbi_r_tj</t>
  </si>
  <si>
    <t>bd_gas_sbi_s_tj</t>
  </si>
  <si>
    <t>bd_gas_sbi_u_tj</t>
  </si>
  <si>
    <t>bd_electricity_sbi_g_tj</t>
  </si>
  <si>
    <t>bd_electricity_sbi_h_tj</t>
  </si>
  <si>
    <t>bd_electricity_sbi_i_tj</t>
  </si>
  <si>
    <t>bd_electricity_sbi_k_tj</t>
  </si>
  <si>
    <t>bd_electricity_sbi_l_tj</t>
  </si>
  <si>
    <t>bd_electricity_sbi_m_tj</t>
  </si>
  <si>
    <t>bd_electricity_sbi_n_tj</t>
  </si>
  <si>
    <t>bd_electricity_sbi_o_tj</t>
  </si>
  <si>
    <t>bd_electricity_sbi_p_tj</t>
  </si>
  <si>
    <t>bd_electricity_sbi_q_tj</t>
  </si>
  <si>
    <t>bd_electricity_sbi_r_tj</t>
  </si>
  <si>
    <t>bd_electricity_sbi_s_tj</t>
  </si>
  <si>
    <t>bd_electricity_sbi_u_tj</t>
  </si>
  <si>
    <t>tp_road_total_tj</t>
  </si>
  <si>
    <t>tp_mobile_machines_inc_biofuels_tj</t>
  </si>
  <si>
    <t>tp_road_bio_fuels_ex_mm_tj</t>
  </si>
  <si>
    <t>tp_mobile_machines_bio_fuels_tj</t>
  </si>
  <si>
    <t>tp_inland_ship_diesel_tj</t>
  </si>
  <si>
    <t>tp_sea_ship_diesel_tj</t>
  </si>
  <si>
    <t>no_electric_scooters</t>
  </si>
  <si>
    <t>no_electric_motorcycles</t>
  </si>
  <si>
    <t>no_cng_trucks</t>
  </si>
  <si>
    <t>no_cng_busses</t>
  </si>
  <si>
    <t>no_cng_cars</t>
  </si>
  <si>
    <t>tp_mobile_machines_co2</t>
  </si>
  <si>
    <t>tonne</t>
  </si>
  <si>
    <t>tp_bus_diesel_co2_built_env</t>
  </si>
  <si>
    <t>tp_van_gasoline_co2_built_env</t>
  </si>
  <si>
    <t>tp_van_lpg_co2_built_env</t>
  </si>
  <si>
    <t>tp_van_diesel_co2_built_env</t>
  </si>
  <si>
    <t>tp_car_gasoline_co2_built_env</t>
  </si>
  <si>
    <t>tp_car_diesel_co2_built_env</t>
  </si>
  <si>
    <t>tp_car_lpg_co2_built_env</t>
  </si>
  <si>
    <t>tp_motorcycle_co2_built_env</t>
  </si>
  <si>
    <t>tp_truck_co2_built_env</t>
  </si>
  <si>
    <t>tp_bus_gas_co2_built_env</t>
  </si>
  <si>
    <t>tp_bus_diesel_co2_road</t>
  </si>
  <si>
    <t>tp_van_gasoline_co2_road</t>
  </si>
  <si>
    <t>tp_van_diesel_co2_road</t>
  </si>
  <si>
    <t>tp_van_lpg_co2_road</t>
  </si>
  <si>
    <t>tp_car_gasoline_co2_road</t>
  </si>
  <si>
    <t>tp_car_diesel_co2_road</t>
  </si>
  <si>
    <t>tp_car_lpg_co2_road</t>
  </si>
  <si>
    <t>tp_motorcycle_co2_road</t>
  </si>
  <si>
    <t>tp_truck_co2_road</t>
  </si>
  <si>
    <t>tp_bus_gas_co2_road</t>
  </si>
  <si>
    <t>tp_bus_diesel_co2_motorway</t>
  </si>
  <si>
    <t>tp_van_diesel_co2_motorway</t>
  </si>
  <si>
    <t>tp_van_gasoline_co2_motorway</t>
  </si>
  <si>
    <t>tp_van_lpg_co2_motorway</t>
  </si>
  <si>
    <t>tp_car_gasoline_co2_motorway</t>
  </si>
  <si>
    <t>tp_car_diesel_co2_motorway</t>
  </si>
  <si>
    <t>tp_car_lpg_co2_motorway</t>
  </si>
  <si>
    <t>tp_motorcycle_co2_motorway</t>
  </si>
  <si>
    <t>tp_truck_co2_motorway</t>
  </si>
  <si>
    <t>tp_bus_gas_co2_motorway</t>
  </si>
  <si>
    <t>total_solar_kw</t>
  </si>
  <si>
    <t>kW</t>
  </si>
  <si>
    <t>hh_solar_kw</t>
  </si>
  <si>
    <t>commercial_solar_roof_and_farms_kw</t>
  </si>
  <si>
    <t>energy_solar_farms_kw</t>
  </si>
  <si>
    <t>MW to kW</t>
  </si>
  <si>
    <t>biogas_electricity_tj</t>
  </si>
  <si>
    <t>biomass_firms_chp_electricity_tj</t>
  </si>
  <si>
    <t>hydro_electricity_tj</t>
  </si>
  <si>
    <t>waste_renewable_electricity_tj</t>
  </si>
  <si>
    <t>waste_renewable_heat_tj</t>
  </si>
  <si>
    <t>gasoline_tonne_co2_per_tj</t>
  </si>
  <si>
    <t>diesel_tonne_co2_per_tj</t>
  </si>
  <si>
    <t>lpg_tonne_co2_per_tj</t>
  </si>
  <si>
    <t>gas_tonne_co2_per_tj</t>
  </si>
  <si>
    <t>ton/m3 to ton/TJ (natural gas)</t>
  </si>
  <si>
    <t>gas_buildings_industry_agriculture_tj</t>
  </si>
  <si>
    <t>electricity_buildings_industry_agriculture_tj</t>
  </si>
  <si>
    <t>solar_pv_total_production_tj</t>
  </si>
  <si>
    <t>waste_total_produced_electricity_tj</t>
  </si>
  <si>
    <t>GWh to TJ</t>
  </si>
  <si>
    <t>total_renewable_heat_tj_ex_greengas</t>
  </si>
  <si>
    <t>energy_wind_kw</t>
  </si>
  <si>
    <t>electricity_tonne_co2_per_tj</t>
  </si>
  <si>
    <t>waste_heat_used_in_area_tj</t>
  </si>
  <si>
    <t>tonne/TJ</t>
  </si>
  <si>
    <t>tonne/TJ_e</t>
  </si>
  <si>
    <t>tonne/TJ_g</t>
  </si>
  <si>
    <t>hh_biomass_heating_share</t>
  </si>
  <si>
    <t>hh_biomass_cooking_share</t>
  </si>
  <si>
    <t>bd_gas_services_sum_of_sbis_tj</t>
  </si>
  <si>
    <t>bd_elec_services_ex_ict_sum_of_sbis_tj</t>
  </si>
  <si>
    <t>tp_road_total_gasoline_mix_co2</t>
  </si>
  <si>
    <t>tp_road_total_gasoline_mix_tj</t>
  </si>
  <si>
    <t>tp_road_total_diesel_mix_co2</t>
  </si>
  <si>
    <t>tp_road_total_diesel_mix_tj</t>
  </si>
  <si>
    <t>tp_road_total_lpg_co2</t>
  </si>
  <si>
    <t>tp_road_total_natural_gas_co2</t>
  </si>
  <si>
    <t>share_bio_ethanol_in_bio_fuels</t>
  </si>
  <si>
    <t>tp_road_biodiesel_tj</t>
  </si>
  <si>
    <t>tp_road_mm_fossil_tj</t>
  </si>
  <si>
    <t>tp_road_gasoline_car_co2</t>
  </si>
  <si>
    <t>tp_road_gasoline_motorcycle_co2</t>
  </si>
  <si>
    <t>tp_road_gasoline_truck_co2</t>
  </si>
  <si>
    <t>tp_road_gasoline_van_co2</t>
  </si>
  <si>
    <t>tp_road_gasoline_total_co2</t>
  </si>
  <si>
    <t>tp_road_gasoline_car_share</t>
  </si>
  <si>
    <t>tp_road_gasoline_motorcycle_share</t>
  </si>
  <si>
    <t>tp_road_gasoline_truck_share</t>
  </si>
  <si>
    <t>tp_road_gasoline_van_share</t>
  </si>
  <si>
    <t>tp_road_gasoline_bus_share</t>
  </si>
  <si>
    <t>tp_road_diesel_car_co2</t>
  </si>
  <si>
    <t>tp_road_diesel_truck_co2</t>
  </si>
  <si>
    <t>tp_road_diesel_bus_co2</t>
  </si>
  <si>
    <t>tp_road_diesel_van_co2</t>
  </si>
  <si>
    <t>tp_road_diesel_total_co2</t>
  </si>
  <si>
    <t>tp_road_diesel_car_share</t>
  </si>
  <si>
    <t>tp_road_diesel_truck_share</t>
  </si>
  <si>
    <t>tp_road_diesel_van_share</t>
  </si>
  <si>
    <t>tp_road_diesel_bus_share</t>
  </si>
  <si>
    <t>tp_road_lpg_car_co2</t>
  </si>
  <si>
    <t>tp_road_lpg_van_co2</t>
  </si>
  <si>
    <t>tp_road_lpg_total_co2</t>
  </si>
  <si>
    <t>tp_road_lpg_car_share</t>
  </si>
  <si>
    <t>tp_road_lpg_van_share</t>
  </si>
  <si>
    <t>inhabitants_scaled</t>
  </si>
  <si>
    <t>households_scaled</t>
  </si>
  <si>
    <t>no_h2_trucks_vans</t>
  </si>
  <si>
    <t>biogas_supplied_network_tj</t>
  </si>
  <si>
    <t>renewable_heat_not_supplying_district_heat</t>
  </si>
  <si>
    <t>max_of_hh_heat_tj_temp_corrected_or_renewable_heat_supplying_district_heat</t>
  </si>
  <si>
    <t>total_gas_tj</t>
  </si>
  <si>
    <t>bd_solar_kw</t>
  </si>
  <si>
    <t>sum_of_road_fuels_tj</t>
  </si>
  <si>
    <t>renewable_heat_not_supplying_district_heat_Amsterdam</t>
  </si>
  <si>
    <t>max_of_hh_heat_tj_temp_corrected_or_renewable_heat_supplying_district_heat_Amsterdam</t>
  </si>
  <si>
    <t>solar_pv_households_share</t>
  </si>
  <si>
    <t>solar_pv_buildings_share</t>
  </si>
  <si>
    <t>solar_pv_households_tj</t>
  </si>
  <si>
    <t>solar_pv_buildings_tj</t>
  </si>
  <si>
    <t>solar_pv_solar_farms_tj</t>
  </si>
  <si>
    <t>biogenic_fraction_waste</t>
  </si>
  <si>
    <t>non_biogenic_fraction_waste</t>
  </si>
  <si>
    <t>wind_turbine_inland_full_load_hours</t>
  </si>
  <si>
    <t>solar_panels_roofs_and_parks_full_load_hours</t>
  </si>
  <si>
    <t>iferror</t>
  </si>
  <si>
    <t>nl_inwoners</t>
  </si>
  <si>
    <t>nl_fiets_mlrd_km</t>
  </si>
  <si>
    <t>nl_biogene_fractie_afval</t>
  </si>
  <si>
    <t>element_4</t>
  </si>
  <si>
    <t>operand_4</t>
  </si>
  <si>
    <t>element_5</t>
  </si>
  <si>
    <t>operand_5</t>
  </si>
  <si>
    <t>element_6</t>
  </si>
  <si>
    <t>operand_6</t>
  </si>
  <si>
    <t>element_7</t>
  </si>
  <si>
    <t>operand_7</t>
  </si>
  <si>
    <t>element_8</t>
  </si>
  <si>
    <t>operand_8</t>
  </si>
  <si>
    <t>inwoners</t>
  </si>
  <si>
    <t>woningen</t>
  </si>
  <si>
    <t>pautos</t>
  </si>
  <si>
    <t>energie_totaal_combi</t>
  </si>
  <si>
    <t>verk_totaal</t>
  </si>
  <si>
    <t>elektra_totaal_combi</t>
  </si>
  <si>
    <t>warm_totaal_combi</t>
  </si>
  <si>
    <t>zonpvachtermeter_kwh</t>
  </si>
  <si>
    <t>hern_warm_tot</t>
  </si>
  <si>
    <t>gas_woningen_tj</t>
  </si>
  <si>
    <t>warmwontjcor</t>
  </si>
  <si>
    <t>kwbelektotaal</t>
  </si>
  <si>
    <t>kwbgastotaal</t>
  </si>
  <si>
    <t>warmwontier2</t>
  </si>
  <si>
    <t>houtskool</t>
  </si>
  <si>
    <t>houtwontj</t>
  </si>
  <si>
    <t>gascomdv</t>
  </si>
  <si>
    <t>gaspubldv</t>
  </si>
  <si>
    <t>elcomdv</t>
  </si>
  <si>
    <t>elpubldv</t>
  </si>
  <si>
    <t>vbrzg_g1</t>
  </si>
  <si>
    <t>vbrzg_h</t>
  </si>
  <si>
    <t>vbrzg_i</t>
  </si>
  <si>
    <t>vbrzg_j</t>
  </si>
  <si>
    <t>vbrzg_k</t>
  </si>
  <si>
    <t>vbrzg_l</t>
  </si>
  <si>
    <t>vbrzg_m</t>
  </si>
  <si>
    <t>vbrzg_n</t>
  </si>
  <si>
    <t>vbrzg_o</t>
  </si>
  <si>
    <t>vbrzg_p</t>
  </si>
  <si>
    <t>vbrzg_q</t>
  </si>
  <si>
    <t>vbrzg_r1</t>
  </si>
  <si>
    <t>vbrzg_s</t>
  </si>
  <si>
    <t>vbrzg_u</t>
  </si>
  <si>
    <t>vbrze_g1</t>
  </si>
  <si>
    <t>vbrze_h</t>
  </si>
  <si>
    <t>vbrze_i</t>
  </si>
  <si>
    <t>vbrze_j</t>
  </si>
  <si>
    <t>vbrze_k</t>
  </si>
  <si>
    <t>vbrze_l</t>
  </si>
  <si>
    <t>vbrze_m</t>
  </si>
  <si>
    <t>vbrze_n</t>
  </si>
  <si>
    <t>vbrze_o</t>
  </si>
  <si>
    <t>vbrze_p</t>
  </si>
  <si>
    <t>vbrze_q</t>
  </si>
  <si>
    <t>vbrze_r1</t>
  </si>
  <si>
    <t>vbrze_s</t>
  </si>
  <si>
    <t>vbrze_u</t>
  </si>
  <si>
    <t>energie_wegverk_tot</t>
  </si>
  <si>
    <t>energie_mobwerk</t>
  </si>
  <si>
    <t>bio_verkeertj</t>
  </si>
  <si>
    <t>bio_mobwerk_tj</t>
  </si>
  <si>
    <t>energie_rail</t>
  </si>
  <si>
    <t>energie_binnenvaart</t>
  </si>
  <si>
    <t>energie_zeevaart</t>
  </si>
  <si>
    <t>wbelek</t>
  </si>
  <si>
    <t>bedrautoelek</t>
  </si>
  <si>
    <t>wpelek</t>
  </si>
  <si>
    <t>rangeextend</t>
  </si>
  <si>
    <t>wmfelek</t>
  </si>
  <si>
    <t>wbfelek</t>
  </si>
  <si>
    <t>bedrgas</t>
  </si>
  <si>
    <t>wbgas</t>
  </si>
  <si>
    <t>wpgas</t>
  </si>
  <si>
    <t>bus_h2</t>
  </si>
  <si>
    <t>p_auto_h2</t>
  </si>
  <si>
    <t>b_auto_h2</t>
  </si>
  <si>
    <t>wbz_h2</t>
  </si>
  <si>
    <t>co2enmobwerk</t>
  </si>
  <si>
    <t>co2bkabdsl</t>
  </si>
  <si>
    <t>co2bkbabzn</t>
  </si>
  <si>
    <t>co2bkbalpg</t>
  </si>
  <si>
    <t>co2bkbadsl</t>
  </si>
  <si>
    <t>co2bkpabzn</t>
  </si>
  <si>
    <t>co2bkpadsl</t>
  </si>
  <si>
    <t>co2bkpalpg</t>
  </si>
  <si>
    <t>co2bktw</t>
  </si>
  <si>
    <t>co2bkzbv</t>
  </si>
  <si>
    <t>co2bkabag</t>
  </si>
  <si>
    <t>co2bwabdsl</t>
  </si>
  <si>
    <t>co2bwbabzn</t>
  </si>
  <si>
    <t>co2bwbadsl</t>
  </si>
  <si>
    <t>co2bwbalpg</t>
  </si>
  <si>
    <t>co2bwpabzn</t>
  </si>
  <si>
    <t>co2bwpadsl</t>
  </si>
  <si>
    <t>co2bwpalpg</t>
  </si>
  <si>
    <t>co2bwtw</t>
  </si>
  <si>
    <t>co2bwzbv</t>
  </si>
  <si>
    <t>co2bwabag</t>
  </si>
  <si>
    <t>co2swabdsl</t>
  </si>
  <si>
    <t>co2swbadsl</t>
  </si>
  <si>
    <t>co2swbabzn</t>
  </si>
  <si>
    <t>co2swbalpg</t>
  </si>
  <si>
    <t>co2swpabzn</t>
  </si>
  <si>
    <t>co2swpadsl</t>
  </si>
  <si>
    <t>co2swpalpg</t>
  </si>
  <si>
    <t>co2swtw</t>
  </si>
  <si>
    <t>co2swzbv</t>
  </si>
  <si>
    <t>co2swabag</t>
  </si>
  <si>
    <t>vbrze_a</t>
  </si>
  <si>
    <t>vbrzg_a</t>
  </si>
  <si>
    <t>vbrzg_b</t>
  </si>
  <si>
    <t>vbrzg_ctot</t>
  </si>
  <si>
    <t>vbrzg_afval</t>
  </si>
  <si>
    <t>vbrzg_f</t>
  </si>
  <si>
    <t>vbrze_b</t>
  </si>
  <si>
    <t>vbrze_ctot</t>
  </si>
  <si>
    <t>vbrze_d</t>
  </si>
  <si>
    <t>vbrze_afval</t>
  </si>
  <si>
    <t>vbrze_f</t>
  </si>
  <si>
    <t>pv_vermogen</t>
  </si>
  <si>
    <t>zon_vermogen_won</t>
  </si>
  <si>
    <t>zon_vermogen_bdr</t>
  </si>
  <si>
    <t>zonvld</t>
  </si>
  <si>
    <t>biogas_warm</t>
  </si>
  <si>
    <t>biogas_el</t>
  </si>
  <si>
    <t>ovbio_thtj</t>
  </si>
  <si>
    <t>ovbio_th_wkk_tj</t>
  </si>
  <si>
    <t>geothermtj</t>
  </si>
  <si>
    <t>ovbio_eltjbrut</t>
  </si>
  <si>
    <t>watertjbrutnorm</t>
  </si>
  <si>
    <t>windtjbrutnorm</t>
  </si>
  <si>
    <t>avi_eltjbrut</t>
  </si>
  <si>
    <t>avi_thtjbrut</t>
  </si>
  <si>
    <t>efac_benz_g_mj</t>
  </si>
  <si>
    <t>efac_diesel_g_mj</t>
  </si>
  <si>
    <t>efac_lpg_g_mj</t>
  </si>
  <si>
    <t>efacgas</t>
  </si>
  <si>
    <t>vbrzg_tot_tj</t>
  </si>
  <si>
    <t>vbrze_tot_tj</t>
  </si>
  <si>
    <t>zonpvtj</t>
  </si>
  <si>
    <t>warelektr</t>
  </si>
  <si>
    <t>hern_warm_tot_ex_groengas</t>
  </si>
  <si>
    <t>windmw</t>
  </si>
  <si>
    <t>efacel</t>
  </si>
  <si>
    <t>warwarmte</t>
  </si>
  <si>
    <t>ondieptj</t>
  </si>
  <si>
    <t>mq_mv_net_total_costs_present</t>
  </si>
  <si>
    <t>mq_hv_net_total_costs_present</t>
  </si>
  <si>
    <t>mq_lv_mv_trafo_total_costs_present</t>
  </si>
  <si>
    <t>mq_mv_hv_trafo_total_costs_present</t>
  </si>
  <si>
    <t>mq_offshore_suitable_for_wind</t>
  </si>
  <si>
    <t>tres_electric_car_fev_annual_tj</t>
  </si>
  <si>
    <t>tres_electric_car_phev_annual_tj</t>
  </si>
  <si>
    <t>tres_electric_bus_annual_tj</t>
  </si>
  <si>
    <t>tres_electric_truck_annual_tj</t>
  </si>
  <si>
    <t>tres_electric_van_annual_tj</t>
  </si>
  <si>
    <t>tres_electric_motorcycle_scooter_annual_tj</t>
  </si>
  <si>
    <t>tres_electric_bike_share_in_total_bike_kms</t>
  </si>
  <si>
    <t>tres_h2_car_annual_tj</t>
  </si>
  <si>
    <t>tres_h2_bus_annual_tj</t>
  </si>
  <si>
    <t>tres_h2_truck_annual_tj</t>
  </si>
  <si>
    <t>tres_h2_van_annual_tj</t>
  </si>
  <si>
    <t>dq_transport_final_demand_for_rail_electricity</t>
  </si>
  <si>
    <t>eq_rail_electricity_freight_train_electricity</t>
  </si>
  <si>
    <t>eq_rail_electricity_tram_electricity</t>
  </si>
  <si>
    <t>mq_agriculture_chp_engine_biogas_heat_efficiency</t>
  </si>
  <si>
    <t>dq_agriculture_heatpump_water_water_ts_electricity</t>
  </si>
  <si>
    <t>mq_network_gas_chp_heat_efficiency</t>
  </si>
  <si>
    <t>mq_network_gas_chp_e_efficiency</t>
  </si>
  <si>
    <t>dq_industry_final_demand_for_chemical_fertilizers_electricity</t>
  </si>
  <si>
    <t>dq_industry_final_demand_for_chemical_refineries_electricity</t>
  </si>
  <si>
    <t>mq_steel_electricity_tj</t>
  </si>
  <si>
    <t>mq_aluminium_electricity_tj</t>
  </si>
  <si>
    <t>dq_industry_final_demand_for_chemical_fertilizers_steam_hot_water</t>
  </si>
  <si>
    <t>dq_industry_final_demand_for_chemical_refineries_steam_hot_water</t>
  </si>
  <si>
    <t>dq_industry_final_demand_for_chemical_fertilizers_network_gas</t>
  </si>
  <si>
    <t>dq_industry_final_demand_for_chemical_refineries_network_gas</t>
  </si>
  <si>
    <t>mq_steel_gas_tj</t>
  </si>
  <si>
    <t>mq_industry_aluminium_burner_network_gas</t>
  </si>
  <si>
    <t>dq_energy_distribution_greengas</t>
  </si>
  <si>
    <t>mq_grid_losses_share</t>
  </si>
  <si>
    <t>mq_biogas_chp_heat_efficiency</t>
  </si>
  <si>
    <t>mq_biogas_chp_e_efficiency</t>
  </si>
  <si>
    <t>ivar</t>
  </si>
  <si>
    <t>color</t>
  </si>
  <si>
    <t>A</t>
  </si>
  <si>
    <t>co2_1990_mt</t>
  </si>
  <si>
    <t>energetic_emissions_other_ghg_agriculture</t>
  </si>
  <si>
    <t>energetic_emissions_other_ghg_buildings</t>
  </si>
  <si>
    <t>energetic_emissions_other_ghg_energy</t>
  </si>
  <si>
    <t>energetic_emissions_other_ghg_households</t>
  </si>
  <si>
    <t>energetic_emissions_other_ghg_industry</t>
  </si>
  <si>
    <t>energetic_emissions_other_ghg_transport</t>
  </si>
  <si>
    <t>indirect_emissions_co2</t>
  </si>
  <si>
    <t>non_energetic_emissions_co2_agriculture_manure</t>
  </si>
  <si>
    <t>non_energetic_emissions_co2_agriculture_soil_cultivation</t>
  </si>
  <si>
    <t>non_energetic_emissions_co2_chemical_industry</t>
  </si>
  <si>
    <t>non_energetic_emissions_co2_other_industry</t>
  </si>
  <si>
    <t>non_energetic_emissions_co2_waste_management</t>
  </si>
  <si>
    <t>non_energetic_emissions_other_ghg_agriculture_fermentation</t>
  </si>
  <si>
    <t>non_energetic_emissions_other_ghg_agriculture_manure</t>
  </si>
  <si>
    <t>non_energetic_emissions_other_ghg_agriculture_other</t>
  </si>
  <si>
    <t>non_energetic_emissions_other_ghg_agriculture_soil_cultivation</t>
  </si>
  <si>
    <t>non_energetic_emissions_other_ghg_chemical_industry</t>
  </si>
  <si>
    <t>non_energetic_emissions_other_ghg_other_industry</t>
  </si>
  <si>
    <t>non_energetic_emissions_other_ghg_waste_management</t>
  </si>
  <si>
    <t>B</t>
  </si>
  <si>
    <t>buildings_total</t>
  </si>
  <si>
    <t>arable_land_km2</t>
  </si>
  <si>
    <t>number_of_vans</t>
  </si>
  <si>
    <t>number_of_trucks</t>
  </si>
  <si>
    <t>number_of_busses</t>
  </si>
  <si>
    <t>buildings_scaled</t>
  </si>
  <si>
    <t>arable_land_scaled</t>
  </si>
  <si>
    <t>C</t>
  </si>
  <si>
    <t>excel_source</t>
  </si>
  <si>
    <t>Klimaatmonitor</t>
  </si>
  <si>
    <t>Emissieregistratie</t>
  </si>
  <si>
    <t>Data derived from…</t>
  </si>
  <si>
    <t>Miscellaneous data analysis</t>
  </si>
  <si>
    <t>#a3e2b3</t>
  </si>
  <si>
    <t>#e2a3d2</t>
  </si>
  <si>
    <t>#a3d2e2</t>
  </si>
  <si>
    <t>km-variable</t>
  </si>
  <si>
    <t>mln kWh to TJ</t>
  </si>
  <si>
    <t>ton/kWh to ton/TJ (electricity)</t>
  </si>
  <si>
    <t>function_name</t>
  </si>
  <si>
    <t>arg_1</t>
  </si>
  <si>
    <t>arg_2</t>
  </si>
  <si>
    <t>arg_3</t>
  </si>
  <si>
    <t>Sector</t>
  </si>
  <si>
    <t>agri_gas_chp_tj + agri_biogas_chp_input_tj &gt; 0</t>
  </si>
  <si>
    <t>ind_electricity_sbi_c_tj - total_fert_ref_steel_alu_electricity</t>
  </si>
  <si>
    <t>renewable_heat_supplying_district_heat - hh_heat_tj_temp_corrected</t>
  </si>
  <si>
    <t>diff_heat_production_heat_demand - buildings_individual_biomass_demand</t>
  </si>
  <si>
    <r>
      <t xml:space="preserve">wind_electricity_tj * c_tj_to_kwh  / </t>
    </r>
    <r>
      <rPr>
        <sz val="12"/>
        <color theme="1"/>
        <rFont val="Aptos Narrow"/>
        <scheme val="minor"/>
      </rPr>
      <t>energy_wind_kw</t>
    </r>
  </si>
  <si>
    <t>solar_pv_total_production_tj * c_tj_to_kwh / total_solar_kw</t>
  </si>
  <si>
    <t>waste_renewable_heat_tj / waste_total_produced_heat_tj</t>
  </si>
  <si>
    <t>origin</t>
  </si>
  <si>
    <t>excel_D</t>
  </si>
  <si>
    <t>excel_A</t>
  </si>
  <si>
    <t>dataset_update_2023</t>
  </si>
  <si>
    <t xml:space="preserve">c_tj_to_kwh </t>
  </si>
  <si>
    <t>c_mj_to_tj</t>
  </si>
  <si>
    <t>mq_steel_coal_tj</t>
  </si>
  <si>
    <t>mq_steel_cokes_tj</t>
  </si>
  <si>
    <t>mq_steel_coal_gas_tj</t>
  </si>
  <si>
    <t>mq_steel_steam_hot_water_tj</t>
  </si>
  <si>
    <t>mq_steel_crude_oil_tj</t>
  </si>
  <si>
    <t>mq_steel_wood_pellets_tj</t>
  </si>
  <si>
    <t>steel_coal_tj</t>
  </si>
  <si>
    <t>steel_cokes_tj</t>
  </si>
  <si>
    <t>steel_coal_gas_tj</t>
  </si>
  <si>
    <t>steel_steam_hot_water_tj</t>
  </si>
  <si>
    <t>steel_crude_oil_tj</t>
  </si>
  <si>
    <t>steel_wood_pellets_tj</t>
  </si>
  <si>
    <t>agriculture_chp_engine_network_gas_dispatchable_demand</t>
  </si>
  <si>
    <t>agriculture_chp_engine_biogas_demand</t>
  </si>
  <si>
    <t>agriculture_chp_wood_pellets_demand</t>
  </si>
  <si>
    <t>input_buildings_solar_pv_demand</t>
  </si>
  <si>
    <t>input_energy_power_ultra_supercritical_coal_production</t>
  </si>
  <si>
    <t>input_energy_power_supercritical_coal_production</t>
  </si>
  <si>
    <t>input_energy_power_combined_cycle_coal_production</t>
  </si>
  <si>
    <t>input_energy_power_ultra_supercritical_cofiring_coal_production</t>
  </si>
  <si>
    <t>input_energy_power_combined_cycle_ccs_coal_production</t>
  </si>
  <si>
    <t>input_energy_power_ultra_supercritical_ccs_coal_production</t>
  </si>
  <si>
    <t>input_energy_chp_ultra_supercritical_ht_coal_production</t>
  </si>
  <si>
    <t>input_energy_chp_ultra_supercritical_mt_coal_production</t>
  </si>
  <si>
    <t>input_energy_chp_ultra_supercritical_cofiring_ht_coal_production</t>
  </si>
  <si>
    <t>input_energy_chp_ultra_supercritical_cofiring_mt_coal_production</t>
  </si>
  <si>
    <t>input_energy_power_ultra_supercritical_lignite_production</t>
  </si>
  <si>
    <t>input_energy_chp_ultra_supercritical_ht_lignite_production</t>
  </si>
  <si>
    <t>input_energy_chp_ultra_supercritical_mt_lignite_production</t>
  </si>
  <si>
    <t>input_energy_power_ultra_supercritical_oxyfuel_ccs_lignite_production</t>
  </si>
  <si>
    <t>input_energy_power_ultra_supercritical_network_gas_production</t>
  </si>
  <si>
    <t>input_energy_power_turbine_network_gas_production</t>
  </si>
  <si>
    <t>input_energy_power_engine_network_gas_production</t>
  </si>
  <si>
    <t>input_energy_power_combined_cycle_network_gas_production</t>
  </si>
  <si>
    <t>input_energy_power_combined_cycle_ccs_network_gas_production</t>
  </si>
  <si>
    <t>input_energy_chp_combined_cycle_ht_network_gas_production</t>
  </si>
  <si>
    <t>input_energy_chp_combined_cycle_mt_network_gas_production</t>
  </si>
  <si>
    <t>input_energy_chp_local_engine_ht_network_gas_production</t>
  </si>
  <si>
    <t>input_energy_chp_local_engine_mt_network_gas_production</t>
  </si>
  <si>
    <t>input_energy_power_nuclear_gen2_uranium_oxide_production</t>
  </si>
  <si>
    <t>input_energy_power_nuclear_gen3_uranium_oxide_production</t>
  </si>
  <si>
    <t>input_energy_power_ultra_supercritical_crude_oil_production</t>
  </si>
  <si>
    <t>input_energy_power_engine_diesel_production</t>
  </si>
  <si>
    <t>input_energy_heat_burner_ht_wood_pellets_production</t>
  </si>
  <si>
    <t>input_energy_heat_burner_mt_wood_pellets_production</t>
  </si>
  <si>
    <t>input_energy_heat_burner_ht_coal_production</t>
  </si>
  <si>
    <t>input_energy_heat_burner_mt_coal_production</t>
  </si>
  <si>
    <t>input_energy_heat_burner_ht_crude_oil_production</t>
  </si>
  <si>
    <t>input_energy_heat_burner_mt_crude_oil_production</t>
  </si>
  <si>
    <t>input_energy_heat_heatpump_water_water_ht_electricity_production</t>
  </si>
  <si>
    <t>input_energy_heat_heatpump_water_water_mt_electricity_production</t>
  </si>
  <si>
    <t>input_energy_heat_heatpump_water_water_lt_electricity_production</t>
  </si>
  <si>
    <t>input_energy_heat_boiler_ht_electricity_production</t>
  </si>
  <si>
    <t>input_energy_heat_boiler_mt_electricity_production</t>
  </si>
  <si>
    <t>input_energy_heat_boiler_lt_electricity_production</t>
  </si>
  <si>
    <t>input_energy_heat_well_deep_ht_geothermal_production</t>
  </si>
  <si>
    <t>input_energy_heat_well_deep_mt_geothermal_production</t>
  </si>
  <si>
    <t>input_energy_heat_well_shallow_heatpump_mt_geothermal_production</t>
  </si>
  <si>
    <t>input_energy_heat_well_shallow_lt_geothermal_production</t>
  </si>
  <si>
    <t>input_energy_heat_burner_ht_hydrogen_production</t>
  </si>
  <si>
    <t>input_energy_heat_burner_mt_hydrogen_production</t>
  </si>
  <si>
    <t>input_energy_heat_burner_lt_hydrogen_production</t>
  </si>
  <si>
    <t>input_energy_heat_burner_ht_network_gas_production</t>
  </si>
  <si>
    <t>input_energy_heat_burner_mt_network_gas_production</t>
  </si>
  <si>
    <t>input_energy_heat_solar_ht_solar_thermal_production</t>
  </si>
  <si>
    <t>input_energy_heat_solar_mt_solar_thermal_production</t>
  </si>
  <si>
    <t>input_energy_heat_solar_lt_solar_thermal_production</t>
  </si>
  <si>
    <t>input_energy_heat_burner_ht_waste_mix_production</t>
  </si>
  <si>
    <t>input_energy_heat_burner_mt_waste_mix_production</t>
  </si>
  <si>
    <t>energy_heat_import_ht_steam_hot_water_demand</t>
  </si>
  <si>
    <t>energy_heat_import_mt_steam_hot_water_demand</t>
  </si>
  <si>
    <t>energy_heat_import_lt_steam_hot_water_demand</t>
  </si>
  <si>
    <t>input_energy_power_wind_turbine_inland_production</t>
  </si>
  <si>
    <t>input_energy_power_wind_turbine_coastal_production</t>
  </si>
  <si>
    <t>input_energy_power_wind_turbine_offshore_production</t>
  </si>
  <si>
    <t>input_energy_power_solar_pv_solar_radiation_production</t>
  </si>
  <si>
    <t>input_energy_power_solar_csp_solar_radiation_production</t>
  </si>
  <si>
    <t>input_energy_power_supercritical_waste_mix_production</t>
  </si>
  <si>
    <t>input_energy_chp_supercritical_ht_waste_mix_production</t>
  </si>
  <si>
    <t>input_energy_chp_supercritical_mt_waste_mix_production</t>
  </si>
  <si>
    <t>input_energy_power_supercritical_ccs_waste_mix_production</t>
  </si>
  <si>
    <t>input_energy_chp_local_ht_wood_pellets_production</t>
  </si>
  <si>
    <t>input_energy_chp_local_mt_wood_pellets_production</t>
  </si>
  <si>
    <t>input_energy_chp_local_engine_ht_biogas_production</t>
  </si>
  <si>
    <t>input_energy_chp_local_engine_mt_biogas_production</t>
  </si>
  <si>
    <t>input_energy_power_hydro_river_production</t>
  </si>
  <si>
    <t>input_energy_power_hydro_mountain_production</t>
  </si>
  <si>
    <t>input_energy_power_geothermal_production</t>
  </si>
  <si>
    <t>input_households_solar_pv_demand</t>
  </si>
  <si>
    <t>industry_chp_combined_cycle_gas_power_fuelmix_demand</t>
  </si>
  <si>
    <t>industry_chp_engine_gas_power_fuelmix_demand</t>
  </si>
  <si>
    <t>industry_chp_turbine_gas_power_fuelmix_demand</t>
  </si>
  <si>
    <t>industry_chp_ultra_supercritical_coal_demand</t>
  </si>
  <si>
    <t>industry_chp_wood_pellets_demand</t>
  </si>
  <si>
    <t>industry_chp_turbine_hydrogen_demand</t>
  </si>
  <si>
    <t>industry_heat_burner_lignite_demand</t>
  </si>
  <si>
    <t>industry_heat_burner_coal_demand</t>
  </si>
  <si>
    <t>industry_heat_well_geothermal_demand</t>
  </si>
  <si>
    <t>industry_heat_burner_crude_oil_demand</t>
  </si>
  <si>
    <t>industry_heat_burner_hydrogen_demand</t>
  </si>
  <si>
    <t>mq_aluminium_network_gas_tj</t>
  </si>
  <si>
    <t>mq_fertilizers_electricity_tj</t>
  </si>
  <si>
    <t>mq_fertilizers_steam_hot_water_tj</t>
  </si>
  <si>
    <t>mq_fertilizers_wood_pellets_tj</t>
  </si>
  <si>
    <t>mq_fertilizers_crude_oil_tj</t>
  </si>
  <si>
    <t>mq_fertilizers_coal_tj</t>
  </si>
  <si>
    <t>mq_fertilizers_network_gas_non_energetic_tj</t>
  </si>
  <si>
    <t>mq_fertilizers_wood_pellets_non_energetic_tj</t>
  </si>
  <si>
    <t>mq_fertilizers_crude_oil_non_energetic_tj</t>
  </si>
  <si>
    <t>mq_fertilizers_coal_non_energetic_tj</t>
  </si>
  <si>
    <t>mq_fertilizers_hydrogen_non_energetic_tj</t>
  </si>
  <si>
    <t>industry_other_cokes_tj</t>
  </si>
  <si>
    <t>industry_other_cokes_non_energetic_tj</t>
  </si>
  <si>
    <t>industry_other_co2_scaled</t>
  </si>
  <si>
    <t>mq_industry_other_cokes_tj</t>
  </si>
  <si>
    <t>mq_industry_other_cokes_non_energetic_tj</t>
  </si>
  <si>
    <t>fertilizers_gas_tj</t>
  </si>
  <si>
    <t>fertilizers_steam_hot_water_tj</t>
  </si>
  <si>
    <t>fertilizer_wood_pellets_tj</t>
  </si>
  <si>
    <t>fertilizers_crude_oil_tj</t>
  </si>
  <si>
    <t>fertilizers_coal_tj</t>
  </si>
  <si>
    <t>fertilizers_gas_non_energetic_tj</t>
  </si>
  <si>
    <t>fertilizers_wood_pellets_non_energetic_tj</t>
  </si>
  <si>
    <t>fertilizers_crude_oil_non_energetic_tj</t>
  </si>
  <si>
    <t>fertilizers_coal_non_energetic_tj</t>
  </si>
  <si>
    <t>fertilizers_hydrogen_non_energetic_tj</t>
  </si>
  <si>
    <t>refineries_crude_oil_non_energetic_tj</t>
  </si>
  <si>
    <t>refineries_network_gas_non_energetic_tj</t>
  </si>
  <si>
    <t>refineries_coal_non_energetic_tj</t>
  </si>
  <si>
    <t>refineries_gas_tj</t>
  </si>
  <si>
    <t>refineries_steam_hot_water_tj</t>
  </si>
  <si>
    <t>refineries_wood_pellets_tj</t>
  </si>
  <si>
    <t>refineries_coal_tj</t>
  </si>
  <si>
    <t>refineries_crude_oil_tj</t>
  </si>
  <si>
    <t>aluminium_gas_tj</t>
  </si>
  <si>
    <t>mq_refineries_crude_oil_tj</t>
  </si>
  <si>
    <t>mq_refineries_network_gas_tj</t>
  </si>
  <si>
    <t>mq_refineries_coal_non_energetic_tj</t>
  </si>
  <si>
    <t>mq_refineries_electricity_tj</t>
  </si>
  <si>
    <t>mq_refineries_steam_hot_water_tj</t>
  </si>
  <si>
    <t>mq_refineries_wood_pellets_tj</t>
  </si>
  <si>
    <t>mq_refineries_coal_tj</t>
  </si>
  <si>
    <t>mq_refineries_crude_oil_non_energetic_tj</t>
  </si>
  <si>
    <t>mq_fertilizers_network_gas_tj</t>
  </si>
  <si>
    <t>transport_final_demand_for_rail_electricity_transport_tram_using_electricity_parent_share</t>
  </si>
  <si>
    <t>transport_final_demand_for_rail_electricity_transport_passenger_train_using_electricity_parent_share</t>
  </si>
  <si>
    <t>transport_rail_mixer_diesel_transport_freight_train_using_diesel_mix_parent_share</t>
  </si>
  <si>
    <t>transport_rail_mixer_diesel_transport_passenger_train_using_diesel_mix_parent_share</t>
  </si>
  <si>
    <t>transport_road_mixer_gasoline_transport_car_using_gasoline_mix_parent_share</t>
  </si>
  <si>
    <t>transport_road_mixer_gasoline_transport_van_using_gasoline_mix_parent_share</t>
  </si>
  <si>
    <t>transport_road_mixer_gasoline_transport_bus_using_gasoline_mix_parent_share</t>
  </si>
  <si>
    <t>transport_road_mixer_gasoline_transport_truck_using_gasoline_mix_parent_share</t>
  </si>
  <si>
    <t>transport_road_mixer_gasoline_transport_motorcycle_using_gasoline_mix_parent_share</t>
  </si>
  <si>
    <t>transport_road_mixer_diesel_transport_car_using_diesel_mix_parent_share</t>
  </si>
  <si>
    <t>transport_road_mixer_diesel_transport_van_using_diesel_mix_parent_share</t>
  </si>
  <si>
    <t>transport_road_mixer_diesel_transport_bus_using_diesel_mix_parent_share</t>
  </si>
  <si>
    <t>transport_road_mixer_diesel_transport_truck_using_diesel_mix_parent_share</t>
  </si>
  <si>
    <t>transport_final_demand_for_road_electricity_transport_car_using_electricity_parent_share</t>
  </si>
  <si>
    <t>transport_final_demand_for_road_electricity_transport_van_using_electricity_parent_share</t>
  </si>
  <si>
    <t>transport_final_demand_for_road_electricity_transport_bus_using_electricity_parent_share</t>
  </si>
  <si>
    <t>transport_final_demand_for_road_electricity_transport_motorcycle_using_electricity_parent_share</t>
  </si>
  <si>
    <t>transport_final_demand_for_road_electricity_transport_bicycle_using_electricity_parent_share</t>
  </si>
  <si>
    <t>transport_final_demand_for_road_electricity_transport_truck_using_electricity_parent_share</t>
  </si>
  <si>
    <t>transport_road_mixer_compressed_network_gas_transport_bus_using_compressed_natural_gas_parent_share</t>
  </si>
  <si>
    <t>transport_road_mixer_compressed_network_gas_transport_car_using_compressed_natural_gas_parent_share</t>
  </si>
  <si>
    <t>transport_road_mixer_compressed_network_gas_transport_van_using_compressed_natural_gas_parent_share</t>
  </si>
  <si>
    <t>transport_road_mixer_compressed_network_gas_transport_truck_using_compressed_natural_gas_parent_share</t>
  </si>
  <si>
    <t>input_transport_road_car_hydrogen_share</t>
  </si>
  <si>
    <t>transport_final_demand_for_road_hydrogen_transport_van_using_hydrogen_parent_share</t>
  </si>
  <si>
    <t>transport_final_demand_for_road_hydrogen_transport_bus_using_hydrogen_parent_share</t>
  </si>
  <si>
    <t>transport_final_demand_for_road_hydrogen_transport_truck_using_hydrogen_parent_share</t>
  </si>
  <si>
    <t>transport_road_mixer_lng_transport_bus_using_lng_mix_parent_share</t>
  </si>
  <si>
    <t>transport_road_mixer_lng_transport_truck_using_lng_mix_parent_share</t>
  </si>
  <si>
    <t>transport_final_demand_for_road_lpg_transport_car_using_lpg_parent_share</t>
  </si>
  <si>
    <t>transport_final_demand_for_road_lpg_transport_van_using_lpg_parent_share</t>
  </si>
  <si>
    <t>input_industry_aluminium_electrolysis_current_electricity_share</t>
  </si>
  <si>
    <t>input_industry_aluminium_smeltoven_electricity_share</t>
  </si>
  <si>
    <t>industry_final_demand_for_metal_aluminium_electricity_industry_aluminium_electrolysis_current_electricity_parent_share</t>
  </si>
  <si>
    <t>industry_final_demand_for_metal_aluminium_electricity_industry_aluminium_smeltoven_electricity_parent_share</t>
  </si>
  <si>
    <t>industry_aluminium_burner_network_gas_industry_aluminium_electrolysis_current_electricity_parent_share</t>
  </si>
  <si>
    <t>industry_aluminium_burner_network_gas_industry_aluminium_smeltoven_electricity_parent_share</t>
  </si>
  <si>
    <t>industry_final_demand_for_other_food_electricity_industry_useful_demand_for_other_food_electricity_parent_share</t>
  </si>
  <si>
    <t>industry_final_demand_for_other_food_electricity_industry_other_food_heater_electricity_parent_share</t>
  </si>
  <si>
    <t>input_share_mixer_gas_fuel_bio_oil</t>
  </si>
  <si>
    <t>input_share_mixer_gas_fuel_oil</t>
  </si>
  <si>
    <t>input_share_mixer_gas_fuel_network_gas</t>
  </si>
  <si>
    <t>industry_final_demand_for_other_paper_electricity_industry_useful_demand_for_other_paper_electricity_parent_share</t>
  </si>
  <si>
    <t>industry_final_demand_for_other_paper_electricity_industry_other_paper_heater_electricity_parent_share</t>
  </si>
  <si>
    <t>offshore_net_costs_present</t>
  </si>
  <si>
    <t>interconnection_net_costs_present</t>
  </si>
  <si>
    <t>annual_infrastructure_cost_gas</t>
  </si>
  <si>
    <t>file_carriers_natural_gas_co2_conversion_per_mj</t>
  </si>
  <si>
    <t>file_carriers_crude_oil_co2_conversion_per_mj</t>
  </si>
  <si>
    <t>file_carriers_coal_co2_conversion_per_mj</t>
  </si>
  <si>
    <t>file_carriers_lignite_co2_conversion_per_mj</t>
  </si>
  <si>
    <t>file_carriers_non_biogenic_waste_co2_conversion_per_mj</t>
  </si>
  <si>
    <t>file_carriers_propane_co2_conversion_per_mj</t>
  </si>
  <si>
    <t>file_carriers_diesel_co2_conversion_per_mj</t>
  </si>
  <si>
    <t>file_carriers_gasoline_co2_conversion_per_mj</t>
  </si>
  <si>
    <t>file_carriers_heavy_fuel_oil_co2_conversion_per_mj</t>
  </si>
  <si>
    <t>file_carriers_kerosene_co2_conversion_per_mj</t>
  </si>
  <si>
    <t>file_carriers_lng_co2_conversion_per_mj</t>
  </si>
  <si>
    <t>file_carriers_lpg_co2_conversion_per_mj</t>
  </si>
  <si>
    <t>file_carriers_imported_electricity_co2_conversion_per_mj</t>
  </si>
  <si>
    <t>file_carriers_imported_heat_co2_conversion_per_mj</t>
  </si>
  <si>
    <t>file_carriers_imported_hydrogen_co2_conversion_per_mj</t>
  </si>
  <si>
    <t>file_carriers_imported_ammonia_co2_conversion_per_mj</t>
  </si>
  <si>
    <t>input_energy_power_supercritical_coal_electricity_output_conversion</t>
  </si>
  <si>
    <t>input_energy_power_ultra_supercritical_coal_electricity_output_conversion</t>
  </si>
  <si>
    <t>input_energy_power_ultra_supercritical_ccs_coal_electricity_output_conversion</t>
  </si>
  <si>
    <t>input_energy_power_ultra_supercritical_cofiring_coal_electricity_output_conversion</t>
  </si>
  <si>
    <t>input_energy_power_combined_cycle_coal_electricity_output_conversion</t>
  </si>
  <si>
    <t>input_energy_power_combined_cycle_ccs_coal_electricity_output_conversion</t>
  </si>
  <si>
    <t>input_energy_power_ultra_supercritical_lignite_electricity_output_conversion</t>
  </si>
  <si>
    <t>input_energy_power_ultra_supercritical_oxyfuel_ccs_lignite_electricity_output_conversion</t>
  </si>
  <si>
    <t>input_energy_chp_ultra_supercritical_cofiring_coal_electricity_output_conversion</t>
  </si>
  <si>
    <t>input_energy_chp_ultra_supercritical_cofiring_coal_steam_hot_water_output_conversion</t>
  </si>
  <si>
    <t>input_energy_chp_ultra_supercritical_coal_electricity_output_conversion</t>
  </si>
  <si>
    <t>input_energy_chp_ultra_supercritical_coal_steam_hot_water_output_conversion</t>
  </si>
  <si>
    <t>input_industry_chp_ultra_supercritical_coal_electricity_output_conversion</t>
  </si>
  <si>
    <t>input_industry_chp_ultra_supercritical_coal_steam_hot_water_output_conversion</t>
  </si>
  <si>
    <t>input_energy_chp_ultra_supercritical_lignite_electricity_output_conversion</t>
  </si>
  <si>
    <t>input_energy_chp_ultra_supercritical_lignite_steam_hot_water_output_conversion</t>
  </si>
  <si>
    <t>input_energy_power_turbine_network_gas_electricity_output_conversion</t>
  </si>
  <si>
    <t>input_energy_power_combined_cycle_network_gas_electricity_output_conversion</t>
  </si>
  <si>
    <t>input_energy_power_combined_cycle_ccs_network_gas_electricity_output_conversion</t>
  </si>
  <si>
    <t>input_energy_power_ultra_supercritical_network_gas_electricity_output_conversion</t>
  </si>
  <si>
    <t>input_energy_power_engine_network_gas_electricity_output_conversion</t>
  </si>
  <si>
    <t>input_energy_chp_combined_cycle_network_gas_electricity_output_conversion</t>
  </si>
  <si>
    <t>input_energy_chp_combined_cycle_network_gas_steam_hot_water_output_conversion</t>
  </si>
  <si>
    <t>input_energy_chp_local_engine_network_gas_electricity_output_conversion</t>
  </si>
  <si>
    <t>input_energy_chp_local_engine_network_gas_steam_hot_water_output_conversion</t>
  </si>
  <si>
    <t>input_industry_chp_engine_gas_power_fuelmix_electricity_output_conversion</t>
  </si>
  <si>
    <t>input_industry_chp_engine_gas_power_fuelmix_steam_hot_water_output_conversion</t>
  </si>
  <si>
    <t>input_agriculture_chp_engine_network_gas_dispatchable_electricity_output_conversion</t>
  </si>
  <si>
    <t>input_agriculture_chp_engine_network_gas_dispatchable_steam_hot_water_output_conversion</t>
  </si>
  <si>
    <t>input_industry_chp_turbine_gas_power_fuelmix_electricity_output_conversion</t>
  </si>
  <si>
    <t>input_industry_chp_turbine_gas_power_fuelmix_steam_hot_water_output_conversion</t>
  </si>
  <si>
    <t>input_industry_chp_combined_cycle_gas_power_fuelmix_electricity_output_conversion</t>
  </si>
  <si>
    <t>input_industry_chp_combined_cycle_gas_power_fuelmix_steam_hot_water_output_conversion</t>
  </si>
  <si>
    <t>input_energy_power_ultra_supercritical_crude_oil_electricity_output_conversion</t>
  </si>
  <si>
    <t>input_energy_power_engine_diesel_electricity_output_conversion</t>
  </si>
  <si>
    <t>input_energy_power_supercritical_waste_mix_electricity_output_conversion</t>
  </si>
  <si>
    <t>input_energy_power_supercritical_ccs_waste_mix_electricity_output_conversion</t>
  </si>
  <si>
    <t>input_energy_power_nuclear_gen2_uranium_oxide_electricity_output_conversion</t>
  </si>
  <si>
    <t>input_energy_power_nuclear_gen3_uranium_oxide_electricity_output_conversion</t>
  </si>
  <si>
    <t>input_energy_chp_local_wood_pellets_electricity_output_conversion</t>
  </si>
  <si>
    <t>input_energy_chp_local_wood_pellets_steam_hot_water_output_conversion</t>
  </si>
  <si>
    <t>input_industry_chp_wood_pellets_electricity_output_conversion</t>
  </si>
  <si>
    <t>input_industry_chp_wood_pellets_steam_hot_water_output_conversion</t>
  </si>
  <si>
    <t>input_agriculture_chp_wood_pellets_electricity_output_conversion</t>
  </si>
  <si>
    <t>input_agriculture_chp_wood_pellets_steam_hot_water_output_conversion</t>
  </si>
  <si>
    <t>input_energy_chp_local_engine_biogas_electricity_output_conversion</t>
  </si>
  <si>
    <t>input_energy_chp_local_engine_biogas_steam_hot_water_output_conversion</t>
  </si>
  <si>
    <t>input_agriculture_chp_engine_biogas_electricity_output_conversion</t>
  </si>
  <si>
    <t>input_agriculture_chp_engine_biogas_steam_hot_water_output_conversion</t>
  </si>
  <si>
    <t>input_energy_chp_supercritical_waste_mix_electricity_output_conversion</t>
  </si>
  <si>
    <t>input_energy_chp_supercritical_waste_mix_steam_hot_water_output_conversion</t>
  </si>
  <si>
    <t>input_industry_chp_turbine_hydrogen_electricity_output_conversion</t>
  </si>
  <si>
    <t>input_industry_chp_turbine_hydrogen_steam_hot_water_output_conversion</t>
  </si>
  <si>
    <t>input_energy_heat_burner_wood_pellets_steam_hot_water_output_conversion</t>
  </si>
  <si>
    <t>input_energy_heat_burner_coal_steam_hot_water_output_conversion</t>
  </si>
  <si>
    <t>input_energy_heat_burner_hydrogen_steam_hot_water_output_conversion</t>
  </si>
  <si>
    <t>input_energy_heat_burner_crude_oil_steam_hot_water_output_conversion</t>
  </si>
  <si>
    <t>input_energy_heat_burner_network_gas_steam_hot_water_output_conversion</t>
  </si>
  <si>
    <t>input_energy_heat_burner_waste_mix_steam_hot_water_output_conversion</t>
  </si>
  <si>
    <t>input_energy_heat_boiler_electricity_steam_hot_water_output_conversion</t>
  </si>
  <si>
    <t>input_industry_heat_burner_lignite_steam_hot_water_output_conversion</t>
  </si>
  <si>
    <t>input_industry_heat_burner_coal_steam_hot_water_output_conversion</t>
  </si>
  <si>
    <t>input_industry_heat_burner_crude_oil_steam_hot_water_output_conversion</t>
  </si>
  <si>
    <t>input_industry_heat_burner_hydrogen_steam_hot_water_output_conversion</t>
  </si>
  <si>
    <t>input_energy_heat_distribution_ht_loss_share</t>
  </si>
  <si>
    <t>input_energy_heat_distribution_mt_loss_share</t>
  </si>
  <si>
    <t>input_energy_heat_distribution_lt_loss_share</t>
  </si>
  <si>
    <t>energy_power_combined_cycle_network_gas_full_load_hours</t>
  </si>
  <si>
    <t>energy_power_ultra_supercritical_network_gas_full_load_hours</t>
  </si>
  <si>
    <t>energy_power_turbine_network_gas_full_load_hours</t>
  </si>
  <si>
    <t>energy_power_engine_network_gas_full_load_hours</t>
  </si>
  <si>
    <t>energy_power_supercritical_coal_full_load_hours</t>
  </si>
  <si>
    <t>energy_power_combined_cycle_coal_gas_full_load_hours</t>
  </si>
  <si>
    <t>energy_power_ultra_supercritical_ccs_coal_full_load_hours</t>
  </si>
  <si>
    <t>energy_power_ultra_supercritical_coal_full_load_hours</t>
  </si>
  <si>
    <t>energy_power_ultra_supercritical_cofiring_coal_full_load_hours</t>
  </si>
  <si>
    <t>energy_power_ultra_supercritical_lignite_full_load_hours</t>
  </si>
  <si>
    <t>energy_power_ultra_supercritical_oxyfuel_ccs_lignite_full_load_hours</t>
  </si>
  <si>
    <t>energy_power_engine_diesel_full_load_hours</t>
  </si>
  <si>
    <t>energy_power_ultra_supercritical_crude_oil_full_load_hours</t>
  </si>
  <si>
    <t>energy_power_nuclear_gen2_uranium_oxide_full_load_hours</t>
  </si>
  <si>
    <t>energy_power_nuclear_gen3_uranium_oxide_full_load_hours</t>
  </si>
  <si>
    <t>energy_power_wind_turbine_inland_full_load_hours</t>
  </si>
  <si>
    <t>energy_power_wind_turbine_coastal_full_load_hours</t>
  </si>
  <si>
    <t>input_energy_power_wind_turbine_offshore_full_load_hours</t>
  </si>
  <si>
    <t>energy_power_geothermal_full_load_hours</t>
  </si>
  <si>
    <t>energy_power_hydro_mountain_full_load_hours</t>
  </si>
  <si>
    <t>energy_power_hydro_river_full_load_hours</t>
  </si>
  <si>
    <t>energy_power_supercritical_waste_mix_full_load_hours</t>
  </si>
  <si>
    <t>energy_power_supercritical_ccs_waste_mix_full_load_hours</t>
  </si>
  <si>
    <t>energy_chp_coal_gas_full_load_hours</t>
  </si>
  <si>
    <t>industry_chp_turbine_gas_power_fuelmix_full_load_hours</t>
  </si>
  <si>
    <t>industry_chp_combined_cycle_gas_power_fuelmix_full_load_hours</t>
  </si>
  <si>
    <t>industry_chp_engine_gas_power_fuelmix_full_load_hours</t>
  </si>
  <si>
    <t>agriculture_chp_engine_network_gas_dispatchable_full_load_hours</t>
  </si>
  <si>
    <t>input_energy_chp_local_engine_network_gas_full_load_hours</t>
  </si>
  <si>
    <t>input_energy_chp_combined_cycle_network_gas_full_load_hours</t>
  </si>
  <si>
    <t>input_energy_chp_ultra_supercritical_cofiring_coal_full_load_hours</t>
  </si>
  <si>
    <t>input_energy_chp_ultra_supercritical_coal_full_load_hours</t>
  </si>
  <si>
    <t>input_energy_chp_ultra_supercritical_lignite_full_load_hours</t>
  </si>
  <si>
    <t>industry_chp_ultra_supercritical_coal_full_load_hours</t>
  </si>
  <si>
    <t>input_energy_chp_local_wood_pellets_full_load_hours</t>
  </si>
  <si>
    <t>industry_chp_wood_pellets_full_load_hours</t>
  </si>
  <si>
    <t>agriculture_chp_wood_pellets_full_load_hours</t>
  </si>
  <si>
    <t>input_energy_chp_local_engine_biogas_full_load_hours</t>
  </si>
  <si>
    <t>agriculture_chp_engine_biogas_full_load_hours</t>
  </si>
  <si>
    <t>input_energy_chp_supercritical_waste_mix_full_load_hours</t>
  </si>
  <si>
    <t>industry_chp_turbine_hydrogen_full_load_hours</t>
  </si>
  <si>
    <t>input_energy_heat_burner_coal_full_load_hours</t>
  </si>
  <si>
    <t>industry_heat_burner_coal_full_load_hours</t>
  </si>
  <si>
    <t>industry_heat_burner_crude_oil_full_load_hours</t>
  </si>
  <si>
    <t>input_energy_heat_burner_crude_oil_full_load_hours</t>
  </si>
  <si>
    <t>input_energy_heat_burner_network_gas_full_load_hours</t>
  </si>
  <si>
    <t>industry_heat_burner_lignite_full_load_hours</t>
  </si>
  <si>
    <t>input_energy_heat_burner_wood_pellets_full_load_hours</t>
  </si>
  <si>
    <t>input_energy_heat_solar_solar_thermal_full_load_hours</t>
  </si>
  <si>
    <t>input_energy_heat_burner_waste_mix_full_load_hours</t>
  </si>
  <si>
    <t>input_energy_heat_heatpump_water_water_electricity_full_load_hours</t>
  </si>
  <si>
    <t>industry_heat_burner_hydrogen_full_load_hours</t>
  </si>
  <si>
    <t>transport_final_demand_for_rail_electricity_transport_freight_train_using_electricity_parent_share</t>
  </si>
  <si>
    <t>lv_net_spare_capacity</t>
  </si>
  <si>
    <t>mv_net_spare_capacity</t>
  </si>
  <si>
    <t>hv_net_spare_capacity</t>
  </si>
  <si>
    <t>lv_mv_trafo_spare_capacity</t>
  </si>
  <si>
    <t>mv_hv_trafo_spare_capacity</t>
  </si>
  <si>
    <t>lv_net_capacity_per_step</t>
  </si>
  <si>
    <t>lv_net_costs_per_capacity_step</t>
  </si>
  <si>
    <t>mv_net_capacity_per_step</t>
  </si>
  <si>
    <t>mv_net_costs_per_capacity_step</t>
  </si>
  <si>
    <t>hv_net_capacity_per_step</t>
  </si>
  <si>
    <t>hv_net_costs_per_capacity_step</t>
  </si>
  <si>
    <t>lv_mv_trafo_capacity_per_step</t>
  </si>
  <si>
    <t>lv_mv_trafo_costs_per_capacity_step</t>
  </si>
  <si>
    <t>mv_hv_trafo_capacity_per_step</t>
  </si>
  <si>
    <t>mv_hv_trafo_costs_per_capacity_step</t>
  </si>
  <si>
    <t>heat_length_of_distribution_pipelines_in_meter_per_residence_object_first_bracket</t>
  </si>
  <si>
    <t>heat_length_of_distribution_pipelines_in_meter_per_residence_object_second_bracket</t>
  </si>
  <si>
    <t>heat_length_of_distribution_pipelines_in_meter_per_residence_object_third_bracket</t>
  </si>
  <si>
    <t>heat_length_of_distribution_pipelines_in_meter_per_residence_object_fourth_bracket</t>
  </si>
  <si>
    <t>heat_length_of_distribution_pipelines_in_meter_per_residence_object_fifth_bracket</t>
  </si>
  <si>
    <t>heat_length_of_connection_pipelines_in_meter_per_residence_first_bracket</t>
  </si>
  <si>
    <t>heat_length_of_connection_pipelines_in_meter_per_residence_second_bracket</t>
  </si>
  <si>
    <t>heat_length_of_connection_pipelines_in_meter_per_residence_third_bracket</t>
  </si>
  <si>
    <t>heat_length_of_connection_pipelines_in_meter_per_residence_fourth_bracket</t>
  </si>
  <si>
    <t>heat_length_of_connection_pipelines_in_meter_per_residence_fifth_bracket</t>
  </si>
  <si>
    <t>input_percentage_of_diesel_buildings_final_demand_crude_oil</t>
  </si>
  <si>
    <t>input_percentage_of_biodiesel_buildings_final_demand_crude_oil</t>
  </si>
  <si>
    <t>input_percentage_of_kerosene_buildings_final_demand_crude_oil</t>
  </si>
  <si>
    <t>input_percentage_of_bio_kerosene_buildings_final_demand_crude_oil</t>
  </si>
  <si>
    <t>input_percentage_of_lpg_buildings_final_demand_crude_oil</t>
  </si>
  <si>
    <t>input_percentage_of_bio_oil_buildings_final_demand_crude_oil</t>
  </si>
  <si>
    <t>input_percentage_of_crude_oil_buildings_final_demand_crude_oil</t>
  </si>
  <si>
    <t>energy_greengas_gasification_dry_biomass_energy_greengas_production_child_share</t>
  </si>
  <si>
    <t>energy_greengas_gasification_wet_biomass_energy_greengas_production_child_share</t>
  </si>
  <si>
    <t>energy_greengas_upgrade_biogas_energy_greengas_production_child_share</t>
  </si>
  <si>
    <t>energy_distribution_biogenic_waste_energy_distribution_waste_mix_child_share</t>
  </si>
  <si>
    <t>energy_distribution_non_biogenic_waste_energy_distribution_waste_mix_child_share</t>
  </si>
  <si>
    <t>input_percentage_of_diesel_households_final_demand_crude_oil</t>
  </si>
  <si>
    <t>input_percentage_of_biodiesel_households_final_demand_crude_oil</t>
  </si>
  <si>
    <t>input_percentage_of_kerosene_households_final_demand_crude_oil</t>
  </si>
  <si>
    <t>input_percentage_of_bio_kerosene_households_final_demand_crude_oil</t>
  </si>
  <si>
    <t>input_percentage_of_lpg_households_final_demand_crude_oil</t>
  </si>
  <si>
    <t>input_percentage_of_bio_oil_households_final_demand_crude_oil</t>
  </si>
  <si>
    <t>input_percentage_of_crude_oil_households_final_demand_crude_oil</t>
  </si>
  <si>
    <t>input_percentage_of_diesel_industry_final_demand_crude_oil</t>
  </si>
  <si>
    <t>input_percentage_of_biodiesel_industry_final_demand_crude_oil</t>
  </si>
  <si>
    <t>input_percentage_of_kerosene_industry_final_demand_crude_oil</t>
  </si>
  <si>
    <t>input_percentage_of_bio_kerosene_industry_final_demand_crude_oil</t>
  </si>
  <si>
    <t>input_percentage_of_lpg_industry_final_demand_crude_oil</t>
  </si>
  <si>
    <t>input_percentage_of_bio_oil_industry_final_demand_crude_oil</t>
  </si>
  <si>
    <t>input_percentage_of_crude_oil_industry_final_demand_crude_oil</t>
  </si>
  <si>
    <t>co2_emission_1990_aviation_bunkers</t>
  </si>
  <si>
    <t>co2_emission_1990_marine_bunkers</t>
  </si>
  <si>
    <t>aluminium_production_mton</t>
  </si>
  <si>
    <t>chemical_other_steam_hot_water_tj</t>
  </si>
  <si>
    <t>chemical_other_wood_pellets_tj</t>
  </si>
  <si>
    <t>chemical_other_crude_oil_tj</t>
  </si>
  <si>
    <t>chemical_other_coal_tj</t>
  </si>
  <si>
    <t>chemical_other_network_gas_non_energetic_tj</t>
  </si>
  <si>
    <t>chemical_other_wood_pellets_non_energetic_tj</t>
  </si>
  <si>
    <t>chemical_other_crude_oil_non_energetic_tj</t>
  </si>
  <si>
    <t>food_steam_hot_water_tj</t>
  </si>
  <si>
    <t>food_wood_pellets_tj</t>
  </si>
  <si>
    <t>food_crude_oil_tj</t>
  </si>
  <si>
    <t>food_coal_tj</t>
  </si>
  <si>
    <t>metal_other_steam_hot_water_tj</t>
  </si>
  <si>
    <t>metal_other_crude_oil_tj</t>
  </si>
  <si>
    <t>metal_other_coal_tj</t>
  </si>
  <si>
    <t>industry_other_steam_hot_water_tj</t>
  </si>
  <si>
    <t>industry_other_crude_oil_tj</t>
  </si>
  <si>
    <t>industry_other_coal_tj</t>
  </si>
  <si>
    <t>industry_other_gas_non_energetic_tj</t>
  </si>
  <si>
    <t>industry_others_wood_pellets_non_energetic_tj</t>
  </si>
  <si>
    <t>industry_other_crude_oil_non_energetic_tj</t>
  </si>
  <si>
    <t>industry_other_coal_non_energetic_tj</t>
  </si>
  <si>
    <t>industry_other_wood_pellets_tj</t>
  </si>
  <si>
    <t>paper_steam_hot_water_tj</t>
  </si>
  <si>
    <t>paper_wood_pellets_tj</t>
  </si>
  <si>
    <t>paper_crude_oil_tj</t>
  </si>
  <si>
    <t>paper_coal_tj</t>
  </si>
  <si>
    <t>refineries_wood_pellets_non_energetic_tj</t>
  </si>
  <si>
    <t>steel_production_mton</t>
  </si>
  <si>
    <t>distribution_crude_oil_loss</t>
  </si>
  <si>
    <t>steel_cokesoven_coal_tj</t>
  </si>
  <si>
    <t>steel_blastfurnace_coal_tj</t>
  </si>
  <si>
    <t>steel_blastfurnace_cokes_tj</t>
  </si>
  <si>
    <t>steel_combined_cycle_coal_gas_tj</t>
  </si>
  <si>
    <t>steel_chp_coal_gas_tj</t>
  </si>
  <si>
    <t>refinery_transformation_other_oil_tj</t>
  </si>
  <si>
    <t>refinery_transformation_gasoline_tj</t>
  </si>
  <si>
    <t>refinery_transformation_heavy_fuel_oil_tj</t>
  </si>
  <si>
    <t>refinery_transformation_kerosene_tj</t>
  </si>
  <si>
    <t>refinery_transformation_lpg_tj</t>
  </si>
  <si>
    <t>refinery_transformation_refinery_gas_tj</t>
  </si>
  <si>
    <t>refinery_transformation_diesel_tj</t>
  </si>
  <si>
    <t>mq_steel_production_mton</t>
  </si>
  <si>
    <t>mq_aluminum_production_mton</t>
  </si>
  <si>
    <t>chemical_other_co2_scaled</t>
  </si>
  <si>
    <t>mq_chemical_other_steam_hot_water_tj</t>
  </si>
  <si>
    <t>mq_chemical_other_wood_pellets_tj</t>
  </si>
  <si>
    <t>mq_chemical_other_crude_oil_tj</t>
  </si>
  <si>
    <t>mq_chemical_other_network_gas_non_energetic_tj</t>
  </si>
  <si>
    <t>mq_chemical_other_wood_pellets_non_energetic_tj</t>
  </si>
  <si>
    <t>mq_chemical_other_crude_oil_non_energetic_tj</t>
  </si>
  <si>
    <t>mq_chemical_other_coal_tj</t>
  </si>
  <si>
    <t>food_co2_scaled</t>
  </si>
  <si>
    <t>mq_food_steam_hot_water_tj</t>
  </si>
  <si>
    <t>mq_food_wood_pellets_tj</t>
  </si>
  <si>
    <t>mq_food_crude_oil_tj</t>
  </si>
  <si>
    <t>mq_food_coal_tj</t>
  </si>
  <si>
    <t>mq_industry_other_steam_hot_water_tj</t>
  </si>
  <si>
    <t>mq_industry_other_wood_pellets_tj</t>
  </si>
  <si>
    <t>mq_industry_other_coal_tj</t>
  </si>
  <si>
    <t>mq_industry_other_crude_oil_tj</t>
  </si>
  <si>
    <t>mq_industry_other_network_gas_non_energetic_tj</t>
  </si>
  <si>
    <t>mq_industry_other_wood_pellets_non_energetic_tj</t>
  </si>
  <si>
    <t>mq_industry_other_crude_oil_non_energetic_tj</t>
  </si>
  <si>
    <t>mq_industry_other_coal_non_energetic_tj</t>
  </si>
  <si>
    <t>paper_co2_scaled</t>
  </si>
  <si>
    <t>mq_paper_steam_hot_water_tj</t>
  </si>
  <si>
    <t>mq_paper_wood_pellets_tj</t>
  </si>
  <si>
    <t>mq_paper_crude_oil_tj</t>
  </si>
  <si>
    <t>mq_paper_coal_tj</t>
  </si>
  <si>
    <t>metal_other_co2_scaled</t>
  </si>
  <si>
    <t>mq_metal_other_steam_hot_water_tj</t>
  </si>
  <si>
    <t>mq_metal_other_crude_oil_tj</t>
  </si>
  <si>
    <t>mq_metal_other_coal_tj</t>
  </si>
  <si>
    <t>mq_refineries_wood_pellets_non_energetic_tj</t>
  </si>
  <si>
    <t>mq_refineries_network_gas_non_energetic_tj</t>
  </si>
  <si>
    <t>mq_refinery_transformation_other_oil_tj</t>
  </si>
  <si>
    <t>mq_refinery_transformation_gasoline_tj</t>
  </si>
  <si>
    <t>mq_refinery_transformation_heavy_fuel_oil_tj</t>
  </si>
  <si>
    <t>mq_refinery_transformation_kerosene_tj</t>
  </si>
  <si>
    <t>mq_refinery_transformation_lpg_tj</t>
  </si>
  <si>
    <t>mq_refinery_transformation_refinery_gas_tj</t>
  </si>
  <si>
    <t>mq_refinery_transformation_diesel_tj</t>
  </si>
  <si>
    <t>mq_distribution_crude_oil_loss</t>
  </si>
  <si>
    <t>mq_steel_cokesoven_coal_tj</t>
  </si>
  <si>
    <t>mq_steel_blastfurnace_coal_tj</t>
  </si>
  <si>
    <t>mq_steel_blastfurnace_cokes_tj</t>
  </si>
  <si>
    <t>mq_steel_combined_cycle_coal_gas_tj</t>
  </si>
  <si>
    <t>mq_steel_chp_coal_gas_tj</t>
  </si>
  <si>
    <t>mq_chemical_other_network_gas_tj</t>
  </si>
  <si>
    <t>mq_food_network_gas_tj</t>
  </si>
  <si>
    <t>mq_metal_other_network_gas_tj</t>
  </si>
  <si>
    <t>mq_paper_network_gas_tj</t>
  </si>
  <si>
    <t>mq_industry_other_network_gas_tj</t>
  </si>
  <si>
    <t>mq_chemical_other_electricity_tj</t>
  </si>
  <si>
    <t>mq_food_electricity_tj</t>
  </si>
  <si>
    <t>mq_metal_other_electricity_tj</t>
  </si>
  <si>
    <t>mq_paper_electricity_tj</t>
  </si>
  <si>
    <t>mq_industry_other_electricity_tj</t>
  </si>
  <si>
    <t>mq_chemical_other_coal_non_energetic_tj</t>
  </si>
  <si>
    <t>chemical_other_coal_non_energetic_tj</t>
  </si>
  <si>
    <t>buildings_final_demand_electricity_buildings_final_demand_for_lighting_electricity_parent_share</t>
  </si>
  <si>
    <t>buildings_final_demand_electricity_buildings_final_demand_for_space_heating_electricity_parent_share</t>
  </si>
  <si>
    <t>buildings_final_demand_electricity_buildings_final_demand_for_appliances_electricity_parent_share</t>
  </si>
  <si>
    <t>buildings_final_demand_electricity_buildings_final_demand_for_cooling_electricity_parent_share</t>
  </si>
  <si>
    <t>buildings_final_demand_network_gas_buildings_final_demand_for_appliances_network_gas_parent_share</t>
  </si>
  <si>
    <t>buildings_final_demand_network_gas_buildings_final_demand_for_space_heating_network_gas_parent_share</t>
  </si>
  <si>
    <t>buildings_final_demand_network_gas_buildings_final_demand_for_cooling_network_gas_parent_share</t>
  </si>
  <si>
    <t>buildings_final_demand_wood_pellets_buildings_final_demand_for_space_heating_wood_pellets_parent_share</t>
  </si>
  <si>
    <t>buildings_final_demand_wood_pellets_buildings_final_demand_for_appliances_wood_pellets_parent_share</t>
  </si>
  <si>
    <t>buildings_final_demand_coal_buildings_final_demand_for_space_heating_coal_parent_share</t>
  </si>
  <si>
    <t>buildings_final_demand_coal_buildings_final_demand_for_appliances_coal_parent_share</t>
  </si>
  <si>
    <t>buildings_final_demand_crude_oil_buildings_final_demand_for_space_heating_crude_oil_parent_share</t>
  </si>
  <si>
    <t>buildings_final_demand_crude_oil_buildings_final_demand_for_appliances_crude_oil_parent_share</t>
  </si>
  <si>
    <t>buildings_final_demand_for_space_heating_network_gas_buildings_space_heater_heatpump_air_water_network_gas_parent_share</t>
  </si>
  <si>
    <t>buildings_final_demand_for_space_heating_network_gas_buildings_space_heater_hybrid_heatpump_air_water_electricity_parent_share</t>
  </si>
  <si>
    <t>buildings_final_demand_for_space_heating_network_gas_buildings_space_heater_network_gas_parent_share</t>
  </si>
  <si>
    <t>buildings_final_demand_for_space_heating_electricity_buildings_space_heater_collective_heatpump_water_water_ts_electricity_parent_share</t>
  </si>
  <si>
    <t>buildings_final_demand_for_space_heating_electricity_buildings_space_heater_heatpump_air_water_electricity_parent_share</t>
  </si>
  <si>
    <t>buildings_final_demand_for_space_heating_electricity_buildings_space_heater_hybrid_heatpump_air_water_electricity_parent_share</t>
  </si>
  <si>
    <t>buildings_final_demand_for_space_heating_electricity_buildings_space_heater_electricity_parent_share</t>
  </si>
  <si>
    <t>buildings_final_demand_for_lighting_electricity_buildings_lighting_efficient_fluorescent_electricity_parent_share</t>
  </si>
  <si>
    <t>buildings_final_demand_for_lighting_electricity_buildings_lighting_standard_fluorescent_electricity_parent_share</t>
  </si>
  <si>
    <t>buildings_final_demand_for_lighting_electricity_buildings_lighting_led_electricity_parent_share</t>
  </si>
  <si>
    <t>buildings_final_demand_for_cooling_electricity_buildings_cooling_airconditioning_electricity_parent_share</t>
  </si>
  <si>
    <t>buildings_final_demand_for_cooling_electricity_buildings_cooling_heatpump_air_water_electricity_parent_share</t>
  </si>
  <si>
    <t>buildings_final_demand_for_cooling_electricity_buildings_cooling_collective_heatpump_water_water_ts_electricity_parent_share</t>
  </si>
  <si>
    <t>households_final_demand_electricity_households_final_demand_for_cooking_electricity_parent_share</t>
  </si>
  <si>
    <t>households_final_demand_electricity_households_final_demand_for_cooling_electricity_parent_share</t>
  </si>
  <si>
    <t>households_final_demand_electricity_households_final_demand_for_hot_water_electricity_parent_share</t>
  </si>
  <si>
    <t>households_final_demand_electricity_households_final_demand_for_lighting_electricity_parent_share</t>
  </si>
  <si>
    <t>households_final_demand_electricity_households_final_demand_for_space_heating_electricity_parent_share</t>
  </si>
  <si>
    <t>households_final_demand_electricity_households_final_demand_for_appliances_electricity_parent_share</t>
  </si>
  <si>
    <t>households_final_demand_network_gas_households_final_demand_for_cooking_network_gas_parent_share</t>
  </si>
  <si>
    <t>households_final_demand_network_gas_households_final_demand_for_hot_water_network_gas_parent_share</t>
  </si>
  <si>
    <t>households_final_demand_network_gas_households_final_demand_for_space_heating_network_gas_parent_share</t>
  </si>
  <si>
    <t>households_final_demand_network_gas_households_final_demand_for_cooling_network_gas_parent_share</t>
  </si>
  <si>
    <t>input_households_final_demand_steam_hot_water_households_final_demand_for_hot_water_steam_hot_water_parent_share</t>
  </si>
  <si>
    <t>input_households_final_demand_steam_hot_water_households_final_demand_for_space_heating_steam_hot_water_parent_share</t>
  </si>
  <si>
    <t>households_final_demand_wood_pellets_households_final_demand_for_hot_water_wood_pellets_parent_share</t>
  </si>
  <si>
    <t>households_final_demand_wood_pellets_households_final_demand_for_space_heating_wood_pellets_parent_share</t>
  </si>
  <si>
    <t>households_final_demand_wood_pellets_households_final_demand_for_cooking_wood_pellets_parent_share</t>
  </si>
  <si>
    <t>households_final_demand_crude_oil_households_final_demand_for_space_heating_crude_oil_parent_share</t>
  </si>
  <si>
    <t>households_final_demand_crude_oil_households_final_demand_for_hot_water_crude_oil_parent_share</t>
  </si>
  <si>
    <t>households_final_demand_coal_households_final_demand_for_space_heating_coal_parent_share</t>
  </si>
  <si>
    <t>households_final_demand_coal_households_final_demand_for_hot_water_coal_parent_share</t>
  </si>
  <si>
    <t>households_final_demand_for_space_heating_network_gas_households_space_heater_combined_network_gas_parent_share</t>
  </si>
  <si>
    <t>households_final_demand_for_space_heating_network_gas_households_space_heater_network_gas_parent_share</t>
  </si>
  <si>
    <t>households_final_demand_for_space_heating_network_gas_households_space_heater_hybrid_heatpump_air_water_electricity_parent_share</t>
  </si>
  <si>
    <t>households_final_demand_for_space_heating_electricity_households_space_heater_electricity_parent_share</t>
  </si>
  <si>
    <t>households_final_demand_for_space_heating_electricity_households_space_heater_heatpump_air_water_electricity_parent_share</t>
  </si>
  <si>
    <t>households_final_demand_for_space_heating_electricity_households_space_heater_hybrid_heatpump_air_water_electricity_parent_share</t>
  </si>
  <si>
    <t>households_final_demand_for_space_heating_electricity_households_space_heater_heatpump_ground_water_electricity_parent_share</t>
  </si>
  <si>
    <t>households_final_demand_for_cooking_electricity_households_cooker_halogen_electricity_parent_share</t>
  </si>
  <si>
    <t>households_final_demand_for_cooking_electricity_households_cooker_induction_electricity_parent_share</t>
  </si>
  <si>
    <t>households_final_demand_for_cooking_electricity_households_cooker_resistive_electricity_parent_share</t>
  </si>
  <si>
    <t>households_final_demand_for_lighting_electricity_households_lighting_incandescent_electricity_parent_share</t>
  </si>
  <si>
    <t>households_final_demand_for_lighting_electricity_households_lighting_efficient_fluorescent_electricity_parent_share</t>
  </si>
  <si>
    <t>households_final_demand_for_lighting_electricity_households_lighting_led_electricity_parent_share</t>
  </si>
  <si>
    <t>households_final_demand_for_appliances_electricity_households_appliances_clothes_dryer_electricity_parent_share</t>
  </si>
  <si>
    <t>households_final_demand_for_appliances_electricity_households_appliances_computer_media_electricity_parent_share</t>
  </si>
  <si>
    <t>households_final_demand_for_appliances_electricity_households_appliances_dishwasher_electricity_parent_share</t>
  </si>
  <si>
    <t>households_final_demand_for_appliances_electricity_households_appliances_fridge_freezer_electricity_parent_share</t>
  </si>
  <si>
    <t>households_final_demand_for_appliances_electricity_households_appliances_other_electricity_parent_share</t>
  </si>
  <si>
    <t>households_final_demand_for_appliances_electricity_households_appliances_television_electricity_parent_share</t>
  </si>
  <si>
    <t>households_final_demand_for_appliances_electricity_households_appliances_vacuum_cleaner_electricity_parent_share</t>
  </si>
  <si>
    <t>households_final_demand_for_appliances_electricity_households_appliances_washing_machine_electricity_parent_share</t>
  </si>
  <si>
    <t>households_final_demand_for_cooling_electricity_households_cooling_airconditioning_electricity_parent_share</t>
  </si>
  <si>
    <t>households_final_demand_for_cooling_electricity_households_cooling_heatpump_ground_water_electricity_parent_share</t>
  </si>
  <si>
    <t>households_final_demand_for_cooling_electricity_households_cooling_heatpump_air_water_electricity_parent_share</t>
  </si>
  <si>
    <t>input_percentage_of_lt_steam_hot_water_households_final_demand_steam_hot_water</t>
  </si>
  <si>
    <t>input_percentage_of_mt_steam_hot_water_households_final_demand_steam_hot_water</t>
  </si>
  <si>
    <t>input_percentage_of_ht_steam_hot_water_households_final_demand_steam_hot_water</t>
  </si>
  <si>
    <t>number_of_inhabitants</t>
  </si>
  <si>
    <t>input_percentage_of_lt_steam_hot_water_buildings_final_demand_steam_hot_water</t>
  </si>
  <si>
    <t>input_percentage_of_mt_steam_hot_water_buildings_final_demand_steam_hot_water</t>
  </si>
  <si>
    <t>input_percentage_of_ht_steam_hot_water_buildings_final_demand_steam_hot_water</t>
  </si>
  <si>
    <t>mq_annual_infrastructure_cost_gas</t>
  </si>
  <si>
    <t>lv_net_total_costs_present_distributed</t>
  </si>
  <si>
    <t>mv_net_total_costs_present_distributed</t>
  </si>
  <si>
    <t>hv_net_total_costs_present_distributed</t>
  </si>
  <si>
    <t>lv_mv_trafo_total_costs_present_distributed</t>
  </si>
  <si>
    <t>mv_hv_trafo_total_costs_present_distributed</t>
  </si>
  <si>
    <t>nl_elektra_totaal_combi_tj</t>
  </si>
  <si>
    <t>annual_infrastructure_cost_gas_distributed</t>
  </si>
  <si>
    <t>input_percentage_of_central_mt_steam_hot_water_agriculture_final_demand_steam_hot_water</t>
  </si>
  <si>
    <t>input_percentage_of_central_ht_steam_hot_water_agriculture_final_demand_steam_hot_water</t>
  </si>
  <si>
    <t>input_percentage_of_local_steam_hot_water_agriculture_final_demand_steam_hot_water</t>
  </si>
  <si>
    <t>solar_pv_solar_farms_kwh</t>
  </si>
  <si>
    <t>total_road_electricity_demand_nl_tj</t>
  </si>
  <si>
    <t>dq_transport_final_demand_for_road_electricity</t>
  </si>
  <si>
    <t>final_demand_road_gasoline_tj_share_NL</t>
  </si>
  <si>
    <t>solar_pv_buildings_kwh</t>
  </si>
  <si>
    <t>commercial_solar_roof_kw</t>
  </si>
  <si>
    <t>buildings_roof_surface_available_for_pv</t>
  </si>
  <si>
    <t>residences_roof_surface_available_for_pv</t>
  </si>
  <si>
    <t>households_roof_pv_potential</t>
  </si>
  <si>
    <t>buildings_roof_pv_potential</t>
  </si>
  <si>
    <t>solar_pv_households_kwh</t>
  </si>
  <si>
    <t>tp_car_gas_co2_built_env</t>
  </si>
  <si>
    <t>tp_van_gas_co2_built_env</t>
  </si>
  <si>
    <t>tp_car_gas_co2_road</t>
  </si>
  <si>
    <t>tp_van_gas_co2_road</t>
  </si>
  <si>
    <t>tp_car_gas_co2_motorway</t>
  </si>
  <si>
    <t>tp_van_gas_co2_motorway</t>
  </si>
  <si>
    <t>New</t>
  </si>
  <si>
    <t>input_transport_road_human_powered_bicycle_demand</t>
  </si>
  <si>
    <t>input_percentage_of_diesel_agriculture_final_demand_crude_oil</t>
  </si>
  <si>
    <t>input_percentage_of_biodiesel_agriculture_final_demand_crude_oil</t>
  </si>
  <si>
    <t>input_percentage_of_kerosene_agriculture_final_demand_crude_oil</t>
  </si>
  <si>
    <t>input_percentage_of_bio_kerosene_agriculture_final_demand_crude_oil</t>
  </si>
  <si>
    <t>input_percentage_of_lpg_agriculture_final_demand_crude_oil</t>
  </si>
  <si>
    <t>input_percentage_of_bio_oil_agriculture_final_demand_crude_oil</t>
  </si>
  <si>
    <t>input_percentage_of_crude_oil_agriculture_final_demand_crude_oil</t>
  </si>
  <si>
    <t>typical_useful_demand_for_space_heating_apartments_future</t>
  </si>
  <si>
    <t>typical_useful_demand_for_space_heating_detached_houses_future</t>
  </si>
  <si>
    <t>typical_useful_demand_for_space_heating_semi_detached_houses_future</t>
  </si>
  <si>
    <t>typical_useful_demand_for_space_heating_terraced_houses_future</t>
  </si>
  <si>
    <t>typical_useful_demand_for_space_heating_buildings_future</t>
  </si>
  <si>
    <t>total_gas_heat_tj_temp_corrected - renewable_heat_not_supplying_district_heat - max_of_hh_heat_tj_temp_corrected_or_renewable_heat_supplying_district_heat</t>
  </si>
  <si>
    <t>nl_gas_totaal</t>
  </si>
  <si>
    <t>element_9</t>
  </si>
  <si>
    <t>operand_9</t>
  </si>
  <si>
    <t>element_10</t>
  </si>
  <si>
    <t>operand_10</t>
  </si>
  <si>
    <t>element_11</t>
  </si>
  <si>
    <t>operand_11</t>
  </si>
  <si>
    <t>element_12</t>
  </si>
  <si>
    <t>operand_12</t>
  </si>
  <si>
    <t>element_13</t>
  </si>
  <si>
    <t>operand_13</t>
  </si>
  <si>
    <t>element_14</t>
  </si>
  <si>
    <t>dq_transport_bicycle_using_electricity</t>
  </si>
  <si>
    <t>number_of_cars_data</t>
  </si>
  <si>
    <t>number_of_vans_data</t>
  </si>
  <si>
    <t>number_of_trucks_data</t>
  </si>
  <si>
    <t>number_of_busses_data</t>
  </si>
  <si>
    <t>wet_biomass_potential</t>
  </si>
  <si>
    <t>dry_biomass_potential</t>
  </si>
  <si>
    <t>oily_biomass_potential</t>
  </si>
  <si>
    <t>energy_production_wet_biomass_max_demand</t>
  </si>
  <si>
    <t>energy_production_dry_biomass_max_demand</t>
  </si>
  <si>
    <t>energy_production_oily_biomass_max_demand</t>
  </si>
  <si>
    <t>number_of_cars</t>
  </si>
  <si>
    <t>total_land_area</t>
  </si>
  <si>
    <t>total_land_area_km2</t>
  </si>
  <si>
    <t>coast_line</t>
  </si>
  <si>
    <t>coast_line_km</t>
  </si>
  <si>
    <t>areable_land</t>
  </si>
  <si>
    <t>#6983d0</t>
  </si>
  <si>
    <t>Klimaatmonitor transport data (derived)</t>
  </si>
  <si>
    <t>input_solar_pv_on_roof_households_full_load_hours</t>
  </si>
  <si>
    <t>input_solar_pv_on_roof_buildings_full_load_hours</t>
  </si>
  <si>
    <t>input_solar_pv_on_land_full_load_hours</t>
  </si>
  <si>
    <t>input_solar_csp_full_load_hours</t>
  </si>
  <si>
    <t>mq_input_solar_pv_on_land_full_load_hours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</si>
</sst>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8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D1C1D"/>
      <name val="Aptos Display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rgb="FF000000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3" fillId="0" borderId="0" xfId="0" applyNumberFormat="1" applyFont="1"/>
    <xf numFmtId="0" fontId="7" fillId="0" borderId="0" xfId="0" applyFont="1"/>
    <xf numFmtId="0" fontId="9" fillId="0" borderId="0" xfId="0" applyFont="1"/>
    <xf numFmtId="0" fontId="0" fillId="2" borderId="0" xfId="0" applyFill="1"/>
    <xf numFmtId="0" fontId="9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4" borderId="1" xfId="0" applyFill="1" applyBorder="1"/>
    <xf numFmtId="0" fontId="10" fillId="5" borderId="0" xfId="0" applyFont="1" applyFill="1"/>
    <xf numFmtId="0" fontId="0" fillId="5" borderId="0" xfId="0" applyFill="1"/>
    <xf numFmtId="0" fontId="0" fillId="6" borderId="0" xfId="0" applyFill="1"/>
    <xf numFmtId="0" fontId="10" fillId="2" borderId="0" xfId="0" applyFont="1" applyFill="1"/>
    <xf numFmtId="0" fontId="1" fillId="2" borderId="0" xfId="0" applyFont="1" applyFill="1"/>
    <xf numFmtId="0" fontId="10" fillId="7" borderId="0" xfId="0" applyFont="1" applyFill="1"/>
    <xf numFmtId="0" fontId="0" fillId="7" borderId="0" xfId="0" applyFill="1"/>
    <xf numFmtId="0" fontId="1" fillId="7" borderId="0" xfId="0" applyFont="1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10" fillId="9" borderId="0" xfId="0" applyFont="1" applyFill="1"/>
    <xf numFmtId="0" fontId="1" fillId="10" borderId="0" xfId="0" applyFont="1" applyFill="1"/>
    <xf numFmtId="0" fontId="0" fillId="10" borderId="0" xfId="0" applyFill="1"/>
    <xf numFmtId="0" fontId="9" fillId="11" borderId="0" xfId="0" applyFont="1" applyFill="1"/>
    <xf numFmtId="0" fontId="0" fillId="9" borderId="1" xfId="0" applyFill="1" applyBorder="1"/>
    <xf numFmtId="0" fontId="3" fillId="9" borderId="0" xfId="0" applyFont="1" applyFill="1"/>
    <xf numFmtId="11" fontId="0" fillId="0" borderId="0" xfId="0" applyNumberFormat="1"/>
    <xf numFmtId="0" fontId="11" fillId="2" borderId="0" xfId="0" applyFont="1" applyFill="1"/>
    <xf numFmtId="0" fontId="0" fillId="0" borderId="2" xfId="0" applyBorder="1"/>
    <xf numFmtId="0" fontId="8" fillId="0" borderId="0" xfId="0" applyFont="1"/>
    <xf numFmtId="0" fontId="8" fillId="4" borderId="0" xfId="0" applyFont="1" applyFill="1"/>
    <xf numFmtId="0" fontId="8" fillId="9" borderId="0" xfId="0" applyFont="1" applyFill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342899</xdr:colOff>
      <xdr:row>3</xdr:row>
      <xdr:rowOff>139700</xdr:rowOff>
    </xdr:from>
    <xdr:to>
      <xdr:col>27</xdr:col>
      <xdr:colOff>693840</xdr:colOff>
      <xdr:row>40</xdr:row>
      <xdr:rowOff>101600</xdr:rowOff>
    </xdr:to>
    <xdr:pic>
      <xdr:nvPicPr>
        <xdr:cNvPr id="807" name="Picture 1">
          <a:extLst>
            <a:ext uri="{FF2B5EF4-FFF2-40B4-BE49-F238E27FC236}">
              <a16:creationId xmlns:a16="http://schemas.microsoft.com/office/drawing/2014/main" id="{F6139FFF-6EE0-7F65-83BA-6F9D9966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3399" y="749300"/>
          <a:ext cx="13558941" cy="7480300"/>
        </a:xfrm>
        <a:prstGeom prst="rect">
          <a:avLst/>
        </a:prstGeom>
      </xdr:spPr>
    </xdr:pic>
    <xdr:clientData/>
  </xdr:twoCellAnchor>
  <xdr:twoCellAnchor>
    <xdr:from>
      <xdr:col>0</xdr:col>
      <xdr:colOff>469900</xdr:colOff>
      <xdr:row>4</xdr:row>
      <xdr:rowOff>50800</xdr:rowOff>
    </xdr:from>
    <xdr:to>
      <xdr:col>10</xdr:col>
      <xdr:colOff>584200</xdr:colOff>
      <xdr:row>50</xdr:row>
      <xdr:rowOff>152400</xdr:rowOff>
    </xdr:to>
    <xdr:sp macro="" textlink="">
      <xdr:nvSpPr>
        <xdr:cNvPr id="954" name="Rectangle 2">
          <a:extLst>
            <a:ext uri="{FF2B5EF4-FFF2-40B4-BE49-F238E27FC236}">
              <a16:creationId xmlns:a16="http://schemas.microsoft.com/office/drawing/2014/main" id="{81D6102A-EB17-0BAC-E53A-F9AE042D95F4}"/>
            </a:ext>
          </a:extLst>
        </xdr:cNvPr>
        <xdr:cNvSpPr/>
      </xdr:nvSpPr>
      <xdr:spPr>
        <a:xfrm>
          <a:off x="469900" y="863600"/>
          <a:ext cx="8369300" cy="944880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This notebook contains</a:t>
          </a:r>
          <a:r>
            <a:rPr lang="en-GB" sz="1100" baseline="0">
              <a:solidFill>
                <a:schemeClr val="tx1"/>
              </a:solidFill>
            </a:rPr>
            <a:t> the information to calculate ETLocal keys  using relevant source data, notably Klimaatmonitor. It is used as input for the 'excel_to_yaml.py' script in the etdataset/pipelines/config folder.</a:t>
          </a:r>
        </a:p>
        <a:p>
          <a:pPr algn="l"/>
          <a:endParaRPr lang="en-GB" sz="1100" baseline="0">
            <a:solidFill>
              <a:schemeClr val="tx1"/>
            </a:solidFill>
          </a:endParaRPr>
        </a:p>
        <a:p>
          <a:pPr algn="l"/>
          <a:r>
            <a:rPr lang="en-GB" sz="1100" b="1" baseline="0">
              <a:solidFill>
                <a:schemeClr val="tx1"/>
              </a:solidFill>
            </a:rPr>
            <a:t>Note:</a:t>
          </a:r>
          <a:r>
            <a:rPr lang="en-GB" sz="1100" b="0" baseline="0">
              <a:solidFill>
                <a:schemeClr val="tx1"/>
              </a:solidFill>
            </a:rPr>
            <a:t> some of the steps below refer to the Jupyter notebook 'Extract and preprocess source data', i.e. the 'preprocessing notebook'.</a:t>
          </a:r>
          <a:endParaRPr lang="en-GB" sz="1100" b="1" baseline="0">
            <a:solidFill>
              <a:schemeClr val="tx1"/>
            </a:solidFill>
          </a:endParaRPr>
        </a:p>
        <a:p>
          <a:pPr algn="l"/>
          <a:endParaRPr lang="en-GB" sz="1100" baseline="0">
            <a:solidFill>
              <a:schemeClr val="tx1"/>
            </a:solidFill>
          </a:endParaRPr>
        </a:p>
        <a:p>
          <a:pPr algn="l"/>
          <a:r>
            <a:rPr lang="en-GB" sz="1100" baseline="0">
              <a:solidFill>
                <a:schemeClr val="tx1"/>
              </a:solidFill>
            </a:rPr>
            <a:t>The flow diagram to the right describes the process:</a:t>
          </a:r>
        </a:p>
        <a:p>
          <a:pPr algn="l"/>
          <a:r>
            <a:rPr lang="en-GB" sz="1100" baseline="0">
              <a:solidFill>
                <a:schemeClr val="tx1"/>
              </a:solidFill>
            </a:rPr>
            <a:t>1. Variables from source data (e.g. Klimaatmonitor, 'km-var')  are transformed into internal variables ('ivar')</a:t>
          </a:r>
        </a:p>
        <a:p>
          <a:pPr algn="l"/>
          <a:r>
            <a:rPr lang="en-GB" sz="1100" baseline="0">
              <a:solidFill>
                <a:schemeClr val="tx1"/>
              </a:solidFill>
            </a:rPr>
            <a:t>The tab </a:t>
          </a:r>
          <a:r>
            <a:rPr lang="en-GB" sz="1100" b="1" baseline="0">
              <a:solidFill>
                <a:schemeClr val="accent6"/>
              </a:solidFill>
            </a:rPr>
            <a:t>A_km-var_to_ivar </a:t>
          </a:r>
          <a:r>
            <a:rPr lang="en-GB" sz="1100" b="0" baseline="0">
              <a:solidFill>
                <a:schemeClr val="tx1"/>
              </a:solidFill>
            </a:rPr>
            <a:t>matches variables from Klimaatmonitor with these internal variables</a:t>
          </a: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r>
            <a:rPr lang="en-GB" sz="1100" b="1" baseline="0">
              <a:solidFill>
                <a:schemeClr val="tx1"/>
              </a:solidFill>
            </a:rPr>
            <a:t>Note: </a:t>
          </a:r>
          <a:r>
            <a:rPr lang="en-GB" sz="1100" b="0" baseline="0">
              <a:solidFill>
                <a:schemeClr val="tx1"/>
              </a:solidFill>
            </a:rPr>
            <a:t>the conversion steps are also listed for clarity, but the actual conversion takes place in the preprocessing notebook.</a:t>
          </a: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r>
            <a:rPr lang="en-GB" sz="1100" b="0" baseline="0">
              <a:solidFill>
                <a:schemeClr val="tx1"/>
              </a:solidFill>
            </a:rPr>
            <a:t>A number of variables derive from sources other than Klimaatmonitor. These are typically abbreviated with a prefix:</a:t>
          </a:r>
        </a:p>
        <a:p>
          <a:pPr algn="l"/>
          <a:r>
            <a:rPr lang="en-GB" sz="1100" b="1" baseline="0">
              <a:solidFill>
                <a:schemeClr val="tx1"/>
              </a:solidFill>
            </a:rPr>
            <a:t>- tres: </a:t>
          </a:r>
          <a:r>
            <a:rPr lang="en-GB" sz="1100" b="0" baseline="0">
              <a:solidFill>
                <a:schemeClr val="tx1"/>
              </a:solidFill>
            </a:rPr>
            <a:t>transport research</a:t>
          </a:r>
        </a:p>
        <a:p>
          <a:pPr algn="l"/>
          <a:r>
            <a:rPr lang="en-GB" sz="1100" b="0" baseline="0">
              <a:solidFill>
                <a:schemeClr val="tx1"/>
              </a:solidFill>
            </a:rPr>
            <a:t>- </a:t>
          </a:r>
          <a:r>
            <a:rPr lang="en-GB" sz="1100" b="1" baseline="0">
              <a:solidFill>
                <a:schemeClr val="tx1"/>
              </a:solidFill>
            </a:rPr>
            <a:t>mq:</a:t>
          </a:r>
          <a:r>
            <a:rPr lang="en-GB" sz="1100" b="0" baseline="0">
              <a:solidFill>
                <a:schemeClr val="tx1"/>
              </a:solidFill>
            </a:rPr>
            <a:t> miscellaneous queries [of the national dataset]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baseline="0">
              <a:solidFill>
                <a:schemeClr val="tx1"/>
              </a:solidFill>
            </a:rPr>
            <a:t>- </a:t>
          </a:r>
          <a:r>
            <a:rPr lang="en-GB" sz="1100" b="1" baseline="0">
              <a:solidFill>
                <a:schemeClr val="tx1"/>
              </a:solidFill>
            </a:rPr>
            <a:t>eq: </a:t>
          </a:r>
          <a:r>
            <a:rPr lang="en-GB" sz="1100" b="0" baseline="0">
              <a:solidFill>
                <a:schemeClr val="tx1"/>
              </a:solidFill>
            </a:rPr>
            <a:t>edge query [of the national dataset]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 baseline="0">
              <a:solidFill>
                <a:schemeClr val="tx1"/>
              </a:solidFill>
            </a:rPr>
            <a:t>- dq: </a:t>
          </a:r>
          <a:r>
            <a:rPr lang="en-GB" sz="1100" b="0" baseline="0">
              <a:solidFill>
                <a:schemeClr val="tx1"/>
              </a:solidFill>
            </a:rPr>
            <a:t>demand query [of the national dataset]</a:t>
          </a:r>
          <a:endParaRPr lang="en-GB" sz="1100" b="1" baseline="0">
            <a:solidFill>
              <a:schemeClr val="tx1"/>
            </a:solidFill>
          </a:endParaRPr>
        </a:p>
        <a:p>
          <a:pPr algn="l"/>
          <a:r>
            <a:rPr lang="en-GB" sz="1100" b="0" baseline="0">
              <a:solidFill>
                <a:schemeClr val="tx1"/>
              </a:solidFill>
            </a:rPr>
            <a:t>- </a:t>
          </a:r>
          <a:r>
            <a:rPr lang="en-GB" sz="1100" b="1" baseline="0">
              <a:solidFill>
                <a:schemeClr val="tx1"/>
              </a:solidFill>
            </a:rPr>
            <a:t>nl: </a:t>
          </a:r>
          <a:r>
            <a:rPr lang="en-GB" sz="1100" b="0" baseline="0">
              <a:solidFill>
                <a:schemeClr val="tx1"/>
              </a:solidFill>
            </a:rPr>
            <a:t>Klimaatmonitor national data</a:t>
          </a: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r>
            <a:rPr lang="en-GB" sz="1100" b="0" baseline="0">
              <a:solidFill>
                <a:schemeClr val="tx1"/>
              </a:solidFill>
            </a:rPr>
            <a:t>Finally, there are still some variables that have no prefix and do not derive from Klimaatmonitor, but instead from Emissieregistratie (e.g. </a:t>
          </a:r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agriculture_gas_chp_relative</a:t>
          </a:r>
          <a:r>
            <a:rPr lang="en-GB">
              <a:solidFill>
                <a:schemeClr val="tx1"/>
              </a:solidFill>
            </a:rPr>
            <a:t>). </a:t>
          </a:r>
          <a:endParaRPr lang="en-GB" sz="1100" b="0" baseline="0">
            <a:solidFill>
              <a:schemeClr val="tx1"/>
            </a:solidFill>
          </a:endParaRP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r>
            <a:rPr lang="en-GB" sz="1100" b="0" baseline="0">
              <a:solidFill>
                <a:schemeClr val="tx1"/>
              </a:solidFill>
            </a:rPr>
            <a:t>All of these variables and their source data are calculated and explained in more detail in the preprocessing notebook.</a:t>
          </a:r>
          <a:endParaRPr lang="en-GB" sz="1100" b="1" baseline="0">
            <a:solidFill>
              <a:schemeClr val="tx1"/>
            </a:solidFill>
          </a:endParaRPr>
        </a:p>
        <a:p>
          <a:pPr algn="l"/>
          <a:endParaRPr lang="en-GB" sz="1100" baseline="0">
            <a:solidFill>
              <a:schemeClr val="tx1"/>
            </a:solidFill>
          </a:endParaRPr>
        </a:p>
        <a:p>
          <a:pPr algn="l"/>
          <a:r>
            <a:rPr lang="en-GB" sz="1100" baseline="0">
              <a:solidFill>
                <a:schemeClr val="tx1"/>
              </a:solidFill>
            </a:rPr>
            <a:t>2. ivars are then combined using calculation rules</a:t>
          </a:r>
        </a:p>
        <a:p>
          <a:pPr algn="l"/>
          <a:r>
            <a:rPr lang="en-GB" sz="1100" baseline="0">
              <a:solidFill>
                <a:schemeClr val="tx1"/>
              </a:solidFill>
            </a:rPr>
            <a:t>The tabs </a:t>
          </a:r>
          <a:r>
            <a:rPr lang="en-GB" sz="1100" b="1" baseline="0">
              <a:solidFill>
                <a:srgbClr val="FFD966"/>
              </a:solidFill>
            </a:rPr>
            <a:t>custom_variables </a:t>
          </a:r>
          <a:r>
            <a:rPr lang="en-GB" sz="1100" b="0" baseline="0">
              <a:solidFill>
                <a:schemeClr val="tx1"/>
              </a:solidFill>
            </a:rPr>
            <a:t>and </a:t>
          </a:r>
          <a:r>
            <a:rPr lang="en-GB" sz="1100" b="1" baseline="0">
              <a:solidFill>
                <a:srgbClr val="FFD966"/>
              </a:solidFill>
            </a:rPr>
            <a:t>custom_functions </a:t>
          </a:r>
          <a:r>
            <a:rPr lang="en-GB" sz="1100" b="0" baseline="0">
              <a:solidFill>
                <a:schemeClr val="tx1"/>
              </a:solidFill>
            </a:rPr>
            <a:t>describe how this is done. </a:t>
          </a:r>
        </a:p>
        <a:p>
          <a:pPr algn="l"/>
          <a:r>
            <a:rPr lang="en-GB" sz="1100" b="0" baseline="0">
              <a:solidFill>
                <a:schemeClr val="tx1"/>
              </a:solidFill>
            </a:rPr>
            <a:t>- custom_variables contains + - * / operations</a:t>
          </a:r>
        </a:p>
        <a:p>
          <a:pPr algn="l"/>
          <a:r>
            <a:rPr lang="en-GB" sz="1100" b="0" baseline="0">
              <a:solidFill>
                <a:schemeClr val="tx1"/>
              </a:solidFill>
            </a:rPr>
            <a:t>- custom_functions contains  min/max/if/iferror rules</a:t>
          </a: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r>
            <a:rPr lang="en-GB" sz="1100" b="0" baseline="0">
              <a:solidFill>
                <a:schemeClr val="tx1"/>
              </a:solidFill>
            </a:rPr>
            <a:t>Some new intermediate variables are calculated in the process too.</a:t>
          </a: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r>
            <a:rPr lang="en-GB" sz="1100" b="0" baseline="0">
              <a:solidFill>
                <a:schemeClr val="tx1"/>
              </a:solidFill>
            </a:rPr>
            <a:t>Some ivars derive from other sources. These are indicated with a prefix:</a:t>
          </a: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r>
            <a:rPr lang="en-GB" sz="1100" b="0" baseline="0">
              <a:solidFill>
                <a:schemeClr val="tx1"/>
              </a:solidFill>
            </a:rPr>
            <a:t>3. The calculation rules terminate at some final internal variable, the 'output variable' ('ovar'). </a:t>
          </a: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r>
            <a:rPr lang="en-GB" sz="1100" b="0" baseline="0">
              <a:solidFill>
                <a:schemeClr val="tx1"/>
              </a:solidFill>
            </a:rPr>
            <a:t>4. The ovar is matched with a corresponding ETLocal key</a:t>
          </a:r>
        </a:p>
        <a:p>
          <a:pPr algn="l"/>
          <a:r>
            <a:rPr lang="en-GB" sz="1100" b="0" baseline="0">
              <a:solidFill>
                <a:schemeClr val="tx1"/>
              </a:solidFill>
            </a:rPr>
            <a:t>The tab </a:t>
          </a:r>
          <a:r>
            <a:rPr lang="en-GB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D_ETLocal_keys_to_ovar </a:t>
          </a:r>
          <a:r>
            <a:rPr lang="en-GB" sz="1100" b="0" baseline="0">
              <a:solidFill>
                <a:schemeClr val="tx1"/>
              </a:solidFill>
            </a:rPr>
            <a:t>contains these matches</a:t>
          </a:r>
        </a:p>
        <a:p>
          <a:pPr algn="l"/>
          <a:r>
            <a:rPr lang="en-GB" sz="1100" b="1" baseline="0">
              <a:solidFill>
                <a:schemeClr val="tx1"/>
              </a:solidFill>
            </a:rPr>
            <a:t>NOTE: the output variable needs to have a different name from the actual ETLocal key! </a:t>
          </a:r>
        </a:p>
        <a:p>
          <a:pPr algn="l"/>
          <a:r>
            <a:rPr lang="en-GB" sz="1100" b="1" baseline="0">
              <a:solidFill>
                <a:schemeClr val="tx1"/>
              </a:solidFill>
            </a:rPr>
            <a:t>If not, the resulting yaml file will contain recursion and the YAML calculator will fail.</a:t>
          </a:r>
        </a:p>
        <a:p>
          <a:pPr algn="l"/>
          <a:r>
            <a:rPr lang="en-GB" sz="1100" b="1" baseline="0">
              <a:solidFill>
                <a:schemeClr val="tx1"/>
              </a:solidFill>
            </a:rPr>
            <a:t>Example: ETLocal key 'coast_line' is linked to the output variable 'coast_line_km'</a:t>
          </a: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r>
            <a:rPr lang="en-GB" sz="1100" b="0" baseline="0">
              <a:solidFill>
                <a:schemeClr val="tx1"/>
              </a:solidFill>
            </a:rPr>
            <a:t>The rows' color indicate the 'type' of ETLocal key as defined in the 'Overzicht gemeentelijke dataset update' Excel (see 756 Gemeentelijke datasets 2023 Dropbox folder)</a:t>
          </a:r>
        </a:p>
        <a:p>
          <a:pPr algn="l"/>
          <a:r>
            <a:rPr lang="en-GB" sz="1100" b="1" baseline="0">
              <a:solidFill>
                <a:schemeClr val="accent5">
                  <a:lumMod val="75000"/>
                </a:schemeClr>
              </a:solidFill>
            </a:rPr>
            <a:t>purple: </a:t>
          </a:r>
          <a:r>
            <a:rPr lang="en-GB" sz="1100" b="0" baseline="0">
              <a:solidFill>
                <a:schemeClr val="accent5">
                  <a:lumMod val="75000"/>
                </a:schemeClr>
              </a:solidFill>
            </a:rPr>
            <a:t>final demand keys</a:t>
          </a:r>
        </a:p>
        <a:p>
          <a:pPr algn="l"/>
          <a:r>
            <a:rPr lang="en-GB" sz="1100" b="0" baseline="0">
              <a:solidFill>
                <a:schemeClr val="tx1">
                  <a:lumMod val="65000"/>
                  <a:lumOff val="35000"/>
                </a:schemeClr>
              </a:solidFill>
            </a:rPr>
            <a:t>grey: production keys</a:t>
          </a:r>
        </a:p>
        <a:p>
          <a:pPr algn="l"/>
          <a:r>
            <a:rPr lang="en-GB" sz="1100" b="0" baseline="0">
              <a:solidFill>
                <a:srgbClr val="FFFF00"/>
              </a:solidFill>
            </a:rPr>
            <a:t>yellow: shares</a:t>
          </a:r>
        </a:p>
        <a:p>
          <a:pPr algn="l"/>
          <a:r>
            <a:rPr lang="en-GB" sz="1100" b="0" baseline="0">
              <a:solidFill>
                <a:schemeClr val="accent6"/>
              </a:solidFill>
            </a:rPr>
            <a:t>green: conversions</a:t>
          </a:r>
        </a:p>
        <a:p>
          <a:pPr algn="l"/>
          <a:r>
            <a:rPr lang="en-GB" sz="1100" b="0" baseline="0">
              <a:solidFill>
                <a:schemeClr val="tx2">
                  <a:lumMod val="50000"/>
                  <a:lumOff val="50000"/>
                </a:schemeClr>
              </a:solidFill>
            </a:rPr>
            <a:t>blue: area</a:t>
          </a:r>
        </a:p>
        <a:p>
          <a:pPr algn="l"/>
          <a:r>
            <a:rPr lang="en-GB" sz="1100" b="0" baseline="0">
              <a:solidFill>
                <a:schemeClr val="accent2"/>
              </a:solidFill>
            </a:rPr>
            <a:t>orange: heat technology</a:t>
          </a:r>
        </a:p>
        <a:p>
          <a:pPr algn="l"/>
          <a:endParaRPr lang="en-GB" sz="1100" b="0" baseline="0">
            <a:solidFill>
              <a:schemeClr val="tx1"/>
            </a:solidFill>
          </a:endParaRPr>
        </a:p>
        <a:p>
          <a:pPr algn="l"/>
          <a:r>
            <a:rPr lang="en-GB" sz="1100" b="0" baseline="0">
              <a:solidFill>
                <a:schemeClr val="tx1"/>
              </a:solidFill>
            </a:rPr>
            <a:t>The tab </a:t>
          </a:r>
          <a:r>
            <a:rPr lang="en-GB" sz="1100" b="1" baseline="0">
              <a:solidFill>
                <a:schemeClr val="accent4"/>
              </a:solidFill>
            </a:rPr>
            <a:t>all_ivar_per_source </a:t>
          </a:r>
          <a:r>
            <a:rPr lang="en-GB" sz="1100" b="0" baseline="0">
              <a:solidFill>
                <a:schemeClr val="tx1"/>
              </a:solidFill>
            </a:rPr>
            <a:t>contains markup information that is used to convert the process above into flow diagrams using the yaml_to_diagram.py script. It links internal variables without a prefix to their source (Klimaatmonitor, Emissieregistratie, ...). Internal variables with a prefix (e.g. mq_...) are color-labelled in yaml_to_diagram.py itself.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E585-CF8A-0045-A42D-3DE43DFC57B0}">
  <dimension ref="A1"/>
  <sheetViews>
    <sheetView topLeftCell="A4" workbookViewId="0">
      <selection activeCell="L49" sqref="L4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3CD7-1654-6445-A0B9-33DD140B272B}">
  <sheetPr>
    <tabColor theme="1" tint="0.499984740745262"/>
  </sheetPr>
  <dimension ref="A1:E621"/>
  <sheetViews>
    <sheetView tabSelected="1" topLeftCell="A200" zoomScaleNormal="62" workbookViewId="0">
      <selection activeCell="B127" sqref="B127"/>
    </sheetView>
  </sheetViews>
  <sheetFormatPr baseColWidth="10" defaultRowHeight="16" x14ac:dyDescent="0.2"/>
  <cols>
    <col min="1" max="1" width="18.83203125" bestFit="1" customWidth="1"/>
    <col min="2" max="2" width="93.1640625" bestFit="1" customWidth="1"/>
    <col min="3" max="3" width="45.1640625" bestFit="1" customWidth="1"/>
  </cols>
  <sheetData>
    <row r="1" spans="1:3" x14ac:dyDescent="0.2">
      <c r="A1" s="1" t="s">
        <v>248</v>
      </c>
      <c r="B1" s="2" t="s">
        <v>249</v>
      </c>
      <c r="C1" s="1" t="s">
        <v>247</v>
      </c>
    </row>
    <row r="2" spans="1:3" s="12" customFormat="1" x14ac:dyDescent="0.2">
      <c r="A2" s="11" t="s">
        <v>0</v>
      </c>
      <c r="B2" s="12" t="s">
        <v>1</v>
      </c>
      <c r="C2" s="12" t="s">
        <v>151</v>
      </c>
    </row>
    <row r="3" spans="1:3" s="12" customFormat="1" x14ac:dyDescent="0.2">
      <c r="A3" s="11" t="s">
        <v>0</v>
      </c>
      <c r="B3" s="12" t="s">
        <v>2</v>
      </c>
      <c r="C3" s="12" t="s">
        <v>152</v>
      </c>
    </row>
    <row r="4" spans="1:3" s="12" customFormat="1" x14ac:dyDescent="0.2">
      <c r="A4" s="11" t="s">
        <v>0</v>
      </c>
      <c r="B4" s="12" t="s">
        <v>3</v>
      </c>
      <c r="C4" s="12" t="s">
        <v>153</v>
      </c>
    </row>
    <row r="5" spans="1:3" s="12" customFormat="1" x14ac:dyDescent="0.2">
      <c r="A5" s="11" t="s">
        <v>0</v>
      </c>
      <c r="B5" s="12" t="s">
        <v>4</v>
      </c>
      <c r="C5" s="12" t="s">
        <v>154</v>
      </c>
    </row>
    <row r="6" spans="1:3" s="12" customFormat="1" x14ac:dyDescent="0.2">
      <c r="A6" s="11" t="s">
        <v>0</v>
      </c>
      <c r="B6" s="12" t="s">
        <v>5</v>
      </c>
      <c r="C6" s="12" t="s">
        <v>154</v>
      </c>
    </row>
    <row r="7" spans="1:3" s="12" customFormat="1" x14ac:dyDescent="0.2">
      <c r="A7" s="11" t="s">
        <v>6</v>
      </c>
      <c r="B7" s="12" t="s">
        <v>7</v>
      </c>
      <c r="C7" s="12" t="s">
        <v>155</v>
      </c>
    </row>
    <row r="8" spans="1:3" s="12" customFormat="1" x14ac:dyDescent="0.2">
      <c r="A8" s="11" t="s">
        <v>6</v>
      </c>
      <c r="B8" s="12" t="s">
        <v>8</v>
      </c>
      <c r="C8" s="12" t="s">
        <v>156</v>
      </c>
    </row>
    <row r="9" spans="1:3" s="12" customFormat="1" x14ac:dyDescent="0.2">
      <c r="A9" s="11" t="s">
        <v>6</v>
      </c>
      <c r="B9" s="13" t="s">
        <v>9</v>
      </c>
      <c r="C9" s="12" t="s">
        <v>157</v>
      </c>
    </row>
    <row r="10" spans="1:3" s="12" customFormat="1" x14ac:dyDescent="0.2">
      <c r="A10" s="11" t="s">
        <v>6</v>
      </c>
      <c r="B10" s="12" t="s">
        <v>10</v>
      </c>
      <c r="C10" s="12" t="s">
        <v>158</v>
      </c>
    </row>
    <row r="11" spans="1:3" s="12" customFormat="1" x14ac:dyDescent="0.2">
      <c r="A11" s="11" t="s">
        <v>6</v>
      </c>
      <c r="B11" s="12" t="s">
        <v>11</v>
      </c>
      <c r="C11" s="12" t="s">
        <v>154</v>
      </c>
    </row>
    <row r="12" spans="1:3" s="12" customFormat="1" x14ac:dyDescent="0.2">
      <c r="A12" s="11" t="s">
        <v>6</v>
      </c>
      <c r="B12" s="12" t="s">
        <v>12</v>
      </c>
      <c r="C12" s="12" t="s">
        <v>154</v>
      </c>
    </row>
    <row r="13" spans="1:3" s="12" customFormat="1" x14ac:dyDescent="0.2">
      <c r="A13" s="11" t="s">
        <v>6</v>
      </c>
      <c r="B13" s="12" t="s">
        <v>13</v>
      </c>
      <c r="C13" s="12" t="s">
        <v>154</v>
      </c>
    </row>
    <row r="14" spans="1:3" s="12" customFormat="1" x14ac:dyDescent="0.2">
      <c r="A14" s="11" t="s">
        <v>14</v>
      </c>
      <c r="B14" s="12" t="s">
        <v>15</v>
      </c>
      <c r="C14" s="12" t="s">
        <v>159</v>
      </c>
    </row>
    <row r="15" spans="1:3" s="12" customFormat="1" x14ac:dyDescent="0.2">
      <c r="A15" s="11" t="s">
        <v>14</v>
      </c>
      <c r="B15" s="12" t="s">
        <v>16</v>
      </c>
      <c r="C15" s="12" t="s">
        <v>160</v>
      </c>
    </row>
    <row r="16" spans="1:3" s="12" customFormat="1" x14ac:dyDescent="0.2">
      <c r="A16" s="11" t="s">
        <v>14</v>
      </c>
      <c r="B16" s="12" t="s">
        <v>17</v>
      </c>
      <c r="C16" s="12" t="s">
        <v>161</v>
      </c>
    </row>
    <row r="17" spans="1:3" s="12" customFormat="1" x14ac:dyDescent="0.2">
      <c r="A17" s="11" t="s">
        <v>14</v>
      </c>
      <c r="B17" s="12" t="s">
        <v>18</v>
      </c>
      <c r="C17" s="12" t="s">
        <v>154</v>
      </c>
    </row>
    <row r="18" spans="1:3" s="12" customFormat="1" x14ac:dyDescent="0.2">
      <c r="A18" s="11" t="s">
        <v>14</v>
      </c>
      <c r="B18" s="12" t="s">
        <v>19</v>
      </c>
      <c r="C18" s="12" t="s">
        <v>154</v>
      </c>
    </row>
    <row r="19" spans="1:3" s="12" customFormat="1" x14ac:dyDescent="0.2">
      <c r="A19" s="11" t="s">
        <v>20</v>
      </c>
      <c r="B19" s="12" t="s">
        <v>21</v>
      </c>
      <c r="C19" s="12" t="s">
        <v>163</v>
      </c>
    </row>
    <row r="20" spans="1:3" s="12" customFormat="1" x14ac:dyDescent="0.2">
      <c r="A20" s="11" t="s">
        <v>20</v>
      </c>
      <c r="B20" s="12" t="s">
        <v>22</v>
      </c>
      <c r="C20" s="12" t="s">
        <v>164</v>
      </c>
    </row>
    <row r="21" spans="1:3" s="12" customFormat="1" x14ac:dyDescent="0.2">
      <c r="A21" s="11" t="s">
        <v>20</v>
      </c>
      <c r="B21" s="12" t="s">
        <v>23</v>
      </c>
      <c r="C21" s="12" t="s">
        <v>165</v>
      </c>
    </row>
    <row r="22" spans="1:3" s="12" customFormat="1" x14ac:dyDescent="0.2">
      <c r="A22" s="11" t="s">
        <v>20</v>
      </c>
      <c r="B22" s="12" t="s">
        <v>24</v>
      </c>
      <c r="C22" s="12" t="s">
        <v>166</v>
      </c>
    </row>
    <row r="23" spans="1:3" s="12" customFormat="1" x14ac:dyDescent="0.2">
      <c r="A23" s="11" t="s">
        <v>20</v>
      </c>
      <c r="B23" s="12" t="s">
        <v>25</v>
      </c>
      <c r="C23" s="12" t="s">
        <v>154</v>
      </c>
    </row>
    <row r="24" spans="1:3" s="12" customFormat="1" x14ac:dyDescent="0.2">
      <c r="A24" s="11" t="s">
        <v>20</v>
      </c>
      <c r="B24" s="12" t="s">
        <v>26</v>
      </c>
      <c r="C24" s="12" t="s">
        <v>154</v>
      </c>
    </row>
    <row r="25" spans="1:3" s="12" customFormat="1" x14ac:dyDescent="0.2">
      <c r="A25" s="11" t="s">
        <v>20</v>
      </c>
      <c r="B25" s="12" t="s">
        <v>27</v>
      </c>
      <c r="C25" s="12" t="s">
        <v>154</v>
      </c>
    </row>
    <row r="26" spans="1:3" s="12" customFormat="1" x14ac:dyDescent="0.2">
      <c r="A26" s="11" t="s">
        <v>28</v>
      </c>
      <c r="B26" s="12" t="s">
        <v>29</v>
      </c>
      <c r="C26" s="12" t="s">
        <v>167</v>
      </c>
    </row>
    <row r="27" spans="1:3" s="12" customFormat="1" x14ac:dyDescent="0.2">
      <c r="A27" s="11" t="s">
        <v>28</v>
      </c>
      <c r="B27" s="12" t="s">
        <v>30</v>
      </c>
      <c r="C27" s="12" t="s">
        <v>1178</v>
      </c>
    </row>
    <row r="28" spans="1:3" s="12" customFormat="1" x14ac:dyDescent="0.2">
      <c r="A28" s="11" t="s">
        <v>28</v>
      </c>
      <c r="B28" s="12" t="s">
        <v>31</v>
      </c>
      <c r="C28" s="12" t="s">
        <v>286</v>
      </c>
    </row>
    <row r="29" spans="1:3" s="12" customFormat="1" x14ac:dyDescent="0.2">
      <c r="A29" s="11" t="s">
        <v>28</v>
      </c>
      <c r="B29" s="12" t="s">
        <v>32</v>
      </c>
      <c r="C29" s="12" t="s">
        <v>932</v>
      </c>
    </row>
    <row r="30" spans="1:3" s="12" customFormat="1" x14ac:dyDescent="0.2">
      <c r="A30" s="11" t="s">
        <v>28</v>
      </c>
      <c r="B30" s="12" t="s">
        <v>33</v>
      </c>
      <c r="C30" s="12" t="s">
        <v>168</v>
      </c>
    </row>
    <row r="31" spans="1:3" s="12" customFormat="1" x14ac:dyDescent="0.2">
      <c r="A31" s="11" t="s">
        <v>28</v>
      </c>
      <c r="B31" s="12" t="s">
        <v>34</v>
      </c>
      <c r="C31" s="12" t="s">
        <v>169</v>
      </c>
    </row>
    <row r="32" spans="1:3" s="12" customFormat="1" x14ac:dyDescent="0.2">
      <c r="A32" s="11" t="s">
        <v>28</v>
      </c>
      <c r="B32" s="12" t="s">
        <v>35</v>
      </c>
      <c r="C32" s="12" t="s">
        <v>1179</v>
      </c>
    </row>
    <row r="33" spans="1:3" s="12" customFormat="1" x14ac:dyDescent="0.2">
      <c r="A33" s="11" t="s">
        <v>28</v>
      </c>
      <c r="B33" s="12" t="s">
        <v>36</v>
      </c>
      <c r="C33" s="12" t="s">
        <v>1180</v>
      </c>
    </row>
    <row r="34" spans="1:3" s="12" customFormat="1" x14ac:dyDescent="0.2">
      <c r="A34" s="11" t="s">
        <v>28</v>
      </c>
      <c r="B34" s="12" t="s">
        <v>37</v>
      </c>
      <c r="C34" s="12" t="s">
        <v>1181</v>
      </c>
    </row>
    <row r="35" spans="1:3" s="12" customFormat="1" x14ac:dyDescent="0.2">
      <c r="A35" s="11" t="s">
        <v>28</v>
      </c>
      <c r="B35" s="12" t="s">
        <v>38</v>
      </c>
      <c r="C35" s="12" t="s">
        <v>1182</v>
      </c>
    </row>
    <row r="36" spans="1:3" s="12" customFormat="1" x14ac:dyDescent="0.2">
      <c r="A36" s="11" t="s">
        <v>28</v>
      </c>
      <c r="B36" s="12" t="s">
        <v>39</v>
      </c>
      <c r="C36" s="12" t="s">
        <v>1183</v>
      </c>
    </row>
    <row r="37" spans="1:3" s="12" customFormat="1" x14ac:dyDescent="0.2">
      <c r="A37" s="11" t="s">
        <v>28</v>
      </c>
      <c r="B37" s="12" t="s">
        <v>40</v>
      </c>
      <c r="C37" s="12" t="s">
        <v>1184</v>
      </c>
    </row>
    <row r="38" spans="1:3" s="12" customFormat="1" x14ac:dyDescent="0.2">
      <c r="A38" s="11" t="s">
        <v>28</v>
      </c>
      <c r="B38" s="12" t="s">
        <v>41</v>
      </c>
      <c r="C38" s="12" t="s">
        <v>1185</v>
      </c>
    </row>
    <row r="39" spans="1:3" s="12" customFormat="1" x14ac:dyDescent="0.2">
      <c r="A39" s="11" t="s">
        <v>28</v>
      </c>
      <c r="B39" s="12" t="s">
        <v>42</v>
      </c>
      <c r="C39" s="12" t="s">
        <v>1278</v>
      </c>
    </row>
    <row r="40" spans="1:3" s="12" customFormat="1" x14ac:dyDescent="0.2">
      <c r="A40" s="11" t="s">
        <v>28</v>
      </c>
      <c r="B40" s="12" t="s">
        <v>43</v>
      </c>
      <c r="C40" s="12" t="s">
        <v>280</v>
      </c>
    </row>
    <row r="41" spans="1:3" s="12" customFormat="1" x14ac:dyDescent="0.2">
      <c r="A41" s="11" t="s">
        <v>28</v>
      </c>
      <c r="B41" s="12" t="s">
        <v>44</v>
      </c>
      <c r="C41" s="12" t="s">
        <v>914</v>
      </c>
    </row>
    <row r="42" spans="1:3" s="12" customFormat="1" x14ac:dyDescent="0.2">
      <c r="A42" s="11" t="s">
        <v>28</v>
      </c>
      <c r="B42" s="12" t="s">
        <v>45</v>
      </c>
      <c r="C42" s="12" t="s">
        <v>915</v>
      </c>
    </row>
    <row r="43" spans="1:3" s="12" customFormat="1" x14ac:dyDescent="0.2">
      <c r="A43" s="11" t="s">
        <v>28</v>
      </c>
      <c r="B43" s="12" t="s">
        <v>46</v>
      </c>
      <c r="C43" s="12" t="s">
        <v>916</v>
      </c>
    </row>
    <row r="44" spans="1:3" s="12" customFormat="1" x14ac:dyDescent="0.2">
      <c r="A44" s="11" t="s">
        <v>28</v>
      </c>
      <c r="B44" s="12" t="s">
        <v>47</v>
      </c>
      <c r="C44" s="12" t="s">
        <v>917</v>
      </c>
    </row>
    <row r="45" spans="1:3" s="12" customFormat="1" x14ac:dyDescent="0.2">
      <c r="A45" s="11" t="s">
        <v>28</v>
      </c>
      <c r="B45" s="12" t="s">
        <v>48</v>
      </c>
      <c r="C45" s="12" t="s">
        <v>918</v>
      </c>
    </row>
    <row r="46" spans="1:3" s="12" customFormat="1" x14ac:dyDescent="0.2">
      <c r="A46" s="11" t="s">
        <v>28</v>
      </c>
      <c r="B46" s="12" t="s">
        <v>49</v>
      </c>
      <c r="C46" s="12" t="s">
        <v>919</v>
      </c>
    </row>
    <row r="47" spans="1:3" s="12" customFormat="1" x14ac:dyDescent="0.2">
      <c r="A47" s="11" t="s">
        <v>28</v>
      </c>
      <c r="B47" s="12" t="s">
        <v>50</v>
      </c>
      <c r="C47" s="12" t="s">
        <v>920</v>
      </c>
    </row>
    <row r="48" spans="1:3" s="12" customFormat="1" x14ac:dyDescent="0.2">
      <c r="A48" s="11" t="s">
        <v>28</v>
      </c>
      <c r="B48" s="12" t="s">
        <v>51</v>
      </c>
      <c r="C48" s="12" t="s">
        <v>921</v>
      </c>
    </row>
    <row r="49" spans="1:3" s="12" customFormat="1" x14ac:dyDescent="0.2">
      <c r="A49" s="11" t="s">
        <v>28</v>
      </c>
      <c r="B49" s="12" t="s">
        <v>52</v>
      </c>
      <c r="C49" s="12" t="s">
        <v>922</v>
      </c>
    </row>
    <row r="50" spans="1:3" s="12" customFormat="1" x14ac:dyDescent="0.2">
      <c r="A50" s="11" t="s">
        <v>28</v>
      </c>
      <c r="B50" s="12" t="s">
        <v>53</v>
      </c>
      <c r="C50" s="12" t="s">
        <v>923</v>
      </c>
    </row>
    <row r="51" spans="1:3" s="12" customFormat="1" x14ac:dyDescent="0.2">
      <c r="A51" s="11" t="s">
        <v>28</v>
      </c>
      <c r="B51" s="12" t="s">
        <v>54</v>
      </c>
      <c r="C51" s="12" t="s">
        <v>170</v>
      </c>
    </row>
    <row r="52" spans="1:3" s="12" customFormat="1" x14ac:dyDescent="0.2">
      <c r="A52" s="11" t="s">
        <v>28</v>
      </c>
      <c r="B52" s="12" t="s">
        <v>55</v>
      </c>
      <c r="C52" s="12" t="s">
        <v>171</v>
      </c>
    </row>
    <row r="53" spans="1:3" s="12" customFormat="1" x14ac:dyDescent="0.2">
      <c r="A53" s="11" t="s">
        <v>28</v>
      </c>
      <c r="B53" s="12" t="s">
        <v>56</v>
      </c>
      <c r="C53" s="12" t="s">
        <v>1186</v>
      </c>
    </row>
    <row r="54" spans="1:3" s="12" customFormat="1" x14ac:dyDescent="0.2">
      <c r="A54" s="11" t="s">
        <v>28</v>
      </c>
      <c r="B54" s="12" t="s">
        <v>57</v>
      </c>
      <c r="C54" s="12" t="s">
        <v>1187</v>
      </c>
    </row>
    <row r="55" spans="1:3" s="12" customFormat="1" x14ac:dyDescent="0.2">
      <c r="A55" s="11" t="s">
        <v>28</v>
      </c>
      <c r="B55" s="12" t="s">
        <v>58</v>
      </c>
      <c r="C55" s="12" t="s">
        <v>1188</v>
      </c>
    </row>
    <row r="56" spans="1:3" s="12" customFormat="1" x14ac:dyDescent="0.2">
      <c r="A56" s="11" t="s">
        <v>28</v>
      </c>
      <c r="B56" s="12" t="s">
        <v>59</v>
      </c>
      <c r="C56" s="12" t="s">
        <v>1189</v>
      </c>
    </row>
    <row r="57" spans="1:3" s="12" customFormat="1" x14ac:dyDescent="0.2">
      <c r="A57" s="11" t="s">
        <v>28</v>
      </c>
      <c r="B57" s="12" t="s">
        <v>60</v>
      </c>
      <c r="C57" s="12" t="s">
        <v>172</v>
      </c>
    </row>
    <row r="58" spans="1:3" s="12" customFormat="1" x14ac:dyDescent="0.2">
      <c r="A58" s="11" t="s">
        <v>28</v>
      </c>
      <c r="B58" s="12" t="s">
        <v>61</v>
      </c>
      <c r="C58" s="12" t="s">
        <v>173</v>
      </c>
    </row>
    <row r="59" spans="1:3" s="12" customFormat="1" x14ac:dyDescent="0.2">
      <c r="A59" s="11" t="s">
        <v>28</v>
      </c>
      <c r="B59" s="12" t="s">
        <v>62</v>
      </c>
      <c r="C59" s="12" t="s">
        <v>1190</v>
      </c>
    </row>
    <row r="60" spans="1:3" s="12" customFormat="1" x14ac:dyDescent="0.2">
      <c r="A60" s="11" t="s">
        <v>28</v>
      </c>
      <c r="B60" s="12" t="s">
        <v>63</v>
      </c>
      <c r="C60" s="12" t="s">
        <v>1191</v>
      </c>
    </row>
    <row r="61" spans="1:3" s="12" customFormat="1" x14ac:dyDescent="0.2">
      <c r="A61" s="11" t="s">
        <v>28</v>
      </c>
      <c r="B61" s="12" t="s">
        <v>64</v>
      </c>
      <c r="C61" s="12" t="s">
        <v>1192</v>
      </c>
    </row>
    <row r="62" spans="1:3" s="12" customFormat="1" x14ac:dyDescent="0.2">
      <c r="A62" s="11" t="s">
        <v>28</v>
      </c>
      <c r="B62" s="12" t="s">
        <v>65</v>
      </c>
      <c r="C62" s="12" t="s">
        <v>174</v>
      </c>
    </row>
    <row r="63" spans="1:3" s="12" customFormat="1" x14ac:dyDescent="0.2">
      <c r="A63" s="11" t="s">
        <v>28</v>
      </c>
      <c r="B63" s="12" t="s">
        <v>66</v>
      </c>
      <c r="C63" s="12" t="s">
        <v>175</v>
      </c>
    </row>
    <row r="64" spans="1:3" s="12" customFormat="1" x14ac:dyDescent="0.2">
      <c r="A64" s="11" t="s">
        <v>28</v>
      </c>
      <c r="B64" s="12" t="s">
        <v>67</v>
      </c>
      <c r="C64" s="12" t="s">
        <v>1193</v>
      </c>
    </row>
    <row r="65" spans="1:3" s="12" customFormat="1" x14ac:dyDescent="0.2">
      <c r="A65" s="11" t="s">
        <v>28</v>
      </c>
      <c r="B65" s="12" t="s">
        <v>68</v>
      </c>
      <c r="C65" s="12" t="s">
        <v>1200</v>
      </c>
    </row>
    <row r="66" spans="1:3" s="12" customFormat="1" x14ac:dyDescent="0.2">
      <c r="A66" s="11" t="s">
        <v>28</v>
      </c>
      <c r="B66" s="12" t="s">
        <v>69</v>
      </c>
      <c r="C66" s="12" t="s">
        <v>1194</v>
      </c>
    </row>
    <row r="67" spans="1:3" s="12" customFormat="1" x14ac:dyDescent="0.2">
      <c r="A67" s="11" t="s">
        <v>28</v>
      </c>
      <c r="B67" s="12" t="s">
        <v>70</v>
      </c>
      <c r="C67" s="12" t="s">
        <v>1195</v>
      </c>
    </row>
    <row r="68" spans="1:3" s="12" customFormat="1" x14ac:dyDescent="0.2">
      <c r="A68" s="11" t="s">
        <v>28</v>
      </c>
      <c r="B68" s="12" t="s">
        <v>71</v>
      </c>
      <c r="C68" s="12" t="s">
        <v>909</v>
      </c>
    </row>
    <row r="69" spans="1:3" s="12" customFormat="1" x14ac:dyDescent="0.2">
      <c r="A69" s="11" t="s">
        <v>28</v>
      </c>
      <c r="B69" s="12" t="s">
        <v>72</v>
      </c>
      <c r="C69" s="12" t="s">
        <v>1196</v>
      </c>
    </row>
    <row r="70" spans="1:3" s="12" customFormat="1" x14ac:dyDescent="0.2">
      <c r="A70" s="11" t="s">
        <v>28</v>
      </c>
      <c r="B70" s="12" t="s">
        <v>73</v>
      </c>
      <c r="C70" s="12" t="s">
        <v>1197</v>
      </c>
    </row>
    <row r="71" spans="1:3" s="12" customFormat="1" x14ac:dyDescent="0.2">
      <c r="A71" s="11" t="s">
        <v>28</v>
      </c>
      <c r="B71" s="12" t="s">
        <v>74</v>
      </c>
      <c r="C71" s="12" t="s">
        <v>1198</v>
      </c>
    </row>
    <row r="72" spans="1:3" s="12" customFormat="1" x14ac:dyDescent="0.2">
      <c r="A72" s="11" t="s">
        <v>28</v>
      </c>
      <c r="B72" s="12" t="s">
        <v>75</v>
      </c>
      <c r="C72" s="12" t="s">
        <v>1199</v>
      </c>
    </row>
    <row r="73" spans="1:3" s="12" customFormat="1" x14ac:dyDescent="0.2">
      <c r="A73" s="11" t="s">
        <v>28</v>
      </c>
      <c r="B73" s="12" t="s">
        <v>76</v>
      </c>
      <c r="C73" s="12" t="s">
        <v>910</v>
      </c>
    </row>
    <row r="74" spans="1:3" s="12" customFormat="1" x14ac:dyDescent="0.2">
      <c r="A74" s="11" t="s">
        <v>28</v>
      </c>
      <c r="B74" s="12" t="s">
        <v>77</v>
      </c>
      <c r="C74" s="12" t="s">
        <v>176</v>
      </c>
    </row>
    <row r="75" spans="1:3" s="12" customFormat="1" x14ac:dyDescent="0.2">
      <c r="A75" s="11" t="s">
        <v>28</v>
      </c>
      <c r="B75" s="12" t="s">
        <v>78</v>
      </c>
      <c r="C75" s="12" t="s">
        <v>177</v>
      </c>
    </row>
    <row r="76" spans="1:3" s="12" customFormat="1" x14ac:dyDescent="0.2">
      <c r="A76" s="11" t="s">
        <v>28</v>
      </c>
      <c r="B76" s="12" t="s">
        <v>79</v>
      </c>
      <c r="C76" s="12" t="s">
        <v>1201</v>
      </c>
    </row>
    <row r="77" spans="1:3" s="12" customFormat="1" x14ac:dyDescent="0.2">
      <c r="A77" s="11" t="s">
        <v>28</v>
      </c>
      <c r="B77" s="12" t="s">
        <v>80</v>
      </c>
      <c r="C77" s="12" t="s">
        <v>1202</v>
      </c>
    </row>
    <row r="78" spans="1:3" s="12" customFormat="1" x14ac:dyDescent="0.2">
      <c r="A78" s="11" t="s">
        <v>28</v>
      </c>
      <c r="B78" s="12" t="s">
        <v>81</v>
      </c>
      <c r="C78" s="12" t="s">
        <v>1203</v>
      </c>
    </row>
    <row r="79" spans="1:3" s="12" customFormat="1" x14ac:dyDescent="0.2">
      <c r="A79" s="11" t="s">
        <v>28</v>
      </c>
      <c r="B79" s="12" t="s">
        <v>82</v>
      </c>
      <c r="C79" s="12" t="s">
        <v>1204</v>
      </c>
    </row>
    <row r="80" spans="1:3" s="12" customFormat="1" x14ac:dyDescent="0.2">
      <c r="A80" s="11" t="s">
        <v>28</v>
      </c>
      <c r="B80" s="12" t="s">
        <v>83</v>
      </c>
      <c r="C80" s="12" t="s">
        <v>924</v>
      </c>
    </row>
    <row r="81" spans="1:3" s="12" customFormat="1" x14ac:dyDescent="0.2">
      <c r="A81" s="11" t="s">
        <v>28</v>
      </c>
      <c r="B81" s="12" t="s">
        <v>84</v>
      </c>
      <c r="C81" s="12" t="s">
        <v>1205</v>
      </c>
    </row>
    <row r="82" spans="1:3" s="12" customFormat="1" x14ac:dyDescent="0.2">
      <c r="A82" s="11" t="s">
        <v>28</v>
      </c>
      <c r="B82" s="12" t="s">
        <v>85</v>
      </c>
      <c r="C82" s="12" t="s">
        <v>925</v>
      </c>
    </row>
    <row r="83" spans="1:3" s="12" customFormat="1" x14ac:dyDescent="0.2">
      <c r="A83" s="11" t="s">
        <v>28</v>
      </c>
      <c r="B83" s="12" t="s">
        <v>86</v>
      </c>
      <c r="C83" s="12" t="s">
        <v>926</v>
      </c>
    </row>
    <row r="84" spans="1:3" s="12" customFormat="1" x14ac:dyDescent="0.2">
      <c r="A84" s="11" t="s">
        <v>28</v>
      </c>
      <c r="B84" s="12" t="s">
        <v>87</v>
      </c>
      <c r="C84" s="12" t="s">
        <v>282</v>
      </c>
    </row>
    <row r="85" spans="1:3" s="12" customFormat="1" x14ac:dyDescent="0.2">
      <c r="A85" s="11" t="s">
        <v>28</v>
      </c>
      <c r="B85" s="12" t="s">
        <v>88</v>
      </c>
      <c r="C85" s="12" t="s">
        <v>927</v>
      </c>
    </row>
    <row r="86" spans="1:3" s="12" customFormat="1" x14ac:dyDescent="0.2">
      <c r="A86" s="11" t="s">
        <v>28</v>
      </c>
      <c r="B86" s="12" t="s">
        <v>89</v>
      </c>
      <c r="C86" s="12" t="s">
        <v>928</v>
      </c>
    </row>
    <row r="87" spans="1:3" s="12" customFormat="1" x14ac:dyDescent="0.2">
      <c r="A87" s="11" t="s">
        <v>28</v>
      </c>
      <c r="B87" s="12" t="s">
        <v>90</v>
      </c>
      <c r="C87" s="12" t="s">
        <v>929</v>
      </c>
    </row>
    <row r="88" spans="1:3" s="12" customFormat="1" x14ac:dyDescent="0.2">
      <c r="A88" s="11" t="s">
        <v>28</v>
      </c>
      <c r="B88" s="12" t="s">
        <v>91</v>
      </c>
      <c r="C88" s="12" t="s">
        <v>930</v>
      </c>
    </row>
    <row r="89" spans="1:3" s="12" customFormat="1" x14ac:dyDescent="0.2">
      <c r="A89" s="11" t="s">
        <v>28</v>
      </c>
      <c r="B89" s="12" t="s">
        <v>92</v>
      </c>
      <c r="C89" s="12" t="s">
        <v>931</v>
      </c>
    </row>
    <row r="90" spans="1:3" s="12" customFormat="1" x14ac:dyDescent="0.2">
      <c r="A90" s="11" t="s">
        <v>28</v>
      </c>
      <c r="B90" s="12" t="s">
        <v>93</v>
      </c>
      <c r="C90" s="12" t="s">
        <v>1213</v>
      </c>
    </row>
    <row r="91" spans="1:3" s="12" customFormat="1" x14ac:dyDescent="0.2">
      <c r="A91" s="11" t="s">
        <v>28</v>
      </c>
      <c r="B91" s="12" t="s">
        <v>94</v>
      </c>
      <c r="C91" s="12" t="s">
        <v>1214</v>
      </c>
    </row>
    <row r="92" spans="1:3" s="12" customFormat="1" x14ac:dyDescent="0.2">
      <c r="A92" s="11" t="s">
        <v>28</v>
      </c>
      <c r="B92" s="12" t="s">
        <v>95</v>
      </c>
      <c r="C92" s="12" t="s">
        <v>1215</v>
      </c>
    </row>
    <row r="93" spans="1:3" s="12" customFormat="1" x14ac:dyDescent="0.2">
      <c r="A93" s="11" t="s">
        <v>28</v>
      </c>
      <c r="B93" s="12" t="s">
        <v>96</v>
      </c>
      <c r="C93" s="12" t="s">
        <v>1216</v>
      </c>
    </row>
    <row r="94" spans="1:3" s="12" customFormat="1" x14ac:dyDescent="0.2">
      <c r="A94" s="11" t="s">
        <v>28</v>
      </c>
      <c r="B94" s="12" t="s">
        <v>97</v>
      </c>
      <c r="C94" s="12" t="s">
        <v>1217</v>
      </c>
    </row>
    <row r="95" spans="1:3" s="12" customFormat="1" x14ac:dyDescent="0.2">
      <c r="A95" s="11" t="s">
        <v>28</v>
      </c>
      <c r="B95" s="12" t="s">
        <v>98</v>
      </c>
      <c r="C95" s="12" t="s">
        <v>1218</v>
      </c>
    </row>
    <row r="96" spans="1:3" s="12" customFormat="1" x14ac:dyDescent="0.2">
      <c r="A96" s="11" t="s">
        <v>28</v>
      </c>
      <c r="B96" s="12" t="s">
        <v>99</v>
      </c>
      <c r="C96" s="12" t="s">
        <v>1219</v>
      </c>
    </row>
    <row r="97" spans="1:3" s="12" customFormat="1" x14ac:dyDescent="0.2">
      <c r="A97" s="11" t="s">
        <v>28</v>
      </c>
      <c r="B97" s="12" t="s">
        <v>100</v>
      </c>
      <c r="C97" s="12" t="s">
        <v>1207</v>
      </c>
    </row>
    <row r="98" spans="1:3" s="12" customFormat="1" x14ac:dyDescent="0.2">
      <c r="A98" s="11" t="s">
        <v>28</v>
      </c>
      <c r="B98" s="12" t="s">
        <v>101</v>
      </c>
      <c r="C98" s="12" t="s">
        <v>1206</v>
      </c>
    </row>
    <row r="99" spans="1:3" s="12" customFormat="1" x14ac:dyDescent="0.2">
      <c r="A99" s="11" t="s">
        <v>28</v>
      </c>
      <c r="B99" s="12" t="s">
        <v>102</v>
      </c>
      <c r="C99" s="12" t="s">
        <v>804</v>
      </c>
    </row>
    <row r="100" spans="1:3" s="12" customFormat="1" x14ac:dyDescent="0.2">
      <c r="A100" s="11" t="s">
        <v>28</v>
      </c>
      <c r="B100" s="12" t="s">
        <v>103</v>
      </c>
      <c r="C100" s="12" t="s">
        <v>805</v>
      </c>
    </row>
    <row r="101" spans="1:3" s="12" customFormat="1" x14ac:dyDescent="0.2">
      <c r="A101" s="11" t="s">
        <v>28</v>
      </c>
      <c r="B101" s="12" t="s">
        <v>104</v>
      </c>
      <c r="C101" s="12" t="s">
        <v>806</v>
      </c>
    </row>
    <row r="102" spans="1:3" s="12" customFormat="1" x14ac:dyDescent="0.2">
      <c r="A102" s="11" t="s">
        <v>28</v>
      </c>
      <c r="B102" s="12" t="s">
        <v>105</v>
      </c>
      <c r="C102" s="12" t="s">
        <v>284</v>
      </c>
    </row>
    <row r="103" spans="1:3" s="12" customFormat="1" x14ac:dyDescent="0.2">
      <c r="A103" s="11" t="s">
        <v>28</v>
      </c>
      <c r="B103" s="12" t="s">
        <v>106</v>
      </c>
      <c r="C103" s="12" t="s">
        <v>308</v>
      </c>
    </row>
    <row r="104" spans="1:3" s="12" customFormat="1" x14ac:dyDescent="0.2">
      <c r="A104" s="11" t="s">
        <v>28</v>
      </c>
      <c r="B104" s="12" t="s">
        <v>107</v>
      </c>
      <c r="C104" s="12" t="s">
        <v>807</v>
      </c>
    </row>
    <row r="105" spans="1:3" s="12" customFormat="1" x14ac:dyDescent="0.2">
      <c r="A105" s="11" t="s">
        <v>28</v>
      </c>
      <c r="B105" s="12" t="s">
        <v>108</v>
      </c>
      <c r="C105" s="12" t="s">
        <v>808</v>
      </c>
    </row>
    <row r="106" spans="1:3" s="12" customFormat="1" x14ac:dyDescent="0.2">
      <c r="A106" s="11" t="s">
        <v>28</v>
      </c>
      <c r="B106" s="12" t="s">
        <v>109</v>
      </c>
      <c r="C106" s="12" t="s">
        <v>809</v>
      </c>
    </row>
    <row r="107" spans="1:3" s="12" customFormat="1" x14ac:dyDescent="0.2">
      <c r="A107" s="11" t="s">
        <v>28</v>
      </c>
      <c r="B107" s="12" t="s">
        <v>110</v>
      </c>
      <c r="C107" s="12" t="s">
        <v>1208</v>
      </c>
    </row>
    <row r="108" spans="1:3" s="12" customFormat="1" x14ac:dyDescent="0.2">
      <c r="A108" s="11" t="s">
        <v>28</v>
      </c>
      <c r="B108" s="12" t="s">
        <v>111</v>
      </c>
      <c r="C108" s="12" t="s">
        <v>1209</v>
      </c>
    </row>
    <row r="109" spans="1:3" s="12" customFormat="1" x14ac:dyDescent="0.2">
      <c r="A109" s="11" t="s">
        <v>28</v>
      </c>
      <c r="B109" s="12" t="s">
        <v>112</v>
      </c>
      <c r="C109" s="12" t="s">
        <v>1210</v>
      </c>
    </row>
    <row r="110" spans="1:3" s="12" customFormat="1" x14ac:dyDescent="0.2">
      <c r="A110" s="11" t="s">
        <v>28</v>
      </c>
      <c r="B110" s="12" t="s">
        <v>113</v>
      </c>
      <c r="C110" s="12" t="s">
        <v>1211</v>
      </c>
    </row>
    <row r="111" spans="1:3" s="12" customFormat="1" x14ac:dyDescent="0.2">
      <c r="A111" s="11" t="s">
        <v>28</v>
      </c>
      <c r="B111" s="12" t="s">
        <v>114</v>
      </c>
      <c r="C111" s="12" t="s">
        <v>1212</v>
      </c>
    </row>
    <row r="112" spans="1:3" s="12" customFormat="1" x14ac:dyDescent="0.2">
      <c r="A112" s="11" t="s">
        <v>115</v>
      </c>
      <c r="B112" s="12" t="s">
        <v>117</v>
      </c>
      <c r="C112" s="12" t="s">
        <v>154</v>
      </c>
    </row>
    <row r="113" spans="1:3" s="12" customFormat="1" x14ac:dyDescent="0.2">
      <c r="A113" s="11" t="s">
        <v>115</v>
      </c>
      <c r="B113" s="12" t="s">
        <v>118</v>
      </c>
      <c r="C113" s="12" t="s">
        <v>154</v>
      </c>
    </row>
    <row r="114" spans="1:3" s="12" customFormat="1" x14ac:dyDescent="0.2">
      <c r="A114" s="11" t="s">
        <v>115</v>
      </c>
      <c r="B114" s="12" t="s">
        <v>119</v>
      </c>
      <c r="C114" s="12" t="s">
        <v>162</v>
      </c>
    </row>
    <row r="115" spans="1:3" s="12" customFormat="1" x14ac:dyDescent="0.2">
      <c r="A115" s="11" t="s">
        <v>115</v>
      </c>
      <c r="B115" s="12" t="s">
        <v>120</v>
      </c>
      <c r="C115" s="12" t="s">
        <v>154</v>
      </c>
    </row>
    <row r="116" spans="1:3" s="12" customFormat="1" x14ac:dyDescent="0.2">
      <c r="A116" s="11" t="s">
        <v>115</v>
      </c>
      <c r="B116" s="12" t="s">
        <v>121</v>
      </c>
      <c r="C116" s="12" t="s">
        <v>154</v>
      </c>
    </row>
    <row r="117" spans="1:3" s="12" customFormat="1" x14ac:dyDescent="0.2">
      <c r="A117" s="11" t="s">
        <v>115</v>
      </c>
      <c r="B117" s="12" t="s">
        <v>122</v>
      </c>
      <c r="C117" s="12" t="s">
        <v>154</v>
      </c>
    </row>
    <row r="118" spans="1:3" s="12" customFormat="1" x14ac:dyDescent="0.2">
      <c r="A118" s="11" t="s">
        <v>115</v>
      </c>
      <c r="B118" s="12" t="s">
        <v>123</v>
      </c>
      <c r="C118" s="12" t="s">
        <v>154</v>
      </c>
    </row>
    <row r="119" spans="1:3" s="12" customFormat="1" x14ac:dyDescent="0.2">
      <c r="A119" s="11" t="s">
        <v>116</v>
      </c>
      <c r="B119" s="12" t="s">
        <v>124</v>
      </c>
      <c r="C119" s="12" t="s">
        <v>154</v>
      </c>
    </row>
    <row r="120" spans="1:3" s="12" customFormat="1" x14ac:dyDescent="0.2">
      <c r="A120" s="11" t="s">
        <v>116</v>
      </c>
      <c r="B120" s="12" t="s">
        <v>125</v>
      </c>
      <c r="C120" s="12" t="s">
        <v>154</v>
      </c>
    </row>
    <row r="121" spans="1:3" s="12" customFormat="1" x14ac:dyDescent="0.2">
      <c r="A121" s="11" t="s">
        <v>116</v>
      </c>
      <c r="B121" s="12" t="s">
        <v>126</v>
      </c>
      <c r="C121" s="12" t="s">
        <v>154</v>
      </c>
    </row>
    <row r="122" spans="1:3" s="12" customFormat="1" x14ac:dyDescent="0.2">
      <c r="A122" s="11" t="s">
        <v>116</v>
      </c>
      <c r="B122" s="12" t="s">
        <v>127</v>
      </c>
      <c r="C122" s="12" t="s">
        <v>154</v>
      </c>
    </row>
    <row r="123" spans="1:3" s="12" customFormat="1" x14ac:dyDescent="0.2">
      <c r="A123" s="11" t="s">
        <v>116</v>
      </c>
      <c r="B123" s="12" t="s">
        <v>128</v>
      </c>
      <c r="C123" s="12" t="s">
        <v>128</v>
      </c>
    </row>
    <row r="124" spans="1:3" s="12" customFormat="1" x14ac:dyDescent="0.2">
      <c r="A124" s="11" t="s">
        <v>116</v>
      </c>
      <c r="B124" s="12" t="s">
        <v>129</v>
      </c>
      <c r="C124" s="12" t="s">
        <v>178</v>
      </c>
    </row>
    <row r="125" spans="1:3" s="12" customFormat="1" x14ac:dyDescent="0.2">
      <c r="A125" s="11" t="s">
        <v>116</v>
      </c>
      <c r="B125" s="12" t="s">
        <v>130</v>
      </c>
      <c r="C125" s="12" t="s">
        <v>179</v>
      </c>
    </row>
    <row r="126" spans="1:3" s="12" customFormat="1" x14ac:dyDescent="0.2">
      <c r="A126" s="11" t="s">
        <v>116</v>
      </c>
      <c r="B126" s="12" t="s">
        <v>131</v>
      </c>
      <c r="C126" s="12" t="s">
        <v>154</v>
      </c>
    </row>
    <row r="127" spans="1:3" s="12" customFormat="1" x14ac:dyDescent="0.2">
      <c r="A127" s="11" t="s">
        <v>116</v>
      </c>
      <c r="B127" s="12" t="s">
        <v>132</v>
      </c>
      <c r="C127" s="12" t="s">
        <v>154</v>
      </c>
    </row>
    <row r="128" spans="1:3" s="12" customFormat="1" x14ac:dyDescent="0.2">
      <c r="A128" s="11" t="s">
        <v>116</v>
      </c>
      <c r="B128" s="12" t="s">
        <v>133</v>
      </c>
      <c r="C128" s="12" t="s">
        <v>180</v>
      </c>
    </row>
    <row r="129" spans="1:3" s="12" customFormat="1" x14ac:dyDescent="0.2">
      <c r="A129" s="11" t="s">
        <v>116</v>
      </c>
      <c r="B129" s="12" t="s">
        <v>134</v>
      </c>
      <c r="C129" s="12" t="s">
        <v>181</v>
      </c>
    </row>
    <row r="130" spans="1:3" s="12" customFormat="1" x14ac:dyDescent="0.2">
      <c r="A130" s="11" t="s">
        <v>116</v>
      </c>
      <c r="B130" s="12" t="s">
        <v>135</v>
      </c>
      <c r="C130" s="12" t="s">
        <v>182</v>
      </c>
    </row>
    <row r="131" spans="1:3" s="12" customFormat="1" x14ac:dyDescent="0.2">
      <c r="A131" s="11" t="s">
        <v>116</v>
      </c>
      <c r="B131" s="12" t="s">
        <v>136</v>
      </c>
      <c r="C131" s="12" t="s">
        <v>183</v>
      </c>
    </row>
    <row r="132" spans="1:3" s="12" customFormat="1" x14ac:dyDescent="0.2">
      <c r="A132" s="11" t="s">
        <v>116</v>
      </c>
      <c r="B132" s="12" t="s">
        <v>137</v>
      </c>
      <c r="C132" s="12" t="s">
        <v>184</v>
      </c>
    </row>
    <row r="133" spans="1:3" s="12" customFormat="1" x14ac:dyDescent="0.2">
      <c r="A133" s="11" t="s">
        <v>116</v>
      </c>
      <c r="B133" s="12" t="s">
        <v>138</v>
      </c>
      <c r="C133" s="12" t="s">
        <v>185</v>
      </c>
    </row>
    <row r="134" spans="1:3" s="12" customFormat="1" x14ac:dyDescent="0.2">
      <c r="A134" s="11" t="s">
        <v>116</v>
      </c>
      <c r="B134" s="12" t="s">
        <v>139</v>
      </c>
      <c r="C134" s="12" t="s">
        <v>186</v>
      </c>
    </row>
    <row r="135" spans="1:3" s="12" customFormat="1" x14ac:dyDescent="0.2">
      <c r="A135" s="11" t="s">
        <v>116</v>
      </c>
      <c r="B135" s="12" t="s">
        <v>140</v>
      </c>
      <c r="C135" s="12" t="s">
        <v>187</v>
      </c>
    </row>
    <row r="136" spans="1:3" s="12" customFormat="1" x14ac:dyDescent="0.2">
      <c r="A136" s="11" t="s">
        <v>116</v>
      </c>
      <c r="B136" s="12" t="s">
        <v>141</v>
      </c>
      <c r="C136" s="12" t="s">
        <v>154</v>
      </c>
    </row>
    <row r="137" spans="1:3" s="12" customFormat="1" x14ac:dyDescent="0.2">
      <c r="A137" s="11" t="s">
        <v>116</v>
      </c>
      <c r="B137" s="12" t="s">
        <v>142</v>
      </c>
      <c r="C137" s="12" t="s">
        <v>154</v>
      </c>
    </row>
    <row r="138" spans="1:3" s="12" customFormat="1" x14ac:dyDescent="0.2">
      <c r="A138" s="11" t="s">
        <v>116</v>
      </c>
      <c r="B138" s="12" t="s">
        <v>143</v>
      </c>
      <c r="C138" s="12" t="s">
        <v>188</v>
      </c>
    </row>
    <row r="139" spans="1:3" s="12" customFormat="1" x14ac:dyDescent="0.2">
      <c r="A139" s="11" t="s">
        <v>116</v>
      </c>
      <c r="B139" s="12" t="s">
        <v>144</v>
      </c>
      <c r="C139" s="12" t="s">
        <v>154</v>
      </c>
    </row>
    <row r="140" spans="1:3" s="12" customFormat="1" x14ac:dyDescent="0.2">
      <c r="A140" s="11" t="s">
        <v>116</v>
      </c>
      <c r="B140" s="12" t="s">
        <v>145</v>
      </c>
      <c r="C140" s="12" t="s">
        <v>154</v>
      </c>
    </row>
    <row r="141" spans="1:3" s="12" customFormat="1" x14ac:dyDescent="0.2">
      <c r="A141" s="11" t="s">
        <v>116</v>
      </c>
      <c r="B141" s="12" t="s">
        <v>146</v>
      </c>
      <c r="C141" s="12" t="s">
        <v>154</v>
      </c>
    </row>
    <row r="142" spans="1:3" s="12" customFormat="1" x14ac:dyDescent="0.2">
      <c r="A142" s="11" t="s">
        <v>116</v>
      </c>
      <c r="B142" s="12" t="s">
        <v>147</v>
      </c>
      <c r="C142" s="12" t="s">
        <v>162</v>
      </c>
    </row>
    <row r="143" spans="1:3" s="12" customFormat="1" x14ac:dyDescent="0.2">
      <c r="A143" s="11" t="s">
        <v>116</v>
      </c>
      <c r="B143" s="12" t="s">
        <v>148</v>
      </c>
      <c r="C143" s="12" t="s">
        <v>154</v>
      </c>
    </row>
    <row r="144" spans="1:3" s="12" customFormat="1" x14ac:dyDescent="0.2">
      <c r="A144" s="11" t="s">
        <v>116</v>
      </c>
      <c r="B144" s="12" t="s">
        <v>149</v>
      </c>
      <c r="C144" s="12" t="s">
        <v>154</v>
      </c>
    </row>
    <row r="145" spans="1:3" s="12" customFormat="1" x14ac:dyDescent="0.2">
      <c r="A145" s="11" t="s">
        <v>116</v>
      </c>
      <c r="B145" s="12" t="s">
        <v>150</v>
      </c>
      <c r="C145" s="12" t="s">
        <v>150</v>
      </c>
    </row>
    <row r="146" spans="1:3" s="15" customFormat="1" x14ac:dyDescent="0.2">
      <c r="A146" s="14" t="s">
        <v>0</v>
      </c>
      <c r="B146" s="15" t="s">
        <v>810</v>
      </c>
      <c r="C146" s="15" t="s">
        <v>264</v>
      </c>
    </row>
    <row r="147" spans="1:3" s="15" customFormat="1" x14ac:dyDescent="0.2">
      <c r="A147" s="14" t="s">
        <v>0</v>
      </c>
      <c r="B147" s="15" t="s">
        <v>811</v>
      </c>
      <c r="C147" s="15" t="s">
        <v>271</v>
      </c>
    </row>
    <row r="148" spans="1:3" s="15" customFormat="1" x14ac:dyDescent="0.2">
      <c r="A148" s="14" t="s">
        <v>0</v>
      </c>
      <c r="B148" s="15" t="s">
        <v>812</v>
      </c>
      <c r="C148" s="15" t="s">
        <v>154</v>
      </c>
    </row>
    <row r="149" spans="1:3" s="15" customFormat="1" x14ac:dyDescent="0.2">
      <c r="A149" s="14" t="s">
        <v>6</v>
      </c>
      <c r="B149" s="15" t="s">
        <v>813</v>
      </c>
      <c r="C149" s="15" t="s">
        <v>543</v>
      </c>
    </row>
    <row r="150" spans="1:3" s="15" customFormat="1" x14ac:dyDescent="0.2">
      <c r="A150" s="14" t="s">
        <v>14</v>
      </c>
      <c r="B150" s="15" t="s">
        <v>814</v>
      </c>
      <c r="C150" s="15" t="s">
        <v>154</v>
      </c>
    </row>
    <row r="151" spans="1:3" s="15" customFormat="1" x14ac:dyDescent="0.2">
      <c r="A151" s="14" t="s">
        <v>14</v>
      </c>
      <c r="B151" s="15" t="s">
        <v>815</v>
      </c>
      <c r="C151" s="15" t="s">
        <v>154</v>
      </c>
    </row>
    <row r="152" spans="1:3" s="15" customFormat="1" x14ac:dyDescent="0.2">
      <c r="A152" s="14" t="s">
        <v>14</v>
      </c>
      <c r="B152" s="15" t="s">
        <v>816</v>
      </c>
      <c r="C152" s="15" t="s">
        <v>154</v>
      </c>
    </row>
    <row r="153" spans="1:3" s="15" customFormat="1" x14ac:dyDescent="0.2">
      <c r="A153" s="14" t="s">
        <v>14</v>
      </c>
      <c r="B153" s="15" t="s">
        <v>817</v>
      </c>
      <c r="C153" s="15" t="s">
        <v>154</v>
      </c>
    </row>
    <row r="154" spans="1:3" s="15" customFormat="1" x14ac:dyDescent="0.2">
      <c r="A154" s="14" t="s">
        <v>14</v>
      </c>
      <c r="B154" s="15" t="s">
        <v>818</v>
      </c>
      <c r="C154" s="15" t="s">
        <v>154</v>
      </c>
    </row>
    <row r="155" spans="1:3" s="15" customFormat="1" x14ac:dyDescent="0.2">
      <c r="A155" s="14" t="s">
        <v>14</v>
      </c>
      <c r="B155" s="15" t="s">
        <v>819</v>
      </c>
      <c r="C155" s="15" t="s">
        <v>154</v>
      </c>
    </row>
    <row r="156" spans="1:3" s="15" customFormat="1" x14ac:dyDescent="0.2">
      <c r="A156" s="14" t="s">
        <v>14</v>
      </c>
      <c r="B156" s="15" t="s">
        <v>820</v>
      </c>
      <c r="C156" s="15" t="s">
        <v>154</v>
      </c>
    </row>
    <row r="157" spans="1:3" s="15" customFormat="1" x14ac:dyDescent="0.2">
      <c r="A157" s="14" t="s">
        <v>14</v>
      </c>
      <c r="B157" s="15" t="s">
        <v>821</v>
      </c>
      <c r="C157" s="15" t="s">
        <v>154</v>
      </c>
    </row>
    <row r="158" spans="1:3" s="15" customFormat="1" x14ac:dyDescent="0.2">
      <c r="A158" s="14" t="s">
        <v>14</v>
      </c>
      <c r="B158" s="15" t="s">
        <v>822</v>
      </c>
      <c r="C158" s="15" t="s">
        <v>154</v>
      </c>
    </row>
    <row r="159" spans="1:3" s="15" customFormat="1" x14ac:dyDescent="0.2">
      <c r="A159" s="14" t="s">
        <v>14</v>
      </c>
      <c r="B159" s="15" t="s">
        <v>823</v>
      </c>
      <c r="C159" s="15" t="s">
        <v>154</v>
      </c>
    </row>
    <row r="160" spans="1:3" s="15" customFormat="1" x14ac:dyDescent="0.2">
      <c r="A160" s="14" t="s">
        <v>14</v>
      </c>
      <c r="B160" s="15" t="s">
        <v>824</v>
      </c>
      <c r="C160" s="15" t="s">
        <v>154</v>
      </c>
    </row>
    <row r="161" spans="1:3" s="15" customFormat="1" x14ac:dyDescent="0.2">
      <c r="A161" s="14" t="s">
        <v>14</v>
      </c>
      <c r="B161" s="15" t="s">
        <v>825</v>
      </c>
      <c r="C161" s="15" t="s">
        <v>154</v>
      </c>
    </row>
    <row r="162" spans="1:3" s="15" customFormat="1" x14ac:dyDescent="0.2">
      <c r="A162" s="14" t="s">
        <v>14</v>
      </c>
      <c r="B162" s="15" t="s">
        <v>826</v>
      </c>
      <c r="C162" s="15" t="s">
        <v>154</v>
      </c>
    </row>
    <row r="163" spans="1:3" s="15" customFormat="1" x14ac:dyDescent="0.2">
      <c r="A163" s="14" t="s">
        <v>14</v>
      </c>
      <c r="B163" s="15" t="s">
        <v>827</v>
      </c>
      <c r="C163" s="15" t="s">
        <v>154</v>
      </c>
    </row>
    <row r="164" spans="1:3" s="15" customFormat="1" x14ac:dyDescent="0.2">
      <c r="A164" s="14" t="s">
        <v>14</v>
      </c>
      <c r="B164" s="15" t="s">
        <v>828</v>
      </c>
      <c r="C164" s="15" t="s">
        <v>154</v>
      </c>
    </row>
    <row r="165" spans="1:3" s="15" customFormat="1" x14ac:dyDescent="0.2">
      <c r="A165" s="14" t="s">
        <v>14</v>
      </c>
      <c r="B165" s="15" t="s">
        <v>829</v>
      </c>
      <c r="C165" s="15" t="s">
        <v>154</v>
      </c>
    </row>
    <row r="166" spans="1:3" s="15" customFormat="1" x14ac:dyDescent="0.2">
      <c r="A166" s="14" t="s">
        <v>14</v>
      </c>
      <c r="B166" s="15" t="s">
        <v>830</v>
      </c>
      <c r="C166" s="15" t="s">
        <v>154</v>
      </c>
    </row>
    <row r="167" spans="1:3" s="15" customFormat="1" x14ac:dyDescent="0.2">
      <c r="A167" s="14" t="s">
        <v>14</v>
      </c>
      <c r="B167" s="15" t="s">
        <v>831</v>
      </c>
      <c r="C167" s="15" t="s">
        <v>154</v>
      </c>
    </row>
    <row r="168" spans="1:3" s="15" customFormat="1" x14ac:dyDescent="0.2">
      <c r="A168" s="14" t="s">
        <v>14</v>
      </c>
      <c r="B168" s="15" t="s">
        <v>832</v>
      </c>
      <c r="C168" s="15" t="s">
        <v>154</v>
      </c>
    </row>
    <row r="169" spans="1:3" s="15" customFormat="1" x14ac:dyDescent="0.2">
      <c r="A169" s="14" t="s">
        <v>14</v>
      </c>
      <c r="B169" s="15" t="s">
        <v>833</v>
      </c>
      <c r="C169" s="15" t="s">
        <v>154</v>
      </c>
    </row>
    <row r="170" spans="1:3" s="15" customFormat="1" x14ac:dyDescent="0.2">
      <c r="A170" s="14" t="s">
        <v>14</v>
      </c>
      <c r="B170" s="15" t="s">
        <v>834</v>
      </c>
      <c r="C170" s="15" t="s">
        <v>154</v>
      </c>
    </row>
    <row r="171" spans="1:3" s="15" customFormat="1" x14ac:dyDescent="0.2">
      <c r="A171" s="14" t="s">
        <v>14</v>
      </c>
      <c r="B171" s="15" t="s">
        <v>835</v>
      </c>
      <c r="C171" s="15" t="s">
        <v>154</v>
      </c>
    </row>
    <row r="172" spans="1:3" s="15" customFormat="1" x14ac:dyDescent="0.2">
      <c r="A172" s="14" t="s">
        <v>14</v>
      </c>
      <c r="B172" s="15" t="s">
        <v>836</v>
      </c>
      <c r="C172" s="15" t="s">
        <v>154</v>
      </c>
    </row>
    <row r="173" spans="1:3" s="15" customFormat="1" x14ac:dyDescent="0.2">
      <c r="A173" s="14" t="s">
        <v>14</v>
      </c>
      <c r="B173" s="15" t="s">
        <v>837</v>
      </c>
      <c r="C173" s="15" t="s">
        <v>154</v>
      </c>
    </row>
    <row r="174" spans="1:3" s="15" customFormat="1" x14ac:dyDescent="0.2">
      <c r="A174" s="14" t="s">
        <v>14</v>
      </c>
      <c r="B174" s="15" t="s">
        <v>838</v>
      </c>
      <c r="C174" s="15" t="s">
        <v>154</v>
      </c>
    </row>
    <row r="175" spans="1:3" s="15" customFormat="1" x14ac:dyDescent="0.2">
      <c r="A175" s="14" t="s">
        <v>14</v>
      </c>
      <c r="B175" s="15" t="s">
        <v>839</v>
      </c>
      <c r="C175" s="15" t="s">
        <v>154</v>
      </c>
    </row>
    <row r="176" spans="1:3" s="15" customFormat="1" x14ac:dyDescent="0.2">
      <c r="A176" s="14" t="s">
        <v>14</v>
      </c>
      <c r="B176" s="15" t="s">
        <v>840</v>
      </c>
      <c r="C176" s="15" t="s">
        <v>154</v>
      </c>
    </row>
    <row r="177" spans="1:3" s="15" customFormat="1" x14ac:dyDescent="0.2">
      <c r="A177" s="14" t="s">
        <v>14</v>
      </c>
      <c r="B177" s="15" t="s">
        <v>841</v>
      </c>
      <c r="C177" s="15" t="s">
        <v>359</v>
      </c>
    </row>
    <row r="178" spans="1:3" s="15" customFormat="1" x14ac:dyDescent="0.2">
      <c r="A178" s="14" t="s">
        <v>14</v>
      </c>
      <c r="B178" s="15" t="s">
        <v>842</v>
      </c>
      <c r="C178" s="15" t="s">
        <v>154</v>
      </c>
    </row>
    <row r="179" spans="1:3" s="15" customFormat="1" x14ac:dyDescent="0.2">
      <c r="A179" s="14" t="s">
        <v>14</v>
      </c>
      <c r="B179" s="15" t="s">
        <v>843</v>
      </c>
      <c r="C179" s="15" t="s">
        <v>154</v>
      </c>
    </row>
    <row r="180" spans="1:3" s="15" customFormat="1" x14ac:dyDescent="0.2">
      <c r="A180" s="14" t="s">
        <v>14</v>
      </c>
      <c r="B180" s="15" t="s">
        <v>844</v>
      </c>
      <c r="C180" s="15" t="s">
        <v>154</v>
      </c>
    </row>
    <row r="181" spans="1:3" s="15" customFormat="1" x14ac:dyDescent="0.2">
      <c r="A181" s="14" t="s">
        <v>14</v>
      </c>
      <c r="B181" s="15" t="s">
        <v>845</v>
      </c>
      <c r="C181" s="15" t="s">
        <v>154</v>
      </c>
    </row>
    <row r="182" spans="1:3" s="15" customFormat="1" x14ac:dyDescent="0.2">
      <c r="A182" s="14" t="s">
        <v>14</v>
      </c>
      <c r="B182" s="15" t="s">
        <v>846</v>
      </c>
      <c r="C182" s="15" t="s">
        <v>154</v>
      </c>
    </row>
    <row r="183" spans="1:3" s="15" customFormat="1" x14ac:dyDescent="0.2">
      <c r="A183" s="14" t="s">
        <v>14</v>
      </c>
      <c r="B183" s="15" t="s">
        <v>847</v>
      </c>
      <c r="C183" s="15" t="s">
        <v>354</v>
      </c>
    </row>
    <row r="184" spans="1:3" s="15" customFormat="1" x14ac:dyDescent="0.2">
      <c r="A184" s="14" t="s">
        <v>14</v>
      </c>
      <c r="B184" s="15" t="s">
        <v>848</v>
      </c>
      <c r="C184" s="15" t="s">
        <v>154</v>
      </c>
    </row>
    <row r="185" spans="1:3" s="15" customFormat="1" x14ac:dyDescent="0.2">
      <c r="A185" s="14" t="s">
        <v>14</v>
      </c>
      <c r="B185" s="15" t="s">
        <v>849</v>
      </c>
      <c r="C185" s="15" t="s">
        <v>154</v>
      </c>
    </row>
    <row r="186" spans="1:3" s="15" customFormat="1" x14ac:dyDescent="0.2">
      <c r="A186" s="14" t="s">
        <v>14</v>
      </c>
      <c r="B186" s="15" t="s">
        <v>850</v>
      </c>
      <c r="C186" s="15" t="s">
        <v>154</v>
      </c>
    </row>
    <row r="187" spans="1:3" s="15" customFormat="1" x14ac:dyDescent="0.2">
      <c r="A187" s="14" t="s">
        <v>14</v>
      </c>
      <c r="B187" s="15" t="s">
        <v>851</v>
      </c>
      <c r="C187" s="15" t="s">
        <v>154</v>
      </c>
    </row>
    <row r="188" spans="1:3" s="15" customFormat="1" x14ac:dyDescent="0.2">
      <c r="A188" s="14" t="s">
        <v>14</v>
      </c>
      <c r="B188" s="15" t="s">
        <v>852</v>
      </c>
      <c r="C188" s="15" t="s">
        <v>154</v>
      </c>
    </row>
    <row r="189" spans="1:3" s="15" customFormat="1" x14ac:dyDescent="0.2">
      <c r="A189" s="14" t="s">
        <v>14</v>
      </c>
      <c r="B189" s="15" t="s">
        <v>853</v>
      </c>
      <c r="C189" s="15" t="s">
        <v>276</v>
      </c>
    </row>
    <row r="190" spans="1:3" s="15" customFormat="1" x14ac:dyDescent="0.2">
      <c r="A190" s="14" t="s">
        <v>14</v>
      </c>
      <c r="B190" s="15" t="s">
        <v>854</v>
      </c>
      <c r="C190" s="15" t="s">
        <v>154</v>
      </c>
    </row>
    <row r="191" spans="1:3" s="15" customFormat="1" x14ac:dyDescent="0.2">
      <c r="A191" s="14" t="s">
        <v>14</v>
      </c>
      <c r="B191" s="15" t="s">
        <v>855</v>
      </c>
      <c r="C191" s="15" t="s">
        <v>154</v>
      </c>
    </row>
    <row r="192" spans="1:3" s="15" customFormat="1" x14ac:dyDescent="0.2">
      <c r="A192" s="14" t="s">
        <v>14</v>
      </c>
      <c r="B192" s="15" t="s">
        <v>856</v>
      </c>
      <c r="C192" s="15" t="s">
        <v>154</v>
      </c>
    </row>
    <row r="193" spans="1:3" s="15" customFormat="1" x14ac:dyDescent="0.2">
      <c r="A193" s="14" t="s">
        <v>14</v>
      </c>
      <c r="B193" s="15" t="s">
        <v>857</v>
      </c>
      <c r="C193" s="15" t="s">
        <v>154</v>
      </c>
    </row>
    <row r="194" spans="1:3" s="15" customFormat="1" x14ac:dyDescent="0.2">
      <c r="A194" s="14" t="s">
        <v>14</v>
      </c>
      <c r="B194" s="15" t="s">
        <v>858</v>
      </c>
      <c r="C194" s="15" t="s">
        <v>154</v>
      </c>
    </row>
    <row r="195" spans="1:3" s="15" customFormat="1" x14ac:dyDescent="0.2">
      <c r="A195" s="14" t="s">
        <v>14</v>
      </c>
      <c r="B195" s="15" t="s">
        <v>859</v>
      </c>
      <c r="C195" s="15" t="s">
        <v>154</v>
      </c>
    </row>
    <row r="196" spans="1:3" s="15" customFormat="1" x14ac:dyDescent="0.2">
      <c r="A196" s="14" t="s">
        <v>14</v>
      </c>
      <c r="B196" s="15" t="s">
        <v>860</v>
      </c>
      <c r="C196" s="15" t="s">
        <v>154</v>
      </c>
    </row>
    <row r="197" spans="1:3" s="15" customFormat="1" x14ac:dyDescent="0.2">
      <c r="A197" s="14" t="s">
        <v>14</v>
      </c>
      <c r="B197" s="15" t="s">
        <v>861</v>
      </c>
      <c r="C197" s="15" t="s">
        <v>154</v>
      </c>
    </row>
    <row r="198" spans="1:3" s="15" customFormat="1" x14ac:dyDescent="0.2">
      <c r="A198" s="14" t="s">
        <v>14</v>
      </c>
      <c r="B198" s="15" t="s">
        <v>862</v>
      </c>
      <c r="C198" s="15" t="s">
        <v>154</v>
      </c>
    </row>
    <row r="199" spans="1:3" s="15" customFormat="1" x14ac:dyDescent="0.2">
      <c r="A199" s="14" t="s">
        <v>14</v>
      </c>
      <c r="B199" s="15" t="s">
        <v>863</v>
      </c>
      <c r="C199" s="15" t="s">
        <v>154</v>
      </c>
    </row>
    <row r="200" spans="1:3" s="15" customFormat="1" x14ac:dyDescent="0.2">
      <c r="A200" s="14" t="s">
        <v>14</v>
      </c>
      <c r="B200" s="15" t="s">
        <v>864</v>
      </c>
      <c r="C200" s="15" t="s">
        <v>154</v>
      </c>
    </row>
    <row r="201" spans="1:3" s="15" customFormat="1" x14ac:dyDescent="0.2">
      <c r="A201" s="14" t="s">
        <v>14</v>
      </c>
      <c r="B201" s="15" t="s">
        <v>865</v>
      </c>
      <c r="C201" s="15" t="s">
        <v>488</v>
      </c>
    </row>
    <row r="202" spans="1:3" s="15" customFormat="1" x14ac:dyDescent="0.2">
      <c r="A202" s="14" t="s">
        <v>14</v>
      </c>
      <c r="B202" s="15" t="s">
        <v>866</v>
      </c>
      <c r="C202" s="15" t="s">
        <v>154</v>
      </c>
    </row>
    <row r="203" spans="1:3" s="15" customFormat="1" x14ac:dyDescent="0.2">
      <c r="A203" s="14" t="s">
        <v>14</v>
      </c>
      <c r="B203" s="15" t="s">
        <v>867</v>
      </c>
      <c r="C203" s="15" t="s">
        <v>154</v>
      </c>
    </row>
    <row r="204" spans="1:3" s="15" customFormat="1" x14ac:dyDescent="0.2">
      <c r="A204" s="14" t="s">
        <v>14</v>
      </c>
      <c r="B204" s="15" t="s">
        <v>868</v>
      </c>
      <c r="C204" s="15" t="s">
        <v>154</v>
      </c>
    </row>
    <row r="205" spans="1:3" s="15" customFormat="1" x14ac:dyDescent="0.2">
      <c r="A205" s="14" t="s">
        <v>14</v>
      </c>
      <c r="B205" s="15" t="s">
        <v>869</v>
      </c>
      <c r="C205" s="15" t="s">
        <v>154</v>
      </c>
    </row>
    <row r="206" spans="1:3" s="15" customFormat="1" x14ac:dyDescent="0.2">
      <c r="A206" s="14" t="s">
        <v>14</v>
      </c>
      <c r="B206" s="15" t="s">
        <v>870</v>
      </c>
      <c r="C206" s="15" t="s">
        <v>343</v>
      </c>
    </row>
    <row r="207" spans="1:3" s="15" customFormat="1" x14ac:dyDescent="0.2">
      <c r="A207" s="14" t="s">
        <v>14</v>
      </c>
      <c r="B207" s="15" t="s">
        <v>871</v>
      </c>
      <c r="C207" s="15" t="s">
        <v>154</v>
      </c>
    </row>
    <row r="208" spans="1:3" s="15" customFormat="1" x14ac:dyDescent="0.2">
      <c r="A208" s="14" t="s">
        <v>14</v>
      </c>
      <c r="B208" s="15" t="s">
        <v>872</v>
      </c>
      <c r="C208" s="15" t="s">
        <v>154</v>
      </c>
    </row>
    <row r="209" spans="1:3" s="15" customFormat="1" x14ac:dyDescent="0.2">
      <c r="A209" s="14" t="s">
        <v>14</v>
      </c>
      <c r="B209" s="15" t="s">
        <v>873</v>
      </c>
      <c r="C209" s="15" t="s">
        <v>544</v>
      </c>
    </row>
    <row r="210" spans="1:3" s="15" customFormat="1" x14ac:dyDescent="0.2">
      <c r="A210" s="14" t="s">
        <v>14</v>
      </c>
      <c r="B210" s="15" t="s">
        <v>874</v>
      </c>
      <c r="C210" s="15" t="s">
        <v>154</v>
      </c>
    </row>
    <row r="211" spans="1:3" s="15" customFormat="1" x14ac:dyDescent="0.2">
      <c r="A211" s="14" t="s">
        <v>14</v>
      </c>
      <c r="B211" s="15" t="s">
        <v>875</v>
      </c>
      <c r="C211" s="15" t="s">
        <v>483</v>
      </c>
    </row>
    <row r="212" spans="1:3" s="15" customFormat="1" x14ac:dyDescent="0.2">
      <c r="A212" s="14" t="s">
        <v>14</v>
      </c>
      <c r="B212" s="15" t="s">
        <v>876</v>
      </c>
      <c r="C212" s="15" t="s">
        <v>154</v>
      </c>
    </row>
    <row r="213" spans="1:3" s="15" customFormat="1" x14ac:dyDescent="0.2">
      <c r="A213" s="14" t="s">
        <v>14</v>
      </c>
      <c r="B213" s="15" t="s">
        <v>877</v>
      </c>
      <c r="C213" s="15" t="s">
        <v>154</v>
      </c>
    </row>
    <row r="214" spans="1:3" s="15" customFormat="1" x14ac:dyDescent="0.2">
      <c r="A214" s="14" t="s">
        <v>14</v>
      </c>
      <c r="B214" s="15" t="s">
        <v>878</v>
      </c>
      <c r="C214" s="15" t="s">
        <v>154</v>
      </c>
    </row>
    <row r="215" spans="1:3" s="15" customFormat="1" x14ac:dyDescent="0.2">
      <c r="A215" s="14" t="s">
        <v>14</v>
      </c>
      <c r="B215" s="15" t="s">
        <v>879</v>
      </c>
      <c r="C215" s="15" t="s">
        <v>154</v>
      </c>
    </row>
    <row r="216" spans="1:3" s="15" customFormat="1" x14ac:dyDescent="0.2">
      <c r="A216" s="14" t="s">
        <v>14</v>
      </c>
      <c r="B216" s="15" t="s">
        <v>880</v>
      </c>
      <c r="C216" s="15" t="s">
        <v>154</v>
      </c>
    </row>
    <row r="217" spans="1:3" s="15" customFormat="1" x14ac:dyDescent="0.2">
      <c r="A217" s="14" t="s">
        <v>14</v>
      </c>
      <c r="B217" s="15" t="s">
        <v>881</v>
      </c>
      <c r="C217" s="15" t="s">
        <v>361</v>
      </c>
    </row>
    <row r="218" spans="1:3" s="15" customFormat="1" x14ac:dyDescent="0.2">
      <c r="A218" s="14" t="s">
        <v>14</v>
      </c>
      <c r="B218" s="15" t="s">
        <v>882</v>
      </c>
      <c r="C218" s="15" t="s">
        <v>154</v>
      </c>
    </row>
    <row r="219" spans="1:3" s="15" customFormat="1" x14ac:dyDescent="0.2">
      <c r="A219" s="14" t="s">
        <v>14</v>
      </c>
      <c r="B219" s="15" t="s">
        <v>883</v>
      </c>
      <c r="C219" s="15" t="s">
        <v>472</v>
      </c>
    </row>
    <row r="220" spans="1:3" s="15" customFormat="1" x14ac:dyDescent="0.2">
      <c r="A220" s="14" t="s">
        <v>14</v>
      </c>
      <c r="B220" s="15" t="s">
        <v>884</v>
      </c>
      <c r="C220" s="15" t="s">
        <v>154</v>
      </c>
    </row>
    <row r="221" spans="1:3" s="15" customFormat="1" x14ac:dyDescent="0.2">
      <c r="A221" s="14" t="s">
        <v>14</v>
      </c>
      <c r="B221" s="15" t="s">
        <v>885</v>
      </c>
      <c r="C221" s="15" t="s">
        <v>154</v>
      </c>
    </row>
    <row r="222" spans="1:3" s="15" customFormat="1" x14ac:dyDescent="0.2">
      <c r="A222" s="14" t="s">
        <v>20</v>
      </c>
      <c r="B222" s="15" t="s">
        <v>886</v>
      </c>
      <c r="C222" s="15" t="s">
        <v>542</v>
      </c>
    </row>
    <row r="223" spans="1:3" s="15" customFormat="1" x14ac:dyDescent="0.2">
      <c r="A223" s="14" t="s">
        <v>28</v>
      </c>
      <c r="B223" s="15" t="s">
        <v>887</v>
      </c>
      <c r="C223" s="15" t="s">
        <v>154</v>
      </c>
    </row>
    <row r="224" spans="1:3" s="15" customFormat="1" x14ac:dyDescent="0.2">
      <c r="A224" s="14" t="s">
        <v>28</v>
      </c>
      <c r="B224" s="15" t="s">
        <v>888</v>
      </c>
      <c r="C224" s="15" t="s">
        <v>154</v>
      </c>
    </row>
    <row r="225" spans="1:3" s="15" customFormat="1" x14ac:dyDescent="0.2">
      <c r="A225" s="14" t="s">
        <v>28</v>
      </c>
      <c r="B225" s="15" t="s">
        <v>889</v>
      </c>
      <c r="C225" s="15" t="s">
        <v>154</v>
      </c>
    </row>
    <row r="226" spans="1:3" s="15" customFormat="1" x14ac:dyDescent="0.2">
      <c r="A226" s="14" t="s">
        <v>28</v>
      </c>
      <c r="B226" s="15" t="s">
        <v>890</v>
      </c>
      <c r="C226" s="15" t="s">
        <v>154</v>
      </c>
    </row>
    <row r="227" spans="1:3" s="15" customFormat="1" x14ac:dyDescent="0.2">
      <c r="A227" s="14" t="s">
        <v>28</v>
      </c>
      <c r="B227" s="15" t="s">
        <v>891</v>
      </c>
      <c r="C227" s="15" t="s">
        <v>154</v>
      </c>
    </row>
    <row r="228" spans="1:3" s="15" customFormat="1" x14ac:dyDescent="0.2">
      <c r="A228" s="14" t="s">
        <v>28</v>
      </c>
      <c r="B228" s="15" t="s">
        <v>892</v>
      </c>
      <c r="C228" s="15" t="s">
        <v>154</v>
      </c>
    </row>
    <row r="229" spans="1:3" s="15" customFormat="1" x14ac:dyDescent="0.2">
      <c r="A229" s="14" t="s">
        <v>28</v>
      </c>
      <c r="B229" s="15" t="s">
        <v>893</v>
      </c>
      <c r="C229" s="15" t="s">
        <v>154</v>
      </c>
    </row>
    <row r="230" spans="1:3" s="15" customFormat="1" x14ac:dyDescent="0.2">
      <c r="A230" s="14" t="s">
        <v>28</v>
      </c>
      <c r="B230" s="15" t="s">
        <v>894</v>
      </c>
      <c r="C230" s="15" t="s">
        <v>154</v>
      </c>
    </row>
    <row r="231" spans="1:3" s="15" customFormat="1" x14ac:dyDescent="0.2">
      <c r="A231" s="14" t="s">
        <v>28</v>
      </c>
      <c r="B231" s="15" t="s">
        <v>895</v>
      </c>
      <c r="C231" s="15" t="s">
        <v>154</v>
      </c>
    </row>
    <row r="232" spans="1:3" s="15" customFormat="1" x14ac:dyDescent="0.2">
      <c r="A232" s="14" t="s">
        <v>28</v>
      </c>
      <c r="B232" s="15" t="s">
        <v>896</v>
      </c>
      <c r="C232" s="15" t="s">
        <v>154</v>
      </c>
    </row>
    <row r="233" spans="1:3" s="15" customFormat="1" x14ac:dyDescent="0.2">
      <c r="A233" s="14" t="s">
        <v>28</v>
      </c>
      <c r="B233" s="15" t="s">
        <v>897</v>
      </c>
      <c r="C233" s="15" t="s">
        <v>154</v>
      </c>
    </row>
    <row r="234" spans="1:3" x14ac:dyDescent="0.2">
      <c r="A234" s="17" t="s">
        <v>116</v>
      </c>
      <c r="B234" s="9" t="s">
        <v>1124</v>
      </c>
      <c r="C234" s="9" t="str">
        <f>"mq_" &amp; B234</f>
        <v>mq_transport_final_demand_for_rail_electricity_transport_freight_train_using_electricity_parent_share</v>
      </c>
    </row>
    <row r="235" spans="1:3" x14ac:dyDescent="0.2">
      <c r="A235" s="17" t="s">
        <v>116</v>
      </c>
      <c r="B235" s="9" t="s">
        <v>942</v>
      </c>
      <c r="C235" s="9" t="str">
        <f t="shared" ref="C235:C294" si="0">"mq_" &amp; B235</f>
        <v>mq_transport_final_demand_for_rail_electricity_transport_tram_using_electricity_parent_share</v>
      </c>
    </row>
    <row r="236" spans="1:3" x14ac:dyDescent="0.2">
      <c r="A236" s="17" t="s">
        <v>116</v>
      </c>
      <c r="B236" s="9" t="s">
        <v>943</v>
      </c>
      <c r="C236" s="9" t="str">
        <f t="shared" si="0"/>
        <v>mq_transport_final_demand_for_rail_electricity_transport_passenger_train_using_electricity_parent_share</v>
      </c>
    </row>
    <row r="237" spans="1:3" x14ac:dyDescent="0.2">
      <c r="A237" s="17" t="s">
        <v>116</v>
      </c>
      <c r="B237" s="9" t="s">
        <v>944</v>
      </c>
      <c r="C237" s="9" t="str">
        <f t="shared" si="0"/>
        <v>mq_transport_rail_mixer_diesel_transport_freight_train_using_diesel_mix_parent_share</v>
      </c>
    </row>
    <row r="238" spans="1:3" x14ac:dyDescent="0.2">
      <c r="A238" s="17" t="s">
        <v>116</v>
      </c>
      <c r="B238" s="9" t="s">
        <v>945</v>
      </c>
      <c r="C238" s="9" t="str">
        <f t="shared" si="0"/>
        <v>mq_transport_rail_mixer_diesel_transport_passenger_train_using_diesel_mix_parent_share</v>
      </c>
    </row>
    <row r="239" spans="1:3" x14ac:dyDescent="0.2">
      <c r="A239" s="17" t="s">
        <v>116</v>
      </c>
      <c r="B239" s="9" t="s">
        <v>946</v>
      </c>
      <c r="C239" s="9" t="str">
        <f t="shared" si="0"/>
        <v>mq_transport_road_mixer_gasoline_transport_car_using_gasoline_mix_parent_share</v>
      </c>
    </row>
    <row r="240" spans="1:3" x14ac:dyDescent="0.2">
      <c r="A240" s="17" t="s">
        <v>116</v>
      </c>
      <c r="B240" s="9" t="s">
        <v>947</v>
      </c>
      <c r="C240" s="9" t="str">
        <f t="shared" si="0"/>
        <v>mq_transport_road_mixer_gasoline_transport_van_using_gasoline_mix_parent_share</v>
      </c>
    </row>
    <row r="241" spans="1:3" x14ac:dyDescent="0.2">
      <c r="A241" s="17" t="s">
        <v>116</v>
      </c>
      <c r="B241" s="9" t="s">
        <v>948</v>
      </c>
      <c r="C241" s="9" t="str">
        <f t="shared" si="0"/>
        <v>mq_transport_road_mixer_gasoline_transport_bus_using_gasoline_mix_parent_share</v>
      </c>
    </row>
    <row r="242" spans="1:3" x14ac:dyDescent="0.2">
      <c r="A242" s="17" t="s">
        <v>116</v>
      </c>
      <c r="B242" s="9" t="s">
        <v>949</v>
      </c>
      <c r="C242" s="9" t="str">
        <f t="shared" si="0"/>
        <v>mq_transport_road_mixer_gasoline_transport_truck_using_gasoline_mix_parent_share</v>
      </c>
    </row>
    <row r="243" spans="1:3" x14ac:dyDescent="0.2">
      <c r="A243" s="17" t="s">
        <v>116</v>
      </c>
      <c r="B243" s="9" t="s">
        <v>950</v>
      </c>
      <c r="C243" s="9" t="str">
        <f t="shared" si="0"/>
        <v>mq_transport_road_mixer_gasoline_transport_motorcycle_using_gasoline_mix_parent_share</v>
      </c>
    </row>
    <row r="244" spans="1:3" x14ac:dyDescent="0.2">
      <c r="A244" s="17" t="s">
        <v>116</v>
      </c>
      <c r="B244" s="9" t="s">
        <v>951</v>
      </c>
      <c r="C244" s="9" t="str">
        <f t="shared" si="0"/>
        <v>mq_transport_road_mixer_diesel_transport_car_using_diesel_mix_parent_share</v>
      </c>
    </row>
    <row r="245" spans="1:3" x14ac:dyDescent="0.2">
      <c r="A245" s="17" t="s">
        <v>116</v>
      </c>
      <c r="B245" s="9" t="s">
        <v>952</v>
      </c>
      <c r="C245" s="9" t="str">
        <f t="shared" si="0"/>
        <v>mq_transport_road_mixer_diesel_transport_van_using_diesel_mix_parent_share</v>
      </c>
    </row>
    <row r="246" spans="1:3" x14ac:dyDescent="0.2">
      <c r="A246" s="17" t="s">
        <v>116</v>
      </c>
      <c r="B246" s="9" t="s">
        <v>953</v>
      </c>
      <c r="C246" s="9" t="str">
        <f t="shared" si="0"/>
        <v>mq_transport_road_mixer_diesel_transport_bus_using_diesel_mix_parent_share</v>
      </c>
    </row>
    <row r="247" spans="1:3" x14ac:dyDescent="0.2">
      <c r="A247" s="17" t="s">
        <v>116</v>
      </c>
      <c r="B247" s="9" t="s">
        <v>954</v>
      </c>
      <c r="C247" s="9" t="str">
        <f t="shared" si="0"/>
        <v>mq_transport_road_mixer_diesel_transport_truck_using_diesel_mix_parent_share</v>
      </c>
    </row>
    <row r="248" spans="1:3" x14ac:dyDescent="0.2">
      <c r="A248" s="17" t="s">
        <v>116</v>
      </c>
      <c r="B248" s="9" t="s">
        <v>955</v>
      </c>
      <c r="C248" s="9" t="str">
        <f t="shared" si="0"/>
        <v>mq_transport_final_demand_for_road_electricity_transport_car_using_electricity_parent_share</v>
      </c>
    </row>
    <row r="249" spans="1:3" x14ac:dyDescent="0.2">
      <c r="A249" s="17" t="s">
        <v>116</v>
      </c>
      <c r="B249" s="9" t="s">
        <v>956</v>
      </c>
      <c r="C249" s="9" t="str">
        <f t="shared" si="0"/>
        <v>mq_transport_final_demand_for_road_electricity_transport_van_using_electricity_parent_share</v>
      </c>
    </row>
    <row r="250" spans="1:3" x14ac:dyDescent="0.2">
      <c r="A250" s="17" t="s">
        <v>116</v>
      </c>
      <c r="B250" s="9" t="s">
        <v>957</v>
      </c>
      <c r="C250" s="9" t="str">
        <f t="shared" si="0"/>
        <v>mq_transport_final_demand_for_road_electricity_transport_bus_using_electricity_parent_share</v>
      </c>
    </row>
    <row r="251" spans="1:3" x14ac:dyDescent="0.2">
      <c r="A251" s="17" t="s">
        <v>116</v>
      </c>
      <c r="B251" s="9" t="s">
        <v>958</v>
      </c>
      <c r="C251" s="9" t="str">
        <f t="shared" si="0"/>
        <v>mq_transport_final_demand_for_road_electricity_transport_motorcycle_using_electricity_parent_share</v>
      </c>
    </row>
    <row r="252" spans="1:3" x14ac:dyDescent="0.2">
      <c r="A252" s="17" t="s">
        <v>116</v>
      </c>
      <c r="B252" s="9" t="s">
        <v>959</v>
      </c>
      <c r="C252" s="9" t="str">
        <f t="shared" si="0"/>
        <v>mq_transport_final_demand_for_road_electricity_transport_bicycle_using_electricity_parent_share</v>
      </c>
    </row>
    <row r="253" spans="1:3" x14ac:dyDescent="0.2">
      <c r="A253" s="17" t="s">
        <v>116</v>
      </c>
      <c r="B253" s="9" t="s">
        <v>960</v>
      </c>
      <c r="C253" s="9" t="str">
        <f t="shared" si="0"/>
        <v>mq_transport_final_demand_for_road_electricity_transport_truck_using_electricity_parent_share</v>
      </c>
    </row>
    <row r="254" spans="1:3" x14ac:dyDescent="0.2">
      <c r="A254" s="17" t="s">
        <v>116</v>
      </c>
      <c r="B254" s="9" t="s">
        <v>961</v>
      </c>
      <c r="C254" s="9" t="str">
        <f t="shared" si="0"/>
        <v>mq_transport_road_mixer_compressed_network_gas_transport_bus_using_compressed_natural_gas_parent_share</v>
      </c>
    </row>
    <row r="255" spans="1:3" x14ac:dyDescent="0.2">
      <c r="A255" s="17" t="s">
        <v>116</v>
      </c>
      <c r="B255" s="9" t="s">
        <v>962</v>
      </c>
      <c r="C255" s="9" t="str">
        <f t="shared" si="0"/>
        <v>mq_transport_road_mixer_compressed_network_gas_transport_car_using_compressed_natural_gas_parent_share</v>
      </c>
    </row>
    <row r="256" spans="1:3" x14ac:dyDescent="0.2">
      <c r="A256" s="17" t="s">
        <v>116</v>
      </c>
      <c r="B256" s="9" t="s">
        <v>963</v>
      </c>
      <c r="C256" s="9" t="str">
        <f t="shared" si="0"/>
        <v>mq_transport_road_mixer_compressed_network_gas_transport_van_using_compressed_natural_gas_parent_share</v>
      </c>
    </row>
    <row r="257" spans="1:3" x14ac:dyDescent="0.2">
      <c r="A257" s="17" t="s">
        <v>116</v>
      </c>
      <c r="B257" s="9" t="s">
        <v>964</v>
      </c>
      <c r="C257" s="9" t="str">
        <f t="shared" si="0"/>
        <v>mq_transport_road_mixer_compressed_network_gas_transport_truck_using_compressed_natural_gas_parent_share</v>
      </c>
    </row>
    <row r="258" spans="1:3" x14ac:dyDescent="0.2">
      <c r="A258" s="17" t="s">
        <v>116</v>
      </c>
      <c r="B258" s="9" t="s">
        <v>965</v>
      </c>
      <c r="C258" s="9" t="str">
        <f t="shared" si="0"/>
        <v>mq_input_transport_road_car_hydrogen_share</v>
      </c>
    </row>
    <row r="259" spans="1:3" x14ac:dyDescent="0.2">
      <c r="A259" s="17" t="s">
        <v>116</v>
      </c>
      <c r="B259" s="9" t="s">
        <v>966</v>
      </c>
      <c r="C259" s="9" t="str">
        <f t="shared" si="0"/>
        <v>mq_transport_final_demand_for_road_hydrogen_transport_van_using_hydrogen_parent_share</v>
      </c>
    </row>
    <row r="260" spans="1:3" x14ac:dyDescent="0.2">
      <c r="A260" s="17" t="s">
        <v>116</v>
      </c>
      <c r="B260" s="9" t="s">
        <v>967</v>
      </c>
      <c r="C260" s="9" t="str">
        <f t="shared" si="0"/>
        <v>mq_transport_final_demand_for_road_hydrogen_transport_bus_using_hydrogen_parent_share</v>
      </c>
    </row>
    <row r="261" spans="1:3" x14ac:dyDescent="0.2">
      <c r="A261" s="17" t="s">
        <v>116</v>
      </c>
      <c r="B261" s="9" t="s">
        <v>968</v>
      </c>
      <c r="C261" s="9" t="str">
        <f t="shared" si="0"/>
        <v>mq_transport_final_demand_for_road_hydrogen_transport_truck_using_hydrogen_parent_share</v>
      </c>
    </row>
    <row r="262" spans="1:3" x14ac:dyDescent="0.2">
      <c r="A262" s="17" t="s">
        <v>116</v>
      </c>
      <c r="B262" s="9" t="s">
        <v>969</v>
      </c>
      <c r="C262" s="9" t="str">
        <f t="shared" si="0"/>
        <v>mq_transport_road_mixer_lng_transport_bus_using_lng_mix_parent_share</v>
      </c>
    </row>
    <row r="263" spans="1:3" x14ac:dyDescent="0.2">
      <c r="A263" s="17" t="s">
        <v>116</v>
      </c>
      <c r="B263" s="9" t="s">
        <v>970</v>
      </c>
      <c r="C263" s="9" t="str">
        <f t="shared" si="0"/>
        <v>mq_transport_road_mixer_lng_transport_truck_using_lng_mix_parent_share</v>
      </c>
    </row>
    <row r="264" spans="1:3" x14ac:dyDescent="0.2">
      <c r="A264" s="17" t="s">
        <v>116</v>
      </c>
      <c r="B264" s="9" t="s">
        <v>971</v>
      </c>
      <c r="C264" s="9" t="str">
        <f t="shared" si="0"/>
        <v>mq_transport_final_demand_for_road_lpg_transport_car_using_lpg_parent_share</v>
      </c>
    </row>
    <row r="265" spans="1:3" x14ac:dyDescent="0.2">
      <c r="A265" s="17" t="s">
        <v>116</v>
      </c>
      <c r="B265" s="9" t="s">
        <v>972</v>
      </c>
      <c r="C265" s="9" t="str">
        <f t="shared" si="0"/>
        <v>mq_transport_final_demand_for_road_lpg_transport_van_using_lpg_parent_share</v>
      </c>
    </row>
    <row r="266" spans="1:3" x14ac:dyDescent="0.2">
      <c r="A266" s="17" t="s">
        <v>28</v>
      </c>
      <c r="B266" s="9" t="s">
        <v>973</v>
      </c>
      <c r="C266" s="9" t="str">
        <f t="shared" si="0"/>
        <v>mq_input_industry_aluminium_electrolysis_current_electricity_share</v>
      </c>
    </row>
    <row r="267" spans="1:3" x14ac:dyDescent="0.2">
      <c r="A267" s="17" t="s">
        <v>28</v>
      </c>
      <c r="B267" s="9" t="s">
        <v>974</v>
      </c>
      <c r="C267" s="9" t="str">
        <f t="shared" si="0"/>
        <v>mq_input_industry_aluminium_smeltoven_electricity_share</v>
      </c>
    </row>
    <row r="268" spans="1:3" x14ac:dyDescent="0.2">
      <c r="A268" s="17" t="s">
        <v>28</v>
      </c>
      <c r="B268" s="9" t="s">
        <v>975</v>
      </c>
      <c r="C268" s="9" t="str">
        <f t="shared" si="0"/>
        <v>mq_industry_final_demand_for_metal_aluminium_electricity_industry_aluminium_electrolysis_current_electricity_parent_share</v>
      </c>
    </row>
    <row r="269" spans="1:3" x14ac:dyDescent="0.2">
      <c r="A269" s="17" t="s">
        <v>28</v>
      </c>
      <c r="B269" s="9" t="s">
        <v>976</v>
      </c>
      <c r="C269" s="9" t="str">
        <f t="shared" si="0"/>
        <v>mq_industry_final_demand_for_metal_aluminium_electricity_industry_aluminium_smeltoven_electricity_parent_share</v>
      </c>
    </row>
    <row r="270" spans="1:3" x14ac:dyDescent="0.2">
      <c r="A270" s="17" t="s">
        <v>28</v>
      </c>
      <c r="B270" s="9" t="s">
        <v>977</v>
      </c>
      <c r="C270" s="9" t="str">
        <f t="shared" si="0"/>
        <v>mq_industry_aluminium_burner_network_gas_industry_aluminium_electrolysis_current_electricity_parent_share</v>
      </c>
    </row>
    <row r="271" spans="1:3" x14ac:dyDescent="0.2">
      <c r="A271" s="17" t="s">
        <v>28</v>
      </c>
      <c r="B271" s="9" t="s">
        <v>978</v>
      </c>
      <c r="C271" s="9" t="str">
        <f t="shared" si="0"/>
        <v>mq_industry_aluminium_burner_network_gas_industry_aluminium_smeltoven_electricity_parent_share</v>
      </c>
    </row>
    <row r="272" spans="1:3" x14ac:dyDescent="0.2">
      <c r="A272" s="17" t="s">
        <v>28</v>
      </c>
      <c r="B272" s="9" t="s">
        <v>979</v>
      </c>
      <c r="C272" s="9" t="str">
        <f t="shared" si="0"/>
        <v>mq_industry_final_demand_for_other_food_electricity_industry_useful_demand_for_other_food_electricity_parent_share</v>
      </c>
    </row>
    <row r="273" spans="1:3" x14ac:dyDescent="0.2">
      <c r="A273" s="17" t="s">
        <v>28</v>
      </c>
      <c r="B273" s="9" t="s">
        <v>980</v>
      </c>
      <c r="C273" s="9" t="str">
        <f t="shared" si="0"/>
        <v>mq_industry_final_demand_for_other_food_electricity_industry_other_food_heater_electricity_parent_share</v>
      </c>
    </row>
    <row r="274" spans="1:3" x14ac:dyDescent="0.2">
      <c r="A274" s="17" t="s">
        <v>28</v>
      </c>
      <c r="B274" s="9" t="s">
        <v>981</v>
      </c>
      <c r="C274" s="9" t="str">
        <f t="shared" si="0"/>
        <v>mq_input_share_mixer_gas_fuel_bio_oil</v>
      </c>
    </row>
    <row r="275" spans="1:3" x14ac:dyDescent="0.2">
      <c r="A275" s="17" t="s">
        <v>28</v>
      </c>
      <c r="B275" s="9" t="s">
        <v>982</v>
      </c>
      <c r="C275" s="9" t="str">
        <f t="shared" si="0"/>
        <v>mq_input_share_mixer_gas_fuel_oil</v>
      </c>
    </row>
    <row r="276" spans="1:3" x14ac:dyDescent="0.2">
      <c r="A276" s="17" t="s">
        <v>28</v>
      </c>
      <c r="B276" s="9" t="s">
        <v>983</v>
      </c>
      <c r="C276" s="9" t="str">
        <f t="shared" si="0"/>
        <v>mq_input_share_mixer_gas_fuel_network_gas</v>
      </c>
    </row>
    <row r="277" spans="1:3" x14ac:dyDescent="0.2">
      <c r="A277" s="17" t="s">
        <v>28</v>
      </c>
      <c r="B277" s="9" t="s">
        <v>984</v>
      </c>
      <c r="C277" s="9" t="str">
        <f t="shared" si="0"/>
        <v>mq_industry_final_demand_for_other_paper_electricity_industry_useful_demand_for_other_paper_electricity_parent_share</v>
      </c>
    </row>
    <row r="278" spans="1:3" x14ac:dyDescent="0.2">
      <c r="A278" s="17" t="s">
        <v>28</v>
      </c>
      <c r="B278" s="9" t="s">
        <v>985</v>
      </c>
      <c r="C278" s="9" t="str">
        <f t="shared" si="0"/>
        <v>mq_industry_final_demand_for_other_paper_electricity_industry_other_paper_heater_electricity_parent_share</v>
      </c>
    </row>
    <row r="279" spans="1:3" x14ac:dyDescent="0.2">
      <c r="A279" s="17" t="s">
        <v>28</v>
      </c>
      <c r="B279" s="9" t="s">
        <v>316</v>
      </c>
      <c r="C279" s="9" t="str">
        <f t="shared" si="0"/>
        <v>mq_input_industry_steel_blastfurnace_bof_share</v>
      </c>
    </row>
    <row r="280" spans="1:3" x14ac:dyDescent="0.2">
      <c r="A280" s="17" t="s">
        <v>28</v>
      </c>
      <c r="B280" s="9" t="s">
        <v>317</v>
      </c>
      <c r="C280" s="9" t="str">
        <f t="shared" si="0"/>
        <v>mq_input_industry_steel_scrap_hbi_eaf_share</v>
      </c>
    </row>
    <row r="281" spans="1:3" x14ac:dyDescent="0.2">
      <c r="A281" s="17" t="s">
        <v>28</v>
      </c>
      <c r="B281" s="9" t="s">
        <v>328</v>
      </c>
      <c r="C281" s="9" t="str">
        <f t="shared" si="0"/>
        <v>mq_industry_final_demand_for_metal_steel_coal_industry_steel_blastfurnace_bof_parent_share</v>
      </c>
    </row>
    <row r="282" spans="1:3" x14ac:dyDescent="0.2">
      <c r="A282" s="17" t="s">
        <v>28</v>
      </c>
      <c r="B282" s="9" t="s">
        <v>329</v>
      </c>
      <c r="C282" s="9" t="str">
        <f t="shared" si="0"/>
        <v>mq_industry_final_demand_for_metal_steel_coal_industry_steel_scrap_hbi_eaf_parent_share</v>
      </c>
    </row>
    <row r="283" spans="1:3" x14ac:dyDescent="0.2">
      <c r="A283" s="17" t="s">
        <v>28</v>
      </c>
      <c r="B283" s="9" t="s">
        <v>330</v>
      </c>
      <c r="C283" s="9" t="str">
        <f t="shared" si="0"/>
        <v>mq_industry_final_demand_for_metal_steel_cokes_industry_steel_blastfurnace_bof_parent_share</v>
      </c>
    </row>
    <row r="284" spans="1:3" x14ac:dyDescent="0.2">
      <c r="A284" s="17" t="s">
        <v>28</v>
      </c>
      <c r="B284" s="9" t="s">
        <v>331</v>
      </c>
      <c r="C284" s="9" t="str">
        <f t="shared" si="0"/>
        <v>mq_industry_final_demand_for_metal_steel_cokes_industry_steel_scrap_hbi_eaf_parent_share</v>
      </c>
    </row>
    <row r="285" spans="1:3" x14ac:dyDescent="0.2">
      <c r="A285" s="17" t="s">
        <v>28</v>
      </c>
      <c r="B285" s="9" t="s">
        <v>332</v>
      </c>
      <c r="C285" s="9" t="str">
        <f t="shared" si="0"/>
        <v>mq_industry_final_demand_for_metal_steel_crude_oil_industry_steel_blastfurnace_bof_parent_share</v>
      </c>
    </row>
    <row r="286" spans="1:3" x14ac:dyDescent="0.2">
      <c r="A286" s="17" t="s">
        <v>28</v>
      </c>
      <c r="B286" s="9" t="s">
        <v>333</v>
      </c>
      <c r="C286" s="9" t="str">
        <f t="shared" si="0"/>
        <v>mq_industry_final_demand_for_metal_steel_crude_oil_industry_steel_scrap_hbi_eaf_parent_share</v>
      </c>
    </row>
    <row r="287" spans="1:3" x14ac:dyDescent="0.2">
      <c r="A287" s="17" t="s">
        <v>28</v>
      </c>
      <c r="B287" s="9" t="s">
        <v>334</v>
      </c>
      <c r="C287" s="9" t="str">
        <f t="shared" si="0"/>
        <v>mq_industry_final_demand_for_metal_steel_electricity_industry_steel_blastfurnace_bof_parent_share</v>
      </c>
    </row>
    <row r="288" spans="1:3" x14ac:dyDescent="0.2">
      <c r="A288" s="17" t="s">
        <v>28</v>
      </c>
      <c r="B288" s="9" t="s">
        <v>335</v>
      </c>
      <c r="C288" s="9" t="str">
        <f t="shared" si="0"/>
        <v>mq_industry_final_demand_for_metal_steel_electricity_industry_steel_scrap_hbi_eaf_parent_share</v>
      </c>
    </row>
    <row r="289" spans="1:3" x14ac:dyDescent="0.2">
      <c r="A289" s="17" t="s">
        <v>28</v>
      </c>
      <c r="B289" s="9" t="s">
        <v>336</v>
      </c>
      <c r="C289" s="9" t="str">
        <f t="shared" si="0"/>
        <v>mq_industry_final_demand_for_metal_steel_network_gas_industry_steel_blastfurnace_bof_parent_share</v>
      </c>
    </row>
    <row r="290" spans="1:3" x14ac:dyDescent="0.2">
      <c r="A290" s="17" t="s">
        <v>28</v>
      </c>
      <c r="B290" s="9" t="s">
        <v>337</v>
      </c>
      <c r="C290" s="9" t="str">
        <f t="shared" si="0"/>
        <v>mq_industry_final_demand_for_metal_steel_network_gas_industry_steel_scrap_hbi_eaf_parent_share</v>
      </c>
    </row>
    <row r="291" spans="1:3" x14ac:dyDescent="0.2">
      <c r="A291" s="17" t="s">
        <v>28</v>
      </c>
      <c r="B291" s="9" t="s">
        <v>338</v>
      </c>
      <c r="C291" s="9" t="str">
        <f t="shared" si="0"/>
        <v>mq_industry_final_demand_for_metal_steel_steam_hot_water_industry_steel_blastfurnace_bof_parent_share</v>
      </c>
    </row>
    <row r="292" spans="1:3" x14ac:dyDescent="0.2">
      <c r="A292" s="17" t="s">
        <v>28</v>
      </c>
      <c r="B292" s="9" t="s">
        <v>339</v>
      </c>
      <c r="C292" s="9" t="str">
        <f t="shared" si="0"/>
        <v>mq_industry_final_demand_for_metal_steel_steam_hot_water_industry_steel_scrap_hbi_eaf_parent_share</v>
      </c>
    </row>
    <row r="293" spans="1:3" x14ac:dyDescent="0.2">
      <c r="A293" s="17" t="s">
        <v>28</v>
      </c>
      <c r="B293" s="9" t="s">
        <v>340</v>
      </c>
      <c r="C293" s="9" t="str">
        <f t="shared" si="0"/>
        <v>mq_industry_final_demand_for_metal_steel_wood_pellets_industry_steel_blastfurnace_bof_parent_share</v>
      </c>
    </row>
    <row r="294" spans="1:3" x14ac:dyDescent="0.2">
      <c r="A294" s="17" t="s">
        <v>28</v>
      </c>
      <c r="B294" s="9" t="s">
        <v>341</v>
      </c>
      <c r="C294" s="9" t="str">
        <f t="shared" si="0"/>
        <v>mq_industry_final_demand_for_metal_steel_wood_pellets_industry_steel_scrap_hbi_eaf_parent_share</v>
      </c>
    </row>
    <row r="295" spans="1:3" x14ac:dyDescent="0.2">
      <c r="A295" s="26" t="s">
        <v>192</v>
      </c>
      <c r="B295" s="25" t="s">
        <v>194</v>
      </c>
      <c r="C295" s="31" t="s">
        <v>1356</v>
      </c>
    </row>
    <row r="296" spans="1:3" x14ac:dyDescent="0.2">
      <c r="A296" s="26" t="s">
        <v>192</v>
      </c>
      <c r="B296" s="25" t="s">
        <v>197</v>
      </c>
      <c r="C296" s="31" t="s">
        <v>1357</v>
      </c>
    </row>
    <row r="297" spans="1:3" x14ac:dyDescent="0.2">
      <c r="A297" s="26" t="s">
        <v>192</v>
      </c>
      <c r="B297" s="25" t="s">
        <v>198</v>
      </c>
      <c r="C297" s="31" t="s">
        <v>1358</v>
      </c>
    </row>
    <row r="298" spans="1:3" x14ac:dyDescent="0.2">
      <c r="A298" s="26" t="s">
        <v>192</v>
      </c>
      <c r="B298" s="25" t="s">
        <v>199</v>
      </c>
      <c r="C298" s="31" t="s">
        <v>1359</v>
      </c>
    </row>
    <row r="299" spans="1:3" x14ac:dyDescent="0.2">
      <c r="A299" s="26" t="s">
        <v>192</v>
      </c>
      <c r="B299" s="25" t="s">
        <v>200</v>
      </c>
      <c r="C299" s="31" t="s">
        <v>1360</v>
      </c>
    </row>
    <row r="300" spans="1:3" x14ac:dyDescent="0.2">
      <c r="A300" s="26" t="s">
        <v>192</v>
      </c>
      <c r="B300" s="25" t="s">
        <v>986</v>
      </c>
      <c r="C300" s="25" t="s">
        <v>154</v>
      </c>
    </row>
    <row r="301" spans="1:3" x14ac:dyDescent="0.2">
      <c r="A301" s="26" t="s">
        <v>192</v>
      </c>
      <c r="B301" s="25" t="s">
        <v>987</v>
      </c>
      <c r="C301" s="25" t="s">
        <v>154</v>
      </c>
    </row>
    <row r="302" spans="1:3" x14ac:dyDescent="0.2">
      <c r="A302" s="26" t="s">
        <v>192</v>
      </c>
      <c r="B302" s="30" t="s">
        <v>988</v>
      </c>
      <c r="C302" s="25" t="s">
        <v>1362</v>
      </c>
    </row>
    <row r="303" spans="1:3" x14ac:dyDescent="0.2">
      <c r="A303" s="19" t="s">
        <v>192</v>
      </c>
      <c r="B303" s="20" t="s">
        <v>989</v>
      </c>
      <c r="C303" s="20" t="str">
        <f t="shared" ref="C303:C362" si="1">"mq_" &amp; B303</f>
        <v>mq_file_carriers_natural_gas_co2_conversion_per_mj</v>
      </c>
    </row>
    <row r="304" spans="1:3" x14ac:dyDescent="0.2">
      <c r="A304" s="19" t="s">
        <v>192</v>
      </c>
      <c r="B304" s="20" t="s">
        <v>990</v>
      </c>
      <c r="C304" s="20" t="str">
        <f t="shared" si="1"/>
        <v>mq_file_carriers_crude_oil_co2_conversion_per_mj</v>
      </c>
    </row>
    <row r="305" spans="1:3" x14ac:dyDescent="0.2">
      <c r="A305" s="19" t="s">
        <v>192</v>
      </c>
      <c r="B305" s="20" t="s">
        <v>991</v>
      </c>
      <c r="C305" s="20" t="str">
        <f t="shared" si="1"/>
        <v>mq_file_carriers_coal_co2_conversion_per_mj</v>
      </c>
    </row>
    <row r="306" spans="1:3" x14ac:dyDescent="0.2">
      <c r="A306" s="19" t="s">
        <v>192</v>
      </c>
      <c r="B306" s="20" t="s">
        <v>992</v>
      </c>
      <c r="C306" s="20" t="str">
        <f t="shared" si="1"/>
        <v>mq_file_carriers_lignite_co2_conversion_per_mj</v>
      </c>
    </row>
    <row r="307" spans="1:3" x14ac:dyDescent="0.2">
      <c r="A307" s="19" t="s">
        <v>192</v>
      </c>
      <c r="B307" s="20" t="s">
        <v>993</v>
      </c>
      <c r="C307" s="20" t="str">
        <f t="shared" si="1"/>
        <v>mq_file_carriers_non_biogenic_waste_co2_conversion_per_mj</v>
      </c>
    </row>
    <row r="308" spans="1:3" x14ac:dyDescent="0.2">
      <c r="A308" s="19" t="s">
        <v>192</v>
      </c>
      <c r="B308" s="20" t="s">
        <v>994</v>
      </c>
      <c r="C308" s="20" t="str">
        <f t="shared" si="1"/>
        <v>mq_file_carriers_propane_co2_conversion_per_mj</v>
      </c>
    </row>
    <row r="309" spans="1:3" x14ac:dyDescent="0.2">
      <c r="A309" s="19" t="s">
        <v>192</v>
      </c>
      <c r="B309" s="20" t="s">
        <v>995</v>
      </c>
      <c r="C309" s="20" t="str">
        <f t="shared" si="1"/>
        <v>mq_file_carriers_diesel_co2_conversion_per_mj</v>
      </c>
    </row>
    <row r="310" spans="1:3" x14ac:dyDescent="0.2">
      <c r="A310" s="19" t="s">
        <v>192</v>
      </c>
      <c r="B310" s="20" t="s">
        <v>996</v>
      </c>
      <c r="C310" s="20" t="str">
        <f t="shared" si="1"/>
        <v>mq_file_carriers_gasoline_co2_conversion_per_mj</v>
      </c>
    </row>
    <row r="311" spans="1:3" x14ac:dyDescent="0.2">
      <c r="A311" s="19" t="s">
        <v>192</v>
      </c>
      <c r="B311" s="20" t="s">
        <v>997</v>
      </c>
      <c r="C311" s="20" t="str">
        <f t="shared" si="1"/>
        <v>mq_file_carriers_heavy_fuel_oil_co2_conversion_per_mj</v>
      </c>
    </row>
    <row r="312" spans="1:3" x14ac:dyDescent="0.2">
      <c r="A312" s="19" t="s">
        <v>192</v>
      </c>
      <c r="B312" s="20" t="s">
        <v>998</v>
      </c>
      <c r="C312" s="20" t="str">
        <f t="shared" si="1"/>
        <v>mq_file_carriers_kerosene_co2_conversion_per_mj</v>
      </c>
    </row>
    <row r="313" spans="1:3" x14ac:dyDescent="0.2">
      <c r="A313" s="19" t="s">
        <v>192</v>
      </c>
      <c r="B313" s="20" t="s">
        <v>999</v>
      </c>
      <c r="C313" s="20" t="str">
        <f t="shared" si="1"/>
        <v>mq_file_carriers_lng_co2_conversion_per_mj</v>
      </c>
    </row>
    <row r="314" spans="1:3" x14ac:dyDescent="0.2">
      <c r="A314" s="19" t="s">
        <v>192</v>
      </c>
      <c r="B314" s="20" t="s">
        <v>1000</v>
      </c>
      <c r="C314" s="20" t="str">
        <f t="shared" si="1"/>
        <v>mq_file_carriers_lpg_co2_conversion_per_mj</v>
      </c>
    </row>
    <row r="315" spans="1:3" x14ac:dyDescent="0.2">
      <c r="A315" s="19" t="s">
        <v>192</v>
      </c>
      <c r="B315" s="20" t="s">
        <v>1001</v>
      </c>
      <c r="C315" s="20" t="str">
        <f t="shared" si="1"/>
        <v>mq_file_carriers_imported_electricity_co2_conversion_per_mj</v>
      </c>
    </row>
    <row r="316" spans="1:3" x14ac:dyDescent="0.2">
      <c r="A316" s="19" t="s">
        <v>192</v>
      </c>
      <c r="B316" s="20" t="s">
        <v>1002</v>
      </c>
      <c r="C316" s="20" t="str">
        <f t="shared" si="1"/>
        <v>mq_file_carriers_imported_heat_co2_conversion_per_mj</v>
      </c>
    </row>
    <row r="317" spans="1:3" x14ac:dyDescent="0.2">
      <c r="A317" s="19" t="s">
        <v>192</v>
      </c>
      <c r="B317" s="20" t="s">
        <v>1003</v>
      </c>
      <c r="C317" s="20" t="str">
        <f t="shared" si="1"/>
        <v>mq_file_carriers_imported_hydrogen_co2_conversion_per_mj</v>
      </c>
    </row>
    <row r="318" spans="1:3" x14ac:dyDescent="0.2">
      <c r="A318" s="19" t="s">
        <v>192</v>
      </c>
      <c r="B318" s="20" t="s">
        <v>1004</v>
      </c>
      <c r="C318" s="20" t="str">
        <f t="shared" si="1"/>
        <v>mq_file_carriers_imported_ammonia_co2_conversion_per_mj</v>
      </c>
    </row>
    <row r="319" spans="1:3" x14ac:dyDescent="0.2">
      <c r="A319" s="21" t="s">
        <v>14</v>
      </c>
      <c r="B319" s="20" t="s">
        <v>1005</v>
      </c>
      <c r="C319" s="20" t="str">
        <f t="shared" si="1"/>
        <v>mq_input_energy_power_supercritical_coal_electricity_output_conversion</v>
      </c>
    </row>
    <row r="320" spans="1:3" x14ac:dyDescent="0.2">
      <c r="A320" s="21" t="s">
        <v>14</v>
      </c>
      <c r="B320" s="20" t="s">
        <v>1006</v>
      </c>
      <c r="C320" s="20" t="str">
        <f t="shared" si="1"/>
        <v>mq_input_energy_power_ultra_supercritical_coal_electricity_output_conversion</v>
      </c>
    </row>
    <row r="321" spans="1:3" x14ac:dyDescent="0.2">
      <c r="A321" s="21" t="s">
        <v>14</v>
      </c>
      <c r="B321" s="20" t="s">
        <v>1007</v>
      </c>
      <c r="C321" s="20" t="str">
        <f t="shared" si="1"/>
        <v>mq_input_energy_power_ultra_supercritical_ccs_coal_electricity_output_conversion</v>
      </c>
    </row>
    <row r="322" spans="1:3" x14ac:dyDescent="0.2">
      <c r="A322" s="21" t="s">
        <v>14</v>
      </c>
      <c r="B322" s="20" t="s">
        <v>1008</v>
      </c>
      <c r="C322" s="20" t="str">
        <f t="shared" si="1"/>
        <v>mq_input_energy_power_ultra_supercritical_cofiring_coal_electricity_output_conversion</v>
      </c>
    </row>
    <row r="323" spans="1:3" x14ac:dyDescent="0.2">
      <c r="A323" s="21" t="s">
        <v>14</v>
      </c>
      <c r="B323" s="20" t="s">
        <v>1009</v>
      </c>
      <c r="C323" s="20" t="str">
        <f t="shared" si="1"/>
        <v>mq_input_energy_power_combined_cycle_coal_electricity_output_conversion</v>
      </c>
    </row>
    <row r="324" spans="1:3" x14ac:dyDescent="0.2">
      <c r="A324" s="21" t="s">
        <v>14</v>
      </c>
      <c r="B324" s="20" t="s">
        <v>1010</v>
      </c>
      <c r="C324" s="20" t="str">
        <f t="shared" si="1"/>
        <v>mq_input_energy_power_combined_cycle_ccs_coal_electricity_output_conversion</v>
      </c>
    </row>
    <row r="325" spans="1:3" x14ac:dyDescent="0.2">
      <c r="A325" s="21" t="s">
        <v>14</v>
      </c>
      <c r="B325" s="20" t="s">
        <v>1011</v>
      </c>
      <c r="C325" s="20" t="str">
        <f t="shared" si="1"/>
        <v>mq_input_energy_power_ultra_supercritical_lignite_electricity_output_conversion</v>
      </c>
    </row>
    <row r="326" spans="1:3" x14ac:dyDescent="0.2">
      <c r="A326" s="21" t="s">
        <v>14</v>
      </c>
      <c r="B326" s="20" t="s">
        <v>1012</v>
      </c>
      <c r="C326" s="20" t="str">
        <f t="shared" si="1"/>
        <v>mq_input_energy_power_ultra_supercritical_oxyfuel_ccs_lignite_electricity_output_conversion</v>
      </c>
    </row>
    <row r="327" spans="1:3" x14ac:dyDescent="0.2">
      <c r="A327" s="21" t="s">
        <v>14</v>
      </c>
      <c r="B327" s="20" t="s">
        <v>1013</v>
      </c>
      <c r="C327" s="20" t="str">
        <f t="shared" si="1"/>
        <v>mq_input_energy_chp_ultra_supercritical_cofiring_coal_electricity_output_conversion</v>
      </c>
    </row>
    <row r="328" spans="1:3" x14ac:dyDescent="0.2">
      <c r="A328" s="21" t="s">
        <v>14</v>
      </c>
      <c r="B328" s="20" t="s">
        <v>1014</v>
      </c>
      <c r="C328" s="20" t="str">
        <f t="shared" si="1"/>
        <v>mq_input_energy_chp_ultra_supercritical_cofiring_coal_steam_hot_water_output_conversion</v>
      </c>
    </row>
    <row r="329" spans="1:3" x14ac:dyDescent="0.2">
      <c r="A329" s="21" t="s">
        <v>14</v>
      </c>
      <c r="B329" s="20" t="s">
        <v>1015</v>
      </c>
      <c r="C329" s="20" t="str">
        <f t="shared" si="1"/>
        <v>mq_input_energy_chp_ultra_supercritical_coal_electricity_output_conversion</v>
      </c>
    </row>
    <row r="330" spans="1:3" x14ac:dyDescent="0.2">
      <c r="A330" s="21" t="s">
        <v>14</v>
      </c>
      <c r="B330" s="20" t="s">
        <v>1016</v>
      </c>
      <c r="C330" s="20" t="str">
        <f t="shared" si="1"/>
        <v>mq_input_energy_chp_ultra_supercritical_coal_steam_hot_water_output_conversion</v>
      </c>
    </row>
    <row r="331" spans="1:3" x14ac:dyDescent="0.2">
      <c r="A331" s="21" t="s">
        <v>14</v>
      </c>
      <c r="B331" s="20" t="s">
        <v>1017</v>
      </c>
      <c r="C331" s="20" t="str">
        <f t="shared" si="1"/>
        <v>mq_input_industry_chp_ultra_supercritical_coal_electricity_output_conversion</v>
      </c>
    </row>
    <row r="332" spans="1:3" x14ac:dyDescent="0.2">
      <c r="A332" s="21" t="s">
        <v>14</v>
      </c>
      <c r="B332" s="20" t="s">
        <v>1018</v>
      </c>
      <c r="C332" s="20" t="str">
        <f t="shared" si="1"/>
        <v>mq_input_industry_chp_ultra_supercritical_coal_steam_hot_water_output_conversion</v>
      </c>
    </row>
    <row r="333" spans="1:3" x14ac:dyDescent="0.2">
      <c r="A333" s="21" t="s">
        <v>14</v>
      </c>
      <c r="B333" s="20" t="s">
        <v>1019</v>
      </c>
      <c r="C333" s="20" t="str">
        <f t="shared" si="1"/>
        <v>mq_input_energy_chp_ultra_supercritical_lignite_electricity_output_conversion</v>
      </c>
    </row>
    <row r="334" spans="1:3" x14ac:dyDescent="0.2">
      <c r="A334" s="21" t="s">
        <v>14</v>
      </c>
      <c r="B334" s="20" t="s">
        <v>1020</v>
      </c>
      <c r="C334" s="20" t="str">
        <f t="shared" si="1"/>
        <v>mq_input_energy_chp_ultra_supercritical_lignite_steam_hot_water_output_conversion</v>
      </c>
    </row>
    <row r="335" spans="1:3" x14ac:dyDescent="0.2">
      <c r="A335" s="21" t="s">
        <v>14</v>
      </c>
      <c r="B335" s="20" t="s">
        <v>1021</v>
      </c>
      <c r="C335" s="20" t="str">
        <f t="shared" si="1"/>
        <v>mq_input_energy_power_turbine_network_gas_electricity_output_conversion</v>
      </c>
    </row>
    <row r="336" spans="1:3" x14ac:dyDescent="0.2">
      <c r="A336" s="21" t="s">
        <v>14</v>
      </c>
      <c r="B336" s="20" t="s">
        <v>1022</v>
      </c>
      <c r="C336" s="20" t="str">
        <f t="shared" si="1"/>
        <v>mq_input_energy_power_combined_cycle_network_gas_electricity_output_conversion</v>
      </c>
    </row>
    <row r="337" spans="1:3" x14ac:dyDescent="0.2">
      <c r="A337" s="21" t="s">
        <v>14</v>
      </c>
      <c r="B337" s="20" t="s">
        <v>1023</v>
      </c>
      <c r="C337" s="20" t="str">
        <f t="shared" si="1"/>
        <v>mq_input_energy_power_combined_cycle_ccs_network_gas_electricity_output_conversion</v>
      </c>
    </row>
    <row r="338" spans="1:3" x14ac:dyDescent="0.2">
      <c r="A338" s="21" t="s">
        <v>14</v>
      </c>
      <c r="B338" s="20" t="s">
        <v>1024</v>
      </c>
      <c r="C338" s="20" t="str">
        <f t="shared" si="1"/>
        <v>mq_input_energy_power_ultra_supercritical_network_gas_electricity_output_conversion</v>
      </c>
    </row>
    <row r="339" spans="1:3" x14ac:dyDescent="0.2">
      <c r="A339" s="21" t="s">
        <v>14</v>
      </c>
      <c r="B339" s="20" t="s">
        <v>1025</v>
      </c>
      <c r="C339" s="20" t="str">
        <f t="shared" si="1"/>
        <v>mq_input_energy_power_engine_network_gas_electricity_output_conversion</v>
      </c>
    </row>
    <row r="340" spans="1:3" x14ac:dyDescent="0.2">
      <c r="A340" s="21" t="s">
        <v>14</v>
      </c>
      <c r="B340" s="20" t="s">
        <v>1026</v>
      </c>
      <c r="C340" s="20" t="str">
        <f t="shared" si="1"/>
        <v>mq_input_energy_chp_combined_cycle_network_gas_electricity_output_conversion</v>
      </c>
    </row>
    <row r="341" spans="1:3" x14ac:dyDescent="0.2">
      <c r="A341" s="21" t="s">
        <v>14</v>
      </c>
      <c r="B341" s="20" t="s">
        <v>1027</v>
      </c>
      <c r="C341" s="20" t="str">
        <f t="shared" si="1"/>
        <v>mq_input_energy_chp_combined_cycle_network_gas_steam_hot_water_output_conversion</v>
      </c>
    </row>
    <row r="342" spans="1:3" x14ac:dyDescent="0.2">
      <c r="A342" s="21" t="s">
        <v>14</v>
      </c>
      <c r="B342" s="20" t="s">
        <v>1028</v>
      </c>
      <c r="C342" s="20" t="str">
        <f t="shared" si="1"/>
        <v>mq_input_energy_chp_local_engine_network_gas_electricity_output_conversion</v>
      </c>
    </row>
    <row r="343" spans="1:3" x14ac:dyDescent="0.2">
      <c r="A343" s="21" t="s">
        <v>14</v>
      </c>
      <c r="B343" s="20" t="s">
        <v>1029</v>
      </c>
      <c r="C343" s="20" t="str">
        <f t="shared" si="1"/>
        <v>mq_input_energy_chp_local_engine_network_gas_steam_hot_water_output_conversion</v>
      </c>
    </row>
    <row r="344" spans="1:3" x14ac:dyDescent="0.2">
      <c r="A344" s="21" t="s">
        <v>14</v>
      </c>
      <c r="B344" s="20" t="s">
        <v>1030</v>
      </c>
      <c r="C344" s="20" t="str">
        <f t="shared" si="1"/>
        <v>mq_input_industry_chp_engine_gas_power_fuelmix_electricity_output_conversion</v>
      </c>
    </row>
    <row r="345" spans="1:3" x14ac:dyDescent="0.2">
      <c r="A345" s="21" t="s">
        <v>14</v>
      </c>
      <c r="B345" s="20" t="s">
        <v>1031</v>
      </c>
      <c r="C345" s="20" t="str">
        <f t="shared" si="1"/>
        <v>mq_input_industry_chp_engine_gas_power_fuelmix_steam_hot_water_output_conversion</v>
      </c>
    </row>
    <row r="346" spans="1:3" x14ac:dyDescent="0.2">
      <c r="A346" s="21" t="s">
        <v>14</v>
      </c>
      <c r="B346" s="20" t="s">
        <v>1032</v>
      </c>
      <c r="C346" s="20" t="str">
        <f t="shared" si="1"/>
        <v>mq_input_agriculture_chp_engine_network_gas_dispatchable_electricity_output_conversion</v>
      </c>
    </row>
    <row r="347" spans="1:3" x14ac:dyDescent="0.2">
      <c r="A347" s="21" t="s">
        <v>14</v>
      </c>
      <c r="B347" s="20" t="s">
        <v>1033</v>
      </c>
      <c r="C347" s="20" t="str">
        <f t="shared" si="1"/>
        <v>mq_input_agriculture_chp_engine_network_gas_dispatchable_steam_hot_water_output_conversion</v>
      </c>
    </row>
    <row r="348" spans="1:3" x14ac:dyDescent="0.2">
      <c r="A348" s="21" t="s">
        <v>14</v>
      </c>
      <c r="B348" s="20" t="s">
        <v>1034</v>
      </c>
      <c r="C348" s="20" t="str">
        <f t="shared" si="1"/>
        <v>mq_input_industry_chp_turbine_gas_power_fuelmix_electricity_output_conversion</v>
      </c>
    </row>
    <row r="349" spans="1:3" x14ac:dyDescent="0.2">
      <c r="A349" s="21" t="s">
        <v>14</v>
      </c>
      <c r="B349" s="20" t="s">
        <v>1035</v>
      </c>
      <c r="C349" s="20" t="str">
        <f t="shared" si="1"/>
        <v>mq_input_industry_chp_turbine_gas_power_fuelmix_steam_hot_water_output_conversion</v>
      </c>
    </row>
    <row r="350" spans="1:3" x14ac:dyDescent="0.2">
      <c r="A350" s="21" t="s">
        <v>14</v>
      </c>
      <c r="B350" s="20" t="s">
        <v>1036</v>
      </c>
      <c r="C350" s="20" t="str">
        <f t="shared" si="1"/>
        <v>mq_input_industry_chp_combined_cycle_gas_power_fuelmix_electricity_output_conversion</v>
      </c>
    </row>
    <row r="351" spans="1:3" x14ac:dyDescent="0.2">
      <c r="A351" s="21" t="s">
        <v>14</v>
      </c>
      <c r="B351" s="20" t="s">
        <v>1037</v>
      </c>
      <c r="C351" s="20" t="str">
        <f t="shared" si="1"/>
        <v>mq_input_industry_chp_combined_cycle_gas_power_fuelmix_steam_hot_water_output_conversion</v>
      </c>
    </row>
    <row r="352" spans="1:3" x14ac:dyDescent="0.2">
      <c r="A352" s="21" t="s">
        <v>14</v>
      </c>
      <c r="B352" s="20" t="s">
        <v>1038</v>
      </c>
      <c r="C352" s="20" t="str">
        <f t="shared" si="1"/>
        <v>mq_input_energy_power_ultra_supercritical_crude_oil_electricity_output_conversion</v>
      </c>
    </row>
    <row r="353" spans="1:3" x14ac:dyDescent="0.2">
      <c r="A353" s="21" t="s">
        <v>14</v>
      </c>
      <c r="B353" s="20" t="s">
        <v>1039</v>
      </c>
      <c r="C353" s="20" t="str">
        <f t="shared" si="1"/>
        <v>mq_input_energy_power_engine_diesel_electricity_output_conversion</v>
      </c>
    </row>
    <row r="354" spans="1:3" x14ac:dyDescent="0.2">
      <c r="A354" s="21" t="s">
        <v>14</v>
      </c>
      <c r="B354" s="20" t="s">
        <v>1040</v>
      </c>
      <c r="C354" s="20" t="str">
        <f t="shared" si="1"/>
        <v>mq_input_energy_power_supercritical_waste_mix_electricity_output_conversion</v>
      </c>
    </row>
    <row r="355" spans="1:3" x14ac:dyDescent="0.2">
      <c r="A355" s="21" t="s">
        <v>14</v>
      </c>
      <c r="B355" s="20" t="s">
        <v>1041</v>
      </c>
      <c r="C355" s="20" t="str">
        <f t="shared" si="1"/>
        <v>mq_input_energy_power_supercritical_ccs_waste_mix_electricity_output_conversion</v>
      </c>
    </row>
    <row r="356" spans="1:3" x14ac:dyDescent="0.2">
      <c r="A356" s="21" t="s">
        <v>14</v>
      </c>
      <c r="B356" s="20" t="s">
        <v>1042</v>
      </c>
      <c r="C356" s="20" t="str">
        <f t="shared" si="1"/>
        <v>mq_input_energy_power_nuclear_gen2_uranium_oxide_electricity_output_conversion</v>
      </c>
    </row>
    <row r="357" spans="1:3" x14ac:dyDescent="0.2">
      <c r="A357" s="21" t="s">
        <v>14</v>
      </c>
      <c r="B357" s="20" t="s">
        <v>1043</v>
      </c>
      <c r="C357" s="20" t="str">
        <f t="shared" si="1"/>
        <v>mq_input_energy_power_nuclear_gen3_uranium_oxide_electricity_output_conversion</v>
      </c>
    </row>
    <row r="358" spans="1:3" x14ac:dyDescent="0.2">
      <c r="A358" s="21" t="s">
        <v>14</v>
      </c>
      <c r="B358" s="20" t="s">
        <v>1044</v>
      </c>
      <c r="C358" s="20" t="str">
        <f t="shared" si="1"/>
        <v>mq_input_energy_chp_local_wood_pellets_electricity_output_conversion</v>
      </c>
    </row>
    <row r="359" spans="1:3" x14ac:dyDescent="0.2">
      <c r="A359" s="21" t="s">
        <v>14</v>
      </c>
      <c r="B359" s="20" t="s">
        <v>1045</v>
      </c>
      <c r="C359" s="20" t="str">
        <f t="shared" si="1"/>
        <v>mq_input_energy_chp_local_wood_pellets_steam_hot_water_output_conversion</v>
      </c>
    </row>
    <row r="360" spans="1:3" x14ac:dyDescent="0.2">
      <c r="A360" s="21" t="s">
        <v>14</v>
      </c>
      <c r="B360" s="20" t="s">
        <v>1046</v>
      </c>
      <c r="C360" s="20" t="str">
        <f t="shared" si="1"/>
        <v>mq_input_industry_chp_wood_pellets_electricity_output_conversion</v>
      </c>
    </row>
    <row r="361" spans="1:3" x14ac:dyDescent="0.2">
      <c r="A361" s="21" t="s">
        <v>14</v>
      </c>
      <c r="B361" s="20" t="s">
        <v>1047</v>
      </c>
      <c r="C361" s="20" t="str">
        <f t="shared" si="1"/>
        <v>mq_input_industry_chp_wood_pellets_steam_hot_water_output_conversion</v>
      </c>
    </row>
    <row r="362" spans="1:3" x14ac:dyDescent="0.2">
      <c r="A362" s="21" t="s">
        <v>14</v>
      </c>
      <c r="B362" s="20" t="s">
        <v>1048</v>
      </c>
      <c r="C362" s="20" t="str">
        <f t="shared" si="1"/>
        <v>mq_input_agriculture_chp_wood_pellets_electricity_output_conversion</v>
      </c>
    </row>
    <row r="363" spans="1:3" x14ac:dyDescent="0.2">
      <c r="A363" s="21" t="s">
        <v>14</v>
      </c>
      <c r="B363" s="20" t="s">
        <v>1049</v>
      </c>
      <c r="C363" s="20" t="str">
        <f t="shared" ref="C363:C424" si="2">"mq_" &amp; B363</f>
        <v>mq_input_agriculture_chp_wood_pellets_steam_hot_water_output_conversion</v>
      </c>
    </row>
    <row r="364" spans="1:3" x14ac:dyDescent="0.2">
      <c r="A364" s="21" t="s">
        <v>14</v>
      </c>
      <c r="B364" s="20" t="s">
        <v>1050</v>
      </c>
      <c r="C364" s="20" t="str">
        <f t="shared" si="2"/>
        <v>mq_input_energy_chp_local_engine_biogas_electricity_output_conversion</v>
      </c>
    </row>
    <row r="365" spans="1:3" x14ac:dyDescent="0.2">
      <c r="A365" s="21" t="s">
        <v>14</v>
      </c>
      <c r="B365" s="20" t="s">
        <v>1051</v>
      </c>
      <c r="C365" s="20" t="str">
        <f t="shared" si="2"/>
        <v>mq_input_energy_chp_local_engine_biogas_steam_hot_water_output_conversion</v>
      </c>
    </row>
    <row r="366" spans="1:3" x14ac:dyDescent="0.2">
      <c r="A366" s="21" t="s">
        <v>14</v>
      </c>
      <c r="B366" s="20" t="s">
        <v>1052</v>
      </c>
      <c r="C366" s="20" t="str">
        <f t="shared" si="2"/>
        <v>mq_input_agriculture_chp_engine_biogas_electricity_output_conversion</v>
      </c>
    </row>
    <row r="367" spans="1:3" x14ac:dyDescent="0.2">
      <c r="A367" s="21" t="s">
        <v>14</v>
      </c>
      <c r="B367" s="20" t="s">
        <v>1053</v>
      </c>
      <c r="C367" s="20" t="str">
        <f t="shared" si="2"/>
        <v>mq_input_agriculture_chp_engine_biogas_steam_hot_water_output_conversion</v>
      </c>
    </row>
    <row r="368" spans="1:3" x14ac:dyDescent="0.2">
      <c r="A368" s="21" t="s">
        <v>14</v>
      </c>
      <c r="B368" s="20" t="s">
        <v>1054</v>
      </c>
      <c r="C368" s="20" t="str">
        <f t="shared" si="2"/>
        <v>mq_input_energy_chp_supercritical_waste_mix_electricity_output_conversion</v>
      </c>
    </row>
    <row r="369" spans="1:3" x14ac:dyDescent="0.2">
      <c r="A369" s="21" t="s">
        <v>14</v>
      </c>
      <c r="B369" s="20" t="s">
        <v>1055</v>
      </c>
      <c r="C369" s="20" t="str">
        <f t="shared" si="2"/>
        <v>mq_input_energy_chp_supercritical_waste_mix_steam_hot_water_output_conversion</v>
      </c>
    </row>
    <row r="370" spans="1:3" x14ac:dyDescent="0.2">
      <c r="A370" s="21" t="s">
        <v>14</v>
      </c>
      <c r="B370" s="20" t="s">
        <v>1056</v>
      </c>
      <c r="C370" s="20" t="str">
        <f t="shared" si="2"/>
        <v>mq_input_industry_chp_turbine_hydrogen_electricity_output_conversion</v>
      </c>
    </row>
    <row r="371" spans="1:3" x14ac:dyDescent="0.2">
      <c r="A371" s="21" t="s">
        <v>14</v>
      </c>
      <c r="B371" s="20" t="s">
        <v>1057</v>
      </c>
      <c r="C371" s="20" t="str">
        <f t="shared" si="2"/>
        <v>mq_input_industry_chp_turbine_hydrogen_steam_hot_water_output_conversion</v>
      </c>
    </row>
    <row r="372" spans="1:3" x14ac:dyDescent="0.2">
      <c r="A372" s="21" t="s">
        <v>14</v>
      </c>
      <c r="B372" s="20" t="s">
        <v>1058</v>
      </c>
      <c r="C372" s="20" t="str">
        <f t="shared" si="2"/>
        <v>mq_input_energy_heat_burner_wood_pellets_steam_hot_water_output_conversion</v>
      </c>
    </row>
    <row r="373" spans="1:3" x14ac:dyDescent="0.2">
      <c r="A373" s="21" t="s">
        <v>14</v>
      </c>
      <c r="B373" s="20" t="s">
        <v>1059</v>
      </c>
      <c r="C373" s="20" t="str">
        <f t="shared" si="2"/>
        <v>mq_input_energy_heat_burner_coal_steam_hot_water_output_conversion</v>
      </c>
    </row>
    <row r="374" spans="1:3" x14ac:dyDescent="0.2">
      <c r="A374" s="21" t="s">
        <v>14</v>
      </c>
      <c r="B374" s="20" t="s">
        <v>1060</v>
      </c>
      <c r="C374" s="20" t="str">
        <f t="shared" si="2"/>
        <v>mq_input_energy_heat_burner_hydrogen_steam_hot_water_output_conversion</v>
      </c>
    </row>
    <row r="375" spans="1:3" x14ac:dyDescent="0.2">
      <c r="A375" s="21" t="s">
        <v>14</v>
      </c>
      <c r="B375" s="20" t="s">
        <v>1061</v>
      </c>
      <c r="C375" s="20" t="str">
        <f t="shared" si="2"/>
        <v>mq_input_energy_heat_burner_crude_oil_steam_hot_water_output_conversion</v>
      </c>
    </row>
    <row r="376" spans="1:3" x14ac:dyDescent="0.2">
      <c r="A376" s="21" t="s">
        <v>14</v>
      </c>
      <c r="B376" s="20" t="s">
        <v>1062</v>
      </c>
      <c r="C376" s="20" t="str">
        <f t="shared" si="2"/>
        <v>mq_input_energy_heat_burner_network_gas_steam_hot_water_output_conversion</v>
      </c>
    </row>
    <row r="377" spans="1:3" x14ac:dyDescent="0.2">
      <c r="A377" s="21" t="s">
        <v>14</v>
      </c>
      <c r="B377" s="20" t="s">
        <v>1063</v>
      </c>
      <c r="C377" s="20" t="str">
        <f t="shared" si="2"/>
        <v>mq_input_energy_heat_burner_waste_mix_steam_hot_water_output_conversion</v>
      </c>
    </row>
    <row r="378" spans="1:3" x14ac:dyDescent="0.2">
      <c r="A378" s="21" t="s">
        <v>14</v>
      </c>
      <c r="B378" s="20" t="s">
        <v>1064</v>
      </c>
      <c r="C378" s="20" t="str">
        <f t="shared" si="2"/>
        <v>mq_input_energy_heat_boiler_electricity_steam_hot_water_output_conversion</v>
      </c>
    </row>
    <row r="379" spans="1:3" x14ac:dyDescent="0.2">
      <c r="A379" s="21" t="s">
        <v>14</v>
      </c>
      <c r="B379" s="20" t="s">
        <v>1065</v>
      </c>
      <c r="C379" s="20" t="str">
        <f t="shared" si="2"/>
        <v>mq_input_industry_heat_burner_lignite_steam_hot_water_output_conversion</v>
      </c>
    </row>
    <row r="380" spans="1:3" x14ac:dyDescent="0.2">
      <c r="A380" s="21" t="s">
        <v>14</v>
      </c>
      <c r="B380" s="20" t="s">
        <v>1066</v>
      </c>
      <c r="C380" s="20" t="str">
        <f t="shared" si="2"/>
        <v>mq_input_industry_heat_burner_coal_steam_hot_water_output_conversion</v>
      </c>
    </row>
    <row r="381" spans="1:3" x14ac:dyDescent="0.2">
      <c r="A381" s="21" t="s">
        <v>14</v>
      </c>
      <c r="B381" s="20" t="s">
        <v>1067</v>
      </c>
      <c r="C381" s="20" t="str">
        <f t="shared" si="2"/>
        <v>mq_input_industry_heat_burner_crude_oil_steam_hot_water_output_conversion</v>
      </c>
    </row>
    <row r="382" spans="1:3" x14ac:dyDescent="0.2">
      <c r="A382" s="21" t="s">
        <v>14</v>
      </c>
      <c r="B382" s="20" t="s">
        <v>1068</v>
      </c>
      <c r="C382" s="20" t="str">
        <f t="shared" si="2"/>
        <v>mq_input_industry_heat_burner_hydrogen_steam_hot_water_output_conversion</v>
      </c>
    </row>
    <row r="383" spans="1:3" x14ac:dyDescent="0.2">
      <c r="A383" s="21" t="s">
        <v>14</v>
      </c>
      <c r="B383" s="20" t="s">
        <v>1069</v>
      </c>
      <c r="C383" s="20" t="str">
        <f t="shared" si="2"/>
        <v>mq_input_energy_heat_distribution_ht_loss_share</v>
      </c>
    </row>
    <row r="384" spans="1:3" x14ac:dyDescent="0.2">
      <c r="A384" s="21" t="s">
        <v>14</v>
      </c>
      <c r="B384" s="20" t="s">
        <v>1070</v>
      </c>
      <c r="C384" s="20" t="str">
        <f t="shared" si="2"/>
        <v>mq_input_energy_heat_distribution_mt_loss_share</v>
      </c>
    </row>
    <row r="385" spans="1:3" x14ac:dyDescent="0.2">
      <c r="A385" s="21" t="s">
        <v>14</v>
      </c>
      <c r="B385" s="20" t="s">
        <v>1071</v>
      </c>
      <c r="C385" s="20" t="str">
        <f t="shared" si="2"/>
        <v>mq_input_energy_heat_distribution_lt_loss_share</v>
      </c>
    </row>
    <row r="386" spans="1:3" x14ac:dyDescent="0.2">
      <c r="A386" s="21" t="s">
        <v>28</v>
      </c>
      <c r="B386" s="20" t="s">
        <v>318</v>
      </c>
      <c r="C386" s="20" t="str">
        <f t="shared" si="2"/>
        <v>mq_input_energy_cokesoven_transformation_cokes_output_conversion</v>
      </c>
    </row>
    <row r="387" spans="1:3" x14ac:dyDescent="0.2">
      <c r="A387" s="21" t="s">
        <v>28</v>
      </c>
      <c r="B387" s="20" t="s">
        <v>319</v>
      </c>
      <c r="C387" s="20" t="str">
        <f t="shared" si="2"/>
        <v>mq_input_energy_cokesoven_transformation_coal_gas_output_conversion</v>
      </c>
    </row>
    <row r="388" spans="1:3" x14ac:dyDescent="0.2">
      <c r="A388" s="21" t="s">
        <v>28</v>
      </c>
      <c r="B388" s="20" t="s">
        <v>320</v>
      </c>
      <c r="C388" s="20" t="str">
        <f t="shared" si="2"/>
        <v>mq_input_energy_cokesoven_transformation_loss_output_conversion</v>
      </c>
    </row>
    <row r="389" spans="1:3" x14ac:dyDescent="0.2">
      <c r="A389" s="21" t="s">
        <v>28</v>
      </c>
      <c r="B389" s="20" t="s">
        <v>321</v>
      </c>
      <c r="C389" s="20" t="str">
        <f t="shared" si="2"/>
        <v>mq_input_energy_blastfurnace_transformation_coal_gas_output_conversion</v>
      </c>
    </row>
    <row r="390" spans="1:3" x14ac:dyDescent="0.2">
      <c r="A390" s="21" t="s">
        <v>28</v>
      </c>
      <c r="B390" s="20" t="s">
        <v>322</v>
      </c>
      <c r="C390" s="20" t="str">
        <f t="shared" si="2"/>
        <v>mq_input_energy_blastfurnace_transformation_loss_output_conversion</v>
      </c>
    </row>
    <row r="391" spans="1:3" x14ac:dyDescent="0.2">
      <c r="A391" s="21" t="s">
        <v>28</v>
      </c>
      <c r="B391" s="20" t="s">
        <v>323</v>
      </c>
      <c r="C391" s="20" t="str">
        <f t="shared" si="2"/>
        <v>mq_input_energy_power_combined_cycle_coal_gas_electricity_output_conversion</v>
      </c>
    </row>
    <row r="392" spans="1:3" x14ac:dyDescent="0.2">
      <c r="A392" s="21" t="s">
        <v>28</v>
      </c>
      <c r="B392" s="20" t="s">
        <v>324</v>
      </c>
      <c r="C392" s="20" t="str">
        <f t="shared" si="2"/>
        <v>mq_input_energy_power_combined_cycle_coal_gas_loss_output_conversion</v>
      </c>
    </row>
    <row r="393" spans="1:3" x14ac:dyDescent="0.2">
      <c r="A393" s="21" t="s">
        <v>28</v>
      </c>
      <c r="B393" s="20" t="s">
        <v>325</v>
      </c>
      <c r="C393" s="20" t="str">
        <f t="shared" si="2"/>
        <v>mq_input_energy_chp_coal_gas_electricity_output_conversion</v>
      </c>
    </row>
    <row r="394" spans="1:3" x14ac:dyDescent="0.2">
      <c r="A394" s="21" t="s">
        <v>28</v>
      </c>
      <c r="B394" s="20" t="s">
        <v>326</v>
      </c>
      <c r="C394" s="20" t="str">
        <f t="shared" si="2"/>
        <v>mq_input_energy_chp_coal_gas_steam_hot_water_output_conversion</v>
      </c>
    </row>
    <row r="395" spans="1:3" x14ac:dyDescent="0.2">
      <c r="A395" s="21" t="s">
        <v>28</v>
      </c>
      <c r="B395" s="20" t="s">
        <v>327</v>
      </c>
      <c r="C395" s="20" t="str">
        <f t="shared" si="2"/>
        <v>mq_input_energy_chp_coal_gas_loss_output_conversion</v>
      </c>
    </row>
    <row r="396" spans="1:3" x14ac:dyDescent="0.2">
      <c r="A396" s="22" t="s">
        <v>14</v>
      </c>
      <c r="B396" s="23" t="s">
        <v>1072</v>
      </c>
      <c r="C396" s="23" t="str">
        <f t="shared" si="2"/>
        <v>mq_energy_power_combined_cycle_network_gas_full_load_hours</v>
      </c>
    </row>
    <row r="397" spans="1:3" x14ac:dyDescent="0.2">
      <c r="A397" s="22" t="s">
        <v>14</v>
      </c>
      <c r="B397" s="23" t="s">
        <v>1073</v>
      </c>
      <c r="C397" s="23" t="str">
        <f t="shared" si="2"/>
        <v>mq_energy_power_ultra_supercritical_network_gas_full_load_hours</v>
      </c>
    </row>
    <row r="398" spans="1:3" x14ac:dyDescent="0.2">
      <c r="A398" s="22" t="s">
        <v>14</v>
      </c>
      <c r="B398" s="23" t="s">
        <v>1074</v>
      </c>
      <c r="C398" s="23" t="str">
        <f t="shared" si="2"/>
        <v>mq_energy_power_turbine_network_gas_full_load_hours</v>
      </c>
    </row>
    <row r="399" spans="1:3" x14ac:dyDescent="0.2">
      <c r="A399" s="22" t="s">
        <v>14</v>
      </c>
      <c r="B399" s="23" t="s">
        <v>1075</v>
      </c>
      <c r="C399" s="23" t="str">
        <f t="shared" si="2"/>
        <v>mq_energy_power_engine_network_gas_full_load_hours</v>
      </c>
    </row>
    <row r="400" spans="1:3" x14ac:dyDescent="0.2">
      <c r="A400" s="22" t="s">
        <v>14</v>
      </c>
      <c r="B400" s="23" t="s">
        <v>1076</v>
      </c>
      <c r="C400" s="23" t="str">
        <f t="shared" si="2"/>
        <v>mq_energy_power_supercritical_coal_full_load_hours</v>
      </c>
    </row>
    <row r="401" spans="1:3" x14ac:dyDescent="0.2">
      <c r="A401" s="22" t="s">
        <v>14</v>
      </c>
      <c r="B401" s="23" t="s">
        <v>1077</v>
      </c>
      <c r="C401" s="23" t="str">
        <f t="shared" si="2"/>
        <v>mq_energy_power_combined_cycle_coal_gas_full_load_hours</v>
      </c>
    </row>
    <row r="402" spans="1:3" x14ac:dyDescent="0.2">
      <c r="A402" s="22" t="s">
        <v>14</v>
      </c>
      <c r="B402" s="23" t="s">
        <v>1078</v>
      </c>
      <c r="C402" s="23" t="str">
        <f t="shared" si="2"/>
        <v>mq_energy_power_ultra_supercritical_ccs_coal_full_load_hours</v>
      </c>
    </row>
    <row r="403" spans="1:3" x14ac:dyDescent="0.2">
      <c r="A403" s="22" t="s">
        <v>14</v>
      </c>
      <c r="B403" s="23" t="s">
        <v>1079</v>
      </c>
      <c r="C403" s="23" t="str">
        <f t="shared" si="2"/>
        <v>mq_energy_power_ultra_supercritical_coal_full_load_hours</v>
      </c>
    </row>
    <row r="404" spans="1:3" x14ac:dyDescent="0.2">
      <c r="A404" s="22" t="s">
        <v>14</v>
      </c>
      <c r="B404" s="23" t="s">
        <v>1080</v>
      </c>
      <c r="C404" s="23" t="str">
        <f t="shared" si="2"/>
        <v>mq_energy_power_ultra_supercritical_cofiring_coal_full_load_hours</v>
      </c>
    </row>
    <row r="405" spans="1:3" x14ac:dyDescent="0.2">
      <c r="A405" s="22" t="s">
        <v>14</v>
      </c>
      <c r="B405" s="23" t="s">
        <v>1081</v>
      </c>
      <c r="C405" s="23" t="str">
        <f t="shared" si="2"/>
        <v>mq_energy_power_ultra_supercritical_lignite_full_load_hours</v>
      </c>
    </row>
    <row r="406" spans="1:3" x14ac:dyDescent="0.2">
      <c r="A406" s="22" t="s">
        <v>14</v>
      </c>
      <c r="B406" s="23" t="s">
        <v>1082</v>
      </c>
      <c r="C406" s="23" t="str">
        <f t="shared" si="2"/>
        <v>mq_energy_power_ultra_supercritical_oxyfuel_ccs_lignite_full_load_hours</v>
      </c>
    </row>
    <row r="407" spans="1:3" x14ac:dyDescent="0.2">
      <c r="A407" s="22" t="s">
        <v>14</v>
      </c>
      <c r="B407" s="23" t="s">
        <v>1083</v>
      </c>
      <c r="C407" s="23" t="str">
        <f t="shared" si="2"/>
        <v>mq_energy_power_engine_diesel_full_load_hours</v>
      </c>
    </row>
    <row r="408" spans="1:3" x14ac:dyDescent="0.2">
      <c r="A408" s="22" t="s">
        <v>14</v>
      </c>
      <c r="B408" s="23" t="s">
        <v>1084</v>
      </c>
      <c r="C408" s="23" t="str">
        <f t="shared" si="2"/>
        <v>mq_energy_power_ultra_supercritical_crude_oil_full_load_hours</v>
      </c>
    </row>
    <row r="409" spans="1:3" x14ac:dyDescent="0.2">
      <c r="A409" s="22" t="s">
        <v>14</v>
      </c>
      <c r="B409" s="23" t="s">
        <v>1085</v>
      </c>
      <c r="C409" s="23" t="str">
        <f t="shared" si="2"/>
        <v>mq_energy_power_nuclear_gen2_uranium_oxide_full_load_hours</v>
      </c>
    </row>
    <row r="410" spans="1:3" x14ac:dyDescent="0.2">
      <c r="A410" s="22" t="s">
        <v>14</v>
      </c>
      <c r="B410" s="23" t="s">
        <v>1086</v>
      </c>
      <c r="C410" s="23" t="str">
        <f t="shared" si="2"/>
        <v>mq_energy_power_nuclear_gen3_uranium_oxide_full_load_hours</v>
      </c>
    </row>
    <row r="411" spans="1:3" x14ac:dyDescent="0.2">
      <c r="A411" s="22" t="s">
        <v>14</v>
      </c>
      <c r="B411" s="23" t="s">
        <v>1087</v>
      </c>
      <c r="C411" s="23" t="str">
        <f t="shared" si="2"/>
        <v>mq_energy_power_wind_turbine_inland_full_load_hours</v>
      </c>
    </row>
    <row r="412" spans="1:3" x14ac:dyDescent="0.2">
      <c r="A412" s="22" t="s">
        <v>14</v>
      </c>
      <c r="B412" s="23" t="s">
        <v>1088</v>
      </c>
      <c r="C412" s="23" t="str">
        <f t="shared" si="2"/>
        <v>mq_energy_power_wind_turbine_coastal_full_load_hours</v>
      </c>
    </row>
    <row r="413" spans="1:3" x14ac:dyDescent="0.2">
      <c r="A413" s="22" t="s">
        <v>14</v>
      </c>
      <c r="B413" s="23" t="s">
        <v>1089</v>
      </c>
      <c r="C413" s="23" t="str">
        <f t="shared" si="2"/>
        <v>mq_input_energy_power_wind_turbine_offshore_full_load_hours</v>
      </c>
    </row>
    <row r="414" spans="1:3" x14ac:dyDescent="0.2">
      <c r="A414" s="22" t="s">
        <v>14</v>
      </c>
      <c r="B414" s="23" t="s">
        <v>1090</v>
      </c>
      <c r="C414" s="23" t="str">
        <f t="shared" si="2"/>
        <v>mq_energy_power_geothermal_full_load_hours</v>
      </c>
    </row>
    <row r="415" spans="1:3" x14ac:dyDescent="0.2">
      <c r="A415" s="22" t="s">
        <v>14</v>
      </c>
      <c r="B415" s="23" t="s">
        <v>1091</v>
      </c>
      <c r="C415" s="23" t="str">
        <f t="shared" si="2"/>
        <v>mq_energy_power_hydro_mountain_full_load_hours</v>
      </c>
    </row>
    <row r="416" spans="1:3" x14ac:dyDescent="0.2">
      <c r="A416" s="22" t="s">
        <v>14</v>
      </c>
      <c r="B416" s="23" t="s">
        <v>1092</v>
      </c>
      <c r="C416" s="23" t="str">
        <f t="shared" si="2"/>
        <v>mq_energy_power_hydro_river_full_load_hours</v>
      </c>
    </row>
    <row r="417" spans="1:3" x14ac:dyDescent="0.2">
      <c r="A417" s="22" t="s">
        <v>14</v>
      </c>
      <c r="B417" s="23" t="s">
        <v>1093</v>
      </c>
      <c r="C417" s="23" t="str">
        <f t="shared" si="2"/>
        <v>mq_energy_power_supercritical_waste_mix_full_load_hours</v>
      </c>
    </row>
    <row r="418" spans="1:3" x14ac:dyDescent="0.2">
      <c r="A418" s="22" t="s">
        <v>14</v>
      </c>
      <c r="B418" s="23" t="s">
        <v>1094</v>
      </c>
      <c r="C418" s="23" t="str">
        <f t="shared" si="2"/>
        <v>mq_energy_power_supercritical_ccs_waste_mix_full_load_hours</v>
      </c>
    </row>
    <row r="419" spans="1:3" x14ac:dyDescent="0.2">
      <c r="A419" s="22" t="s">
        <v>14</v>
      </c>
      <c r="B419" s="23" t="s">
        <v>1095</v>
      </c>
      <c r="C419" s="23" t="str">
        <f t="shared" si="2"/>
        <v>mq_energy_chp_coal_gas_full_load_hours</v>
      </c>
    </row>
    <row r="420" spans="1:3" x14ac:dyDescent="0.2">
      <c r="A420" s="22" t="s">
        <v>14</v>
      </c>
      <c r="B420" s="23" t="s">
        <v>1096</v>
      </c>
      <c r="C420" s="23" t="str">
        <f t="shared" si="2"/>
        <v>mq_industry_chp_turbine_gas_power_fuelmix_full_load_hours</v>
      </c>
    </row>
    <row r="421" spans="1:3" x14ac:dyDescent="0.2">
      <c r="A421" s="22" t="s">
        <v>14</v>
      </c>
      <c r="B421" s="23" t="s">
        <v>1097</v>
      </c>
      <c r="C421" s="23" t="str">
        <f t="shared" si="2"/>
        <v>mq_industry_chp_combined_cycle_gas_power_fuelmix_full_load_hours</v>
      </c>
    </row>
    <row r="422" spans="1:3" x14ac:dyDescent="0.2">
      <c r="A422" s="22" t="s">
        <v>14</v>
      </c>
      <c r="B422" s="23" t="s">
        <v>1098</v>
      </c>
      <c r="C422" s="23" t="str">
        <f t="shared" si="2"/>
        <v>mq_industry_chp_engine_gas_power_fuelmix_full_load_hours</v>
      </c>
    </row>
    <row r="423" spans="1:3" x14ac:dyDescent="0.2">
      <c r="A423" s="22" t="s">
        <v>14</v>
      </c>
      <c r="B423" s="23" t="s">
        <v>1099</v>
      </c>
      <c r="C423" s="23" t="str">
        <f t="shared" si="2"/>
        <v>mq_agriculture_chp_engine_network_gas_dispatchable_full_load_hours</v>
      </c>
    </row>
    <row r="424" spans="1:3" x14ac:dyDescent="0.2">
      <c r="A424" s="22" t="s">
        <v>14</v>
      </c>
      <c r="B424" s="23" t="s">
        <v>1100</v>
      </c>
      <c r="C424" s="23" t="str">
        <f t="shared" si="2"/>
        <v>mq_input_energy_chp_local_engine_network_gas_full_load_hours</v>
      </c>
    </row>
    <row r="425" spans="1:3" x14ac:dyDescent="0.2">
      <c r="A425" s="22" t="s">
        <v>14</v>
      </c>
      <c r="B425" s="23" t="s">
        <v>1101</v>
      </c>
      <c r="C425" s="23" t="str">
        <f t="shared" ref="C425:C492" si="3">"mq_" &amp; B425</f>
        <v>mq_input_energy_chp_combined_cycle_network_gas_full_load_hours</v>
      </c>
    </row>
    <row r="426" spans="1:3" x14ac:dyDescent="0.2">
      <c r="A426" s="22" t="s">
        <v>14</v>
      </c>
      <c r="B426" s="23" t="s">
        <v>1102</v>
      </c>
      <c r="C426" s="23" t="str">
        <f t="shared" si="3"/>
        <v>mq_input_energy_chp_ultra_supercritical_cofiring_coal_full_load_hours</v>
      </c>
    </row>
    <row r="427" spans="1:3" x14ac:dyDescent="0.2">
      <c r="A427" s="22" t="s">
        <v>14</v>
      </c>
      <c r="B427" s="23" t="s">
        <v>1103</v>
      </c>
      <c r="C427" s="23" t="str">
        <f t="shared" si="3"/>
        <v>mq_input_energy_chp_ultra_supercritical_coal_full_load_hours</v>
      </c>
    </row>
    <row r="428" spans="1:3" x14ac:dyDescent="0.2">
      <c r="A428" s="22" t="s">
        <v>14</v>
      </c>
      <c r="B428" s="23" t="s">
        <v>1104</v>
      </c>
      <c r="C428" s="23" t="str">
        <f t="shared" si="3"/>
        <v>mq_input_energy_chp_ultra_supercritical_lignite_full_load_hours</v>
      </c>
    </row>
    <row r="429" spans="1:3" x14ac:dyDescent="0.2">
      <c r="A429" s="22" t="s">
        <v>14</v>
      </c>
      <c r="B429" s="23" t="s">
        <v>1105</v>
      </c>
      <c r="C429" s="23" t="str">
        <f t="shared" si="3"/>
        <v>mq_industry_chp_ultra_supercritical_coal_full_load_hours</v>
      </c>
    </row>
    <row r="430" spans="1:3" x14ac:dyDescent="0.2">
      <c r="A430" s="22" t="s">
        <v>14</v>
      </c>
      <c r="B430" s="23" t="s">
        <v>1106</v>
      </c>
      <c r="C430" s="23" t="str">
        <f t="shared" si="3"/>
        <v>mq_input_energy_chp_local_wood_pellets_full_load_hours</v>
      </c>
    </row>
    <row r="431" spans="1:3" x14ac:dyDescent="0.2">
      <c r="A431" s="22" t="s">
        <v>14</v>
      </c>
      <c r="B431" s="23" t="s">
        <v>1107</v>
      </c>
      <c r="C431" s="23" t="str">
        <f t="shared" si="3"/>
        <v>mq_industry_chp_wood_pellets_full_load_hours</v>
      </c>
    </row>
    <row r="432" spans="1:3" x14ac:dyDescent="0.2">
      <c r="A432" s="22" t="s">
        <v>14</v>
      </c>
      <c r="B432" s="23" t="s">
        <v>1108</v>
      </c>
      <c r="C432" s="23" t="str">
        <f t="shared" si="3"/>
        <v>mq_agriculture_chp_wood_pellets_full_load_hours</v>
      </c>
    </row>
    <row r="433" spans="1:3" x14ac:dyDescent="0.2">
      <c r="A433" s="22" t="s">
        <v>14</v>
      </c>
      <c r="B433" s="23" t="s">
        <v>1109</v>
      </c>
      <c r="C433" s="23" t="str">
        <f t="shared" si="3"/>
        <v>mq_input_energy_chp_local_engine_biogas_full_load_hours</v>
      </c>
    </row>
    <row r="434" spans="1:3" x14ac:dyDescent="0.2">
      <c r="A434" s="22" t="s">
        <v>14</v>
      </c>
      <c r="B434" s="23" t="s">
        <v>1110</v>
      </c>
      <c r="C434" s="23" t="str">
        <f t="shared" si="3"/>
        <v>mq_agriculture_chp_engine_biogas_full_load_hours</v>
      </c>
    </row>
    <row r="435" spans="1:3" x14ac:dyDescent="0.2">
      <c r="A435" s="22" t="s">
        <v>14</v>
      </c>
      <c r="B435" s="23" t="s">
        <v>1111</v>
      </c>
      <c r="C435" s="23" t="str">
        <f t="shared" si="3"/>
        <v>mq_input_energy_chp_supercritical_waste_mix_full_load_hours</v>
      </c>
    </row>
    <row r="436" spans="1:3" x14ac:dyDescent="0.2">
      <c r="A436" s="22" t="s">
        <v>14</v>
      </c>
      <c r="B436" s="23" t="s">
        <v>1112</v>
      </c>
      <c r="C436" s="23" t="str">
        <f t="shared" si="3"/>
        <v>mq_industry_chp_turbine_hydrogen_full_load_hours</v>
      </c>
    </row>
    <row r="437" spans="1:3" x14ac:dyDescent="0.2">
      <c r="A437" s="22" t="s">
        <v>14</v>
      </c>
      <c r="B437" s="23" t="s">
        <v>1113</v>
      </c>
      <c r="C437" s="23" t="str">
        <f t="shared" si="3"/>
        <v>mq_input_energy_heat_burner_coal_full_load_hours</v>
      </c>
    </row>
    <row r="438" spans="1:3" x14ac:dyDescent="0.2">
      <c r="A438" s="22" t="s">
        <v>14</v>
      </c>
      <c r="B438" s="23" t="s">
        <v>1114</v>
      </c>
      <c r="C438" s="23" t="str">
        <f t="shared" si="3"/>
        <v>mq_industry_heat_burner_coal_full_load_hours</v>
      </c>
    </row>
    <row r="439" spans="1:3" x14ac:dyDescent="0.2">
      <c r="A439" s="22" t="s">
        <v>14</v>
      </c>
      <c r="B439" s="23" t="s">
        <v>1115</v>
      </c>
      <c r="C439" s="23" t="str">
        <f t="shared" si="3"/>
        <v>mq_industry_heat_burner_crude_oil_full_load_hours</v>
      </c>
    </row>
    <row r="440" spans="1:3" x14ac:dyDescent="0.2">
      <c r="A440" s="22" t="s">
        <v>14</v>
      </c>
      <c r="B440" s="23" t="s">
        <v>1116</v>
      </c>
      <c r="C440" s="23" t="str">
        <f t="shared" si="3"/>
        <v>mq_input_energy_heat_burner_crude_oil_full_load_hours</v>
      </c>
    </row>
    <row r="441" spans="1:3" x14ac:dyDescent="0.2">
      <c r="A441" s="22" t="s">
        <v>14</v>
      </c>
      <c r="B441" s="23" t="s">
        <v>1117</v>
      </c>
      <c r="C441" s="23" t="str">
        <f t="shared" si="3"/>
        <v>mq_input_energy_heat_burner_network_gas_full_load_hours</v>
      </c>
    </row>
    <row r="442" spans="1:3" x14ac:dyDescent="0.2">
      <c r="A442" s="22" t="s">
        <v>14</v>
      </c>
      <c r="B442" s="23" t="s">
        <v>1118</v>
      </c>
      <c r="C442" s="23" t="str">
        <f t="shared" si="3"/>
        <v>mq_industry_heat_burner_lignite_full_load_hours</v>
      </c>
    </row>
    <row r="443" spans="1:3" x14ac:dyDescent="0.2">
      <c r="A443" s="22" t="s">
        <v>14</v>
      </c>
      <c r="B443" s="23" t="s">
        <v>1119</v>
      </c>
      <c r="C443" s="23" t="str">
        <f t="shared" si="3"/>
        <v>mq_input_energy_heat_burner_wood_pellets_full_load_hours</v>
      </c>
    </row>
    <row r="444" spans="1:3" x14ac:dyDescent="0.2">
      <c r="A444" s="22" t="s">
        <v>14</v>
      </c>
      <c r="B444" s="23" t="s">
        <v>1429</v>
      </c>
      <c r="C444" s="23" t="str">
        <f t="shared" si="3"/>
        <v>mq_input_solar_pv_on_roof_households_full_load_hours</v>
      </c>
    </row>
    <row r="445" spans="1:3" x14ac:dyDescent="0.2">
      <c r="A445" s="22" t="s">
        <v>14</v>
      </c>
      <c r="B445" s="23" t="s">
        <v>1430</v>
      </c>
      <c r="C445" s="23" t="str">
        <f t="shared" si="3"/>
        <v>mq_input_solar_pv_on_roof_buildings_full_load_hours</v>
      </c>
    </row>
    <row r="446" spans="1:3" x14ac:dyDescent="0.2">
      <c r="A446" s="22" t="s">
        <v>14</v>
      </c>
      <c r="B446" s="23" t="s">
        <v>1431</v>
      </c>
      <c r="C446" s="23" t="str">
        <f t="shared" si="3"/>
        <v>mq_input_solar_pv_on_land_full_load_hours</v>
      </c>
    </row>
    <row r="447" spans="1:3" x14ac:dyDescent="0.2">
      <c r="A447" s="22" t="s">
        <v>14</v>
      </c>
      <c r="B447" s="23" t="s">
        <v>1432</v>
      </c>
      <c r="C447" s="23" t="str">
        <f t="shared" si="3"/>
        <v>mq_input_solar_csp_full_load_hours</v>
      </c>
    </row>
    <row r="448" spans="1:3" x14ac:dyDescent="0.2">
      <c r="A448" s="22" t="s">
        <v>14</v>
      </c>
      <c r="B448" s="23" t="s">
        <v>1120</v>
      </c>
      <c r="C448" s="23" t="str">
        <f t="shared" si="3"/>
        <v>mq_input_energy_heat_solar_solar_thermal_full_load_hours</v>
      </c>
    </row>
    <row r="449" spans="1:3" x14ac:dyDescent="0.2">
      <c r="A449" s="22" t="s">
        <v>14</v>
      </c>
      <c r="B449" s="23" t="s">
        <v>1121</v>
      </c>
      <c r="C449" s="23" t="str">
        <f t="shared" si="3"/>
        <v>mq_input_energy_heat_burner_waste_mix_full_load_hours</v>
      </c>
    </row>
    <row r="450" spans="1:3" x14ac:dyDescent="0.2">
      <c r="A450" s="22" t="s">
        <v>14</v>
      </c>
      <c r="B450" s="23" t="s">
        <v>1122</v>
      </c>
      <c r="C450" s="23" t="str">
        <f t="shared" si="3"/>
        <v>mq_input_energy_heat_heatpump_water_water_electricity_full_load_hours</v>
      </c>
    </row>
    <row r="451" spans="1:3" x14ac:dyDescent="0.2">
      <c r="A451" s="22" t="s">
        <v>14</v>
      </c>
      <c r="B451" s="23" t="s">
        <v>1123</v>
      </c>
      <c r="C451" s="23" t="str">
        <f t="shared" si="3"/>
        <v>mq_industry_heat_burner_hydrogen_full_load_hours</v>
      </c>
    </row>
    <row r="452" spans="1:3" x14ac:dyDescent="0.2">
      <c r="A452" s="24" t="s">
        <v>192</v>
      </c>
      <c r="B452" s="25" t="s">
        <v>1125</v>
      </c>
      <c r="C452" s="25" t="str">
        <f t="shared" si="3"/>
        <v>mq_lv_net_spare_capacity</v>
      </c>
    </row>
    <row r="453" spans="1:3" x14ac:dyDescent="0.2">
      <c r="A453" s="24" t="s">
        <v>192</v>
      </c>
      <c r="B453" s="25" t="s">
        <v>1126</v>
      </c>
      <c r="C453" s="25" t="str">
        <f t="shared" si="3"/>
        <v>mq_mv_net_spare_capacity</v>
      </c>
    </row>
    <row r="454" spans="1:3" x14ac:dyDescent="0.2">
      <c r="A454" s="24" t="s">
        <v>192</v>
      </c>
      <c r="B454" s="25" t="s">
        <v>1127</v>
      </c>
      <c r="C454" s="25" t="str">
        <f t="shared" si="3"/>
        <v>mq_hv_net_spare_capacity</v>
      </c>
    </row>
    <row r="455" spans="1:3" x14ac:dyDescent="0.2">
      <c r="A455" s="24" t="s">
        <v>192</v>
      </c>
      <c r="B455" s="25" t="s">
        <v>1128</v>
      </c>
      <c r="C455" s="25" t="str">
        <f t="shared" si="3"/>
        <v>mq_lv_mv_trafo_spare_capacity</v>
      </c>
    </row>
    <row r="456" spans="1:3" x14ac:dyDescent="0.2">
      <c r="A456" s="24" t="s">
        <v>192</v>
      </c>
      <c r="B456" s="25" t="s">
        <v>1129</v>
      </c>
      <c r="C456" s="25" t="str">
        <f t="shared" si="3"/>
        <v>mq_mv_hv_trafo_spare_capacity</v>
      </c>
    </row>
    <row r="457" spans="1:3" x14ac:dyDescent="0.2">
      <c r="A457" s="24" t="s">
        <v>192</v>
      </c>
      <c r="B457" s="25" t="s">
        <v>1130</v>
      </c>
      <c r="C457" s="25" t="str">
        <f t="shared" si="3"/>
        <v>mq_lv_net_capacity_per_step</v>
      </c>
    </row>
    <row r="458" spans="1:3" x14ac:dyDescent="0.2">
      <c r="A458" s="24" t="s">
        <v>192</v>
      </c>
      <c r="B458" s="25" t="s">
        <v>1131</v>
      </c>
      <c r="C458" s="25" t="str">
        <f t="shared" si="3"/>
        <v>mq_lv_net_costs_per_capacity_step</v>
      </c>
    </row>
    <row r="459" spans="1:3" x14ac:dyDescent="0.2">
      <c r="A459" s="24" t="s">
        <v>192</v>
      </c>
      <c r="B459" s="25" t="s">
        <v>1132</v>
      </c>
      <c r="C459" s="25" t="str">
        <f t="shared" si="3"/>
        <v>mq_mv_net_capacity_per_step</v>
      </c>
    </row>
    <row r="460" spans="1:3" x14ac:dyDescent="0.2">
      <c r="A460" s="24" t="s">
        <v>192</v>
      </c>
      <c r="B460" s="25" t="s">
        <v>1133</v>
      </c>
      <c r="C460" s="25" t="str">
        <f t="shared" si="3"/>
        <v>mq_mv_net_costs_per_capacity_step</v>
      </c>
    </row>
    <row r="461" spans="1:3" x14ac:dyDescent="0.2">
      <c r="A461" s="24" t="s">
        <v>192</v>
      </c>
      <c r="B461" s="25" t="s">
        <v>1134</v>
      </c>
      <c r="C461" s="25" t="str">
        <f t="shared" si="3"/>
        <v>mq_hv_net_capacity_per_step</v>
      </c>
    </row>
    <row r="462" spans="1:3" x14ac:dyDescent="0.2">
      <c r="A462" s="24" t="s">
        <v>192</v>
      </c>
      <c r="B462" s="25" t="s">
        <v>1135</v>
      </c>
      <c r="C462" s="25" t="str">
        <f t="shared" si="3"/>
        <v>mq_hv_net_costs_per_capacity_step</v>
      </c>
    </row>
    <row r="463" spans="1:3" x14ac:dyDescent="0.2">
      <c r="A463" s="24" t="s">
        <v>192</v>
      </c>
      <c r="B463" s="25" t="s">
        <v>1136</v>
      </c>
      <c r="C463" s="25" t="str">
        <f t="shared" si="3"/>
        <v>mq_lv_mv_trafo_capacity_per_step</v>
      </c>
    </row>
    <row r="464" spans="1:3" x14ac:dyDescent="0.2">
      <c r="A464" s="24" t="s">
        <v>192</v>
      </c>
      <c r="B464" s="25" t="s">
        <v>1137</v>
      </c>
      <c r="C464" s="25" t="str">
        <f t="shared" si="3"/>
        <v>mq_lv_mv_trafo_costs_per_capacity_step</v>
      </c>
    </row>
    <row r="465" spans="1:3" x14ac:dyDescent="0.2">
      <c r="A465" s="24" t="s">
        <v>192</v>
      </c>
      <c r="B465" s="25" t="s">
        <v>1138</v>
      </c>
      <c r="C465" s="25" t="str">
        <f t="shared" si="3"/>
        <v>mq_mv_hv_trafo_capacity_per_step</v>
      </c>
    </row>
    <row r="466" spans="1:3" x14ac:dyDescent="0.2">
      <c r="A466" s="24" t="s">
        <v>192</v>
      </c>
      <c r="B466" s="25" t="s">
        <v>1139</v>
      </c>
      <c r="C466" s="25" t="str">
        <f t="shared" si="3"/>
        <v>mq_mv_hv_trafo_costs_per_capacity_step</v>
      </c>
    </row>
    <row r="467" spans="1:3" x14ac:dyDescent="0.2">
      <c r="A467" s="24" t="s">
        <v>192</v>
      </c>
      <c r="B467" s="25" t="s">
        <v>1140</v>
      </c>
      <c r="C467" s="25" t="str">
        <f t="shared" si="3"/>
        <v>mq_heat_length_of_distribution_pipelines_in_meter_per_residence_object_first_bracket</v>
      </c>
    </row>
    <row r="468" spans="1:3" x14ac:dyDescent="0.2">
      <c r="A468" s="24" t="s">
        <v>192</v>
      </c>
      <c r="B468" s="25" t="s">
        <v>1141</v>
      </c>
      <c r="C468" s="25" t="str">
        <f t="shared" si="3"/>
        <v>mq_heat_length_of_distribution_pipelines_in_meter_per_residence_object_second_bracket</v>
      </c>
    </row>
    <row r="469" spans="1:3" x14ac:dyDescent="0.2">
      <c r="A469" s="24" t="s">
        <v>192</v>
      </c>
      <c r="B469" s="25" t="s">
        <v>1142</v>
      </c>
      <c r="C469" s="25" t="str">
        <f t="shared" si="3"/>
        <v>mq_heat_length_of_distribution_pipelines_in_meter_per_residence_object_third_bracket</v>
      </c>
    </row>
    <row r="470" spans="1:3" x14ac:dyDescent="0.2">
      <c r="A470" s="24" t="s">
        <v>192</v>
      </c>
      <c r="B470" s="25" t="s">
        <v>1143</v>
      </c>
      <c r="C470" s="25" t="str">
        <f t="shared" si="3"/>
        <v>mq_heat_length_of_distribution_pipelines_in_meter_per_residence_object_fourth_bracket</v>
      </c>
    </row>
    <row r="471" spans="1:3" x14ac:dyDescent="0.2">
      <c r="A471" s="24" t="s">
        <v>192</v>
      </c>
      <c r="B471" s="25" t="s">
        <v>1144</v>
      </c>
      <c r="C471" s="25" t="str">
        <f t="shared" si="3"/>
        <v>mq_heat_length_of_distribution_pipelines_in_meter_per_residence_object_fifth_bracket</v>
      </c>
    </row>
    <row r="472" spans="1:3" x14ac:dyDescent="0.2">
      <c r="A472" s="24" t="s">
        <v>192</v>
      </c>
      <c r="B472" s="25" t="s">
        <v>1145</v>
      </c>
      <c r="C472" s="25" t="str">
        <f t="shared" si="3"/>
        <v>mq_heat_length_of_connection_pipelines_in_meter_per_residence_first_bracket</v>
      </c>
    </row>
    <row r="473" spans="1:3" x14ac:dyDescent="0.2">
      <c r="A473" s="24" t="s">
        <v>192</v>
      </c>
      <c r="B473" s="25" t="s">
        <v>1146</v>
      </c>
      <c r="C473" s="25" t="str">
        <f t="shared" si="3"/>
        <v>mq_heat_length_of_connection_pipelines_in_meter_per_residence_second_bracket</v>
      </c>
    </row>
    <row r="474" spans="1:3" x14ac:dyDescent="0.2">
      <c r="A474" s="24" t="s">
        <v>192</v>
      </c>
      <c r="B474" s="25" t="s">
        <v>1147</v>
      </c>
      <c r="C474" s="25" t="str">
        <f t="shared" si="3"/>
        <v>mq_heat_length_of_connection_pipelines_in_meter_per_residence_third_bracket</v>
      </c>
    </row>
    <row r="475" spans="1:3" x14ac:dyDescent="0.2">
      <c r="A475" s="24" t="s">
        <v>192</v>
      </c>
      <c r="B475" s="25" t="s">
        <v>1148</v>
      </c>
      <c r="C475" s="25" t="str">
        <f t="shared" si="3"/>
        <v>mq_heat_length_of_connection_pipelines_in_meter_per_residence_fourth_bracket</v>
      </c>
    </row>
    <row r="476" spans="1:3" x14ac:dyDescent="0.2">
      <c r="A476" s="24" t="s">
        <v>192</v>
      </c>
      <c r="B476" s="25" t="s">
        <v>1149</v>
      </c>
      <c r="C476" s="25" t="str">
        <f t="shared" si="3"/>
        <v>mq_heat_length_of_connection_pipelines_in_meter_per_residence_fifth_bracket</v>
      </c>
    </row>
    <row r="477" spans="1:3" x14ac:dyDescent="0.2">
      <c r="A477" s="18" t="s">
        <v>6</v>
      </c>
      <c r="B477" s="9" t="s">
        <v>1150</v>
      </c>
      <c r="C477" s="9" t="str">
        <f t="shared" si="3"/>
        <v>mq_input_percentage_of_diesel_buildings_final_demand_crude_oil</v>
      </c>
    </row>
    <row r="478" spans="1:3" x14ac:dyDescent="0.2">
      <c r="A478" s="18" t="s">
        <v>6</v>
      </c>
      <c r="B478" s="9" t="s">
        <v>1151</v>
      </c>
      <c r="C478" s="9" t="str">
        <f t="shared" si="3"/>
        <v>mq_input_percentage_of_biodiesel_buildings_final_demand_crude_oil</v>
      </c>
    </row>
    <row r="479" spans="1:3" x14ac:dyDescent="0.2">
      <c r="A479" s="18" t="s">
        <v>6</v>
      </c>
      <c r="B479" s="9" t="s">
        <v>1152</v>
      </c>
      <c r="C479" s="9" t="str">
        <f t="shared" si="3"/>
        <v>mq_input_percentage_of_kerosene_buildings_final_demand_crude_oil</v>
      </c>
    </row>
    <row r="480" spans="1:3" x14ac:dyDescent="0.2">
      <c r="A480" s="18" t="s">
        <v>6</v>
      </c>
      <c r="B480" s="9" t="s">
        <v>1153</v>
      </c>
      <c r="C480" s="9" t="str">
        <f t="shared" si="3"/>
        <v>mq_input_percentage_of_bio_kerosene_buildings_final_demand_crude_oil</v>
      </c>
    </row>
    <row r="481" spans="1:3" x14ac:dyDescent="0.2">
      <c r="A481" s="18" t="s">
        <v>6</v>
      </c>
      <c r="B481" s="9" t="s">
        <v>1154</v>
      </c>
      <c r="C481" s="9" t="str">
        <f t="shared" si="3"/>
        <v>mq_input_percentage_of_lpg_buildings_final_demand_crude_oil</v>
      </c>
    </row>
    <row r="482" spans="1:3" x14ac:dyDescent="0.2">
      <c r="A482" s="18" t="s">
        <v>6</v>
      </c>
      <c r="B482" s="9" t="s">
        <v>1155</v>
      </c>
      <c r="C482" s="9" t="str">
        <f t="shared" si="3"/>
        <v>mq_input_percentage_of_bio_oil_buildings_final_demand_crude_oil</v>
      </c>
    </row>
    <row r="483" spans="1:3" x14ac:dyDescent="0.2">
      <c r="A483" s="18" t="s">
        <v>6</v>
      </c>
      <c r="B483" s="9" t="s">
        <v>1156</v>
      </c>
      <c r="C483" s="9" t="str">
        <f t="shared" si="3"/>
        <v>mq_input_percentage_of_crude_oil_buildings_final_demand_crude_oil</v>
      </c>
    </row>
    <row r="484" spans="1:3" x14ac:dyDescent="0.2">
      <c r="A484" s="18" t="s">
        <v>14</v>
      </c>
      <c r="B484" s="9" t="s">
        <v>1157</v>
      </c>
      <c r="C484" s="9" t="str">
        <f t="shared" si="3"/>
        <v>mq_energy_greengas_gasification_dry_biomass_energy_greengas_production_child_share</v>
      </c>
    </row>
    <row r="485" spans="1:3" x14ac:dyDescent="0.2">
      <c r="A485" s="18" t="s">
        <v>14</v>
      </c>
      <c r="B485" s="9" t="s">
        <v>1158</v>
      </c>
      <c r="C485" s="9" t="str">
        <f t="shared" si="3"/>
        <v>mq_energy_greengas_gasification_wet_biomass_energy_greengas_production_child_share</v>
      </c>
    </row>
    <row r="486" spans="1:3" x14ac:dyDescent="0.2">
      <c r="A486" s="18" t="s">
        <v>14</v>
      </c>
      <c r="B486" s="9" t="s">
        <v>1159</v>
      </c>
      <c r="C486" s="9" t="str">
        <f t="shared" si="3"/>
        <v>mq_energy_greengas_upgrade_biogas_energy_greengas_production_child_share</v>
      </c>
    </row>
    <row r="487" spans="1:3" x14ac:dyDescent="0.2">
      <c r="A487" s="18" t="s">
        <v>14</v>
      </c>
      <c r="B487" s="9" t="s">
        <v>1160</v>
      </c>
      <c r="C487" s="9" t="str">
        <f t="shared" si="3"/>
        <v>mq_energy_distribution_biogenic_waste_energy_distribution_waste_mix_child_share</v>
      </c>
    </row>
    <row r="488" spans="1:3" x14ac:dyDescent="0.2">
      <c r="A488" s="18" t="s">
        <v>14</v>
      </c>
      <c r="B488" s="9" t="s">
        <v>1161</v>
      </c>
      <c r="C488" s="9" t="str">
        <f t="shared" si="3"/>
        <v>mq_energy_distribution_non_biogenic_waste_energy_distribution_waste_mix_child_share</v>
      </c>
    </row>
    <row r="489" spans="1:3" x14ac:dyDescent="0.2">
      <c r="A489" s="18" t="s">
        <v>20</v>
      </c>
      <c r="B489" s="9" t="s">
        <v>1162</v>
      </c>
      <c r="C489" s="9" t="str">
        <f t="shared" si="3"/>
        <v>mq_input_percentage_of_diesel_households_final_demand_crude_oil</v>
      </c>
    </row>
    <row r="490" spans="1:3" x14ac:dyDescent="0.2">
      <c r="A490" s="18" t="s">
        <v>20</v>
      </c>
      <c r="B490" s="9" t="s">
        <v>1163</v>
      </c>
      <c r="C490" s="9" t="str">
        <f t="shared" si="3"/>
        <v>mq_input_percentage_of_biodiesel_households_final_demand_crude_oil</v>
      </c>
    </row>
    <row r="491" spans="1:3" x14ac:dyDescent="0.2">
      <c r="A491" s="18" t="s">
        <v>20</v>
      </c>
      <c r="B491" s="9" t="s">
        <v>1164</v>
      </c>
      <c r="C491" s="9" t="str">
        <f t="shared" si="3"/>
        <v>mq_input_percentage_of_kerosene_households_final_demand_crude_oil</v>
      </c>
    </row>
    <row r="492" spans="1:3" x14ac:dyDescent="0.2">
      <c r="A492" s="18" t="s">
        <v>20</v>
      </c>
      <c r="B492" s="9" t="s">
        <v>1165</v>
      </c>
      <c r="C492" s="9" t="str">
        <f t="shared" si="3"/>
        <v>mq_input_percentage_of_bio_kerosene_households_final_demand_crude_oil</v>
      </c>
    </row>
    <row r="493" spans="1:3" x14ac:dyDescent="0.2">
      <c r="A493" s="18" t="s">
        <v>20</v>
      </c>
      <c r="B493" s="9" t="s">
        <v>1166</v>
      </c>
      <c r="C493" s="9" t="str">
        <f t="shared" ref="C493:C504" si="4">"mq_" &amp; B493</f>
        <v>mq_input_percentage_of_lpg_households_final_demand_crude_oil</v>
      </c>
    </row>
    <row r="494" spans="1:3" x14ac:dyDescent="0.2">
      <c r="A494" s="18" t="s">
        <v>20</v>
      </c>
      <c r="B494" s="9" t="s">
        <v>1167</v>
      </c>
      <c r="C494" s="9" t="str">
        <f t="shared" si="4"/>
        <v>mq_input_percentage_of_bio_oil_households_final_demand_crude_oil</v>
      </c>
    </row>
    <row r="495" spans="1:3" x14ac:dyDescent="0.2">
      <c r="A495" s="18" t="s">
        <v>20</v>
      </c>
      <c r="B495" s="9" t="s">
        <v>1168</v>
      </c>
      <c r="C495" s="9" t="str">
        <f t="shared" si="4"/>
        <v>mq_input_percentage_of_crude_oil_households_final_demand_crude_oil</v>
      </c>
    </row>
    <row r="496" spans="1:3" x14ac:dyDescent="0.2">
      <c r="A496" s="18" t="s">
        <v>28</v>
      </c>
      <c r="B496" s="9" t="s">
        <v>1169</v>
      </c>
      <c r="C496" s="9" t="str">
        <f t="shared" si="4"/>
        <v>mq_input_percentage_of_diesel_industry_final_demand_crude_oil</v>
      </c>
    </row>
    <row r="497" spans="1:3" x14ac:dyDescent="0.2">
      <c r="A497" s="18" t="s">
        <v>28</v>
      </c>
      <c r="B497" s="9" t="s">
        <v>1170</v>
      </c>
      <c r="C497" s="9" t="str">
        <f t="shared" si="4"/>
        <v>mq_input_percentage_of_biodiesel_industry_final_demand_crude_oil</v>
      </c>
    </row>
    <row r="498" spans="1:3" x14ac:dyDescent="0.2">
      <c r="A498" s="18" t="s">
        <v>28</v>
      </c>
      <c r="B498" s="9" t="s">
        <v>1171</v>
      </c>
      <c r="C498" s="9" t="str">
        <f t="shared" si="4"/>
        <v>mq_input_percentage_of_kerosene_industry_final_demand_crude_oil</v>
      </c>
    </row>
    <row r="499" spans="1:3" x14ac:dyDescent="0.2">
      <c r="A499" s="18" t="s">
        <v>28</v>
      </c>
      <c r="B499" s="9" t="s">
        <v>1172</v>
      </c>
      <c r="C499" s="9" t="str">
        <f t="shared" si="4"/>
        <v>mq_input_percentage_of_bio_kerosene_industry_final_demand_crude_oil</v>
      </c>
    </row>
    <row r="500" spans="1:3" x14ac:dyDescent="0.2">
      <c r="A500" s="18" t="s">
        <v>28</v>
      </c>
      <c r="B500" s="9" t="s">
        <v>1173</v>
      </c>
      <c r="C500" s="9" t="str">
        <f t="shared" si="4"/>
        <v>mq_input_percentage_of_lpg_industry_final_demand_crude_oil</v>
      </c>
    </row>
    <row r="501" spans="1:3" x14ac:dyDescent="0.2">
      <c r="A501" s="18" t="s">
        <v>28</v>
      </c>
      <c r="B501" s="9" t="s">
        <v>1174</v>
      </c>
      <c r="C501" s="9" t="str">
        <f t="shared" si="4"/>
        <v>mq_input_percentage_of_bio_oil_industry_final_demand_crude_oil</v>
      </c>
    </row>
    <row r="502" spans="1:3" x14ac:dyDescent="0.2">
      <c r="A502" s="18" t="s">
        <v>28</v>
      </c>
      <c r="B502" s="9" t="s">
        <v>1175</v>
      </c>
      <c r="C502" s="9" t="str">
        <f t="shared" si="4"/>
        <v>mq_input_percentage_of_crude_oil_industry_final_demand_crude_oil</v>
      </c>
    </row>
    <row r="503" spans="1:3" x14ac:dyDescent="0.2">
      <c r="A503" s="24" t="s">
        <v>192</v>
      </c>
      <c r="B503" s="16" t="s">
        <v>1176</v>
      </c>
      <c r="C503" s="16" t="str">
        <f t="shared" si="4"/>
        <v>mq_co2_emission_1990_aviation_bunkers</v>
      </c>
    </row>
    <row r="504" spans="1:3" x14ac:dyDescent="0.2">
      <c r="A504" s="24" t="s">
        <v>192</v>
      </c>
      <c r="B504" s="16" t="s">
        <v>1177</v>
      </c>
      <c r="C504" s="16" t="str">
        <f t="shared" si="4"/>
        <v>mq_co2_emission_1990_marine_bunkers</v>
      </c>
    </row>
    <row r="505" spans="1:3" x14ac:dyDescent="0.2">
      <c r="A505" s="27" t="s">
        <v>6</v>
      </c>
      <c r="B505" s="28" t="s">
        <v>1279</v>
      </c>
      <c r="C505" s="28" t="str">
        <f t="shared" ref="C505:C531" si="5">"mq_" &amp; B505</f>
        <v>mq_buildings_final_demand_electricity_buildings_final_demand_for_lighting_electricity_parent_share</v>
      </c>
    </row>
    <row r="506" spans="1:3" x14ac:dyDescent="0.2">
      <c r="A506" s="27" t="s">
        <v>6</v>
      </c>
      <c r="B506" s="28" t="s">
        <v>1280</v>
      </c>
      <c r="C506" s="28" t="str">
        <f t="shared" si="5"/>
        <v>mq_buildings_final_demand_electricity_buildings_final_demand_for_space_heating_electricity_parent_share</v>
      </c>
    </row>
    <row r="507" spans="1:3" x14ac:dyDescent="0.2">
      <c r="A507" s="27" t="s">
        <v>6</v>
      </c>
      <c r="B507" s="28" t="s">
        <v>1281</v>
      </c>
      <c r="C507" s="28" t="str">
        <f t="shared" si="5"/>
        <v>mq_buildings_final_demand_electricity_buildings_final_demand_for_appliances_electricity_parent_share</v>
      </c>
    </row>
    <row r="508" spans="1:3" x14ac:dyDescent="0.2">
      <c r="A508" s="27" t="s">
        <v>6</v>
      </c>
      <c r="B508" s="28" t="s">
        <v>1282</v>
      </c>
      <c r="C508" s="28" t="str">
        <f t="shared" si="5"/>
        <v>mq_buildings_final_demand_electricity_buildings_final_demand_for_cooling_electricity_parent_share</v>
      </c>
    </row>
    <row r="509" spans="1:3" x14ac:dyDescent="0.2">
      <c r="A509" s="27" t="s">
        <v>6</v>
      </c>
      <c r="B509" s="28" t="s">
        <v>1283</v>
      </c>
      <c r="C509" s="28" t="str">
        <f t="shared" si="5"/>
        <v>mq_buildings_final_demand_network_gas_buildings_final_demand_for_appliances_network_gas_parent_share</v>
      </c>
    </row>
    <row r="510" spans="1:3" x14ac:dyDescent="0.2">
      <c r="A510" s="27" t="s">
        <v>6</v>
      </c>
      <c r="B510" s="28" t="s">
        <v>1284</v>
      </c>
      <c r="C510" s="28" t="str">
        <f t="shared" si="5"/>
        <v>mq_buildings_final_demand_network_gas_buildings_final_demand_for_space_heating_network_gas_parent_share</v>
      </c>
    </row>
    <row r="511" spans="1:3" x14ac:dyDescent="0.2">
      <c r="A511" s="27" t="s">
        <v>6</v>
      </c>
      <c r="B511" s="28" t="s">
        <v>1285</v>
      </c>
      <c r="C511" s="28" t="str">
        <f t="shared" si="5"/>
        <v>mq_buildings_final_demand_network_gas_buildings_final_demand_for_cooling_network_gas_parent_share</v>
      </c>
    </row>
    <row r="512" spans="1:3" x14ac:dyDescent="0.2">
      <c r="A512" s="27" t="s">
        <v>6</v>
      </c>
      <c r="B512" s="28" t="s">
        <v>1286</v>
      </c>
      <c r="C512" s="28" t="str">
        <f t="shared" si="5"/>
        <v>mq_buildings_final_demand_wood_pellets_buildings_final_demand_for_space_heating_wood_pellets_parent_share</v>
      </c>
    </row>
    <row r="513" spans="1:3" x14ac:dyDescent="0.2">
      <c r="A513" s="27" t="s">
        <v>6</v>
      </c>
      <c r="B513" s="28" t="s">
        <v>1287</v>
      </c>
      <c r="C513" s="28" t="str">
        <f t="shared" si="5"/>
        <v>mq_buildings_final_demand_wood_pellets_buildings_final_demand_for_appliances_wood_pellets_parent_share</v>
      </c>
    </row>
    <row r="514" spans="1:3" x14ac:dyDescent="0.2">
      <c r="A514" s="27" t="s">
        <v>6</v>
      </c>
      <c r="B514" s="28" t="s">
        <v>1288</v>
      </c>
      <c r="C514" s="28" t="str">
        <f t="shared" si="5"/>
        <v>mq_buildings_final_demand_coal_buildings_final_demand_for_space_heating_coal_parent_share</v>
      </c>
    </row>
    <row r="515" spans="1:3" x14ac:dyDescent="0.2">
      <c r="A515" s="27" t="s">
        <v>6</v>
      </c>
      <c r="B515" s="28" t="s">
        <v>1289</v>
      </c>
      <c r="C515" s="28" t="str">
        <f t="shared" si="5"/>
        <v>mq_buildings_final_demand_coal_buildings_final_demand_for_appliances_coal_parent_share</v>
      </c>
    </row>
    <row r="516" spans="1:3" x14ac:dyDescent="0.2">
      <c r="A516" s="27" t="s">
        <v>6</v>
      </c>
      <c r="B516" s="28" t="s">
        <v>1290</v>
      </c>
      <c r="C516" s="28" t="str">
        <f t="shared" si="5"/>
        <v>mq_buildings_final_demand_crude_oil_buildings_final_demand_for_space_heating_crude_oil_parent_share</v>
      </c>
    </row>
    <row r="517" spans="1:3" x14ac:dyDescent="0.2">
      <c r="A517" s="27" t="s">
        <v>6</v>
      </c>
      <c r="B517" s="28" t="s">
        <v>1291</v>
      </c>
      <c r="C517" s="28" t="str">
        <f t="shared" si="5"/>
        <v>mq_buildings_final_demand_crude_oil_buildings_final_demand_for_appliances_crude_oil_parent_share</v>
      </c>
    </row>
    <row r="518" spans="1:3" x14ac:dyDescent="0.2">
      <c r="A518" s="27" t="s">
        <v>6</v>
      </c>
      <c r="B518" s="28" t="s">
        <v>1292</v>
      </c>
      <c r="C518" s="28" t="str">
        <f t="shared" si="5"/>
        <v>mq_buildings_final_demand_for_space_heating_network_gas_buildings_space_heater_heatpump_air_water_network_gas_parent_share</v>
      </c>
    </row>
    <row r="519" spans="1:3" x14ac:dyDescent="0.2">
      <c r="A519" s="27" t="s">
        <v>6</v>
      </c>
      <c r="B519" s="28" t="s">
        <v>1293</v>
      </c>
      <c r="C519" s="28" t="str">
        <f t="shared" si="5"/>
        <v>mq_buildings_final_demand_for_space_heating_network_gas_buildings_space_heater_hybrid_heatpump_air_water_electricity_parent_share</v>
      </c>
    </row>
    <row r="520" spans="1:3" x14ac:dyDescent="0.2">
      <c r="A520" s="27" t="s">
        <v>6</v>
      </c>
      <c r="B520" s="28" t="s">
        <v>1294</v>
      </c>
      <c r="C520" s="28" t="str">
        <f t="shared" si="5"/>
        <v>mq_buildings_final_demand_for_space_heating_network_gas_buildings_space_heater_network_gas_parent_share</v>
      </c>
    </row>
    <row r="521" spans="1:3" x14ac:dyDescent="0.2">
      <c r="A521" s="27" t="s">
        <v>6</v>
      </c>
      <c r="B521" s="28" t="s">
        <v>1295</v>
      </c>
      <c r="C521" s="28" t="str">
        <f t="shared" si="5"/>
        <v>mq_buildings_final_demand_for_space_heating_electricity_buildings_space_heater_collective_heatpump_water_water_ts_electricity_parent_share</v>
      </c>
    </row>
    <row r="522" spans="1:3" x14ac:dyDescent="0.2">
      <c r="A522" s="27" t="s">
        <v>6</v>
      </c>
      <c r="B522" s="28" t="s">
        <v>1296</v>
      </c>
      <c r="C522" s="28" t="str">
        <f t="shared" si="5"/>
        <v>mq_buildings_final_demand_for_space_heating_electricity_buildings_space_heater_heatpump_air_water_electricity_parent_share</v>
      </c>
    </row>
    <row r="523" spans="1:3" x14ac:dyDescent="0.2">
      <c r="A523" s="27" t="s">
        <v>6</v>
      </c>
      <c r="B523" s="28" t="s">
        <v>1297</v>
      </c>
      <c r="C523" s="28" t="str">
        <f t="shared" si="5"/>
        <v>mq_buildings_final_demand_for_space_heating_electricity_buildings_space_heater_hybrid_heatpump_air_water_electricity_parent_share</v>
      </c>
    </row>
    <row r="524" spans="1:3" x14ac:dyDescent="0.2">
      <c r="A524" s="27" t="s">
        <v>6</v>
      </c>
      <c r="B524" s="28" t="s">
        <v>1298</v>
      </c>
      <c r="C524" s="28" t="str">
        <f t="shared" si="5"/>
        <v>mq_buildings_final_demand_for_space_heating_electricity_buildings_space_heater_electricity_parent_share</v>
      </c>
    </row>
    <row r="525" spans="1:3" x14ac:dyDescent="0.2">
      <c r="A525" s="27" t="s">
        <v>6</v>
      </c>
      <c r="B525" s="28" t="s">
        <v>1299</v>
      </c>
      <c r="C525" s="28" t="str">
        <f t="shared" si="5"/>
        <v>mq_buildings_final_demand_for_lighting_electricity_buildings_lighting_efficient_fluorescent_electricity_parent_share</v>
      </c>
    </row>
    <row r="526" spans="1:3" x14ac:dyDescent="0.2">
      <c r="A526" s="27" t="s">
        <v>6</v>
      </c>
      <c r="B526" s="28" t="s">
        <v>1300</v>
      </c>
      <c r="C526" s="28" t="str">
        <f t="shared" si="5"/>
        <v>mq_buildings_final_demand_for_lighting_electricity_buildings_lighting_standard_fluorescent_electricity_parent_share</v>
      </c>
    </row>
    <row r="527" spans="1:3" x14ac:dyDescent="0.2">
      <c r="A527" s="27" t="s">
        <v>6</v>
      </c>
      <c r="B527" s="28" t="s">
        <v>1301</v>
      </c>
      <c r="C527" s="28" t="str">
        <f t="shared" si="5"/>
        <v>mq_buildings_final_demand_for_lighting_electricity_buildings_lighting_led_electricity_parent_share</v>
      </c>
    </row>
    <row r="528" spans="1:3" x14ac:dyDescent="0.2">
      <c r="A528" s="27" t="s">
        <v>6</v>
      </c>
      <c r="B528" s="28" t="s">
        <v>1302</v>
      </c>
      <c r="C528" s="28" t="str">
        <f t="shared" si="5"/>
        <v>mq_buildings_final_demand_for_cooling_electricity_buildings_cooling_airconditioning_electricity_parent_share</v>
      </c>
    </row>
    <row r="529" spans="1:3" x14ac:dyDescent="0.2">
      <c r="A529" s="27" t="s">
        <v>6</v>
      </c>
      <c r="B529" s="28" t="s">
        <v>1303</v>
      </c>
      <c r="C529" s="28" t="str">
        <f t="shared" si="5"/>
        <v>mq_buildings_final_demand_for_cooling_electricity_buildings_cooling_heatpump_air_water_electricity_parent_share</v>
      </c>
    </row>
    <row r="530" spans="1:3" x14ac:dyDescent="0.2">
      <c r="A530" s="27" t="s">
        <v>6</v>
      </c>
      <c r="B530" s="28" t="s">
        <v>1304</v>
      </c>
      <c r="C530" s="28" t="str">
        <f t="shared" si="5"/>
        <v>mq_buildings_final_demand_for_cooling_electricity_buildings_cooling_collective_heatpump_water_water_ts_electricity_parent_share</v>
      </c>
    </row>
    <row r="531" spans="1:3" x14ac:dyDescent="0.2">
      <c r="A531" s="27" t="s">
        <v>20</v>
      </c>
      <c r="B531" s="28" t="s">
        <v>1305</v>
      </c>
      <c r="C531" s="28" t="str">
        <f t="shared" si="5"/>
        <v>mq_households_final_demand_electricity_households_final_demand_for_cooking_electricity_parent_share</v>
      </c>
    </row>
    <row r="532" spans="1:3" x14ac:dyDescent="0.2">
      <c r="A532" s="27" t="s">
        <v>20</v>
      </c>
      <c r="B532" s="28" t="s">
        <v>1306</v>
      </c>
      <c r="C532" s="28" t="str">
        <f t="shared" ref="C532:C580" si="6">"mq_" &amp; B532</f>
        <v>mq_households_final_demand_electricity_households_final_demand_for_cooling_electricity_parent_share</v>
      </c>
    </row>
    <row r="533" spans="1:3" x14ac:dyDescent="0.2">
      <c r="A533" s="27" t="s">
        <v>20</v>
      </c>
      <c r="B533" s="28" t="s">
        <v>1307</v>
      </c>
      <c r="C533" s="28" t="str">
        <f t="shared" si="6"/>
        <v>mq_households_final_demand_electricity_households_final_demand_for_hot_water_electricity_parent_share</v>
      </c>
    </row>
    <row r="534" spans="1:3" x14ac:dyDescent="0.2">
      <c r="A534" s="27" t="s">
        <v>20</v>
      </c>
      <c r="B534" s="28" t="s">
        <v>1308</v>
      </c>
      <c r="C534" s="28" t="str">
        <f t="shared" si="6"/>
        <v>mq_households_final_demand_electricity_households_final_demand_for_lighting_electricity_parent_share</v>
      </c>
    </row>
    <row r="535" spans="1:3" x14ac:dyDescent="0.2">
      <c r="A535" s="27" t="s">
        <v>20</v>
      </c>
      <c r="B535" s="28" t="s">
        <v>1309</v>
      </c>
      <c r="C535" s="28" t="str">
        <f t="shared" si="6"/>
        <v>mq_households_final_demand_electricity_households_final_demand_for_space_heating_electricity_parent_share</v>
      </c>
    </row>
    <row r="536" spans="1:3" x14ac:dyDescent="0.2">
      <c r="A536" s="27" t="s">
        <v>20</v>
      </c>
      <c r="B536" s="28" t="s">
        <v>1310</v>
      </c>
      <c r="C536" s="28" t="str">
        <f t="shared" si="6"/>
        <v>mq_households_final_demand_electricity_households_final_demand_for_appliances_electricity_parent_share</v>
      </c>
    </row>
    <row r="537" spans="1:3" x14ac:dyDescent="0.2">
      <c r="A537" s="27" t="s">
        <v>20</v>
      </c>
      <c r="B537" s="28" t="s">
        <v>1311</v>
      </c>
      <c r="C537" s="28" t="str">
        <f t="shared" si="6"/>
        <v>mq_households_final_demand_network_gas_households_final_demand_for_cooking_network_gas_parent_share</v>
      </c>
    </row>
    <row r="538" spans="1:3" x14ac:dyDescent="0.2">
      <c r="A538" s="27" t="s">
        <v>20</v>
      </c>
      <c r="B538" s="28" t="s">
        <v>1312</v>
      </c>
      <c r="C538" s="28" t="str">
        <f t="shared" si="6"/>
        <v>mq_households_final_demand_network_gas_households_final_demand_for_hot_water_network_gas_parent_share</v>
      </c>
    </row>
    <row r="539" spans="1:3" x14ac:dyDescent="0.2">
      <c r="A539" s="27" t="s">
        <v>20</v>
      </c>
      <c r="B539" s="28" t="s">
        <v>1313</v>
      </c>
      <c r="C539" s="28" t="str">
        <f t="shared" si="6"/>
        <v>mq_households_final_demand_network_gas_households_final_demand_for_space_heating_network_gas_parent_share</v>
      </c>
    </row>
    <row r="540" spans="1:3" x14ac:dyDescent="0.2">
      <c r="A540" s="27" t="s">
        <v>20</v>
      </c>
      <c r="B540" s="28" t="s">
        <v>1314</v>
      </c>
      <c r="C540" s="28" t="str">
        <f t="shared" si="6"/>
        <v>mq_households_final_demand_network_gas_households_final_demand_for_cooling_network_gas_parent_share</v>
      </c>
    </row>
    <row r="541" spans="1:3" x14ac:dyDescent="0.2">
      <c r="A541" s="27" t="s">
        <v>20</v>
      </c>
      <c r="B541" s="28" t="s">
        <v>1315</v>
      </c>
      <c r="C541" s="28" t="str">
        <f t="shared" si="6"/>
        <v>mq_input_households_final_demand_steam_hot_water_households_final_demand_for_hot_water_steam_hot_water_parent_share</v>
      </c>
    </row>
    <row r="542" spans="1:3" x14ac:dyDescent="0.2">
      <c r="A542" s="27" t="s">
        <v>20</v>
      </c>
      <c r="B542" s="28" t="s">
        <v>1316</v>
      </c>
      <c r="C542" s="28" t="str">
        <f t="shared" si="6"/>
        <v>mq_input_households_final_demand_steam_hot_water_households_final_demand_for_space_heating_steam_hot_water_parent_share</v>
      </c>
    </row>
    <row r="543" spans="1:3" x14ac:dyDescent="0.2">
      <c r="A543" s="27" t="s">
        <v>20</v>
      </c>
      <c r="B543" s="28" t="s">
        <v>1317</v>
      </c>
      <c r="C543" s="28" t="str">
        <f t="shared" si="6"/>
        <v>mq_households_final_demand_wood_pellets_households_final_demand_for_hot_water_wood_pellets_parent_share</v>
      </c>
    </row>
    <row r="544" spans="1:3" x14ac:dyDescent="0.2">
      <c r="A544" s="27" t="s">
        <v>20</v>
      </c>
      <c r="B544" s="28" t="s">
        <v>1318</v>
      </c>
      <c r="C544" s="28" t="str">
        <f t="shared" si="6"/>
        <v>mq_households_final_demand_wood_pellets_households_final_demand_for_space_heating_wood_pellets_parent_share</v>
      </c>
    </row>
    <row r="545" spans="1:3" x14ac:dyDescent="0.2">
      <c r="A545" s="27" t="s">
        <v>20</v>
      </c>
      <c r="B545" s="28" t="s">
        <v>1319</v>
      </c>
      <c r="C545" s="28" t="str">
        <f t="shared" si="6"/>
        <v>mq_households_final_demand_wood_pellets_households_final_demand_for_cooking_wood_pellets_parent_share</v>
      </c>
    </row>
    <row r="546" spans="1:3" x14ac:dyDescent="0.2">
      <c r="A546" s="27" t="s">
        <v>20</v>
      </c>
      <c r="B546" s="28" t="s">
        <v>1320</v>
      </c>
      <c r="C546" s="28" t="str">
        <f t="shared" si="6"/>
        <v>mq_households_final_demand_crude_oil_households_final_demand_for_space_heating_crude_oil_parent_share</v>
      </c>
    </row>
    <row r="547" spans="1:3" x14ac:dyDescent="0.2">
      <c r="A547" s="27" t="s">
        <v>20</v>
      </c>
      <c r="B547" s="28" t="s">
        <v>1321</v>
      </c>
      <c r="C547" s="28" t="str">
        <f t="shared" si="6"/>
        <v>mq_households_final_demand_crude_oil_households_final_demand_for_hot_water_crude_oil_parent_share</v>
      </c>
    </row>
    <row r="548" spans="1:3" x14ac:dyDescent="0.2">
      <c r="A548" s="27" t="s">
        <v>20</v>
      </c>
      <c r="B548" s="28" t="s">
        <v>1322</v>
      </c>
      <c r="C548" s="28" t="str">
        <f t="shared" si="6"/>
        <v>mq_households_final_demand_coal_households_final_demand_for_space_heating_coal_parent_share</v>
      </c>
    </row>
    <row r="549" spans="1:3" x14ac:dyDescent="0.2">
      <c r="A549" s="27" t="s">
        <v>20</v>
      </c>
      <c r="B549" s="28" t="s">
        <v>1323</v>
      </c>
      <c r="C549" s="28" t="str">
        <f t="shared" si="6"/>
        <v>mq_households_final_demand_coal_households_final_demand_for_hot_water_coal_parent_share</v>
      </c>
    </row>
    <row r="550" spans="1:3" x14ac:dyDescent="0.2">
      <c r="A550" s="27" t="s">
        <v>20</v>
      </c>
      <c r="B550" s="28" t="s">
        <v>1324</v>
      </c>
      <c r="C550" s="28" t="str">
        <f t="shared" si="6"/>
        <v>mq_households_final_demand_for_space_heating_network_gas_households_space_heater_combined_network_gas_parent_share</v>
      </c>
    </row>
    <row r="551" spans="1:3" x14ac:dyDescent="0.2">
      <c r="A551" s="27" t="s">
        <v>20</v>
      </c>
      <c r="B551" s="28" t="s">
        <v>1325</v>
      </c>
      <c r="C551" s="28" t="str">
        <f t="shared" si="6"/>
        <v>mq_households_final_demand_for_space_heating_network_gas_households_space_heater_network_gas_parent_share</v>
      </c>
    </row>
    <row r="552" spans="1:3" x14ac:dyDescent="0.2">
      <c r="A552" s="27" t="s">
        <v>20</v>
      </c>
      <c r="B552" s="28" t="s">
        <v>1326</v>
      </c>
      <c r="C552" s="28" t="str">
        <f t="shared" si="6"/>
        <v>mq_households_final_demand_for_space_heating_network_gas_households_space_heater_hybrid_heatpump_air_water_electricity_parent_share</v>
      </c>
    </row>
    <row r="553" spans="1:3" x14ac:dyDescent="0.2">
      <c r="A553" s="27" t="s">
        <v>20</v>
      </c>
      <c r="B553" s="28" t="s">
        <v>1327</v>
      </c>
      <c r="C553" s="28" t="str">
        <f t="shared" si="6"/>
        <v>mq_households_final_demand_for_space_heating_electricity_households_space_heater_electricity_parent_share</v>
      </c>
    </row>
    <row r="554" spans="1:3" x14ac:dyDescent="0.2">
      <c r="A554" s="27" t="s">
        <v>20</v>
      </c>
      <c r="B554" s="28" t="s">
        <v>1328</v>
      </c>
      <c r="C554" s="28" t="str">
        <f t="shared" si="6"/>
        <v>mq_households_final_demand_for_space_heating_electricity_households_space_heater_heatpump_air_water_electricity_parent_share</v>
      </c>
    </row>
    <row r="555" spans="1:3" x14ac:dyDescent="0.2">
      <c r="A555" s="27" t="s">
        <v>20</v>
      </c>
      <c r="B555" s="28" t="s">
        <v>1329</v>
      </c>
      <c r="C555" s="28" t="str">
        <f t="shared" si="6"/>
        <v>mq_households_final_demand_for_space_heating_electricity_households_space_heater_hybrid_heatpump_air_water_electricity_parent_share</v>
      </c>
    </row>
    <row r="556" spans="1:3" x14ac:dyDescent="0.2">
      <c r="A556" s="27" t="s">
        <v>20</v>
      </c>
      <c r="B556" s="28" t="s">
        <v>1330</v>
      </c>
      <c r="C556" s="28" t="str">
        <f t="shared" si="6"/>
        <v>mq_households_final_demand_for_space_heating_electricity_households_space_heater_heatpump_ground_water_electricity_parent_share</v>
      </c>
    </row>
    <row r="557" spans="1:3" x14ac:dyDescent="0.2">
      <c r="A557" s="27" t="s">
        <v>20</v>
      </c>
      <c r="B557" s="28" t="s">
        <v>1331</v>
      </c>
      <c r="C557" s="28" t="str">
        <f t="shared" si="6"/>
        <v>mq_households_final_demand_for_cooking_electricity_households_cooker_halogen_electricity_parent_share</v>
      </c>
    </row>
    <row r="558" spans="1:3" x14ac:dyDescent="0.2">
      <c r="A558" s="27" t="s">
        <v>20</v>
      </c>
      <c r="B558" s="28" t="s">
        <v>1332</v>
      </c>
      <c r="C558" s="28" t="str">
        <f t="shared" si="6"/>
        <v>mq_households_final_demand_for_cooking_electricity_households_cooker_induction_electricity_parent_share</v>
      </c>
    </row>
    <row r="559" spans="1:3" x14ac:dyDescent="0.2">
      <c r="A559" s="27" t="s">
        <v>20</v>
      </c>
      <c r="B559" s="28" t="s">
        <v>1333</v>
      </c>
      <c r="C559" s="28" t="str">
        <f t="shared" si="6"/>
        <v>mq_households_final_demand_for_cooking_electricity_households_cooker_resistive_electricity_parent_share</v>
      </c>
    </row>
    <row r="560" spans="1:3" x14ac:dyDescent="0.2">
      <c r="A560" s="27" t="s">
        <v>20</v>
      </c>
      <c r="B560" s="28" t="s">
        <v>1334</v>
      </c>
      <c r="C560" s="28" t="str">
        <f t="shared" si="6"/>
        <v>mq_households_final_demand_for_lighting_electricity_households_lighting_incandescent_electricity_parent_share</v>
      </c>
    </row>
    <row r="561" spans="1:3" x14ac:dyDescent="0.2">
      <c r="A561" s="27" t="s">
        <v>20</v>
      </c>
      <c r="B561" s="28" t="s">
        <v>1335</v>
      </c>
      <c r="C561" s="28" t="str">
        <f t="shared" si="6"/>
        <v>mq_households_final_demand_for_lighting_electricity_households_lighting_efficient_fluorescent_electricity_parent_share</v>
      </c>
    </row>
    <row r="562" spans="1:3" x14ac:dyDescent="0.2">
      <c r="A562" s="27" t="s">
        <v>20</v>
      </c>
      <c r="B562" s="28" t="s">
        <v>1336</v>
      </c>
      <c r="C562" s="28" t="str">
        <f t="shared" si="6"/>
        <v>mq_households_final_demand_for_lighting_electricity_households_lighting_led_electricity_parent_share</v>
      </c>
    </row>
    <row r="563" spans="1:3" x14ac:dyDescent="0.2">
      <c r="A563" s="27" t="s">
        <v>20</v>
      </c>
      <c r="B563" s="28" t="s">
        <v>1337</v>
      </c>
      <c r="C563" s="28" t="str">
        <f t="shared" si="6"/>
        <v>mq_households_final_demand_for_appliances_electricity_households_appliances_clothes_dryer_electricity_parent_share</v>
      </c>
    </row>
    <row r="564" spans="1:3" x14ac:dyDescent="0.2">
      <c r="A564" s="27" t="s">
        <v>20</v>
      </c>
      <c r="B564" s="28" t="s">
        <v>1338</v>
      </c>
      <c r="C564" s="28" t="str">
        <f t="shared" si="6"/>
        <v>mq_households_final_demand_for_appliances_electricity_households_appliances_computer_media_electricity_parent_share</v>
      </c>
    </row>
    <row r="565" spans="1:3" x14ac:dyDescent="0.2">
      <c r="A565" s="27" t="s">
        <v>20</v>
      </c>
      <c r="B565" s="28" t="s">
        <v>1339</v>
      </c>
      <c r="C565" s="28" t="str">
        <f t="shared" si="6"/>
        <v>mq_households_final_demand_for_appliances_electricity_households_appliances_dishwasher_electricity_parent_share</v>
      </c>
    </row>
    <row r="566" spans="1:3" x14ac:dyDescent="0.2">
      <c r="A566" s="27" t="s">
        <v>20</v>
      </c>
      <c r="B566" s="28" t="s">
        <v>1340</v>
      </c>
      <c r="C566" s="28" t="str">
        <f t="shared" si="6"/>
        <v>mq_households_final_demand_for_appliances_electricity_households_appliances_fridge_freezer_electricity_parent_share</v>
      </c>
    </row>
    <row r="567" spans="1:3" x14ac:dyDescent="0.2">
      <c r="A567" s="27" t="s">
        <v>20</v>
      </c>
      <c r="B567" s="28" t="s">
        <v>1341</v>
      </c>
      <c r="C567" s="28" t="str">
        <f t="shared" si="6"/>
        <v>mq_households_final_demand_for_appliances_electricity_households_appliances_other_electricity_parent_share</v>
      </c>
    </row>
    <row r="568" spans="1:3" x14ac:dyDescent="0.2">
      <c r="A568" s="27" t="s">
        <v>20</v>
      </c>
      <c r="B568" s="28" t="s">
        <v>1342</v>
      </c>
      <c r="C568" s="28" t="str">
        <f t="shared" si="6"/>
        <v>mq_households_final_demand_for_appliances_electricity_households_appliances_television_electricity_parent_share</v>
      </c>
    </row>
    <row r="569" spans="1:3" x14ac:dyDescent="0.2">
      <c r="A569" s="27" t="s">
        <v>20</v>
      </c>
      <c r="B569" s="28" t="s">
        <v>1343</v>
      </c>
      <c r="C569" s="28" t="str">
        <f t="shared" si="6"/>
        <v>mq_households_final_demand_for_appliances_electricity_households_appliances_vacuum_cleaner_electricity_parent_share</v>
      </c>
    </row>
    <row r="570" spans="1:3" x14ac:dyDescent="0.2">
      <c r="A570" s="27" t="s">
        <v>20</v>
      </c>
      <c r="B570" s="28" t="s">
        <v>1344</v>
      </c>
      <c r="C570" s="28" t="str">
        <f t="shared" si="6"/>
        <v>mq_households_final_demand_for_appliances_electricity_households_appliances_washing_machine_electricity_parent_share</v>
      </c>
    </row>
    <row r="571" spans="1:3" x14ac:dyDescent="0.2">
      <c r="A571" s="27" t="s">
        <v>20</v>
      </c>
      <c r="B571" s="28" t="s">
        <v>1345</v>
      </c>
      <c r="C571" s="28" t="str">
        <f t="shared" si="6"/>
        <v>mq_households_final_demand_for_cooling_electricity_households_cooling_airconditioning_electricity_parent_share</v>
      </c>
    </row>
    <row r="572" spans="1:3" x14ac:dyDescent="0.2">
      <c r="A572" s="27" t="s">
        <v>20</v>
      </c>
      <c r="B572" s="28" t="s">
        <v>1346</v>
      </c>
      <c r="C572" s="28" t="str">
        <f t="shared" si="6"/>
        <v>mq_households_final_demand_for_cooling_electricity_households_cooling_heatpump_ground_water_electricity_parent_share</v>
      </c>
    </row>
    <row r="573" spans="1:3" x14ac:dyDescent="0.2">
      <c r="A573" s="27" t="s">
        <v>20</v>
      </c>
      <c r="B573" s="28" t="s">
        <v>1347</v>
      </c>
      <c r="C573" s="28" t="str">
        <f t="shared" si="6"/>
        <v>mq_households_final_demand_for_cooling_electricity_households_cooling_heatpump_air_water_electricity_parent_share</v>
      </c>
    </row>
    <row r="574" spans="1:3" x14ac:dyDescent="0.2">
      <c r="A574" s="27" t="s">
        <v>20</v>
      </c>
      <c r="B574" s="28" t="s">
        <v>1348</v>
      </c>
      <c r="C574" s="28" t="str">
        <f t="shared" si="6"/>
        <v>mq_input_percentage_of_lt_steam_hot_water_households_final_demand_steam_hot_water</v>
      </c>
    </row>
    <row r="575" spans="1:3" x14ac:dyDescent="0.2">
      <c r="A575" s="27" t="s">
        <v>20</v>
      </c>
      <c r="B575" s="28" t="s">
        <v>1349</v>
      </c>
      <c r="C575" s="28" t="str">
        <f t="shared" si="6"/>
        <v>mq_input_percentage_of_mt_steam_hot_water_households_final_demand_steam_hot_water</v>
      </c>
    </row>
    <row r="576" spans="1:3" x14ac:dyDescent="0.2">
      <c r="A576" s="27" t="s">
        <v>20</v>
      </c>
      <c r="B576" s="28" t="s">
        <v>1350</v>
      </c>
      <c r="C576" s="28" t="str">
        <f t="shared" si="6"/>
        <v>mq_input_percentage_of_ht_steam_hot_water_households_final_demand_steam_hot_water</v>
      </c>
    </row>
    <row r="577" spans="1:3" x14ac:dyDescent="0.2">
      <c r="A577" s="24" t="s">
        <v>20</v>
      </c>
      <c r="B577" s="29" t="s">
        <v>1351</v>
      </c>
      <c r="C577" s="25" t="s">
        <v>372</v>
      </c>
    </row>
    <row r="578" spans="1:3" x14ac:dyDescent="0.2">
      <c r="A578" s="27" t="s">
        <v>6</v>
      </c>
      <c r="B578" s="28" t="s">
        <v>1352</v>
      </c>
      <c r="C578" s="28" t="str">
        <f t="shared" si="6"/>
        <v>mq_input_percentage_of_lt_steam_hot_water_buildings_final_demand_steam_hot_water</v>
      </c>
    </row>
    <row r="579" spans="1:3" x14ac:dyDescent="0.2">
      <c r="A579" s="27" t="s">
        <v>6</v>
      </c>
      <c r="B579" s="28" t="s">
        <v>1353</v>
      </c>
      <c r="C579" s="28" t="str">
        <f t="shared" si="6"/>
        <v>mq_input_percentage_of_mt_steam_hot_water_buildings_final_demand_steam_hot_water</v>
      </c>
    </row>
    <row r="580" spans="1:3" x14ac:dyDescent="0.2">
      <c r="A580" s="27" t="s">
        <v>6</v>
      </c>
      <c r="B580" s="28" t="s">
        <v>1354</v>
      </c>
      <c r="C580" s="28" t="str">
        <f t="shared" si="6"/>
        <v>mq_input_percentage_of_ht_steam_hot_water_buildings_final_demand_steam_hot_water</v>
      </c>
    </row>
    <row r="581" spans="1:3" x14ac:dyDescent="0.2">
      <c r="A581" s="14" t="s">
        <v>0</v>
      </c>
      <c r="B581" t="s">
        <v>1363</v>
      </c>
      <c r="C581" t="str">
        <f>"mq_"&amp;B581</f>
        <v>mq_input_percentage_of_central_mt_steam_hot_water_agriculture_final_demand_steam_hot_water</v>
      </c>
    </row>
    <row r="582" spans="1:3" x14ac:dyDescent="0.2">
      <c r="A582" s="14" t="s">
        <v>0</v>
      </c>
      <c r="B582" t="s">
        <v>1364</v>
      </c>
      <c r="C582" t="str">
        <f>"mq_"&amp;B582</f>
        <v>mq_input_percentage_of_central_ht_steam_hot_water_agriculture_final_demand_steam_hot_water</v>
      </c>
    </row>
    <row r="583" spans="1:3" x14ac:dyDescent="0.2">
      <c r="A583" s="14" t="s">
        <v>0</v>
      </c>
      <c r="B583" t="s">
        <v>1365</v>
      </c>
      <c r="C583" t="str">
        <f>"mq_"&amp;B583</f>
        <v>mq_input_percentage_of_local_steam_hot_water_agriculture_final_demand_steam_hot_water</v>
      </c>
    </row>
    <row r="584" spans="1:3" x14ac:dyDescent="0.2">
      <c r="A584" s="14" t="s">
        <v>6</v>
      </c>
      <c r="B584" t="s">
        <v>1372</v>
      </c>
      <c r="C584" t="s">
        <v>1375</v>
      </c>
    </row>
    <row r="585" spans="1:3" x14ac:dyDescent="0.2">
      <c r="A585" s="14" t="s">
        <v>20</v>
      </c>
      <c r="B585" t="s">
        <v>1373</v>
      </c>
      <c r="C585" t="s">
        <v>1374</v>
      </c>
    </row>
    <row r="586" spans="1:3" x14ac:dyDescent="0.2">
      <c r="A586" s="14" t="s">
        <v>116</v>
      </c>
      <c r="B586" t="s">
        <v>1384</v>
      </c>
      <c r="C586" s="3" t="s">
        <v>215</v>
      </c>
    </row>
    <row r="587" spans="1:3" x14ac:dyDescent="0.2">
      <c r="A587" s="18" t="s">
        <v>0</v>
      </c>
      <c r="B587" s="33" t="s">
        <v>1385</v>
      </c>
      <c r="C587" s="9" t="str">
        <f t="shared" ref="C587:C600" si="7">"mq_" &amp; B587</f>
        <v>mq_input_percentage_of_diesel_agriculture_final_demand_crude_oil</v>
      </c>
    </row>
    <row r="588" spans="1:3" x14ac:dyDescent="0.2">
      <c r="A588" s="18" t="s">
        <v>0</v>
      </c>
      <c r="B588" s="33" t="s">
        <v>1386</v>
      </c>
      <c r="C588" s="9" t="str">
        <f t="shared" si="7"/>
        <v>mq_input_percentage_of_biodiesel_agriculture_final_demand_crude_oil</v>
      </c>
    </row>
    <row r="589" spans="1:3" x14ac:dyDescent="0.2">
      <c r="A589" s="18" t="s">
        <v>0</v>
      </c>
      <c r="B589" s="33" t="s">
        <v>1387</v>
      </c>
      <c r="C589" s="9" t="str">
        <f t="shared" si="7"/>
        <v>mq_input_percentage_of_kerosene_agriculture_final_demand_crude_oil</v>
      </c>
    </row>
    <row r="590" spans="1:3" x14ac:dyDescent="0.2">
      <c r="A590" s="18" t="s">
        <v>0</v>
      </c>
      <c r="B590" s="33" t="s">
        <v>1388</v>
      </c>
      <c r="C590" s="9" t="str">
        <f t="shared" si="7"/>
        <v>mq_input_percentage_of_bio_kerosene_agriculture_final_demand_crude_oil</v>
      </c>
    </row>
    <row r="591" spans="1:3" x14ac:dyDescent="0.2">
      <c r="A591" s="18" t="s">
        <v>0</v>
      </c>
      <c r="B591" s="33" t="s">
        <v>1389</v>
      </c>
      <c r="C591" s="9" t="str">
        <f t="shared" si="7"/>
        <v>mq_input_percentage_of_lpg_agriculture_final_demand_crude_oil</v>
      </c>
    </row>
    <row r="592" spans="1:3" x14ac:dyDescent="0.2">
      <c r="A592" s="18" t="s">
        <v>0</v>
      </c>
      <c r="B592" s="33" t="s">
        <v>1390</v>
      </c>
      <c r="C592" s="9" t="str">
        <f t="shared" si="7"/>
        <v>mq_input_percentage_of_bio_oil_agriculture_final_demand_crude_oil</v>
      </c>
    </row>
    <row r="593" spans="1:3" x14ac:dyDescent="0.2">
      <c r="A593" s="18" t="s">
        <v>0</v>
      </c>
      <c r="B593" s="33" t="s">
        <v>1391</v>
      </c>
      <c r="C593" s="9" t="str">
        <f t="shared" si="7"/>
        <v>mq_input_percentage_of_crude_oil_agriculture_final_demand_crude_oil</v>
      </c>
    </row>
    <row r="594" spans="1:3" x14ac:dyDescent="0.2">
      <c r="A594" s="11" t="s">
        <v>116</v>
      </c>
      <c r="B594" s="12" t="s">
        <v>150</v>
      </c>
      <c r="C594" s="12" t="str">
        <f t="shared" si="7"/>
        <v>mq_bunkers_total_useful_demand_ships_demand</v>
      </c>
    </row>
    <row r="595" spans="1:3" x14ac:dyDescent="0.2">
      <c r="A595" s="11" t="s">
        <v>116</v>
      </c>
      <c r="B595" s="12" t="s">
        <v>150</v>
      </c>
      <c r="C595" s="12" t="str">
        <f t="shared" si="7"/>
        <v>mq_bunkers_total_useful_demand_ships_demand</v>
      </c>
    </row>
    <row r="596" spans="1:3" x14ac:dyDescent="0.2">
      <c r="A596" s="24" t="s">
        <v>192</v>
      </c>
      <c r="B596" s="25" t="s">
        <v>1392</v>
      </c>
      <c r="C596" s="25" t="str">
        <f t="shared" si="7"/>
        <v>mq_typical_useful_demand_for_space_heating_apartments_future</v>
      </c>
    </row>
    <row r="597" spans="1:3" x14ac:dyDescent="0.2">
      <c r="A597" s="24" t="s">
        <v>192</v>
      </c>
      <c r="B597" s="25" t="s">
        <v>1393</v>
      </c>
      <c r="C597" s="25" t="str">
        <f t="shared" si="7"/>
        <v>mq_typical_useful_demand_for_space_heating_detached_houses_future</v>
      </c>
    </row>
    <row r="598" spans="1:3" x14ac:dyDescent="0.2">
      <c r="A598" s="24" t="s">
        <v>192</v>
      </c>
      <c r="B598" s="25" t="s">
        <v>1394</v>
      </c>
      <c r="C598" s="25" t="str">
        <f t="shared" si="7"/>
        <v>mq_typical_useful_demand_for_space_heating_semi_detached_houses_future</v>
      </c>
    </row>
    <row r="599" spans="1:3" x14ac:dyDescent="0.2">
      <c r="A599" s="24" t="s">
        <v>192</v>
      </c>
      <c r="B599" s="25" t="s">
        <v>1395</v>
      </c>
      <c r="C599" s="25" t="str">
        <f t="shared" si="7"/>
        <v>mq_typical_useful_demand_for_space_heating_terraced_houses_future</v>
      </c>
    </row>
    <row r="600" spans="1:3" x14ac:dyDescent="0.2">
      <c r="A600" s="24" t="s">
        <v>192</v>
      </c>
      <c r="B600" s="25" t="s">
        <v>1396</v>
      </c>
      <c r="C600" s="25" t="str">
        <f t="shared" si="7"/>
        <v>mq_typical_useful_demand_for_space_heating_buildings_future</v>
      </c>
    </row>
    <row r="601" spans="1:3" x14ac:dyDescent="0.2">
      <c r="A601" s="24" t="s">
        <v>192</v>
      </c>
      <c r="B601" s="25" t="s">
        <v>201</v>
      </c>
      <c r="C601" s="25" t="str">
        <f t="shared" ref="C601" si="8">"mq_" &amp; B601</f>
        <v>mq_offshore_suitable_for_wind</v>
      </c>
    </row>
    <row r="602" spans="1:3" x14ac:dyDescent="0.2">
      <c r="A602" s="11" t="s">
        <v>116</v>
      </c>
      <c r="B602" s="36" t="s">
        <v>763</v>
      </c>
      <c r="C602" s="36" t="s">
        <v>1412</v>
      </c>
    </row>
    <row r="603" spans="1:3" x14ac:dyDescent="0.2">
      <c r="A603" s="11" t="s">
        <v>116</v>
      </c>
      <c r="B603" s="36" t="s">
        <v>764</v>
      </c>
      <c r="C603" s="36" t="s">
        <v>1413</v>
      </c>
    </row>
    <row r="604" spans="1:3" x14ac:dyDescent="0.2">
      <c r="A604" s="11" t="s">
        <v>116</v>
      </c>
      <c r="B604" s="36" t="s">
        <v>765</v>
      </c>
      <c r="C604" s="36" t="s">
        <v>1414</v>
      </c>
    </row>
    <row r="605" spans="1:3" x14ac:dyDescent="0.2">
      <c r="A605" s="11" t="s">
        <v>116</v>
      </c>
      <c r="B605" s="36" t="s">
        <v>1421</v>
      </c>
      <c r="C605" s="36" t="s">
        <v>1411</v>
      </c>
    </row>
    <row r="606" spans="1:3" x14ac:dyDescent="0.2">
      <c r="A606" s="24" t="s">
        <v>192</v>
      </c>
      <c r="B606" s="37" t="s">
        <v>1418</v>
      </c>
      <c r="C606" s="37" t="s">
        <v>1415</v>
      </c>
    </row>
    <row r="607" spans="1:3" x14ac:dyDescent="0.2">
      <c r="A607" s="24" t="s">
        <v>192</v>
      </c>
      <c r="B607" s="37" t="s">
        <v>1419</v>
      </c>
      <c r="C607" s="37" t="s">
        <v>1416</v>
      </c>
    </row>
    <row r="608" spans="1:3" x14ac:dyDescent="0.2">
      <c r="A608" s="24" t="s">
        <v>192</v>
      </c>
      <c r="B608" s="37" t="s">
        <v>1420</v>
      </c>
      <c r="C608" s="37" t="s">
        <v>1417</v>
      </c>
    </row>
    <row r="609" spans="1:5" x14ac:dyDescent="0.2">
      <c r="A609" s="24" t="s">
        <v>192</v>
      </c>
      <c r="B609" s="37" t="s">
        <v>1426</v>
      </c>
      <c r="C609" s="37" t="s">
        <v>762</v>
      </c>
    </row>
    <row r="610" spans="1:5" x14ac:dyDescent="0.2">
      <c r="A610" s="24" t="s">
        <v>192</v>
      </c>
      <c r="B610" s="37" t="s">
        <v>1422</v>
      </c>
      <c r="C610" s="37" t="s">
        <v>1423</v>
      </c>
    </row>
    <row r="611" spans="1:5" x14ac:dyDescent="0.2">
      <c r="A611" s="24" t="s">
        <v>192</v>
      </c>
      <c r="B611" s="37" t="s">
        <v>1424</v>
      </c>
      <c r="C611" s="37" t="s">
        <v>1425</v>
      </c>
      <c r="E611" s="8"/>
    </row>
    <row r="612" spans="1:5" x14ac:dyDescent="0.2">
      <c r="A612" s="17"/>
      <c r="B612" s="8"/>
      <c r="C612" s="9"/>
    </row>
    <row r="613" spans="1:5" x14ac:dyDescent="0.2">
      <c r="A613" s="17"/>
      <c r="B613" s="8"/>
      <c r="C613" s="9"/>
    </row>
    <row r="614" spans="1:5" x14ac:dyDescent="0.2">
      <c r="A614" s="17"/>
      <c r="C614" s="9"/>
    </row>
    <row r="615" spans="1:5" x14ac:dyDescent="0.2">
      <c r="A615" s="17"/>
      <c r="B615" s="9"/>
      <c r="C615" s="9"/>
    </row>
    <row r="616" spans="1:5" x14ac:dyDescent="0.2">
      <c r="A616" s="17"/>
      <c r="B616" s="9"/>
      <c r="C616" s="9"/>
    </row>
    <row r="617" spans="1:5" x14ac:dyDescent="0.2">
      <c r="A617" s="17"/>
      <c r="B617" s="9"/>
      <c r="C617" s="9"/>
    </row>
    <row r="618" spans="1:5" x14ac:dyDescent="0.2">
      <c r="A618" s="17"/>
      <c r="B618" s="9"/>
      <c r="C618" s="9"/>
    </row>
    <row r="619" spans="1:5" x14ac:dyDescent="0.2">
      <c r="A619" s="17"/>
      <c r="B619" s="9"/>
      <c r="C619" s="9"/>
    </row>
    <row r="620" spans="1:5" x14ac:dyDescent="0.2">
      <c r="A620" s="17"/>
      <c r="B620" s="9"/>
      <c r="C620" s="9"/>
    </row>
    <row r="621" spans="1:5" x14ac:dyDescent="0.2">
      <c r="A621" s="17"/>
      <c r="B621" s="9"/>
      <c r="C621" s="9"/>
    </row>
  </sheetData>
  <autoFilter ref="A1:C583" xr:uid="{B7413CD7-1654-6445-A0B9-33DD140B272B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0284-B6F3-4444-BD84-141DD4EE7586}">
  <sheetPr>
    <tabColor rgb="FFFFD966"/>
  </sheetPr>
  <dimension ref="A1:AF276"/>
  <sheetViews>
    <sheetView topLeftCell="D1" zoomScale="114" zoomScaleNormal="114" workbookViewId="0">
      <pane ySplit="1" topLeftCell="A261" activePane="bottomLeft" state="frozen"/>
      <selection pane="bottomLeft" activeCell="H276" sqref="H276"/>
    </sheetView>
  </sheetViews>
  <sheetFormatPr baseColWidth="10" defaultRowHeight="16" x14ac:dyDescent="0.2"/>
  <cols>
    <col min="1" max="1" width="18.83203125" bestFit="1" customWidth="1"/>
    <col min="2" max="2" width="8.6640625" bestFit="1" customWidth="1"/>
    <col min="3" max="3" width="10.6640625" bestFit="1" customWidth="1"/>
    <col min="4" max="4" width="87.83203125" bestFit="1" customWidth="1"/>
    <col min="5" max="5" width="6.5" bestFit="1" customWidth="1"/>
    <col min="6" max="6" width="87.83203125" bestFit="1" customWidth="1"/>
    <col min="7" max="7" width="9.83203125" bestFit="1" customWidth="1"/>
    <col min="8" max="8" width="60.6640625" bestFit="1" customWidth="1"/>
    <col min="9" max="9" width="9.83203125" bestFit="1" customWidth="1"/>
    <col min="10" max="10" width="32" bestFit="1" customWidth="1"/>
    <col min="11" max="11" width="9.83203125" bestFit="1" customWidth="1"/>
    <col min="12" max="12" width="27.5" bestFit="1" customWidth="1"/>
    <col min="13" max="13" width="9.83203125" bestFit="1" customWidth="1"/>
    <col min="14" max="14" width="32.6640625" bestFit="1" customWidth="1"/>
    <col min="15" max="15" width="9.83203125" bestFit="1" customWidth="1"/>
    <col min="16" max="16" width="43.1640625" bestFit="1" customWidth="1"/>
    <col min="17" max="17" width="9.83203125" bestFit="1" customWidth="1"/>
    <col min="18" max="18" width="10" bestFit="1" customWidth="1"/>
    <col min="19" max="19" width="9.83203125" bestFit="1" customWidth="1"/>
    <col min="20" max="20" width="10" bestFit="1" customWidth="1"/>
    <col min="21" max="21" width="9.83203125" bestFit="1" customWidth="1"/>
  </cols>
  <sheetData>
    <row r="1" spans="1:32" x14ac:dyDescent="0.2">
      <c r="A1" s="1" t="s">
        <v>792</v>
      </c>
      <c r="B1" s="1" t="s">
        <v>364</v>
      </c>
      <c r="C1" s="4" t="s">
        <v>248</v>
      </c>
      <c r="D1" s="4" t="s">
        <v>247</v>
      </c>
      <c r="E1" s="4" t="s">
        <v>251</v>
      </c>
      <c r="F1" s="4" t="s">
        <v>252</v>
      </c>
      <c r="G1" s="4" t="s">
        <v>246</v>
      </c>
      <c r="H1" s="4" t="s">
        <v>253</v>
      </c>
      <c r="I1" s="4" t="s">
        <v>250</v>
      </c>
      <c r="J1" s="4" t="s">
        <v>254</v>
      </c>
      <c r="K1" s="3" t="s">
        <v>255</v>
      </c>
      <c r="L1" s="4" t="s">
        <v>553</v>
      </c>
      <c r="M1" s="4" t="s">
        <v>554</v>
      </c>
      <c r="N1" s="4" t="s">
        <v>555</v>
      </c>
      <c r="O1" s="4" t="s">
        <v>556</v>
      </c>
      <c r="P1" s="4" t="s">
        <v>557</v>
      </c>
      <c r="Q1" s="4" t="s">
        <v>558</v>
      </c>
      <c r="R1" s="4" t="s">
        <v>559</v>
      </c>
      <c r="S1" s="4" t="s">
        <v>560</v>
      </c>
      <c r="T1" s="4" t="s">
        <v>561</v>
      </c>
      <c r="U1" s="4" t="s">
        <v>562</v>
      </c>
      <c r="V1" s="4" t="s">
        <v>1399</v>
      </c>
      <c r="W1" s="4" t="s">
        <v>1400</v>
      </c>
      <c r="X1" s="4" t="s">
        <v>1401</v>
      </c>
      <c r="Y1" s="4" t="s">
        <v>1402</v>
      </c>
      <c r="Z1" s="4" t="s">
        <v>1403</v>
      </c>
      <c r="AA1" s="4" t="s">
        <v>1404</v>
      </c>
      <c r="AB1" s="4" t="s">
        <v>1405</v>
      </c>
      <c r="AC1" s="4" t="s">
        <v>1406</v>
      </c>
      <c r="AD1" s="4" t="s">
        <v>1407</v>
      </c>
      <c r="AE1" s="4" t="s">
        <v>1408</v>
      </c>
      <c r="AF1" s="4" t="s">
        <v>1409</v>
      </c>
    </row>
    <row r="2" spans="1:32" x14ac:dyDescent="0.2">
      <c r="A2" t="s">
        <v>793</v>
      </c>
      <c r="B2" t="s">
        <v>365</v>
      </c>
      <c r="C2" s="5" t="s">
        <v>189</v>
      </c>
      <c r="D2" s="3" t="s">
        <v>154</v>
      </c>
      <c r="E2" s="3" t="s">
        <v>190</v>
      </c>
      <c r="F2" s="3">
        <v>0</v>
      </c>
      <c r="G2" s="3"/>
      <c r="H2" s="4"/>
      <c r="I2" s="3"/>
      <c r="J2" s="3"/>
      <c r="K2" s="3"/>
      <c r="L2" s="3"/>
      <c r="M2" s="3"/>
      <c r="N2" s="3"/>
      <c r="O2" s="3"/>
      <c r="P2" s="3"/>
    </row>
    <row r="3" spans="1:32" x14ac:dyDescent="0.2">
      <c r="A3" t="s">
        <v>793</v>
      </c>
      <c r="B3" t="s">
        <v>365</v>
      </c>
      <c r="C3" s="5" t="s">
        <v>189</v>
      </c>
      <c r="D3" s="3" t="s">
        <v>191</v>
      </c>
      <c r="E3" s="3" t="s">
        <v>190</v>
      </c>
      <c r="F3" s="3">
        <v>1</v>
      </c>
      <c r="G3" s="3"/>
      <c r="H3" s="4"/>
      <c r="I3" s="3"/>
      <c r="J3" s="3"/>
      <c r="K3" s="3"/>
      <c r="L3" s="3"/>
      <c r="M3" s="3"/>
      <c r="N3" s="3"/>
      <c r="O3" s="3"/>
      <c r="P3" s="3"/>
    </row>
    <row r="4" spans="1:32" x14ac:dyDescent="0.2">
      <c r="A4" t="s">
        <v>795</v>
      </c>
      <c r="B4" t="s">
        <v>365</v>
      </c>
      <c r="C4" s="5" t="s">
        <v>189</v>
      </c>
      <c r="D4" s="3" t="s">
        <v>796</v>
      </c>
      <c r="E4" s="3" t="s">
        <v>190</v>
      </c>
      <c r="F4" s="3">
        <f>1/0.0000036</f>
        <v>277777.77777777781</v>
      </c>
      <c r="G4" s="3"/>
      <c r="H4" s="4"/>
      <c r="I4" s="3"/>
      <c r="J4" s="3"/>
      <c r="K4" s="3"/>
      <c r="L4" s="3"/>
      <c r="M4" s="3"/>
      <c r="N4" s="3"/>
      <c r="O4" s="3"/>
      <c r="P4" s="3"/>
    </row>
    <row r="5" spans="1:32" x14ac:dyDescent="0.2">
      <c r="A5" t="s">
        <v>795</v>
      </c>
      <c r="B5" t="s">
        <v>365</v>
      </c>
      <c r="C5" s="5" t="s">
        <v>189</v>
      </c>
      <c r="D5" s="3" t="s">
        <v>797</v>
      </c>
      <c r="E5" s="3" t="s">
        <v>190</v>
      </c>
      <c r="F5" s="3">
        <f>0.000001</f>
        <v>9.9999999999999995E-7</v>
      </c>
      <c r="G5" s="3"/>
      <c r="H5" s="4"/>
      <c r="I5" s="3"/>
      <c r="J5" s="3"/>
      <c r="K5" s="3"/>
      <c r="L5" s="3"/>
      <c r="M5" s="3"/>
      <c r="N5" s="3"/>
      <c r="O5" s="3"/>
      <c r="P5" s="3"/>
    </row>
    <row r="6" spans="1:32" x14ac:dyDescent="0.2">
      <c r="A6" t="s">
        <v>793</v>
      </c>
      <c r="B6" t="s">
        <v>365</v>
      </c>
      <c r="C6" s="3" t="s">
        <v>192</v>
      </c>
      <c r="D6" s="3" t="s">
        <v>193</v>
      </c>
      <c r="E6" s="3" t="s">
        <v>190</v>
      </c>
      <c r="F6" s="3">
        <v>2019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32" x14ac:dyDescent="0.2">
      <c r="A7" t="s">
        <v>795</v>
      </c>
      <c r="B7" t="s">
        <v>365</v>
      </c>
      <c r="C7" s="3" t="s">
        <v>192</v>
      </c>
      <c r="D7" s="3" t="s">
        <v>1356</v>
      </c>
      <c r="E7" s="3" t="s">
        <v>190</v>
      </c>
      <c r="F7" s="3" t="s">
        <v>195</v>
      </c>
      <c r="G7" s="3" t="s">
        <v>196</v>
      </c>
      <c r="H7" s="3" t="s">
        <v>362</v>
      </c>
      <c r="I7" s="3"/>
      <c r="J7" s="3"/>
      <c r="K7" s="3"/>
      <c r="L7" s="3"/>
      <c r="M7" s="3"/>
      <c r="N7" s="3"/>
      <c r="O7" s="3"/>
      <c r="P7" s="3"/>
    </row>
    <row r="8" spans="1:32" x14ac:dyDescent="0.2">
      <c r="A8" t="s">
        <v>795</v>
      </c>
      <c r="B8" t="s">
        <v>365</v>
      </c>
      <c r="C8" s="3" t="s">
        <v>192</v>
      </c>
      <c r="D8" s="3" t="s">
        <v>1357</v>
      </c>
      <c r="E8" s="3" t="s">
        <v>190</v>
      </c>
      <c r="F8" s="3" t="s">
        <v>195</v>
      </c>
      <c r="G8" s="3" t="s">
        <v>196</v>
      </c>
      <c r="H8" s="3" t="s">
        <v>700</v>
      </c>
      <c r="I8" s="3"/>
      <c r="J8" s="3"/>
      <c r="K8" s="3"/>
      <c r="L8" s="3"/>
      <c r="M8" s="3"/>
      <c r="N8" s="3"/>
      <c r="O8" s="3"/>
      <c r="P8" s="3"/>
    </row>
    <row r="9" spans="1:32" x14ac:dyDescent="0.2">
      <c r="A9" t="s">
        <v>795</v>
      </c>
      <c r="B9" t="s">
        <v>365</v>
      </c>
      <c r="C9" s="3" t="s">
        <v>192</v>
      </c>
      <c r="D9" s="3" t="s">
        <v>1358</v>
      </c>
      <c r="E9" s="3" t="s">
        <v>190</v>
      </c>
      <c r="F9" s="3" t="s">
        <v>195</v>
      </c>
      <c r="G9" s="3" t="s">
        <v>196</v>
      </c>
      <c r="H9" s="3" t="s">
        <v>701</v>
      </c>
      <c r="I9" s="3"/>
      <c r="J9" s="3"/>
      <c r="K9" s="3"/>
      <c r="L9" s="3"/>
      <c r="M9" s="3"/>
      <c r="N9" s="3"/>
      <c r="O9" s="3"/>
      <c r="P9" s="3"/>
    </row>
    <row r="10" spans="1:32" x14ac:dyDescent="0.2">
      <c r="A10" t="s">
        <v>795</v>
      </c>
      <c r="B10" t="s">
        <v>365</v>
      </c>
      <c r="C10" s="3" t="s">
        <v>192</v>
      </c>
      <c r="D10" s="3" t="s">
        <v>1359</v>
      </c>
      <c r="E10" s="3" t="s">
        <v>190</v>
      </c>
      <c r="F10" s="3" t="s">
        <v>195</v>
      </c>
      <c r="G10" s="3" t="s">
        <v>196</v>
      </c>
      <c r="H10" s="3" t="s">
        <v>702</v>
      </c>
      <c r="I10" s="3"/>
      <c r="J10" s="3"/>
      <c r="K10" s="3"/>
      <c r="L10" s="3"/>
      <c r="M10" s="3"/>
      <c r="N10" s="3"/>
      <c r="O10" s="3"/>
      <c r="P10" s="3"/>
    </row>
    <row r="11" spans="1:32" x14ac:dyDescent="0.2">
      <c r="A11" t="s">
        <v>795</v>
      </c>
      <c r="B11" t="s">
        <v>365</v>
      </c>
      <c r="C11" s="3" t="s">
        <v>192</v>
      </c>
      <c r="D11" s="3" t="s">
        <v>1360</v>
      </c>
      <c r="E11" s="3" t="s">
        <v>190</v>
      </c>
      <c r="F11" s="3" t="s">
        <v>195</v>
      </c>
      <c r="G11" s="3" t="s">
        <v>196</v>
      </c>
      <c r="H11" s="3" t="s">
        <v>703</v>
      </c>
      <c r="I11" s="3"/>
      <c r="J11" s="3"/>
      <c r="K11" s="3"/>
      <c r="L11" s="3"/>
      <c r="M11" s="3"/>
      <c r="N11" s="3"/>
      <c r="O11" s="3"/>
      <c r="P11" s="3"/>
    </row>
    <row r="12" spans="1:32" x14ac:dyDescent="0.2">
      <c r="A12" t="s">
        <v>793</v>
      </c>
      <c r="B12" t="s">
        <v>365</v>
      </c>
      <c r="C12" s="3" t="s">
        <v>192</v>
      </c>
      <c r="D12" s="3" t="s">
        <v>201</v>
      </c>
      <c r="E12" s="3" t="s">
        <v>190</v>
      </c>
      <c r="F12" s="3" t="s">
        <v>191</v>
      </c>
      <c r="G12" s="3" t="s">
        <v>196</v>
      </c>
      <c r="H12" s="3" t="s">
        <v>704</v>
      </c>
      <c r="I12" s="3"/>
      <c r="J12" s="3"/>
      <c r="K12" s="3"/>
      <c r="L12" s="3"/>
      <c r="M12" s="3"/>
      <c r="N12" s="3"/>
      <c r="O12" s="3"/>
      <c r="P12" s="3"/>
    </row>
    <row r="13" spans="1:32" x14ac:dyDescent="0.2">
      <c r="A13" t="s">
        <v>793</v>
      </c>
      <c r="B13" t="s">
        <v>365</v>
      </c>
      <c r="C13" s="3" t="s">
        <v>116</v>
      </c>
      <c r="D13" s="3" t="s">
        <v>202</v>
      </c>
      <c r="E13" s="3" t="s">
        <v>190</v>
      </c>
      <c r="F13" s="3" t="s">
        <v>203</v>
      </c>
      <c r="G13" s="3" t="s">
        <v>196</v>
      </c>
      <c r="H13" s="3" t="s">
        <v>705</v>
      </c>
      <c r="I13" s="3"/>
      <c r="J13" s="3"/>
      <c r="K13" s="3"/>
      <c r="L13" s="3"/>
      <c r="M13" s="3"/>
      <c r="N13" s="3"/>
      <c r="O13" s="3"/>
      <c r="P13" s="3"/>
    </row>
    <row r="14" spans="1:32" x14ac:dyDescent="0.2">
      <c r="A14" t="s">
        <v>793</v>
      </c>
      <c r="B14" t="s">
        <v>365</v>
      </c>
      <c r="C14" s="3" t="s">
        <v>116</v>
      </c>
      <c r="D14" s="3" t="s">
        <v>204</v>
      </c>
      <c r="E14" s="3" t="s">
        <v>190</v>
      </c>
      <c r="F14" s="3" t="s">
        <v>205</v>
      </c>
      <c r="G14" s="3" t="s">
        <v>196</v>
      </c>
      <c r="H14" s="3" t="s">
        <v>706</v>
      </c>
      <c r="I14" s="3"/>
      <c r="J14" s="3"/>
      <c r="K14" s="3"/>
      <c r="L14" s="3"/>
      <c r="M14" s="3"/>
      <c r="N14" s="3"/>
      <c r="O14" s="3"/>
      <c r="P14" s="3"/>
    </row>
    <row r="15" spans="1:32" x14ac:dyDescent="0.2">
      <c r="A15" t="s">
        <v>793</v>
      </c>
      <c r="B15" t="s">
        <v>365</v>
      </c>
      <c r="C15" s="3" t="s">
        <v>116</v>
      </c>
      <c r="D15" s="3" t="s">
        <v>206</v>
      </c>
      <c r="E15" s="3" t="s">
        <v>190</v>
      </c>
      <c r="F15" s="3" t="s">
        <v>202</v>
      </c>
      <c r="G15" s="3" t="s">
        <v>207</v>
      </c>
      <c r="H15" s="3" t="s">
        <v>204</v>
      </c>
      <c r="I15" s="3"/>
      <c r="J15" s="3"/>
      <c r="K15" s="3"/>
      <c r="L15" s="3"/>
      <c r="M15" s="3"/>
      <c r="N15" s="3"/>
      <c r="O15" s="3"/>
      <c r="P15" s="3"/>
    </row>
    <row r="16" spans="1:32" x14ac:dyDescent="0.2">
      <c r="A16" t="s">
        <v>793</v>
      </c>
      <c r="B16" t="s">
        <v>365</v>
      </c>
      <c r="C16" s="3" t="s">
        <v>116</v>
      </c>
      <c r="D16" s="3" t="s">
        <v>208</v>
      </c>
      <c r="E16" s="3" t="s">
        <v>190</v>
      </c>
      <c r="F16" s="3" t="s">
        <v>209</v>
      </c>
      <c r="G16" s="3" t="s">
        <v>196</v>
      </c>
      <c r="H16" s="3" t="s">
        <v>707</v>
      </c>
      <c r="I16" s="3"/>
      <c r="J16" s="3"/>
      <c r="K16" s="3"/>
      <c r="L16" s="3"/>
      <c r="M16" s="3"/>
      <c r="N16" s="3"/>
      <c r="O16" s="3"/>
      <c r="P16" s="3"/>
    </row>
    <row r="17" spans="1:16" x14ac:dyDescent="0.2">
      <c r="A17" t="s">
        <v>793</v>
      </c>
      <c r="B17" t="s">
        <v>365</v>
      </c>
      <c r="C17" s="3" t="s">
        <v>116</v>
      </c>
      <c r="D17" s="3" t="s">
        <v>210</v>
      </c>
      <c r="E17" s="3" t="s">
        <v>190</v>
      </c>
      <c r="F17" s="3">
        <v>0</v>
      </c>
      <c r="G17" s="3" t="s">
        <v>196</v>
      </c>
      <c r="H17" s="3" t="s">
        <v>708</v>
      </c>
      <c r="I17" s="3"/>
      <c r="J17" s="3"/>
      <c r="K17" s="3"/>
      <c r="L17" s="3"/>
      <c r="M17" s="3"/>
      <c r="N17" s="3"/>
      <c r="O17" s="3"/>
      <c r="P17" s="3"/>
    </row>
    <row r="18" spans="1:16" x14ac:dyDescent="0.2">
      <c r="A18" t="s">
        <v>793</v>
      </c>
      <c r="B18" t="s">
        <v>365</v>
      </c>
      <c r="C18" s="3" t="s">
        <v>116</v>
      </c>
      <c r="D18" s="3" t="s">
        <v>211</v>
      </c>
      <c r="E18" s="3" t="s">
        <v>190</v>
      </c>
      <c r="F18" s="3" t="s">
        <v>212</v>
      </c>
      <c r="G18" s="3" t="s">
        <v>196</v>
      </c>
      <c r="H18" s="3" t="s">
        <v>709</v>
      </c>
      <c r="I18" s="3"/>
      <c r="J18" s="3"/>
      <c r="K18" s="3"/>
      <c r="L18" s="3"/>
      <c r="M18" s="3"/>
      <c r="N18" s="3"/>
      <c r="O18" s="3"/>
      <c r="P18" s="3"/>
    </row>
    <row r="19" spans="1:16" x14ac:dyDescent="0.2">
      <c r="A19" t="s">
        <v>793</v>
      </c>
      <c r="B19" t="s">
        <v>365</v>
      </c>
      <c r="C19" s="3" t="s">
        <v>116</v>
      </c>
      <c r="D19" s="3" t="s">
        <v>213</v>
      </c>
      <c r="E19" s="3" t="s">
        <v>190</v>
      </c>
      <c r="F19" s="3" t="s">
        <v>214</v>
      </c>
      <c r="G19" s="3" t="s">
        <v>196</v>
      </c>
      <c r="H19" s="3" t="s">
        <v>710</v>
      </c>
      <c r="I19" s="3"/>
      <c r="J19" s="3"/>
      <c r="K19" s="3"/>
      <c r="L19" s="3"/>
      <c r="M19" s="3"/>
      <c r="N19" s="3"/>
      <c r="O19" s="3"/>
      <c r="P19" s="3"/>
    </row>
    <row r="20" spans="1:16" x14ac:dyDescent="0.2">
      <c r="A20" t="s">
        <v>795</v>
      </c>
      <c r="B20" t="s">
        <v>365</v>
      </c>
      <c r="C20" s="3" t="s">
        <v>116</v>
      </c>
      <c r="D20" s="3" t="s">
        <v>215</v>
      </c>
      <c r="E20" s="3" t="s">
        <v>190</v>
      </c>
      <c r="F20" s="3" t="s">
        <v>529</v>
      </c>
      <c r="G20" s="3" t="s">
        <v>196</v>
      </c>
      <c r="H20" t="s">
        <v>551</v>
      </c>
      <c r="I20" s="3"/>
      <c r="J20" s="3"/>
      <c r="K20" s="3"/>
      <c r="L20" s="3"/>
      <c r="M20" s="3"/>
      <c r="N20" s="3"/>
      <c r="O20" s="3"/>
      <c r="P20" s="3"/>
    </row>
    <row r="21" spans="1:16" x14ac:dyDescent="0.2">
      <c r="A21" t="s">
        <v>793</v>
      </c>
      <c r="B21" t="s">
        <v>365</v>
      </c>
      <c r="C21" s="3" t="s">
        <v>116</v>
      </c>
      <c r="D21" s="3" t="s">
        <v>217</v>
      </c>
      <c r="E21" s="3" t="s">
        <v>190</v>
      </c>
      <c r="F21" s="3" t="s">
        <v>216</v>
      </c>
      <c r="G21" s="3" t="s">
        <v>196</v>
      </c>
      <c r="H21" s="3" t="s">
        <v>711</v>
      </c>
      <c r="I21" s="3"/>
      <c r="J21" s="3"/>
      <c r="K21" s="3"/>
      <c r="L21" s="3"/>
      <c r="M21" s="3"/>
      <c r="N21" s="3"/>
      <c r="O21" s="3"/>
      <c r="P21" s="3"/>
    </row>
    <row r="22" spans="1:16" x14ac:dyDescent="0.2">
      <c r="A22" t="s">
        <v>795</v>
      </c>
      <c r="B22" t="s">
        <v>365</v>
      </c>
      <c r="C22" s="3" t="s">
        <v>116</v>
      </c>
      <c r="D22" s="3" t="s">
        <v>218</v>
      </c>
      <c r="E22" s="3" t="s">
        <v>190</v>
      </c>
      <c r="F22" s="3" t="s">
        <v>529</v>
      </c>
      <c r="G22" s="3" t="s">
        <v>196</v>
      </c>
      <c r="H22" s="8" t="s">
        <v>1410</v>
      </c>
      <c r="I22" s="3"/>
      <c r="J22" s="3"/>
      <c r="K22" s="3"/>
      <c r="L22" s="3"/>
      <c r="M22" s="3"/>
      <c r="N22" s="3"/>
      <c r="O22" s="3"/>
      <c r="P22" s="3"/>
    </row>
    <row r="23" spans="1:16" x14ac:dyDescent="0.2">
      <c r="A23" t="s">
        <v>793</v>
      </c>
      <c r="B23" t="s">
        <v>365</v>
      </c>
      <c r="C23" s="3" t="s">
        <v>116</v>
      </c>
      <c r="D23" s="3" t="s">
        <v>219</v>
      </c>
      <c r="E23" s="3" t="s">
        <v>190</v>
      </c>
      <c r="F23" s="3" t="s">
        <v>206</v>
      </c>
      <c r="G23" s="3" t="s">
        <v>220</v>
      </c>
      <c r="H23" s="3" t="s">
        <v>183</v>
      </c>
      <c r="I23" s="3"/>
      <c r="J23" s="3"/>
      <c r="K23" s="3"/>
      <c r="L23" s="3"/>
      <c r="M23" s="3"/>
      <c r="N23" s="3"/>
      <c r="O23" s="3"/>
      <c r="P23" s="3"/>
    </row>
    <row r="24" spans="1:16" x14ac:dyDescent="0.2">
      <c r="A24" t="s">
        <v>793</v>
      </c>
      <c r="B24" t="s">
        <v>365</v>
      </c>
      <c r="C24" s="3" t="s">
        <v>116</v>
      </c>
      <c r="D24" s="3" t="s">
        <v>221</v>
      </c>
      <c r="E24" s="3" t="s">
        <v>190</v>
      </c>
      <c r="F24" s="3" t="s">
        <v>208</v>
      </c>
      <c r="G24" s="3" t="s">
        <v>220</v>
      </c>
      <c r="H24" s="3" t="s">
        <v>183</v>
      </c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t="s">
        <v>793</v>
      </c>
      <c r="B25" t="s">
        <v>365</v>
      </c>
      <c r="C25" s="3" t="s">
        <v>116</v>
      </c>
      <c r="D25" s="3" t="s">
        <v>222</v>
      </c>
      <c r="E25" s="3" t="s">
        <v>190</v>
      </c>
      <c r="F25" s="3" t="s">
        <v>210</v>
      </c>
      <c r="G25" s="3" t="s">
        <v>220</v>
      </c>
      <c r="H25" s="3" t="s">
        <v>183</v>
      </c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t="s">
        <v>793</v>
      </c>
      <c r="B26" t="s">
        <v>365</v>
      </c>
      <c r="C26" s="3" t="s">
        <v>116</v>
      </c>
      <c r="D26" s="3" t="s">
        <v>223</v>
      </c>
      <c r="E26" s="3" t="s">
        <v>190</v>
      </c>
      <c r="F26" s="3" t="s">
        <v>211</v>
      </c>
      <c r="G26" s="3" t="s">
        <v>220</v>
      </c>
      <c r="H26" s="3" t="s">
        <v>183</v>
      </c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t="s">
        <v>793</v>
      </c>
      <c r="B27" t="s">
        <v>365</v>
      </c>
      <c r="C27" s="3" t="s">
        <v>116</v>
      </c>
      <c r="D27" s="3" t="s">
        <v>224</v>
      </c>
      <c r="E27" s="3" t="s">
        <v>190</v>
      </c>
      <c r="F27" s="3" t="s">
        <v>213</v>
      </c>
      <c r="G27" s="3" t="s">
        <v>220</v>
      </c>
      <c r="H27" s="3" t="s">
        <v>183</v>
      </c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t="s">
        <v>793</v>
      </c>
      <c r="B28" t="s">
        <v>365</v>
      </c>
      <c r="C28" s="3" t="s">
        <v>116</v>
      </c>
      <c r="D28" s="3" t="s">
        <v>225</v>
      </c>
      <c r="E28" s="3" t="s">
        <v>190</v>
      </c>
      <c r="F28" s="3">
        <v>1</v>
      </c>
      <c r="G28" s="3" t="s">
        <v>226</v>
      </c>
      <c r="H28" s="3" t="s">
        <v>219</v>
      </c>
      <c r="I28" s="3" t="s">
        <v>226</v>
      </c>
      <c r="J28" s="3" t="s">
        <v>221</v>
      </c>
      <c r="K28" s="3" t="s">
        <v>226</v>
      </c>
      <c r="L28" s="3" t="s">
        <v>222</v>
      </c>
      <c r="M28" s="3" t="s">
        <v>226</v>
      </c>
      <c r="N28" s="3" t="s">
        <v>224</v>
      </c>
      <c r="O28" s="3" t="s">
        <v>226</v>
      </c>
      <c r="P28" s="3" t="s">
        <v>223</v>
      </c>
    </row>
    <row r="29" spans="1:16" x14ac:dyDescent="0.2">
      <c r="A29" t="s">
        <v>793</v>
      </c>
      <c r="B29" t="s">
        <v>365</v>
      </c>
      <c r="C29" s="3" t="s">
        <v>116</v>
      </c>
      <c r="D29" s="3" t="s">
        <v>227</v>
      </c>
      <c r="E29" s="3" t="s">
        <v>190</v>
      </c>
      <c r="F29" s="3" t="s">
        <v>218</v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t="s">
        <v>793</v>
      </c>
      <c r="B30" t="s">
        <v>365</v>
      </c>
      <c r="C30" s="3" t="s">
        <v>116</v>
      </c>
      <c r="D30" s="3" t="s">
        <v>228</v>
      </c>
      <c r="E30" s="3" t="s">
        <v>190</v>
      </c>
      <c r="F30" s="3" t="s">
        <v>183</v>
      </c>
      <c r="G30" s="3" t="s">
        <v>226</v>
      </c>
      <c r="H30" s="6" t="s">
        <v>227</v>
      </c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t="s">
        <v>793</v>
      </c>
      <c r="B31" t="s">
        <v>365</v>
      </c>
      <c r="C31" s="3" t="s">
        <v>116</v>
      </c>
      <c r="D31" s="3" t="s">
        <v>229</v>
      </c>
      <c r="E31" s="3" t="s">
        <v>190</v>
      </c>
      <c r="F31" s="3" t="s">
        <v>230</v>
      </c>
      <c r="G31" s="3" t="s">
        <v>196</v>
      </c>
      <c r="H31" s="3" t="s">
        <v>712</v>
      </c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t="s">
        <v>793</v>
      </c>
      <c r="B32" t="s">
        <v>365</v>
      </c>
      <c r="C32" s="3" t="s">
        <v>116</v>
      </c>
      <c r="D32" s="3" t="s">
        <v>231</v>
      </c>
      <c r="E32" s="3" t="s">
        <v>190</v>
      </c>
      <c r="F32" s="3" t="s">
        <v>232</v>
      </c>
      <c r="G32" s="3" t="s">
        <v>196</v>
      </c>
      <c r="H32" s="3" t="s">
        <v>713</v>
      </c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t="s">
        <v>793</v>
      </c>
      <c r="B33" t="s">
        <v>365</v>
      </c>
      <c r="C33" s="3" t="s">
        <v>116</v>
      </c>
      <c r="D33" s="3" t="s">
        <v>233</v>
      </c>
      <c r="E33" s="3" t="s">
        <v>190</v>
      </c>
      <c r="F33" s="3" t="s">
        <v>234</v>
      </c>
      <c r="G33" s="3" t="s">
        <v>196</v>
      </c>
      <c r="H33" s="3" t="s">
        <v>714</v>
      </c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t="s">
        <v>793</v>
      </c>
      <c r="B34" t="s">
        <v>365</v>
      </c>
      <c r="C34" s="3" t="s">
        <v>116</v>
      </c>
      <c r="D34" s="3" t="s">
        <v>235</v>
      </c>
      <c r="E34" s="3" t="s">
        <v>190</v>
      </c>
      <c r="F34" s="3" t="s">
        <v>236</v>
      </c>
      <c r="G34" s="3" t="s">
        <v>196</v>
      </c>
      <c r="H34" s="3" t="s">
        <v>715</v>
      </c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t="s">
        <v>793</v>
      </c>
      <c r="B35" t="s">
        <v>365</v>
      </c>
      <c r="C35" s="3" t="s">
        <v>116</v>
      </c>
      <c r="D35" s="3" t="s">
        <v>187</v>
      </c>
      <c r="E35" s="3" t="s">
        <v>190</v>
      </c>
      <c r="F35" s="3" t="s">
        <v>229</v>
      </c>
      <c r="G35" s="3" t="s">
        <v>207</v>
      </c>
      <c r="H35" s="3" t="s">
        <v>231</v>
      </c>
      <c r="I35" s="3" t="s">
        <v>207</v>
      </c>
      <c r="J35" s="3" t="s">
        <v>233</v>
      </c>
      <c r="K35" s="3" t="s">
        <v>207</v>
      </c>
      <c r="L35" s="3" t="s">
        <v>235</v>
      </c>
      <c r="M35" s="3"/>
      <c r="N35" s="3"/>
      <c r="O35" s="3"/>
      <c r="P35" s="3"/>
    </row>
    <row r="36" spans="1:16" x14ac:dyDescent="0.2">
      <c r="A36" t="s">
        <v>793</v>
      </c>
      <c r="B36" t="s">
        <v>365</v>
      </c>
      <c r="C36" s="3" t="s">
        <v>116</v>
      </c>
      <c r="D36" s="3" t="s">
        <v>237</v>
      </c>
      <c r="E36" s="3" t="s">
        <v>190</v>
      </c>
      <c r="F36" s="3" t="s">
        <v>229</v>
      </c>
      <c r="G36" s="3" t="s">
        <v>220</v>
      </c>
      <c r="H36" s="3" t="s">
        <v>187</v>
      </c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t="s">
        <v>793</v>
      </c>
      <c r="B37" t="s">
        <v>365</v>
      </c>
      <c r="C37" s="3" t="s">
        <v>116</v>
      </c>
      <c r="D37" s="3" t="s">
        <v>238</v>
      </c>
      <c r="E37" s="3" t="s">
        <v>190</v>
      </c>
      <c r="F37" s="3" t="s">
        <v>231</v>
      </c>
      <c r="G37" s="3" t="s">
        <v>220</v>
      </c>
      <c r="H37" s="3" t="s">
        <v>187</v>
      </c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t="s">
        <v>793</v>
      </c>
      <c r="B38" t="s">
        <v>365</v>
      </c>
      <c r="C38" s="3" t="s">
        <v>116</v>
      </c>
      <c r="D38" s="3" t="s">
        <v>239</v>
      </c>
      <c r="E38" s="3" t="s">
        <v>190</v>
      </c>
      <c r="F38" s="3" t="s">
        <v>233</v>
      </c>
      <c r="G38" s="3" t="s">
        <v>220</v>
      </c>
      <c r="H38" s="3" t="s">
        <v>187</v>
      </c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t="s">
        <v>793</v>
      </c>
      <c r="B39" t="s">
        <v>365</v>
      </c>
      <c r="C39" s="3" t="s">
        <v>116</v>
      </c>
      <c r="D39" s="3" t="s">
        <v>240</v>
      </c>
      <c r="E39" s="3" t="s">
        <v>190</v>
      </c>
      <c r="F39" s="3">
        <v>1</v>
      </c>
      <c r="G39" s="3" t="s">
        <v>226</v>
      </c>
      <c r="H39" s="3" t="s">
        <v>237</v>
      </c>
      <c r="I39" s="3" t="s">
        <v>226</v>
      </c>
      <c r="J39" s="3" t="s">
        <v>238</v>
      </c>
      <c r="K39" s="3" t="s">
        <v>226</v>
      </c>
      <c r="L39" s="3" t="s">
        <v>239</v>
      </c>
      <c r="M39" s="3"/>
      <c r="N39" s="3"/>
      <c r="O39" s="3"/>
      <c r="P39" s="3"/>
    </row>
    <row r="40" spans="1:16" x14ac:dyDescent="0.2">
      <c r="A40" t="s">
        <v>793</v>
      </c>
      <c r="B40" t="s">
        <v>365</v>
      </c>
      <c r="C40" s="3" t="s">
        <v>116</v>
      </c>
      <c r="D40" s="3" t="s">
        <v>178</v>
      </c>
      <c r="E40" s="3" t="s">
        <v>190</v>
      </c>
      <c r="F40" s="3" t="s">
        <v>241</v>
      </c>
      <c r="G40" s="3" t="s">
        <v>196</v>
      </c>
      <c r="H40" s="3" t="s">
        <v>716</v>
      </c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t="s">
        <v>793</v>
      </c>
      <c r="B41" t="s">
        <v>365</v>
      </c>
      <c r="C41" s="3" t="s">
        <v>116</v>
      </c>
      <c r="D41" s="3" t="s">
        <v>242</v>
      </c>
      <c r="E41" s="3" t="s">
        <v>190</v>
      </c>
      <c r="F41" s="3" t="s">
        <v>717</v>
      </c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t="s">
        <v>793</v>
      </c>
      <c r="B42" t="s">
        <v>365</v>
      </c>
      <c r="C42" s="3" t="s">
        <v>116</v>
      </c>
      <c r="D42" s="3" t="s">
        <v>243</v>
      </c>
      <c r="E42" s="3" t="s">
        <v>190</v>
      </c>
      <c r="F42" s="3" t="s">
        <v>244</v>
      </c>
      <c r="G42" s="3" t="s">
        <v>196</v>
      </c>
      <c r="H42" s="3" t="s">
        <v>718</v>
      </c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t="s">
        <v>793</v>
      </c>
      <c r="B43" t="s">
        <v>365</v>
      </c>
      <c r="C43" s="3" t="s">
        <v>116</v>
      </c>
      <c r="D43" t="s">
        <v>245</v>
      </c>
      <c r="E43" t="s">
        <v>190</v>
      </c>
      <c r="F43">
        <v>1</v>
      </c>
      <c r="G43" t="s">
        <v>226</v>
      </c>
      <c r="H43" t="s">
        <v>242</v>
      </c>
      <c r="I43" t="s">
        <v>226</v>
      </c>
      <c r="J43" t="s">
        <v>243</v>
      </c>
    </row>
    <row r="44" spans="1:16" x14ac:dyDescent="0.2">
      <c r="A44" t="s">
        <v>793</v>
      </c>
      <c r="B44" t="s">
        <v>365</v>
      </c>
      <c r="C44" t="s">
        <v>20</v>
      </c>
      <c r="D44" t="s">
        <v>163</v>
      </c>
      <c r="E44" t="s">
        <v>190</v>
      </c>
      <c r="F44" t="s">
        <v>256</v>
      </c>
      <c r="G44" t="s">
        <v>226</v>
      </c>
      <c r="H44" t="s">
        <v>227</v>
      </c>
      <c r="I44" t="s">
        <v>207</v>
      </c>
      <c r="J44" t="s">
        <v>257</v>
      </c>
    </row>
    <row r="45" spans="1:16" x14ac:dyDescent="0.2">
      <c r="A45" t="s">
        <v>793</v>
      </c>
      <c r="B45" t="s">
        <v>365</v>
      </c>
      <c r="C45" t="s">
        <v>20</v>
      </c>
      <c r="D45" t="s">
        <v>258</v>
      </c>
      <c r="E45" t="s">
        <v>190</v>
      </c>
      <c r="F45" t="s">
        <v>154</v>
      </c>
    </row>
    <row r="46" spans="1:16" x14ac:dyDescent="0.2">
      <c r="A46" t="s">
        <v>793</v>
      </c>
      <c r="B46" t="s">
        <v>365</v>
      </c>
      <c r="C46" t="s">
        <v>6</v>
      </c>
      <c r="D46" t="s">
        <v>259</v>
      </c>
      <c r="E46" t="s">
        <v>190</v>
      </c>
      <c r="F46" t="s">
        <v>154</v>
      </c>
    </row>
    <row r="47" spans="1:16" x14ac:dyDescent="0.2">
      <c r="A47" t="s">
        <v>793</v>
      </c>
      <c r="B47" t="s">
        <v>365</v>
      </c>
      <c r="C47" t="s">
        <v>6</v>
      </c>
      <c r="D47" t="s">
        <v>155</v>
      </c>
      <c r="E47" t="s">
        <v>190</v>
      </c>
      <c r="F47" t="s">
        <v>495</v>
      </c>
      <c r="G47" t="s">
        <v>226</v>
      </c>
      <c r="H47" t="s">
        <v>178</v>
      </c>
      <c r="I47" t="s">
        <v>226</v>
      </c>
      <c r="J47" t="s">
        <v>228</v>
      </c>
      <c r="K47" t="s">
        <v>207</v>
      </c>
      <c r="L47" t="s">
        <v>261</v>
      </c>
    </row>
    <row r="48" spans="1:16" x14ac:dyDescent="0.2">
      <c r="A48" t="s">
        <v>793</v>
      </c>
      <c r="B48" t="s">
        <v>365</v>
      </c>
      <c r="C48" t="s">
        <v>0</v>
      </c>
      <c r="D48" t="s">
        <v>152</v>
      </c>
      <c r="E48" t="s">
        <v>190</v>
      </c>
      <c r="F48" t="s">
        <v>262</v>
      </c>
      <c r="G48" t="s">
        <v>196</v>
      </c>
      <c r="H48" t="s">
        <v>263</v>
      </c>
    </row>
    <row r="49" spans="1:12" x14ac:dyDescent="0.2">
      <c r="A49" t="s">
        <v>793</v>
      </c>
      <c r="B49" t="s">
        <v>365</v>
      </c>
      <c r="C49" t="s">
        <v>0</v>
      </c>
      <c r="D49" t="s">
        <v>264</v>
      </c>
      <c r="E49" t="s">
        <v>190</v>
      </c>
      <c r="F49" t="s">
        <v>265</v>
      </c>
      <c r="G49" t="s">
        <v>196</v>
      </c>
      <c r="H49" t="s">
        <v>263</v>
      </c>
    </row>
    <row r="50" spans="1:12" x14ac:dyDescent="0.2">
      <c r="A50" t="s">
        <v>793</v>
      </c>
      <c r="B50" t="s">
        <v>365</v>
      </c>
      <c r="C50" t="s">
        <v>0</v>
      </c>
      <c r="D50" t="s">
        <v>266</v>
      </c>
      <c r="E50" t="s">
        <v>190</v>
      </c>
      <c r="F50" t="s">
        <v>263</v>
      </c>
      <c r="G50" t="s">
        <v>207</v>
      </c>
      <c r="H50" t="s">
        <v>156</v>
      </c>
    </row>
    <row r="51" spans="1:12" x14ac:dyDescent="0.2">
      <c r="A51" t="s">
        <v>793</v>
      </c>
      <c r="B51" t="s">
        <v>365</v>
      </c>
      <c r="C51" t="s">
        <v>0</v>
      </c>
      <c r="D51" t="s">
        <v>267</v>
      </c>
      <c r="E51" t="s">
        <v>190</v>
      </c>
      <c r="F51" t="s">
        <v>263</v>
      </c>
      <c r="G51" t="s">
        <v>220</v>
      </c>
      <c r="H51" t="s">
        <v>266</v>
      </c>
    </row>
    <row r="52" spans="1:12" x14ac:dyDescent="0.2">
      <c r="A52" t="s">
        <v>793</v>
      </c>
      <c r="B52" t="s">
        <v>365</v>
      </c>
      <c r="C52" t="s">
        <v>0</v>
      </c>
      <c r="D52" t="s">
        <v>268</v>
      </c>
      <c r="E52" t="s">
        <v>190</v>
      </c>
      <c r="F52" t="s">
        <v>267</v>
      </c>
      <c r="G52" t="s">
        <v>196</v>
      </c>
      <c r="H52" t="s">
        <v>269</v>
      </c>
    </row>
    <row r="53" spans="1:12" x14ac:dyDescent="0.2">
      <c r="A53" t="s">
        <v>793</v>
      </c>
      <c r="B53" t="s">
        <v>365</v>
      </c>
      <c r="C53" t="s">
        <v>0</v>
      </c>
      <c r="D53" t="s">
        <v>270</v>
      </c>
      <c r="E53" t="s">
        <v>190</v>
      </c>
      <c r="F53" t="s">
        <v>269</v>
      </c>
      <c r="G53" t="s">
        <v>226</v>
      </c>
      <c r="H53" t="s">
        <v>268</v>
      </c>
    </row>
    <row r="54" spans="1:12" x14ac:dyDescent="0.2">
      <c r="A54" t="s">
        <v>793</v>
      </c>
      <c r="B54" t="s">
        <v>365</v>
      </c>
      <c r="C54" t="s">
        <v>0</v>
      </c>
      <c r="D54" t="s">
        <v>271</v>
      </c>
      <c r="E54" t="s">
        <v>190</v>
      </c>
      <c r="F54" t="s">
        <v>268</v>
      </c>
      <c r="G54" t="s">
        <v>220</v>
      </c>
      <c r="H54" s="3" t="s">
        <v>719</v>
      </c>
    </row>
    <row r="55" spans="1:12" x14ac:dyDescent="0.2">
      <c r="A55" t="s">
        <v>793</v>
      </c>
      <c r="B55" t="s">
        <v>365</v>
      </c>
      <c r="C55" t="s">
        <v>0</v>
      </c>
      <c r="D55" t="s">
        <v>272</v>
      </c>
      <c r="E55" t="s">
        <v>190</v>
      </c>
      <c r="F55" t="s">
        <v>273</v>
      </c>
      <c r="G55" t="s">
        <v>196</v>
      </c>
      <c r="H55" s="3" t="s">
        <v>720</v>
      </c>
    </row>
    <row r="56" spans="1:12" x14ac:dyDescent="0.2">
      <c r="A56" t="s">
        <v>793</v>
      </c>
      <c r="B56" t="s">
        <v>365</v>
      </c>
      <c r="C56" t="s">
        <v>0</v>
      </c>
      <c r="D56" t="s">
        <v>274</v>
      </c>
      <c r="E56" t="s">
        <v>190</v>
      </c>
      <c r="F56" t="s">
        <v>264</v>
      </c>
      <c r="G56" t="s">
        <v>196</v>
      </c>
      <c r="H56" s="3" t="s">
        <v>721</v>
      </c>
    </row>
    <row r="57" spans="1:12" x14ac:dyDescent="0.2">
      <c r="A57" t="s">
        <v>793</v>
      </c>
      <c r="B57" t="s">
        <v>365</v>
      </c>
      <c r="C57" t="s">
        <v>0</v>
      </c>
      <c r="D57" t="s">
        <v>275</v>
      </c>
      <c r="E57" t="s">
        <v>190</v>
      </c>
      <c r="F57" t="s">
        <v>264</v>
      </c>
      <c r="G57" t="s">
        <v>196</v>
      </c>
      <c r="H57" s="3" t="s">
        <v>722</v>
      </c>
    </row>
    <row r="58" spans="1:12" x14ac:dyDescent="0.2">
      <c r="A58" t="s">
        <v>793</v>
      </c>
      <c r="B58" t="s">
        <v>365</v>
      </c>
      <c r="C58" t="s">
        <v>0</v>
      </c>
      <c r="D58" t="s">
        <v>153</v>
      </c>
      <c r="E58" t="s">
        <v>190</v>
      </c>
      <c r="F58" t="s">
        <v>274</v>
      </c>
      <c r="G58" t="s">
        <v>207</v>
      </c>
      <c r="H58" t="s">
        <v>276</v>
      </c>
      <c r="I58" t="s">
        <v>207</v>
      </c>
      <c r="J58" t="s">
        <v>268</v>
      </c>
    </row>
    <row r="59" spans="1:12" x14ac:dyDescent="0.2">
      <c r="A59" t="s">
        <v>793</v>
      </c>
      <c r="B59" t="s">
        <v>365</v>
      </c>
      <c r="C59" t="s">
        <v>0</v>
      </c>
      <c r="D59" t="s">
        <v>151</v>
      </c>
      <c r="E59" t="s">
        <v>190</v>
      </c>
      <c r="F59" t="s">
        <v>277</v>
      </c>
      <c r="G59" t="s">
        <v>207</v>
      </c>
      <c r="H59" t="s">
        <v>275</v>
      </c>
    </row>
    <row r="60" spans="1:12" x14ac:dyDescent="0.2">
      <c r="A60" t="s">
        <v>793</v>
      </c>
      <c r="B60" t="s">
        <v>365</v>
      </c>
      <c r="C60" t="s">
        <v>28</v>
      </c>
      <c r="D60" t="s">
        <v>280</v>
      </c>
      <c r="E60" t="s">
        <v>190</v>
      </c>
      <c r="F60" t="s">
        <v>281</v>
      </c>
      <c r="G60" t="s">
        <v>196</v>
      </c>
      <c r="H60" s="3" t="s">
        <v>723</v>
      </c>
    </row>
    <row r="61" spans="1:12" x14ac:dyDescent="0.2">
      <c r="A61" t="s">
        <v>793</v>
      </c>
      <c r="B61" t="s">
        <v>365</v>
      </c>
      <c r="C61" t="s">
        <v>28</v>
      </c>
      <c r="D61" t="s">
        <v>282</v>
      </c>
      <c r="E61" t="s">
        <v>190</v>
      </c>
      <c r="F61" t="s">
        <v>283</v>
      </c>
      <c r="G61" t="s">
        <v>196</v>
      </c>
      <c r="H61" s="3" t="s">
        <v>724</v>
      </c>
    </row>
    <row r="62" spans="1:12" x14ac:dyDescent="0.2">
      <c r="A62" t="s">
        <v>793</v>
      </c>
      <c r="B62" t="s">
        <v>365</v>
      </c>
      <c r="C62" t="s">
        <v>28</v>
      </c>
      <c r="D62" t="s">
        <v>284</v>
      </c>
      <c r="E62" t="s">
        <v>190</v>
      </c>
      <c r="F62" t="s">
        <v>285</v>
      </c>
      <c r="G62" t="s">
        <v>196</v>
      </c>
      <c r="H62" s="3" t="s">
        <v>725</v>
      </c>
    </row>
    <row r="63" spans="1:12" x14ac:dyDescent="0.2">
      <c r="A63" t="s">
        <v>793</v>
      </c>
      <c r="B63" t="s">
        <v>365</v>
      </c>
      <c r="C63" t="s">
        <v>28</v>
      </c>
      <c r="D63" t="s">
        <v>286</v>
      </c>
      <c r="E63" t="s">
        <v>190</v>
      </c>
      <c r="F63" t="s">
        <v>287</v>
      </c>
      <c r="G63" t="s">
        <v>196</v>
      </c>
      <c r="H63" s="3" t="s">
        <v>726</v>
      </c>
    </row>
    <row r="64" spans="1:12" x14ac:dyDescent="0.2">
      <c r="A64" t="s">
        <v>793</v>
      </c>
      <c r="B64" t="s">
        <v>365</v>
      </c>
      <c r="C64" t="s">
        <v>28</v>
      </c>
      <c r="D64" t="s">
        <v>288</v>
      </c>
      <c r="E64" t="s">
        <v>190</v>
      </c>
      <c r="F64" t="s">
        <v>280</v>
      </c>
      <c r="G64" t="s">
        <v>207</v>
      </c>
      <c r="H64" t="s">
        <v>282</v>
      </c>
      <c r="I64" t="s">
        <v>207</v>
      </c>
      <c r="J64" t="s">
        <v>284</v>
      </c>
      <c r="K64" t="s">
        <v>207</v>
      </c>
      <c r="L64" t="s">
        <v>286</v>
      </c>
    </row>
    <row r="65" spans="1:8" x14ac:dyDescent="0.2">
      <c r="A65" t="s">
        <v>793</v>
      </c>
      <c r="B65" t="s">
        <v>365</v>
      </c>
      <c r="C65" t="s">
        <v>28</v>
      </c>
      <c r="D65" t="s">
        <v>289</v>
      </c>
      <c r="E65" t="s">
        <v>190</v>
      </c>
      <c r="F65" t="s">
        <v>290</v>
      </c>
      <c r="G65" t="s">
        <v>226</v>
      </c>
      <c r="H65" t="s">
        <v>288</v>
      </c>
    </row>
    <row r="66" spans="1:8" x14ac:dyDescent="0.2">
      <c r="A66" t="s">
        <v>795</v>
      </c>
      <c r="B66" t="s">
        <v>365</v>
      </c>
      <c r="C66" t="s">
        <v>28</v>
      </c>
      <c r="D66" t="s">
        <v>168</v>
      </c>
      <c r="E66" t="s">
        <v>190</v>
      </c>
      <c r="F66" s="9" t="s">
        <v>1222</v>
      </c>
      <c r="G66" t="s">
        <v>196</v>
      </c>
      <c r="H66" s="9" t="s">
        <v>1272</v>
      </c>
    </row>
    <row r="67" spans="1:8" x14ac:dyDescent="0.2">
      <c r="A67" t="s">
        <v>795</v>
      </c>
      <c r="B67" t="s">
        <v>365</v>
      </c>
      <c r="C67" t="s">
        <v>28</v>
      </c>
      <c r="D67" t="s">
        <v>170</v>
      </c>
      <c r="E67" t="s">
        <v>190</v>
      </c>
      <c r="F67" s="9" t="s">
        <v>1230</v>
      </c>
      <c r="G67" t="s">
        <v>196</v>
      </c>
      <c r="H67" s="9" t="s">
        <v>1273</v>
      </c>
    </row>
    <row r="68" spans="1:8" x14ac:dyDescent="0.2">
      <c r="A68" t="s">
        <v>795</v>
      </c>
      <c r="B68" t="s">
        <v>365</v>
      </c>
      <c r="C68" t="s">
        <v>28</v>
      </c>
      <c r="D68" t="s">
        <v>172</v>
      </c>
      <c r="E68" t="s">
        <v>190</v>
      </c>
      <c r="F68" s="9" t="s">
        <v>1248</v>
      </c>
      <c r="G68" t="s">
        <v>196</v>
      </c>
      <c r="H68" s="9" t="s">
        <v>1274</v>
      </c>
    </row>
    <row r="69" spans="1:8" x14ac:dyDescent="0.2">
      <c r="A69" t="s">
        <v>795</v>
      </c>
      <c r="B69" t="s">
        <v>365</v>
      </c>
      <c r="C69" t="s">
        <v>28</v>
      </c>
      <c r="D69" t="s">
        <v>176</v>
      </c>
      <c r="E69" t="s">
        <v>190</v>
      </c>
      <c r="F69" s="9" t="s">
        <v>1243</v>
      </c>
      <c r="G69" t="s">
        <v>196</v>
      </c>
      <c r="H69" s="9" t="s">
        <v>1275</v>
      </c>
    </row>
    <row r="70" spans="1:8" x14ac:dyDescent="0.2">
      <c r="A70" t="s">
        <v>795</v>
      </c>
      <c r="B70" t="s">
        <v>365</v>
      </c>
      <c r="C70" t="s">
        <v>28</v>
      </c>
      <c r="D70" t="s">
        <v>174</v>
      </c>
      <c r="E70" t="s">
        <v>190</v>
      </c>
      <c r="F70" s="9" t="s">
        <v>911</v>
      </c>
      <c r="G70" t="s">
        <v>196</v>
      </c>
      <c r="H70" s="9" t="s">
        <v>1276</v>
      </c>
    </row>
    <row r="71" spans="1:8" x14ac:dyDescent="0.2">
      <c r="A71" t="s">
        <v>793</v>
      </c>
      <c r="B71" t="s">
        <v>365</v>
      </c>
      <c r="C71" t="s">
        <v>28</v>
      </c>
      <c r="D71" t="s">
        <v>300</v>
      </c>
      <c r="E71" t="s">
        <v>190</v>
      </c>
      <c r="F71" t="s">
        <v>281</v>
      </c>
      <c r="G71" t="s">
        <v>196</v>
      </c>
      <c r="H71" s="3" t="s">
        <v>727</v>
      </c>
    </row>
    <row r="72" spans="1:8" x14ac:dyDescent="0.2">
      <c r="A72" t="s">
        <v>793</v>
      </c>
      <c r="B72" t="s">
        <v>365</v>
      </c>
      <c r="C72" t="s">
        <v>28</v>
      </c>
      <c r="D72" t="s">
        <v>301</v>
      </c>
      <c r="E72" t="s">
        <v>190</v>
      </c>
      <c r="F72" t="s">
        <v>283</v>
      </c>
      <c r="G72" t="s">
        <v>196</v>
      </c>
      <c r="H72" s="3" t="s">
        <v>728</v>
      </c>
    </row>
    <row r="73" spans="1:8" x14ac:dyDescent="0.2">
      <c r="A73" t="s">
        <v>793</v>
      </c>
      <c r="B73" t="s">
        <v>365</v>
      </c>
      <c r="C73" t="s">
        <v>28</v>
      </c>
      <c r="D73" t="s">
        <v>302</v>
      </c>
      <c r="E73" t="s">
        <v>190</v>
      </c>
      <c r="F73" t="s">
        <v>300</v>
      </c>
      <c r="G73" t="s">
        <v>220</v>
      </c>
      <c r="H73" s="3" t="s">
        <v>363</v>
      </c>
    </row>
    <row r="74" spans="1:8" x14ac:dyDescent="0.2">
      <c r="A74" t="s">
        <v>793</v>
      </c>
      <c r="B74" t="s">
        <v>365</v>
      </c>
      <c r="C74" t="s">
        <v>28</v>
      </c>
      <c r="D74" t="s">
        <v>303</v>
      </c>
      <c r="E74" t="s">
        <v>190</v>
      </c>
      <c r="F74" t="s">
        <v>301</v>
      </c>
      <c r="G74" t="s">
        <v>220</v>
      </c>
      <c r="H74" s="3" t="s">
        <v>363</v>
      </c>
    </row>
    <row r="75" spans="1:8" x14ac:dyDescent="0.2">
      <c r="A75" t="s">
        <v>793</v>
      </c>
      <c r="B75" t="s">
        <v>365</v>
      </c>
      <c r="C75" t="s">
        <v>28</v>
      </c>
      <c r="D75" t="s">
        <v>304</v>
      </c>
      <c r="E75" t="s">
        <v>190</v>
      </c>
      <c r="F75" t="s">
        <v>281</v>
      </c>
      <c r="G75" t="s">
        <v>196</v>
      </c>
      <c r="H75" s="3" t="s">
        <v>729</v>
      </c>
    </row>
    <row r="76" spans="1:8" x14ac:dyDescent="0.2">
      <c r="A76" t="s">
        <v>793</v>
      </c>
      <c r="B76" t="s">
        <v>365</v>
      </c>
      <c r="C76" t="s">
        <v>28</v>
      </c>
      <c r="D76" t="s">
        <v>305</v>
      </c>
      <c r="E76" t="s">
        <v>190</v>
      </c>
      <c r="F76" t="s">
        <v>283</v>
      </c>
      <c r="G76" t="s">
        <v>196</v>
      </c>
      <c r="H76" s="3" t="s">
        <v>730</v>
      </c>
    </row>
    <row r="77" spans="1:8" x14ac:dyDescent="0.2">
      <c r="A77" t="s">
        <v>793</v>
      </c>
      <c r="B77" t="s">
        <v>365</v>
      </c>
      <c r="C77" t="s">
        <v>28</v>
      </c>
      <c r="D77" t="s">
        <v>306</v>
      </c>
      <c r="E77" t="s">
        <v>190</v>
      </c>
      <c r="F77" t="s">
        <v>304</v>
      </c>
      <c r="G77" t="s">
        <v>207</v>
      </c>
      <c r="H77" t="s">
        <v>302</v>
      </c>
    </row>
    <row r="78" spans="1:8" x14ac:dyDescent="0.2">
      <c r="A78" t="s">
        <v>793</v>
      </c>
      <c r="B78" t="s">
        <v>365</v>
      </c>
      <c r="C78" t="s">
        <v>28</v>
      </c>
      <c r="D78" t="s">
        <v>307</v>
      </c>
      <c r="E78" t="s">
        <v>190</v>
      </c>
      <c r="F78" t="s">
        <v>305</v>
      </c>
      <c r="G78" t="s">
        <v>207</v>
      </c>
      <c r="H78" t="s">
        <v>303</v>
      </c>
    </row>
    <row r="79" spans="1:8" x14ac:dyDescent="0.2">
      <c r="A79" t="s">
        <v>793</v>
      </c>
      <c r="B79" t="s">
        <v>365</v>
      </c>
      <c r="C79" t="s">
        <v>28</v>
      </c>
      <c r="D79" t="s">
        <v>308</v>
      </c>
      <c r="E79" t="s">
        <v>190</v>
      </c>
      <c r="F79" t="s">
        <v>285</v>
      </c>
      <c r="G79" t="s">
        <v>196</v>
      </c>
      <c r="H79" s="3" t="s">
        <v>731</v>
      </c>
    </row>
    <row r="80" spans="1:8" x14ac:dyDescent="0.2">
      <c r="A80" t="s">
        <v>793</v>
      </c>
      <c r="B80" t="s">
        <v>365</v>
      </c>
      <c r="C80" t="s">
        <v>28</v>
      </c>
      <c r="D80" t="s">
        <v>309</v>
      </c>
      <c r="E80" t="s">
        <v>190</v>
      </c>
      <c r="F80" t="s">
        <v>287</v>
      </c>
      <c r="G80" t="s">
        <v>196</v>
      </c>
      <c r="H80" s="3" t="s">
        <v>732</v>
      </c>
    </row>
    <row r="81" spans="1:12" x14ac:dyDescent="0.2">
      <c r="A81" t="s">
        <v>793</v>
      </c>
      <c r="B81" t="s">
        <v>365</v>
      </c>
      <c r="C81" t="s">
        <v>28</v>
      </c>
      <c r="D81" t="s">
        <v>310</v>
      </c>
      <c r="E81" t="s">
        <v>190</v>
      </c>
      <c r="F81" t="s">
        <v>306</v>
      </c>
      <c r="G81" t="s">
        <v>207</v>
      </c>
      <c r="H81" t="s">
        <v>307</v>
      </c>
      <c r="I81" t="s">
        <v>207</v>
      </c>
      <c r="J81" t="s">
        <v>308</v>
      </c>
      <c r="K81" t="s">
        <v>207</v>
      </c>
      <c r="L81" t="s">
        <v>309</v>
      </c>
    </row>
    <row r="82" spans="1:12" x14ac:dyDescent="0.2">
      <c r="A82" t="s">
        <v>793</v>
      </c>
      <c r="B82" t="s">
        <v>365</v>
      </c>
      <c r="C82" t="s">
        <v>28</v>
      </c>
      <c r="D82" t="s">
        <v>311</v>
      </c>
      <c r="E82" t="s">
        <v>190</v>
      </c>
      <c r="F82" t="s">
        <v>312</v>
      </c>
      <c r="G82" t="s">
        <v>226</v>
      </c>
      <c r="H82" t="s">
        <v>310</v>
      </c>
    </row>
    <row r="83" spans="1:12" x14ac:dyDescent="0.2">
      <c r="A83" t="s">
        <v>795</v>
      </c>
      <c r="B83" t="s">
        <v>365</v>
      </c>
      <c r="C83" t="s">
        <v>28</v>
      </c>
      <c r="D83" t="s">
        <v>169</v>
      </c>
      <c r="E83" t="s">
        <v>190</v>
      </c>
      <c r="F83" s="9" t="s">
        <v>1222</v>
      </c>
      <c r="G83" t="s">
        <v>196</v>
      </c>
      <c r="H83" s="9" t="s">
        <v>1267</v>
      </c>
    </row>
    <row r="84" spans="1:12" x14ac:dyDescent="0.2">
      <c r="A84" t="s">
        <v>795</v>
      </c>
      <c r="B84" t="s">
        <v>365</v>
      </c>
      <c r="C84" t="s">
        <v>28</v>
      </c>
      <c r="D84" t="s">
        <v>171</v>
      </c>
      <c r="E84" t="s">
        <v>190</v>
      </c>
      <c r="F84" s="9" t="s">
        <v>1230</v>
      </c>
      <c r="G84" t="s">
        <v>196</v>
      </c>
      <c r="H84" s="9" t="s">
        <v>1268</v>
      </c>
    </row>
    <row r="85" spans="1:12" x14ac:dyDescent="0.2">
      <c r="A85" t="s">
        <v>795</v>
      </c>
      <c r="B85" t="s">
        <v>365</v>
      </c>
      <c r="C85" t="s">
        <v>28</v>
      </c>
      <c r="D85" t="s">
        <v>173</v>
      </c>
      <c r="E85" t="s">
        <v>190</v>
      </c>
      <c r="F85" s="9" t="s">
        <v>1248</v>
      </c>
      <c r="G85" t="s">
        <v>196</v>
      </c>
      <c r="H85" s="9" t="s">
        <v>1269</v>
      </c>
    </row>
    <row r="86" spans="1:12" x14ac:dyDescent="0.2">
      <c r="A86" t="s">
        <v>795</v>
      </c>
      <c r="B86" t="s">
        <v>365</v>
      </c>
      <c r="C86" t="s">
        <v>28</v>
      </c>
      <c r="D86" t="s">
        <v>177</v>
      </c>
      <c r="E86" t="s">
        <v>190</v>
      </c>
      <c r="F86" s="9" t="s">
        <v>1243</v>
      </c>
      <c r="G86" t="s">
        <v>196</v>
      </c>
      <c r="H86" s="9" t="s">
        <v>1270</v>
      </c>
    </row>
    <row r="87" spans="1:12" x14ac:dyDescent="0.2">
      <c r="A87" t="s">
        <v>795</v>
      </c>
      <c r="B87" t="s">
        <v>365</v>
      </c>
      <c r="C87" t="s">
        <v>28</v>
      </c>
      <c r="D87" t="s">
        <v>175</v>
      </c>
      <c r="E87" t="s">
        <v>190</v>
      </c>
      <c r="F87" s="9" t="s">
        <v>911</v>
      </c>
      <c r="G87" t="s">
        <v>196</v>
      </c>
      <c r="H87" s="9" t="s">
        <v>1271</v>
      </c>
    </row>
    <row r="88" spans="1:12" x14ac:dyDescent="0.2">
      <c r="A88" t="s">
        <v>793</v>
      </c>
      <c r="B88" t="s">
        <v>365</v>
      </c>
      <c r="C88" t="s">
        <v>28</v>
      </c>
      <c r="D88" t="s">
        <v>101</v>
      </c>
      <c r="E88" t="s">
        <v>190</v>
      </c>
      <c r="F88" t="s">
        <v>101</v>
      </c>
    </row>
    <row r="89" spans="1:12" x14ac:dyDescent="0.2">
      <c r="A89" t="s">
        <v>793</v>
      </c>
      <c r="B89" t="s">
        <v>365</v>
      </c>
      <c r="C89" t="s">
        <v>28</v>
      </c>
      <c r="D89" t="s">
        <v>316</v>
      </c>
      <c r="E89" t="s">
        <v>190</v>
      </c>
      <c r="F89" t="s">
        <v>316</v>
      </c>
    </row>
    <row r="90" spans="1:12" x14ac:dyDescent="0.2">
      <c r="A90" t="s">
        <v>793</v>
      </c>
      <c r="B90" t="s">
        <v>365</v>
      </c>
      <c r="C90" t="s">
        <v>28</v>
      </c>
      <c r="D90" t="s">
        <v>317</v>
      </c>
      <c r="E90" t="s">
        <v>190</v>
      </c>
      <c r="F90" t="s">
        <v>317</v>
      </c>
    </row>
    <row r="91" spans="1:12" x14ac:dyDescent="0.2">
      <c r="A91" t="s">
        <v>795</v>
      </c>
      <c r="B91" t="s">
        <v>365</v>
      </c>
      <c r="C91" t="s">
        <v>28</v>
      </c>
      <c r="D91" t="s">
        <v>1206</v>
      </c>
      <c r="E91" t="s">
        <v>190</v>
      </c>
      <c r="F91" t="s">
        <v>285</v>
      </c>
      <c r="G91" t="s">
        <v>196</v>
      </c>
      <c r="H91" s="9" t="s">
        <v>1220</v>
      </c>
    </row>
    <row r="92" spans="1:12" x14ac:dyDescent="0.2">
      <c r="A92" t="s">
        <v>795</v>
      </c>
      <c r="B92" t="s">
        <v>365</v>
      </c>
      <c r="C92" t="s">
        <v>28</v>
      </c>
      <c r="D92" t="s">
        <v>804</v>
      </c>
      <c r="E92" t="s">
        <v>190</v>
      </c>
      <c r="F92" t="s">
        <v>285</v>
      </c>
      <c r="G92" t="s">
        <v>196</v>
      </c>
      <c r="H92" s="9" t="s">
        <v>798</v>
      </c>
    </row>
    <row r="93" spans="1:12" x14ac:dyDescent="0.2">
      <c r="A93" t="s">
        <v>795</v>
      </c>
      <c r="B93" t="s">
        <v>365</v>
      </c>
      <c r="C93" t="s">
        <v>28</v>
      </c>
      <c r="D93" t="s">
        <v>805</v>
      </c>
      <c r="E93" t="s">
        <v>190</v>
      </c>
      <c r="F93" t="s">
        <v>285</v>
      </c>
      <c r="G93" t="s">
        <v>196</v>
      </c>
      <c r="H93" s="9" t="s">
        <v>799</v>
      </c>
    </row>
    <row r="94" spans="1:12" x14ac:dyDescent="0.2">
      <c r="A94" t="s">
        <v>795</v>
      </c>
      <c r="B94" t="s">
        <v>365</v>
      </c>
      <c r="C94" t="s">
        <v>28</v>
      </c>
      <c r="D94" t="s">
        <v>806</v>
      </c>
      <c r="E94" t="s">
        <v>190</v>
      </c>
      <c r="F94" t="s">
        <v>285</v>
      </c>
      <c r="G94" t="s">
        <v>196</v>
      </c>
      <c r="H94" s="10" t="s">
        <v>800</v>
      </c>
    </row>
    <row r="95" spans="1:12" x14ac:dyDescent="0.2">
      <c r="A95" t="s">
        <v>795</v>
      </c>
      <c r="B95" t="s">
        <v>365</v>
      </c>
      <c r="C95" t="s">
        <v>28</v>
      </c>
      <c r="D95" t="s">
        <v>807</v>
      </c>
      <c r="E95" t="s">
        <v>190</v>
      </c>
      <c r="F95" t="s">
        <v>285</v>
      </c>
      <c r="G95" t="s">
        <v>196</v>
      </c>
      <c r="H95" s="9" t="s">
        <v>801</v>
      </c>
    </row>
    <row r="96" spans="1:12" x14ac:dyDescent="0.2">
      <c r="A96" t="s">
        <v>795</v>
      </c>
      <c r="B96" t="s">
        <v>365</v>
      </c>
      <c r="C96" t="s">
        <v>28</v>
      </c>
      <c r="D96" t="s">
        <v>808</v>
      </c>
      <c r="E96" t="s">
        <v>190</v>
      </c>
      <c r="F96" t="s">
        <v>285</v>
      </c>
      <c r="G96" t="s">
        <v>196</v>
      </c>
      <c r="H96" s="9" t="s">
        <v>802</v>
      </c>
    </row>
    <row r="97" spans="1:8" x14ac:dyDescent="0.2">
      <c r="A97" t="s">
        <v>795</v>
      </c>
      <c r="B97" t="s">
        <v>365</v>
      </c>
      <c r="C97" t="s">
        <v>28</v>
      </c>
      <c r="D97" t="s">
        <v>809</v>
      </c>
      <c r="E97" t="s">
        <v>190</v>
      </c>
      <c r="F97" t="s">
        <v>285</v>
      </c>
      <c r="G97" t="s">
        <v>196</v>
      </c>
      <c r="H97" s="9" t="s">
        <v>803</v>
      </c>
    </row>
    <row r="98" spans="1:8" x14ac:dyDescent="0.2">
      <c r="A98" t="s">
        <v>795</v>
      </c>
      <c r="B98" t="s">
        <v>365</v>
      </c>
      <c r="C98" t="s">
        <v>28</v>
      </c>
      <c r="D98" t="s">
        <v>286</v>
      </c>
      <c r="E98" t="s">
        <v>190</v>
      </c>
      <c r="F98" t="s">
        <v>287</v>
      </c>
      <c r="G98" t="s">
        <v>196</v>
      </c>
      <c r="H98" s="9" t="s">
        <v>726</v>
      </c>
    </row>
    <row r="99" spans="1:8" x14ac:dyDescent="0.2">
      <c r="A99" t="s">
        <v>795</v>
      </c>
      <c r="B99" t="s">
        <v>365</v>
      </c>
      <c r="C99" t="s">
        <v>28</v>
      </c>
      <c r="D99" t="s">
        <v>932</v>
      </c>
      <c r="E99" t="s">
        <v>190</v>
      </c>
      <c r="F99" t="s">
        <v>287</v>
      </c>
      <c r="G99" t="s">
        <v>196</v>
      </c>
      <c r="H99" s="9" t="s">
        <v>898</v>
      </c>
    </row>
    <row r="100" spans="1:8" x14ac:dyDescent="0.2">
      <c r="A100" t="s">
        <v>795</v>
      </c>
      <c r="B100" t="s">
        <v>365</v>
      </c>
      <c r="C100" t="s">
        <v>28</v>
      </c>
      <c r="D100" t="s">
        <v>1178</v>
      </c>
      <c r="E100" t="s">
        <v>190</v>
      </c>
      <c r="F100" t="s">
        <v>287</v>
      </c>
      <c r="G100" t="s">
        <v>196</v>
      </c>
      <c r="H100" s="9" t="s">
        <v>1221</v>
      </c>
    </row>
    <row r="101" spans="1:8" x14ac:dyDescent="0.2">
      <c r="A101" t="s">
        <v>795</v>
      </c>
      <c r="B101" t="s">
        <v>365</v>
      </c>
      <c r="C101" t="s">
        <v>28</v>
      </c>
      <c r="D101" t="s">
        <v>1179</v>
      </c>
      <c r="E101" t="s">
        <v>190</v>
      </c>
      <c r="F101" t="s">
        <v>1222</v>
      </c>
      <c r="G101" t="s">
        <v>196</v>
      </c>
      <c r="H101" s="9" t="s">
        <v>1223</v>
      </c>
    </row>
    <row r="102" spans="1:8" x14ac:dyDescent="0.2">
      <c r="A102" t="s">
        <v>795</v>
      </c>
      <c r="B102" t="s">
        <v>365</v>
      </c>
      <c r="C102" t="s">
        <v>28</v>
      </c>
      <c r="D102" t="s">
        <v>1180</v>
      </c>
      <c r="E102" t="s">
        <v>190</v>
      </c>
      <c r="F102" t="s">
        <v>1222</v>
      </c>
      <c r="G102" t="s">
        <v>196</v>
      </c>
      <c r="H102" s="9" t="s">
        <v>1224</v>
      </c>
    </row>
    <row r="103" spans="1:8" x14ac:dyDescent="0.2">
      <c r="A103" t="s">
        <v>795</v>
      </c>
      <c r="B103" t="s">
        <v>365</v>
      </c>
      <c r="C103" t="s">
        <v>28</v>
      </c>
      <c r="D103" t="s">
        <v>1181</v>
      </c>
      <c r="E103" t="s">
        <v>190</v>
      </c>
      <c r="F103" t="s">
        <v>1222</v>
      </c>
      <c r="G103" t="s">
        <v>196</v>
      </c>
      <c r="H103" s="9" t="s">
        <v>1225</v>
      </c>
    </row>
    <row r="104" spans="1:8" x14ac:dyDescent="0.2">
      <c r="A104" t="s">
        <v>795</v>
      </c>
      <c r="B104" t="s">
        <v>365</v>
      </c>
      <c r="C104" t="s">
        <v>28</v>
      </c>
      <c r="D104" t="s">
        <v>1182</v>
      </c>
      <c r="E104" t="s">
        <v>190</v>
      </c>
      <c r="F104" t="s">
        <v>1222</v>
      </c>
      <c r="G104" t="s">
        <v>196</v>
      </c>
      <c r="H104" s="9" t="s">
        <v>1229</v>
      </c>
    </row>
    <row r="105" spans="1:8" x14ac:dyDescent="0.2">
      <c r="A105" t="s">
        <v>795</v>
      </c>
      <c r="B105" t="s">
        <v>365</v>
      </c>
      <c r="C105" t="s">
        <v>28</v>
      </c>
      <c r="D105" t="s">
        <v>1183</v>
      </c>
      <c r="E105" t="s">
        <v>190</v>
      </c>
      <c r="F105" t="s">
        <v>1222</v>
      </c>
      <c r="G105" t="s">
        <v>196</v>
      </c>
      <c r="H105" s="9" t="s">
        <v>1226</v>
      </c>
    </row>
    <row r="106" spans="1:8" x14ac:dyDescent="0.2">
      <c r="A106" t="s">
        <v>795</v>
      </c>
      <c r="B106" t="s">
        <v>365</v>
      </c>
      <c r="C106" t="s">
        <v>28</v>
      </c>
      <c r="D106" t="s">
        <v>1184</v>
      </c>
      <c r="E106" t="s">
        <v>190</v>
      </c>
      <c r="F106" t="s">
        <v>1222</v>
      </c>
      <c r="G106" t="s">
        <v>196</v>
      </c>
      <c r="H106" s="9" t="s">
        <v>1227</v>
      </c>
    </row>
    <row r="107" spans="1:8" x14ac:dyDescent="0.2">
      <c r="A107" t="s">
        <v>795</v>
      </c>
      <c r="B107" t="s">
        <v>365</v>
      </c>
      <c r="C107" t="s">
        <v>28</v>
      </c>
      <c r="D107" t="s">
        <v>1185</v>
      </c>
      <c r="E107" t="s">
        <v>190</v>
      </c>
      <c r="F107" t="s">
        <v>1222</v>
      </c>
      <c r="G107" t="s">
        <v>196</v>
      </c>
      <c r="H107" s="9" t="s">
        <v>1228</v>
      </c>
    </row>
    <row r="108" spans="1:8" x14ac:dyDescent="0.2">
      <c r="A108" t="s">
        <v>795</v>
      </c>
      <c r="B108" t="s">
        <v>365</v>
      </c>
      <c r="C108" t="s">
        <v>28</v>
      </c>
      <c r="D108" t="s">
        <v>1278</v>
      </c>
      <c r="E108" t="s">
        <v>190</v>
      </c>
      <c r="F108" t="s">
        <v>1222</v>
      </c>
      <c r="G108" t="s">
        <v>196</v>
      </c>
      <c r="H108" s="9" t="s">
        <v>1277</v>
      </c>
    </row>
    <row r="109" spans="1:8" x14ac:dyDescent="0.2">
      <c r="A109" t="s">
        <v>795</v>
      </c>
      <c r="B109" t="s">
        <v>365</v>
      </c>
      <c r="C109" t="s">
        <v>28</v>
      </c>
      <c r="D109" t="s">
        <v>280</v>
      </c>
      <c r="E109" t="s">
        <v>190</v>
      </c>
      <c r="F109" t="s">
        <v>281</v>
      </c>
      <c r="G109" t="s">
        <v>196</v>
      </c>
      <c r="H109" s="9" t="s">
        <v>899</v>
      </c>
    </row>
    <row r="110" spans="1:8" x14ac:dyDescent="0.2">
      <c r="A110" t="s">
        <v>795</v>
      </c>
      <c r="B110" t="s">
        <v>365</v>
      </c>
      <c r="C110" t="s">
        <v>28</v>
      </c>
      <c r="D110" t="s">
        <v>914</v>
      </c>
      <c r="E110" t="s">
        <v>190</v>
      </c>
      <c r="F110" t="s">
        <v>281</v>
      </c>
      <c r="G110" t="s">
        <v>196</v>
      </c>
      <c r="H110" s="9" t="s">
        <v>941</v>
      </c>
    </row>
    <row r="111" spans="1:8" x14ac:dyDescent="0.2">
      <c r="A111" t="s">
        <v>795</v>
      </c>
      <c r="B111" t="s">
        <v>365</v>
      </c>
      <c r="C111" t="s">
        <v>28</v>
      </c>
      <c r="D111" t="s">
        <v>915</v>
      </c>
      <c r="E111" t="s">
        <v>190</v>
      </c>
      <c r="F111" t="s">
        <v>281</v>
      </c>
      <c r="G111" t="s">
        <v>196</v>
      </c>
      <c r="H111" s="9" t="s">
        <v>900</v>
      </c>
    </row>
    <row r="112" spans="1:8" x14ac:dyDescent="0.2">
      <c r="A112" t="s">
        <v>795</v>
      </c>
      <c r="B112" t="s">
        <v>365</v>
      </c>
      <c r="C112" t="s">
        <v>28</v>
      </c>
      <c r="D112" t="s">
        <v>916</v>
      </c>
      <c r="E112" t="s">
        <v>190</v>
      </c>
      <c r="F112" t="s">
        <v>281</v>
      </c>
      <c r="G112" t="s">
        <v>196</v>
      </c>
      <c r="H112" s="9" t="s">
        <v>901</v>
      </c>
    </row>
    <row r="113" spans="1:8" x14ac:dyDescent="0.2">
      <c r="A113" t="s">
        <v>795</v>
      </c>
      <c r="B113" t="s">
        <v>365</v>
      </c>
      <c r="C113" t="s">
        <v>28</v>
      </c>
      <c r="D113" t="s">
        <v>917</v>
      </c>
      <c r="E113" t="s">
        <v>190</v>
      </c>
      <c r="F113" t="s">
        <v>281</v>
      </c>
      <c r="G113" t="s">
        <v>196</v>
      </c>
      <c r="H113" s="9" t="s">
        <v>902</v>
      </c>
    </row>
    <row r="114" spans="1:8" x14ac:dyDescent="0.2">
      <c r="A114" t="s">
        <v>795</v>
      </c>
      <c r="B114" t="s">
        <v>365</v>
      </c>
      <c r="C114" t="s">
        <v>28</v>
      </c>
      <c r="D114" t="s">
        <v>918</v>
      </c>
      <c r="E114" t="s">
        <v>190</v>
      </c>
      <c r="F114" t="s">
        <v>281</v>
      </c>
      <c r="G114" t="s">
        <v>196</v>
      </c>
      <c r="H114" s="9" t="s">
        <v>903</v>
      </c>
    </row>
    <row r="115" spans="1:8" x14ac:dyDescent="0.2">
      <c r="A115" t="s">
        <v>795</v>
      </c>
      <c r="B115" t="s">
        <v>365</v>
      </c>
      <c r="C115" t="s">
        <v>28</v>
      </c>
      <c r="D115" t="s">
        <v>919</v>
      </c>
      <c r="E115" t="s">
        <v>190</v>
      </c>
      <c r="F115" t="s">
        <v>281</v>
      </c>
      <c r="G115" t="s">
        <v>196</v>
      </c>
      <c r="H115" s="9" t="s">
        <v>904</v>
      </c>
    </row>
    <row r="116" spans="1:8" x14ac:dyDescent="0.2">
      <c r="A116" t="s">
        <v>795</v>
      </c>
      <c r="B116" t="s">
        <v>365</v>
      </c>
      <c r="C116" t="s">
        <v>28</v>
      </c>
      <c r="D116" t="s">
        <v>920</v>
      </c>
      <c r="E116" t="s">
        <v>190</v>
      </c>
      <c r="F116" t="s">
        <v>281</v>
      </c>
      <c r="G116" t="s">
        <v>196</v>
      </c>
      <c r="H116" s="9" t="s">
        <v>905</v>
      </c>
    </row>
    <row r="117" spans="1:8" x14ac:dyDescent="0.2">
      <c r="A117" t="s">
        <v>795</v>
      </c>
      <c r="B117" t="s">
        <v>365</v>
      </c>
      <c r="C117" t="s">
        <v>28</v>
      </c>
      <c r="D117" t="s">
        <v>921</v>
      </c>
      <c r="E117" t="s">
        <v>190</v>
      </c>
      <c r="F117" t="s">
        <v>281</v>
      </c>
      <c r="G117" t="s">
        <v>196</v>
      </c>
      <c r="H117" s="9" t="s">
        <v>906</v>
      </c>
    </row>
    <row r="118" spans="1:8" x14ac:dyDescent="0.2">
      <c r="A118" t="s">
        <v>795</v>
      </c>
      <c r="B118" t="s">
        <v>365</v>
      </c>
      <c r="C118" t="s">
        <v>28</v>
      </c>
      <c r="D118" t="s">
        <v>922</v>
      </c>
      <c r="E118" t="s">
        <v>190</v>
      </c>
      <c r="F118" t="s">
        <v>281</v>
      </c>
      <c r="G118" t="s">
        <v>196</v>
      </c>
      <c r="H118" s="9" t="s">
        <v>907</v>
      </c>
    </row>
    <row r="119" spans="1:8" x14ac:dyDescent="0.2">
      <c r="A119" t="s">
        <v>795</v>
      </c>
      <c r="B119" t="s">
        <v>365</v>
      </c>
      <c r="C119" t="s">
        <v>28</v>
      </c>
      <c r="D119" t="s">
        <v>923</v>
      </c>
      <c r="E119" t="s">
        <v>190</v>
      </c>
      <c r="F119" t="s">
        <v>281</v>
      </c>
      <c r="G119" t="s">
        <v>196</v>
      </c>
      <c r="H119" s="9" t="s">
        <v>908</v>
      </c>
    </row>
    <row r="120" spans="1:8" x14ac:dyDescent="0.2">
      <c r="A120" t="s">
        <v>795</v>
      </c>
      <c r="B120" t="s">
        <v>365</v>
      </c>
      <c r="C120" t="s">
        <v>28</v>
      </c>
      <c r="D120" t="s">
        <v>1186</v>
      </c>
      <c r="E120" t="s">
        <v>190</v>
      </c>
      <c r="F120" t="s">
        <v>1230</v>
      </c>
      <c r="G120" t="s">
        <v>196</v>
      </c>
      <c r="H120" s="9" t="s">
        <v>1231</v>
      </c>
    </row>
    <row r="121" spans="1:8" x14ac:dyDescent="0.2">
      <c r="A121" t="s">
        <v>795</v>
      </c>
      <c r="B121" t="s">
        <v>365</v>
      </c>
      <c r="C121" t="s">
        <v>28</v>
      </c>
      <c r="D121" t="s">
        <v>1187</v>
      </c>
      <c r="E121" t="s">
        <v>190</v>
      </c>
      <c r="F121" t="s">
        <v>1230</v>
      </c>
      <c r="G121" t="s">
        <v>196</v>
      </c>
      <c r="H121" s="9" t="s">
        <v>1232</v>
      </c>
    </row>
    <row r="122" spans="1:8" x14ac:dyDescent="0.2">
      <c r="A122" t="s">
        <v>795</v>
      </c>
      <c r="B122" t="s">
        <v>365</v>
      </c>
      <c r="C122" t="s">
        <v>28</v>
      </c>
      <c r="D122" t="s">
        <v>1188</v>
      </c>
      <c r="E122" t="s">
        <v>190</v>
      </c>
      <c r="F122" t="s">
        <v>1230</v>
      </c>
      <c r="G122" t="s">
        <v>196</v>
      </c>
      <c r="H122" s="9" t="s">
        <v>1233</v>
      </c>
    </row>
    <row r="123" spans="1:8" x14ac:dyDescent="0.2">
      <c r="A123" t="s">
        <v>795</v>
      </c>
      <c r="B123" t="s">
        <v>365</v>
      </c>
      <c r="C123" t="s">
        <v>28</v>
      </c>
      <c r="D123" t="s">
        <v>1189</v>
      </c>
      <c r="E123" t="s">
        <v>190</v>
      </c>
      <c r="F123" t="s">
        <v>1230</v>
      </c>
      <c r="G123" t="s">
        <v>196</v>
      </c>
      <c r="H123" s="9" t="s">
        <v>1234</v>
      </c>
    </row>
    <row r="124" spans="1:8" x14ac:dyDescent="0.2">
      <c r="A124" t="s">
        <v>795</v>
      </c>
      <c r="B124" t="s">
        <v>365</v>
      </c>
      <c r="C124" t="s">
        <v>28</v>
      </c>
      <c r="D124" t="s">
        <v>909</v>
      </c>
      <c r="E124" t="s">
        <v>190</v>
      </c>
      <c r="F124" t="s">
        <v>911</v>
      </c>
      <c r="G124" t="s">
        <v>196</v>
      </c>
      <c r="H124" s="9" t="s">
        <v>912</v>
      </c>
    </row>
    <row r="125" spans="1:8" x14ac:dyDescent="0.2">
      <c r="A125" t="s">
        <v>795</v>
      </c>
      <c r="B125" t="s">
        <v>365</v>
      </c>
      <c r="C125" t="s">
        <v>28</v>
      </c>
      <c r="D125" t="s">
        <v>1193</v>
      </c>
      <c r="E125" t="s">
        <v>190</v>
      </c>
      <c r="F125" t="s">
        <v>911</v>
      </c>
      <c r="G125" t="s">
        <v>196</v>
      </c>
      <c r="H125" s="9" t="s">
        <v>1235</v>
      </c>
    </row>
    <row r="126" spans="1:8" x14ac:dyDescent="0.2">
      <c r="A126" t="s">
        <v>795</v>
      </c>
      <c r="B126" t="s">
        <v>365</v>
      </c>
      <c r="C126" t="s">
        <v>28</v>
      </c>
      <c r="D126" t="s">
        <v>1200</v>
      </c>
      <c r="E126" t="s">
        <v>190</v>
      </c>
      <c r="F126" t="s">
        <v>911</v>
      </c>
      <c r="G126" t="s">
        <v>196</v>
      </c>
      <c r="H126" s="9" t="s">
        <v>1236</v>
      </c>
    </row>
    <row r="127" spans="1:8" x14ac:dyDescent="0.2">
      <c r="A127" t="s">
        <v>795</v>
      </c>
      <c r="B127" t="s">
        <v>365</v>
      </c>
      <c r="C127" t="s">
        <v>28</v>
      </c>
      <c r="D127" t="s">
        <v>1195</v>
      </c>
      <c r="E127" t="s">
        <v>190</v>
      </c>
      <c r="F127" t="s">
        <v>911</v>
      </c>
      <c r="G127" t="s">
        <v>196</v>
      </c>
      <c r="H127" s="9" t="s">
        <v>1237</v>
      </c>
    </row>
    <row r="128" spans="1:8" x14ac:dyDescent="0.2">
      <c r="A128" t="s">
        <v>795</v>
      </c>
      <c r="B128" t="s">
        <v>365</v>
      </c>
      <c r="C128" t="s">
        <v>28</v>
      </c>
      <c r="D128" t="s">
        <v>1194</v>
      </c>
      <c r="E128" t="s">
        <v>190</v>
      </c>
      <c r="F128" t="s">
        <v>911</v>
      </c>
      <c r="G128" t="s">
        <v>196</v>
      </c>
      <c r="H128" s="9" t="s">
        <v>1238</v>
      </c>
    </row>
    <row r="129" spans="1:8" x14ac:dyDescent="0.2">
      <c r="A129" t="s">
        <v>795</v>
      </c>
      <c r="B129" t="s">
        <v>365</v>
      </c>
      <c r="C129" t="s">
        <v>28</v>
      </c>
      <c r="D129" t="s">
        <v>1196</v>
      </c>
      <c r="E129" t="s">
        <v>190</v>
      </c>
      <c r="F129" t="s">
        <v>911</v>
      </c>
      <c r="G129" t="s">
        <v>196</v>
      </c>
      <c r="H129" s="9" t="s">
        <v>1239</v>
      </c>
    </row>
    <row r="130" spans="1:8" x14ac:dyDescent="0.2">
      <c r="A130" t="s">
        <v>795</v>
      </c>
      <c r="B130" t="s">
        <v>365</v>
      </c>
      <c r="C130" t="s">
        <v>28</v>
      </c>
      <c r="D130" t="s">
        <v>1197</v>
      </c>
      <c r="E130" t="s">
        <v>190</v>
      </c>
      <c r="F130" t="s">
        <v>911</v>
      </c>
      <c r="G130" t="s">
        <v>196</v>
      </c>
      <c r="H130" s="9" t="s">
        <v>1240</v>
      </c>
    </row>
    <row r="131" spans="1:8" x14ac:dyDescent="0.2">
      <c r="A131" t="s">
        <v>795</v>
      </c>
      <c r="B131" t="s">
        <v>365</v>
      </c>
      <c r="C131" t="s">
        <v>28</v>
      </c>
      <c r="D131" t="s">
        <v>1198</v>
      </c>
      <c r="E131" t="s">
        <v>190</v>
      </c>
      <c r="F131" t="s">
        <v>911</v>
      </c>
      <c r="G131" t="s">
        <v>196</v>
      </c>
      <c r="H131" s="9" t="s">
        <v>1241</v>
      </c>
    </row>
    <row r="132" spans="1:8" x14ac:dyDescent="0.2">
      <c r="A132" t="s">
        <v>795</v>
      </c>
      <c r="B132" t="s">
        <v>365</v>
      </c>
      <c r="C132" t="s">
        <v>28</v>
      </c>
      <c r="D132" t="s">
        <v>1199</v>
      </c>
      <c r="E132" t="s">
        <v>190</v>
      </c>
      <c r="F132" t="s">
        <v>911</v>
      </c>
      <c r="G132" t="s">
        <v>196</v>
      </c>
      <c r="H132" s="9" t="s">
        <v>1242</v>
      </c>
    </row>
    <row r="133" spans="1:8" x14ac:dyDescent="0.2">
      <c r="A133" t="s">
        <v>795</v>
      </c>
      <c r="B133" t="s">
        <v>365</v>
      </c>
      <c r="C133" t="s">
        <v>28</v>
      </c>
      <c r="D133" t="s">
        <v>910</v>
      </c>
      <c r="E133" t="s">
        <v>190</v>
      </c>
      <c r="F133" t="s">
        <v>911</v>
      </c>
      <c r="G133" t="s">
        <v>196</v>
      </c>
      <c r="H133" s="9" t="s">
        <v>913</v>
      </c>
    </row>
    <row r="134" spans="1:8" x14ac:dyDescent="0.2">
      <c r="A134" t="s">
        <v>795</v>
      </c>
      <c r="B134" t="s">
        <v>365</v>
      </c>
      <c r="C134" t="s">
        <v>28</v>
      </c>
      <c r="D134" t="s">
        <v>1201</v>
      </c>
      <c r="E134" t="s">
        <v>190</v>
      </c>
      <c r="F134" t="s">
        <v>1243</v>
      </c>
      <c r="G134" t="s">
        <v>196</v>
      </c>
      <c r="H134" s="9" t="s">
        <v>1244</v>
      </c>
    </row>
    <row r="135" spans="1:8" x14ac:dyDescent="0.2">
      <c r="A135" t="s">
        <v>795</v>
      </c>
      <c r="B135" t="s">
        <v>365</v>
      </c>
      <c r="C135" t="s">
        <v>28</v>
      </c>
      <c r="D135" t="s">
        <v>1202</v>
      </c>
      <c r="E135" t="s">
        <v>190</v>
      </c>
      <c r="F135" t="s">
        <v>1243</v>
      </c>
      <c r="G135" t="s">
        <v>196</v>
      </c>
      <c r="H135" s="9" t="s">
        <v>1245</v>
      </c>
    </row>
    <row r="136" spans="1:8" x14ac:dyDescent="0.2">
      <c r="A136" t="s">
        <v>795</v>
      </c>
      <c r="B136" t="s">
        <v>365</v>
      </c>
      <c r="C136" t="s">
        <v>28</v>
      </c>
      <c r="D136" t="s">
        <v>1203</v>
      </c>
      <c r="E136" t="s">
        <v>190</v>
      </c>
      <c r="F136" t="s">
        <v>1243</v>
      </c>
      <c r="G136" t="s">
        <v>196</v>
      </c>
      <c r="H136" s="9" t="s">
        <v>1246</v>
      </c>
    </row>
    <row r="137" spans="1:8" x14ac:dyDescent="0.2">
      <c r="A137" t="s">
        <v>795</v>
      </c>
      <c r="B137" t="s">
        <v>365</v>
      </c>
      <c r="C137" t="s">
        <v>28</v>
      </c>
      <c r="D137" t="s">
        <v>1204</v>
      </c>
      <c r="E137" t="s">
        <v>190</v>
      </c>
      <c r="F137" t="s">
        <v>1243</v>
      </c>
      <c r="G137" t="s">
        <v>196</v>
      </c>
      <c r="H137" s="9" t="s">
        <v>1247</v>
      </c>
    </row>
    <row r="138" spans="1:8" x14ac:dyDescent="0.2">
      <c r="A138" t="s">
        <v>795</v>
      </c>
      <c r="B138" t="s">
        <v>365</v>
      </c>
      <c r="C138" t="s">
        <v>28</v>
      </c>
      <c r="D138" t="s">
        <v>1190</v>
      </c>
      <c r="E138" t="s">
        <v>190</v>
      </c>
      <c r="F138" t="s">
        <v>1248</v>
      </c>
      <c r="G138" t="s">
        <v>196</v>
      </c>
      <c r="H138" s="9" t="s">
        <v>1249</v>
      </c>
    </row>
    <row r="139" spans="1:8" x14ac:dyDescent="0.2">
      <c r="A139" t="s">
        <v>795</v>
      </c>
      <c r="B139" t="s">
        <v>365</v>
      </c>
      <c r="C139" t="s">
        <v>28</v>
      </c>
      <c r="D139" t="s">
        <v>1191</v>
      </c>
      <c r="E139" t="s">
        <v>190</v>
      </c>
      <c r="F139" t="s">
        <v>1248</v>
      </c>
      <c r="G139" t="s">
        <v>196</v>
      </c>
      <c r="H139" s="9" t="s">
        <v>1250</v>
      </c>
    </row>
    <row r="140" spans="1:8" x14ac:dyDescent="0.2">
      <c r="A140" t="s">
        <v>795</v>
      </c>
      <c r="B140" t="s">
        <v>365</v>
      </c>
      <c r="C140" t="s">
        <v>28</v>
      </c>
      <c r="D140" t="s">
        <v>1192</v>
      </c>
      <c r="E140" t="s">
        <v>190</v>
      </c>
      <c r="F140" t="s">
        <v>1248</v>
      </c>
      <c r="G140" t="s">
        <v>196</v>
      </c>
      <c r="H140" s="9" t="s">
        <v>1251</v>
      </c>
    </row>
    <row r="141" spans="1:8" x14ac:dyDescent="0.2">
      <c r="A141" t="s">
        <v>795</v>
      </c>
      <c r="B141" t="s">
        <v>365</v>
      </c>
      <c r="C141" t="s">
        <v>28</v>
      </c>
      <c r="D141" t="s">
        <v>924</v>
      </c>
      <c r="E141" t="s">
        <v>190</v>
      </c>
      <c r="F141" t="s">
        <v>283</v>
      </c>
      <c r="G141" t="s">
        <v>196</v>
      </c>
      <c r="H141" s="9" t="s">
        <v>940</v>
      </c>
    </row>
    <row r="142" spans="1:8" x14ac:dyDescent="0.2">
      <c r="A142" t="s">
        <v>795</v>
      </c>
      <c r="B142" t="s">
        <v>365</v>
      </c>
      <c r="C142" t="s">
        <v>28</v>
      </c>
      <c r="D142" t="s">
        <v>1205</v>
      </c>
      <c r="E142" t="s">
        <v>190</v>
      </c>
      <c r="F142" t="s">
        <v>283</v>
      </c>
      <c r="G142" t="s">
        <v>196</v>
      </c>
      <c r="H142" s="9" t="s">
        <v>1252</v>
      </c>
    </row>
    <row r="143" spans="1:8" x14ac:dyDescent="0.2">
      <c r="A143" t="s">
        <v>795</v>
      </c>
      <c r="B143" t="s">
        <v>365</v>
      </c>
      <c r="C143" t="s">
        <v>28</v>
      </c>
      <c r="D143" t="s">
        <v>925</v>
      </c>
      <c r="E143" t="s">
        <v>190</v>
      </c>
      <c r="F143" t="s">
        <v>283</v>
      </c>
      <c r="G143" t="s">
        <v>196</v>
      </c>
      <c r="H143" s="9" t="s">
        <v>1253</v>
      </c>
    </row>
    <row r="144" spans="1:8" x14ac:dyDescent="0.2">
      <c r="A144" t="s">
        <v>795</v>
      </c>
      <c r="B144" t="s">
        <v>365</v>
      </c>
      <c r="C144" t="s">
        <v>28</v>
      </c>
      <c r="D144" t="s">
        <v>926</v>
      </c>
      <c r="E144" t="s">
        <v>190</v>
      </c>
      <c r="F144" t="s">
        <v>283</v>
      </c>
      <c r="G144" t="s">
        <v>196</v>
      </c>
      <c r="H144" s="9" t="s">
        <v>935</v>
      </c>
    </row>
    <row r="145" spans="1:8" x14ac:dyDescent="0.2">
      <c r="A145" t="s">
        <v>795</v>
      </c>
      <c r="B145" t="s">
        <v>365</v>
      </c>
      <c r="C145" t="s">
        <v>28</v>
      </c>
      <c r="D145" t="s">
        <v>282</v>
      </c>
      <c r="E145" t="s">
        <v>190</v>
      </c>
      <c r="F145" t="s">
        <v>283</v>
      </c>
      <c r="G145" t="s">
        <v>196</v>
      </c>
      <c r="H145" s="9" t="s">
        <v>936</v>
      </c>
    </row>
    <row r="146" spans="1:8" x14ac:dyDescent="0.2">
      <c r="A146" t="s">
        <v>795</v>
      </c>
      <c r="B146" t="s">
        <v>365</v>
      </c>
      <c r="C146" t="s">
        <v>28</v>
      </c>
      <c r="D146" t="s">
        <v>927</v>
      </c>
      <c r="E146" t="s">
        <v>190</v>
      </c>
      <c r="F146" t="s">
        <v>283</v>
      </c>
      <c r="G146" t="s">
        <v>196</v>
      </c>
      <c r="H146" s="9" t="s">
        <v>934</v>
      </c>
    </row>
    <row r="147" spans="1:8" x14ac:dyDescent="0.2">
      <c r="A147" t="s">
        <v>795</v>
      </c>
      <c r="B147" t="s">
        <v>365</v>
      </c>
      <c r="C147" t="s">
        <v>28</v>
      </c>
      <c r="D147" t="s">
        <v>928</v>
      </c>
      <c r="E147" t="s">
        <v>190</v>
      </c>
      <c r="F147" t="s">
        <v>283</v>
      </c>
      <c r="G147" t="s">
        <v>196</v>
      </c>
      <c r="H147" s="9" t="s">
        <v>937</v>
      </c>
    </row>
    <row r="148" spans="1:8" x14ac:dyDescent="0.2">
      <c r="A148" t="s">
        <v>795</v>
      </c>
      <c r="B148" t="s">
        <v>365</v>
      </c>
      <c r="C148" t="s">
        <v>28</v>
      </c>
      <c r="D148" t="s">
        <v>929</v>
      </c>
      <c r="E148" t="s">
        <v>190</v>
      </c>
      <c r="F148" t="s">
        <v>283</v>
      </c>
      <c r="G148" t="s">
        <v>196</v>
      </c>
      <c r="H148" s="9" t="s">
        <v>938</v>
      </c>
    </row>
    <row r="149" spans="1:8" x14ac:dyDescent="0.2">
      <c r="A149" t="s">
        <v>795</v>
      </c>
      <c r="B149" t="s">
        <v>365</v>
      </c>
      <c r="C149" t="s">
        <v>28</v>
      </c>
      <c r="D149" t="s">
        <v>930</v>
      </c>
      <c r="E149" t="s">
        <v>190</v>
      </c>
      <c r="F149" t="s">
        <v>283</v>
      </c>
      <c r="G149" t="s">
        <v>196</v>
      </c>
      <c r="H149" s="9" t="s">
        <v>939</v>
      </c>
    </row>
    <row r="150" spans="1:8" x14ac:dyDescent="0.2">
      <c r="A150" t="s">
        <v>795</v>
      </c>
      <c r="B150" t="s">
        <v>365</v>
      </c>
      <c r="C150" t="s">
        <v>28</v>
      </c>
      <c r="D150" t="s">
        <v>931</v>
      </c>
      <c r="E150" t="s">
        <v>190</v>
      </c>
      <c r="F150" t="s">
        <v>283</v>
      </c>
      <c r="G150" t="s">
        <v>196</v>
      </c>
      <c r="H150" s="9" t="s">
        <v>933</v>
      </c>
    </row>
    <row r="151" spans="1:8" x14ac:dyDescent="0.2">
      <c r="A151" t="s">
        <v>795</v>
      </c>
      <c r="B151" t="s">
        <v>365</v>
      </c>
      <c r="C151" t="s">
        <v>28</v>
      </c>
      <c r="D151" t="s">
        <v>1213</v>
      </c>
      <c r="E151" t="s">
        <v>190</v>
      </c>
      <c r="F151" t="s">
        <v>283</v>
      </c>
      <c r="G151" t="s">
        <v>196</v>
      </c>
      <c r="H151" s="9" t="s">
        <v>1254</v>
      </c>
    </row>
    <row r="152" spans="1:8" x14ac:dyDescent="0.2">
      <c r="A152" t="s">
        <v>795</v>
      </c>
      <c r="B152" t="s">
        <v>365</v>
      </c>
      <c r="C152" t="s">
        <v>28</v>
      </c>
      <c r="D152" t="s">
        <v>1214</v>
      </c>
      <c r="E152" t="s">
        <v>190</v>
      </c>
      <c r="F152" t="s">
        <v>283</v>
      </c>
      <c r="G152" t="s">
        <v>196</v>
      </c>
      <c r="H152" s="9" t="s">
        <v>1255</v>
      </c>
    </row>
    <row r="153" spans="1:8" x14ac:dyDescent="0.2">
      <c r="A153" t="s">
        <v>795</v>
      </c>
      <c r="B153" t="s">
        <v>365</v>
      </c>
      <c r="C153" t="s">
        <v>28</v>
      </c>
      <c r="D153" t="s">
        <v>1215</v>
      </c>
      <c r="E153" t="s">
        <v>190</v>
      </c>
      <c r="F153" t="s">
        <v>283</v>
      </c>
      <c r="G153" t="s">
        <v>196</v>
      </c>
      <c r="H153" s="9" t="s">
        <v>1256</v>
      </c>
    </row>
    <row r="154" spans="1:8" x14ac:dyDescent="0.2">
      <c r="A154" t="s">
        <v>795</v>
      </c>
      <c r="B154" t="s">
        <v>365</v>
      </c>
      <c r="C154" t="s">
        <v>28</v>
      </c>
      <c r="D154" t="s">
        <v>1216</v>
      </c>
      <c r="E154" t="s">
        <v>190</v>
      </c>
      <c r="F154" t="s">
        <v>283</v>
      </c>
      <c r="G154" t="s">
        <v>196</v>
      </c>
      <c r="H154" s="9" t="s">
        <v>1257</v>
      </c>
    </row>
    <row r="155" spans="1:8" x14ac:dyDescent="0.2">
      <c r="A155" t="s">
        <v>795</v>
      </c>
      <c r="B155" t="s">
        <v>365</v>
      </c>
      <c r="C155" t="s">
        <v>28</v>
      </c>
      <c r="D155" t="s">
        <v>1217</v>
      </c>
      <c r="E155" t="s">
        <v>190</v>
      </c>
      <c r="F155" t="s">
        <v>283</v>
      </c>
      <c r="G155" t="s">
        <v>196</v>
      </c>
      <c r="H155" s="9" t="s">
        <v>1258</v>
      </c>
    </row>
    <row r="156" spans="1:8" x14ac:dyDescent="0.2">
      <c r="A156" t="s">
        <v>795</v>
      </c>
      <c r="B156" t="s">
        <v>365</v>
      </c>
      <c r="C156" t="s">
        <v>28</v>
      </c>
      <c r="D156" t="s">
        <v>1218</v>
      </c>
      <c r="E156" t="s">
        <v>190</v>
      </c>
      <c r="F156" t="s">
        <v>283</v>
      </c>
      <c r="G156" t="s">
        <v>196</v>
      </c>
      <c r="H156" s="9" t="s">
        <v>1259</v>
      </c>
    </row>
    <row r="157" spans="1:8" x14ac:dyDescent="0.2">
      <c r="A157" t="s">
        <v>795</v>
      </c>
      <c r="B157" t="s">
        <v>365</v>
      </c>
      <c r="C157" t="s">
        <v>28</v>
      </c>
      <c r="D157" t="s">
        <v>1219</v>
      </c>
      <c r="E157" t="s">
        <v>190</v>
      </c>
      <c r="F157" t="s">
        <v>283</v>
      </c>
      <c r="G157" t="s">
        <v>196</v>
      </c>
      <c r="H157" s="9" t="s">
        <v>1260</v>
      </c>
    </row>
    <row r="158" spans="1:8" x14ac:dyDescent="0.2">
      <c r="A158" t="s">
        <v>795</v>
      </c>
      <c r="B158" t="s">
        <v>365</v>
      </c>
      <c r="C158" t="s">
        <v>28</v>
      </c>
      <c r="D158" t="s">
        <v>1207</v>
      </c>
      <c r="E158" t="s">
        <v>190</v>
      </c>
      <c r="F158" t="s">
        <v>283</v>
      </c>
      <c r="G158" t="s">
        <v>196</v>
      </c>
      <c r="H158" s="9" t="s">
        <v>1261</v>
      </c>
    </row>
    <row r="159" spans="1:8" x14ac:dyDescent="0.2">
      <c r="A159" t="s">
        <v>795</v>
      </c>
      <c r="B159" t="s">
        <v>365</v>
      </c>
      <c r="C159" t="s">
        <v>28</v>
      </c>
      <c r="D159" t="s">
        <v>1208</v>
      </c>
      <c r="E159" t="s">
        <v>190</v>
      </c>
      <c r="F159" t="s">
        <v>285</v>
      </c>
      <c r="G159" t="s">
        <v>196</v>
      </c>
      <c r="H159" s="9" t="s">
        <v>1262</v>
      </c>
    </row>
    <row r="160" spans="1:8" x14ac:dyDescent="0.2">
      <c r="A160" t="s">
        <v>795</v>
      </c>
      <c r="B160" t="s">
        <v>365</v>
      </c>
      <c r="C160" t="s">
        <v>28</v>
      </c>
      <c r="D160" t="s">
        <v>1209</v>
      </c>
      <c r="E160" t="s">
        <v>190</v>
      </c>
      <c r="F160" t="s">
        <v>285</v>
      </c>
      <c r="G160" t="s">
        <v>196</v>
      </c>
      <c r="H160" s="9" t="s">
        <v>1263</v>
      </c>
    </row>
    <row r="161" spans="1:8" x14ac:dyDescent="0.2">
      <c r="A161" t="s">
        <v>795</v>
      </c>
      <c r="B161" t="s">
        <v>365</v>
      </c>
      <c r="C161" t="s">
        <v>28</v>
      </c>
      <c r="D161" t="s">
        <v>1210</v>
      </c>
      <c r="E161" t="s">
        <v>190</v>
      </c>
      <c r="F161" t="s">
        <v>285</v>
      </c>
      <c r="G161" t="s">
        <v>196</v>
      </c>
      <c r="H161" s="9" t="s">
        <v>1264</v>
      </c>
    </row>
    <row r="162" spans="1:8" x14ac:dyDescent="0.2">
      <c r="A162" t="s">
        <v>795</v>
      </c>
      <c r="B162" t="s">
        <v>365</v>
      </c>
      <c r="C162" t="s">
        <v>28</v>
      </c>
      <c r="D162" t="s">
        <v>1211</v>
      </c>
      <c r="E162" t="s">
        <v>190</v>
      </c>
      <c r="F162" t="s">
        <v>285</v>
      </c>
      <c r="G162" t="s">
        <v>196</v>
      </c>
      <c r="H162" s="9" t="s">
        <v>1265</v>
      </c>
    </row>
    <row r="163" spans="1:8" x14ac:dyDescent="0.2">
      <c r="A163" t="s">
        <v>795</v>
      </c>
      <c r="B163" t="s">
        <v>365</v>
      </c>
      <c r="C163" t="s">
        <v>28</v>
      </c>
      <c r="D163" t="s">
        <v>1212</v>
      </c>
      <c r="E163" t="s">
        <v>190</v>
      </c>
      <c r="F163" t="s">
        <v>285</v>
      </c>
      <c r="G163" t="s">
        <v>196</v>
      </c>
      <c r="H163" s="9" t="s">
        <v>1266</v>
      </c>
    </row>
    <row r="164" spans="1:8" x14ac:dyDescent="0.2">
      <c r="A164" t="s">
        <v>793</v>
      </c>
      <c r="B164" t="s">
        <v>365</v>
      </c>
      <c r="C164" t="s">
        <v>28</v>
      </c>
      <c r="D164" t="s">
        <v>110</v>
      </c>
      <c r="E164" t="s">
        <v>190</v>
      </c>
      <c r="F164" t="s">
        <v>110</v>
      </c>
    </row>
    <row r="165" spans="1:8" x14ac:dyDescent="0.2">
      <c r="A165" t="s">
        <v>793</v>
      </c>
      <c r="B165" t="s">
        <v>365</v>
      </c>
      <c r="C165" t="s">
        <v>28</v>
      </c>
      <c r="D165" t="s">
        <v>318</v>
      </c>
      <c r="E165" t="s">
        <v>190</v>
      </c>
      <c r="F165" t="s">
        <v>318</v>
      </c>
    </row>
    <row r="166" spans="1:8" x14ac:dyDescent="0.2">
      <c r="A166" t="s">
        <v>793</v>
      </c>
      <c r="B166" t="s">
        <v>365</v>
      </c>
      <c r="C166" t="s">
        <v>28</v>
      </c>
      <c r="D166" t="s">
        <v>319</v>
      </c>
      <c r="E166" t="s">
        <v>190</v>
      </c>
      <c r="F166" t="s">
        <v>319</v>
      </c>
    </row>
    <row r="167" spans="1:8" ht="17" customHeight="1" x14ac:dyDescent="0.2">
      <c r="A167" t="s">
        <v>793</v>
      </c>
      <c r="B167" t="s">
        <v>365</v>
      </c>
      <c r="C167" t="s">
        <v>28</v>
      </c>
      <c r="D167" t="s">
        <v>320</v>
      </c>
      <c r="E167" t="s">
        <v>190</v>
      </c>
      <c r="F167" t="s">
        <v>320</v>
      </c>
    </row>
    <row r="168" spans="1:8" x14ac:dyDescent="0.2">
      <c r="A168" t="s">
        <v>793</v>
      </c>
      <c r="B168" t="s">
        <v>365</v>
      </c>
      <c r="C168" t="s">
        <v>28</v>
      </c>
      <c r="D168" t="s">
        <v>111</v>
      </c>
      <c r="E168" t="s">
        <v>190</v>
      </c>
      <c r="F168" t="s">
        <v>111</v>
      </c>
    </row>
    <row r="169" spans="1:8" x14ac:dyDescent="0.2">
      <c r="A169" t="s">
        <v>793</v>
      </c>
      <c r="B169" t="s">
        <v>365</v>
      </c>
      <c r="C169" t="s">
        <v>28</v>
      </c>
      <c r="D169" t="s">
        <v>112</v>
      </c>
      <c r="E169" t="s">
        <v>190</v>
      </c>
      <c r="F169" t="s">
        <v>112</v>
      </c>
    </row>
    <row r="170" spans="1:8" x14ac:dyDescent="0.2">
      <c r="A170" t="s">
        <v>793</v>
      </c>
      <c r="B170" t="s">
        <v>365</v>
      </c>
      <c r="C170" t="s">
        <v>28</v>
      </c>
      <c r="D170" t="s">
        <v>321</v>
      </c>
      <c r="E170" t="s">
        <v>190</v>
      </c>
      <c r="F170" t="s">
        <v>321</v>
      </c>
    </row>
    <row r="171" spans="1:8" x14ac:dyDescent="0.2">
      <c r="A171" t="s">
        <v>793</v>
      </c>
      <c r="B171" t="s">
        <v>365</v>
      </c>
      <c r="C171" t="s">
        <v>28</v>
      </c>
      <c r="D171" t="s">
        <v>322</v>
      </c>
      <c r="E171" t="s">
        <v>190</v>
      </c>
      <c r="F171" t="s">
        <v>322</v>
      </c>
    </row>
    <row r="172" spans="1:8" x14ac:dyDescent="0.2">
      <c r="A172" t="s">
        <v>793</v>
      </c>
      <c r="B172" t="s">
        <v>365</v>
      </c>
      <c r="C172" t="s">
        <v>28</v>
      </c>
      <c r="D172" t="s">
        <v>113</v>
      </c>
      <c r="E172" t="s">
        <v>190</v>
      </c>
      <c r="F172" t="s">
        <v>113</v>
      </c>
    </row>
    <row r="173" spans="1:8" x14ac:dyDescent="0.2">
      <c r="A173" t="s">
        <v>793</v>
      </c>
      <c r="B173" t="s">
        <v>365</v>
      </c>
      <c r="C173" t="s">
        <v>28</v>
      </c>
      <c r="D173" t="s">
        <v>114</v>
      </c>
      <c r="E173" t="s">
        <v>190</v>
      </c>
      <c r="F173" t="s">
        <v>114</v>
      </c>
    </row>
    <row r="174" spans="1:8" x14ac:dyDescent="0.2">
      <c r="A174" t="s">
        <v>793</v>
      </c>
      <c r="B174" t="s">
        <v>365</v>
      </c>
      <c r="C174" t="s">
        <v>28</v>
      </c>
      <c r="D174" t="s">
        <v>323</v>
      </c>
      <c r="E174" t="s">
        <v>190</v>
      </c>
      <c r="F174" t="s">
        <v>323</v>
      </c>
    </row>
    <row r="175" spans="1:8" x14ac:dyDescent="0.2">
      <c r="A175" t="s">
        <v>793</v>
      </c>
      <c r="B175" t="s">
        <v>365</v>
      </c>
      <c r="C175" t="s">
        <v>28</v>
      </c>
      <c r="D175" t="s">
        <v>324</v>
      </c>
      <c r="E175" t="s">
        <v>190</v>
      </c>
      <c r="F175" t="s">
        <v>324</v>
      </c>
    </row>
    <row r="176" spans="1:8" x14ac:dyDescent="0.2">
      <c r="A176" t="s">
        <v>793</v>
      </c>
      <c r="B176" t="s">
        <v>365</v>
      </c>
      <c r="C176" t="s">
        <v>28</v>
      </c>
      <c r="D176" t="s">
        <v>325</v>
      </c>
      <c r="E176" t="s">
        <v>190</v>
      </c>
      <c r="F176" t="s">
        <v>325</v>
      </c>
    </row>
    <row r="177" spans="1:6" x14ac:dyDescent="0.2">
      <c r="A177" t="s">
        <v>793</v>
      </c>
      <c r="B177" t="s">
        <v>365</v>
      </c>
      <c r="C177" t="s">
        <v>28</v>
      </c>
      <c r="D177" t="s">
        <v>326</v>
      </c>
      <c r="E177" t="s">
        <v>190</v>
      </c>
      <c r="F177" t="s">
        <v>326</v>
      </c>
    </row>
    <row r="178" spans="1:6" x14ac:dyDescent="0.2">
      <c r="A178" t="s">
        <v>793</v>
      </c>
      <c r="B178" t="s">
        <v>365</v>
      </c>
      <c r="C178" t="s">
        <v>28</v>
      </c>
      <c r="D178" t="s">
        <v>327</v>
      </c>
      <c r="E178" t="s">
        <v>190</v>
      </c>
      <c r="F178" t="s">
        <v>327</v>
      </c>
    </row>
    <row r="179" spans="1:6" x14ac:dyDescent="0.2">
      <c r="A179" t="s">
        <v>793</v>
      </c>
      <c r="B179" t="s">
        <v>365</v>
      </c>
      <c r="C179" t="s">
        <v>28</v>
      </c>
      <c r="D179" t="s">
        <v>328</v>
      </c>
      <c r="E179" t="s">
        <v>190</v>
      </c>
      <c r="F179" t="s">
        <v>328</v>
      </c>
    </row>
    <row r="180" spans="1:6" x14ac:dyDescent="0.2">
      <c r="A180" t="s">
        <v>793</v>
      </c>
      <c r="B180" t="s">
        <v>365</v>
      </c>
      <c r="C180" t="s">
        <v>28</v>
      </c>
      <c r="D180" t="s">
        <v>329</v>
      </c>
      <c r="E180" t="s">
        <v>190</v>
      </c>
      <c r="F180" t="s">
        <v>329</v>
      </c>
    </row>
    <row r="181" spans="1:6" x14ac:dyDescent="0.2">
      <c r="A181" t="s">
        <v>793</v>
      </c>
      <c r="B181" t="s">
        <v>365</v>
      </c>
      <c r="C181" t="s">
        <v>28</v>
      </c>
      <c r="D181" t="s">
        <v>330</v>
      </c>
      <c r="E181" t="s">
        <v>190</v>
      </c>
      <c r="F181" t="s">
        <v>330</v>
      </c>
    </row>
    <row r="182" spans="1:6" x14ac:dyDescent="0.2">
      <c r="A182" t="s">
        <v>793</v>
      </c>
      <c r="B182" t="s">
        <v>365</v>
      </c>
      <c r="C182" t="s">
        <v>28</v>
      </c>
      <c r="D182" t="s">
        <v>331</v>
      </c>
      <c r="E182" t="s">
        <v>190</v>
      </c>
      <c r="F182" t="s">
        <v>331</v>
      </c>
    </row>
    <row r="183" spans="1:6" x14ac:dyDescent="0.2">
      <c r="A183" t="s">
        <v>793</v>
      </c>
      <c r="B183" t="s">
        <v>365</v>
      </c>
      <c r="C183" t="s">
        <v>28</v>
      </c>
      <c r="D183" t="s">
        <v>332</v>
      </c>
      <c r="E183" t="s">
        <v>190</v>
      </c>
      <c r="F183" t="s">
        <v>332</v>
      </c>
    </row>
    <row r="184" spans="1:6" x14ac:dyDescent="0.2">
      <c r="A184" t="s">
        <v>793</v>
      </c>
      <c r="B184" t="s">
        <v>365</v>
      </c>
      <c r="C184" t="s">
        <v>28</v>
      </c>
      <c r="D184" t="s">
        <v>333</v>
      </c>
      <c r="E184" t="s">
        <v>190</v>
      </c>
      <c r="F184" t="s">
        <v>333</v>
      </c>
    </row>
    <row r="185" spans="1:6" x14ac:dyDescent="0.2">
      <c r="A185" t="s">
        <v>793</v>
      </c>
      <c r="B185" t="s">
        <v>365</v>
      </c>
      <c r="C185" t="s">
        <v>28</v>
      </c>
      <c r="D185" t="s">
        <v>334</v>
      </c>
      <c r="E185" t="s">
        <v>190</v>
      </c>
      <c r="F185" t="s">
        <v>334</v>
      </c>
    </row>
    <row r="186" spans="1:6" x14ac:dyDescent="0.2">
      <c r="A186" t="s">
        <v>793</v>
      </c>
      <c r="B186" t="s">
        <v>365</v>
      </c>
      <c r="C186" t="s">
        <v>28</v>
      </c>
      <c r="D186" t="s">
        <v>335</v>
      </c>
      <c r="E186" t="s">
        <v>190</v>
      </c>
      <c r="F186" t="s">
        <v>335</v>
      </c>
    </row>
    <row r="187" spans="1:6" x14ac:dyDescent="0.2">
      <c r="A187" t="s">
        <v>793</v>
      </c>
      <c r="B187" t="s">
        <v>365</v>
      </c>
      <c r="C187" t="s">
        <v>28</v>
      </c>
      <c r="D187" t="s">
        <v>336</v>
      </c>
      <c r="E187" t="s">
        <v>190</v>
      </c>
      <c r="F187" t="s">
        <v>336</v>
      </c>
    </row>
    <row r="188" spans="1:6" x14ac:dyDescent="0.2">
      <c r="A188" t="s">
        <v>793</v>
      </c>
      <c r="B188" t="s">
        <v>365</v>
      </c>
      <c r="C188" t="s">
        <v>28</v>
      </c>
      <c r="D188" t="s">
        <v>337</v>
      </c>
      <c r="E188" t="s">
        <v>190</v>
      </c>
      <c r="F188" t="s">
        <v>337</v>
      </c>
    </row>
    <row r="189" spans="1:6" x14ac:dyDescent="0.2">
      <c r="A189" t="s">
        <v>793</v>
      </c>
      <c r="B189" t="s">
        <v>365</v>
      </c>
      <c r="C189" t="s">
        <v>28</v>
      </c>
      <c r="D189" t="s">
        <v>338</v>
      </c>
      <c r="E189" t="s">
        <v>190</v>
      </c>
      <c r="F189" t="s">
        <v>338</v>
      </c>
    </row>
    <row r="190" spans="1:6" x14ac:dyDescent="0.2">
      <c r="A190" t="s">
        <v>793</v>
      </c>
      <c r="B190" t="s">
        <v>365</v>
      </c>
      <c r="C190" t="s">
        <v>28</v>
      </c>
      <c r="D190" t="s">
        <v>339</v>
      </c>
      <c r="E190" t="s">
        <v>190</v>
      </c>
      <c r="F190" t="s">
        <v>339</v>
      </c>
    </row>
    <row r="191" spans="1:6" x14ac:dyDescent="0.2">
      <c r="A191" t="s">
        <v>793</v>
      </c>
      <c r="B191" t="s">
        <v>365</v>
      </c>
      <c r="C191" t="s">
        <v>28</v>
      </c>
      <c r="D191" t="s">
        <v>340</v>
      </c>
      <c r="E191" t="s">
        <v>190</v>
      </c>
      <c r="F191" t="s">
        <v>340</v>
      </c>
    </row>
    <row r="192" spans="1:6" x14ac:dyDescent="0.2">
      <c r="A192" t="s">
        <v>793</v>
      </c>
      <c r="B192" t="s">
        <v>365</v>
      </c>
      <c r="C192" t="s">
        <v>28</v>
      </c>
      <c r="D192" t="s">
        <v>341</v>
      </c>
      <c r="E192" t="s">
        <v>190</v>
      </c>
      <c r="F192" t="s">
        <v>341</v>
      </c>
    </row>
    <row r="193" spans="1:10" x14ac:dyDescent="0.2">
      <c r="A193" t="s">
        <v>793</v>
      </c>
      <c r="B193" t="s">
        <v>365</v>
      </c>
      <c r="C193" t="s">
        <v>342</v>
      </c>
      <c r="D193" t="s">
        <v>343</v>
      </c>
      <c r="E193" t="s">
        <v>190</v>
      </c>
      <c r="F193" t="s">
        <v>344</v>
      </c>
    </row>
    <row r="194" spans="1:10" x14ac:dyDescent="0.2">
      <c r="A194" t="s">
        <v>793</v>
      </c>
      <c r="B194" t="s">
        <v>365</v>
      </c>
      <c r="C194" t="s">
        <v>342</v>
      </c>
      <c r="D194" t="s">
        <v>161</v>
      </c>
      <c r="E194" t="s">
        <v>190</v>
      </c>
      <c r="F194" t="s">
        <v>345</v>
      </c>
      <c r="G194" t="s">
        <v>196</v>
      </c>
      <c r="H194" s="3" t="s">
        <v>733</v>
      </c>
    </row>
    <row r="195" spans="1:10" x14ac:dyDescent="0.2">
      <c r="A195" t="s">
        <v>793</v>
      </c>
      <c r="B195" t="s">
        <v>365</v>
      </c>
      <c r="C195" t="s">
        <v>342</v>
      </c>
      <c r="D195" t="s">
        <v>160</v>
      </c>
      <c r="E195" t="s">
        <v>190</v>
      </c>
      <c r="F195" t="s">
        <v>346</v>
      </c>
      <c r="G195" t="s">
        <v>196</v>
      </c>
      <c r="H195" s="3" t="s">
        <v>734</v>
      </c>
    </row>
    <row r="196" spans="1:10" x14ac:dyDescent="0.2">
      <c r="A196" t="s">
        <v>793</v>
      </c>
      <c r="B196" t="s">
        <v>365</v>
      </c>
      <c r="C196" t="s">
        <v>342</v>
      </c>
      <c r="D196" t="s">
        <v>347</v>
      </c>
      <c r="E196" t="s">
        <v>190</v>
      </c>
      <c r="F196" t="s">
        <v>154</v>
      </c>
    </row>
    <row r="197" spans="1:10" x14ac:dyDescent="0.2">
      <c r="A197" t="s">
        <v>793</v>
      </c>
      <c r="B197" t="s">
        <v>365</v>
      </c>
      <c r="C197" t="s">
        <v>342</v>
      </c>
      <c r="D197" t="s">
        <v>157</v>
      </c>
      <c r="E197" t="s">
        <v>190</v>
      </c>
      <c r="F197" t="s">
        <v>270</v>
      </c>
      <c r="G197" t="s">
        <v>207</v>
      </c>
      <c r="H197" t="s">
        <v>353</v>
      </c>
      <c r="I197" t="s">
        <v>207</v>
      </c>
      <c r="J197" t="s">
        <v>354</v>
      </c>
    </row>
    <row r="198" spans="1:10" x14ac:dyDescent="0.2">
      <c r="A198" t="s">
        <v>793</v>
      </c>
      <c r="B198" t="s">
        <v>365</v>
      </c>
      <c r="C198" t="s">
        <v>342</v>
      </c>
      <c r="D198" t="s">
        <v>355</v>
      </c>
      <c r="E198" t="s">
        <v>190</v>
      </c>
      <c r="F198" t="s">
        <v>270</v>
      </c>
      <c r="G198" t="s">
        <v>220</v>
      </c>
      <c r="H198" t="s">
        <v>157</v>
      </c>
    </row>
    <row r="199" spans="1:10" x14ac:dyDescent="0.2">
      <c r="A199" t="s">
        <v>793</v>
      </c>
      <c r="B199" t="s">
        <v>365</v>
      </c>
      <c r="C199" t="s">
        <v>342</v>
      </c>
      <c r="D199" t="s">
        <v>356</v>
      </c>
      <c r="E199" t="s">
        <v>190</v>
      </c>
      <c r="F199" t="s">
        <v>354</v>
      </c>
      <c r="G199" t="s">
        <v>220</v>
      </c>
      <c r="H199" t="s">
        <v>157</v>
      </c>
    </row>
    <row r="200" spans="1:10" x14ac:dyDescent="0.2">
      <c r="A200" t="s">
        <v>793</v>
      </c>
      <c r="B200" t="s">
        <v>365</v>
      </c>
      <c r="C200" t="s">
        <v>342</v>
      </c>
      <c r="D200" t="s">
        <v>357</v>
      </c>
      <c r="E200" t="s">
        <v>190</v>
      </c>
      <c r="F200">
        <v>1</v>
      </c>
      <c r="G200" t="s">
        <v>226</v>
      </c>
      <c r="H200" t="s">
        <v>355</v>
      </c>
      <c r="I200" t="s">
        <v>226</v>
      </c>
      <c r="J200" t="s">
        <v>356</v>
      </c>
    </row>
    <row r="201" spans="1:10" x14ac:dyDescent="0.2">
      <c r="A201" t="s">
        <v>793</v>
      </c>
      <c r="B201" t="s">
        <v>365</v>
      </c>
      <c r="C201" t="s">
        <v>342</v>
      </c>
      <c r="D201" t="s">
        <v>358</v>
      </c>
      <c r="E201" t="s">
        <v>190</v>
      </c>
      <c r="F201" t="s">
        <v>352</v>
      </c>
      <c r="G201" t="s">
        <v>226</v>
      </c>
      <c r="H201" t="s">
        <v>158</v>
      </c>
    </row>
    <row r="202" spans="1:10" x14ac:dyDescent="0.2">
      <c r="A202" t="s">
        <v>793</v>
      </c>
      <c r="B202" t="s">
        <v>365</v>
      </c>
      <c r="C202" t="s">
        <v>342</v>
      </c>
      <c r="D202" t="s">
        <v>359</v>
      </c>
      <c r="E202" t="s">
        <v>190</v>
      </c>
      <c r="F202" t="s">
        <v>360</v>
      </c>
      <c r="G202" t="s">
        <v>207</v>
      </c>
      <c r="H202" t="s">
        <v>154</v>
      </c>
      <c r="I202" t="s">
        <v>207</v>
      </c>
      <c r="J202" t="s">
        <v>358</v>
      </c>
    </row>
    <row r="203" spans="1:10" x14ac:dyDescent="0.2">
      <c r="A203" t="s">
        <v>793</v>
      </c>
      <c r="B203" t="s">
        <v>365</v>
      </c>
      <c r="C203" t="s">
        <v>342</v>
      </c>
      <c r="D203" t="s">
        <v>361</v>
      </c>
      <c r="E203" t="s">
        <v>190</v>
      </c>
      <c r="F203" t="s">
        <v>270</v>
      </c>
      <c r="G203" t="s">
        <v>220</v>
      </c>
      <c r="H203" s="3" t="s">
        <v>735</v>
      </c>
      <c r="I203" t="s">
        <v>196</v>
      </c>
      <c r="J203" s="3" t="s">
        <v>736</v>
      </c>
    </row>
    <row r="204" spans="1:10" x14ac:dyDescent="0.2">
      <c r="A204" t="s">
        <v>794</v>
      </c>
      <c r="B204" t="s">
        <v>365</v>
      </c>
      <c r="C204" t="s">
        <v>20</v>
      </c>
      <c r="D204" t="s">
        <v>166</v>
      </c>
      <c r="E204" t="s">
        <v>190</v>
      </c>
      <c r="F204" t="s">
        <v>387</v>
      </c>
      <c r="G204" t="s">
        <v>207</v>
      </c>
      <c r="H204" t="s">
        <v>386</v>
      </c>
    </row>
    <row r="205" spans="1:10" x14ac:dyDescent="0.2">
      <c r="A205" t="s">
        <v>794</v>
      </c>
      <c r="B205" t="s">
        <v>365</v>
      </c>
      <c r="C205" t="s">
        <v>20</v>
      </c>
      <c r="D205" t="s">
        <v>492</v>
      </c>
      <c r="E205" t="s">
        <v>190</v>
      </c>
      <c r="F205" t="s">
        <v>387</v>
      </c>
      <c r="G205" t="s">
        <v>220</v>
      </c>
      <c r="H205" t="s">
        <v>166</v>
      </c>
    </row>
    <row r="206" spans="1:10" x14ac:dyDescent="0.2">
      <c r="A206" t="s">
        <v>794</v>
      </c>
      <c r="B206" t="s">
        <v>365</v>
      </c>
      <c r="C206" t="s">
        <v>20</v>
      </c>
      <c r="D206" t="s">
        <v>493</v>
      </c>
      <c r="E206" t="s">
        <v>190</v>
      </c>
      <c r="F206" t="s">
        <v>386</v>
      </c>
      <c r="G206" t="s">
        <v>220</v>
      </c>
      <c r="H206" t="s">
        <v>166</v>
      </c>
    </row>
    <row r="207" spans="1:10" x14ac:dyDescent="0.2">
      <c r="A207" t="s">
        <v>794</v>
      </c>
      <c r="B207" t="s">
        <v>365</v>
      </c>
      <c r="C207" t="s">
        <v>6</v>
      </c>
      <c r="D207" t="s">
        <v>156</v>
      </c>
      <c r="E207" t="s">
        <v>190</v>
      </c>
      <c r="F207" t="s">
        <v>390</v>
      </c>
      <c r="G207" t="s">
        <v>207</v>
      </c>
      <c r="H207" t="s">
        <v>388</v>
      </c>
    </row>
    <row r="208" spans="1:10" x14ac:dyDescent="0.2">
      <c r="A208" t="s">
        <v>794</v>
      </c>
      <c r="B208" t="s">
        <v>365</v>
      </c>
      <c r="C208" t="s">
        <v>6</v>
      </c>
      <c r="D208" t="s">
        <v>260</v>
      </c>
      <c r="E208" t="s">
        <v>190</v>
      </c>
      <c r="F208" t="s">
        <v>393</v>
      </c>
      <c r="G208" t="s">
        <v>207</v>
      </c>
      <c r="H208" t="s">
        <v>391</v>
      </c>
      <c r="I208" t="s">
        <v>226</v>
      </c>
      <c r="J208" t="s">
        <v>167</v>
      </c>
    </row>
    <row r="209" spans="1:32" x14ac:dyDescent="0.2">
      <c r="A209" t="s">
        <v>795</v>
      </c>
      <c r="B209" t="s">
        <v>365</v>
      </c>
      <c r="C209" t="s">
        <v>6</v>
      </c>
      <c r="D209" t="s">
        <v>494</v>
      </c>
      <c r="E209" t="s">
        <v>190</v>
      </c>
      <c r="F209" t="s">
        <v>394</v>
      </c>
      <c r="G209" t="s">
        <v>207</v>
      </c>
      <c r="H209" t="s">
        <v>395</v>
      </c>
      <c r="I209" t="s">
        <v>207</v>
      </c>
      <c r="J209" t="s">
        <v>396</v>
      </c>
      <c r="K209" t="s">
        <v>207</v>
      </c>
      <c r="L209" t="s">
        <v>397</v>
      </c>
      <c r="M209" t="s">
        <v>207</v>
      </c>
      <c r="N209" t="s">
        <v>398</v>
      </c>
      <c r="O209" t="s">
        <v>207</v>
      </c>
      <c r="P209" t="s">
        <v>399</v>
      </c>
      <c r="Q209" t="s">
        <v>207</v>
      </c>
      <c r="R209" t="s">
        <v>400</v>
      </c>
      <c r="S209" t="s">
        <v>207</v>
      </c>
      <c r="T209" t="s">
        <v>401</v>
      </c>
      <c r="U209" t="s">
        <v>207</v>
      </c>
      <c r="V209" t="s">
        <v>402</v>
      </c>
      <c r="W209" t="s">
        <v>207</v>
      </c>
      <c r="X209" t="s">
        <v>403</v>
      </c>
      <c r="Y209" t="s">
        <v>207</v>
      </c>
      <c r="Z209" t="s">
        <v>404</v>
      </c>
      <c r="AA209" t="s">
        <v>207</v>
      </c>
      <c r="AB209" t="s">
        <v>405</v>
      </c>
      <c r="AC209" t="s">
        <v>207</v>
      </c>
      <c r="AD209" t="s">
        <v>406</v>
      </c>
      <c r="AE209" t="s">
        <v>207</v>
      </c>
      <c r="AF209" t="s">
        <v>407</v>
      </c>
    </row>
    <row r="210" spans="1:32" x14ac:dyDescent="0.2">
      <c r="A210" t="s">
        <v>795</v>
      </c>
      <c r="B210" t="s">
        <v>365</v>
      </c>
      <c r="C210" t="s">
        <v>6</v>
      </c>
      <c r="D210" t="s">
        <v>495</v>
      </c>
      <c r="E210" t="s">
        <v>190</v>
      </c>
      <c r="F210" t="s">
        <v>408</v>
      </c>
      <c r="G210" t="s">
        <v>207</v>
      </c>
      <c r="H210" t="s">
        <v>409</v>
      </c>
      <c r="I210" t="s">
        <v>207</v>
      </c>
      <c r="J210" t="s">
        <v>410</v>
      </c>
      <c r="K210" t="s">
        <v>207</v>
      </c>
      <c r="L210" t="s">
        <v>411</v>
      </c>
      <c r="M210" t="s">
        <v>207</v>
      </c>
      <c r="N210" t="s">
        <v>412</v>
      </c>
      <c r="O210" t="s">
        <v>207</v>
      </c>
      <c r="P210" t="s">
        <v>413</v>
      </c>
      <c r="Q210" t="s">
        <v>207</v>
      </c>
      <c r="R210" t="s">
        <v>414</v>
      </c>
      <c r="S210" t="s">
        <v>207</v>
      </c>
      <c r="T210" t="s">
        <v>415</v>
      </c>
      <c r="U210" t="s">
        <v>207</v>
      </c>
      <c r="V210" t="s">
        <v>416</v>
      </c>
      <c r="W210" t="s">
        <v>207</v>
      </c>
      <c r="X210" t="s">
        <v>417</v>
      </c>
      <c r="Y210" t="s">
        <v>207</v>
      </c>
      <c r="Z210" t="s">
        <v>418</v>
      </c>
      <c r="AA210" t="s">
        <v>207</v>
      </c>
      <c r="AB210" t="s">
        <v>419</v>
      </c>
      <c r="AC210" t="s">
        <v>207</v>
      </c>
      <c r="AD210" t="s">
        <v>420</v>
      </c>
    </row>
    <row r="211" spans="1:32" x14ac:dyDescent="0.2">
      <c r="A211" t="s">
        <v>794</v>
      </c>
      <c r="B211" t="s">
        <v>365</v>
      </c>
      <c r="C211" t="s">
        <v>116</v>
      </c>
      <c r="D211" t="s">
        <v>496</v>
      </c>
      <c r="E211" t="s">
        <v>190</v>
      </c>
      <c r="F211" t="s">
        <v>458</v>
      </c>
      <c r="G211" t="s">
        <v>207</v>
      </c>
      <c r="H211" t="s">
        <v>448</v>
      </c>
      <c r="I211" t="s">
        <v>207</v>
      </c>
      <c r="J211" t="s">
        <v>438</v>
      </c>
      <c r="K211" t="s">
        <v>207</v>
      </c>
      <c r="L211" t="s">
        <v>461</v>
      </c>
      <c r="M211" t="s">
        <v>207</v>
      </c>
      <c r="N211" t="s">
        <v>451</v>
      </c>
      <c r="O211" t="s">
        <v>207</v>
      </c>
      <c r="P211" t="s">
        <v>441</v>
      </c>
      <c r="Q211" t="s">
        <v>207</v>
      </c>
      <c r="R211" t="s">
        <v>456</v>
      </c>
      <c r="S211" t="s">
        <v>207</v>
      </c>
      <c r="T211" t="s">
        <v>445</v>
      </c>
      <c r="U211" t="s">
        <v>207</v>
      </c>
      <c r="V211" t="s">
        <v>435</v>
      </c>
    </row>
    <row r="212" spans="1:32" x14ac:dyDescent="0.2">
      <c r="A212" t="s">
        <v>794</v>
      </c>
      <c r="B212" t="s">
        <v>365</v>
      </c>
      <c r="C212" t="s">
        <v>116</v>
      </c>
      <c r="D212" t="s">
        <v>497</v>
      </c>
      <c r="E212" t="s">
        <v>190</v>
      </c>
      <c r="F212" t="s">
        <v>496</v>
      </c>
      <c r="G212" t="s">
        <v>220</v>
      </c>
      <c r="H212" t="s">
        <v>475</v>
      </c>
    </row>
    <row r="213" spans="1:32" x14ac:dyDescent="0.2">
      <c r="A213" t="s">
        <v>794</v>
      </c>
      <c r="B213" t="s">
        <v>365</v>
      </c>
      <c r="C213" t="s">
        <v>116</v>
      </c>
      <c r="D213" t="s">
        <v>498</v>
      </c>
      <c r="E213" t="s">
        <v>190</v>
      </c>
      <c r="F213" t="s">
        <v>439</v>
      </c>
      <c r="G213" t="s">
        <v>207</v>
      </c>
      <c r="H213" t="s">
        <v>449</v>
      </c>
      <c r="I213" t="s">
        <v>207</v>
      </c>
      <c r="J213" t="s">
        <v>459</v>
      </c>
      <c r="K213" t="s">
        <v>207</v>
      </c>
      <c r="L213" t="s">
        <v>437</v>
      </c>
      <c r="M213" t="s">
        <v>207</v>
      </c>
      <c r="N213" t="s">
        <v>442</v>
      </c>
      <c r="O213" t="s">
        <v>207</v>
      </c>
      <c r="P213" t="s">
        <v>446</v>
      </c>
      <c r="Q213" t="s">
        <v>207</v>
      </c>
      <c r="R213" t="s">
        <v>452</v>
      </c>
      <c r="S213" t="s">
        <v>207</v>
      </c>
      <c r="T213" t="s">
        <v>455</v>
      </c>
      <c r="U213" t="s">
        <v>207</v>
      </c>
      <c r="V213" t="s">
        <v>462</v>
      </c>
      <c r="W213" t="s">
        <v>207</v>
      </c>
      <c r="X213" t="s">
        <v>434</v>
      </c>
      <c r="Y213" t="s">
        <v>207</v>
      </c>
      <c r="Z213" t="s">
        <v>444</v>
      </c>
      <c r="AA213" t="s">
        <v>207</v>
      </c>
      <c r="AB213" t="s">
        <v>454</v>
      </c>
    </row>
    <row r="214" spans="1:32" x14ac:dyDescent="0.2">
      <c r="A214" t="s">
        <v>794</v>
      </c>
      <c r="B214" t="s">
        <v>365</v>
      </c>
      <c r="C214" t="s">
        <v>116</v>
      </c>
      <c r="D214" t="s">
        <v>499</v>
      </c>
      <c r="E214" t="s">
        <v>190</v>
      </c>
      <c r="F214" t="s">
        <v>498</v>
      </c>
      <c r="G214" t="s">
        <v>220</v>
      </c>
      <c r="H214" t="s">
        <v>476</v>
      </c>
    </row>
    <row r="215" spans="1:32" x14ac:dyDescent="0.2">
      <c r="A215" t="s">
        <v>794</v>
      </c>
      <c r="B215" t="s">
        <v>365</v>
      </c>
      <c r="C215" t="s">
        <v>116</v>
      </c>
      <c r="D215" t="s">
        <v>500</v>
      </c>
      <c r="E215" t="s">
        <v>190</v>
      </c>
      <c r="F215" t="s">
        <v>436</v>
      </c>
      <c r="G215" t="s">
        <v>207</v>
      </c>
      <c r="H215" t="s">
        <v>440</v>
      </c>
      <c r="I215" t="s">
        <v>207</v>
      </c>
      <c r="J215" t="s">
        <v>447</v>
      </c>
      <c r="K215" t="s">
        <v>207</v>
      </c>
      <c r="L215" t="s">
        <v>450</v>
      </c>
      <c r="M215" t="s">
        <v>207</v>
      </c>
      <c r="N215" t="s">
        <v>457</v>
      </c>
      <c r="O215" t="s">
        <v>207</v>
      </c>
      <c r="P215" t="s">
        <v>460</v>
      </c>
    </row>
    <row r="216" spans="1:32" x14ac:dyDescent="0.2">
      <c r="A216" t="s">
        <v>794</v>
      </c>
      <c r="B216" t="s">
        <v>365</v>
      </c>
      <c r="C216" t="s">
        <v>116</v>
      </c>
      <c r="D216" t="s">
        <v>182</v>
      </c>
      <c r="E216" t="s">
        <v>190</v>
      </c>
      <c r="F216" t="s">
        <v>500</v>
      </c>
      <c r="G216" t="s">
        <v>220</v>
      </c>
      <c r="H216" t="s">
        <v>477</v>
      </c>
    </row>
    <row r="217" spans="1:32" x14ac:dyDescent="0.2">
      <c r="A217" t="s">
        <v>794</v>
      </c>
      <c r="B217" t="s">
        <v>365</v>
      </c>
      <c r="C217" t="s">
        <v>116</v>
      </c>
      <c r="D217" t="s">
        <v>501</v>
      </c>
      <c r="E217" t="s">
        <v>190</v>
      </c>
      <c r="F217" t="s">
        <v>463</v>
      </c>
      <c r="G217" t="s">
        <v>207</v>
      </c>
      <c r="H217" t="s">
        <v>453</v>
      </c>
      <c r="I217" t="s">
        <v>207</v>
      </c>
      <c r="J217" t="s">
        <v>443</v>
      </c>
      <c r="K217" t="s">
        <v>207</v>
      </c>
      <c r="L217" s="8" t="s">
        <v>1377</v>
      </c>
      <c r="M217" t="s">
        <v>207</v>
      </c>
      <c r="N217" s="8" t="s">
        <v>1378</v>
      </c>
      <c r="O217" t="s">
        <v>207</v>
      </c>
      <c r="P217" s="8" t="s">
        <v>1379</v>
      </c>
      <c r="Q217" t="s">
        <v>207</v>
      </c>
      <c r="R217" s="8" t="s">
        <v>1380</v>
      </c>
      <c r="S217" t="s">
        <v>207</v>
      </c>
      <c r="T217" s="8" t="s">
        <v>1381</v>
      </c>
      <c r="U217" t="s">
        <v>207</v>
      </c>
      <c r="V217" s="8" t="s">
        <v>1382</v>
      </c>
    </row>
    <row r="218" spans="1:32" x14ac:dyDescent="0.2">
      <c r="A218" t="s">
        <v>794</v>
      </c>
      <c r="B218" t="s">
        <v>365</v>
      </c>
      <c r="C218" t="s">
        <v>116</v>
      </c>
      <c r="D218" t="s">
        <v>186</v>
      </c>
      <c r="E218" t="s">
        <v>190</v>
      </c>
      <c r="F218" t="s">
        <v>501</v>
      </c>
      <c r="G218" t="s">
        <v>220</v>
      </c>
      <c r="H218" t="s">
        <v>478</v>
      </c>
    </row>
    <row r="219" spans="1:32" x14ac:dyDescent="0.2">
      <c r="A219" t="s">
        <v>794</v>
      </c>
      <c r="B219" t="s">
        <v>365</v>
      </c>
      <c r="C219" t="s">
        <v>116</v>
      </c>
      <c r="D219" t="s">
        <v>184</v>
      </c>
      <c r="E219" t="s">
        <v>190</v>
      </c>
      <c r="F219" t="s">
        <v>423</v>
      </c>
      <c r="G219" t="s">
        <v>196</v>
      </c>
      <c r="H219" t="s">
        <v>502</v>
      </c>
    </row>
    <row r="220" spans="1:32" x14ac:dyDescent="0.2">
      <c r="A220" t="s">
        <v>794</v>
      </c>
      <c r="B220" t="s">
        <v>365</v>
      </c>
      <c r="C220" t="s">
        <v>116</v>
      </c>
      <c r="D220" t="s">
        <v>503</v>
      </c>
      <c r="E220" t="s">
        <v>190</v>
      </c>
      <c r="F220" t="s">
        <v>423</v>
      </c>
      <c r="G220" t="s">
        <v>226</v>
      </c>
      <c r="H220" t="s">
        <v>184</v>
      </c>
    </row>
    <row r="221" spans="1:32" x14ac:dyDescent="0.2">
      <c r="A221" t="s">
        <v>794</v>
      </c>
      <c r="B221" t="s">
        <v>365</v>
      </c>
      <c r="C221" t="s">
        <v>116</v>
      </c>
      <c r="D221" t="s">
        <v>180</v>
      </c>
      <c r="E221" t="s">
        <v>190</v>
      </c>
      <c r="F221" t="s">
        <v>497</v>
      </c>
      <c r="G221" t="s">
        <v>226</v>
      </c>
      <c r="H221" t="s">
        <v>184</v>
      </c>
    </row>
    <row r="222" spans="1:32" x14ac:dyDescent="0.2">
      <c r="A222" t="s">
        <v>794</v>
      </c>
      <c r="B222" t="s">
        <v>365</v>
      </c>
      <c r="C222" t="s">
        <v>116</v>
      </c>
      <c r="D222" t="s">
        <v>504</v>
      </c>
      <c r="E222" t="s">
        <v>190</v>
      </c>
      <c r="F222" t="s">
        <v>422</v>
      </c>
      <c r="G222" t="s">
        <v>226</v>
      </c>
      <c r="H222" t="s">
        <v>424</v>
      </c>
    </row>
    <row r="223" spans="1:32" x14ac:dyDescent="0.2">
      <c r="A223" t="s">
        <v>794</v>
      </c>
      <c r="B223" t="s">
        <v>365</v>
      </c>
      <c r="C223" t="s">
        <v>116</v>
      </c>
      <c r="D223" t="s">
        <v>181</v>
      </c>
      <c r="E223" t="s">
        <v>190</v>
      </c>
      <c r="F223" t="s">
        <v>499</v>
      </c>
      <c r="G223" t="s">
        <v>207</v>
      </c>
      <c r="H223" t="s">
        <v>504</v>
      </c>
      <c r="I223" t="s">
        <v>226</v>
      </c>
      <c r="J223" t="s">
        <v>503</v>
      </c>
    </row>
    <row r="224" spans="1:32" x14ac:dyDescent="0.2">
      <c r="A224" t="s">
        <v>794</v>
      </c>
      <c r="B224" t="s">
        <v>365</v>
      </c>
      <c r="C224" t="s">
        <v>116</v>
      </c>
      <c r="D224" t="s">
        <v>185</v>
      </c>
      <c r="E224" t="s">
        <v>190</v>
      </c>
      <c r="F224" t="s">
        <v>503</v>
      </c>
      <c r="G224" t="s">
        <v>207</v>
      </c>
      <c r="H224" t="s">
        <v>424</v>
      </c>
    </row>
    <row r="225" spans="1:14" x14ac:dyDescent="0.2">
      <c r="A225" t="s">
        <v>794</v>
      </c>
      <c r="B225" t="s">
        <v>365</v>
      </c>
      <c r="C225" t="s">
        <v>116</v>
      </c>
      <c r="D225" t="s">
        <v>505</v>
      </c>
      <c r="E225" t="s">
        <v>190</v>
      </c>
      <c r="F225" t="s">
        <v>458</v>
      </c>
      <c r="G225" t="s">
        <v>207</v>
      </c>
      <c r="H225" t="s">
        <v>448</v>
      </c>
      <c r="I225" t="s">
        <v>207</v>
      </c>
      <c r="J225" t="s">
        <v>438</v>
      </c>
    </row>
    <row r="226" spans="1:14" x14ac:dyDescent="0.2">
      <c r="A226" t="s">
        <v>794</v>
      </c>
      <c r="B226" t="s">
        <v>365</v>
      </c>
      <c r="C226" t="s">
        <v>116</v>
      </c>
      <c r="D226" t="s">
        <v>506</v>
      </c>
      <c r="E226" t="s">
        <v>190</v>
      </c>
      <c r="F226" t="s">
        <v>461</v>
      </c>
      <c r="G226" t="s">
        <v>207</v>
      </c>
      <c r="H226" t="s">
        <v>451</v>
      </c>
      <c r="I226" t="s">
        <v>207</v>
      </c>
      <c r="J226" t="s">
        <v>441</v>
      </c>
    </row>
    <row r="227" spans="1:14" x14ac:dyDescent="0.2">
      <c r="A227" t="s">
        <v>794</v>
      </c>
      <c r="B227" t="s">
        <v>365</v>
      </c>
      <c r="C227" t="s">
        <v>116</v>
      </c>
      <c r="D227" t="s">
        <v>507</v>
      </c>
      <c r="E227" t="s">
        <v>190</v>
      </c>
      <c r="F227">
        <v>0</v>
      </c>
    </row>
    <row r="228" spans="1:14" x14ac:dyDescent="0.2">
      <c r="A228" t="s">
        <v>794</v>
      </c>
      <c r="B228" t="s">
        <v>365</v>
      </c>
      <c r="C228" t="s">
        <v>116</v>
      </c>
      <c r="D228" t="s">
        <v>508</v>
      </c>
      <c r="E228" t="s">
        <v>190</v>
      </c>
      <c r="F228" t="s">
        <v>456</v>
      </c>
      <c r="G228" t="s">
        <v>207</v>
      </c>
      <c r="H228" t="s">
        <v>445</v>
      </c>
      <c r="I228" t="s">
        <v>207</v>
      </c>
      <c r="J228" t="s">
        <v>435</v>
      </c>
    </row>
    <row r="229" spans="1:14" x14ac:dyDescent="0.2">
      <c r="A229" t="s">
        <v>794</v>
      </c>
      <c r="B229" t="s">
        <v>365</v>
      </c>
      <c r="C229" t="s">
        <v>116</v>
      </c>
      <c r="D229" t="s">
        <v>509</v>
      </c>
      <c r="E229" t="s">
        <v>190</v>
      </c>
      <c r="F229" t="s">
        <v>505</v>
      </c>
      <c r="G229" t="s">
        <v>207</v>
      </c>
      <c r="H229" t="s">
        <v>506</v>
      </c>
      <c r="I229" t="s">
        <v>207</v>
      </c>
      <c r="J229" t="s">
        <v>507</v>
      </c>
      <c r="K229" t="s">
        <v>207</v>
      </c>
      <c r="L229" t="s">
        <v>508</v>
      </c>
    </row>
    <row r="230" spans="1:14" x14ac:dyDescent="0.2">
      <c r="A230" t="s">
        <v>794</v>
      </c>
      <c r="B230" t="s">
        <v>365</v>
      </c>
      <c r="C230" t="s">
        <v>116</v>
      </c>
      <c r="D230" t="s">
        <v>510</v>
      </c>
      <c r="E230" t="s">
        <v>190</v>
      </c>
      <c r="F230" t="s">
        <v>505</v>
      </c>
      <c r="G230" t="s">
        <v>220</v>
      </c>
      <c r="H230" t="s">
        <v>509</v>
      </c>
    </row>
    <row r="231" spans="1:14" x14ac:dyDescent="0.2">
      <c r="A231" t="s">
        <v>794</v>
      </c>
      <c r="B231" t="s">
        <v>365</v>
      </c>
      <c r="C231" t="s">
        <v>116</v>
      </c>
      <c r="D231" t="s">
        <v>511</v>
      </c>
      <c r="E231" t="s">
        <v>190</v>
      </c>
      <c r="F231" t="s">
        <v>506</v>
      </c>
      <c r="G231" t="s">
        <v>220</v>
      </c>
      <c r="H231" t="s">
        <v>509</v>
      </c>
    </row>
    <row r="232" spans="1:14" x14ac:dyDescent="0.2">
      <c r="A232" t="s">
        <v>794</v>
      </c>
      <c r="B232" t="s">
        <v>365</v>
      </c>
      <c r="C232" t="s">
        <v>116</v>
      </c>
      <c r="D232" t="s">
        <v>512</v>
      </c>
      <c r="E232" t="s">
        <v>190</v>
      </c>
      <c r="F232" t="s">
        <v>507</v>
      </c>
      <c r="G232" t="s">
        <v>220</v>
      </c>
      <c r="H232" t="s">
        <v>509</v>
      </c>
    </row>
    <row r="233" spans="1:14" x14ac:dyDescent="0.2">
      <c r="A233" t="s">
        <v>794</v>
      </c>
      <c r="B233" t="s">
        <v>365</v>
      </c>
      <c r="C233" t="s">
        <v>116</v>
      </c>
      <c r="D233" t="s">
        <v>513</v>
      </c>
      <c r="E233" t="s">
        <v>190</v>
      </c>
      <c r="F233" t="s">
        <v>508</v>
      </c>
      <c r="G233" t="s">
        <v>220</v>
      </c>
      <c r="H233" t="s">
        <v>509</v>
      </c>
    </row>
    <row r="234" spans="1:14" x14ac:dyDescent="0.2">
      <c r="A234" t="s">
        <v>794</v>
      </c>
      <c r="B234" t="s">
        <v>365</v>
      </c>
      <c r="C234" t="s">
        <v>116</v>
      </c>
      <c r="D234" t="s">
        <v>514</v>
      </c>
      <c r="E234" t="s">
        <v>190</v>
      </c>
      <c r="F234">
        <v>1</v>
      </c>
      <c r="G234" t="s">
        <v>226</v>
      </c>
      <c r="H234" t="s">
        <v>510</v>
      </c>
      <c r="I234" t="s">
        <v>226</v>
      </c>
      <c r="J234" t="s">
        <v>511</v>
      </c>
      <c r="K234" t="s">
        <v>226</v>
      </c>
      <c r="L234" t="s">
        <v>512</v>
      </c>
      <c r="M234" t="s">
        <v>226</v>
      </c>
      <c r="N234" t="s">
        <v>513</v>
      </c>
    </row>
    <row r="235" spans="1:14" x14ac:dyDescent="0.2">
      <c r="A235" t="s">
        <v>794</v>
      </c>
      <c r="B235" t="s">
        <v>365</v>
      </c>
      <c r="C235" t="s">
        <v>116</v>
      </c>
      <c r="D235" t="s">
        <v>515</v>
      </c>
      <c r="E235" t="s">
        <v>190</v>
      </c>
      <c r="F235" t="s">
        <v>439</v>
      </c>
      <c r="G235" t="s">
        <v>207</v>
      </c>
      <c r="H235" t="s">
        <v>449</v>
      </c>
      <c r="I235" t="s">
        <v>207</v>
      </c>
      <c r="J235" t="s">
        <v>459</v>
      </c>
    </row>
    <row r="236" spans="1:14" x14ac:dyDescent="0.2">
      <c r="A236" t="s">
        <v>794</v>
      </c>
      <c r="B236" t="s">
        <v>365</v>
      </c>
      <c r="C236" t="s">
        <v>116</v>
      </c>
      <c r="D236" t="s">
        <v>516</v>
      </c>
      <c r="E236" t="s">
        <v>190</v>
      </c>
      <c r="F236" t="s">
        <v>442</v>
      </c>
      <c r="G236" t="s">
        <v>207</v>
      </c>
      <c r="H236" t="s">
        <v>452</v>
      </c>
      <c r="I236" t="s">
        <v>207</v>
      </c>
      <c r="J236" t="s">
        <v>462</v>
      </c>
      <c r="K236" t="s">
        <v>207</v>
      </c>
      <c r="L236" t="s">
        <v>432</v>
      </c>
    </row>
    <row r="237" spans="1:14" x14ac:dyDescent="0.2">
      <c r="A237" t="s">
        <v>794</v>
      </c>
      <c r="B237" t="s">
        <v>365</v>
      </c>
      <c r="C237" t="s">
        <v>116</v>
      </c>
      <c r="D237" t="s">
        <v>517</v>
      </c>
      <c r="E237" t="s">
        <v>190</v>
      </c>
      <c r="F237" t="s">
        <v>434</v>
      </c>
      <c r="G237" t="s">
        <v>207</v>
      </c>
      <c r="H237" t="s">
        <v>444</v>
      </c>
      <c r="I237" t="s">
        <v>207</v>
      </c>
      <c r="J237" t="s">
        <v>454</v>
      </c>
    </row>
    <row r="238" spans="1:14" x14ac:dyDescent="0.2">
      <c r="A238" t="s">
        <v>794</v>
      </c>
      <c r="B238" t="s">
        <v>365</v>
      </c>
      <c r="C238" t="s">
        <v>116</v>
      </c>
      <c r="D238" t="s">
        <v>518</v>
      </c>
      <c r="E238" t="s">
        <v>190</v>
      </c>
      <c r="F238" t="s">
        <v>437</v>
      </c>
      <c r="G238" t="s">
        <v>207</v>
      </c>
      <c r="H238" t="s">
        <v>446</v>
      </c>
      <c r="I238" t="s">
        <v>207</v>
      </c>
      <c r="J238" t="s">
        <v>455</v>
      </c>
    </row>
    <row r="239" spans="1:14" x14ac:dyDescent="0.2">
      <c r="A239" t="s">
        <v>794</v>
      </c>
      <c r="B239" t="s">
        <v>365</v>
      </c>
      <c r="C239" t="s">
        <v>116</v>
      </c>
      <c r="D239" t="s">
        <v>519</v>
      </c>
      <c r="E239" t="s">
        <v>190</v>
      </c>
      <c r="F239" t="s">
        <v>515</v>
      </c>
      <c r="G239" t="s">
        <v>207</v>
      </c>
      <c r="H239" t="s">
        <v>516</v>
      </c>
      <c r="I239" t="s">
        <v>207</v>
      </c>
      <c r="J239" t="s">
        <v>517</v>
      </c>
      <c r="K239" t="s">
        <v>207</v>
      </c>
      <c r="L239" t="s">
        <v>518</v>
      </c>
    </row>
    <row r="240" spans="1:14" x14ac:dyDescent="0.2">
      <c r="A240" t="s">
        <v>794</v>
      </c>
      <c r="B240" t="s">
        <v>365</v>
      </c>
      <c r="C240" t="s">
        <v>116</v>
      </c>
      <c r="D240" t="s">
        <v>520</v>
      </c>
      <c r="E240" t="s">
        <v>190</v>
      </c>
      <c r="F240" t="s">
        <v>515</v>
      </c>
      <c r="G240" t="s">
        <v>220</v>
      </c>
      <c r="H240" t="s">
        <v>519</v>
      </c>
    </row>
    <row r="241" spans="1:10" x14ac:dyDescent="0.2">
      <c r="A241" t="s">
        <v>794</v>
      </c>
      <c r="B241" t="s">
        <v>365</v>
      </c>
      <c r="C241" t="s">
        <v>116</v>
      </c>
      <c r="D241" t="s">
        <v>521</v>
      </c>
      <c r="E241" t="s">
        <v>190</v>
      </c>
      <c r="F241" t="s">
        <v>516</v>
      </c>
      <c r="G241" t="s">
        <v>220</v>
      </c>
      <c r="H241" t="s">
        <v>519</v>
      </c>
    </row>
    <row r="242" spans="1:10" x14ac:dyDescent="0.2">
      <c r="A242" t="s">
        <v>794</v>
      </c>
      <c r="B242" t="s">
        <v>365</v>
      </c>
      <c r="C242" t="s">
        <v>116</v>
      </c>
      <c r="D242" t="s">
        <v>522</v>
      </c>
      <c r="E242" t="s">
        <v>190</v>
      </c>
      <c r="F242" t="s">
        <v>518</v>
      </c>
      <c r="G242" t="s">
        <v>220</v>
      </c>
      <c r="H242" t="s">
        <v>519</v>
      </c>
    </row>
    <row r="243" spans="1:10" x14ac:dyDescent="0.2">
      <c r="A243" t="s">
        <v>794</v>
      </c>
      <c r="B243" t="s">
        <v>365</v>
      </c>
      <c r="C243" t="s">
        <v>116</v>
      </c>
      <c r="D243" t="s">
        <v>523</v>
      </c>
      <c r="E243" t="s">
        <v>190</v>
      </c>
      <c r="F243" t="s">
        <v>517</v>
      </c>
      <c r="G243" t="s">
        <v>220</v>
      </c>
      <c r="H243" t="s">
        <v>519</v>
      </c>
    </row>
    <row r="244" spans="1:10" x14ac:dyDescent="0.2">
      <c r="A244" t="s">
        <v>794</v>
      </c>
      <c r="B244" t="s">
        <v>365</v>
      </c>
      <c r="C244" t="s">
        <v>116</v>
      </c>
      <c r="D244" t="s">
        <v>524</v>
      </c>
      <c r="E244" t="s">
        <v>190</v>
      </c>
      <c r="F244" t="s">
        <v>440</v>
      </c>
      <c r="G244" t="s">
        <v>207</v>
      </c>
      <c r="H244" t="s">
        <v>450</v>
      </c>
      <c r="I244" t="s">
        <v>207</v>
      </c>
      <c r="J244" t="s">
        <v>460</v>
      </c>
    </row>
    <row r="245" spans="1:10" x14ac:dyDescent="0.2">
      <c r="A245" t="s">
        <v>794</v>
      </c>
      <c r="B245" t="s">
        <v>365</v>
      </c>
      <c r="C245" t="s">
        <v>116</v>
      </c>
      <c r="D245" t="s">
        <v>525</v>
      </c>
      <c r="E245" t="s">
        <v>190</v>
      </c>
      <c r="F245" t="s">
        <v>436</v>
      </c>
      <c r="G245" t="s">
        <v>207</v>
      </c>
      <c r="H245" t="s">
        <v>447</v>
      </c>
      <c r="I245" t="s">
        <v>207</v>
      </c>
      <c r="J245" t="s">
        <v>457</v>
      </c>
    </row>
    <row r="246" spans="1:10" x14ac:dyDescent="0.2">
      <c r="A246" t="s">
        <v>794</v>
      </c>
      <c r="B246" t="s">
        <v>365</v>
      </c>
      <c r="C246" t="s">
        <v>116</v>
      </c>
      <c r="D246" t="s">
        <v>526</v>
      </c>
      <c r="E246" t="s">
        <v>190</v>
      </c>
      <c r="F246" t="s">
        <v>524</v>
      </c>
      <c r="G246" t="s">
        <v>207</v>
      </c>
      <c r="H246" t="s">
        <v>525</v>
      </c>
    </row>
    <row r="247" spans="1:10" x14ac:dyDescent="0.2">
      <c r="A247" t="s">
        <v>794</v>
      </c>
      <c r="B247" t="s">
        <v>365</v>
      </c>
      <c r="C247" t="s">
        <v>116</v>
      </c>
      <c r="D247" t="s">
        <v>527</v>
      </c>
      <c r="E247" t="s">
        <v>190</v>
      </c>
      <c r="F247" t="s">
        <v>524</v>
      </c>
      <c r="G247" t="s">
        <v>220</v>
      </c>
      <c r="H247" t="s">
        <v>526</v>
      </c>
    </row>
    <row r="248" spans="1:10" x14ac:dyDescent="0.2">
      <c r="A248" t="s">
        <v>794</v>
      </c>
      <c r="B248" t="s">
        <v>365</v>
      </c>
      <c r="C248" t="s">
        <v>116</v>
      </c>
      <c r="D248" t="s">
        <v>528</v>
      </c>
      <c r="E248" t="s">
        <v>190</v>
      </c>
      <c r="F248">
        <v>1</v>
      </c>
      <c r="G248" t="s">
        <v>226</v>
      </c>
      <c r="H248" t="s">
        <v>527</v>
      </c>
    </row>
    <row r="249" spans="1:10" x14ac:dyDescent="0.2">
      <c r="A249" t="s">
        <v>794</v>
      </c>
      <c r="B249" t="s">
        <v>365</v>
      </c>
      <c r="C249" t="s">
        <v>116</v>
      </c>
      <c r="D249" t="s">
        <v>188</v>
      </c>
      <c r="E249" t="s">
        <v>190</v>
      </c>
      <c r="F249" t="s">
        <v>425</v>
      </c>
      <c r="G249" t="s">
        <v>207</v>
      </c>
      <c r="H249" t="s">
        <v>426</v>
      </c>
    </row>
    <row r="250" spans="1:10" x14ac:dyDescent="0.2">
      <c r="A250" t="s">
        <v>794</v>
      </c>
      <c r="B250" t="s">
        <v>365</v>
      </c>
      <c r="C250" t="s">
        <v>192</v>
      </c>
      <c r="D250" t="s">
        <v>195</v>
      </c>
      <c r="E250" t="s">
        <v>190</v>
      </c>
      <c r="F250" t="s">
        <v>346</v>
      </c>
      <c r="G250" t="s">
        <v>220</v>
      </c>
      <c r="H250" t="s">
        <v>1361</v>
      </c>
    </row>
    <row r="251" spans="1:10" x14ac:dyDescent="0.2">
      <c r="A251" t="s">
        <v>794</v>
      </c>
      <c r="B251" t="s">
        <v>365</v>
      </c>
      <c r="C251" t="s">
        <v>192</v>
      </c>
      <c r="D251" t="s">
        <v>529</v>
      </c>
      <c r="E251" t="s">
        <v>190</v>
      </c>
      <c r="F251" t="s">
        <v>372</v>
      </c>
      <c r="G251" t="s">
        <v>220</v>
      </c>
      <c r="H251" t="s">
        <v>550</v>
      </c>
    </row>
    <row r="252" spans="1:10" x14ac:dyDescent="0.2">
      <c r="A252" t="s">
        <v>794</v>
      </c>
      <c r="B252" t="s">
        <v>365</v>
      </c>
      <c r="C252" t="s">
        <v>192</v>
      </c>
      <c r="D252" t="s">
        <v>530</v>
      </c>
      <c r="E252" t="s">
        <v>190</v>
      </c>
      <c r="F252" t="s">
        <v>375</v>
      </c>
      <c r="G252" t="s">
        <v>220</v>
      </c>
      <c r="H252" t="s">
        <v>550</v>
      </c>
    </row>
    <row r="253" spans="1:10" x14ac:dyDescent="0.2">
      <c r="A253" t="s">
        <v>794</v>
      </c>
      <c r="B253" t="s">
        <v>365</v>
      </c>
      <c r="C253" s="8" t="s">
        <v>116</v>
      </c>
      <c r="D253" t="s">
        <v>531</v>
      </c>
      <c r="E253" t="s">
        <v>190</v>
      </c>
      <c r="F253" t="s">
        <v>236</v>
      </c>
      <c r="G253" t="s">
        <v>207</v>
      </c>
      <c r="H253" t="s">
        <v>234</v>
      </c>
    </row>
    <row r="254" spans="1:10" x14ac:dyDescent="0.2">
      <c r="A254" t="s">
        <v>794</v>
      </c>
      <c r="B254" t="s">
        <v>365</v>
      </c>
      <c r="C254" s="8" t="s">
        <v>116</v>
      </c>
      <c r="D254" t="s">
        <v>214</v>
      </c>
      <c r="E254" t="s">
        <v>190</v>
      </c>
      <c r="F254" t="s">
        <v>428</v>
      </c>
      <c r="G254" t="s">
        <v>207</v>
      </c>
      <c r="H254" t="s">
        <v>427</v>
      </c>
    </row>
    <row r="255" spans="1:10" x14ac:dyDescent="0.2">
      <c r="A255" t="s">
        <v>794</v>
      </c>
      <c r="B255" t="s">
        <v>365</v>
      </c>
      <c r="C255" s="8" t="s">
        <v>116</v>
      </c>
      <c r="D255" t="s">
        <v>216</v>
      </c>
      <c r="E255" t="s">
        <v>190</v>
      </c>
      <c r="F255" t="s">
        <v>529</v>
      </c>
      <c r="G255" t="s">
        <v>196</v>
      </c>
      <c r="H255" t="s">
        <v>551</v>
      </c>
      <c r="I255" t="s">
        <v>196</v>
      </c>
      <c r="J255">
        <v>1000000000</v>
      </c>
    </row>
    <row r="256" spans="1:10" x14ac:dyDescent="0.2">
      <c r="A256" t="s">
        <v>794</v>
      </c>
      <c r="B256" t="s">
        <v>365</v>
      </c>
      <c r="C256" s="8" t="s">
        <v>192</v>
      </c>
      <c r="D256" t="s">
        <v>532</v>
      </c>
      <c r="E256" t="s">
        <v>190</v>
      </c>
      <c r="F256" t="s">
        <v>382</v>
      </c>
      <c r="G256" t="s">
        <v>226</v>
      </c>
      <c r="H256" t="s">
        <v>485</v>
      </c>
    </row>
    <row r="257" spans="1:16" x14ac:dyDescent="0.2">
      <c r="A257" t="s">
        <v>794</v>
      </c>
      <c r="B257" t="s">
        <v>365</v>
      </c>
      <c r="C257" s="8" t="s">
        <v>192</v>
      </c>
      <c r="D257" t="s">
        <v>533</v>
      </c>
      <c r="E257" t="s">
        <v>190</v>
      </c>
      <c r="F257" t="s">
        <v>276</v>
      </c>
      <c r="G257" t="s">
        <v>207</v>
      </c>
      <c r="H257" t="s">
        <v>386</v>
      </c>
      <c r="I257" t="s">
        <v>207</v>
      </c>
      <c r="J257" t="s">
        <v>387</v>
      </c>
      <c r="K257" t="s">
        <v>207</v>
      </c>
      <c r="L257" t="s">
        <v>354</v>
      </c>
      <c r="M257" t="s">
        <v>207</v>
      </c>
      <c r="N257" t="s">
        <v>269</v>
      </c>
      <c r="O257" t="s">
        <v>226</v>
      </c>
      <c r="P257" t="s">
        <v>532</v>
      </c>
    </row>
    <row r="258" spans="1:16" x14ac:dyDescent="0.2">
      <c r="A258" t="s">
        <v>794</v>
      </c>
      <c r="B258" t="s">
        <v>365</v>
      </c>
      <c r="C258" s="8" t="s">
        <v>192</v>
      </c>
      <c r="D258" t="s">
        <v>349</v>
      </c>
      <c r="E258" t="s">
        <v>190</v>
      </c>
      <c r="F258" t="s">
        <v>488</v>
      </c>
      <c r="G258" t="s">
        <v>207</v>
      </c>
      <c r="H258" t="s">
        <v>352</v>
      </c>
      <c r="I258" t="s">
        <v>207</v>
      </c>
      <c r="J258" t="s">
        <v>360</v>
      </c>
    </row>
    <row r="259" spans="1:16" x14ac:dyDescent="0.2">
      <c r="A259" s="35" t="s">
        <v>794</v>
      </c>
      <c r="B259" s="35" t="s">
        <v>365</v>
      </c>
      <c r="C259" s="35" t="s">
        <v>192</v>
      </c>
      <c r="D259" s="35" t="s">
        <v>345</v>
      </c>
      <c r="E259" s="35" t="s">
        <v>190</v>
      </c>
      <c r="F259" s="35" t="s">
        <v>535</v>
      </c>
      <c r="G259" s="35" t="s">
        <v>220</v>
      </c>
      <c r="H259" s="35" t="s">
        <v>1398</v>
      </c>
    </row>
    <row r="260" spans="1:16" x14ac:dyDescent="0.2">
      <c r="A260" t="s">
        <v>794</v>
      </c>
      <c r="B260" t="s">
        <v>365</v>
      </c>
      <c r="C260" s="8" t="s">
        <v>116</v>
      </c>
      <c r="D260" t="s">
        <v>537</v>
      </c>
      <c r="E260" t="s">
        <v>190</v>
      </c>
      <c r="F260" t="s">
        <v>180</v>
      </c>
      <c r="G260" t="s">
        <v>207</v>
      </c>
      <c r="H260" t="s">
        <v>181</v>
      </c>
      <c r="I260" t="s">
        <v>207</v>
      </c>
      <c r="J260" t="s">
        <v>182</v>
      </c>
      <c r="K260" t="s">
        <v>207</v>
      </c>
      <c r="L260" t="s">
        <v>186</v>
      </c>
      <c r="M260" t="s">
        <v>207</v>
      </c>
      <c r="N260" t="s">
        <v>185</v>
      </c>
      <c r="O260" t="s">
        <v>207</v>
      </c>
      <c r="P260" t="s">
        <v>184</v>
      </c>
    </row>
    <row r="261" spans="1:16" x14ac:dyDescent="0.2">
      <c r="A261" t="s">
        <v>794</v>
      </c>
      <c r="B261" t="s">
        <v>365</v>
      </c>
      <c r="C261" s="8" t="s">
        <v>192</v>
      </c>
      <c r="D261" t="s">
        <v>538</v>
      </c>
      <c r="E261" t="s">
        <v>190</v>
      </c>
      <c r="F261" t="s">
        <v>533</v>
      </c>
      <c r="G261" t="s">
        <v>207</v>
      </c>
      <c r="H261" t="s">
        <v>352</v>
      </c>
    </row>
    <row r="262" spans="1:16" x14ac:dyDescent="0.2">
      <c r="A262" t="s">
        <v>794</v>
      </c>
      <c r="B262" t="s">
        <v>365</v>
      </c>
      <c r="C262" t="s">
        <v>192</v>
      </c>
      <c r="D262" t="s">
        <v>351</v>
      </c>
      <c r="E262" t="s">
        <v>190</v>
      </c>
      <c r="F262" t="s">
        <v>349</v>
      </c>
      <c r="G262" t="s">
        <v>226</v>
      </c>
      <c r="H262" t="s">
        <v>352</v>
      </c>
    </row>
    <row r="263" spans="1:16" x14ac:dyDescent="0.2">
      <c r="A263" t="s">
        <v>794</v>
      </c>
      <c r="B263" t="s">
        <v>365</v>
      </c>
      <c r="C263" t="s">
        <v>20</v>
      </c>
      <c r="D263" t="s">
        <v>540</v>
      </c>
      <c r="E263" t="s">
        <v>190</v>
      </c>
      <c r="F263" t="s">
        <v>466</v>
      </c>
      <c r="G263" t="s">
        <v>220</v>
      </c>
      <c r="H263" t="s">
        <v>464</v>
      </c>
    </row>
    <row r="264" spans="1:16" x14ac:dyDescent="0.2">
      <c r="A264" t="s">
        <v>794</v>
      </c>
      <c r="B264" t="s">
        <v>365</v>
      </c>
      <c r="C264" t="s">
        <v>6</v>
      </c>
      <c r="D264" t="s">
        <v>541</v>
      </c>
      <c r="E264" t="s">
        <v>190</v>
      </c>
      <c r="F264" t="s">
        <v>536</v>
      </c>
      <c r="G264" t="s">
        <v>220</v>
      </c>
      <c r="H264" t="s">
        <v>464</v>
      </c>
    </row>
    <row r="265" spans="1:16" x14ac:dyDescent="0.2">
      <c r="A265" t="s">
        <v>794</v>
      </c>
      <c r="B265" t="s">
        <v>365</v>
      </c>
      <c r="C265" t="s">
        <v>20</v>
      </c>
      <c r="D265" t="s">
        <v>542</v>
      </c>
      <c r="E265" t="s">
        <v>190</v>
      </c>
      <c r="F265" t="s">
        <v>1376</v>
      </c>
      <c r="G265" t="s">
        <v>196</v>
      </c>
      <c r="H265" s="32">
        <v>3.5999999999999998E-6</v>
      </c>
    </row>
    <row r="266" spans="1:16" x14ac:dyDescent="0.2">
      <c r="A266" t="s">
        <v>795</v>
      </c>
      <c r="B266" t="s">
        <v>365</v>
      </c>
      <c r="C266" t="s">
        <v>6</v>
      </c>
      <c r="D266" t="s">
        <v>543</v>
      </c>
      <c r="E266" t="s">
        <v>190</v>
      </c>
      <c r="F266" t="s">
        <v>1370</v>
      </c>
      <c r="G266" t="s">
        <v>196</v>
      </c>
      <c r="H266" s="32">
        <v>3.5999999999999998E-6</v>
      </c>
    </row>
    <row r="267" spans="1:16" x14ac:dyDescent="0.2">
      <c r="A267" t="s">
        <v>795</v>
      </c>
      <c r="B267" t="s">
        <v>365</v>
      </c>
      <c r="C267" t="s">
        <v>342</v>
      </c>
      <c r="D267" t="s">
        <v>544</v>
      </c>
      <c r="E267" t="s">
        <v>190</v>
      </c>
      <c r="F267" t="s">
        <v>1366</v>
      </c>
      <c r="G267" t="s">
        <v>196</v>
      </c>
      <c r="H267" s="32">
        <v>3.5999999999999998E-6</v>
      </c>
    </row>
    <row r="268" spans="1:16" x14ac:dyDescent="0.2">
      <c r="A268" t="s">
        <v>794</v>
      </c>
      <c r="B268" t="s">
        <v>365</v>
      </c>
      <c r="C268" t="s">
        <v>20</v>
      </c>
      <c r="D268" t="s">
        <v>257</v>
      </c>
      <c r="E268" t="s">
        <v>190</v>
      </c>
      <c r="F268" t="s">
        <v>381</v>
      </c>
      <c r="G268" t="s">
        <v>196</v>
      </c>
      <c r="H268" t="s">
        <v>540</v>
      </c>
    </row>
    <row r="269" spans="1:16" x14ac:dyDescent="0.2">
      <c r="A269" t="s">
        <v>794</v>
      </c>
      <c r="B269" t="s">
        <v>365</v>
      </c>
      <c r="C269" t="s">
        <v>6</v>
      </c>
      <c r="D269" t="s">
        <v>261</v>
      </c>
      <c r="E269" t="s">
        <v>190</v>
      </c>
      <c r="F269" t="s">
        <v>381</v>
      </c>
      <c r="G269" t="s">
        <v>226</v>
      </c>
      <c r="H269" t="s">
        <v>257</v>
      </c>
    </row>
    <row r="270" spans="1:16" x14ac:dyDescent="0.2">
      <c r="A270" t="s">
        <v>794</v>
      </c>
      <c r="B270" t="s">
        <v>365</v>
      </c>
      <c r="C270" t="s">
        <v>192</v>
      </c>
      <c r="D270" t="s">
        <v>546</v>
      </c>
      <c r="E270" t="s">
        <v>190</v>
      </c>
      <c r="F270">
        <v>1</v>
      </c>
      <c r="G270" t="s">
        <v>226</v>
      </c>
      <c r="H270" t="s">
        <v>545</v>
      </c>
    </row>
    <row r="271" spans="1:16" x14ac:dyDescent="0.2">
      <c r="A271" t="s">
        <v>795</v>
      </c>
      <c r="B271" t="s">
        <v>365</v>
      </c>
      <c r="C271" t="s">
        <v>192</v>
      </c>
      <c r="D271" t="s">
        <v>1362</v>
      </c>
      <c r="E271" t="s">
        <v>190</v>
      </c>
      <c r="F271" s="8" t="s">
        <v>345</v>
      </c>
      <c r="G271" t="s">
        <v>196</v>
      </c>
      <c r="H271" t="s">
        <v>1355</v>
      </c>
    </row>
    <row r="272" spans="1:16" x14ac:dyDescent="0.2">
      <c r="A272" t="s">
        <v>795</v>
      </c>
      <c r="B272" t="s">
        <v>365</v>
      </c>
      <c r="C272" t="s">
        <v>342</v>
      </c>
      <c r="D272" t="s">
        <v>1366</v>
      </c>
      <c r="E272" t="s">
        <v>190</v>
      </c>
      <c r="F272" t="s">
        <v>468</v>
      </c>
      <c r="G272" t="s">
        <v>196</v>
      </c>
      <c r="H272" t="s">
        <v>1433</v>
      </c>
    </row>
    <row r="273" spans="1:8" x14ac:dyDescent="0.2">
      <c r="A273" t="s">
        <v>795</v>
      </c>
      <c r="B273" t="s">
        <v>365</v>
      </c>
      <c r="C273" t="s">
        <v>116</v>
      </c>
      <c r="D273" t="s">
        <v>1367</v>
      </c>
      <c r="E273" t="s">
        <v>190</v>
      </c>
      <c r="F273" t="s">
        <v>1368</v>
      </c>
    </row>
    <row r="274" spans="1:8" x14ac:dyDescent="0.2">
      <c r="A274" t="s">
        <v>795</v>
      </c>
      <c r="B274" t="s">
        <v>365</v>
      </c>
      <c r="C274" t="s">
        <v>116</v>
      </c>
      <c r="D274" t="s">
        <v>183</v>
      </c>
      <c r="E274" t="s">
        <v>190</v>
      </c>
      <c r="F274" t="s">
        <v>1369</v>
      </c>
      <c r="G274" t="s">
        <v>196</v>
      </c>
      <c r="H274" s="8" t="s">
        <v>1367</v>
      </c>
    </row>
    <row r="275" spans="1:8" x14ac:dyDescent="0.2">
      <c r="A275" t="s">
        <v>795</v>
      </c>
      <c r="B275" t="s">
        <v>365</v>
      </c>
      <c r="C275" t="s">
        <v>6</v>
      </c>
      <c r="D275" t="s">
        <v>1370</v>
      </c>
      <c r="E275" t="s">
        <v>190</v>
      </c>
      <c r="F275" t="s">
        <v>1371</v>
      </c>
      <c r="G275" t="s">
        <v>196</v>
      </c>
      <c r="H275" t="s">
        <v>1433</v>
      </c>
    </row>
    <row r="276" spans="1:8" x14ac:dyDescent="0.2">
      <c r="A276" t="s">
        <v>795</v>
      </c>
      <c r="B276" t="s">
        <v>365</v>
      </c>
      <c r="C276" t="s">
        <v>20</v>
      </c>
      <c r="D276" t="s">
        <v>1376</v>
      </c>
      <c r="E276" t="s">
        <v>190</v>
      </c>
      <c r="F276" t="s">
        <v>466</v>
      </c>
      <c r="G276" t="s">
        <v>196</v>
      </c>
      <c r="H276" t="s">
        <v>1433</v>
      </c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4728-45B5-9B4D-9D0B-69BF1CA4E0F3}">
  <sheetPr>
    <tabColor rgb="FFFFD966"/>
  </sheetPr>
  <dimension ref="A1:H23"/>
  <sheetViews>
    <sheetView workbookViewId="0">
      <selection activeCell="C12" sqref="C12"/>
    </sheetView>
  </sheetViews>
  <sheetFormatPr baseColWidth="10" defaultRowHeight="16" x14ac:dyDescent="0.2"/>
  <cols>
    <col min="1" max="1" width="7.6640625" bestFit="1" customWidth="1"/>
    <col min="2" max="2" width="8.6640625" bestFit="1" customWidth="1"/>
    <col min="3" max="3" width="77.83203125" bestFit="1" customWidth="1"/>
    <col min="4" max="4" width="43.1640625" bestFit="1" customWidth="1"/>
    <col min="5" max="5" width="49.5" bestFit="1" customWidth="1"/>
    <col min="6" max="6" width="63.33203125" bestFit="1" customWidth="1"/>
    <col min="7" max="7" width="19.33203125" bestFit="1" customWidth="1"/>
    <col min="8" max="8" width="5.5" bestFit="1" customWidth="1"/>
  </cols>
  <sheetData>
    <row r="1" spans="1:8" x14ac:dyDescent="0.2">
      <c r="A1" t="s">
        <v>792</v>
      </c>
      <c r="B1" t="s">
        <v>364</v>
      </c>
      <c r="C1" t="s">
        <v>784</v>
      </c>
      <c r="D1" t="s">
        <v>247</v>
      </c>
      <c r="E1" t="s">
        <v>780</v>
      </c>
      <c r="F1" t="s">
        <v>781</v>
      </c>
      <c r="G1" t="s">
        <v>782</v>
      </c>
      <c r="H1" t="s">
        <v>783</v>
      </c>
    </row>
    <row r="2" spans="1:8" x14ac:dyDescent="0.2">
      <c r="A2" t="s">
        <v>793</v>
      </c>
      <c r="B2" t="s">
        <v>366</v>
      </c>
      <c r="C2" t="s">
        <v>0</v>
      </c>
      <c r="D2" t="s">
        <v>278</v>
      </c>
      <c r="E2" t="s">
        <v>366</v>
      </c>
      <c r="F2" t="s">
        <v>785</v>
      </c>
      <c r="G2">
        <v>1</v>
      </c>
      <c r="H2">
        <v>0</v>
      </c>
    </row>
    <row r="3" spans="1:8" x14ac:dyDescent="0.2">
      <c r="A3" t="s">
        <v>793</v>
      </c>
      <c r="B3" t="s">
        <v>366</v>
      </c>
      <c r="C3" t="s">
        <v>0</v>
      </c>
      <c r="D3" t="s">
        <v>279</v>
      </c>
      <c r="E3" t="s">
        <v>366</v>
      </c>
      <c r="F3" t="s">
        <v>785</v>
      </c>
      <c r="G3">
        <v>0</v>
      </c>
      <c r="H3">
        <v>1</v>
      </c>
    </row>
    <row r="4" spans="1:8" x14ac:dyDescent="0.2">
      <c r="A4" t="s">
        <v>793</v>
      </c>
      <c r="B4" t="s">
        <v>367</v>
      </c>
      <c r="C4" t="s">
        <v>28</v>
      </c>
      <c r="D4" t="s">
        <v>291</v>
      </c>
      <c r="E4" t="s">
        <v>367</v>
      </c>
      <c r="F4" t="s">
        <v>786</v>
      </c>
      <c r="G4">
        <v>0</v>
      </c>
    </row>
    <row r="5" spans="1:8" x14ac:dyDescent="0.2">
      <c r="A5" t="s">
        <v>793</v>
      </c>
      <c r="B5" t="s">
        <v>368</v>
      </c>
      <c r="C5" t="s">
        <v>342</v>
      </c>
      <c r="D5" t="s">
        <v>348</v>
      </c>
      <c r="E5" t="s">
        <v>368</v>
      </c>
      <c r="F5" t="s">
        <v>787</v>
      </c>
      <c r="G5">
        <v>0</v>
      </c>
    </row>
    <row r="6" spans="1:8" x14ac:dyDescent="0.2">
      <c r="A6" t="s">
        <v>793</v>
      </c>
      <c r="B6" t="s">
        <v>367</v>
      </c>
      <c r="C6" t="s">
        <v>342</v>
      </c>
      <c r="D6" t="s">
        <v>158</v>
      </c>
      <c r="E6" t="s">
        <v>367</v>
      </c>
      <c r="F6" t="s">
        <v>348</v>
      </c>
      <c r="G6" t="s">
        <v>352</v>
      </c>
    </row>
    <row r="7" spans="1:8" x14ac:dyDescent="0.2">
      <c r="A7" t="s">
        <v>793</v>
      </c>
      <c r="B7" t="s">
        <v>368</v>
      </c>
      <c r="C7" t="s">
        <v>342</v>
      </c>
      <c r="D7" t="s">
        <v>353</v>
      </c>
      <c r="E7" t="s">
        <v>368</v>
      </c>
      <c r="F7" t="s">
        <v>788</v>
      </c>
      <c r="G7">
        <v>0</v>
      </c>
    </row>
    <row r="8" spans="1:8" x14ac:dyDescent="0.2">
      <c r="A8" t="s">
        <v>794</v>
      </c>
      <c r="B8" t="s">
        <v>368</v>
      </c>
      <c r="C8" t="s">
        <v>189</v>
      </c>
      <c r="D8" t="s">
        <v>534</v>
      </c>
      <c r="E8" t="s">
        <v>368</v>
      </c>
      <c r="F8" t="s">
        <v>350</v>
      </c>
      <c r="G8" t="s">
        <v>349</v>
      </c>
    </row>
    <row r="9" spans="1:8" x14ac:dyDescent="0.2">
      <c r="A9" t="s">
        <v>794</v>
      </c>
      <c r="B9" t="s">
        <v>368</v>
      </c>
      <c r="C9" t="s">
        <v>189</v>
      </c>
      <c r="D9" t="s">
        <v>539</v>
      </c>
      <c r="E9" t="s">
        <v>368</v>
      </c>
      <c r="F9" t="s">
        <v>350</v>
      </c>
      <c r="G9" t="s">
        <v>351</v>
      </c>
    </row>
    <row r="10" spans="1:8" x14ac:dyDescent="0.2">
      <c r="A10" t="s">
        <v>794</v>
      </c>
      <c r="B10" t="s">
        <v>549</v>
      </c>
      <c r="C10" t="s">
        <v>189</v>
      </c>
      <c r="D10" t="s">
        <v>545</v>
      </c>
      <c r="E10" t="s">
        <v>549</v>
      </c>
      <c r="F10" t="s">
        <v>791</v>
      </c>
      <c r="G10" t="s">
        <v>552</v>
      </c>
    </row>
    <row r="11" spans="1:8" x14ac:dyDescent="0.2">
      <c r="A11" t="s">
        <v>794</v>
      </c>
      <c r="B11" t="s">
        <v>549</v>
      </c>
      <c r="C11" t="s">
        <v>189</v>
      </c>
      <c r="D11" t="s">
        <v>547</v>
      </c>
      <c r="E11" t="s">
        <v>549</v>
      </c>
      <c r="F11" t="s">
        <v>789</v>
      </c>
      <c r="G11">
        <v>2265</v>
      </c>
    </row>
    <row r="12" spans="1:8" x14ac:dyDescent="0.2">
      <c r="A12" t="s">
        <v>794</v>
      </c>
      <c r="B12" t="s">
        <v>549</v>
      </c>
      <c r="C12" t="s">
        <v>189</v>
      </c>
      <c r="D12" t="s">
        <v>548</v>
      </c>
      <c r="E12" t="s">
        <v>549</v>
      </c>
      <c r="F12" t="s">
        <v>790</v>
      </c>
      <c r="G12">
        <v>0</v>
      </c>
    </row>
    <row r="13" spans="1:8" x14ac:dyDescent="0.2">
      <c r="A13" t="s">
        <v>795</v>
      </c>
      <c r="B13" t="s">
        <v>368</v>
      </c>
      <c r="C13" t="s">
        <v>189</v>
      </c>
      <c r="D13" t="s">
        <v>535</v>
      </c>
      <c r="E13" t="s">
        <v>368</v>
      </c>
      <c r="F13" t="s">
        <v>1397</v>
      </c>
      <c r="G13">
        <v>0</v>
      </c>
    </row>
    <row r="23" spans="2:2" x14ac:dyDescent="0.2">
      <c r="B23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E5ED-C041-B54A-B607-E8AD3695307E}">
  <sheetPr>
    <tabColor theme="9"/>
  </sheetPr>
  <dimension ref="A1:E138"/>
  <sheetViews>
    <sheetView topLeftCell="A63" zoomScale="105" workbookViewId="0">
      <selection activeCell="B81" sqref="B81"/>
    </sheetView>
  </sheetViews>
  <sheetFormatPr baseColWidth="10" defaultRowHeight="16" x14ac:dyDescent="0.2"/>
  <cols>
    <col min="1" max="1" width="29.33203125" customWidth="1"/>
    <col min="2" max="2" width="37.33203125" bestFit="1" customWidth="1"/>
    <col min="3" max="3" width="25.1640625" bestFit="1" customWidth="1"/>
    <col min="4" max="4" width="13.1640625" bestFit="1" customWidth="1"/>
    <col min="5" max="5" width="15.5" bestFit="1" customWidth="1"/>
  </cols>
  <sheetData>
    <row r="1" spans="1:5" x14ac:dyDescent="0.2">
      <c r="A1" s="1" t="s">
        <v>777</v>
      </c>
      <c r="B1" s="1" t="s">
        <v>247</v>
      </c>
      <c r="C1" s="1" t="s">
        <v>369</v>
      </c>
      <c r="D1" s="1" t="s">
        <v>370</v>
      </c>
      <c r="E1" s="1" t="s">
        <v>371</v>
      </c>
    </row>
    <row r="2" spans="1:5" x14ac:dyDescent="0.2">
      <c r="A2" t="s">
        <v>563</v>
      </c>
      <c r="B2" t="s">
        <v>372</v>
      </c>
      <c r="C2" t="s">
        <v>373</v>
      </c>
      <c r="D2" t="s">
        <v>374</v>
      </c>
      <c r="E2">
        <v>1</v>
      </c>
    </row>
    <row r="3" spans="1:5" x14ac:dyDescent="0.2">
      <c r="A3" t="s">
        <v>564</v>
      </c>
      <c r="B3" t="s">
        <v>375</v>
      </c>
      <c r="C3" t="s">
        <v>373</v>
      </c>
      <c r="D3" t="s">
        <v>374</v>
      </c>
      <c r="E3">
        <v>1</v>
      </c>
    </row>
    <row r="4" spans="1:5" x14ac:dyDescent="0.2">
      <c r="A4" t="s">
        <v>565</v>
      </c>
      <c r="B4" t="s">
        <v>376</v>
      </c>
      <c r="C4" t="s">
        <v>373</v>
      </c>
      <c r="D4" t="s">
        <v>374</v>
      </c>
      <c r="E4">
        <v>1</v>
      </c>
    </row>
    <row r="5" spans="1:5" x14ac:dyDescent="0.2">
      <c r="A5" t="s">
        <v>566</v>
      </c>
      <c r="B5" t="s">
        <v>377</v>
      </c>
      <c r="C5" t="s">
        <v>373</v>
      </c>
      <c r="D5" t="s">
        <v>378</v>
      </c>
      <c r="E5">
        <v>1</v>
      </c>
    </row>
    <row r="6" spans="1:5" x14ac:dyDescent="0.2">
      <c r="A6" t="s">
        <v>567</v>
      </c>
      <c r="B6" t="s">
        <v>379</v>
      </c>
      <c r="C6" t="s">
        <v>373</v>
      </c>
      <c r="D6" t="s">
        <v>378</v>
      </c>
      <c r="E6">
        <v>1</v>
      </c>
    </row>
    <row r="7" spans="1:5" x14ac:dyDescent="0.2">
      <c r="A7" t="s">
        <v>568</v>
      </c>
      <c r="B7" t="s">
        <v>346</v>
      </c>
      <c r="C7" t="s">
        <v>373</v>
      </c>
      <c r="D7" t="s">
        <v>378</v>
      </c>
      <c r="E7">
        <v>1</v>
      </c>
    </row>
    <row r="8" spans="1:5" x14ac:dyDescent="0.2">
      <c r="A8" t="s">
        <v>569</v>
      </c>
      <c r="B8" t="s">
        <v>380</v>
      </c>
      <c r="C8" t="s">
        <v>373</v>
      </c>
      <c r="D8" t="s">
        <v>378</v>
      </c>
      <c r="E8">
        <v>1</v>
      </c>
    </row>
    <row r="9" spans="1:5" x14ac:dyDescent="0.2">
      <c r="A9" t="s">
        <v>570</v>
      </c>
      <c r="B9" t="s">
        <v>381</v>
      </c>
      <c r="C9" t="s">
        <v>778</v>
      </c>
      <c r="D9" t="s">
        <v>378</v>
      </c>
      <c r="E9">
        <v>3.5999999999999996</v>
      </c>
    </row>
    <row r="10" spans="1:5" x14ac:dyDescent="0.2">
      <c r="A10" t="s">
        <v>571</v>
      </c>
      <c r="B10" t="s">
        <v>382</v>
      </c>
      <c r="C10" t="s">
        <v>373</v>
      </c>
      <c r="D10" t="s">
        <v>378</v>
      </c>
      <c r="E10">
        <v>1</v>
      </c>
    </row>
    <row r="11" spans="1:5" x14ac:dyDescent="0.2">
      <c r="A11" t="s">
        <v>572</v>
      </c>
      <c r="B11" t="s">
        <v>383</v>
      </c>
      <c r="C11" t="s">
        <v>373</v>
      </c>
      <c r="D11" t="s">
        <v>378</v>
      </c>
      <c r="E11">
        <v>1</v>
      </c>
    </row>
    <row r="12" spans="1:5" x14ac:dyDescent="0.2">
      <c r="A12" t="s">
        <v>573</v>
      </c>
      <c r="B12" t="s">
        <v>350</v>
      </c>
      <c r="C12" t="s">
        <v>373</v>
      </c>
      <c r="D12" t="s">
        <v>378</v>
      </c>
      <c r="E12">
        <v>1</v>
      </c>
    </row>
    <row r="13" spans="1:5" x14ac:dyDescent="0.2">
      <c r="A13" t="s">
        <v>574</v>
      </c>
      <c r="B13" t="s">
        <v>256</v>
      </c>
      <c r="C13" t="s">
        <v>778</v>
      </c>
      <c r="D13" t="s">
        <v>378</v>
      </c>
      <c r="E13">
        <v>3.5999999999999996</v>
      </c>
    </row>
    <row r="14" spans="1:5" x14ac:dyDescent="0.2">
      <c r="A14" t="s">
        <v>575</v>
      </c>
      <c r="B14" t="s">
        <v>164</v>
      </c>
      <c r="C14" t="s">
        <v>384</v>
      </c>
      <c r="D14" t="s">
        <v>378</v>
      </c>
      <c r="E14">
        <v>31.65</v>
      </c>
    </row>
    <row r="15" spans="1:5" x14ac:dyDescent="0.2">
      <c r="A15" t="s">
        <v>576</v>
      </c>
      <c r="B15" t="s">
        <v>165</v>
      </c>
      <c r="C15" t="s">
        <v>385</v>
      </c>
      <c r="D15" t="s">
        <v>378</v>
      </c>
      <c r="E15">
        <v>1E-3</v>
      </c>
    </row>
    <row r="16" spans="1:5" x14ac:dyDescent="0.2">
      <c r="A16" t="s">
        <v>577</v>
      </c>
      <c r="B16" t="s">
        <v>386</v>
      </c>
      <c r="C16" t="s">
        <v>373</v>
      </c>
      <c r="D16" t="s">
        <v>378</v>
      </c>
      <c r="E16">
        <v>1</v>
      </c>
    </row>
    <row r="17" spans="1:5" x14ac:dyDescent="0.2">
      <c r="A17" t="s">
        <v>578</v>
      </c>
      <c r="B17" t="s">
        <v>387</v>
      </c>
      <c r="C17" t="s">
        <v>373</v>
      </c>
      <c r="D17" t="s">
        <v>378</v>
      </c>
      <c r="E17">
        <v>1</v>
      </c>
    </row>
    <row r="18" spans="1:5" x14ac:dyDescent="0.2">
      <c r="A18" t="s">
        <v>579</v>
      </c>
      <c r="B18" t="s">
        <v>388</v>
      </c>
      <c r="C18" t="s">
        <v>389</v>
      </c>
      <c r="D18" t="s">
        <v>378</v>
      </c>
      <c r="E18">
        <v>3.1649999999999997E-5</v>
      </c>
    </row>
    <row r="19" spans="1:5" x14ac:dyDescent="0.2">
      <c r="A19" t="s">
        <v>580</v>
      </c>
      <c r="B19" t="s">
        <v>390</v>
      </c>
      <c r="C19" t="s">
        <v>389</v>
      </c>
      <c r="D19" t="s">
        <v>378</v>
      </c>
      <c r="E19">
        <v>3.1649999999999997E-5</v>
      </c>
    </row>
    <row r="20" spans="1:5" x14ac:dyDescent="0.2">
      <c r="A20" t="s">
        <v>581</v>
      </c>
      <c r="B20" t="s">
        <v>391</v>
      </c>
      <c r="C20" t="s">
        <v>392</v>
      </c>
      <c r="D20" t="s">
        <v>378</v>
      </c>
      <c r="E20">
        <v>3.5999999999999998E-6</v>
      </c>
    </row>
    <row r="21" spans="1:5" x14ac:dyDescent="0.2">
      <c r="A21" t="s">
        <v>582</v>
      </c>
      <c r="B21" t="s">
        <v>393</v>
      </c>
      <c r="C21" t="s">
        <v>392</v>
      </c>
      <c r="D21" t="s">
        <v>378</v>
      </c>
      <c r="E21">
        <v>3.5999999999999998E-6</v>
      </c>
    </row>
    <row r="22" spans="1:5" x14ac:dyDescent="0.2">
      <c r="A22" t="s">
        <v>583</v>
      </c>
      <c r="B22" t="s">
        <v>394</v>
      </c>
      <c r="C22" t="s">
        <v>389</v>
      </c>
      <c r="D22" t="s">
        <v>378</v>
      </c>
      <c r="E22">
        <v>3.1649999999999997E-5</v>
      </c>
    </row>
    <row r="23" spans="1:5" x14ac:dyDescent="0.2">
      <c r="A23" t="s">
        <v>584</v>
      </c>
      <c r="B23" t="s">
        <v>395</v>
      </c>
      <c r="C23" t="s">
        <v>389</v>
      </c>
      <c r="D23" t="s">
        <v>378</v>
      </c>
      <c r="E23">
        <v>3.1649999999999997E-5</v>
      </c>
    </row>
    <row r="24" spans="1:5" x14ac:dyDescent="0.2">
      <c r="A24" t="s">
        <v>585</v>
      </c>
      <c r="B24" t="s">
        <v>396</v>
      </c>
      <c r="C24" t="s">
        <v>389</v>
      </c>
      <c r="D24" t="s">
        <v>378</v>
      </c>
      <c r="E24">
        <v>3.1649999999999997E-5</v>
      </c>
    </row>
    <row r="25" spans="1:5" x14ac:dyDescent="0.2">
      <c r="A25" t="s">
        <v>586</v>
      </c>
      <c r="B25" t="s">
        <v>397</v>
      </c>
      <c r="C25" t="s">
        <v>389</v>
      </c>
      <c r="D25" t="s">
        <v>378</v>
      </c>
      <c r="E25">
        <v>3.1649999999999997E-5</v>
      </c>
    </row>
    <row r="26" spans="1:5" x14ac:dyDescent="0.2">
      <c r="A26" t="s">
        <v>587</v>
      </c>
      <c r="B26" t="s">
        <v>398</v>
      </c>
      <c r="C26" t="s">
        <v>389</v>
      </c>
      <c r="D26" t="s">
        <v>378</v>
      </c>
      <c r="E26">
        <v>3.1649999999999997E-5</v>
      </c>
    </row>
    <row r="27" spans="1:5" x14ac:dyDescent="0.2">
      <c r="A27" t="s">
        <v>588</v>
      </c>
      <c r="B27" t="s">
        <v>399</v>
      </c>
      <c r="C27" t="s">
        <v>389</v>
      </c>
      <c r="D27" t="s">
        <v>378</v>
      </c>
      <c r="E27">
        <v>3.1649999999999997E-5</v>
      </c>
    </row>
    <row r="28" spans="1:5" x14ac:dyDescent="0.2">
      <c r="A28" t="s">
        <v>589</v>
      </c>
      <c r="B28" t="s">
        <v>400</v>
      </c>
      <c r="C28" t="s">
        <v>389</v>
      </c>
      <c r="D28" t="s">
        <v>378</v>
      </c>
      <c r="E28">
        <v>3.1649999999999997E-5</v>
      </c>
    </row>
    <row r="29" spans="1:5" x14ac:dyDescent="0.2">
      <c r="A29" t="s">
        <v>590</v>
      </c>
      <c r="B29" t="s">
        <v>401</v>
      </c>
      <c r="C29" t="s">
        <v>389</v>
      </c>
      <c r="D29" t="s">
        <v>378</v>
      </c>
      <c r="E29">
        <v>3.1649999999999997E-5</v>
      </c>
    </row>
    <row r="30" spans="1:5" x14ac:dyDescent="0.2">
      <c r="A30" t="s">
        <v>591</v>
      </c>
      <c r="B30" t="s">
        <v>402</v>
      </c>
      <c r="C30" t="s">
        <v>389</v>
      </c>
      <c r="D30" t="s">
        <v>378</v>
      </c>
      <c r="E30">
        <v>3.1649999999999997E-5</v>
      </c>
    </row>
    <row r="31" spans="1:5" x14ac:dyDescent="0.2">
      <c r="A31" t="s">
        <v>592</v>
      </c>
      <c r="B31" t="s">
        <v>403</v>
      </c>
      <c r="C31" t="s">
        <v>389</v>
      </c>
      <c r="D31" t="s">
        <v>378</v>
      </c>
      <c r="E31">
        <v>3.1649999999999997E-5</v>
      </c>
    </row>
    <row r="32" spans="1:5" x14ac:dyDescent="0.2">
      <c r="A32" t="s">
        <v>593</v>
      </c>
      <c r="B32" t="s">
        <v>404</v>
      </c>
      <c r="C32" t="s">
        <v>389</v>
      </c>
      <c r="D32" t="s">
        <v>378</v>
      </c>
      <c r="E32">
        <v>3.1649999999999997E-5</v>
      </c>
    </row>
    <row r="33" spans="1:5" x14ac:dyDescent="0.2">
      <c r="A33" t="s">
        <v>594</v>
      </c>
      <c r="B33" t="s">
        <v>405</v>
      </c>
      <c r="C33" t="s">
        <v>389</v>
      </c>
      <c r="D33" t="s">
        <v>378</v>
      </c>
      <c r="E33">
        <v>3.1649999999999997E-5</v>
      </c>
    </row>
    <row r="34" spans="1:5" x14ac:dyDescent="0.2">
      <c r="A34" t="s">
        <v>595</v>
      </c>
      <c r="B34" t="s">
        <v>406</v>
      </c>
      <c r="C34" t="s">
        <v>389</v>
      </c>
      <c r="D34" t="s">
        <v>378</v>
      </c>
      <c r="E34">
        <v>3.1649999999999997E-5</v>
      </c>
    </row>
    <row r="35" spans="1:5" x14ac:dyDescent="0.2">
      <c r="A35" t="s">
        <v>596</v>
      </c>
      <c r="B35" t="s">
        <v>407</v>
      </c>
      <c r="C35" t="s">
        <v>389</v>
      </c>
      <c r="D35" t="s">
        <v>378</v>
      </c>
      <c r="E35">
        <v>3.1649999999999997E-5</v>
      </c>
    </row>
    <row r="36" spans="1:5" x14ac:dyDescent="0.2">
      <c r="A36" t="s">
        <v>597</v>
      </c>
      <c r="B36" t="s">
        <v>408</v>
      </c>
      <c r="C36" t="s">
        <v>392</v>
      </c>
      <c r="D36" t="s">
        <v>378</v>
      </c>
      <c r="E36">
        <v>3.5999999999999998E-6</v>
      </c>
    </row>
    <row r="37" spans="1:5" x14ac:dyDescent="0.2">
      <c r="A37" t="s">
        <v>598</v>
      </c>
      <c r="B37" t="s">
        <v>409</v>
      </c>
      <c r="C37" t="s">
        <v>392</v>
      </c>
      <c r="D37" t="s">
        <v>378</v>
      </c>
      <c r="E37">
        <v>3.5999999999999998E-6</v>
      </c>
    </row>
    <row r="38" spans="1:5" x14ac:dyDescent="0.2">
      <c r="A38" t="s">
        <v>599</v>
      </c>
      <c r="B38" t="s">
        <v>410</v>
      </c>
      <c r="C38" t="s">
        <v>392</v>
      </c>
      <c r="D38" t="s">
        <v>378</v>
      </c>
      <c r="E38">
        <v>3.5999999999999998E-6</v>
      </c>
    </row>
    <row r="39" spans="1:5" x14ac:dyDescent="0.2">
      <c r="A39" t="s">
        <v>600</v>
      </c>
      <c r="B39" t="s">
        <v>167</v>
      </c>
      <c r="C39" t="s">
        <v>392</v>
      </c>
      <c r="D39" t="s">
        <v>378</v>
      </c>
      <c r="E39">
        <v>3.5999999999999998E-6</v>
      </c>
    </row>
    <row r="40" spans="1:5" x14ac:dyDescent="0.2">
      <c r="A40" t="s">
        <v>601</v>
      </c>
      <c r="B40" t="s">
        <v>411</v>
      </c>
      <c r="C40" t="s">
        <v>392</v>
      </c>
      <c r="D40" t="s">
        <v>378</v>
      </c>
      <c r="E40">
        <v>3.5999999999999998E-6</v>
      </c>
    </row>
    <row r="41" spans="1:5" x14ac:dyDescent="0.2">
      <c r="A41" t="s">
        <v>602</v>
      </c>
      <c r="B41" t="s">
        <v>412</v>
      </c>
      <c r="C41" t="s">
        <v>392</v>
      </c>
      <c r="D41" t="s">
        <v>378</v>
      </c>
      <c r="E41">
        <v>3.5999999999999998E-6</v>
      </c>
    </row>
    <row r="42" spans="1:5" x14ac:dyDescent="0.2">
      <c r="A42" t="s">
        <v>603</v>
      </c>
      <c r="B42" t="s">
        <v>413</v>
      </c>
      <c r="C42" t="s">
        <v>392</v>
      </c>
      <c r="D42" t="s">
        <v>378</v>
      </c>
      <c r="E42">
        <v>3.5999999999999998E-6</v>
      </c>
    </row>
    <row r="43" spans="1:5" x14ac:dyDescent="0.2">
      <c r="A43" t="s">
        <v>604</v>
      </c>
      <c r="B43" t="s">
        <v>414</v>
      </c>
      <c r="C43" t="s">
        <v>392</v>
      </c>
      <c r="D43" t="s">
        <v>378</v>
      </c>
      <c r="E43">
        <v>3.5999999999999998E-6</v>
      </c>
    </row>
    <row r="44" spans="1:5" x14ac:dyDescent="0.2">
      <c r="A44" t="s">
        <v>605</v>
      </c>
      <c r="B44" t="s">
        <v>415</v>
      </c>
      <c r="C44" t="s">
        <v>392</v>
      </c>
      <c r="D44" t="s">
        <v>378</v>
      </c>
      <c r="E44">
        <v>3.5999999999999998E-6</v>
      </c>
    </row>
    <row r="45" spans="1:5" x14ac:dyDescent="0.2">
      <c r="A45" t="s">
        <v>606</v>
      </c>
      <c r="B45" t="s">
        <v>416</v>
      </c>
      <c r="C45" t="s">
        <v>392</v>
      </c>
      <c r="D45" t="s">
        <v>378</v>
      </c>
      <c r="E45">
        <v>3.5999999999999998E-6</v>
      </c>
    </row>
    <row r="46" spans="1:5" x14ac:dyDescent="0.2">
      <c r="A46" t="s">
        <v>607</v>
      </c>
      <c r="B46" t="s">
        <v>417</v>
      </c>
      <c r="C46" t="s">
        <v>392</v>
      </c>
      <c r="D46" t="s">
        <v>378</v>
      </c>
      <c r="E46">
        <v>3.5999999999999998E-6</v>
      </c>
    </row>
    <row r="47" spans="1:5" x14ac:dyDescent="0.2">
      <c r="A47" t="s">
        <v>608</v>
      </c>
      <c r="B47" t="s">
        <v>418</v>
      </c>
      <c r="C47" t="s">
        <v>392</v>
      </c>
      <c r="D47" t="s">
        <v>378</v>
      </c>
      <c r="E47">
        <v>3.5999999999999998E-6</v>
      </c>
    </row>
    <row r="48" spans="1:5" x14ac:dyDescent="0.2">
      <c r="A48" t="s">
        <v>609</v>
      </c>
      <c r="B48" t="s">
        <v>419</v>
      </c>
      <c r="C48" t="s">
        <v>392</v>
      </c>
      <c r="D48" t="s">
        <v>378</v>
      </c>
      <c r="E48">
        <v>3.5999999999999998E-6</v>
      </c>
    </row>
    <row r="49" spans="1:5" x14ac:dyDescent="0.2">
      <c r="A49" t="s">
        <v>610</v>
      </c>
      <c r="B49" t="s">
        <v>420</v>
      </c>
      <c r="C49" t="s">
        <v>392</v>
      </c>
      <c r="D49" t="s">
        <v>378</v>
      </c>
      <c r="E49">
        <v>3.5999999999999998E-6</v>
      </c>
    </row>
    <row r="50" spans="1:5" x14ac:dyDescent="0.2">
      <c r="A50" t="s">
        <v>611</v>
      </c>
      <c r="B50" t="s">
        <v>421</v>
      </c>
      <c r="C50" t="s">
        <v>373</v>
      </c>
      <c r="D50" t="s">
        <v>378</v>
      </c>
      <c r="E50">
        <v>1</v>
      </c>
    </row>
    <row r="51" spans="1:5" x14ac:dyDescent="0.2">
      <c r="A51" t="s">
        <v>612</v>
      </c>
      <c r="B51" t="s">
        <v>422</v>
      </c>
      <c r="C51" t="s">
        <v>373</v>
      </c>
      <c r="D51" t="s">
        <v>378</v>
      </c>
      <c r="E51">
        <v>1</v>
      </c>
    </row>
    <row r="52" spans="1:5" x14ac:dyDescent="0.2">
      <c r="A52" t="s">
        <v>613</v>
      </c>
      <c r="B52" t="s">
        <v>423</v>
      </c>
      <c r="C52" t="s">
        <v>373</v>
      </c>
      <c r="D52" t="s">
        <v>378</v>
      </c>
      <c r="E52">
        <v>1</v>
      </c>
    </row>
    <row r="53" spans="1:5" x14ac:dyDescent="0.2">
      <c r="A53" t="s">
        <v>614</v>
      </c>
      <c r="B53" t="s">
        <v>424</v>
      </c>
      <c r="C53" t="s">
        <v>373</v>
      </c>
      <c r="D53" t="s">
        <v>378</v>
      </c>
      <c r="E53">
        <v>1</v>
      </c>
    </row>
    <row r="54" spans="1:5" x14ac:dyDescent="0.2">
      <c r="A54" t="s">
        <v>615</v>
      </c>
      <c r="B54" t="s">
        <v>179</v>
      </c>
      <c r="C54" t="s">
        <v>373</v>
      </c>
      <c r="D54" t="s">
        <v>378</v>
      </c>
      <c r="E54">
        <v>1</v>
      </c>
    </row>
    <row r="55" spans="1:5" x14ac:dyDescent="0.2">
      <c r="A55" t="s">
        <v>616</v>
      </c>
      <c r="B55" t="s">
        <v>425</v>
      </c>
      <c r="C55" t="s">
        <v>373</v>
      </c>
      <c r="D55" t="s">
        <v>378</v>
      </c>
      <c r="E55">
        <v>1</v>
      </c>
    </row>
    <row r="56" spans="1:5" x14ac:dyDescent="0.2">
      <c r="A56" t="s">
        <v>617</v>
      </c>
      <c r="B56" t="s">
        <v>426</v>
      </c>
      <c r="C56" t="s">
        <v>373</v>
      </c>
      <c r="D56" t="s">
        <v>378</v>
      </c>
      <c r="E56">
        <v>1</v>
      </c>
    </row>
    <row r="57" spans="1:5" x14ac:dyDescent="0.2">
      <c r="A57" t="s">
        <v>618</v>
      </c>
      <c r="B57" t="s">
        <v>209</v>
      </c>
      <c r="C57" t="s">
        <v>373</v>
      </c>
      <c r="D57" t="s">
        <v>374</v>
      </c>
      <c r="E57">
        <v>1</v>
      </c>
    </row>
    <row r="58" spans="1:5" x14ac:dyDescent="0.2">
      <c r="A58" t="s">
        <v>619</v>
      </c>
      <c r="B58" t="s">
        <v>212</v>
      </c>
      <c r="C58" t="s">
        <v>373</v>
      </c>
      <c r="D58" t="s">
        <v>374</v>
      </c>
      <c r="E58">
        <v>1</v>
      </c>
    </row>
    <row r="59" spans="1:5" x14ac:dyDescent="0.2">
      <c r="A59" t="s">
        <v>620</v>
      </c>
      <c r="B59" t="s">
        <v>203</v>
      </c>
      <c r="C59" t="s">
        <v>373</v>
      </c>
      <c r="D59" t="s">
        <v>374</v>
      </c>
      <c r="E59">
        <v>1</v>
      </c>
    </row>
    <row r="60" spans="1:5" x14ac:dyDescent="0.2">
      <c r="A60" t="s">
        <v>621</v>
      </c>
      <c r="B60" t="s">
        <v>205</v>
      </c>
      <c r="C60" t="s">
        <v>373</v>
      </c>
      <c r="D60" t="s">
        <v>374</v>
      </c>
      <c r="E60">
        <v>1</v>
      </c>
    </row>
    <row r="61" spans="1:5" x14ac:dyDescent="0.2">
      <c r="A61" t="s">
        <v>622</v>
      </c>
      <c r="B61" t="s">
        <v>427</v>
      </c>
      <c r="C61" t="s">
        <v>373</v>
      </c>
      <c r="D61" t="s">
        <v>374</v>
      </c>
      <c r="E61">
        <v>1</v>
      </c>
    </row>
    <row r="62" spans="1:5" x14ac:dyDescent="0.2">
      <c r="A62" t="s">
        <v>623</v>
      </c>
      <c r="B62" t="s">
        <v>428</v>
      </c>
      <c r="C62" t="s">
        <v>373</v>
      </c>
      <c r="D62" t="s">
        <v>374</v>
      </c>
      <c r="E62">
        <v>1</v>
      </c>
    </row>
    <row r="63" spans="1:5" x14ac:dyDescent="0.2">
      <c r="A63" t="s">
        <v>624</v>
      </c>
      <c r="B63" t="s">
        <v>429</v>
      </c>
      <c r="C63" t="s">
        <v>373</v>
      </c>
      <c r="D63" t="s">
        <v>374</v>
      </c>
      <c r="E63">
        <v>1</v>
      </c>
    </row>
    <row r="64" spans="1:5" x14ac:dyDescent="0.2">
      <c r="A64" t="s">
        <v>625</v>
      </c>
      <c r="B64" t="s">
        <v>430</v>
      </c>
      <c r="C64" t="s">
        <v>373</v>
      </c>
      <c r="D64" t="s">
        <v>374</v>
      </c>
      <c r="E64">
        <v>1</v>
      </c>
    </row>
    <row r="65" spans="1:5" x14ac:dyDescent="0.2">
      <c r="A65" t="s">
        <v>626</v>
      </c>
      <c r="B65" t="s">
        <v>431</v>
      </c>
      <c r="C65" t="s">
        <v>373</v>
      </c>
      <c r="D65" t="s">
        <v>374</v>
      </c>
      <c r="E65">
        <v>1</v>
      </c>
    </row>
    <row r="66" spans="1:5" x14ac:dyDescent="0.2">
      <c r="A66" t="s">
        <v>627</v>
      </c>
      <c r="B66" t="s">
        <v>232</v>
      </c>
      <c r="C66" t="s">
        <v>373</v>
      </c>
      <c r="D66" t="s">
        <v>374</v>
      </c>
      <c r="E66">
        <v>1</v>
      </c>
    </row>
    <row r="67" spans="1:5" x14ac:dyDescent="0.2">
      <c r="A67" t="s">
        <v>628</v>
      </c>
      <c r="B67" t="s">
        <v>230</v>
      </c>
      <c r="C67" t="s">
        <v>373</v>
      </c>
      <c r="D67" t="s">
        <v>374</v>
      </c>
      <c r="E67">
        <v>1</v>
      </c>
    </row>
    <row r="68" spans="1:5" x14ac:dyDescent="0.2">
      <c r="A68" t="s">
        <v>629</v>
      </c>
      <c r="B68" t="s">
        <v>236</v>
      </c>
      <c r="C68" t="s">
        <v>373</v>
      </c>
      <c r="D68" t="s">
        <v>374</v>
      </c>
      <c r="E68">
        <v>1</v>
      </c>
    </row>
    <row r="69" spans="1:5" x14ac:dyDescent="0.2">
      <c r="A69" t="s">
        <v>630</v>
      </c>
      <c r="B69" t="s">
        <v>234</v>
      </c>
      <c r="C69" t="s">
        <v>373</v>
      </c>
      <c r="D69" t="s">
        <v>374</v>
      </c>
      <c r="E69">
        <v>1</v>
      </c>
    </row>
    <row r="70" spans="1:5" x14ac:dyDescent="0.2">
      <c r="A70" t="s">
        <v>631</v>
      </c>
      <c r="B70" t="s">
        <v>432</v>
      </c>
      <c r="C70" t="s">
        <v>373</v>
      </c>
      <c r="D70" t="s">
        <v>433</v>
      </c>
      <c r="E70">
        <v>1</v>
      </c>
    </row>
    <row r="71" spans="1:5" x14ac:dyDescent="0.2">
      <c r="A71" t="s">
        <v>632</v>
      </c>
      <c r="B71" t="s">
        <v>434</v>
      </c>
      <c r="C71" t="s">
        <v>373</v>
      </c>
      <c r="D71" t="s">
        <v>433</v>
      </c>
      <c r="E71">
        <v>1</v>
      </c>
    </row>
    <row r="72" spans="1:5" x14ac:dyDescent="0.2">
      <c r="A72" t="s">
        <v>633</v>
      </c>
      <c r="B72" t="s">
        <v>435</v>
      </c>
      <c r="C72" t="s">
        <v>373</v>
      </c>
      <c r="D72" t="s">
        <v>433</v>
      </c>
      <c r="E72">
        <v>1</v>
      </c>
    </row>
    <row r="73" spans="1:5" x14ac:dyDescent="0.2">
      <c r="A73" t="s">
        <v>634</v>
      </c>
      <c r="B73" t="s">
        <v>436</v>
      </c>
      <c r="C73" t="s">
        <v>373</v>
      </c>
      <c r="D73" t="s">
        <v>433</v>
      </c>
      <c r="E73">
        <v>1</v>
      </c>
    </row>
    <row r="74" spans="1:5" x14ac:dyDescent="0.2">
      <c r="A74" t="s">
        <v>635</v>
      </c>
      <c r="B74" t="s">
        <v>437</v>
      </c>
      <c r="C74" t="s">
        <v>373</v>
      </c>
      <c r="D74" t="s">
        <v>433</v>
      </c>
      <c r="E74">
        <v>1</v>
      </c>
    </row>
    <row r="75" spans="1:5" x14ac:dyDescent="0.2">
      <c r="A75" t="s">
        <v>636</v>
      </c>
      <c r="B75" t="s">
        <v>438</v>
      </c>
      <c r="C75" t="s">
        <v>373</v>
      </c>
      <c r="D75" t="s">
        <v>433</v>
      </c>
      <c r="E75">
        <v>1</v>
      </c>
    </row>
    <row r="76" spans="1:5" x14ac:dyDescent="0.2">
      <c r="A76" t="s">
        <v>637</v>
      </c>
      <c r="B76" t="s">
        <v>439</v>
      </c>
      <c r="C76" t="s">
        <v>373</v>
      </c>
      <c r="D76" t="s">
        <v>433</v>
      </c>
      <c r="E76">
        <v>1</v>
      </c>
    </row>
    <row r="77" spans="1:5" x14ac:dyDescent="0.2">
      <c r="A77" t="s">
        <v>638</v>
      </c>
      <c r="B77" t="s">
        <v>440</v>
      </c>
      <c r="C77" t="s">
        <v>373</v>
      </c>
      <c r="D77" t="s">
        <v>433</v>
      </c>
      <c r="E77">
        <v>1</v>
      </c>
    </row>
    <row r="78" spans="1:5" x14ac:dyDescent="0.2">
      <c r="A78" t="s">
        <v>639</v>
      </c>
      <c r="B78" t="s">
        <v>441</v>
      </c>
      <c r="C78" t="s">
        <v>373</v>
      </c>
      <c r="D78" t="s">
        <v>433</v>
      </c>
      <c r="E78">
        <v>1</v>
      </c>
    </row>
    <row r="79" spans="1:5" x14ac:dyDescent="0.2">
      <c r="A79" t="s">
        <v>640</v>
      </c>
      <c r="B79" t="s">
        <v>442</v>
      </c>
      <c r="C79" t="s">
        <v>373</v>
      </c>
      <c r="D79" t="s">
        <v>433</v>
      </c>
      <c r="E79">
        <v>1</v>
      </c>
    </row>
    <row r="80" spans="1:5" x14ac:dyDescent="0.2">
      <c r="A80" t="s">
        <v>641</v>
      </c>
      <c r="B80" t="s">
        <v>443</v>
      </c>
      <c r="C80" t="s">
        <v>373</v>
      </c>
      <c r="D80" t="s">
        <v>433</v>
      </c>
      <c r="E80">
        <v>1</v>
      </c>
    </row>
    <row r="81" spans="1:5" x14ac:dyDescent="0.2">
      <c r="A81" t="s">
        <v>642</v>
      </c>
      <c r="B81" t="s">
        <v>444</v>
      </c>
      <c r="C81" t="s">
        <v>373</v>
      </c>
      <c r="D81" t="s">
        <v>433</v>
      </c>
      <c r="E81">
        <v>1</v>
      </c>
    </row>
    <row r="82" spans="1:5" x14ac:dyDescent="0.2">
      <c r="A82" t="s">
        <v>643</v>
      </c>
      <c r="B82" t="s">
        <v>445</v>
      </c>
      <c r="C82" t="s">
        <v>373</v>
      </c>
      <c r="D82" t="s">
        <v>433</v>
      </c>
      <c r="E82">
        <v>1</v>
      </c>
    </row>
    <row r="83" spans="1:5" x14ac:dyDescent="0.2">
      <c r="A83" t="s">
        <v>644</v>
      </c>
      <c r="B83" t="s">
        <v>446</v>
      </c>
      <c r="C83" t="s">
        <v>373</v>
      </c>
      <c r="D83" t="s">
        <v>433</v>
      </c>
      <c r="E83">
        <v>1</v>
      </c>
    </row>
    <row r="84" spans="1:5" x14ac:dyDescent="0.2">
      <c r="A84" t="s">
        <v>645</v>
      </c>
      <c r="B84" t="s">
        <v>447</v>
      </c>
      <c r="C84" t="s">
        <v>373</v>
      </c>
      <c r="D84" t="s">
        <v>433</v>
      </c>
      <c r="E84">
        <v>1</v>
      </c>
    </row>
    <row r="85" spans="1:5" x14ac:dyDescent="0.2">
      <c r="A85" t="s">
        <v>646</v>
      </c>
      <c r="B85" t="s">
        <v>448</v>
      </c>
      <c r="C85" t="s">
        <v>373</v>
      </c>
      <c r="D85" t="s">
        <v>433</v>
      </c>
      <c r="E85">
        <v>1</v>
      </c>
    </row>
    <row r="86" spans="1:5" x14ac:dyDescent="0.2">
      <c r="A86" t="s">
        <v>647</v>
      </c>
      <c r="B86" t="s">
        <v>449</v>
      </c>
      <c r="C86" t="s">
        <v>373</v>
      </c>
      <c r="D86" t="s">
        <v>433</v>
      </c>
      <c r="E86">
        <v>1</v>
      </c>
    </row>
    <row r="87" spans="1:5" x14ac:dyDescent="0.2">
      <c r="A87" t="s">
        <v>648</v>
      </c>
      <c r="B87" t="s">
        <v>450</v>
      </c>
      <c r="C87" t="s">
        <v>373</v>
      </c>
      <c r="D87" t="s">
        <v>433</v>
      </c>
      <c r="E87">
        <v>1</v>
      </c>
    </row>
    <row r="88" spans="1:5" x14ac:dyDescent="0.2">
      <c r="A88" t="s">
        <v>649</v>
      </c>
      <c r="B88" t="s">
        <v>451</v>
      </c>
      <c r="C88" t="s">
        <v>373</v>
      </c>
      <c r="D88" t="s">
        <v>433</v>
      </c>
      <c r="E88">
        <v>1</v>
      </c>
    </row>
    <row r="89" spans="1:5" x14ac:dyDescent="0.2">
      <c r="A89" t="s">
        <v>650</v>
      </c>
      <c r="B89" t="s">
        <v>452</v>
      </c>
      <c r="C89" t="s">
        <v>373</v>
      </c>
      <c r="D89" t="s">
        <v>433</v>
      </c>
      <c r="E89">
        <v>1</v>
      </c>
    </row>
    <row r="90" spans="1:5" x14ac:dyDescent="0.2">
      <c r="A90" t="s">
        <v>651</v>
      </c>
      <c r="B90" t="s">
        <v>453</v>
      </c>
      <c r="C90" t="s">
        <v>373</v>
      </c>
      <c r="D90" t="s">
        <v>433</v>
      </c>
      <c r="E90">
        <v>1</v>
      </c>
    </row>
    <row r="91" spans="1:5" x14ac:dyDescent="0.2">
      <c r="A91" t="s">
        <v>652</v>
      </c>
      <c r="B91" t="s">
        <v>454</v>
      </c>
      <c r="C91" t="s">
        <v>373</v>
      </c>
      <c r="D91" t="s">
        <v>433</v>
      </c>
      <c r="E91">
        <v>1</v>
      </c>
    </row>
    <row r="92" spans="1:5" x14ac:dyDescent="0.2">
      <c r="A92" t="s">
        <v>653</v>
      </c>
      <c r="B92" t="s">
        <v>455</v>
      </c>
      <c r="C92" t="s">
        <v>373</v>
      </c>
      <c r="D92" t="s">
        <v>433</v>
      </c>
      <c r="E92">
        <v>1</v>
      </c>
    </row>
    <row r="93" spans="1:5" x14ac:dyDescent="0.2">
      <c r="A93" t="s">
        <v>654</v>
      </c>
      <c r="B93" t="s">
        <v>456</v>
      </c>
      <c r="C93" t="s">
        <v>373</v>
      </c>
      <c r="D93" t="s">
        <v>433</v>
      </c>
      <c r="E93">
        <v>1</v>
      </c>
    </row>
    <row r="94" spans="1:5" x14ac:dyDescent="0.2">
      <c r="A94" t="s">
        <v>655</v>
      </c>
      <c r="B94" t="s">
        <v>457</v>
      </c>
      <c r="C94" t="s">
        <v>373</v>
      </c>
      <c r="D94" t="s">
        <v>433</v>
      </c>
      <c r="E94">
        <v>1</v>
      </c>
    </row>
    <row r="95" spans="1:5" x14ac:dyDescent="0.2">
      <c r="A95" t="s">
        <v>656</v>
      </c>
      <c r="B95" t="s">
        <v>458</v>
      </c>
      <c r="C95" t="s">
        <v>373</v>
      </c>
      <c r="D95" t="s">
        <v>433</v>
      </c>
      <c r="E95">
        <v>1</v>
      </c>
    </row>
    <row r="96" spans="1:5" x14ac:dyDescent="0.2">
      <c r="A96" t="s">
        <v>657</v>
      </c>
      <c r="B96" t="s">
        <v>459</v>
      </c>
      <c r="C96" t="s">
        <v>373</v>
      </c>
      <c r="D96" t="s">
        <v>433</v>
      </c>
      <c r="E96">
        <v>1</v>
      </c>
    </row>
    <row r="97" spans="1:5" x14ac:dyDescent="0.2">
      <c r="A97" t="s">
        <v>658</v>
      </c>
      <c r="B97" t="s">
        <v>460</v>
      </c>
      <c r="C97" t="s">
        <v>373</v>
      </c>
      <c r="D97" t="s">
        <v>433</v>
      </c>
      <c r="E97">
        <v>1</v>
      </c>
    </row>
    <row r="98" spans="1:5" x14ac:dyDescent="0.2">
      <c r="A98" t="s">
        <v>659</v>
      </c>
      <c r="B98" t="s">
        <v>461</v>
      </c>
      <c r="C98" t="s">
        <v>373</v>
      </c>
      <c r="D98" t="s">
        <v>433</v>
      </c>
      <c r="E98">
        <v>1</v>
      </c>
    </row>
    <row r="99" spans="1:5" x14ac:dyDescent="0.2">
      <c r="A99" t="s">
        <v>660</v>
      </c>
      <c r="B99" t="s">
        <v>462</v>
      </c>
      <c r="C99" t="s">
        <v>373</v>
      </c>
      <c r="D99" t="s">
        <v>433</v>
      </c>
      <c r="E99">
        <v>1</v>
      </c>
    </row>
    <row r="100" spans="1:5" x14ac:dyDescent="0.2">
      <c r="A100" t="s">
        <v>661</v>
      </c>
      <c r="B100" t="s">
        <v>463</v>
      </c>
      <c r="C100" t="s">
        <v>373</v>
      </c>
      <c r="D100" t="s">
        <v>433</v>
      </c>
      <c r="E100">
        <v>1</v>
      </c>
    </row>
    <row r="101" spans="1:5" x14ac:dyDescent="0.2">
      <c r="A101" t="s">
        <v>662</v>
      </c>
      <c r="B101" t="s">
        <v>277</v>
      </c>
      <c r="C101" t="s">
        <v>392</v>
      </c>
      <c r="D101" t="s">
        <v>378</v>
      </c>
      <c r="E101">
        <v>3.5999999999999998E-6</v>
      </c>
    </row>
    <row r="102" spans="1:5" x14ac:dyDescent="0.2">
      <c r="A102" t="s">
        <v>663</v>
      </c>
      <c r="B102" t="s">
        <v>263</v>
      </c>
      <c r="C102" t="s">
        <v>389</v>
      </c>
      <c r="D102" t="s">
        <v>378</v>
      </c>
      <c r="E102">
        <v>3.1649999999999997E-5</v>
      </c>
    </row>
    <row r="103" spans="1:5" x14ac:dyDescent="0.2">
      <c r="A103" t="s">
        <v>664</v>
      </c>
      <c r="B103" t="s">
        <v>313</v>
      </c>
      <c r="C103" t="s">
        <v>389</v>
      </c>
      <c r="D103" t="s">
        <v>378</v>
      </c>
      <c r="E103">
        <v>3.1649999999999997E-5</v>
      </c>
    </row>
    <row r="104" spans="1:5" x14ac:dyDescent="0.2">
      <c r="A104" t="s">
        <v>665</v>
      </c>
      <c r="B104" t="s">
        <v>312</v>
      </c>
      <c r="C104" t="s">
        <v>389</v>
      </c>
      <c r="D104" t="s">
        <v>378</v>
      </c>
      <c r="E104">
        <v>3.1649999999999997E-5</v>
      </c>
    </row>
    <row r="105" spans="1:5" x14ac:dyDescent="0.2">
      <c r="A105" t="s">
        <v>666</v>
      </c>
      <c r="B105" t="s">
        <v>314</v>
      </c>
      <c r="C105" t="s">
        <v>389</v>
      </c>
      <c r="D105" t="s">
        <v>378</v>
      </c>
      <c r="E105">
        <v>3.1649999999999997E-5</v>
      </c>
    </row>
    <row r="106" spans="1:5" x14ac:dyDescent="0.2">
      <c r="A106" t="s">
        <v>667</v>
      </c>
      <c r="B106" t="s">
        <v>315</v>
      </c>
      <c r="C106" t="s">
        <v>389</v>
      </c>
      <c r="D106" t="s">
        <v>378</v>
      </c>
      <c r="E106">
        <v>3.1649999999999997E-5</v>
      </c>
    </row>
    <row r="107" spans="1:5" x14ac:dyDescent="0.2">
      <c r="A107" t="s">
        <v>668</v>
      </c>
      <c r="B107" t="s">
        <v>297</v>
      </c>
      <c r="C107" t="s">
        <v>392</v>
      </c>
      <c r="D107" t="s">
        <v>378</v>
      </c>
      <c r="E107">
        <v>3.5999999999999998E-6</v>
      </c>
    </row>
    <row r="108" spans="1:5" x14ac:dyDescent="0.2">
      <c r="A108" t="s">
        <v>669</v>
      </c>
      <c r="B108" t="s">
        <v>290</v>
      </c>
      <c r="C108" t="s">
        <v>392</v>
      </c>
      <c r="D108" t="s">
        <v>378</v>
      </c>
      <c r="E108">
        <v>3.5999999999999998E-6</v>
      </c>
    </row>
    <row r="109" spans="1:5" x14ac:dyDescent="0.2">
      <c r="A109" t="s">
        <v>670</v>
      </c>
      <c r="B109" t="s">
        <v>159</v>
      </c>
      <c r="C109" t="s">
        <v>392</v>
      </c>
      <c r="D109" t="s">
        <v>378</v>
      </c>
      <c r="E109">
        <v>3.5999999999999998E-6</v>
      </c>
    </row>
    <row r="110" spans="1:5" x14ac:dyDescent="0.2">
      <c r="A110" t="s">
        <v>671</v>
      </c>
      <c r="B110" t="s">
        <v>298</v>
      </c>
      <c r="C110" t="s">
        <v>392</v>
      </c>
      <c r="D110" t="s">
        <v>378</v>
      </c>
      <c r="E110">
        <v>3.5999999999999998E-6</v>
      </c>
    </row>
    <row r="111" spans="1:5" x14ac:dyDescent="0.2">
      <c r="A111" t="s">
        <v>672</v>
      </c>
      <c r="B111" t="s">
        <v>299</v>
      </c>
      <c r="C111" t="s">
        <v>392</v>
      </c>
      <c r="D111" t="s">
        <v>378</v>
      </c>
      <c r="E111">
        <v>3.5999999999999998E-6</v>
      </c>
    </row>
    <row r="112" spans="1:5" x14ac:dyDescent="0.2">
      <c r="A112" t="s">
        <v>673</v>
      </c>
      <c r="B112" t="s">
        <v>464</v>
      </c>
      <c r="C112" t="s">
        <v>373</v>
      </c>
      <c r="D112" t="s">
        <v>465</v>
      </c>
      <c r="E112">
        <v>1</v>
      </c>
    </row>
    <row r="113" spans="1:5" x14ac:dyDescent="0.2">
      <c r="A113" t="s">
        <v>674</v>
      </c>
      <c r="B113" t="s">
        <v>466</v>
      </c>
      <c r="C113" t="s">
        <v>373</v>
      </c>
      <c r="D113" t="s">
        <v>465</v>
      </c>
      <c r="E113">
        <v>1</v>
      </c>
    </row>
    <row r="114" spans="1:5" x14ac:dyDescent="0.2">
      <c r="A114" t="s">
        <v>675</v>
      </c>
      <c r="B114" t="s">
        <v>467</v>
      </c>
      <c r="C114" t="s">
        <v>373</v>
      </c>
      <c r="D114" t="s">
        <v>465</v>
      </c>
      <c r="E114">
        <v>1</v>
      </c>
    </row>
    <row r="115" spans="1:5" x14ac:dyDescent="0.2">
      <c r="A115" t="s">
        <v>676</v>
      </c>
      <c r="B115" t="s">
        <v>468</v>
      </c>
      <c r="C115" t="s">
        <v>469</v>
      </c>
      <c r="D115" t="s">
        <v>465</v>
      </c>
      <c r="E115">
        <v>1000</v>
      </c>
    </row>
    <row r="116" spans="1:5" x14ac:dyDescent="0.2">
      <c r="A116" t="s">
        <v>677</v>
      </c>
      <c r="B116" t="s">
        <v>269</v>
      </c>
      <c r="C116" t="s">
        <v>373</v>
      </c>
      <c r="D116" t="s">
        <v>378</v>
      </c>
      <c r="E116">
        <v>1</v>
      </c>
    </row>
    <row r="117" spans="1:5" x14ac:dyDescent="0.2">
      <c r="A117" t="s">
        <v>678</v>
      </c>
      <c r="B117" t="s">
        <v>470</v>
      </c>
      <c r="C117" t="s">
        <v>373</v>
      </c>
      <c r="D117" t="s">
        <v>378</v>
      </c>
      <c r="E117">
        <v>1</v>
      </c>
    </row>
    <row r="118" spans="1:5" x14ac:dyDescent="0.2">
      <c r="A118" t="s">
        <v>679</v>
      </c>
      <c r="B118" t="s">
        <v>352</v>
      </c>
      <c r="C118" t="s">
        <v>373</v>
      </c>
      <c r="D118" t="s">
        <v>378</v>
      </c>
      <c r="E118">
        <v>1</v>
      </c>
    </row>
    <row r="119" spans="1:5" x14ac:dyDescent="0.2">
      <c r="A119" t="s">
        <v>680</v>
      </c>
      <c r="B119" t="s">
        <v>360</v>
      </c>
      <c r="C119" t="s">
        <v>373</v>
      </c>
      <c r="D119" t="s">
        <v>378</v>
      </c>
      <c r="E119">
        <v>1</v>
      </c>
    </row>
    <row r="120" spans="1:5" x14ac:dyDescent="0.2">
      <c r="A120" t="s">
        <v>681</v>
      </c>
      <c r="B120" t="s">
        <v>276</v>
      </c>
      <c r="C120" t="s">
        <v>373</v>
      </c>
      <c r="D120" t="s">
        <v>378</v>
      </c>
      <c r="E120">
        <v>1</v>
      </c>
    </row>
    <row r="121" spans="1:5" x14ac:dyDescent="0.2">
      <c r="A121" t="s">
        <v>682</v>
      </c>
      <c r="B121" t="s">
        <v>471</v>
      </c>
      <c r="C121" t="s">
        <v>373</v>
      </c>
      <c r="D121" t="s">
        <v>378</v>
      </c>
      <c r="E121">
        <v>1</v>
      </c>
    </row>
    <row r="122" spans="1:5" x14ac:dyDescent="0.2">
      <c r="A122" t="s">
        <v>683</v>
      </c>
      <c r="B122" t="s">
        <v>472</v>
      </c>
      <c r="C122" t="s">
        <v>373</v>
      </c>
      <c r="D122" t="s">
        <v>378</v>
      </c>
      <c r="E122">
        <v>1</v>
      </c>
    </row>
    <row r="123" spans="1:5" x14ac:dyDescent="0.2">
      <c r="A123" t="s">
        <v>684</v>
      </c>
      <c r="B123" t="s">
        <v>344</v>
      </c>
      <c r="C123" t="s">
        <v>373</v>
      </c>
      <c r="D123" t="s">
        <v>378</v>
      </c>
      <c r="E123">
        <v>1</v>
      </c>
    </row>
    <row r="124" spans="1:5" x14ac:dyDescent="0.2">
      <c r="A124" t="s">
        <v>685</v>
      </c>
      <c r="B124" t="s">
        <v>473</v>
      </c>
      <c r="C124" t="s">
        <v>373</v>
      </c>
      <c r="D124" t="s">
        <v>378</v>
      </c>
      <c r="E124">
        <v>1</v>
      </c>
    </row>
    <row r="125" spans="1:5" x14ac:dyDescent="0.2">
      <c r="A125" t="s">
        <v>686</v>
      </c>
      <c r="B125" t="s">
        <v>474</v>
      </c>
      <c r="C125" t="s">
        <v>373</v>
      </c>
      <c r="D125" t="s">
        <v>378</v>
      </c>
      <c r="E125">
        <v>1</v>
      </c>
    </row>
    <row r="126" spans="1:5" x14ac:dyDescent="0.2">
      <c r="A126" t="s">
        <v>687</v>
      </c>
      <c r="B126" t="s">
        <v>475</v>
      </c>
      <c r="C126" t="s">
        <v>373</v>
      </c>
      <c r="D126" t="s">
        <v>378</v>
      </c>
      <c r="E126">
        <v>1</v>
      </c>
    </row>
    <row r="127" spans="1:5" x14ac:dyDescent="0.2">
      <c r="A127" t="s">
        <v>688</v>
      </c>
      <c r="B127" t="s">
        <v>476</v>
      </c>
      <c r="C127" t="s">
        <v>373</v>
      </c>
      <c r="D127" t="s">
        <v>378</v>
      </c>
      <c r="E127">
        <v>1</v>
      </c>
    </row>
    <row r="128" spans="1:5" x14ac:dyDescent="0.2">
      <c r="A128" t="s">
        <v>689</v>
      </c>
      <c r="B128" t="s">
        <v>477</v>
      </c>
      <c r="C128" t="s">
        <v>373</v>
      </c>
      <c r="D128" t="s">
        <v>489</v>
      </c>
      <c r="E128">
        <v>1</v>
      </c>
    </row>
    <row r="129" spans="1:5" x14ac:dyDescent="0.2">
      <c r="A129" t="s">
        <v>690</v>
      </c>
      <c r="B129" t="s">
        <v>478</v>
      </c>
      <c r="C129" t="s">
        <v>479</v>
      </c>
      <c r="D129" t="s">
        <v>491</v>
      </c>
      <c r="E129">
        <v>31595.576619273306</v>
      </c>
    </row>
    <row r="130" spans="1:5" x14ac:dyDescent="0.2">
      <c r="A130" t="s">
        <v>691</v>
      </c>
      <c r="B130" t="s">
        <v>480</v>
      </c>
      <c r="C130" t="s">
        <v>373</v>
      </c>
      <c r="D130" t="s">
        <v>378</v>
      </c>
      <c r="E130">
        <v>1</v>
      </c>
    </row>
    <row r="131" spans="1:5" x14ac:dyDescent="0.2">
      <c r="A131" t="s">
        <v>692</v>
      </c>
      <c r="B131" t="s">
        <v>481</v>
      </c>
      <c r="C131" t="s">
        <v>373</v>
      </c>
      <c r="D131" t="s">
        <v>378</v>
      </c>
      <c r="E131">
        <v>1</v>
      </c>
    </row>
    <row r="132" spans="1:5" x14ac:dyDescent="0.2">
      <c r="A132" t="s">
        <v>693</v>
      </c>
      <c r="B132" t="s">
        <v>482</v>
      </c>
      <c r="C132" t="s">
        <v>373</v>
      </c>
      <c r="D132" t="s">
        <v>378</v>
      </c>
      <c r="E132">
        <v>1</v>
      </c>
    </row>
    <row r="133" spans="1:5" x14ac:dyDescent="0.2">
      <c r="A133" t="s">
        <v>694</v>
      </c>
      <c r="B133" t="s">
        <v>483</v>
      </c>
      <c r="C133" t="s">
        <v>484</v>
      </c>
      <c r="D133" t="s">
        <v>378</v>
      </c>
      <c r="E133">
        <v>3.6</v>
      </c>
    </row>
    <row r="134" spans="1:5" x14ac:dyDescent="0.2">
      <c r="A134" t="s">
        <v>695</v>
      </c>
      <c r="B134" t="s">
        <v>485</v>
      </c>
      <c r="C134" t="s">
        <v>373</v>
      </c>
      <c r="D134" t="s">
        <v>378</v>
      </c>
      <c r="E134">
        <v>1</v>
      </c>
    </row>
    <row r="135" spans="1:5" x14ac:dyDescent="0.2">
      <c r="A135" t="s">
        <v>696</v>
      </c>
      <c r="B135" t="s">
        <v>486</v>
      </c>
      <c r="C135" t="s">
        <v>469</v>
      </c>
      <c r="D135" t="s">
        <v>465</v>
      </c>
      <c r="E135">
        <v>1000</v>
      </c>
    </row>
    <row r="136" spans="1:5" x14ac:dyDescent="0.2">
      <c r="A136" t="s">
        <v>697</v>
      </c>
      <c r="B136" t="s">
        <v>487</v>
      </c>
      <c r="C136" t="s">
        <v>779</v>
      </c>
      <c r="D136" t="s">
        <v>490</v>
      </c>
      <c r="E136">
        <v>277777.77777777781</v>
      </c>
    </row>
    <row r="137" spans="1:5" x14ac:dyDescent="0.2">
      <c r="A137" t="s">
        <v>698</v>
      </c>
      <c r="B137" t="s">
        <v>488</v>
      </c>
      <c r="C137" t="s">
        <v>373</v>
      </c>
      <c r="D137" t="s">
        <v>378</v>
      </c>
      <c r="E137">
        <v>1</v>
      </c>
    </row>
    <row r="138" spans="1:5" x14ac:dyDescent="0.2">
      <c r="A138" t="s">
        <v>699</v>
      </c>
      <c r="B138" t="s">
        <v>354</v>
      </c>
      <c r="C138" t="s">
        <v>373</v>
      </c>
      <c r="D138" t="s">
        <v>378</v>
      </c>
      <c r="E1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2E77-75A4-D546-BE8E-343E0C2667EF}">
  <sheetPr>
    <tabColor theme="7"/>
  </sheetPr>
  <dimension ref="A1:G187"/>
  <sheetViews>
    <sheetView topLeftCell="A104" workbookViewId="0">
      <selection activeCell="A123" sqref="A123"/>
    </sheetView>
  </sheetViews>
  <sheetFormatPr baseColWidth="10" defaultRowHeight="16" x14ac:dyDescent="0.2"/>
  <cols>
    <col min="1" max="1" width="77.83203125" bestFit="1" customWidth="1"/>
    <col min="4" max="4" width="24" bestFit="1" customWidth="1"/>
  </cols>
  <sheetData>
    <row r="1" spans="1:4" x14ac:dyDescent="0.2">
      <c r="A1" t="s">
        <v>737</v>
      </c>
      <c r="B1" t="s">
        <v>769</v>
      </c>
      <c r="C1" t="s">
        <v>738</v>
      </c>
      <c r="D1" t="s">
        <v>772</v>
      </c>
    </row>
    <row r="2" spans="1:4" x14ac:dyDescent="0.2">
      <c r="A2" t="s">
        <v>372</v>
      </c>
      <c r="B2" t="s">
        <v>739</v>
      </c>
      <c r="C2" t="s">
        <v>776</v>
      </c>
      <c r="D2" t="s">
        <v>770</v>
      </c>
    </row>
    <row r="3" spans="1:4" x14ac:dyDescent="0.2">
      <c r="A3" t="s">
        <v>375</v>
      </c>
      <c r="B3" t="s">
        <v>739</v>
      </c>
      <c r="C3" t="s">
        <v>776</v>
      </c>
      <c r="D3" t="s">
        <v>770</v>
      </c>
    </row>
    <row r="4" spans="1:4" x14ac:dyDescent="0.2">
      <c r="A4" t="s">
        <v>377</v>
      </c>
      <c r="B4" t="s">
        <v>739</v>
      </c>
      <c r="C4" t="s">
        <v>776</v>
      </c>
      <c r="D4" t="s">
        <v>770</v>
      </c>
    </row>
    <row r="5" spans="1:4" x14ac:dyDescent="0.2">
      <c r="A5" t="s">
        <v>379</v>
      </c>
      <c r="B5" t="s">
        <v>739</v>
      </c>
      <c r="C5" t="s">
        <v>776</v>
      </c>
      <c r="D5" t="s">
        <v>770</v>
      </c>
    </row>
    <row r="6" spans="1:4" x14ac:dyDescent="0.2">
      <c r="A6" t="s">
        <v>346</v>
      </c>
      <c r="B6" t="s">
        <v>739</v>
      </c>
      <c r="C6" t="s">
        <v>776</v>
      </c>
      <c r="D6" t="s">
        <v>770</v>
      </c>
    </row>
    <row r="7" spans="1:4" x14ac:dyDescent="0.2">
      <c r="A7" t="s">
        <v>380</v>
      </c>
      <c r="B7" t="s">
        <v>739</v>
      </c>
      <c r="C7" t="s">
        <v>776</v>
      </c>
      <c r="D7" t="s">
        <v>770</v>
      </c>
    </row>
    <row r="8" spans="1:4" x14ac:dyDescent="0.2">
      <c r="A8" t="s">
        <v>381</v>
      </c>
      <c r="B8" t="s">
        <v>739</v>
      </c>
      <c r="C8" t="s">
        <v>776</v>
      </c>
      <c r="D8" t="s">
        <v>770</v>
      </c>
    </row>
    <row r="9" spans="1:4" x14ac:dyDescent="0.2">
      <c r="A9" t="s">
        <v>382</v>
      </c>
      <c r="B9" t="s">
        <v>739</v>
      </c>
      <c r="C9" t="s">
        <v>776</v>
      </c>
      <c r="D9" t="s">
        <v>770</v>
      </c>
    </row>
    <row r="10" spans="1:4" x14ac:dyDescent="0.2">
      <c r="A10" t="s">
        <v>383</v>
      </c>
      <c r="B10" t="s">
        <v>739</v>
      </c>
      <c r="C10" t="s">
        <v>776</v>
      </c>
      <c r="D10" t="s">
        <v>770</v>
      </c>
    </row>
    <row r="11" spans="1:4" x14ac:dyDescent="0.2">
      <c r="A11" t="s">
        <v>350</v>
      </c>
      <c r="B11" t="s">
        <v>739</v>
      </c>
      <c r="C11" t="s">
        <v>776</v>
      </c>
      <c r="D11" t="s">
        <v>770</v>
      </c>
    </row>
    <row r="12" spans="1:4" x14ac:dyDescent="0.2">
      <c r="A12" t="s">
        <v>256</v>
      </c>
      <c r="B12" t="s">
        <v>739</v>
      </c>
      <c r="C12" t="s">
        <v>776</v>
      </c>
      <c r="D12" t="s">
        <v>770</v>
      </c>
    </row>
    <row r="13" spans="1:4" x14ac:dyDescent="0.2">
      <c r="A13" t="s">
        <v>164</v>
      </c>
      <c r="B13" t="s">
        <v>739</v>
      </c>
      <c r="C13" t="s">
        <v>776</v>
      </c>
      <c r="D13" t="s">
        <v>770</v>
      </c>
    </row>
    <row r="14" spans="1:4" x14ac:dyDescent="0.2">
      <c r="A14" t="s">
        <v>165</v>
      </c>
      <c r="B14" t="s">
        <v>739</v>
      </c>
      <c r="C14" t="s">
        <v>776</v>
      </c>
      <c r="D14" t="s">
        <v>770</v>
      </c>
    </row>
    <row r="15" spans="1:4" x14ac:dyDescent="0.2">
      <c r="A15" t="s">
        <v>386</v>
      </c>
      <c r="B15" t="s">
        <v>739</v>
      </c>
      <c r="C15" t="s">
        <v>776</v>
      </c>
      <c r="D15" t="s">
        <v>770</v>
      </c>
    </row>
    <row r="16" spans="1:4" x14ac:dyDescent="0.2">
      <c r="A16" t="s">
        <v>387</v>
      </c>
      <c r="B16" t="s">
        <v>739</v>
      </c>
      <c r="C16" t="s">
        <v>776</v>
      </c>
      <c r="D16" t="s">
        <v>770</v>
      </c>
    </row>
    <row r="17" spans="1:4" x14ac:dyDescent="0.2">
      <c r="A17" t="s">
        <v>388</v>
      </c>
      <c r="B17" t="s">
        <v>739</v>
      </c>
      <c r="C17" t="s">
        <v>776</v>
      </c>
      <c r="D17" t="s">
        <v>770</v>
      </c>
    </row>
    <row r="18" spans="1:4" x14ac:dyDescent="0.2">
      <c r="A18" t="s">
        <v>390</v>
      </c>
      <c r="B18" t="s">
        <v>739</v>
      </c>
      <c r="C18" t="s">
        <v>776</v>
      </c>
      <c r="D18" t="s">
        <v>770</v>
      </c>
    </row>
    <row r="19" spans="1:4" x14ac:dyDescent="0.2">
      <c r="A19" t="s">
        <v>391</v>
      </c>
      <c r="B19" t="s">
        <v>739</v>
      </c>
      <c r="C19" t="s">
        <v>776</v>
      </c>
      <c r="D19" t="s">
        <v>770</v>
      </c>
    </row>
    <row r="20" spans="1:4" x14ac:dyDescent="0.2">
      <c r="A20" t="s">
        <v>393</v>
      </c>
      <c r="B20" t="s">
        <v>739</v>
      </c>
      <c r="C20" t="s">
        <v>776</v>
      </c>
      <c r="D20" t="s">
        <v>770</v>
      </c>
    </row>
    <row r="21" spans="1:4" x14ac:dyDescent="0.2">
      <c r="A21" t="s">
        <v>394</v>
      </c>
      <c r="B21" t="s">
        <v>739</v>
      </c>
      <c r="C21" t="s">
        <v>776</v>
      </c>
      <c r="D21" t="s">
        <v>770</v>
      </c>
    </row>
    <row r="22" spans="1:4" x14ac:dyDescent="0.2">
      <c r="A22" t="s">
        <v>395</v>
      </c>
      <c r="B22" t="s">
        <v>739</v>
      </c>
      <c r="C22" t="s">
        <v>776</v>
      </c>
      <c r="D22" t="s">
        <v>770</v>
      </c>
    </row>
    <row r="23" spans="1:4" x14ac:dyDescent="0.2">
      <c r="A23" t="s">
        <v>396</v>
      </c>
      <c r="B23" t="s">
        <v>739</v>
      </c>
      <c r="C23" t="s">
        <v>776</v>
      </c>
      <c r="D23" t="s">
        <v>770</v>
      </c>
    </row>
    <row r="24" spans="1:4" x14ac:dyDescent="0.2">
      <c r="A24" t="s">
        <v>397</v>
      </c>
      <c r="B24" t="s">
        <v>739</v>
      </c>
      <c r="C24" t="s">
        <v>776</v>
      </c>
      <c r="D24" t="s">
        <v>770</v>
      </c>
    </row>
    <row r="25" spans="1:4" x14ac:dyDescent="0.2">
      <c r="A25" t="s">
        <v>398</v>
      </c>
      <c r="B25" t="s">
        <v>739</v>
      </c>
      <c r="C25" t="s">
        <v>776</v>
      </c>
      <c r="D25" t="s">
        <v>770</v>
      </c>
    </row>
    <row r="26" spans="1:4" x14ac:dyDescent="0.2">
      <c r="A26" t="s">
        <v>399</v>
      </c>
      <c r="B26" t="s">
        <v>739</v>
      </c>
      <c r="C26" t="s">
        <v>776</v>
      </c>
      <c r="D26" t="s">
        <v>770</v>
      </c>
    </row>
    <row r="27" spans="1:4" x14ac:dyDescent="0.2">
      <c r="A27" t="s">
        <v>400</v>
      </c>
      <c r="B27" t="s">
        <v>739</v>
      </c>
      <c r="C27" t="s">
        <v>776</v>
      </c>
      <c r="D27" t="s">
        <v>770</v>
      </c>
    </row>
    <row r="28" spans="1:4" x14ac:dyDescent="0.2">
      <c r="A28" t="s">
        <v>401</v>
      </c>
      <c r="B28" t="s">
        <v>739</v>
      </c>
      <c r="C28" t="s">
        <v>776</v>
      </c>
      <c r="D28" t="s">
        <v>770</v>
      </c>
    </row>
    <row r="29" spans="1:4" x14ac:dyDescent="0.2">
      <c r="A29" t="s">
        <v>402</v>
      </c>
      <c r="B29" t="s">
        <v>739</v>
      </c>
      <c r="C29" t="s">
        <v>776</v>
      </c>
      <c r="D29" t="s">
        <v>770</v>
      </c>
    </row>
    <row r="30" spans="1:4" x14ac:dyDescent="0.2">
      <c r="A30" t="s">
        <v>403</v>
      </c>
      <c r="B30" t="s">
        <v>739</v>
      </c>
      <c r="C30" t="s">
        <v>776</v>
      </c>
      <c r="D30" t="s">
        <v>770</v>
      </c>
    </row>
    <row r="31" spans="1:4" x14ac:dyDescent="0.2">
      <c r="A31" t="s">
        <v>404</v>
      </c>
      <c r="B31" t="s">
        <v>739</v>
      </c>
      <c r="C31" t="s">
        <v>776</v>
      </c>
      <c r="D31" t="s">
        <v>770</v>
      </c>
    </row>
    <row r="32" spans="1:4" x14ac:dyDescent="0.2">
      <c r="A32" t="s">
        <v>405</v>
      </c>
      <c r="B32" t="s">
        <v>739</v>
      </c>
      <c r="C32" t="s">
        <v>776</v>
      </c>
      <c r="D32" t="s">
        <v>770</v>
      </c>
    </row>
    <row r="33" spans="1:4" x14ac:dyDescent="0.2">
      <c r="A33" t="s">
        <v>406</v>
      </c>
      <c r="B33" t="s">
        <v>739</v>
      </c>
      <c r="C33" t="s">
        <v>776</v>
      </c>
      <c r="D33" t="s">
        <v>770</v>
      </c>
    </row>
    <row r="34" spans="1:4" x14ac:dyDescent="0.2">
      <c r="A34" t="s">
        <v>407</v>
      </c>
      <c r="B34" t="s">
        <v>739</v>
      </c>
      <c r="C34" t="s">
        <v>776</v>
      </c>
      <c r="D34" t="s">
        <v>770</v>
      </c>
    </row>
    <row r="35" spans="1:4" x14ac:dyDescent="0.2">
      <c r="A35" t="s">
        <v>408</v>
      </c>
      <c r="B35" t="s">
        <v>739</v>
      </c>
      <c r="C35" t="s">
        <v>776</v>
      </c>
      <c r="D35" t="s">
        <v>770</v>
      </c>
    </row>
    <row r="36" spans="1:4" x14ac:dyDescent="0.2">
      <c r="A36" t="s">
        <v>409</v>
      </c>
      <c r="B36" t="s">
        <v>739</v>
      </c>
      <c r="C36" t="s">
        <v>776</v>
      </c>
      <c r="D36" t="s">
        <v>770</v>
      </c>
    </row>
    <row r="37" spans="1:4" x14ac:dyDescent="0.2">
      <c r="A37" t="s">
        <v>410</v>
      </c>
      <c r="B37" t="s">
        <v>739</v>
      </c>
      <c r="C37" t="s">
        <v>776</v>
      </c>
      <c r="D37" t="s">
        <v>770</v>
      </c>
    </row>
    <row r="38" spans="1:4" x14ac:dyDescent="0.2">
      <c r="A38" t="s">
        <v>167</v>
      </c>
      <c r="B38" t="s">
        <v>739</v>
      </c>
      <c r="C38" t="s">
        <v>776</v>
      </c>
      <c r="D38" t="s">
        <v>770</v>
      </c>
    </row>
    <row r="39" spans="1:4" x14ac:dyDescent="0.2">
      <c r="A39" t="s">
        <v>411</v>
      </c>
      <c r="B39" t="s">
        <v>739</v>
      </c>
      <c r="C39" t="s">
        <v>776</v>
      </c>
      <c r="D39" t="s">
        <v>770</v>
      </c>
    </row>
    <row r="40" spans="1:4" x14ac:dyDescent="0.2">
      <c r="A40" t="s">
        <v>412</v>
      </c>
      <c r="B40" t="s">
        <v>739</v>
      </c>
      <c r="C40" t="s">
        <v>776</v>
      </c>
      <c r="D40" t="s">
        <v>770</v>
      </c>
    </row>
    <row r="41" spans="1:4" x14ac:dyDescent="0.2">
      <c r="A41" t="s">
        <v>413</v>
      </c>
      <c r="B41" t="s">
        <v>739</v>
      </c>
      <c r="C41" t="s">
        <v>776</v>
      </c>
      <c r="D41" t="s">
        <v>770</v>
      </c>
    </row>
    <row r="42" spans="1:4" x14ac:dyDescent="0.2">
      <c r="A42" t="s">
        <v>414</v>
      </c>
      <c r="B42" t="s">
        <v>739</v>
      </c>
      <c r="C42" t="s">
        <v>776</v>
      </c>
      <c r="D42" t="s">
        <v>770</v>
      </c>
    </row>
    <row r="43" spans="1:4" x14ac:dyDescent="0.2">
      <c r="A43" t="s">
        <v>415</v>
      </c>
      <c r="B43" t="s">
        <v>739</v>
      </c>
      <c r="C43" t="s">
        <v>776</v>
      </c>
      <c r="D43" t="s">
        <v>770</v>
      </c>
    </row>
    <row r="44" spans="1:4" x14ac:dyDescent="0.2">
      <c r="A44" t="s">
        <v>416</v>
      </c>
      <c r="B44" t="s">
        <v>739</v>
      </c>
      <c r="C44" t="s">
        <v>776</v>
      </c>
      <c r="D44" t="s">
        <v>770</v>
      </c>
    </row>
    <row r="45" spans="1:4" x14ac:dyDescent="0.2">
      <c r="A45" t="s">
        <v>417</v>
      </c>
      <c r="B45" t="s">
        <v>739</v>
      </c>
      <c r="C45" t="s">
        <v>776</v>
      </c>
      <c r="D45" t="s">
        <v>770</v>
      </c>
    </row>
    <row r="46" spans="1:4" x14ac:dyDescent="0.2">
      <c r="A46" t="s">
        <v>418</v>
      </c>
      <c r="B46" t="s">
        <v>739</v>
      </c>
      <c r="C46" t="s">
        <v>776</v>
      </c>
      <c r="D46" t="s">
        <v>770</v>
      </c>
    </row>
    <row r="47" spans="1:4" x14ac:dyDescent="0.2">
      <c r="A47" t="s">
        <v>419</v>
      </c>
      <c r="B47" t="s">
        <v>739</v>
      </c>
      <c r="C47" t="s">
        <v>776</v>
      </c>
      <c r="D47" t="s">
        <v>770</v>
      </c>
    </row>
    <row r="48" spans="1:4" x14ac:dyDescent="0.2">
      <c r="A48" t="s">
        <v>420</v>
      </c>
      <c r="B48" t="s">
        <v>739</v>
      </c>
      <c r="C48" t="s">
        <v>776</v>
      </c>
      <c r="D48" t="s">
        <v>770</v>
      </c>
    </row>
    <row r="49" spans="1:4" x14ac:dyDescent="0.2">
      <c r="A49" t="s">
        <v>421</v>
      </c>
      <c r="B49" t="s">
        <v>739</v>
      </c>
      <c r="C49" t="s">
        <v>776</v>
      </c>
      <c r="D49" t="s">
        <v>770</v>
      </c>
    </row>
    <row r="50" spans="1:4" x14ac:dyDescent="0.2">
      <c r="A50" t="s">
        <v>422</v>
      </c>
      <c r="B50" t="s">
        <v>739</v>
      </c>
      <c r="C50" t="s">
        <v>776</v>
      </c>
      <c r="D50" t="s">
        <v>770</v>
      </c>
    </row>
    <row r="51" spans="1:4" x14ac:dyDescent="0.2">
      <c r="A51" t="s">
        <v>423</v>
      </c>
      <c r="B51" t="s">
        <v>739</v>
      </c>
      <c r="C51" t="s">
        <v>776</v>
      </c>
      <c r="D51" t="s">
        <v>770</v>
      </c>
    </row>
    <row r="52" spans="1:4" x14ac:dyDescent="0.2">
      <c r="A52" t="s">
        <v>424</v>
      </c>
      <c r="B52" t="s">
        <v>739</v>
      </c>
      <c r="C52" t="s">
        <v>776</v>
      </c>
      <c r="D52" t="s">
        <v>770</v>
      </c>
    </row>
    <row r="53" spans="1:4" x14ac:dyDescent="0.2">
      <c r="A53" t="s">
        <v>179</v>
      </c>
      <c r="B53" t="s">
        <v>739</v>
      </c>
      <c r="C53" t="s">
        <v>776</v>
      </c>
      <c r="D53" t="s">
        <v>770</v>
      </c>
    </row>
    <row r="54" spans="1:4" x14ac:dyDescent="0.2">
      <c r="A54" t="s">
        <v>425</v>
      </c>
      <c r="B54" t="s">
        <v>739</v>
      </c>
      <c r="C54" t="s">
        <v>776</v>
      </c>
      <c r="D54" t="s">
        <v>770</v>
      </c>
    </row>
    <row r="55" spans="1:4" x14ac:dyDescent="0.2">
      <c r="A55" t="s">
        <v>426</v>
      </c>
      <c r="B55" t="s">
        <v>739</v>
      </c>
      <c r="C55" t="s">
        <v>776</v>
      </c>
      <c r="D55" t="s">
        <v>770</v>
      </c>
    </row>
    <row r="56" spans="1:4" x14ac:dyDescent="0.2">
      <c r="A56" t="s">
        <v>209</v>
      </c>
      <c r="B56" t="s">
        <v>739</v>
      </c>
      <c r="C56" t="s">
        <v>776</v>
      </c>
      <c r="D56" t="s">
        <v>770</v>
      </c>
    </row>
    <row r="57" spans="1:4" x14ac:dyDescent="0.2">
      <c r="A57" t="s">
        <v>212</v>
      </c>
      <c r="B57" t="s">
        <v>739</v>
      </c>
      <c r="C57" t="s">
        <v>776</v>
      </c>
      <c r="D57" t="s">
        <v>770</v>
      </c>
    </row>
    <row r="58" spans="1:4" x14ac:dyDescent="0.2">
      <c r="A58" t="s">
        <v>203</v>
      </c>
      <c r="B58" t="s">
        <v>739</v>
      </c>
      <c r="C58" t="s">
        <v>776</v>
      </c>
      <c r="D58" t="s">
        <v>770</v>
      </c>
    </row>
    <row r="59" spans="1:4" x14ac:dyDescent="0.2">
      <c r="A59" t="s">
        <v>427</v>
      </c>
      <c r="B59" t="s">
        <v>739</v>
      </c>
      <c r="C59" t="s">
        <v>776</v>
      </c>
      <c r="D59" t="s">
        <v>770</v>
      </c>
    </row>
    <row r="60" spans="1:4" x14ac:dyDescent="0.2">
      <c r="A60" t="s">
        <v>428</v>
      </c>
      <c r="B60" t="s">
        <v>739</v>
      </c>
      <c r="C60" t="s">
        <v>776</v>
      </c>
      <c r="D60" t="s">
        <v>770</v>
      </c>
    </row>
    <row r="61" spans="1:4" x14ac:dyDescent="0.2">
      <c r="A61" t="s">
        <v>429</v>
      </c>
      <c r="B61" t="s">
        <v>739</v>
      </c>
      <c r="C61" t="s">
        <v>776</v>
      </c>
      <c r="D61" t="s">
        <v>770</v>
      </c>
    </row>
    <row r="62" spans="1:4" x14ac:dyDescent="0.2">
      <c r="A62" t="s">
        <v>430</v>
      </c>
      <c r="B62" t="s">
        <v>739</v>
      </c>
      <c r="C62" t="s">
        <v>776</v>
      </c>
      <c r="D62" t="s">
        <v>770</v>
      </c>
    </row>
    <row r="63" spans="1:4" x14ac:dyDescent="0.2">
      <c r="A63" t="s">
        <v>431</v>
      </c>
      <c r="B63" t="s">
        <v>739</v>
      </c>
      <c r="C63" t="s">
        <v>776</v>
      </c>
      <c r="D63" t="s">
        <v>770</v>
      </c>
    </row>
    <row r="64" spans="1:4" x14ac:dyDescent="0.2">
      <c r="A64" t="s">
        <v>432</v>
      </c>
      <c r="B64" t="s">
        <v>739</v>
      </c>
      <c r="C64" t="s">
        <v>776</v>
      </c>
      <c r="D64" t="s">
        <v>770</v>
      </c>
    </row>
    <row r="65" spans="1:7" x14ac:dyDescent="0.2">
      <c r="A65" t="s">
        <v>434</v>
      </c>
      <c r="B65" t="s">
        <v>739</v>
      </c>
      <c r="C65" t="s">
        <v>1427</v>
      </c>
      <c r="D65" t="s">
        <v>1428</v>
      </c>
      <c r="G65" t="s">
        <v>441</v>
      </c>
    </row>
    <row r="66" spans="1:7" x14ac:dyDescent="0.2">
      <c r="A66" t="s">
        <v>435</v>
      </c>
      <c r="B66" t="s">
        <v>739</v>
      </c>
      <c r="C66" t="s">
        <v>1427</v>
      </c>
      <c r="D66" t="s">
        <v>1428</v>
      </c>
      <c r="G66" t="s">
        <v>442</v>
      </c>
    </row>
    <row r="67" spans="1:7" x14ac:dyDescent="0.2">
      <c r="A67" t="s">
        <v>436</v>
      </c>
      <c r="B67" t="s">
        <v>739</v>
      </c>
      <c r="C67" t="s">
        <v>1427</v>
      </c>
      <c r="D67" t="s">
        <v>1428</v>
      </c>
      <c r="G67" t="s">
        <v>451</v>
      </c>
    </row>
    <row r="68" spans="1:7" x14ac:dyDescent="0.2">
      <c r="A68" t="s">
        <v>437</v>
      </c>
      <c r="B68" t="s">
        <v>739</v>
      </c>
      <c r="C68" t="s">
        <v>1427</v>
      </c>
      <c r="D68" t="s">
        <v>1428</v>
      </c>
      <c r="G68" t="s">
        <v>452</v>
      </c>
    </row>
    <row r="69" spans="1:7" x14ac:dyDescent="0.2">
      <c r="A69" t="s">
        <v>438</v>
      </c>
      <c r="B69" t="s">
        <v>739</v>
      </c>
      <c r="C69" t="s">
        <v>1427</v>
      </c>
      <c r="D69" t="s">
        <v>1428</v>
      </c>
      <c r="G69" t="s">
        <v>461</v>
      </c>
    </row>
    <row r="70" spans="1:7" x14ac:dyDescent="0.2">
      <c r="A70" t="s">
        <v>439</v>
      </c>
      <c r="B70" t="s">
        <v>739</v>
      </c>
      <c r="C70" t="s">
        <v>1427</v>
      </c>
      <c r="D70" t="s">
        <v>1428</v>
      </c>
      <c r="G70" t="s">
        <v>462</v>
      </c>
    </row>
    <row r="71" spans="1:7" x14ac:dyDescent="0.2">
      <c r="A71" t="s">
        <v>440</v>
      </c>
      <c r="B71" t="s">
        <v>739</v>
      </c>
      <c r="C71" t="s">
        <v>1427</v>
      </c>
      <c r="D71" t="s">
        <v>1428</v>
      </c>
      <c r="G71" t="s">
        <v>277</v>
      </c>
    </row>
    <row r="72" spans="1:7" x14ac:dyDescent="0.2">
      <c r="A72" t="s">
        <v>441</v>
      </c>
      <c r="B72" t="s">
        <v>739</v>
      </c>
      <c r="C72" t="s">
        <v>776</v>
      </c>
      <c r="D72" t="s">
        <v>770</v>
      </c>
    </row>
    <row r="73" spans="1:7" x14ac:dyDescent="0.2">
      <c r="A73" t="s">
        <v>442</v>
      </c>
      <c r="B73" t="s">
        <v>739</v>
      </c>
      <c r="C73" t="s">
        <v>776</v>
      </c>
      <c r="D73" t="s">
        <v>770</v>
      </c>
    </row>
    <row r="74" spans="1:7" x14ac:dyDescent="0.2">
      <c r="A74" t="s">
        <v>443</v>
      </c>
      <c r="B74" t="s">
        <v>739</v>
      </c>
      <c r="C74" t="s">
        <v>1427</v>
      </c>
      <c r="D74" t="s">
        <v>1428</v>
      </c>
      <c r="G74" t="s">
        <v>312</v>
      </c>
    </row>
    <row r="75" spans="1:7" x14ac:dyDescent="0.2">
      <c r="A75" t="s">
        <v>444</v>
      </c>
      <c r="B75" t="s">
        <v>739</v>
      </c>
      <c r="C75" t="s">
        <v>1427</v>
      </c>
      <c r="D75" t="s">
        <v>1428</v>
      </c>
      <c r="G75" t="s">
        <v>314</v>
      </c>
    </row>
    <row r="76" spans="1:7" x14ac:dyDescent="0.2">
      <c r="A76" t="s">
        <v>445</v>
      </c>
      <c r="B76" t="s">
        <v>739</v>
      </c>
      <c r="C76" t="s">
        <v>1427</v>
      </c>
      <c r="D76" t="s">
        <v>1428</v>
      </c>
      <c r="G76" t="s">
        <v>315</v>
      </c>
    </row>
    <row r="77" spans="1:7" x14ac:dyDescent="0.2">
      <c r="A77" t="s">
        <v>446</v>
      </c>
      <c r="B77" t="s">
        <v>739</v>
      </c>
      <c r="C77" t="s">
        <v>1427</v>
      </c>
      <c r="D77" t="s">
        <v>1428</v>
      </c>
      <c r="G77" t="s">
        <v>297</v>
      </c>
    </row>
    <row r="78" spans="1:7" x14ac:dyDescent="0.2">
      <c r="A78" t="s">
        <v>447</v>
      </c>
      <c r="B78" t="s">
        <v>739</v>
      </c>
      <c r="C78" t="s">
        <v>1427</v>
      </c>
      <c r="D78" t="s">
        <v>1428</v>
      </c>
      <c r="G78" t="s">
        <v>290</v>
      </c>
    </row>
    <row r="79" spans="1:7" x14ac:dyDescent="0.2">
      <c r="A79" t="s">
        <v>448</v>
      </c>
      <c r="B79" t="s">
        <v>739</v>
      </c>
      <c r="C79" t="s">
        <v>1427</v>
      </c>
      <c r="D79" t="s">
        <v>1428</v>
      </c>
      <c r="G79" t="s">
        <v>159</v>
      </c>
    </row>
    <row r="80" spans="1:7" x14ac:dyDescent="0.2">
      <c r="A80" t="s">
        <v>449</v>
      </c>
      <c r="B80" t="s">
        <v>739</v>
      </c>
      <c r="C80" t="s">
        <v>1427</v>
      </c>
      <c r="D80" t="s">
        <v>1428</v>
      </c>
      <c r="G80" t="s">
        <v>298</v>
      </c>
    </row>
    <row r="81" spans="1:7" x14ac:dyDescent="0.2">
      <c r="A81" t="s">
        <v>450</v>
      </c>
      <c r="B81" t="s">
        <v>739</v>
      </c>
      <c r="C81" t="s">
        <v>1427</v>
      </c>
      <c r="D81" t="s">
        <v>1428</v>
      </c>
      <c r="G81" t="s">
        <v>299</v>
      </c>
    </row>
    <row r="82" spans="1:7" x14ac:dyDescent="0.2">
      <c r="A82" t="s">
        <v>451</v>
      </c>
      <c r="B82" t="s">
        <v>739</v>
      </c>
      <c r="C82" t="s">
        <v>776</v>
      </c>
      <c r="D82" t="s">
        <v>770</v>
      </c>
    </row>
    <row r="83" spans="1:7" x14ac:dyDescent="0.2">
      <c r="A83" t="s">
        <v>452</v>
      </c>
      <c r="B83" t="s">
        <v>739</v>
      </c>
      <c r="C83" t="s">
        <v>776</v>
      </c>
      <c r="D83" t="s">
        <v>770</v>
      </c>
    </row>
    <row r="84" spans="1:7" x14ac:dyDescent="0.2">
      <c r="A84" t="s">
        <v>453</v>
      </c>
      <c r="B84" t="s">
        <v>739</v>
      </c>
      <c r="C84" t="s">
        <v>1427</v>
      </c>
      <c r="D84" t="s">
        <v>1428</v>
      </c>
      <c r="G84" t="s">
        <v>467</v>
      </c>
    </row>
    <row r="85" spans="1:7" x14ac:dyDescent="0.2">
      <c r="A85" t="s">
        <v>454</v>
      </c>
      <c r="B85" t="s">
        <v>739</v>
      </c>
      <c r="C85" t="s">
        <v>1427</v>
      </c>
      <c r="D85" t="s">
        <v>1428</v>
      </c>
      <c r="G85" t="s">
        <v>468</v>
      </c>
    </row>
    <row r="86" spans="1:7" x14ac:dyDescent="0.2">
      <c r="A86" t="s">
        <v>455</v>
      </c>
      <c r="B86" t="s">
        <v>739</v>
      </c>
      <c r="C86" t="s">
        <v>1427</v>
      </c>
      <c r="D86" t="s">
        <v>1428</v>
      </c>
      <c r="G86" t="s">
        <v>269</v>
      </c>
    </row>
    <row r="87" spans="1:7" x14ac:dyDescent="0.2">
      <c r="A87" t="s">
        <v>456</v>
      </c>
      <c r="B87" t="s">
        <v>739</v>
      </c>
      <c r="C87" t="s">
        <v>1427</v>
      </c>
      <c r="D87" t="s">
        <v>1428</v>
      </c>
      <c r="G87" t="s">
        <v>470</v>
      </c>
    </row>
    <row r="88" spans="1:7" x14ac:dyDescent="0.2">
      <c r="A88" t="s">
        <v>457</v>
      </c>
      <c r="B88" t="s">
        <v>739</v>
      </c>
      <c r="C88" t="s">
        <v>1427</v>
      </c>
      <c r="D88" t="s">
        <v>1428</v>
      </c>
      <c r="G88" t="s">
        <v>352</v>
      </c>
    </row>
    <row r="89" spans="1:7" x14ac:dyDescent="0.2">
      <c r="A89" t="s">
        <v>458</v>
      </c>
      <c r="B89" t="s">
        <v>739</v>
      </c>
      <c r="C89" t="s">
        <v>1427</v>
      </c>
      <c r="D89" t="s">
        <v>1428</v>
      </c>
      <c r="G89" t="s">
        <v>360</v>
      </c>
    </row>
    <row r="90" spans="1:7" x14ac:dyDescent="0.2">
      <c r="A90" t="s">
        <v>459</v>
      </c>
      <c r="B90" t="s">
        <v>739</v>
      </c>
      <c r="C90" t="s">
        <v>1427</v>
      </c>
      <c r="D90" t="s">
        <v>1428</v>
      </c>
      <c r="G90" t="s">
        <v>276</v>
      </c>
    </row>
    <row r="91" spans="1:7" x14ac:dyDescent="0.2">
      <c r="A91" t="s">
        <v>460</v>
      </c>
      <c r="B91" t="s">
        <v>739</v>
      </c>
      <c r="C91" t="s">
        <v>1427</v>
      </c>
      <c r="D91" t="s">
        <v>1428</v>
      </c>
      <c r="G91" t="s">
        <v>471</v>
      </c>
    </row>
    <row r="92" spans="1:7" x14ac:dyDescent="0.2">
      <c r="A92" t="s">
        <v>461</v>
      </c>
      <c r="B92" t="s">
        <v>739</v>
      </c>
      <c r="C92" t="s">
        <v>776</v>
      </c>
      <c r="D92" t="s">
        <v>770</v>
      </c>
    </row>
    <row r="93" spans="1:7" x14ac:dyDescent="0.2">
      <c r="A93" t="s">
        <v>462</v>
      </c>
      <c r="B93" t="s">
        <v>739</v>
      </c>
      <c r="C93" t="s">
        <v>776</v>
      </c>
      <c r="D93" t="s">
        <v>770</v>
      </c>
    </row>
    <row r="94" spans="1:7" x14ac:dyDescent="0.2">
      <c r="A94" t="s">
        <v>463</v>
      </c>
      <c r="B94" t="s">
        <v>739</v>
      </c>
      <c r="C94" t="s">
        <v>1427</v>
      </c>
      <c r="D94" t="s">
        <v>1428</v>
      </c>
      <c r="G94" t="s">
        <v>473</v>
      </c>
    </row>
    <row r="95" spans="1:7" x14ac:dyDescent="0.2">
      <c r="A95" t="s">
        <v>277</v>
      </c>
      <c r="B95" t="s">
        <v>739</v>
      </c>
      <c r="C95" t="s">
        <v>776</v>
      </c>
      <c r="D95" t="s">
        <v>770</v>
      </c>
    </row>
    <row r="96" spans="1:7" x14ac:dyDescent="0.2">
      <c r="A96" t="s">
        <v>263</v>
      </c>
      <c r="B96" t="s">
        <v>739</v>
      </c>
      <c r="C96" t="s">
        <v>776</v>
      </c>
      <c r="D96" t="s">
        <v>770</v>
      </c>
    </row>
    <row r="97" spans="1:4" x14ac:dyDescent="0.2">
      <c r="A97" t="s">
        <v>313</v>
      </c>
      <c r="B97" t="s">
        <v>739</v>
      </c>
      <c r="C97" t="s">
        <v>776</v>
      </c>
      <c r="D97" t="s">
        <v>770</v>
      </c>
    </row>
    <row r="98" spans="1:4" x14ac:dyDescent="0.2">
      <c r="A98" t="s">
        <v>312</v>
      </c>
      <c r="B98" t="s">
        <v>739</v>
      </c>
      <c r="C98" t="s">
        <v>776</v>
      </c>
      <c r="D98" t="s">
        <v>770</v>
      </c>
    </row>
    <row r="99" spans="1:4" x14ac:dyDescent="0.2">
      <c r="A99" t="s">
        <v>314</v>
      </c>
      <c r="B99" t="s">
        <v>739</v>
      </c>
      <c r="C99" t="s">
        <v>776</v>
      </c>
      <c r="D99" t="s">
        <v>770</v>
      </c>
    </row>
    <row r="100" spans="1:4" x14ac:dyDescent="0.2">
      <c r="A100" t="s">
        <v>315</v>
      </c>
      <c r="B100" t="s">
        <v>739</v>
      </c>
      <c r="C100" t="s">
        <v>776</v>
      </c>
      <c r="D100" t="s">
        <v>770</v>
      </c>
    </row>
    <row r="101" spans="1:4" x14ac:dyDescent="0.2">
      <c r="A101" t="s">
        <v>297</v>
      </c>
      <c r="B101" t="s">
        <v>739</v>
      </c>
      <c r="C101" t="s">
        <v>776</v>
      </c>
      <c r="D101" t="s">
        <v>770</v>
      </c>
    </row>
    <row r="102" spans="1:4" x14ac:dyDescent="0.2">
      <c r="A102" t="s">
        <v>290</v>
      </c>
      <c r="B102" t="s">
        <v>739</v>
      </c>
      <c r="C102" t="s">
        <v>776</v>
      </c>
      <c r="D102" t="s">
        <v>770</v>
      </c>
    </row>
    <row r="103" spans="1:4" x14ac:dyDescent="0.2">
      <c r="A103" t="s">
        <v>159</v>
      </c>
      <c r="B103" t="s">
        <v>739</v>
      </c>
      <c r="C103" t="s">
        <v>776</v>
      </c>
      <c r="D103" t="s">
        <v>770</v>
      </c>
    </row>
    <row r="104" spans="1:4" x14ac:dyDescent="0.2">
      <c r="A104" t="s">
        <v>298</v>
      </c>
      <c r="B104" t="s">
        <v>739</v>
      </c>
      <c r="C104" t="s">
        <v>776</v>
      </c>
      <c r="D104" t="s">
        <v>770</v>
      </c>
    </row>
    <row r="105" spans="1:4" x14ac:dyDescent="0.2">
      <c r="A105" t="s">
        <v>299</v>
      </c>
      <c r="B105" t="s">
        <v>739</v>
      </c>
      <c r="C105" t="s">
        <v>776</v>
      </c>
      <c r="D105" t="s">
        <v>770</v>
      </c>
    </row>
    <row r="106" spans="1:4" x14ac:dyDescent="0.2">
      <c r="A106" t="s">
        <v>464</v>
      </c>
      <c r="B106" t="s">
        <v>739</v>
      </c>
      <c r="C106" t="s">
        <v>776</v>
      </c>
      <c r="D106" t="s">
        <v>770</v>
      </c>
    </row>
    <row r="107" spans="1:4" x14ac:dyDescent="0.2">
      <c r="A107" t="s">
        <v>466</v>
      </c>
      <c r="B107" t="s">
        <v>739</v>
      </c>
      <c r="C107" t="s">
        <v>776</v>
      </c>
      <c r="D107" t="s">
        <v>770</v>
      </c>
    </row>
    <row r="108" spans="1:4" x14ac:dyDescent="0.2">
      <c r="A108" t="s">
        <v>467</v>
      </c>
      <c r="B108" t="s">
        <v>739</v>
      </c>
      <c r="C108" t="s">
        <v>776</v>
      </c>
      <c r="D108" t="s">
        <v>770</v>
      </c>
    </row>
    <row r="109" spans="1:4" x14ac:dyDescent="0.2">
      <c r="A109" t="s">
        <v>468</v>
      </c>
      <c r="B109" t="s">
        <v>739</v>
      </c>
      <c r="C109" t="s">
        <v>776</v>
      </c>
      <c r="D109" t="s">
        <v>770</v>
      </c>
    </row>
    <row r="110" spans="1:4" x14ac:dyDescent="0.2">
      <c r="A110" t="s">
        <v>269</v>
      </c>
      <c r="B110" t="s">
        <v>739</v>
      </c>
      <c r="C110" t="s">
        <v>776</v>
      </c>
      <c r="D110" t="s">
        <v>770</v>
      </c>
    </row>
    <row r="111" spans="1:4" x14ac:dyDescent="0.2">
      <c r="A111" t="s">
        <v>470</v>
      </c>
      <c r="B111" t="s">
        <v>739</v>
      </c>
      <c r="C111" t="s">
        <v>776</v>
      </c>
      <c r="D111" t="s">
        <v>770</v>
      </c>
    </row>
    <row r="112" spans="1:4" x14ac:dyDescent="0.2">
      <c r="A112" t="s">
        <v>352</v>
      </c>
      <c r="B112" t="s">
        <v>739</v>
      </c>
      <c r="C112" t="s">
        <v>776</v>
      </c>
      <c r="D112" t="s">
        <v>770</v>
      </c>
    </row>
    <row r="113" spans="1:4" x14ac:dyDescent="0.2">
      <c r="A113" t="s">
        <v>360</v>
      </c>
      <c r="B113" t="s">
        <v>739</v>
      </c>
      <c r="C113" t="s">
        <v>776</v>
      </c>
      <c r="D113" t="s">
        <v>770</v>
      </c>
    </row>
    <row r="114" spans="1:4" x14ac:dyDescent="0.2">
      <c r="A114" t="s">
        <v>276</v>
      </c>
      <c r="B114" t="s">
        <v>739</v>
      </c>
      <c r="C114" t="s">
        <v>776</v>
      </c>
      <c r="D114" t="s">
        <v>770</v>
      </c>
    </row>
    <row r="115" spans="1:4" x14ac:dyDescent="0.2">
      <c r="A115" t="s">
        <v>471</v>
      </c>
      <c r="B115" t="s">
        <v>739</v>
      </c>
      <c r="C115" t="s">
        <v>776</v>
      </c>
      <c r="D115" t="s">
        <v>770</v>
      </c>
    </row>
    <row r="116" spans="1:4" x14ac:dyDescent="0.2">
      <c r="A116" t="s">
        <v>472</v>
      </c>
      <c r="B116" t="s">
        <v>739</v>
      </c>
      <c r="C116" t="s">
        <v>776</v>
      </c>
      <c r="D116" t="s">
        <v>770</v>
      </c>
    </row>
    <row r="117" spans="1:4" x14ac:dyDescent="0.2">
      <c r="A117" t="s">
        <v>344</v>
      </c>
      <c r="B117" t="s">
        <v>739</v>
      </c>
      <c r="C117" t="s">
        <v>776</v>
      </c>
      <c r="D117" t="s">
        <v>770</v>
      </c>
    </row>
    <row r="118" spans="1:4" x14ac:dyDescent="0.2">
      <c r="A118" t="s">
        <v>473</v>
      </c>
      <c r="B118" t="s">
        <v>739</v>
      </c>
      <c r="C118" t="s">
        <v>776</v>
      </c>
      <c r="D118" t="s">
        <v>770</v>
      </c>
    </row>
    <row r="119" spans="1:4" x14ac:dyDescent="0.2">
      <c r="A119" t="s">
        <v>474</v>
      </c>
      <c r="B119" t="s">
        <v>739</v>
      </c>
      <c r="C119" t="s">
        <v>776</v>
      </c>
      <c r="D119" t="s">
        <v>770</v>
      </c>
    </row>
    <row r="120" spans="1:4" x14ac:dyDescent="0.2">
      <c r="A120" t="s">
        <v>475</v>
      </c>
      <c r="B120" t="s">
        <v>739</v>
      </c>
      <c r="C120" t="s">
        <v>776</v>
      </c>
      <c r="D120" t="s">
        <v>770</v>
      </c>
    </row>
    <row r="121" spans="1:4" x14ac:dyDescent="0.2">
      <c r="A121" t="s">
        <v>476</v>
      </c>
      <c r="B121" t="s">
        <v>739</v>
      </c>
      <c r="C121" t="s">
        <v>776</v>
      </c>
      <c r="D121" t="s">
        <v>770</v>
      </c>
    </row>
    <row r="122" spans="1:4" x14ac:dyDescent="0.2">
      <c r="A122" t="s">
        <v>477</v>
      </c>
      <c r="B122" t="s">
        <v>739</v>
      </c>
      <c r="C122" t="s">
        <v>776</v>
      </c>
      <c r="D122" t="s">
        <v>770</v>
      </c>
    </row>
    <row r="123" spans="1:4" x14ac:dyDescent="0.2">
      <c r="A123" t="s">
        <v>478</v>
      </c>
      <c r="B123" t="s">
        <v>739</v>
      </c>
      <c r="C123" t="s">
        <v>776</v>
      </c>
      <c r="D123" t="s">
        <v>770</v>
      </c>
    </row>
    <row r="124" spans="1:4" x14ac:dyDescent="0.2">
      <c r="A124" t="s">
        <v>480</v>
      </c>
      <c r="B124" t="s">
        <v>739</v>
      </c>
      <c r="C124" t="s">
        <v>776</v>
      </c>
      <c r="D124" t="s">
        <v>770</v>
      </c>
    </row>
    <row r="125" spans="1:4" x14ac:dyDescent="0.2">
      <c r="A125" t="s">
        <v>481</v>
      </c>
      <c r="B125" t="s">
        <v>739</v>
      </c>
      <c r="C125" t="s">
        <v>776</v>
      </c>
      <c r="D125" t="s">
        <v>770</v>
      </c>
    </row>
    <row r="126" spans="1:4" x14ac:dyDescent="0.2">
      <c r="A126" t="s">
        <v>482</v>
      </c>
      <c r="B126" t="s">
        <v>739</v>
      </c>
      <c r="C126" t="s">
        <v>776</v>
      </c>
      <c r="D126" t="s">
        <v>770</v>
      </c>
    </row>
    <row r="127" spans="1:4" x14ac:dyDescent="0.2">
      <c r="A127" t="s">
        <v>483</v>
      </c>
      <c r="B127" t="s">
        <v>739</v>
      </c>
      <c r="C127" t="s">
        <v>776</v>
      </c>
      <c r="D127" t="s">
        <v>770</v>
      </c>
    </row>
    <row r="128" spans="1:4" x14ac:dyDescent="0.2">
      <c r="A128" t="s">
        <v>485</v>
      </c>
      <c r="B128" t="s">
        <v>739</v>
      </c>
      <c r="C128" t="s">
        <v>776</v>
      </c>
      <c r="D128" t="s">
        <v>770</v>
      </c>
    </row>
    <row r="129" spans="1:4" x14ac:dyDescent="0.2">
      <c r="A129" t="s">
        <v>486</v>
      </c>
      <c r="B129" t="s">
        <v>739</v>
      </c>
      <c r="C129" t="s">
        <v>776</v>
      </c>
      <c r="D129" t="s">
        <v>770</v>
      </c>
    </row>
    <row r="130" spans="1:4" x14ac:dyDescent="0.2">
      <c r="A130" t="s">
        <v>487</v>
      </c>
      <c r="B130" t="s">
        <v>739</v>
      </c>
      <c r="C130" t="s">
        <v>776</v>
      </c>
      <c r="D130" t="s">
        <v>770</v>
      </c>
    </row>
    <row r="131" spans="1:4" x14ac:dyDescent="0.2">
      <c r="A131" t="s">
        <v>488</v>
      </c>
      <c r="B131" t="s">
        <v>739</v>
      </c>
      <c r="C131" t="s">
        <v>776</v>
      </c>
      <c r="D131" t="s">
        <v>770</v>
      </c>
    </row>
    <row r="132" spans="1:4" x14ac:dyDescent="0.2">
      <c r="A132" t="s">
        <v>354</v>
      </c>
      <c r="B132" t="s">
        <v>739</v>
      </c>
      <c r="C132" t="s">
        <v>776</v>
      </c>
      <c r="D132" t="s">
        <v>770</v>
      </c>
    </row>
    <row r="133" spans="1:4" ht="17" x14ac:dyDescent="0.25">
      <c r="A133" t="s">
        <v>285</v>
      </c>
      <c r="B133" t="s">
        <v>760</v>
      </c>
      <c r="C133" s="7" t="s">
        <v>774</v>
      </c>
      <c r="D133" t="s">
        <v>771</v>
      </c>
    </row>
    <row r="134" spans="1:4" ht="17" x14ac:dyDescent="0.25">
      <c r="A134" t="s">
        <v>287</v>
      </c>
      <c r="B134" t="s">
        <v>760</v>
      </c>
      <c r="C134" s="7" t="s">
        <v>774</v>
      </c>
      <c r="D134" t="s">
        <v>771</v>
      </c>
    </row>
    <row r="135" spans="1:4" ht="17" x14ac:dyDescent="0.25">
      <c r="A135" t="s">
        <v>281</v>
      </c>
      <c r="B135" t="s">
        <v>760</v>
      </c>
      <c r="C135" s="7" t="s">
        <v>774</v>
      </c>
      <c r="D135" t="s">
        <v>771</v>
      </c>
    </row>
    <row r="136" spans="1:4" ht="17" x14ac:dyDescent="0.25">
      <c r="A136" t="s">
        <v>283</v>
      </c>
      <c r="B136" t="s">
        <v>760</v>
      </c>
      <c r="C136" s="7" t="s">
        <v>774</v>
      </c>
      <c r="D136" t="s">
        <v>771</v>
      </c>
    </row>
    <row r="137" spans="1:4" ht="17" x14ac:dyDescent="0.25">
      <c r="A137" t="s">
        <v>292</v>
      </c>
      <c r="B137" t="s">
        <v>760</v>
      </c>
      <c r="C137" s="7" t="s">
        <v>774</v>
      </c>
      <c r="D137" t="s">
        <v>771</v>
      </c>
    </row>
    <row r="138" spans="1:4" ht="17" x14ac:dyDescent="0.25">
      <c r="A138" t="s">
        <v>293</v>
      </c>
      <c r="B138" t="s">
        <v>760</v>
      </c>
      <c r="C138" s="7" t="s">
        <v>774</v>
      </c>
      <c r="D138" t="s">
        <v>771</v>
      </c>
    </row>
    <row r="139" spans="1:4" ht="17" x14ac:dyDescent="0.25">
      <c r="A139" t="s">
        <v>295</v>
      </c>
      <c r="B139" t="s">
        <v>760</v>
      </c>
      <c r="C139" s="7" t="s">
        <v>774</v>
      </c>
      <c r="D139" t="s">
        <v>771</v>
      </c>
    </row>
    <row r="140" spans="1:4" ht="17" x14ac:dyDescent="0.25">
      <c r="A140" t="s">
        <v>294</v>
      </c>
      <c r="B140" t="s">
        <v>760</v>
      </c>
      <c r="C140" s="7" t="s">
        <v>774</v>
      </c>
      <c r="D140" t="s">
        <v>771</v>
      </c>
    </row>
    <row r="141" spans="1:4" ht="17" x14ac:dyDescent="0.25">
      <c r="A141" t="s">
        <v>296</v>
      </c>
      <c r="B141" t="s">
        <v>760</v>
      </c>
      <c r="C141" s="7" t="s">
        <v>774</v>
      </c>
      <c r="D141" t="s">
        <v>771</v>
      </c>
    </row>
    <row r="142" spans="1:4" ht="17" x14ac:dyDescent="0.25">
      <c r="A142" t="s">
        <v>265</v>
      </c>
      <c r="B142" t="s">
        <v>760</v>
      </c>
      <c r="C142" s="7" t="s">
        <v>774</v>
      </c>
      <c r="D142" t="s">
        <v>771</v>
      </c>
    </row>
    <row r="143" spans="1:4" ht="17" x14ac:dyDescent="0.25">
      <c r="A143" t="s">
        <v>262</v>
      </c>
      <c r="B143" t="s">
        <v>760</v>
      </c>
      <c r="C143" s="7" t="s">
        <v>774</v>
      </c>
      <c r="D143" t="s">
        <v>771</v>
      </c>
    </row>
    <row r="144" spans="1:4" ht="17" x14ac:dyDescent="0.25">
      <c r="A144" t="s">
        <v>740</v>
      </c>
      <c r="B144" t="s">
        <v>760</v>
      </c>
      <c r="C144" s="7" t="s">
        <v>774</v>
      </c>
      <c r="D144" t="s">
        <v>771</v>
      </c>
    </row>
    <row r="145" spans="1:4" ht="17" x14ac:dyDescent="0.25">
      <c r="A145" t="s">
        <v>741</v>
      </c>
      <c r="B145" t="s">
        <v>760</v>
      </c>
      <c r="C145" s="7" t="s">
        <v>774</v>
      </c>
      <c r="D145" t="s">
        <v>771</v>
      </c>
    </row>
    <row r="146" spans="1:4" ht="17" x14ac:dyDescent="0.25">
      <c r="A146" t="s">
        <v>742</v>
      </c>
      <c r="B146" t="s">
        <v>760</v>
      </c>
      <c r="C146" s="7" t="s">
        <v>774</v>
      </c>
      <c r="D146" t="s">
        <v>771</v>
      </c>
    </row>
    <row r="147" spans="1:4" ht="17" x14ac:dyDescent="0.25">
      <c r="A147" t="s">
        <v>743</v>
      </c>
      <c r="B147" t="s">
        <v>760</v>
      </c>
      <c r="C147" s="7" t="s">
        <v>774</v>
      </c>
      <c r="D147" t="s">
        <v>771</v>
      </c>
    </row>
    <row r="148" spans="1:4" ht="17" x14ac:dyDescent="0.25">
      <c r="A148" t="s">
        <v>744</v>
      </c>
      <c r="B148" t="s">
        <v>760</v>
      </c>
      <c r="C148" s="7" t="s">
        <v>774</v>
      </c>
      <c r="D148" t="s">
        <v>771</v>
      </c>
    </row>
    <row r="149" spans="1:4" ht="17" x14ac:dyDescent="0.25">
      <c r="A149" t="s">
        <v>745</v>
      </c>
      <c r="B149" t="s">
        <v>760</v>
      </c>
      <c r="C149" s="7" t="s">
        <v>774</v>
      </c>
      <c r="D149" t="s">
        <v>771</v>
      </c>
    </row>
    <row r="150" spans="1:4" ht="17" x14ac:dyDescent="0.25">
      <c r="A150" t="s">
        <v>746</v>
      </c>
      <c r="B150" t="s">
        <v>760</v>
      </c>
      <c r="C150" s="7" t="s">
        <v>774</v>
      </c>
      <c r="D150" t="s">
        <v>771</v>
      </c>
    </row>
    <row r="151" spans="1:4" ht="17" x14ac:dyDescent="0.25">
      <c r="A151" t="s">
        <v>747</v>
      </c>
      <c r="B151" t="s">
        <v>760</v>
      </c>
      <c r="C151" s="7" t="s">
        <v>774</v>
      </c>
      <c r="D151" t="s">
        <v>771</v>
      </c>
    </row>
    <row r="152" spans="1:4" ht="17" x14ac:dyDescent="0.25">
      <c r="A152" t="s">
        <v>748</v>
      </c>
      <c r="B152" t="s">
        <v>760</v>
      </c>
      <c r="C152" s="7" t="s">
        <v>774</v>
      </c>
      <c r="D152" t="s">
        <v>771</v>
      </c>
    </row>
    <row r="153" spans="1:4" ht="17" x14ac:dyDescent="0.25">
      <c r="A153" t="s">
        <v>749</v>
      </c>
      <c r="B153" t="s">
        <v>760</v>
      </c>
      <c r="C153" s="7" t="s">
        <v>774</v>
      </c>
      <c r="D153" t="s">
        <v>771</v>
      </c>
    </row>
    <row r="154" spans="1:4" ht="17" x14ac:dyDescent="0.25">
      <c r="A154" t="s">
        <v>750</v>
      </c>
      <c r="B154" t="s">
        <v>760</v>
      </c>
      <c r="C154" s="7" t="s">
        <v>774</v>
      </c>
      <c r="D154" t="s">
        <v>771</v>
      </c>
    </row>
    <row r="155" spans="1:4" ht="17" x14ac:dyDescent="0.25">
      <c r="A155" t="s">
        <v>751</v>
      </c>
      <c r="B155" t="s">
        <v>760</v>
      </c>
      <c r="C155" s="7" t="s">
        <v>774</v>
      </c>
      <c r="D155" t="s">
        <v>771</v>
      </c>
    </row>
    <row r="156" spans="1:4" ht="17" x14ac:dyDescent="0.25">
      <c r="A156" t="s">
        <v>752</v>
      </c>
      <c r="B156" t="s">
        <v>760</v>
      </c>
      <c r="C156" s="7" t="s">
        <v>774</v>
      </c>
      <c r="D156" t="s">
        <v>771</v>
      </c>
    </row>
    <row r="157" spans="1:4" ht="17" x14ac:dyDescent="0.25">
      <c r="A157" t="s">
        <v>753</v>
      </c>
      <c r="B157" t="s">
        <v>760</v>
      </c>
      <c r="C157" s="7" t="s">
        <v>774</v>
      </c>
      <c r="D157" t="s">
        <v>771</v>
      </c>
    </row>
    <row r="158" spans="1:4" ht="17" x14ac:dyDescent="0.25">
      <c r="A158" t="s">
        <v>754</v>
      </c>
      <c r="B158" t="s">
        <v>760</v>
      </c>
      <c r="C158" s="7" t="s">
        <v>774</v>
      </c>
      <c r="D158" t="s">
        <v>771</v>
      </c>
    </row>
    <row r="159" spans="1:4" ht="17" x14ac:dyDescent="0.25">
      <c r="A159" t="s">
        <v>755</v>
      </c>
      <c r="B159" t="s">
        <v>760</v>
      </c>
      <c r="C159" s="7" t="s">
        <v>774</v>
      </c>
      <c r="D159" t="s">
        <v>771</v>
      </c>
    </row>
    <row r="160" spans="1:4" ht="17" x14ac:dyDescent="0.25">
      <c r="A160" t="s">
        <v>756</v>
      </c>
      <c r="B160" t="s">
        <v>760</v>
      </c>
      <c r="C160" s="7" t="s">
        <v>774</v>
      </c>
      <c r="D160" t="s">
        <v>771</v>
      </c>
    </row>
    <row r="161" spans="1:4" ht="17" x14ac:dyDescent="0.25">
      <c r="A161" t="s">
        <v>757</v>
      </c>
      <c r="B161" t="s">
        <v>760</v>
      </c>
      <c r="C161" s="7" t="s">
        <v>774</v>
      </c>
      <c r="D161" t="s">
        <v>771</v>
      </c>
    </row>
    <row r="162" spans="1:4" ht="17" x14ac:dyDescent="0.25">
      <c r="A162" t="s">
        <v>758</v>
      </c>
      <c r="B162" t="s">
        <v>760</v>
      </c>
      <c r="C162" s="7" t="s">
        <v>774</v>
      </c>
      <c r="D162" t="s">
        <v>771</v>
      </c>
    </row>
    <row r="163" spans="1:4" ht="17" x14ac:dyDescent="0.25">
      <c r="A163" t="s">
        <v>759</v>
      </c>
      <c r="B163" t="s">
        <v>760</v>
      </c>
      <c r="C163" s="7" t="s">
        <v>774</v>
      </c>
      <c r="D163" t="s">
        <v>771</v>
      </c>
    </row>
    <row r="164" spans="1:4" ht="17" x14ac:dyDescent="0.25">
      <c r="A164" t="s">
        <v>241</v>
      </c>
      <c r="B164" t="s">
        <v>768</v>
      </c>
      <c r="C164" s="7" t="s">
        <v>775</v>
      </c>
      <c r="D164" t="s">
        <v>773</v>
      </c>
    </row>
    <row r="165" spans="1:4" ht="17" x14ac:dyDescent="0.25">
      <c r="A165" t="s">
        <v>244</v>
      </c>
      <c r="B165" t="s">
        <v>768</v>
      </c>
      <c r="C165" s="7" t="s">
        <v>775</v>
      </c>
      <c r="D165" t="s">
        <v>773</v>
      </c>
    </row>
    <row r="166" spans="1:4" ht="17" x14ac:dyDescent="0.25">
      <c r="A166" t="s">
        <v>761</v>
      </c>
      <c r="B166" t="s">
        <v>768</v>
      </c>
      <c r="C166" s="7" t="s">
        <v>775</v>
      </c>
      <c r="D166" t="s">
        <v>773</v>
      </c>
    </row>
    <row r="167" spans="1:4" ht="17" x14ac:dyDescent="0.25">
      <c r="A167" t="s">
        <v>762</v>
      </c>
      <c r="B167" t="s">
        <v>768</v>
      </c>
      <c r="C167" s="7" t="s">
        <v>775</v>
      </c>
      <c r="D167" t="s">
        <v>773</v>
      </c>
    </row>
    <row r="168" spans="1:4" ht="17" x14ac:dyDescent="0.25">
      <c r="A168" t="s">
        <v>1412</v>
      </c>
      <c r="B168" t="s">
        <v>768</v>
      </c>
      <c r="C168" s="7" t="s">
        <v>775</v>
      </c>
      <c r="D168" t="s">
        <v>773</v>
      </c>
    </row>
    <row r="169" spans="1:4" ht="17" x14ac:dyDescent="0.25">
      <c r="A169" t="s">
        <v>1413</v>
      </c>
      <c r="B169" t="s">
        <v>768</v>
      </c>
      <c r="C169" s="7" t="s">
        <v>775</v>
      </c>
      <c r="D169" t="s">
        <v>773</v>
      </c>
    </row>
    <row r="170" spans="1:4" ht="17" x14ac:dyDescent="0.25">
      <c r="A170" t="s">
        <v>1414</v>
      </c>
      <c r="B170" t="s">
        <v>768</v>
      </c>
      <c r="C170" s="7" t="s">
        <v>775</v>
      </c>
      <c r="D170" t="s">
        <v>773</v>
      </c>
    </row>
    <row r="171" spans="1:4" ht="17" x14ac:dyDescent="0.25">
      <c r="A171" t="s">
        <v>766</v>
      </c>
      <c r="B171" t="s">
        <v>768</v>
      </c>
      <c r="C171" s="7" t="s">
        <v>775</v>
      </c>
      <c r="D171" t="s">
        <v>773</v>
      </c>
    </row>
    <row r="172" spans="1:4" ht="17" x14ac:dyDescent="0.25">
      <c r="A172" t="s">
        <v>273</v>
      </c>
      <c r="B172" t="s">
        <v>768</v>
      </c>
      <c r="C172" s="7" t="s">
        <v>775</v>
      </c>
      <c r="D172" t="s">
        <v>773</v>
      </c>
    </row>
    <row r="173" spans="1:4" ht="17" x14ac:dyDescent="0.25">
      <c r="A173" t="s">
        <v>767</v>
      </c>
      <c r="B173" t="s">
        <v>768</v>
      </c>
      <c r="C173" s="7" t="s">
        <v>775</v>
      </c>
      <c r="D173" t="s">
        <v>773</v>
      </c>
    </row>
    <row r="174" spans="1:4" x14ac:dyDescent="0.2">
      <c r="A174" t="s">
        <v>1377</v>
      </c>
      <c r="B174" t="s">
        <v>1383</v>
      </c>
      <c r="C174" t="s">
        <v>1427</v>
      </c>
      <c r="D174" t="s">
        <v>1428</v>
      </c>
    </row>
    <row r="175" spans="1:4" x14ac:dyDescent="0.2">
      <c r="A175" t="s">
        <v>1378</v>
      </c>
      <c r="B175" t="s">
        <v>1383</v>
      </c>
      <c r="C175" t="s">
        <v>1427</v>
      </c>
      <c r="D175" t="s">
        <v>1428</v>
      </c>
    </row>
    <row r="176" spans="1:4" x14ac:dyDescent="0.2">
      <c r="A176" t="s">
        <v>1379</v>
      </c>
      <c r="B176" t="s">
        <v>1383</v>
      </c>
      <c r="C176" t="s">
        <v>1427</v>
      </c>
      <c r="D176" t="s">
        <v>1428</v>
      </c>
    </row>
    <row r="177" spans="1:4" x14ac:dyDescent="0.2">
      <c r="A177" t="s">
        <v>1380</v>
      </c>
      <c r="B177" t="s">
        <v>1383</v>
      </c>
      <c r="C177" t="s">
        <v>1427</v>
      </c>
      <c r="D177" t="s">
        <v>1428</v>
      </c>
    </row>
    <row r="178" spans="1:4" x14ac:dyDescent="0.2">
      <c r="A178" t="s">
        <v>1381</v>
      </c>
      <c r="B178" t="s">
        <v>1383</v>
      </c>
      <c r="C178" t="s">
        <v>1427</v>
      </c>
      <c r="D178" t="s">
        <v>1428</v>
      </c>
    </row>
    <row r="179" spans="1:4" x14ac:dyDescent="0.2">
      <c r="A179" t="s">
        <v>1382</v>
      </c>
      <c r="B179" t="s">
        <v>1383</v>
      </c>
      <c r="C179" t="s">
        <v>1427</v>
      </c>
      <c r="D179" t="s">
        <v>1428</v>
      </c>
    </row>
    <row r="180" spans="1:4" ht="17" x14ac:dyDescent="0.25">
      <c r="A180" t="s">
        <v>1411</v>
      </c>
      <c r="B180" t="s">
        <v>768</v>
      </c>
      <c r="C180" s="7" t="s">
        <v>775</v>
      </c>
      <c r="D180" t="s">
        <v>773</v>
      </c>
    </row>
    <row r="181" spans="1:4" ht="17" x14ac:dyDescent="0.25">
      <c r="A181" t="s">
        <v>1415</v>
      </c>
      <c r="B181" t="s">
        <v>1383</v>
      </c>
      <c r="C181" s="7" t="s">
        <v>775</v>
      </c>
      <c r="D181" t="s">
        <v>773</v>
      </c>
    </row>
    <row r="182" spans="1:4" ht="17" x14ac:dyDescent="0.25">
      <c r="A182" t="s">
        <v>1416</v>
      </c>
      <c r="B182" t="s">
        <v>1383</v>
      </c>
      <c r="C182" s="7" t="s">
        <v>775</v>
      </c>
      <c r="D182" t="s">
        <v>773</v>
      </c>
    </row>
    <row r="183" spans="1:4" ht="17" x14ac:dyDescent="0.25">
      <c r="A183" t="s">
        <v>1417</v>
      </c>
      <c r="B183" t="s">
        <v>1383</v>
      </c>
      <c r="C183" s="7" t="s">
        <v>775</v>
      </c>
      <c r="D183" t="s">
        <v>773</v>
      </c>
    </row>
    <row r="184" spans="1:4" ht="17" x14ac:dyDescent="0.25">
      <c r="A184" t="s">
        <v>1374</v>
      </c>
      <c r="B184" t="s">
        <v>1383</v>
      </c>
      <c r="C184" s="7" t="s">
        <v>775</v>
      </c>
      <c r="D184" t="s">
        <v>773</v>
      </c>
    </row>
    <row r="185" spans="1:4" ht="17" x14ac:dyDescent="0.25">
      <c r="A185" t="s">
        <v>1375</v>
      </c>
      <c r="B185" t="s">
        <v>1383</v>
      </c>
      <c r="C185" s="7" t="s">
        <v>775</v>
      </c>
      <c r="D185" t="s">
        <v>773</v>
      </c>
    </row>
    <row r="186" spans="1:4" ht="17" x14ac:dyDescent="0.25">
      <c r="A186" t="s">
        <v>1423</v>
      </c>
      <c r="B186" t="s">
        <v>768</v>
      </c>
      <c r="C186" s="7" t="s">
        <v>775</v>
      </c>
      <c r="D186" t="s">
        <v>773</v>
      </c>
    </row>
    <row r="187" spans="1:4" ht="17" x14ac:dyDescent="0.25">
      <c r="A187" t="s">
        <v>1425</v>
      </c>
      <c r="B187" t="s">
        <v>768</v>
      </c>
      <c r="C187" s="7" t="s">
        <v>775</v>
      </c>
      <c r="D187" t="s">
        <v>773</v>
      </c>
    </row>
  </sheetData>
  <autoFilter ref="A1:D187" xr:uid="{BF572E77-75A4-D546-BE8E-343E0C2667EF}"/>
  <phoneticPr fontId="6" type="noConversion"/>
  <conditionalFormatting sqref="G1:G1048576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D_ETLocal_keys_to_ovar</vt:lpstr>
      <vt:lpstr>custom_variables</vt:lpstr>
      <vt:lpstr>custom_functions</vt:lpstr>
      <vt:lpstr>A_km-var_to_ivar</vt:lpstr>
      <vt:lpstr>all_ivar_per_source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van Bemmelen</dc:creator>
  <cp:lastModifiedBy>Koen van Bemmelen</cp:lastModifiedBy>
  <dcterms:created xsi:type="dcterms:W3CDTF">2025-05-16T09:03:48Z</dcterms:created>
  <dcterms:modified xsi:type="dcterms:W3CDTF">2025-11-24T09:06:49Z</dcterms:modified>
</cp:coreProperties>
</file>