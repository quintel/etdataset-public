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vanbemmelen/work/etdataset/pipelines/config/"/>
    </mc:Choice>
  </mc:AlternateContent>
  <xr:revisionPtr revIDLastSave="0" documentId="13_ncr:1_{E71BFEA7-15F7-E441-B33E-68F9478306C6}" xr6:coauthVersionLast="47" xr6:coauthVersionMax="47" xr10:uidLastSave="{00000000-0000-0000-0000-000000000000}"/>
  <bookViews>
    <workbookView xWindow="940" yWindow="500" windowWidth="27860" windowHeight="17500" activeTab="3" xr2:uid="{5CAB35F8-F7CB-E04D-B2C1-44595AA06D93}"/>
  </bookViews>
  <sheets>
    <sheet name="mapping (2)" sheetId="3" state="hidden" r:id="rId1"/>
    <sheet name="A_km-var_to_ivar.csv" sheetId="4" r:id="rId2"/>
    <sheet name="mapping" sheetId="1" r:id="rId3"/>
    <sheet name="unit_conversion_overview_XCL-A" sheetId="2" r:id="rId4"/>
  </sheets>
  <definedNames>
    <definedName name="_xlnm._FilterDatabase" localSheetId="2" hidden="1">mapping!$A$1:$G$144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1" l="1"/>
  <c r="F140" i="1"/>
  <c r="F141" i="1"/>
  <c r="F142" i="1"/>
  <c r="F143" i="1"/>
  <c r="F144" i="1"/>
  <c r="E1" i="3" a="1"/>
  <c r="E1" i="3" s="1"/>
  <c r="D1" i="3" a="1"/>
  <c r="D1" i="3" s="1"/>
  <c r="C1" i="3" a="1"/>
  <c r="C1" i="3" s="1"/>
  <c r="B1" i="3" a="1"/>
  <c r="B1" i="3" s="1"/>
  <c r="A1" i="3" a="1"/>
  <c r="A1" i="3" s="1"/>
  <c r="E1" i="1" a="1"/>
  <c r="E1" i="1" s="1"/>
  <c r="D1" i="1" a="1"/>
  <c r="D1" i="1" s="1"/>
  <c r="C1" i="1" a="1"/>
  <c r="C1" i="1" s="1"/>
  <c r="E138" i="2"/>
  <c r="E137" i="2"/>
  <c r="E134" i="2"/>
  <c r="E133" i="2"/>
  <c r="E132" i="2"/>
  <c r="E131" i="2"/>
  <c r="E130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J15" i="2"/>
  <c r="E136" i="2" s="1"/>
  <c r="J12" i="2"/>
  <c r="E135" i="2" s="1"/>
  <c r="E12" i="2"/>
  <c r="J11" i="2"/>
  <c r="E129" i="2" s="1"/>
  <c r="E11" i="2"/>
  <c r="E10" i="2"/>
  <c r="J9" i="2"/>
  <c r="E15" i="2" s="1"/>
  <c r="E9" i="2"/>
  <c r="J8" i="2"/>
  <c r="E14" i="2" s="1"/>
  <c r="E8" i="2"/>
  <c r="E7" i="2"/>
  <c r="E6" i="2"/>
  <c r="J5" i="2"/>
  <c r="E5" i="2"/>
  <c r="J4" i="2"/>
  <c r="E13" i="2" s="1"/>
  <c r="E4" i="2"/>
  <c r="E3" i="2"/>
  <c r="E2" i="2"/>
  <c r="F10" i="1" l="1"/>
  <c r="F132" i="1"/>
  <c r="F124" i="1"/>
  <c r="F116" i="1"/>
  <c r="F108" i="1"/>
  <c r="F69" i="1"/>
  <c r="F61" i="1"/>
  <c r="F53" i="1"/>
  <c r="F45" i="1"/>
  <c r="F37" i="1"/>
  <c r="F29" i="1"/>
  <c r="F21" i="1"/>
  <c r="F13" i="1"/>
  <c r="F2" i="1"/>
  <c r="F137" i="1"/>
  <c r="F129" i="1"/>
  <c r="F121" i="1"/>
  <c r="F113" i="1"/>
  <c r="F105" i="1"/>
  <c r="F66" i="1"/>
  <c r="F58" i="1"/>
  <c r="F50" i="1"/>
  <c r="F42" i="1"/>
  <c r="F34" i="1"/>
  <c r="F26" i="1"/>
  <c r="F18" i="1"/>
  <c r="F136" i="1"/>
  <c r="F128" i="1"/>
  <c r="F120" i="1"/>
  <c r="F112" i="1"/>
  <c r="F104" i="1"/>
  <c r="F65" i="1"/>
  <c r="F57" i="1"/>
  <c r="F49" i="1"/>
  <c r="F41" i="1"/>
  <c r="F33" i="1"/>
  <c r="F9" i="1"/>
  <c r="F17" i="1"/>
  <c r="F25" i="1"/>
  <c r="F135" i="1"/>
  <c r="F127" i="1"/>
  <c r="F119" i="1"/>
  <c r="F111" i="1"/>
  <c r="F103" i="1"/>
  <c r="F64" i="1"/>
  <c r="F56" i="1"/>
  <c r="F48" i="1"/>
  <c r="F40" i="1"/>
  <c r="F32" i="1"/>
  <c r="F24" i="1"/>
  <c r="F16" i="1"/>
  <c r="F8" i="1"/>
  <c r="F134" i="1"/>
  <c r="F126" i="1"/>
  <c r="F118" i="1"/>
  <c r="F110" i="1"/>
  <c r="F102" i="1"/>
  <c r="F63" i="1"/>
  <c r="F55" i="1"/>
  <c r="F47" i="1"/>
  <c r="F39" i="1"/>
  <c r="F31" i="1"/>
  <c r="F23" i="1"/>
  <c r="F15" i="1"/>
  <c r="F7" i="1"/>
  <c r="F133" i="1"/>
  <c r="F125" i="1"/>
  <c r="F117" i="1"/>
  <c r="F109" i="1"/>
  <c r="F101" i="1"/>
  <c r="F62" i="1"/>
  <c r="F54" i="1"/>
  <c r="F46" i="1"/>
  <c r="F38" i="1"/>
  <c r="F30" i="1"/>
  <c r="F22" i="1"/>
  <c r="F14" i="1"/>
  <c r="F6" i="1"/>
  <c r="F5" i="1"/>
  <c r="F4" i="1"/>
  <c r="F131" i="1"/>
  <c r="F123" i="1"/>
  <c r="F115" i="1"/>
  <c r="F107" i="1"/>
  <c r="F68" i="1"/>
  <c r="F60" i="1"/>
  <c r="F52" i="1"/>
  <c r="F44" i="1"/>
  <c r="F36" i="1"/>
  <c r="F28" i="1"/>
  <c r="F20" i="1"/>
  <c r="F12" i="1"/>
  <c r="F138" i="1"/>
  <c r="F130" i="1"/>
  <c r="F122" i="1"/>
  <c r="F114" i="1"/>
  <c r="F106" i="1"/>
  <c r="F67" i="1"/>
  <c r="F59" i="1"/>
  <c r="F51" i="1"/>
  <c r="F43" i="1"/>
  <c r="F35" i="1"/>
  <c r="F27" i="1"/>
  <c r="F19" i="1"/>
  <c r="F11" i="1"/>
  <c r="F3" i="1"/>
  <c r="B2" i="4" a="1"/>
  <c r="B2" i="4" s="1"/>
  <c r="A1" i="1" a="1"/>
  <c r="E115" i="2"/>
  <c r="G1" i="1" s="1" a="1"/>
  <c r="G1" i="1" s="1"/>
  <c r="C2" i="4" l="1" a="1"/>
  <c r="C2" i="4" s="1"/>
  <c r="B107" i="1"/>
  <c r="B115" i="1"/>
  <c r="B123" i="1"/>
  <c r="B131" i="1"/>
  <c r="B101" i="1"/>
  <c r="B99" i="1"/>
  <c r="B104" i="1"/>
  <c r="B112" i="1"/>
  <c r="B120" i="1"/>
  <c r="B128" i="1"/>
  <c r="B136" i="1"/>
  <c r="B79" i="1"/>
  <c r="B108" i="1"/>
  <c r="B116" i="1"/>
  <c r="B124" i="1"/>
  <c r="B132" i="1"/>
  <c r="B109" i="1"/>
  <c r="B117" i="1"/>
  <c r="B125" i="1"/>
  <c r="B133" i="1"/>
  <c r="B98" i="1"/>
  <c r="B102" i="1"/>
  <c r="B110" i="1"/>
  <c r="B118" i="1"/>
  <c r="B126" i="1"/>
  <c r="B134" i="1"/>
  <c r="B89" i="1"/>
  <c r="B103" i="1"/>
  <c r="B119" i="1"/>
  <c r="B127" i="1"/>
  <c r="B135" i="1"/>
  <c r="B88" i="1"/>
  <c r="B111" i="1"/>
  <c r="B105" i="1"/>
  <c r="B121" i="1"/>
  <c r="B129" i="1"/>
  <c r="B137" i="1"/>
  <c r="B78" i="1"/>
  <c r="B113" i="1"/>
  <c r="B106" i="1"/>
  <c r="B114" i="1"/>
  <c r="B122" i="1"/>
  <c r="B130" i="1"/>
  <c r="B138" i="1"/>
  <c r="A1" i="1"/>
  <c r="B10" i="1"/>
  <c r="B18" i="1"/>
  <c r="B26" i="1"/>
  <c r="B34" i="1"/>
  <c r="B42" i="1"/>
  <c r="B50" i="1"/>
  <c r="B58" i="1"/>
  <c r="B66" i="1"/>
  <c r="B14" i="1"/>
  <c r="B22" i="1"/>
  <c r="B30" i="1"/>
  <c r="B38" i="1"/>
  <c r="B46" i="1"/>
  <c r="B54" i="1"/>
  <c r="B62" i="1"/>
  <c r="B70" i="1"/>
  <c r="B3" i="1"/>
  <c r="B11" i="1"/>
  <c r="B19" i="1"/>
  <c r="B27" i="1"/>
  <c r="B35" i="1"/>
  <c r="B43" i="1"/>
  <c r="B51" i="1"/>
  <c r="B59" i="1"/>
  <c r="B67" i="1"/>
  <c r="B4" i="1"/>
  <c r="B12" i="1"/>
  <c r="B20" i="1"/>
  <c r="B28" i="1"/>
  <c r="B36" i="1"/>
  <c r="B44" i="1"/>
  <c r="B52" i="1"/>
  <c r="B60" i="1"/>
  <c r="B68" i="1"/>
  <c r="B5" i="1"/>
  <c r="B13" i="1"/>
  <c r="B21" i="1"/>
  <c r="B29" i="1"/>
  <c r="B37" i="1"/>
  <c r="B45" i="1"/>
  <c r="B53" i="1"/>
  <c r="B61" i="1"/>
  <c r="B69" i="1"/>
  <c r="B6" i="1"/>
  <c r="B24" i="1"/>
  <c r="B32" i="1"/>
  <c r="B40" i="1"/>
  <c r="B48" i="1"/>
  <c r="B56" i="1"/>
  <c r="B64" i="1"/>
  <c r="B17" i="1"/>
  <c r="B25" i="1"/>
  <c r="B33" i="1"/>
  <c r="B41" i="1"/>
  <c r="B49" i="1"/>
  <c r="B57" i="1"/>
  <c r="B65" i="1"/>
  <c r="B16" i="1"/>
  <c r="B7" i="1"/>
  <c r="B15" i="1"/>
  <c r="B23" i="1"/>
  <c r="B31" i="1"/>
  <c r="B39" i="1"/>
  <c r="B47" i="1"/>
  <c r="B55" i="1"/>
  <c r="B63" i="1"/>
  <c r="B2" i="1"/>
  <c r="B8" i="1"/>
  <c r="B9" i="1"/>
  <c r="A2" i="4" l="1" a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<sst xmlns="http://schemas.openxmlformats.org/spreadsheetml/2006/main" count="658" uniqueCount="344">
  <si>
    <t>Conversion</t>
  </si>
  <si>
    <t>Converted unit</t>
  </si>
  <si>
    <t>Conversion factor</t>
  </si>
  <si>
    <t>no_inhabitants</t>
  </si>
  <si>
    <t>no conversion</t>
  </si>
  <si>
    <t>#</t>
  </si>
  <si>
    <t>no_residences</t>
  </si>
  <si>
    <t>no_cars</t>
  </si>
  <si>
    <t>total_energy_tj</t>
  </si>
  <si>
    <t>TJ</t>
  </si>
  <si>
    <t>tp_total_energy_tj</t>
  </si>
  <si>
    <t>total_electricity_tj</t>
  </si>
  <si>
    <t>total_gas_heat_tj_temp_corrected</t>
  </si>
  <si>
    <t>solar_pv_own_use_total_tj</t>
  </si>
  <si>
    <t>mln KWh to TJ</t>
  </si>
  <si>
    <t>total_renewable_heat_tj</t>
  </si>
  <si>
    <t>hh_gas_tj_temp_corrected</t>
  </si>
  <si>
    <t>hh_heat_tj_temp_corrected</t>
  </si>
  <si>
    <t>hh_electricity_tj</t>
  </si>
  <si>
    <t>hh_gas_tj</t>
  </si>
  <si>
    <t>mln m3 (natural gas) to TJ</t>
  </si>
  <si>
    <t>hh_heat_tj</t>
  </si>
  <si>
    <t>GJ to TJ</t>
  </si>
  <si>
    <t>hh_biomass_cooking_tj</t>
  </si>
  <si>
    <t>hh_biomass_heat_tj</t>
  </si>
  <si>
    <t>bd_commercial_gas_tj</t>
  </si>
  <si>
    <t>m3 (natural gas) to TJ</t>
  </si>
  <si>
    <t>bd_public_gas_tj</t>
  </si>
  <si>
    <t>bd_commercial_electricity_tj</t>
  </si>
  <si>
    <t>kWh to TJ</t>
  </si>
  <si>
    <t>bd_public_electricity_tj</t>
  </si>
  <si>
    <t>bd_gas_sbi_g_tj</t>
  </si>
  <si>
    <t>bd_gas_sbi_h_tj</t>
  </si>
  <si>
    <t>bd_gas_sbi_i_tj</t>
  </si>
  <si>
    <t>bd_gas_sbi_j_tj</t>
  </si>
  <si>
    <t>bd_gas_sbi_k_tj</t>
  </si>
  <si>
    <t>bd_gas_sbi_l_tj</t>
  </si>
  <si>
    <t>bd_gas_sbi_m_tj</t>
  </si>
  <si>
    <t>bd_gas_sbi_n_tj</t>
  </si>
  <si>
    <t>bd_gas_sbi_o_tj</t>
  </si>
  <si>
    <t>bd_gas_sbi_p_tj</t>
  </si>
  <si>
    <t>bd_gas_sbi_q_tj</t>
  </si>
  <si>
    <t>bd_gas_sbi_r_tj</t>
  </si>
  <si>
    <t>bd_gas_sbi_s_tj</t>
  </si>
  <si>
    <t>bd_gas_sbi_u_tj</t>
  </si>
  <si>
    <t>bd_electricity_sbi_g_tj</t>
  </si>
  <si>
    <t>bd_electricity_sbi_h_tj</t>
  </si>
  <si>
    <t>bd_electricity_sbi_i_tj</t>
  </si>
  <si>
    <t>bd_electricity_sbi_j_tj</t>
  </si>
  <si>
    <t>bd_electricity_sbi_k_tj</t>
  </si>
  <si>
    <t>bd_electricity_sbi_l_tj</t>
  </si>
  <si>
    <t>bd_electricity_sbi_m_tj</t>
  </si>
  <si>
    <t>bd_electricity_sbi_n_tj</t>
  </si>
  <si>
    <t>bd_electricity_sbi_o_tj</t>
  </si>
  <si>
    <t>bd_electricity_sbi_p_tj</t>
  </si>
  <si>
    <t>bd_electricity_sbi_q_tj</t>
  </si>
  <si>
    <t>bd_electricity_sbi_r_tj</t>
  </si>
  <si>
    <t>bd_electricity_sbi_s_tj</t>
  </si>
  <si>
    <t>bd_electricity_sbi_u_tj</t>
  </si>
  <si>
    <t>tp_road_total_tj</t>
  </si>
  <si>
    <t>tp_mobile_machines_inc_biofuels_tj</t>
  </si>
  <si>
    <t>tp_road_bio_fuels_ex_mm_tj</t>
  </si>
  <si>
    <t>tp_mobile_machines_bio_fuels_tj</t>
  </si>
  <si>
    <t>tp_rail_diesel_tj</t>
  </si>
  <si>
    <t>tp_inland_ship_diesel_tj</t>
  </si>
  <si>
    <t>tp_sea_ship_diesel_tj</t>
  </si>
  <si>
    <t>no_electric_busses</t>
  </si>
  <si>
    <t>no_electric_vans</t>
  </si>
  <si>
    <t>no_electric_cars_fev</t>
  </si>
  <si>
    <t>no_electric_cars_phev</t>
  </si>
  <si>
    <t>no_electric_scooters</t>
  </si>
  <si>
    <t>no_electric_motorcycles</t>
  </si>
  <si>
    <t>no_cng_trucks</t>
  </si>
  <si>
    <t>no_cng_busses</t>
  </si>
  <si>
    <t>no_cng_cars</t>
  </si>
  <si>
    <t>no_h2_busses</t>
  </si>
  <si>
    <t>no_h2_cars</t>
  </si>
  <si>
    <t>no_h2_vans</t>
  </si>
  <si>
    <t>no_h2_trucks</t>
  </si>
  <si>
    <t>tp_mobile_machines_co2</t>
  </si>
  <si>
    <t>tonne</t>
  </si>
  <si>
    <t>tp_bus_diesel_co2_built_env</t>
  </si>
  <si>
    <t>tp_van_gasoline_co2_built_env</t>
  </si>
  <si>
    <t>tp_van_lpg_co2_built_env</t>
  </si>
  <si>
    <t>tp_van_diesel_co2_built_env</t>
  </si>
  <si>
    <t>tp_car_gasoline_co2_built_env</t>
  </si>
  <si>
    <t>tp_car_diesel_co2_built_env</t>
  </si>
  <si>
    <t>tp_car_lpg_co2_built_env</t>
  </si>
  <si>
    <t>tp_motorcycle_co2_built_env</t>
  </si>
  <si>
    <t>tp_truck_co2_built_env</t>
  </si>
  <si>
    <t>tp_bus_gas_co2_built_env</t>
  </si>
  <si>
    <t>tp_bus_diesel_co2_road</t>
  </si>
  <si>
    <t>tp_van_gasoline_co2_road</t>
  </si>
  <si>
    <t>tp_van_diesel_co2_road</t>
  </si>
  <si>
    <t>tp_van_lpg_co2_road</t>
  </si>
  <si>
    <t>tp_car_gasoline_co2_road</t>
  </si>
  <si>
    <t>tp_car_diesel_co2_road</t>
  </si>
  <si>
    <t>tp_car_lpg_co2_road</t>
  </si>
  <si>
    <t>tp_motorcycle_co2_road</t>
  </si>
  <si>
    <t>tp_truck_co2_road</t>
  </si>
  <si>
    <t>tp_bus_gas_co2_road</t>
  </si>
  <si>
    <t>tp_bus_diesel_co2_motorway</t>
  </si>
  <si>
    <t>tp_van_diesel_co2_motorway</t>
  </si>
  <si>
    <t>tp_van_gasoline_co2_motorway</t>
  </si>
  <si>
    <t>tp_van_lpg_co2_motorway</t>
  </si>
  <si>
    <t>tp_car_gasoline_co2_motorway</t>
  </si>
  <si>
    <t>tp_car_diesel_co2_motorway</t>
  </si>
  <si>
    <t>tp_car_lpg_co2_motorway</t>
  </si>
  <si>
    <t>tp_motorcycle_co2_motorway</t>
  </si>
  <si>
    <t>tp_truck_co2_motorway</t>
  </si>
  <si>
    <t>tp_bus_gas_co2_motorway</t>
  </si>
  <si>
    <t>agri_electricity_tj</t>
  </si>
  <si>
    <t>agri_gas_tj</t>
  </si>
  <si>
    <t>ind_gas_sbi_b_tj</t>
  </si>
  <si>
    <t>ind_gas_sbi_c_tj</t>
  </si>
  <si>
    <t>ind_gas_sbi_e_tj</t>
  </si>
  <si>
    <t>ind_gas_sbi_f_tj</t>
  </si>
  <si>
    <t>ind_electricity_sbi_b_tj</t>
  </si>
  <si>
    <t>ind_electricity_sbi_c_tj</t>
  </si>
  <si>
    <t>ind_electricity_sbi_d_tj</t>
  </si>
  <si>
    <t>ind_electricity_sbi_e_tj</t>
  </si>
  <si>
    <t>ind_electricity_sbi_f_tj</t>
  </si>
  <si>
    <t>total_solar_kw</t>
  </si>
  <si>
    <t>kW</t>
  </si>
  <si>
    <t>hh_solar_kw</t>
  </si>
  <si>
    <t>energy_solar_farms_kw</t>
  </si>
  <si>
    <t>MW to kW</t>
  </si>
  <si>
    <t>biogas_heat_tj</t>
  </si>
  <si>
    <t>biogas_electricity_tj</t>
  </si>
  <si>
    <t>biomass_firms_heat_tj</t>
  </si>
  <si>
    <t>biomass_firms_chp_heat_tj</t>
  </si>
  <si>
    <t>geothermal_heat_tj</t>
  </si>
  <si>
    <t>biomass_firms_chp_electricity_tj</t>
  </si>
  <si>
    <t>hydro_electricity_tj</t>
  </si>
  <si>
    <t>wind_electricity_tj</t>
  </si>
  <si>
    <t>waste_renewable_electricity_tj</t>
  </si>
  <si>
    <t>waste_renewable_heat_tj</t>
  </si>
  <si>
    <t>gasoline_tonne_co2_per_tj</t>
  </si>
  <si>
    <t>diesel_tonne_co2_per_tj</t>
  </si>
  <si>
    <t>lpg_tonne_co2_per_tj</t>
  </si>
  <si>
    <t>gas_tonne_co2_per_tj</t>
  </si>
  <si>
    <t>ton/m3 to ton/TJ (natural gas)</t>
  </si>
  <si>
    <t>gas_buildings_industry_agriculture_tj</t>
  </si>
  <si>
    <t>electricity_buildings_industry_agriculture_tj</t>
  </si>
  <si>
    <t>solar_pv_total_production_tj</t>
  </si>
  <si>
    <t>waste_total_produced_electricity_tj</t>
  </si>
  <si>
    <t>GWh to TJ</t>
  </si>
  <si>
    <t>total_renewable_heat_tj_ex_greengas</t>
  </si>
  <si>
    <t>energy_wind_kw</t>
  </si>
  <si>
    <t>electricity_tonne_co2_per_tj</t>
  </si>
  <si>
    <t>ton/kwh to ton/TJ (electricity)</t>
  </si>
  <si>
    <t>waste_heat_used_in_area_tj</t>
  </si>
  <si>
    <t>bd_thermal_storage_tj</t>
  </si>
  <si>
    <t>Internal variable name</t>
  </si>
  <si>
    <t>Unit conversion table</t>
  </si>
  <si>
    <t>from-to</t>
  </si>
  <si>
    <t>factor</t>
  </si>
  <si>
    <t>mln kWh to TJ</t>
  </si>
  <si>
    <t>MWh to TJ</t>
  </si>
  <si>
    <t>Note: leaving some empty rows in case more variables are added</t>
  </si>
  <si>
    <t>Variable Klimaatmonitor</t>
  </si>
  <si>
    <t>inwoners_2019</t>
  </si>
  <si>
    <t>woningen_2019</t>
  </si>
  <si>
    <t>pautos_2019</t>
  </si>
  <si>
    <t>energie_totaal_combi_2019</t>
  </si>
  <si>
    <t>verk_totaal_2019</t>
  </si>
  <si>
    <t>elektra_totaal_combi_2019</t>
  </si>
  <si>
    <t>warm_totaal_combi_2019</t>
  </si>
  <si>
    <t>zonpvachtermeter_kwh_2019</t>
  </si>
  <si>
    <t>hern_warm_tot_2019</t>
  </si>
  <si>
    <t>gas_woningen_tj_2019</t>
  </si>
  <si>
    <t>warmwontjcor_2019</t>
  </si>
  <si>
    <t>kwbelektotaal_2019</t>
  </si>
  <si>
    <t>kwbgastotaal_2019</t>
  </si>
  <si>
    <t>warmwontier2_2019</t>
  </si>
  <si>
    <t>houtskool_2019</t>
  </si>
  <si>
    <t>houtwontj_2019</t>
  </si>
  <si>
    <t>gascomdv_2019</t>
  </si>
  <si>
    <t>gaspubldv_2019</t>
  </si>
  <si>
    <t>elcomdv_2019</t>
  </si>
  <si>
    <t>elpubldv_2019</t>
  </si>
  <si>
    <t>vbrzg_g1_2019</t>
  </si>
  <si>
    <t>vbrzg_h_2019</t>
  </si>
  <si>
    <t>vbrzg_i_2019</t>
  </si>
  <si>
    <t>vbrzg_j_2019</t>
  </si>
  <si>
    <t>vbrzg_k_2019</t>
  </si>
  <si>
    <t>vbrzg_l_2019</t>
  </si>
  <si>
    <t>vbrzg_m_2019</t>
  </si>
  <si>
    <t>vbrzg_n_2019</t>
  </si>
  <si>
    <t>vbrzg_o_2019</t>
  </si>
  <si>
    <t>vbrzg_p_2019</t>
  </si>
  <si>
    <t>vbrzg_q_2019</t>
  </si>
  <si>
    <t>vbrzg_r1_2019</t>
  </si>
  <si>
    <t>vbrzg_s_2019</t>
  </si>
  <si>
    <t>vbrzg_u_2019</t>
  </si>
  <si>
    <t>vbrze_g1_2019</t>
  </si>
  <si>
    <t>vbrze_h_2019</t>
  </si>
  <si>
    <t>vbrze_i_2019</t>
  </si>
  <si>
    <t>vbrze_j_2019</t>
  </si>
  <si>
    <t>vbrze_k_2019</t>
  </si>
  <si>
    <t>vbrze_l_2019</t>
  </si>
  <si>
    <t>vbrze_m_2019</t>
  </si>
  <si>
    <t>vbrze_n_2019</t>
  </si>
  <si>
    <t>vbrze_o_2019</t>
  </si>
  <si>
    <t>vbrze_p_2019</t>
  </si>
  <si>
    <t>vbrze_q_2019</t>
  </si>
  <si>
    <t>vbrze_r1_2019</t>
  </si>
  <si>
    <t>vbrze_s_2019</t>
  </si>
  <si>
    <t>vbrze_u_2019</t>
  </si>
  <si>
    <t>energie_wegverk_tot_2019</t>
  </si>
  <si>
    <t>energie_mobwerk_2019</t>
  </si>
  <si>
    <t>bio_verkeertj_2019</t>
  </si>
  <si>
    <t>bio_mobwerk_tj_2019</t>
  </si>
  <si>
    <t>energie_rail_2019</t>
  </si>
  <si>
    <t>energie_binnenvaart_2019</t>
  </si>
  <si>
    <t>energie_zeevaart_2019</t>
  </si>
  <si>
    <t>wbelek_2019</t>
  </si>
  <si>
    <t>bedrautoelek_2019</t>
  </si>
  <si>
    <t>wpelek_2019</t>
  </si>
  <si>
    <t>rangeextend_2019</t>
  </si>
  <si>
    <t>wmfelek_2019</t>
  </si>
  <si>
    <t>wbfelek_2019</t>
  </si>
  <si>
    <t>bedrgas_2019</t>
  </si>
  <si>
    <t>wbgas_2019</t>
  </si>
  <si>
    <t>wpgas_2019</t>
  </si>
  <si>
    <t>bus_h2_2019</t>
  </si>
  <si>
    <t>p_auto_h2_2019</t>
  </si>
  <si>
    <t>b_auto_h2_2019</t>
  </si>
  <si>
    <t>wbz_h2_2019</t>
  </si>
  <si>
    <t>co2enmobwerk_2019</t>
  </si>
  <si>
    <t>co2bkabdsl_2019</t>
  </si>
  <si>
    <t>co2bkbabzn_2019</t>
  </si>
  <si>
    <t>co2bkbalpg_2019</t>
  </si>
  <si>
    <t>co2bkbadsl_2019</t>
  </si>
  <si>
    <t>co2bkpabzn_2019</t>
  </si>
  <si>
    <t>co2bkpadsl_2019</t>
  </si>
  <si>
    <t>co2bkpalpg_2019</t>
  </si>
  <si>
    <t>co2bktw_2019</t>
  </si>
  <si>
    <t>co2bkzbv_2019</t>
  </si>
  <si>
    <t>co2bkabag_2019</t>
  </si>
  <si>
    <t>co2bwabdsl_2019</t>
  </si>
  <si>
    <t>co2bwbabzn_2019</t>
  </si>
  <si>
    <t>co2bwbadsl_2019</t>
  </si>
  <si>
    <t>co2bwbalpg_2019</t>
  </si>
  <si>
    <t>co2bwpabzn_2019</t>
  </si>
  <si>
    <t>co2bwpadsl_2019</t>
  </si>
  <si>
    <t>co2bwpalpg_2019</t>
  </si>
  <si>
    <t>co2bwtw_2019</t>
  </si>
  <si>
    <t>co2bwzbv_2019</t>
  </si>
  <si>
    <t>co2bwabag_2019</t>
  </si>
  <si>
    <t>co2swabdsl_2019</t>
  </si>
  <si>
    <t>co2swbadsl_2019</t>
  </si>
  <si>
    <t>co2swbabzn_2019</t>
  </si>
  <si>
    <t>co2swbalpg_2019</t>
  </si>
  <si>
    <t>co2swpabzn_2019</t>
  </si>
  <si>
    <t>co2swpadsl_2019</t>
  </si>
  <si>
    <t>co2swpalpg_2019</t>
  </si>
  <si>
    <t>co2swtw_2019</t>
  </si>
  <si>
    <t>co2swzbv_2019</t>
  </si>
  <si>
    <t>co2swabag_2019</t>
  </si>
  <si>
    <t>vbrze_a_2019</t>
  </si>
  <si>
    <t>vbrzg_a_2019</t>
  </si>
  <si>
    <t>vbrzg_b_2019</t>
  </si>
  <si>
    <t>vbrzg_ctot_2019</t>
  </si>
  <si>
    <t>vbrzg_afval_2019</t>
  </si>
  <si>
    <t>vbrzg_f_2019</t>
  </si>
  <si>
    <t>vbrze_b_2019</t>
  </si>
  <si>
    <t>vbrze_ctot_2019</t>
  </si>
  <si>
    <t>vbrze_d_2019</t>
  </si>
  <si>
    <t>vbrze_afval_2019</t>
  </si>
  <si>
    <t>vbrze_f_2019</t>
  </si>
  <si>
    <t>pv_vermogen_2019</t>
  </si>
  <si>
    <t>zon_vermogen_won_2019</t>
  </si>
  <si>
    <t>zon_vermogen_bdr_2019</t>
  </si>
  <si>
    <t>zonvld_2019</t>
  </si>
  <si>
    <t>biogas_warm_2019</t>
  </si>
  <si>
    <t>biogas_el_2019</t>
  </si>
  <si>
    <t>ovbio_thtj_2019</t>
  </si>
  <si>
    <t>ovbio_th_wkk_tj_2019</t>
  </si>
  <si>
    <t>geothermtj_2019</t>
  </si>
  <si>
    <t>ovbio_eltjbrut_2019</t>
  </si>
  <si>
    <t>watertjbrutnorm_2019</t>
  </si>
  <si>
    <t>windtjbrutnorm_2019</t>
  </si>
  <si>
    <t>avi_eltjbrut_2019</t>
  </si>
  <si>
    <t>avi_thtjbrut_2019</t>
  </si>
  <si>
    <t>efac_benz_g_mj_2019</t>
  </si>
  <si>
    <t>efac_diesel_g_mj_2019</t>
  </si>
  <si>
    <t>efac_lpg_g_mj_2019</t>
  </si>
  <si>
    <t>efacgas_2019</t>
  </si>
  <si>
    <t>vbrzg_tot_tj_2019</t>
  </si>
  <si>
    <t>vbrze_tot_tj_2019</t>
  </si>
  <si>
    <t>zonpvtj_2019</t>
  </si>
  <si>
    <t>warelektr_2019</t>
  </si>
  <si>
    <t>hern_warm_tot_ex_groengas_2019</t>
  </si>
  <si>
    <t>windmw_2019</t>
  </si>
  <si>
    <t>efacel_2019</t>
  </si>
  <si>
    <t>warwarmte_2019</t>
  </si>
  <si>
    <t>ondieptj_2019</t>
  </si>
  <si>
    <t>Variable Klimaatmonitor corrected</t>
  </si>
  <si>
    <t>co2_bk_ba_lpg</t>
  </si>
  <si>
    <t>co2_bk_ba_diesel</t>
  </si>
  <si>
    <t>co2_bk_pa_diesel</t>
  </si>
  <si>
    <t>co2_bk_pa_lpg</t>
  </si>
  <si>
    <t>co2_bk_pa_cng</t>
  </si>
  <si>
    <t>co2_bk_ba_gasoline</t>
  </si>
  <si>
    <t>co2_bk_ba_cng</t>
  </si>
  <si>
    <t>co2_bk_ab_diesel</t>
  </si>
  <si>
    <t>co2_bk_ab_cng</t>
  </si>
  <si>
    <t>co2_bw_pa_gasoline</t>
  </si>
  <si>
    <t>co2_bw_pa_diesel</t>
  </si>
  <si>
    <t>co2_bw_pa_lpg</t>
  </si>
  <si>
    <t>co2_bw_pa_cng</t>
  </si>
  <si>
    <t>co2_bw_ba_gasoline</t>
  </si>
  <si>
    <t>co2_bw_ba_diesel</t>
  </si>
  <si>
    <t>co2_bw_ba_lpg</t>
  </si>
  <si>
    <t>co2_bw_ba_cng</t>
  </si>
  <si>
    <t>co2_bw_ab_diesel</t>
  </si>
  <si>
    <t>co2_bw_ab_cng</t>
  </si>
  <si>
    <t>co2_sw_pa_gasoline</t>
  </si>
  <si>
    <t>co2_sw_pa_diesel</t>
  </si>
  <si>
    <t>co2_sw_pa_lpg</t>
  </si>
  <si>
    <t>co2_sw_pa_cng</t>
  </si>
  <si>
    <t>co2_sw_ba_gasoline</t>
  </si>
  <si>
    <t>co2_sw_ba_diesel</t>
  </si>
  <si>
    <t>co2_sw_ba_lpg</t>
  </si>
  <si>
    <t>co2_sw_ba_cng</t>
  </si>
  <si>
    <t>co2_sw_ab_diesel</t>
  </si>
  <si>
    <t>co2_sw_ab_cng</t>
  </si>
  <si>
    <t>tp_car_gas_co2_built_env</t>
  </si>
  <si>
    <t>tp_car_gas_co2_road</t>
  </si>
  <si>
    <t>tp_car_gas_co2_motorway</t>
  </si>
  <si>
    <t>tp_van_gas_co2_road</t>
  </si>
  <si>
    <t>tp_van_gas_co2_built_env</t>
  </si>
  <si>
    <t>tp_van_gas_co2_motorway</t>
  </si>
  <si>
    <t>-</t>
  </si>
  <si>
    <t>km-variable</t>
  </si>
  <si>
    <t>internal variable (ivar)</t>
  </si>
  <si>
    <t>ivar unit</t>
  </si>
  <si>
    <t>Converted unit corrected</t>
  </si>
  <si>
    <t>co2_bk_pa_gasoline</t>
  </si>
  <si>
    <t>tonne/TJ</t>
  </si>
  <si>
    <t>tonne/TJ (natural gas)</t>
  </si>
  <si>
    <t>tonne/TJ (electricity)</t>
  </si>
  <si>
    <t>commercial_solar_roof_kw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</si>
</sst>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0" xfId="0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5</xdr:row>
      <xdr:rowOff>127000</xdr:rowOff>
    </xdr:from>
    <xdr:to>
      <xdr:col>12</xdr:col>
      <xdr:colOff>152400</xdr:colOff>
      <xdr:row>27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8242A2-3323-01D7-FBED-9D1333FD8EDE}"/>
            </a:ext>
          </a:extLst>
        </xdr:cNvPr>
        <xdr:cNvSpPr/>
      </xdr:nvSpPr>
      <xdr:spPr>
        <a:xfrm>
          <a:off x="6959600" y="1143000"/>
          <a:ext cx="6591300" cy="4394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This is the output csv file that is read into the Preprocessing notebook </a:t>
          </a:r>
        </a:p>
        <a:p>
          <a:pPr algn="l"/>
          <a:r>
            <a:rPr lang="en-GB" sz="1100"/>
            <a:t>(KM municipal data --&gt; Transform --&gt; Combine)</a:t>
          </a:r>
        </a:p>
        <a:p>
          <a:pPr algn="l"/>
          <a:endParaRPr lang="en-GB" sz="1100"/>
        </a:p>
        <a:p>
          <a:pPr algn="l"/>
          <a:r>
            <a:rPr lang="en-GB" sz="1100"/>
            <a:t>Save as</a:t>
          </a:r>
          <a:r>
            <a:rPr lang="en-GB" sz="1100" baseline="0"/>
            <a:t> tab name</a:t>
          </a:r>
        </a:p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5</xdr:row>
      <xdr:rowOff>63500</xdr:rowOff>
    </xdr:from>
    <xdr:to>
      <xdr:col>14</xdr:col>
      <xdr:colOff>165100</xdr:colOff>
      <xdr:row>18</xdr:row>
      <xdr:rowOff>177800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F4CED3E-5C2F-68D5-2626-96CB1D18354C}"/>
            </a:ext>
          </a:extLst>
        </xdr:cNvPr>
        <xdr:cNvSpPr/>
      </xdr:nvSpPr>
      <xdr:spPr>
        <a:xfrm>
          <a:off x="10972800" y="1079500"/>
          <a:ext cx="4152900" cy="275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This sheet removes the 2019 suffix</a:t>
          </a:r>
          <a:r>
            <a:rPr lang="en-GB" sz="1100" baseline="0"/>
            <a:t> from the Klimaatmonitor variables on the 'unit_conversion_overview_XCL_A' tab and retrieves all corresponding data.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Two data alterations take place here:</a:t>
          </a:r>
        </a:p>
        <a:p>
          <a:pPr algn="l"/>
          <a:r>
            <a:rPr lang="en-GB" sz="1100" baseline="0"/>
            <a:t>1. the </a:t>
          </a:r>
          <a:r>
            <a:rPr lang="en-GB" sz="1100" baseline="0">
              <a:solidFill>
                <a:srgbClr val="FFFF00"/>
              </a:solidFill>
            </a:rPr>
            <a:t>yellow lines </a:t>
          </a:r>
          <a:r>
            <a:rPr lang="en-GB" sz="1100" baseline="0">
              <a:solidFill>
                <a:schemeClr val="bg1"/>
              </a:solidFill>
            </a:rPr>
            <a:t>are variables that are renamed compared to the 2019 dataset updates. These wereinternally calculated in Excel A (see tab 'KM_transport_dump') but are now calculated in the Preprocessing notebook (KM municipal data --&gt; Transform --&gt; Transport data)</a:t>
          </a:r>
        </a:p>
        <a:p>
          <a:pPr algn="l"/>
          <a:endParaRPr lang="en-GB" sz="1100" baseline="0">
            <a:solidFill>
              <a:schemeClr val="bg1"/>
            </a:solidFill>
          </a:endParaRPr>
        </a:p>
        <a:p>
          <a:pPr algn="l"/>
          <a:r>
            <a:rPr lang="en-GB" sz="1100" baseline="0">
              <a:solidFill>
                <a:schemeClr val="bg1"/>
              </a:solidFill>
            </a:rPr>
            <a:t>2. the </a:t>
          </a:r>
          <a:r>
            <a:rPr lang="en-GB" sz="1100" baseline="0">
              <a:solidFill>
                <a:schemeClr val="accent6"/>
              </a:solidFill>
            </a:rPr>
            <a:t>green lines </a:t>
          </a:r>
          <a:r>
            <a:rPr lang="en-GB" sz="1100" baseline="0">
              <a:solidFill>
                <a:schemeClr val="bg1"/>
              </a:solidFill>
            </a:rPr>
            <a:t>are new variables that are calculated in the preprocessing notebook (KM municipal data --&gt; Transform --&gt; Transport data)</a:t>
          </a:r>
          <a:endParaRPr lang="en-GB" sz="1100" baseline="0">
            <a:solidFill>
              <a:schemeClr val="accent6"/>
            </a:solidFill>
          </a:endParaRPr>
        </a:p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30</xdr:row>
      <xdr:rowOff>0</xdr:rowOff>
    </xdr:from>
    <xdr:to>
      <xdr:col>13</xdr:col>
      <xdr:colOff>165100</xdr:colOff>
      <xdr:row>43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F6C5B43-E180-C744-B7D1-6703EA36A376}"/>
            </a:ext>
          </a:extLst>
        </xdr:cNvPr>
        <xdr:cNvSpPr/>
      </xdr:nvSpPr>
      <xdr:spPr>
        <a:xfrm>
          <a:off x="13919200" y="6108700"/>
          <a:ext cx="4152900" cy="2755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This sheet is manually copied from '202110_A_ETLocal_data_transformation_Klimaatmonitor_2019.xlsx'.</a:t>
          </a:r>
        </a:p>
        <a:p>
          <a:pPr algn="l"/>
          <a:endParaRPr lang="en-GB" sz="1100"/>
        </a:p>
        <a:p>
          <a:pPr algn="l"/>
          <a:r>
            <a:rPr lang="en-GB" sz="1100"/>
            <a:t>Some</a:t>
          </a:r>
          <a:r>
            <a:rPr lang="en-GB" sz="1100" baseline="0"/>
            <a:t> units have been manually added or corrected, e.g. '</a:t>
          </a:r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efac_lpg_g_mj_2019</a:t>
          </a:r>
          <a:r>
            <a:rPr lang="en-GB"/>
            <a:t> '.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68E0-311E-104A-BC91-3D2A04A20761}">
  <sheetPr>
    <tabColor theme="2" tint="-9.9978637043366805E-2"/>
  </sheetPr>
  <dimension ref="A1:E138"/>
  <sheetViews>
    <sheetView workbookViewId="0">
      <selection activeCell="D1" sqref="D1"/>
    </sheetView>
  </sheetViews>
  <sheetFormatPr baseColWidth="10" defaultRowHeight="16" x14ac:dyDescent="0.2"/>
  <cols>
    <col min="1" max="1" width="29.33203125" bestFit="1" customWidth="1"/>
    <col min="2" max="2" width="37.33203125" bestFit="1" customWidth="1"/>
    <col min="3" max="3" width="25.1640625" bestFit="1" customWidth="1"/>
    <col min="4" max="4" width="13.1640625" bestFit="1" customWidth="1"/>
    <col min="5" max="5" width="15.5" bestFit="1" customWidth="1"/>
  </cols>
  <sheetData>
    <row r="1" spans="1:5" x14ac:dyDescent="0.2">
      <c r="A1" s="12" t="str" cm="1">
        <f t="array" ref="A1:A138">LEFT(_xlfn._xlws.FILTER('unit_conversion_overview_XCL-A'!A:A,'unit_conversion_overview_XCL-A'!A:A&lt;&gt;""),IFERROR(SEARCH("2019",_xlfn._xlws.FILTER('unit_conversion_overview_XCL-A'!A:A,'unit_conversion_overview_XCL-A'!A:A&lt;&gt;""))-2,LEN(_xlfn._xlws.FILTER('unit_conversion_overview_XCL-A'!A:A,'unit_conversion_overview_XCL-A'!A:A&lt;&gt;""))))</f>
        <v>Variable Klimaatmonitor</v>
      </c>
      <c r="B1" s="12" t="str" cm="1">
        <f t="array" ref="B1:B138">_xlfn._xlws.FILTER('unit_conversion_overview_XCL-A'!B:B,'unit_conversion_overview_XCL-A'!B:B&lt;&gt;"")</f>
        <v>Internal variable name</v>
      </c>
      <c r="C1" s="12" t="str" cm="1">
        <f t="array" ref="C1:C138">_xlfn._xlws.FILTER('unit_conversion_overview_XCL-A'!C:C,'unit_conversion_overview_XCL-A'!C:C&lt;&gt;"")</f>
        <v>Conversion</v>
      </c>
      <c r="D1" s="12" t="str" cm="1">
        <f t="array" ref="D1:D138">_xlfn._xlws.FILTER('unit_conversion_overview_XCL-A'!D:D,'unit_conversion_overview_XCL-A'!D:D&lt;&gt;"")</f>
        <v>Converted unit</v>
      </c>
      <c r="E1" s="12" t="str" cm="1">
        <f t="array" ref="E1:E138">_xlfn._xlws.FILTER('unit_conversion_overview_XCL-A'!E:E,'unit_conversion_overview_XCL-A'!E:E&lt;&gt;"")</f>
        <v>Conversion factor</v>
      </c>
    </row>
    <row r="2" spans="1:5" x14ac:dyDescent="0.2">
      <c r="A2" t="str">
        <v>inwoners</v>
      </c>
      <c r="B2" t="str">
        <v>no_inhabitants</v>
      </c>
      <c r="C2" t="str">
        <v>no conversion</v>
      </c>
      <c r="D2" t="str">
        <v>#</v>
      </c>
      <c r="E2">
        <v>1</v>
      </c>
    </row>
    <row r="3" spans="1:5" x14ac:dyDescent="0.2">
      <c r="A3" t="str">
        <v>woningen</v>
      </c>
      <c r="B3" t="str">
        <v>no_residences</v>
      </c>
      <c r="C3" t="str">
        <v>no conversion</v>
      </c>
      <c r="D3" t="str">
        <v>#</v>
      </c>
      <c r="E3">
        <v>1</v>
      </c>
    </row>
    <row r="4" spans="1:5" x14ac:dyDescent="0.2">
      <c r="A4" t="str">
        <v>pautos</v>
      </c>
      <c r="B4" t="str">
        <v>no_cars</v>
      </c>
      <c r="C4" t="str">
        <v>no conversion</v>
      </c>
      <c r="D4" t="str">
        <v>#</v>
      </c>
      <c r="E4">
        <v>1</v>
      </c>
    </row>
    <row r="5" spans="1:5" x14ac:dyDescent="0.2">
      <c r="A5" t="str">
        <v>energie_totaal_combi</v>
      </c>
      <c r="B5" t="str">
        <v>total_energy_tj</v>
      </c>
      <c r="C5" t="str">
        <v>no conversion</v>
      </c>
      <c r="D5" t="str">
        <v>TJ</v>
      </c>
      <c r="E5">
        <v>1</v>
      </c>
    </row>
    <row r="6" spans="1:5" x14ac:dyDescent="0.2">
      <c r="A6" t="str">
        <v>verk_totaal</v>
      </c>
      <c r="B6" t="str">
        <v>tp_total_energy_tj</v>
      </c>
      <c r="C6" t="str">
        <v>no conversion</v>
      </c>
      <c r="D6" t="str">
        <v>TJ</v>
      </c>
      <c r="E6">
        <v>1</v>
      </c>
    </row>
    <row r="7" spans="1:5" x14ac:dyDescent="0.2">
      <c r="A7" t="str">
        <v>elektra_totaal_combi</v>
      </c>
      <c r="B7" t="str">
        <v>total_electricity_tj</v>
      </c>
      <c r="C7" t="str">
        <v>no conversion</v>
      </c>
      <c r="D7" t="str">
        <v>TJ</v>
      </c>
      <c r="E7">
        <v>1</v>
      </c>
    </row>
    <row r="8" spans="1:5" x14ac:dyDescent="0.2">
      <c r="A8" t="str">
        <v>warm_totaal_combi</v>
      </c>
      <c r="B8" t="str">
        <v>total_gas_heat_tj_temp_corrected</v>
      </c>
      <c r="C8" t="str">
        <v>no conversion</v>
      </c>
      <c r="D8" t="str">
        <v>TJ</v>
      </c>
      <c r="E8">
        <v>1</v>
      </c>
    </row>
    <row r="9" spans="1:5" x14ac:dyDescent="0.2">
      <c r="A9" t="str">
        <v>zonpvachtermeter_kwh</v>
      </c>
      <c r="B9" t="str">
        <v>solar_pv_own_use_total_tj</v>
      </c>
      <c r="C9" t="str">
        <v>mln KWh to TJ</v>
      </c>
      <c r="D9" t="str">
        <v>TJ</v>
      </c>
      <c r="E9">
        <v>3.5999999999999996</v>
      </c>
    </row>
    <row r="10" spans="1:5" x14ac:dyDescent="0.2">
      <c r="A10" t="str">
        <v>hern_warm_tot</v>
      </c>
      <c r="B10" t="str">
        <v>total_renewable_heat_tj</v>
      </c>
      <c r="C10" t="str">
        <v>no conversion</v>
      </c>
      <c r="D10" t="str">
        <v>TJ</v>
      </c>
      <c r="E10">
        <v>1</v>
      </c>
    </row>
    <row r="11" spans="1:5" x14ac:dyDescent="0.2">
      <c r="A11" t="str">
        <v>gas_woningen_tj</v>
      </c>
      <c r="B11" t="str">
        <v>hh_gas_tj_temp_corrected</v>
      </c>
      <c r="C11" t="str">
        <v>no conversion</v>
      </c>
      <c r="D11" t="str">
        <v>TJ</v>
      </c>
      <c r="E11">
        <v>1</v>
      </c>
    </row>
    <row r="12" spans="1:5" x14ac:dyDescent="0.2">
      <c r="A12" t="str">
        <v>warmwontjcor</v>
      </c>
      <c r="B12" t="str">
        <v>hh_heat_tj_temp_corrected</v>
      </c>
      <c r="C12" t="str">
        <v>no conversion</v>
      </c>
      <c r="D12" t="str">
        <v>TJ</v>
      </c>
      <c r="E12">
        <v>1</v>
      </c>
    </row>
    <row r="13" spans="1:5" x14ac:dyDescent="0.2">
      <c r="A13" t="str">
        <v>kwbelektotaal</v>
      </c>
      <c r="B13" t="str">
        <v>hh_electricity_tj</v>
      </c>
      <c r="C13" t="str">
        <v>mln KWh to TJ</v>
      </c>
      <c r="D13" t="str">
        <v>TJ</v>
      </c>
      <c r="E13">
        <v>3.5999999999999996</v>
      </c>
    </row>
    <row r="14" spans="1:5" x14ac:dyDescent="0.2">
      <c r="A14" t="str">
        <v>kwbgastotaal</v>
      </c>
      <c r="B14" t="str">
        <v>hh_gas_tj</v>
      </c>
      <c r="C14" t="str">
        <v>mln m3 (natural gas) to TJ</v>
      </c>
      <c r="D14" t="str">
        <v>TJ</v>
      </c>
      <c r="E14">
        <v>31.65</v>
      </c>
    </row>
    <row r="15" spans="1:5" x14ac:dyDescent="0.2">
      <c r="A15" t="str">
        <v>warmwontier2</v>
      </c>
      <c r="B15" t="str">
        <v>hh_heat_tj</v>
      </c>
      <c r="C15" t="str">
        <v>GJ to TJ</v>
      </c>
      <c r="D15" t="str">
        <v>TJ</v>
      </c>
      <c r="E15">
        <v>1E-3</v>
      </c>
    </row>
    <row r="16" spans="1:5" x14ac:dyDescent="0.2">
      <c r="A16" t="str">
        <v>houtskool</v>
      </c>
      <c r="B16" t="str">
        <v>hh_biomass_cooking_tj</v>
      </c>
      <c r="C16" t="str">
        <v>no conversion</v>
      </c>
      <c r="D16" t="str">
        <v>TJ</v>
      </c>
      <c r="E16">
        <v>1</v>
      </c>
    </row>
    <row r="17" spans="1:5" x14ac:dyDescent="0.2">
      <c r="A17" t="str">
        <v>houtwontj</v>
      </c>
      <c r="B17" t="str">
        <v>hh_biomass_heat_tj</v>
      </c>
      <c r="C17" t="str">
        <v>no conversion</v>
      </c>
      <c r="D17" t="str">
        <v>TJ</v>
      </c>
      <c r="E17">
        <v>1</v>
      </c>
    </row>
    <row r="18" spans="1:5" x14ac:dyDescent="0.2">
      <c r="A18" t="str">
        <v>gascomdv</v>
      </c>
      <c r="B18" t="str">
        <v>bd_commercial_gas_tj</v>
      </c>
      <c r="C18" t="str">
        <v>m3 (natural gas) to TJ</v>
      </c>
      <c r="D18" t="str">
        <v>TJ</v>
      </c>
      <c r="E18">
        <v>3.1649999999999997E-5</v>
      </c>
    </row>
    <row r="19" spans="1:5" x14ac:dyDescent="0.2">
      <c r="A19" t="str">
        <v>gaspubldv</v>
      </c>
      <c r="B19" t="str">
        <v>bd_public_gas_tj</v>
      </c>
      <c r="C19" t="str">
        <v>m3 (natural gas) to TJ</v>
      </c>
      <c r="D19" t="str">
        <v>TJ</v>
      </c>
      <c r="E19">
        <v>3.1649999999999997E-5</v>
      </c>
    </row>
    <row r="20" spans="1:5" x14ac:dyDescent="0.2">
      <c r="A20" t="str">
        <v>elcomdv</v>
      </c>
      <c r="B20" t="str">
        <v>bd_commercial_electricity_tj</v>
      </c>
      <c r="C20" t="str">
        <v>kWh to TJ</v>
      </c>
      <c r="D20" t="str">
        <v>TJ</v>
      </c>
      <c r="E20">
        <v>3.5999999999999998E-6</v>
      </c>
    </row>
    <row r="21" spans="1:5" x14ac:dyDescent="0.2">
      <c r="A21" t="str">
        <v>elpubldv</v>
      </c>
      <c r="B21" t="str">
        <v>bd_public_electricity_tj</v>
      </c>
      <c r="C21" t="str">
        <v>kWh to TJ</v>
      </c>
      <c r="D21" t="str">
        <v>TJ</v>
      </c>
      <c r="E21">
        <v>3.5999999999999998E-6</v>
      </c>
    </row>
    <row r="22" spans="1:5" x14ac:dyDescent="0.2">
      <c r="A22" t="str">
        <v>vbrzg_g1</v>
      </c>
      <c r="B22" t="str">
        <v>bd_gas_sbi_g_tj</v>
      </c>
      <c r="C22" t="str">
        <v>m3 (natural gas) to TJ</v>
      </c>
      <c r="D22" t="str">
        <v>TJ</v>
      </c>
      <c r="E22">
        <v>3.1649999999999997E-5</v>
      </c>
    </row>
    <row r="23" spans="1:5" x14ac:dyDescent="0.2">
      <c r="A23" t="str">
        <v>vbrzg_h</v>
      </c>
      <c r="B23" t="str">
        <v>bd_gas_sbi_h_tj</v>
      </c>
      <c r="C23" t="str">
        <v>m3 (natural gas) to TJ</v>
      </c>
      <c r="D23" t="str">
        <v>TJ</v>
      </c>
      <c r="E23">
        <v>3.1649999999999997E-5</v>
      </c>
    </row>
    <row r="24" spans="1:5" x14ac:dyDescent="0.2">
      <c r="A24" t="str">
        <v>vbrzg_i</v>
      </c>
      <c r="B24" t="str">
        <v>bd_gas_sbi_i_tj</v>
      </c>
      <c r="C24" t="str">
        <v>m3 (natural gas) to TJ</v>
      </c>
      <c r="D24" t="str">
        <v>TJ</v>
      </c>
      <c r="E24">
        <v>3.1649999999999997E-5</v>
      </c>
    </row>
    <row r="25" spans="1:5" x14ac:dyDescent="0.2">
      <c r="A25" t="str">
        <v>vbrzg_j</v>
      </c>
      <c r="B25" t="str">
        <v>bd_gas_sbi_j_tj</v>
      </c>
      <c r="C25" t="str">
        <v>m3 (natural gas) to TJ</v>
      </c>
      <c r="D25" t="str">
        <v>TJ</v>
      </c>
      <c r="E25">
        <v>3.1649999999999997E-5</v>
      </c>
    </row>
    <row r="26" spans="1:5" x14ac:dyDescent="0.2">
      <c r="A26" t="str">
        <v>vbrzg_k</v>
      </c>
      <c r="B26" t="str">
        <v>bd_gas_sbi_k_tj</v>
      </c>
      <c r="C26" t="str">
        <v>m3 (natural gas) to TJ</v>
      </c>
      <c r="D26" t="str">
        <v>TJ</v>
      </c>
      <c r="E26">
        <v>3.1649999999999997E-5</v>
      </c>
    </row>
    <row r="27" spans="1:5" x14ac:dyDescent="0.2">
      <c r="A27" t="str">
        <v>vbrzg_l</v>
      </c>
      <c r="B27" t="str">
        <v>bd_gas_sbi_l_tj</v>
      </c>
      <c r="C27" t="str">
        <v>m3 (natural gas) to TJ</v>
      </c>
      <c r="D27" t="str">
        <v>TJ</v>
      </c>
      <c r="E27">
        <v>3.1649999999999997E-5</v>
      </c>
    </row>
    <row r="28" spans="1:5" x14ac:dyDescent="0.2">
      <c r="A28" t="str">
        <v>vbrzg_m</v>
      </c>
      <c r="B28" t="str">
        <v>bd_gas_sbi_m_tj</v>
      </c>
      <c r="C28" t="str">
        <v>m3 (natural gas) to TJ</v>
      </c>
      <c r="D28" t="str">
        <v>TJ</v>
      </c>
      <c r="E28">
        <v>3.1649999999999997E-5</v>
      </c>
    </row>
    <row r="29" spans="1:5" x14ac:dyDescent="0.2">
      <c r="A29" t="str">
        <v>vbrzg_n</v>
      </c>
      <c r="B29" t="str">
        <v>bd_gas_sbi_n_tj</v>
      </c>
      <c r="C29" t="str">
        <v>m3 (natural gas) to TJ</v>
      </c>
      <c r="D29" t="str">
        <v>TJ</v>
      </c>
      <c r="E29">
        <v>3.1649999999999997E-5</v>
      </c>
    </row>
    <row r="30" spans="1:5" x14ac:dyDescent="0.2">
      <c r="A30" t="str">
        <v>vbrzg_o</v>
      </c>
      <c r="B30" t="str">
        <v>bd_gas_sbi_o_tj</v>
      </c>
      <c r="C30" t="str">
        <v>m3 (natural gas) to TJ</v>
      </c>
      <c r="D30" t="str">
        <v>TJ</v>
      </c>
      <c r="E30">
        <v>3.1649999999999997E-5</v>
      </c>
    </row>
    <row r="31" spans="1:5" x14ac:dyDescent="0.2">
      <c r="A31" t="str">
        <v>vbrzg_p</v>
      </c>
      <c r="B31" t="str">
        <v>bd_gas_sbi_p_tj</v>
      </c>
      <c r="C31" t="str">
        <v>m3 (natural gas) to TJ</v>
      </c>
      <c r="D31" t="str">
        <v>TJ</v>
      </c>
      <c r="E31">
        <v>3.1649999999999997E-5</v>
      </c>
    </row>
    <row r="32" spans="1:5" x14ac:dyDescent="0.2">
      <c r="A32" t="str">
        <v>vbrzg_q</v>
      </c>
      <c r="B32" t="str">
        <v>bd_gas_sbi_q_tj</v>
      </c>
      <c r="C32" t="str">
        <v>m3 (natural gas) to TJ</v>
      </c>
      <c r="D32" t="str">
        <v>TJ</v>
      </c>
      <c r="E32">
        <v>3.1649999999999997E-5</v>
      </c>
    </row>
    <row r="33" spans="1:5" x14ac:dyDescent="0.2">
      <c r="A33" t="str">
        <v>vbrzg_r1</v>
      </c>
      <c r="B33" t="str">
        <v>bd_gas_sbi_r_tj</v>
      </c>
      <c r="C33" t="str">
        <v>m3 (natural gas) to TJ</v>
      </c>
      <c r="D33" t="str">
        <v>TJ</v>
      </c>
      <c r="E33">
        <v>3.1649999999999997E-5</v>
      </c>
    </row>
    <row r="34" spans="1:5" x14ac:dyDescent="0.2">
      <c r="A34" t="str">
        <v>vbrzg_s</v>
      </c>
      <c r="B34" t="str">
        <v>bd_gas_sbi_s_tj</v>
      </c>
      <c r="C34" t="str">
        <v>m3 (natural gas) to TJ</v>
      </c>
      <c r="D34" t="str">
        <v>TJ</v>
      </c>
      <c r="E34">
        <v>3.1649999999999997E-5</v>
      </c>
    </row>
    <row r="35" spans="1:5" x14ac:dyDescent="0.2">
      <c r="A35" t="str">
        <v>vbrzg_u</v>
      </c>
      <c r="B35" t="str">
        <v>bd_gas_sbi_u_tj</v>
      </c>
      <c r="C35" t="str">
        <v>m3 (natural gas) to TJ</v>
      </c>
      <c r="D35" t="str">
        <v>TJ</v>
      </c>
      <c r="E35">
        <v>3.1649999999999997E-5</v>
      </c>
    </row>
    <row r="36" spans="1:5" x14ac:dyDescent="0.2">
      <c r="A36" t="str">
        <v>vbrze_g1</v>
      </c>
      <c r="B36" t="str">
        <v>bd_electricity_sbi_g_tj</v>
      </c>
      <c r="C36" t="str">
        <v>kWh to TJ</v>
      </c>
      <c r="D36" t="str">
        <v>TJ</v>
      </c>
      <c r="E36">
        <v>3.5999999999999998E-6</v>
      </c>
    </row>
    <row r="37" spans="1:5" x14ac:dyDescent="0.2">
      <c r="A37" t="str">
        <v>vbrze_h</v>
      </c>
      <c r="B37" t="str">
        <v>bd_electricity_sbi_h_tj</v>
      </c>
      <c r="C37" t="str">
        <v>kWh to TJ</v>
      </c>
      <c r="D37" t="str">
        <v>TJ</v>
      </c>
      <c r="E37">
        <v>3.5999999999999998E-6</v>
      </c>
    </row>
    <row r="38" spans="1:5" x14ac:dyDescent="0.2">
      <c r="A38" t="str">
        <v>vbrze_i</v>
      </c>
      <c r="B38" t="str">
        <v>bd_electricity_sbi_i_tj</v>
      </c>
      <c r="C38" t="str">
        <v>kWh to TJ</v>
      </c>
      <c r="D38" t="str">
        <v>TJ</v>
      </c>
      <c r="E38">
        <v>3.5999999999999998E-6</v>
      </c>
    </row>
    <row r="39" spans="1:5" x14ac:dyDescent="0.2">
      <c r="A39" t="str">
        <v>vbrze_j</v>
      </c>
      <c r="B39" t="str">
        <v>bd_electricity_sbi_j_tj</v>
      </c>
      <c r="C39" t="str">
        <v>kWh to TJ</v>
      </c>
      <c r="D39" t="str">
        <v>TJ</v>
      </c>
      <c r="E39">
        <v>3.5999999999999998E-6</v>
      </c>
    </row>
    <row r="40" spans="1:5" x14ac:dyDescent="0.2">
      <c r="A40" t="str">
        <v>vbrze_k</v>
      </c>
      <c r="B40" t="str">
        <v>bd_electricity_sbi_k_tj</v>
      </c>
      <c r="C40" t="str">
        <v>kWh to TJ</v>
      </c>
      <c r="D40" t="str">
        <v>TJ</v>
      </c>
      <c r="E40">
        <v>3.5999999999999998E-6</v>
      </c>
    </row>
    <row r="41" spans="1:5" x14ac:dyDescent="0.2">
      <c r="A41" t="str">
        <v>vbrze_l</v>
      </c>
      <c r="B41" t="str">
        <v>bd_electricity_sbi_l_tj</v>
      </c>
      <c r="C41" t="str">
        <v>kWh to TJ</v>
      </c>
      <c r="D41" t="str">
        <v>TJ</v>
      </c>
      <c r="E41">
        <v>3.5999999999999998E-6</v>
      </c>
    </row>
    <row r="42" spans="1:5" x14ac:dyDescent="0.2">
      <c r="A42" t="str">
        <v>vbrze_m</v>
      </c>
      <c r="B42" t="str">
        <v>bd_electricity_sbi_m_tj</v>
      </c>
      <c r="C42" t="str">
        <v>kWh to TJ</v>
      </c>
      <c r="D42" t="str">
        <v>TJ</v>
      </c>
      <c r="E42">
        <v>3.5999999999999998E-6</v>
      </c>
    </row>
    <row r="43" spans="1:5" x14ac:dyDescent="0.2">
      <c r="A43" t="str">
        <v>vbrze_n</v>
      </c>
      <c r="B43" t="str">
        <v>bd_electricity_sbi_n_tj</v>
      </c>
      <c r="C43" t="str">
        <v>kWh to TJ</v>
      </c>
      <c r="D43" t="str">
        <v>TJ</v>
      </c>
      <c r="E43">
        <v>3.5999999999999998E-6</v>
      </c>
    </row>
    <row r="44" spans="1:5" x14ac:dyDescent="0.2">
      <c r="A44" t="str">
        <v>vbrze_o</v>
      </c>
      <c r="B44" t="str">
        <v>bd_electricity_sbi_o_tj</v>
      </c>
      <c r="C44" t="str">
        <v>kWh to TJ</v>
      </c>
      <c r="D44" t="str">
        <v>TJ</v>
      </c>
      <c r="E44">
        <v>3.5999999999999998E-6</v>
      </c>
    </row>
    <row r="45" spans="1:5" x14ac:dyDescent="0.2">
      <c r="A45" t="str">
        <v>vbrze_p</v>
      </c>
      <c r="B45" t="str">
        <v>bd_electricity_sbi_p_tj</v>
      </c>
      <c r="C45" t="str">
        <v>kWh to TJ</v>
      </c>
      <c r="D45" t="str">
        <v>TJ</v>
      </c>
      <c r="E45">
        <v>3.5999999999999998E-6</v>
      </c>
    </row>
    <row r="46" spans="1:5" x14ac:dyDescent="0.2">
      <c r="A46" t="str">
        <v>vbrze_q</v>
      </c>
      <c r="B46" t="str">
        <v>bd_electricity_sbi_q_tj</v>
      </c>
      <c r="C46" t="str">
        <v>kWh to TJ</v>
      </c>
      <c r="D46" t="str">
        <v>TJ</v>
      </c>
      <c r="E46">
        <v>3.5999999999999998E-6</v>
      </c>
    </row>
    <row r="47" spans="1:5" x14ac:dyDescent="0.2">
      <c r="A47" t="str">
        <v>vbrze_r1</v>
      </c>
      <c r="B47" t="str">
        <v>bd_electricity_sbi_r_tj</v>
      </c>
      <c r="C47" t="str">
        <v>kWh to TJ</v>
      </c>
      <c r="D47" t="str">
        <v>TJ</v>
      </c>
      <c r="E47">
        <v>3.5999999999999998E-6</v>
      </c>
    </row>
    <row r="48" spans="1:5" x14ac:dyDescent="0.2">
      <c r="A48" t="str">
        <v>vbrze_s</v>
      </c>
      <c r="B48" t="str">
        <v>bd_electricity_sbi_s_tj</v>
      </c>
      <c r="C48" t="str">
        <v>kWh to TJ</v>
      </c>
      <c r="D48" t="str">
        <v>TJ</v>
      </c>
      <c r="E48">
        <v>3.5999999999999998E-6</v>
      </c>
    </row>
    <row r="49" spans="1:5" x14ac:dyDescent="0.2">
      <c r="A49" t="str">
        <v>vbrze_u</v>
      </c>
      <c r="B49" t="str">
        <v>bd_electricity_sbi_u_tj</v>
      </c>
      <c r="C49" t="str">
        <v>kWh to TJ</v>
      </c>
      <c r="D49" t="str">
        <v>TJ</v>
      </c>
      <c r="E49">
        <v>3.5999999999999998E-6</v>
      </c>
    </row>
    <row r="50" spans="1:5" x14ac:dyDescent="0.2">
      <c r="A50" t="str">
        <v>energie_wegverk_tot</v>
      </c>
      <c r="B50" t="str">
        <v>tp_road_total_tj</v>
      </c>
      <c r="C50" t="str">
        <v>no conversion</v>
      </c>
      <c r="D50" t="str">
        <v>TJ</v>
      </c>
      <c r="E50">
        <v>1</v>
      </c>
    </row>
    <row r="51" spans="1:5" x14ac:dyDescent="0.2">
      <c r="A51" t="str">
        <v>energie_mobwerk</v>
      </c>
      <c r="B51" t="str">
        <v>tp_mobile_machines_inc_biofuels_tj</v>
      </c>
      <c r="C51" t="str">
        <v>no conversion</v>
      </c>
      <c r="D51" t="str">
        <v>TJ</v>
      </c>
      <c r="E51">
        <v>1</v>
      </c>
    </row>
    <row r="52" spans="1:5" x14ac:dyDescent="0.2">
      <c r="A52" t="str">
        <v>bio_verkeertj</v>
      </c>
      <c r="B52" t="str">
        <v>tp_road_bio_fuels_ex_mm_tj</v>
      </c>
      <c r="C52" t="str">
        <v>no conversion</v>
      </c>
      <c r="D52" t="str">
        <v>TJ</v>
      </c>
      <c r="E52">
        <v>1</v>
      </c>
    </row>
    <row r="53" spans="1:5" x14ac:dyDescent="0.2">
      <c r="A53" t="str">
        <v>bio_mobwerk_tj</v>
      </c>
      <c r="B53" t="str">
        <v>tp_mobile_machines_bio_fuels_tj</v>
      </c>
      <c r="C53" t="str">
        <v>no conversion</v>
      </c>
      <c r="D53" t="str">
        <v>TJ</v>
      </c>
      <c r="E53">
        <v>1</v>
      </c>
    </row>
    <row r="54" spans="1:5" x14ac:dyDescent="0.2">
      <c r="A54" t="str">
        <v>energie_rail</v>
      </c>
      <c r="B54" t="str">
        <v>tp_rail_diesel_tj</v>
      </c>
      <c r="C54" t="str">
        <v>no conversion</v>
      </c>
      <c r="D54" t="str">
        <v>TJ</v>
      </c>
      <c r="E54">
        <v>1</v>
      </c>
    </row>
    <row r="55" spans="1:5" x14ac:dyDescent="0.2">
      <c r="A55" t="str">
        <v>energie_binnenvaart</v>
      </c>
      <c r="B55" t="str">
        <v>tp_inland_ship_diesel_tj</v>
      </c>
      <c r="C55" t="str">
        <v>no conversion</v>
      </c>
      <c r="D55" t="str">
        <v>TJ</v>
      </c>
      <c r="E55">
        <v>1</v>
      </c>
    </row>
    <row r="56" spans="1:5" x14ac:dyDescent="0.2">
      <c r="A56" t="str">
        <v>energie_zeevaart</v>
      </c>
      <c r="B56" t="str">
        <v>tp_sea_ship_diesel_tj</v>
      </c>
      <c r="C56" t="str">
        <v>no conversion</v>
      </c>
      <c r="D56" t="str">
        <v>TJ</v>
      </c>
      <c r="E56">
        <v>1</v>
      </c>
    </row>
    <row r="57" spans="1:5" x14ac:dyDescent="0.2">
      <c r="A57" t="str">
        <v>wbelek</v>
      </c>
      <c r="B57" t="str">
        <v>no_electric_busses</v>
      </c>
      <c r="C57" t="str">
        <v>no conversion</v>
      </c>
      <c r="D57" t="str">
        <v>#</v>
      </c>
      <c r="E57">
        <v>1</v>
      </c>
    </row>
    <row r="58" spans="1:5" x14ac:dyDescent="0.2">
      <c r="A58" t="str">
        <v>bedrautoelek</v>
      </c>
      <c r="B58" t="str">
        <v>no_electric_vans</v>
      </c>
      <c r="C58" t="str">
        <v>no conversion</v>
      </c>
      <c r="D58" t="str">
        <v>#</v>
      </c>
      <c r="E58">
        <v>1</v>
      </c>
    </row>
    <row r="59" spans="1:5" x14ac:dyDescent="0.2">
      <c r="A59" t="str">
        <v>wpelek</v>
      </c>
      <c r="B59" t="str">
        <v>no_electric_cars_fev</v>
      </c>
      <c r="C59" t="str">
        <v>no conversion</v>
      </c>
      <c r="D59" t="str">
        <v>#</v>
      </c>
      <c r="E59">
        <v>1</v>
      </c>
    </row>
    <row r="60" spans="1:5" x14ac:dyDescent="0.2">
      <c r="A60" t="str">
        <v>rangeextend</v>
      </c>
      <c r="B60" t="str">
        <v>no_electric_cars_phev</v>
      </c>
      <c r="C60" t="str">
        <v>no conversion</v>
      </c>
      <c r="D60" t="str">
        <v>#</v>
      </c>
      <c r="E60">
        <v>1</v>
      </c>
    </row>
    <row r="61" spans="1:5" x14ac:dyDescent="0.2">
      <c r="A61" t="str">
        <v>wmfelek</v>
      </c>
      <c r="B61" t="str">
        <v>no_electric_scooters</v>
      </c>
      <c r="C61" t="str">
        <v>no conversion</v>
      </c>
      <c r="D61" t="str">
        <v>#</v>
      </c>
      <c r="E61">
        <v>1</v>
      </c>
    </row>
    <row r="62" spans="1:5" x14ac:dyDescent="0.2">
      <c r="A62" t="str">
        <v>wbfelek</v>
      </c>
      <c r="B62" t="str">
        <v>no_electric_motorcycles</v>
      </c>
      <c r="C62" t="str">
        <v>no conversion</v>
      </c>
      <c r="D62" t="str">
        <v>#</v>
      </c>
      <c r="E62">
        <v>1</v>
      </c>
    </row>
    <row r="63" spans="1:5" x14ac:dyDescent="0.2">
      <c r="A63" t="str">
        <v>bedrgas</v>
      </c>
      <c r="B63" t="str">
        <v>no_cng_trucks</v>
      </c>
      <c r="C63" t="str">
        <v>no conversion</v>
      </c>
      <c r="D63" t="str">
        <v>#</v>
      </c>
      <c r="E63">
        <v>1</v>
      </c>
    </row>
    <row r="64" spans="1:5" x14ac:dyDescent="0.2">
      <c r="A64" t="str">
        <v>wbgas</v>
      </c>
      <c r="B64" t="str">
        <v>no_cng_busses</v>
      </c>
      <c r="C64" t="str">
        <v>no conversion</v>
      </c>
      <c r="D64" t="str">
        <v>#</v>
      </c>
      <c r="E64">
        <v>1</v>
      </c>
    </row>
    <row r="65" spans="1:5" x14ac:dyDescent="0.2">
      <c r="A65" t="str">
        <v>wpgas</v>
      </c>
      <c r="B65" t="str">
        <v>no_cng_cars</v>
      </c>
      <c r="C65" t="str">
        <v>no conversion</v>
      </c>
      <c r="D65" t="str">
        <v>#</v>
      </c>
      <c r="E65">
        <v>1</v>
      </c>
    </row>
    <row r="66" spans="1:5" x14ac:dyDescent="0.2">
      <c r="A66" t="str">
        <v>bus_h2</v>
      </c>
      <c r="B66" t="str">
        <v>no_h2_busses</v>
      </c>
      <c r="C66" t="str">
        <v>no conversion</v>
      </c>
      <c r="D66" t="str">
        <v>#</v>
      </c>
      <c r="E66">
        <v>1</v>
      </c>
    </row>
    <row r="67" spans="1:5" x14ac:dyDescent="0.2">
      <c r="A67" t="str">
        <v>p_auto_h2</v>
      </c>
      <c r="B67" t="str">
        <v>no_h2_cars</v>
      </c>
      <c r="C67" t="str">
        <v>no conversion</v>
      </c>
      <c r="D67" t="str">
        <v>#</v>
      </c>
      <c r="E67">
        <v>1</v>
      </c>
    </row>
    <row r="68" spans="1:5" x14ac:dyDescent="0.2">
      <c r="A68" t="str">
        <v>b_auto_h2</v>
      </c>
      <c r="B68" t="str">
        <v>no_h2_vans</v>
      </c>
      <c r="C68" t="str">
        <v>no conversion</v>
      </c>
      <c r="D68" t="str">
        <v>#</v>
      </c>
      <c r="E68">
        <v>1</v>
      </c>
    </row>
    <row r="69" spans="1:5" x14ac:dyDescent="0.2">
      <c r="A69" t="str">
        <v>wbz_h2</v>
      </c>
      <c r="B69" t="str">
        <v>no_h2_trucks</v>
      </c>
      <c r="C69" t="str">
        <v>no conversion</v>
      </c>
      <c r="D69" t="str">
        <v>#</v>
      </c>
      <c r="E69">
        <v>1</v>
      </c>
    </row>
    <row r="70" spans="1:5" x14ac:dyDescent="0.2">
      <c r="A70" t="str">
        <v>co2enmobwerk</v>
      </c>
      <c r="B70" t="str">
        <v>tp_mobile_machines_co2</v>
      </c>
      <c r="C70" t="str">
        <v>no conversion</v>
      </c>
      <c r="D70" t="str">
        <v>tonne</v>
      </c>
      <c r="E70">
        <v>1</v>
      </c>
    </row>
    <row r="71" spans="1:5" x14ac:dyDescent="0.2">
      <c r="A71" t="str">
        <v>co2bkabdsl</v>
      </c>
      <c r="B71" t="str">
        <v>tp_bus_diesel_co2_built_env</v>
      </c>
      <c r="C71" t="str">
        <v>no conversion</v>
      </c>
      <c r="D71" t="str">
        <v>tonne</v>
      </c>
      <c r="E71">
        <v>1</v>
      </c>
    </row>
    <row r="72" spans="1:5" x14ac:dyDescent="0.2">
      <c r="A72" t="str">
        <v>co2bkbabzn</v>
      </c>
      <c r="B72" t="str">
        <v>tp_van_gasoline_co2_built_env</v>
      </c>
      <c r="C72" t="str">
        <v>no conversion</v>
      </c>
      <c r="D72" t="str">
        <v>tonne</v>
      </c>
      <c r="E72">
        <v>1</v>
      </c>
    </row>
    <row r="73" spans="1:5" x14ac:dyDescent="0.2">
      <c r="A73" t="str">
        <v>co2bkbalpg</v>
      </c>
      <c r="B73" t="str">
        <v>tp_van_lpg_co2_built_env</v>
      </c>
      <c r="C73" t="str">
        <v>no conversion</v>
      </c>
      <c r="D73" t="str">
        <v>tonne</v>
      </c>
      <c r="E73">
        <v>1</v>
      </c>
    </row>
    <row r="74" spans="1:5" x14ac:dyDescent="0.2">
      <c r="A74" t="str">
        <v>co2bkbadsl</v>
      </c>
      <c r="B74" t="str">
        <v>tp_van_diesel_co2_built_env</v>
      </c>
      <c r="C74" t="str">
        <v>no conversion</v>
      </c>
      <c r="D74" t="str">
        <v>tonne</v>
      </c>
      <c r="E74">
        <v>1</v>
      </c>
    </row>
    <row r="75" spans="1:5" x14ac:dyDescent="0.2">
      <c r="A75" t="str">
        <v>co2bkpabzn</v>
      </c>
      <c r="B75" t="str">
        <v>tp_car_gasoline_co2_built_env</v>
      </c>
      <c r="C75" t="str">
        <v>no conversion</v>
      </c>
      <c r="D75" t="str">
        <v>tonne</v>
      </c>
      <c r="E75">
        <v>1</v>
      </c>
    </row>
    <row r="76" spans="1:5" x14ac:dyDescent="0.2">
      <c r="A76" t="str">
        <v>co2bkpadsl</v>
      </c>
      <c r="B76" t="str">
        <v>tp_car_diesel_co2_built_env</v>
      </c>
      <c r="C76" t="str">
        <v>no conversion</v>
      </c>
      <c r="D76" t="str">
        <v>tonne</v>
      </c>
      <c r="E76">
        <v>1</v>
      </c>
    </row>
    <row r="77" spans="1:5" x14ac:dyDescent="0.2">
      <c r="A77" t="str">
        <v>co2bkpalpg</v>
      </c>
      <c r="B77" t="str">
        <v>tp_car_lpg_co2_built_env</v>
      </c>
      <c r="C77" t="str">
        <v>no conversion</v>
      </c>
      <c r="D77" t="str">
        <v>tonne</v>
      </c>
      <c r="E77">
        <v>1</v>
      </c>
    </row>
    <row r="78" spans="1:5" x14ac:dyDescent="0.2">
      <c r="A78" t="str">
        <v>co2bktw</v>
      </c>
      <c r="B78" t="str">
        <v>tp_motorcycle_co2_built_env</v>
      </c>
      <c r="C78" t="str">
        <v>no conversion</v>
      </c>
      <c r="D78" t="str">
        <v>tonne</v>
      </c>
      <c r="E78">
        <v>1</v>
      </c>
    </row>
    <row r="79" spans="1:5" x14ac:dyDescent="0.2">
      <c r="A79" t="str">
        <v>co2bkzbv</v>
      </c>
      <c r="B79" t="str">
        <v>tp_truck_co2_built_env</v>
      </c>
      <c r="C79" t="str">
        <v>no conversion</v>
      </c>
      <c r="D79" t="str">
        <v>tonne</v>
      </c>
      <c r="E79">
        <v>1</v>
      </c>
    </row>
    <row r="80" spans="1:5" x14ac:dyDescent="0.2">
      <c r="A80" t="str">
        <v>co2bkabag</v>
      </c>
      <c r="B80" t="str">
        <v>tp_bus_gas_co2_built_env</v>
      </c>
      <c r="C80" t="str">
        <v>no conversion</v>
      </c>
      <c r="D80" t="str">
        <v>tonne</v>
      </c>
      <c r="E80">
        <v>1</v>
      </c>
    </row>
    <row r="81" spans="1:5" x14ac:dyDescent="0.2">
      <c r="A81" t="str">
        <v>co2bwabdsl</v>
      </c>
      <c r="B81" t="str">
        <v>tp_bus_diesel_co2_road</v>
      </c>
      <c r="C81" t="str">
        <v>no conversion</v>
      </c>
      <c r="D81" t="str">
        <v>tonne</v>
      </c>
      <c r="E81">
        <v>1</v>
      </c>
    </row>
    <row r="82" spans="1:5" x14ac:dyDescent="0.2">
      <c r="A82" t="str">
        <v>co2bwbabzn</v>
      </c>
      <c r="B82" t="str">
        <v>tp_van_gasoline_co2_road</v>
      </c>
      <c r="C82" t="str">
        <v>no conversion</v>
      </c>
      <c r="D82" t="str">
        <v>tonne</v>
      </c>
      <c r="E82">
        <v>1</v>
      </c>
    </row>
    <row r="83" spans="1:5" x14ac:dyDescent="0.2">
      <c r="A83" t="str">
        <v>co2bwbadsl</v>
      </c>
      <c r="B83" t="str">
        <v>tp_van_diesel_co2_road</v>
      </c>
      <c r="C83" t="str">
        <v>no conversion</v>
      </c>
      <c r="D83" t="str">
        <v>tonne</v>
      </c>
      <c r="E83">
        <v>1</v>
      </c>
    </row>
    <row r="84" spans="1:5" x14ac:dyDescent="0.2">
      <c r="A84" t="str">
        <v>co2bwbalpg</v>
      </c>
      <c r="B84" t="str">
        <v>tp_van_lpg_co2_road</v>
      </c>
      <c r="C84" t="str">
        <v>no conversion</v>
      </c>
      <c r="D84" t="str">
        <v>tonne</v>
      </c>
      <c r="E84">
        <v>1</v>
      </c>
    </row>
    <row r="85" spans="1:5" x14ac:dyDescent="0.2">
      <c r="A85" t="str">
        <v>co2bwpabzn</v>
      </c>
      <c r="B85" t="str">
        <v>tp_car_gasoline_co2_road</v>
      </c>
      <c r="C85" t="str">
        <v>no conversion</v>
      </c>
      <c r="D85" t="str">
        <v>tonne</v>
      </c>
      <c r="E85">
        <v>1</v>
      </c>
    </row>
    <row r="86" spans="1:5" x14ac:dyDescent="0.2">
      <c r="A86" t="str">
        <v>co2bwpadsl</v>
      </c>
      <c r="B86" t="str">
        <v>tp_car_diesel_co2_road</v>
      </c>
      <c r="C86" t="str">
        <v>no conversion</v>
      </c>
      <c r="D86" t="str">
        <v>tonne</v>
      </c>
      <c r="E86">
        <v>1</v>
      </c>
    </row>
    <row r="87" spans="1:5" x14ac:dyDescent="0.2">
      <c r="A87" t="str">
        <v>co2bwpalpg</v>
      </c>
      <c r="B87" t="str">
        <v>tp_car_lpg_co2_road</v>
      </c>
      <c r="C87" t="str">
        <v>no conversion</v>
      </c>
      <c r="D87" t="str">
        <v>tonne</v>
      </c>
      <c r="E87">
        <v>1</v>
      </c>
    </row>
    <row r="88" spans="1:5" x14ac:dyDescent="0.2">
      <c r="A88" t="str">
        <v>co2bwtw</v>
      </c>
      <c r="B88" t="str">
        <v>tp_motorcycle_co2_road</v>
      </c>
      <c r="C88" t="str">
        <v>no conversion</v>
      </c>
      <c r="D88" t="str">
        <v>tonne</v>
      </c>
      <c r="E88">
        <v>1</v>
      </c>
    </row>
    <row r="89" spans="1:5" x14ac:dyDescent="0.2">
      <c r="A89" t="str">
        <v>co2bwzbv</v>
      </c>
      <c r="B89" t="str">
        <v>tp_truck_co2_road</v>
      </c>
      <c r="C89" t="str">
        <v>no conversion</v>
      </c>
      <c r="D89" t="str">
        <v>tonne</v>
      </c>
      <c r="E89">
        <v>1</v>
      </c>
    </row>
    <row r="90" spans="1:5" x14ac:dyDescent="0.2">
      <c r="A90" t="str">
        <v>co2bwabag</v>
      </c>
      <c r="B90" t="str">
        <v>tp_bus_gas_co2_road</v>
      </c>
      <c r="C90" t="str">
        <v>no conversion</v>
      </c>
      <c r="D90" t="str">
        <v>tonne</v>
      </c>
      <c r="E90">
        <v>1</v>
      </c>
    </row>
    <row r="91" spans="1:5" x14ac:dyDescent="0.2">
      <c r="A91" t="str">
        <v>co2swabdsl</v>
      </c>
      <c r="B91" t="str">
        <v>tp_bus_diesel_co2_motorway</v>
      </c>
      <c r="C91" t="str">
        <v>no conversion</v>
      </c>
      <c r="D91" t="str">
        <v>tonne</v>
      </c>
      <c r="E91">
        <v>1</v>
      </c>
    </row>
    <row r="92" spans="1:5" x14ac:dyDescent="0.2">
      <c r="A92" t="str">
        <v>co2swbadsl</v>
      </c>
      <c r="B92" t="str">
        <v>tp_van_diesel_co2_motorway</v>
      </c>
      <c r="C92" t="str">
        <v>no conversion</v>
      </c>
      <c r="D92" t="str">
        <v>tonne</v>
      </c>
      <c r="E92">
        <v>1</v>
      </c>
    </row>
    <row r="93" spans="1:5" x14ac:dyDescent="0.2">
      <c r="A93" t="str">
        <v>co2swbabzn</v>
      </c>
      <c r="B93" t="str">
        <v>tp_van_gasoline_co2_motorway</v>
      </c>
      <c r="C93" t="str">
        <v>no conversion</v>
      </c>
      <c r="D93" t="str">
        <v>tonne</v>
      </c>
      <c r="E93">
        <v>1</v>
      </c>
    </row>
    <row r="94" spans="1:5" x14ac:dyDescent="0.2">
      <c r="A94" t="str">
        <v>co2swbalpg</v>
      </c>
      <c r="B94" t="str">
        <v>tp_van_lpg_co2_motorway</v>
      </c>
      <c r="C94" t="str">
        <v>no conversion</v>
      </c>
      <c r="D94" t="str">
        <v>tonne</v>
      </c>
      <c r="E94">
        <v>1</v>
      </c>
    </row>
    <row r="95" spans="1:5" x14ac:dyDescent="0.2">
      <c r="A95" t="str">
        <v>co2swpabzn</v>
      </c>
      <c r="B95" t="str">
        <v>tp_car_gasoline_co2_motorway</v>
      </c>
      <c r="C95" t="str">
        <v>no conversion</v>
      </c>
      <c r="D95" t="str">
        <v>tonne</v>
      </c>
      <c r="E95">
        <v>1</v>
      </c>
    </row>
    <row r="96" spans="1:5" x14ac:dyDescent="0.2">
      <c r="A96" t="str">
        <v>co2swpadsl</v>
      </c>
      <c r="B96" t="str">
        <v>tp_car_diesel_co2_motorway</v>
      </c>
      <c r="C96" t="str">
        <v>no conversion</v>
      </c>
      <c r="D96" t="str">
        <v>tonne</v>
      </c>
      <c r="E96">
        <v>1</v>
      </c>
    </row>
    <row r="97" spans="1:5" x14ac:dyDescent="0.2">
      <c r="A97" t="str">
        <v>co2swpalpg</v>
      </c>
      <c r="B97" t="str">
        <v>tp_car_lpg_co2_motorway</v>
      </c>
      <c r="C97" t="str">
        <v>no conversion</v>
      </c>
      <c r="D97" t="str">
        <v>tonne</v>
      </c>
      <c r="E97">
        <v>1</v>
      </c>
    </row>
    <row r="98" spans="1:5" x14ac:dyDescent="0.2">
      <c r="A98" t="str">
        <v>co2swtw</v>
      </c>
      <c r="B98" t="str">
        <v>tp_motorcycle_co2_motorway</v>
      </c>
      <c r="C98" t="str">
        <v>no conversion</v>
      </c>
      <c r="D98" t="str">
        <v>tonne</v>
      </c>
      <c r="E98">
        <v>1</v>
      </c>
    </row>
    <row r="99" spans="1:5" x14ac:dyDescent="0.2">
      <c r="A99" t="str">
        <v>co2swzbv</v>
      </c>
      <c r="B99" t="str">
        <v>tp_truck_co2_motorway</v>
      </c>
      <c r="C99" t="str">
        <v>no conversion</v>
      </c>
      <c r="D99" t="str">
        <v>tonne</v>
      </c>
      <c r="E99">
        <v>1</v>
      </c>
    </row>
    <row r="100" spans="1:5" x14ac:dyDescent="0.2">
      <c r="A100" t="str">
        <v>co2swabag</v>
      </c>
      <c r="B100" t="str">
        <v>tp_bus_gas_co2_motorway</v>
      </c>
      <c r="C100" t="str">
        <v>no conversion</v>
      </c>
      <c r="D100" t="str">
        <v>tonne</v>
      </c>
      <c r="E100">
        <v>1</v>
      </c>
    </row>
    <row r="101" spans="1:5" x14ac:dyDescent="0.2">
      <c r="A101" t="str">
        <v>vbrze_a</v>
      </c>
      <c r="B101" t="str">
        <v>agri_electricity_tj</v>
      </c>
      <c r="C101" t="str">
        <v>kWh to TJ</v>
      </c>
      <c r="D101" t="str">
        <v>TJ</v>
      </c>
      <c r="E101">
        <v>3.5999999999999998E-6</v>
      </c>
    </row>
    <row r="102" spans="1:5" x14ac:dyDescent="0.2">
      <c r="A102" t="str">
        <v>vbrzg_a</v>
      </c>
      <c r="B102" t="str">
        <v>agri_gas_tj</v>
      </c>
      <c r="C102" t="str">
        <v>m3 (natural gas) to TJ</v>
      </c>
      <c r="D102" t="str">
        <v>TJ</v>
      </c>
      <c r="E102">
        <v>3.1649999999999997E-5</v>
      </c>
    </row>
    <row r="103" spans="1:5" x14ac:dyDescent="0.2">
      <c r="A103" t="str">
        <v>vbrzg_b</v>
      </c>
      <c r="B103" t="str">
        <v>ind_gas_sbi_b_tj</v>
      </c>
      <c r="C103" t="str">
        <v>m3 (natural gas) to TJ</v>
      </c>
      <c r="D103" t="str">
        <v>TJ</v>
      </c>
      <c r="E103">
        <v>3.1649999999999997E-5</v>
      </c>
    </row>
    <row r="104" spans="1:5" x14ac:dyDescent="0.2">
      <c r="A104" t="str">
        <v>vbrzg_ctot</v>
      </c>
      <c r="B104" t="str">
        <v>ind_gas_sbi_c_tj</v>
      </c>
      <c r="C104" t="str">
        <v>m3 (natural gas) to TJ</v>
      </c>
      <c r="D104" t="str">
        <v>TJ</v>
      </c>
      <c r="E104">
        <v>3.1649999999999997E-5</v>
      </c>
    </row>
    <row r="105" spans="1:5" x14ac:dyDescent="0.2">
      <c r="A105" t="str">
        <v>vbrzg_afval</v>
      </c>
      <c r="B105" t="str">
        <v>ind_gas_sbi_e_tj</v>
      </c>
      <c r="C105" t="str">
        <v>m3 (natural gas) to TJ</v>
      </c>
      <c r="D105" t="str">
        <v>TJ</v>
      </c>
      <c r="E105">
        <v>3.1649999999999997E-5</v>
      </c>
    </row>
    <row r="106" spans="1:5" x14ac:dyDescent="0.2">
      <c r="A106" t="str">
        <v>vbrzg_f</v>
      </c>
      <c r="B106" t="str">
        <v>ind_gas_sbi_f_tj</v>
      </c>
      <c r="C106" t="str">
        <v>m3 (natural gas) to TJ</v>
      </c>
      <c r="D106" t="str">
        <v>TJ</v>
      </c>
      <c r="E106">
        <v>3.1649999999999997E-5</v>
      </c>
    </row>
    <row r="107" spans="1:5" x14ac:dyDescent="0.2">
      <c r="A107" t="str">
        <v>vbrze_b</v>
      </c>
      <c r="B107" t="str">
        <v>ind_electricity_sbi_b_tj</v>
      </c>
      <c r="C107" t="str">
        <v>kWh to TJ</v>
      </c>
      <c r="D107" t="str">
        <v>TJ</v>
      </c>
      <c r="E107">
        <v>3.5999999999999998E-6</v>
      </c>
    </row>
    <row r="108" spans="1:5" x14ac:dyDescent="0.2">
      <c r="A108" t="str">
        <v>vbrze_ctot</v>
      </c>
      <c r="B108" t="str">
        <v>ind_electricity_sbi_c_tj</v>
      </c>
      <c r="C108" t="str">
        <v>kWh to TJ</v>
      </c>
      <c r="D108" t="str">
        <v>TJ</v>
      </c>
      <c r="E108">
        <v>3.5999999999999998E-6</v>
      </c>
    </row>
    <row r="109" spans="1:5" x14ac:dyDescent="0.2">
      <c r="A109" t="str">
        <v>vbrze_d</v>
      </c>
      <c r="B109" t="str">
        <v>ind_electricity_sbi_d_tj</v>
      </c>
      <c r="C109" t="str">
        <v>kWh to TJ</v>
      </c>
      <c r="D109" t="str">
        <v>TJ</v>
      </c>
      <c r="E109">
        <v>3.5999999999999998E-6</v>
      </c>
    </row>
    <row r="110" spans="1:5" x14ac:dyDescent="0.2">
      <c r="A110" t="str">
        <v>vbrze_afval</v>
      </c>
      <c r="B110" t="str">
        <v>ind_electricity_sbi_e_tj</v>
      </c>
      <c r="C110" t="str">
        <v>kWh to TJ</v>
      </c>
      <c r="D110" t="str">
        <v>TJ</v>
      </c>
      <c r="E110">
        <v>3.5999999999999998E-6</v>
      </c>
    </row>
    <row r="111" spans="1:5" x14ac:dyDescent="0.2">
      <c r="A111" t="str">
        <v>vbrze_f</v>
      </c>
      <c r="B111" t="str">
        <v>ind_electricity_sbi_f_tj</v>
      </c>
      <c r="C111" t="str">
        <v>kWh to TJ</v>
      </c>
      <c r="D111" t="str">
        <v>TJ</v>
      </c>
      <c r="E111">
        <v>3.5999999999999998E-6</v>
      </c>
    </row>
    <row r="112" spans="1:5" x14ac:dyDescent="0.2">
      <c r="A112" t="str">
        <v>pv_vermogen</v>
      </c>
      <c r="B112" t="str">
        <v>total_solar_kw</v>
      </c>
      <c r="C112" t="str">
        <v>no conversion</v>
      </c>
      <c r="D112" t="str">
        <v>kW</v>
      </c>
      <c r="E112">
        <v>1</v>
      </c>
    </row>
    <row r="113" spans="1:5" x14ac:dyDescent="0.2">
      <c r="A113" t="str">
        <v>zon_vermogen_won</v>
      </c>
      <c r="B113" t="str">
        <v>hh_solar_kw</v>
      </c>
      <c r="C113" t="str">
        <v>no conversion</v>
      </c>
      <c r="D113" t="str">
        <v>kW</v>
      </c>
      <c r="E113">
        <v>1</v>
      </c>
    </row>
    <row r="114" spans="1:5" x14ac:dyDescent="0.2">
      <c r="A114" t="str">
        <v>zon_vermogen_bdr</v>
      </c>
      <c r="B114" t="str">
        <v>commercial_solar_roof_kw</v>
      </c>
      <c r="C114" t="str">
        <v>no conversion</v>
      </c>
      <c r="D114" t="str">
        <v>kW</v>
      </c>
      <c r="E114">
        <v>1</v>
      </c>
    </row>
    <row r="115" spans="1:5" x14ac:dyDescent="0.2">
      <c r="A115" t="str">
        <v>zonvld</v>
      </c>
      <c r="B115" t="str">
        <v>energy_solar_farms_kw</v>
      </c>
      <c r="C115" t="str">
        <v>MW to kW</v>
      </c>
      <c r="D115" t="str">
        <v>kW</v>
      </c>
      <c r="E115">
        <v>1000</v>
      </c>
    </row>
    <row r="116" spans="1:5" x14ac:dyDescent="0.2">
      <c r="A116" t="str">
        <v>biogas_warm</v>
      </c>
      <c r="B116" t="str">
        <v>biogas_heat_tj</v>
      </c>
      <c r="C116" t="str">
        <v>no conversion</v>
      </c>
      <c r="D116" t="str">
        <v>TJ</v>
      </c>
      <c r="E116">
        <v>1</v>
      </c>
    </row>
    <row r="117" spans="1:5" x14ac:dyDescent="0.2">
      <c r="A117" t="str">
        <v>biogas_el</v>
      </c>
      <c r="B117" t="str">
        <v>biogas_electricity_tj</v>
      </c>
      <c r="C117" t="str">
        <v>no conversion</v>
      </c>
      <c r="D117" t="str">
        <v>TJ</v>
      </c>
      <c r="E117">
        <v>1</v>
      </c>
    </row>
    <row r="118" spans="1:5" x14ac:dyDescent="0.2">
      <c r="A118" t="str">
        <v>ovbio_thtj</v>
      </c>
      <c r="B118" t="str">
        <v>biomass_firms_heat_tj</v>
      </c>
      <c r="C118" t="str">
        <v>no conversion</v>
      </c>
      <c r="D118" t="str">
        <v>TJ</v>
      </c>
      <c r="E118">
        <v>1</v>
      </c>
    </row>
    <row r="119" spans="1:5" x14ac:dyDescent="0.2">
      <c r="A119" t="str">
        <v>ovbio_th_wkk_tj</v>
      </c>
      <c r="B119" t="str">
        <v>biomass_firms_chp_heat_tj</v>
      </c>
      <c r="C119" t="str">
        <v>no conversion</v>
      </c>
      <c r="D119" t="str">
        <v>TJ</v>
      </c>
      <c r="E119">
        <v>1</v>
      </c>
    </row>
    <row r="120" spans="1:5" x14ac:dyDescent="0.2">
      <c r="A120" t="str">
        <v>geothermtj</v>
      </c>
      <c r="B120" t="str">
        <v>geothermal_heat_tj</v>
      </c>
      <c r="C120" t="str">
        <v>no conversion</v>
      </c>
      <c r="D120" t="str">
        <v>TJ</v>
      </c>
      <c r="E120">
        <v>1</v>
      </c>
    </row>
    <row r="121" spans="1:5" x14ac:dyDescent="0.2">
      <c r="A121" t="str">
        <v>ovbio_eltjbrut</v>
      </c>
      <c r="B121" t="str">
        <v>biomass_firms_chp_electricity_tj</v>
      </c>
      <c r="C121" t="str">
        <v>no conversion</v>
      </c>
      <c r="D121" t="str">
        <v>TJ</v>
      </c>
      <c r="E121">
        <v>1</v>
      </c>
    </row>
    <row r="122" spans="1:5" x14ac:dyDescent="0.2">
      <c r="A122" t="str">
        <v>watertjbrutnorm</v>
      </c>
      <c r="B122" t="str">
        <v>hydro_electricity_tj</v>
      </c>
      <c r="C122" t="str">
        <v>no conversion</v>
      </c>
      <c r="D122" t="str">
        <v>TJ</v>
      </c>
      <c r="E122">
        <v>1</v>
      </c>
    </row>
    <row r="123" spans="1:5" x14ac:dyDescent="0.2">
      <c r="A123" t="str">
        <v>windtjbrutnorm</v>
      </c>
      <c r="B123" t="str">
        <v>wind_electricity_tj</v>
      </c>
      <c r="C123" t="str">
        <v>no conversion</v>
      </c>
      <c r="D123" t="str">
        <v>TJ</v>
      </c>
      <c r="E123">
        <v>1</v>
      </c>
    </row>
    <row r="124" spans="1:5" x14ac:dyDescent="0.2">
      <c r="A124" t="str">
        <v>avi_eltjbrut</v>
      </c>
      <c r="B124" t="str">
        <v>waste_renewable_electricity_tj</v>
      </c>
      <c r="C124" t="str">
        <v>no conversion</v>
      </c>
      <c r="D124" t="str">
        <v>TJ</v>
      </c>
      <c r="E124">
        <v>1</v>
      </c>
    </row>
    <row r="125" spans="1:5" x14ac:dyDescent="0.2">
      <c r="A125" t="str">
        <v>avi_thtjbrut</v>
      </c>
      <c r="B125" t="str">
        <v>waste_renewable_heat_tj</v>
      </c>
      <c r="C125" t="str">
        <v>no conversion</v>
      </c>
      <c r="D125" t="str">
        <v>TJ</v>
      </c>
      <c r="E125">
        <v>1</v>
      </c>
    </row>
    <row r="126" spans="1:5" x14ac:dyDescent="0.2">
      <c r="A126" t="str">
        <v>efac_benz_g_mj</v>
      </c>
      <c r="B126" t="str">
        <v>gasoline_tonne_co2_per_tj</v>
      </c>
      <c r="C126" t="str">
        <v>no conversion</v>
      </c>
      <c r="D126" t="str">
        <v>tonne/TJ</v>
      </c>
      <c r="E126">
        <v>1</v>
      </c>
    </row>
    <row r="127" spans="1:5" x14ac:dyDescent="0.2">
      <c r="A127" t="str">
        <v>efac_diesel_g_mj</v>
      </c>
      <c r="B127" t="str">
        <v>diesel_tonne_co2_per_tj</v>
      </c>
      <c r="C127" t="str">
        <v>no conversion</v>
      </c>
      <c r="D127" t="str">
        <v>tonne/TJ</v>
      </c>
      <c r="E127">
        <v>1</v>
      </c>
    </row>
    <row r="128" spans="1:5" x14ac:dyDescent="0.2">
      <c r="A128" t="str">
        <v>efac_lpg_g_mj</v>
      </c>
      <c r="B128" t="str">
        <v>lpg_tonne_co2_per_tj</v>
      </c>
      <c r="C128" t="str">
        <v>no conversion</v>
      </c>
      <c r="D128" t="str">
        <v>tonne/TJ</v>
      </c>
      <c r="E128">
        <v>1</v>
      </c>
    </row>
    <row r="129" spans="1:5" x14ac:dyDescent="0.2">
      <c r="A129" t="str">
        <v>efacgas</v>
      </c>
      <c r="B129" t="str">
        <v>gas_tonne_co2_per_tj</v>
      </c>
      <c r="C129" t="str">
        <v>ton/m3 to ton/TJ (natural gas)</v>
      </c>
      <c r="D129" t="str">
        <v>tonne/TJ (natural gas)</v>
      </c>
      <c r="E129">
        <v>31595.576619273306</v>
      </c>
    </row>
    <row r="130" spans="1:5" x14ac:dyDescent="0.2">
      <c r="A130" t="str">
        <v>vbrzg_tot_tj</v>
      </c>
      <c r="B130" t="str">
        <v>gas_buildings_industry_agriculture_tj</v>
      </c>
      <c r="C130" t="str">
        <v>no conversion</v>
      </c>
      <c r="D130" t="str">
        <v>TJ</v>
      </c>
      <c r="E130">
        <v>1</v>
      </c>
    </row>
    <row r="131" spans="1:5" x14ac:dyDescent="0.2">
      <c r="A131" t="str">
        <v>vbrze_tot_tj</v>
      </c>
      <c r="B131" t="str">
        <v>electricity_buildings_industry_agriculture_tj</v>
      </c>
      <c r="C131" t="str">
        <v>no conversion</v>
      </c>
      <c r="D131" t="str">
        <v>TJ</v>
      </c>
      <c r="E131">
        <v>1</v>
      </c>
    </row>
    <row r="132" spans="1:5" x14ac:dyDescent="0.2">
      <c r="A132" t="str">
        <v>zonpvtj</v>
      </c>
      <c r="B132" t="str">
        <v>solar_pv_total_production_tj</v>
      </c>
      <c r="C132" t="str">
        <v>no conversion</v>
      </c>
      <c r="D132" t="str">
        <v>TJ</v>
      </c>
      <c r="E132">
        <v>1</v>
      </c>
    </row>
    <row r="133" spans="1:5" x14ac:dyDescent="0.2">
      <c r="A133" t="str">
        <v>warelektr</v>
      </c>
      <c r="B133" t="str">
        <v>waste_total_produced_electricity_tj</v>
      </c>
      <c r="C133" t="str">
        <v>GWh to TJ</v>
      </c>
      <c r="D133" t="str">
        <v>TJ</v>
      </c>
      <c r="E133">
        <v>3.6</v>
      </c>
    </row>
    <row r="134" spans="1:5" x14ac:dyDescent="0.2">
      <c r="A134" t="str">
        <v>hern_warm_tot_ex_groengas</v>
      </c>
      <c r="B134" t="str">
        <v>total_renewable_heat_tj_ex_greengas</v>
      </c>
      <c r="C134" t="str">
        <v>no conversion</v>
      </c>
      <c r="D134" t="str">
        <v>TJ</v>
      </c>
      <c r="E134">
        <v>1</v>
      </c>
    </row>
    <row r="135" spans="1:5" x14ac:dyDescent="0.2">
      <c r="A135" t="str">
        <v>windmw</v>
      </c>
      <c r="B135" t="str">
        <v>energy_wind_kw</v>
      </c>
      <c r="C135" t="str">
        <v>MW to kW</v>
      </c>
      <c r="D135" t="str">
        <v>kW</v>
      </c>
      <c r="E135">
        <v>1000</v>
      </c>
    </row>
    <row r="136" spans="1:5" x14ac:dyDescent="0.2">
      <c r="A136" t="str">
        <v>efacel</v>
      </c>
      <c r="B136" t="str">
        <v>electricity_tonne_co2_per_tj</v>
      </c>
      <c r="C136" t="str">
        <v>ton/kwh to ton/TJ (electricity)</v>
      </c>
      <c r="D136" t="str">
        <v>tonne/TJ (electricity)</v>
      </c>
      <c r="E136">
        <v>277777.77777777781</v>
      </c>
    </row>
    <row r="137" spans="1:5" x14ac:dyDescent="0.2">
      <c r="A137" t="str">
        <v>warwarmte</v>
      </c>
      <c r="B137" t="str">
        <v>waste_heat_used_in_area_tj</v>
      </c>
      <c r="C137" t="str">
        <v>no conversion</v>
      </c>
      <c r="D137" t="str">
        <v>TJ</v>
      </c>
      <c r="E137">
        <v>1</v>
      </c>
    </row>
    <row r="138" spans="1:5" x14ac:dyDescent="0.2">
      <c r="A138" t="str">
        <v>ondieptj</v>
      </c>
      <c r="B138" t="str">
        <v>bd_thermal_storage_tj</v>
      </c>
      <c r="C138" t="str">
        <v>no conversion</v>
      </c>
      <c r="D138" t="str">
        <v>TJ</v>
      </c>
      <c r="E1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AD22-A9C3-1645-AA81-7196C923D068}">
  <sheetPr>
    <tabColor theme="1" tint="0.499984740745262"/>
  </sheetPr>
  <dimension ref="A1:C144"/>
  <sheetViews>
    <sheetView topLeftCell="A65" workbookViewId="0">
      <selection activeCell="A75" sqref="A75"/>
    </sheetView>
  </sheetViews>
  <sheetFormatPr baseColWidth="10" defaultRowHeight="16" x14ac:dyDescent="0.2"/>
  <cols>
    <col min="1" max="1" width="24.33203125" bestFit="1" customWidth="1"/>
    <col min="2" max="2" width="37.33203125" bestFit="1" customWidth="1"/>
    <col min="3" max="3" width="16.6640625" bestFit="1" customWidth="1"/>
  </cols>
  <sheetData>
    <row r="1" spans="1:3" x14ac:dyDescent="0.2">
      <c r="A1" t="s">
        <v>335</v>
      </c>
      <c r="B1" t="s">
        <v>336</v>
      </c>
      <c r="C1" t="s">
        <v>337</v>
      </c>
    </row>
    <row r="2" spans="1:3" x14ac:dyDescent="0.2">
      <c r="A2" t="str" cm="1">
        <f t="array" ref="A2:A144">mapping!B2:B144</f>
        <v>inwoners</v>
      </c>
      <c r="B2" t="str" cm="1">
        <f t="array" ref="B2:B144">mapping!C2:C144</f>
        <v>no_inhabitants</v>
      </c>
      <c r="C2" t="str" cm="1">
        <f t="array" ref="C2:C144">mapping!F2:F144</f>
        <v>#</v>
      </c>
    </row>
    <row r="3" spans="1:3" x14ac:dyDescent="0.2">
      <c r="A3" t="str">
        <v>woningen</v>
      </c>
      <c r="B3" t="str">
        <v>no_residences</v>
      </c>
      <c r="C3" t="str">
        <v>#</v>
      </c>
    </row>
    <row r="4" spans="1:3" x14ac:dyDescent="0.2">
      <c r="A4" t="str">
        <v>pautos</v>
      </c>
      <c r="B4" t="str">
        <v>no_cars</v>
      </c>
      <c r="C4" t="str">
        <v>#</v>
      </c>
    </row>
    <row r="5" spans="1:3" x14ac:dyDescent="0.2">
      <c r="A5" t="str">
        <v>energie_totaal_combi</v>
      </c>
      <c r="B5" t="str">
        <v>total_energy_tj</v>
      </c>
      <c r="C5" t="str">
        <v>TJ</v>
      </c>
    </row>
    <row r="6" spans="1:3" x14ac:dyDescent="0.2">
      <c r="A6" t="str">
        <v>verk_totaal</v>
      </c>
      <c r="B6" t="str">
        <v>tp_total_energy_tj</v>
      </c>
      <c r="C6" t="str">
        <v>TJ</v>
      </c>
    </row>
    <row r="7" spans="1:3" x14ac:dyDescent="0.2">
      <c r="A7" t="str">
        <v>elektra_totaal_combi</v>
      </c>
      <c r="B7" t="str">
        <v>total_electricity_tj</v>
      </c>
      <c r="C7" t="str">
        <v>TJ</v>
      </c>
    </row>
    <row r="8" spans="1:3" x14ac:dyDescent="0.2">
      <c r="A8" t="str">
        <v>warm_totaal_combi</v>
      </c>
      <c r="B8" t="str">
        <v>total_gas_heat_tj_temp_corrected</v>
      </c>
      <c r="C8" t="str">
        <v>TJ</v>
      </c>
    </row>
    <row r="9" spans="1:3" x14ac:dyDescent="0.2">
      <c r="A9" t="str">
        <v>zonpvachtermeter_kwh</v>
      </c>
      <c r="B9" t="str">
        <v>solar_pv_own_use_total_tj</v>
      </c>
      <c r="C9" t="str">
        <v>TJ</v>
      </c>
    </row>
    <row r="10" spans="1:3" x14ac:dyDescent="0.2">
      <c r="A10" t="str">
        <v>hern_warm_tot</v>
      </c>
      <c r="B10" t="str">
        <v>total_renewable_heat_tj</v>
      </c>
      <c r="C10" t="str">
        <v>TJ</v>
      </c>
    </row>
    <row r="11" spans="1:3" x14ac:dyDescent="0.2">
      <c r="A11" t="str">
        <v>gas_woningen_tj</v>
      </c>
      <c r="B11" t="str">
        <v>hh_gas_tj_temp_corrected</v>
      </c>
      <c r="C11" t="str">
        <v>TJ</v>
      </c>
    </row>
    <row r="12" spans="1:3" x14ac:dyDescent="0.2">
      <c r="A12" t="str">
        <v>warmwontjcor</v>
      </c>
      <c r="B12" t="str">
        <v>hh_heat_tj_temp_corrected</v>
      </c>
      <c r="C12" t="str">
        <v>TJ</v>
      </c>
    </row>
    <row r="13" spans="1:3" x14ac:dyDescent="0.2">
      <c r="A13" t="str">
        <v>kwbelektotaal</v>
      </c>
      <c r="B13" t="str">
        <v>hh_electricity_tj</v>
      </c>
      <c r="C13" t="str">
        <v>TJ</v>
      </c>
    </row>
    <row r="14" spans="1:3" x14ac:dyDescent="0.2">
      <c r="A14" t="str">
        <v>kwbgastotaal</v>
      </c>
      <c r="B14" t="str">
        <v>hh_gas_tj</v>
      </c>
      <c r="C14" t="str">
        <v>TJ</v>
      </c>
    </row>
    <row r="15" spans="1:3" x14ac:dyDescent="0.2">
      <c r="A15" t="str">
        <v>warmwontier2</v>
      </c>
      <c r="B15" t="str">
        <v>hh_heat_tj</v>
      </c>
      <c r="C15" t="str">
        <v>TJ</v>
      </c>
    </row>
    <row r="16" spans="1:3" x14ac:dyDescent="0.2">
      <c r="A16" t="str">
        <v>houtskool</v>
      </c>
      <c r="B16" t="str">
        <v>hh_biomass_cooking_tj</v>
      </c>
      <c r="C16" t="str">
        <v>TJ</v>
      </c>
    </row>
    <row r="17" spans="1:3" x14ac:dyDescent="0.2">
      <c r="A17" t="str">
        <v>houtwontj</v>
      </c>
      <c r="B17" t="str">
        <v>hh_biomass_heat_tj</v>
      </c>
      <c r="C17" t="str">
        <v>TJ</v>
      </c>
    </row>
    <row r="18" spans="1:3" x14ac:dyDescent="0.2">
      <c r="A18" t="str">
        <v>gascomdv</v>
      </c>
      <c r="B18" t="str">
        <v>bd_commercial_gas_tj</v>
      </c>
      <c r="C18" t="str">
        <v>TJ</v>
      </c>
    </row>
    <row r="19" spans="1:3" x14ac:dyDescent="0.2">
      <c r="A19" t="str">
        <v>gaspubldv</v>
      </c>
      <c r="B19" t="str">
        <v>bd_public_gas_tj</v>
      </c>
      <c r="C19" t="str">
        <v>TJ</v>
      </c>
    </row>
    <row r="20" spans="1:3" x14ac:dyDescent="0.2">
      <c r="A20" t="str">
        <v>elcomdv</v>
      </c>
      <c r="B20" t="str">
        <v>bd_commercial_electricity_tj</v>
      </c>
      <c r="C20" t="str">
        <v>TJ</v>
      </c>
    </row>
    <row r="21" spans="1:3" x14ac:dyDescent="0.2">
      <c r="A21" t="str">
        <v>elpubldv</v>
      </c>
      <c r="B21" t="str">
        <v>bd_public_electricity_tj</v>
      </c>
      <c r="C21" t="str">
        <v>TJ</v>
      </c>
    </row>
    <row r="22" spans="1:3" x14ac:dyDescent="0.2">
      <c r="A22" t="str">
        <v>vbrzg_g1</v>
      </c>
      <c r="B22" t="str">
        <v>bd_gas_sbi_g_tj</v>
      </c>
      <c r="C22" t="str">
        <v>TJ</v>
      </c>
    </row>
    <row r="23" spans="1:3" x14ac:dyDescent="0.2">
      <c r="A23" t="str">
        <v>vbrzg_h</v>
      </c>
      <c r="B23" t="str">
        <v>bd_gas_sbi_h_tj</v>
      </c>
      <c r="C23" t="str">
        <v>TJ</v>
      </c>
    </row>
    <row r="24" spans="1:3" x14ac:dyDescent="0.2">
      <c r="A24" t="str">
        <v>vbrzg_i</v>
      </c>
      <c r="B24" t="str">
        <v>bd_gas_sbi_i_tj</v>
      </c>
      <c r="C24" t="str">
        <v>TJ</v>
      </c>
    </row>
    <row r="25" spans="1:3" x14ac:dyDescent="0.2">
      <c r="A25" t="str">
        <v>vbrzg_j</v>
      </c>
      <c r="B25" t="str">
        <v>bd_gas_sbi_j_tj</v>
      </c>
      <c r="C25" t="str">
        <v>TJ</v>
      </c>
    </row>
    <row r="26" spans="1:3" x14ac:dyDescent="0.2">
      <c r="A26" t="str">
        <v>vbrzg_k</v>
      </c>
      <c r="B26" t="str">
        <v>bd_gas_sbi_k_tj</v>
      </c>
      <c r="C26" t="str">
        <v>TJ</v>
      </c>
    </row>
    <row r="27" spans="1:3" x14ac:dyDescent="0.2">
      <c r="A27" t="str">
        <v>vbrzg_l</v>
      </c>
      <c r="B27" t="str">
        <v>bd_gas_sbi_l_tj</v>
      </c>
      <c r="C27" t="str">
        <v>TJ</v>
      </c>
    </row>
    <row r="28" spans="1:3" x14ac:dyDescent="0.2">
      <c r="A28" t="str">
        <v>vbrzg_m</v>
      </c>
      <c r="B28" t="str">
        <v>bd_gas_sbi_m_tj</v>
      </c>
      <c r="C28" t="str">
        <v>TJ</v>
      </c>
    </row>
    <row r="29" spans="1:3" x14ac:dyDescent="0.2">
      <c r="A29" t="str">
        <v>vbrzg_n</v>
      </c>
      <c r="B29" t="str">
        <v>bd_gas_sbi_n_tj</v>
      </c>
      <c r="C29" t="str">
        <v>TJ</v>
      </c>
    </row>
    <row r="30" spans="1:3" x14ac:dyDescent="0.2">
      <c r="A30" t="str">
        <v>vbrzg_o</v>
      </c>
      <c r="B30" t="str">
        <v>bd_gas_sbi_o_tj</v>
      </c>
      <c r="C30" t="str">
        <v>TJ</v>
      </c>
    </row>
    <row r="31" spans="1:3" x14ac:dyDescent="0.2">
      <c r="A31" t="str">
        <v>vbrzg_p</v>
      </c>
      <c r="B31" t="str">
        <v>bd_gas_sbi_p_tj</v>
      </c>
      <c r="C31" t="str">
        <v>TJ</v>
      </c>
    </row>
    <row r="32" spans="1:3" x14ac:dyDescent="0.2">
      <c r="A32" t="str">
        <v>vbrzg_q</v>
      </c>
      <c r="B32" t="str">
        <v>bd_gas_sbi_q_tj</v>
      </c>
      <c r="C32" t="str">
        <v>TJ</v>
      </c>
    </row>
    <row r="33" spans="1:3" x14ac:dyDescent="0.2">
      <c r="A33" t="str">
        <v>vbrzg_r1</v>
      </c>
      <c r="B33" t="str">
        <v>bd_gas_sbi_r_tj</v>
      </c>
      <c r="C33" t="str">
        <v>TJ</v>
      </c>
    </row>
    <row r="34" spans="1:3" x14ac:dyDescent="0.2">
      <c r="A34" t="str">
        <v>vbrzg_s</v>
      </c>
      <c r="B34" t="str">
        <v>bd_gas_sbi_s_tj</v>
      </c>
      <c r="C34" t="str">
        <v>TJ</v>
      </c>
    </row>
    <row r="35" spans="1:3" x14ac:dyDescent="0.2">
      <c r="A35" t="str">
        <v>vbrzg_u</v>
      </c>
      <c r="B35" t="str">
        <v>bd_gas_sbi_u_tj</v>
      </c>
      <c r="C35" t="str">
        <v>TJ</v>
      </c>
    </row>
    <row r="36" spans="1:3" x14ac:dyDescent="0.2">
      <c r="A36" t="str">
        <v>vbrze_g1</v>
      </c>
      <c r="B36" t="str">
        <v>bd_electricity_sbi_g_tj</v>
      </c>
      <c r="C36" t="str">
        <v>TJ</v>
      </c>
    </row>
    <row r="37" spans="1:3" x14ac:dyDescent="0.2">
      <c r="A37" t="str">
        <v>vbrze_h</v>
      </c>
      <c r="B37" t="str">
        <v>bd_electricity_sbi_h_tj</v>
      </c>
      <c r="C37" t="str">
        <v>TJ</v>
      </c>
    </row>
    <row r="38" spans="1:3" x14ac:dyDescent="0.2">
      <c r="A38" t="str">
        <v>vbrze_i</v>
      </c>
      <c r="B38" t="str">
        <v>bd_electricity_sbi_i_tj</v>
      </c>
      <c r="C38" t="str">
        <v>TJ</v>
      </c>
    </row>
    <row r="39" spans="1:3" x14ac:dyDescent="0.2">
      <c r="A39" t="str">
        <v>vbrze_j</v>
      </c>
      <c r="B39" t="str">
        <v>bd_electricity_sbi_j_tj</v>
      </c>
      <c r="C39" t="str">
        <v>TJ</v>
      </c>
    </row>
    <row r="40" spans="1:3" x14ac:dyDescent="0.2">
      <c r="A40" t="str">
        <v>vbrze_k</v>
      </c>
      <c r="B40" t="str">
        <v>bd_electricity_sbi_k_tj</v>
      </c>
      <c r="C40" t="str">
        <v>TJ</v>
      </c>
    </row>
    <row r="41" spans="1:3" x14ac:dyDescent="0.2">
      <c r="A41" t="str">
        <v>vbrze_l</v>
      </c>
      <c r="B41" t="str">
        <v>bd_electricity_sbi_l_tj</v>
      </c>
      <c r="C41" t="str">
        <v>TJ</v>
      </c>
    </row>
    <row r="42" spans="1:3" x14ac:dyDescent="0.2">
      <c r="A42" t="str">
        <v>vbrze_m</v>
      </c>
      <c r="B42" t="str">
        <v>bd_electricity_sbi_m_tj</v>
      </c>
      <c r="C42" t="str">
        <v>TJ</v>
      </c>
    </row>
    <row r="43" spans="1:3" x14ac:dyDescent="0.2">
      <c r="A43" t="str">
        <v>vbrze_n</v>
      </c>
      <c r="B43" t="str">
        <v>bd_electricity_sbi_n_tj</v>
      </c>
      <c r="C43" t="str">
        <v>TJ</v>
      </c>
    </row>
    <row r="44" spans="1:3" x14ac:dyDescent="0.2">
      <c r="A44" t="str">
        <v>vbrze_o</v>
      </c>
      <c r="B44" t="str">
        <v>bd_electricity_sbi_o_tj</v>
      </c>
      <c r="C44" t="str">
        <v>TJ</v>
      </c>
    </row>
    <row r="45" spans="1:3" x14ac:dyDescent="0.2">
      <c r="A45" t="str">
        <v>vbrze_p</v>
      </c>
      <c r="B45" t="str">
        <v>bd_electricity_sbi_p_tj</v>
      </c>
      <c r="C45" t="str">
        <v>TJ</v>
      </c>
    </row>
    <row r="46" spans="1:3" x14ac:dyDescent="0.2">
      <c r="A46" t="str">
        <v>vbrze_q</v>
      </c>
      <c r="B46" t="str">
        <v>bd_electricity_sbi_q_tj</v>
      </c>
      <c r="C46" t="str">
        <v>TJ</v>
      </c>
    </row>
    <row r="47" spans="1:3" x14ac:dyDescent="0.2">
      <c r="A47" t="str">
        <v>vbrze_r1</v>
      </c>
      <c r="B47" t="str">
        <v>bd_electricity_sbi_r_tj</v>
      </c>
      <c r="C47" t="str">
        <v>TJ</v>
      </c>
    </row>
    <row r="48" spans="1:3" x14ac:dyDescent="0.2">
      <c r="A48" t="str">
        <v>vbrze_s</v>
      </c>
      <c r="B48" t="str">
        <v>bd_electricity_sbi_s_tj</v>
      </c>
      <c r="C48" t="str">
        <v>TJ</v>
      </c>
    </row>
    <row r="49" spans="1:3" x14ac:dyDescent="0.2">
      <c r="A49" t="str">
        <v>vbrze_u</v>
      </c>
      <c r="B49" t="str">
        <v>bd_electricity_sbi_u_tj</v>
      </c>
      <c r="C49" t="str">
        <v>TJ</v>
      </c>
    </row>
    <row r="50" spans="1:3" x14ac:dyDescent="0.2">
      <c r="A50" t="str">
        <v>energie_wegverk_tot</v>
      </c>
      <c r="B50" t="str">
        <v>tp_road_total_tj</v>
      </c>
      <c r="C50" t="str">
        <v>TJ</v>
      </c>
    </row>
    <row r="51" spans="1:3" x14ac:dyDescent="0.2">
      <c r="A51" t="str">
        <v>energie_mobwerk</v>
      </c>
      <c r="B51" t="str">
        <v>tp_mobile_machines_inc_biofuels_tj</v>
      </c>
      <c r="C51" t="str">
        <v>TJ</v>
      </c>
    </row>
    <row r="52" spans="1:3" x14ac:dyDescent="0.2">
      <c r="A52" t="str">
        <v>bio_verkeertj</v>
      </c>
      <c r="B52" t="str">
        <v>tp_road_bio_fuels_ex_mm_tj</v>
      </c>
      <c r="C52" t="str">
        <v>TJ</v>
      </c>
    </row>
    <row r="53" spans="1:3" x14ac:dyDescent="0.2">
      <c r="A53" t="str">
        <v>bio_mobwerk_tj</v>
      </c>
      <c r="B53" t="str">
        <v>tp_mobile_machines_bio_fuels_tj</v>
      </c>
      <c r="C53" t="str">
        <v>TJ</v>
      </c>
    </row>
    <row r="54" spans="1:3" x14ac:dyDescent="0.2">
      <c r="A54" t="str">
        <v>energie_rail</v>
      </c>
      <c r="B54" t="str">
        <v>tp_rail_diesel_tj</v>
      </c>
      <c r="C54" t="str">
        <v>TJ</v>
      </c>
    </row>
    <row r="55" spans="1:3" x14ac:dyDescent="0.2">
      <c r="A55" t="str">
        <v>energie_binnenvaart</v>
      </c>
      <c r="B55" t="str">
        <v>tp_inland_ship_diesel_tj</v>
      </c>
      <c r="C55" t="str">
        <v>TJ</v>
      </c>
    </row>
    <row r="56" spans="1:3" x14ac:dyDescent="0.2">
      <c r="A56" t="str">
        <v>energie_zeevaart</v>
      </c>
      <c r="B56" t="str">
        <v>tp_sea_ship_diesel_tj</v>
      </c>
      <c r="C56" t="str">
        <v>TJ</v>
      </c>
    </row>
    <row r="57" spans="1:3" x14ac:dyDescent="0.2">
      <c r="A57" t="str">
        <v>wbelek</v>
      </c>
      <c r="B57" t="str">
        <v>no_electric_busses</v>
      </c>
      <c r="C57" t="str">
        <v>#</v>
      </c>
    </row>
    <row r="58" spans="1:3" x14ac:dyDescent="0.2">
      <c r="A58" t="str">
        <v>bedrautoelek</v>
      </c>
      <c r="B58" t="str">
        <v>no_electric_vans</v>
      </c>
      <c r="C58" t="str">
        <v>#</v>
      </c>
    </row>
    <row r="59" spans="1:3" x14ac:dyDescent="0.2">
      <c r="A59" t="str">
        <v>wpelek</v>
      </c>
      <c r="B59" t="str">
        <v>no_electric_cars_fev</v>
      </c>
      <c r="C59" t="str">
        <v>#</v>
      </c>
    </row>
    <row r="60" spans="1:3" x14ac:dyDescent="0.2">
      <c r="A60" t="str">
        <v>rangeextend</v>
      </c>
      <c r="B60" t="str">
        <v>no_electric_cars_phev</v>
      </c>
      <c r="C60" t="str">
        <v>#</v>
      </c>
    </row>
    <row r="61" spans="1:3" x14ac:dyDescent="0.2">
      <c r="A61" t="str">
        <v>wmfelek</v>
      </c>
      <c r="B61" t="str">
        <v>no_electric_scooters</v>
      </c>
      <c r="C61" t="str">
        <v>#</v>
      </c>
    </row>
    <row r="62" spans="1:3" x14ac:dyDescent="0.2">
      <c r="A62" t="str">
        <v>wbfelek</v>
      </c>
      <c r="B62" t="str">
        <v>no_electric_motorcycles</v>
      </c>
      <c r="C62" t="str">
        <v>#</v>
      </c>
    </row>
    <row r="63" spans="1:3" x14ac:dyDescent="0.2">
      <c r="A63" t="str">
        <v>bedrgas</v>
      </c>
      <c r="B63" t="str">
        <v>no_cng_trucks</v>
      </c>
      <c r="C63" t="str">
        <v>#</v>
      </c>
    </row>
    <row r="64" spans="1:3" x14ac:dyDescent="0.2">
      <c r="A64" t="str">
        <v>wbgas</v>
      </c>
      <c r="B64" t="str">
        <v>no_cng_busses</v>
      </c>
      <c r="C64" t="str">
        <v>#</v>
      </c>
    </row>
    <row r="65" spans="1:3" x14ac:dyDescent="0.2">
      <c r="A65" t="str">
        <v>wpgas</v>
      </c>
      <c r="B65" t="str">
        <v>no_cng_cars</v>
      </c>
      <c r="C65" t="str">
        <v>#</v>
      </c>
    </row>
    <row r="66" spans="1:3" x14ac:dyDescent="0.2">
      <c r="A66" t="str">
        <v>bus_h2</v>
      </c>
      <c r="B66" t="str">
        <v>no_h2_busses</v>
      </c>
      <c r="C66" t="str">
        <v>#</v>
      </c>
    </row>
    <row r="67" spans="1:3" x14ac:dyDescent="0.2">
      <c r="A67" t="str">
        <v>p_auto_h2</v>
      </c>
      <c r="B67" t="str">
        <v>no_h2_cars</v>
      </c>
      <c r="C67" t="str">
        <v>#</v>
      </c>
    </row>
    <row r="68" spans="1:3" x14ac:dyDescent="0.2">
      <c r="A68" t="str">
        <v>b_auto_h2</v>
      </c>
      <c r="B68" t="str">
        <v>no_h2_vans</v>
      </c>
      <c r="C68" t="str">
        <v>#</v>
      </c>
    </row>
    <row r="69" spans="1:3" x14ac:dyDescent="0.2">
      <c r="A69" t="str">
        <v>wbz_h2</v>
      </c>
      <c r="B69" t="str">
        <v>no_h2_trucks</v>
      </c>
      <c r="C69" t="str">
        <v>#</v>
      </c>
    </row>
    <row r="70" spans="1:3" x14ac:dyDescent="0.2">
      <c r="A70" t="str">
        <v>co2enmobwerk</v>
      </c>
      <c r="B70" t="str">
        <v>tp_mobile_machines_co2</v>
      </c>
      <c r="C70" t="str">
        <v>tonne</v>
      </c>
    </row>
    <row r="71" spans="1:3" x14ac:dyDescent="0.2">
      <c r="A71" t="str">
        <v>co2_bk_ab_diesel</v>
      </c>
      <c r="B71" t="str">
        <v>tp_bus_diesel_co2_built_env</v>
      </c>
      <c r="C71" t="str">
        <v>tonne</v>
      </c>
    </row>
    <row r="72" spans="1:3" x14ac:dyDescent="0.2">
      <c r="A72" t="str">
        <v>co2_bk_ba_gasoline</v>
      </c>
      <c r="B72" t="str">
        <v>tp_van_gasoline_co2_built_env</v>
      </c>
      <c r="C72" t="str">
        <v>tonne</v>
      </c>
    </row>
    <row r="73" spans="1:3" x14ac:dyDescent="0.2">
      <c r="A73" t="str">
        <v>co2_bk_ba_lpg</v>
      </c>
      <c r="B73" t="str">
        <v>tp_van_lpg_co2_built_env</v>
      </c>
      <c r="C73" t="str">
        <v>tonne</v>
      </c>
    </row>
    <row r="74" spans="1:3" x14ac:dyDescent="0.2">
      <c r="A74" t="str">
        <v>co2_bk_ba_diesel</v>
      </c>
      <c r="B74" t="str">
        <v>tp_van_diesel_co2_built_env</v>
      </c>
      <c r="C74" t="str">
        <v>tonne</v>
      </c>
    </row>
    <row r="75" spans="1:3" x14ac:dyDescent="0.2">
      <c r="A75" t="str">
        <v>co2_bk_pa_gasoline</v>
      </c>
      <c r="B75" t="str">
        <v>tp_car_gasoline_co2_built_env</v>
      </c>
      <c r="C75" t="str">
        <v>tonne</v>
      </c>
    </row>
    <row r="76" spans="1:3" x14ac:dyDescent="0.2">
      <c r="A76" t="str">
        <v>co2_bk_pa_diesel</v>
      </c>
      <c r="B76" t="str">
        <v>tp_car_diesel_co2_built_env</v>
      </c>
      <c r="C76" t="str">
        <v>tonne</v>
      </c>
    </row>
    <row r="77" spans="1:3" x14ac:dyDescent="0.2">
      <c r="A77" t="str">
        <v>co2_bk_pa_lpg</v>
      </c>
      <c r="B77" t="str">
        <v>tp_car_lpg_co2_built_env</v>
      </c>
      <c r="C77" t="str">
        <v>tonne</v>
      </c>
    </row>
    <row r="78" spans="1:3" x14ac:dyDescent="0.2">
      <c r="A78" t="str">
        <v>co2bktw</v>
      </c>
      <c r="B78" t="str">
        <v>tp_motorcycle_co2_built_env</v>
      </c>
      <c r="C78" t="str">
        <v>tonne</v>
      </c>
    </row>
    <row r="79" spans="1:3" x14ac:dyDescent="0.2">
      <c r="A79" t="str">
        <v>co2bkzbv</v>
      </c>
      <c r="B79" t="str">
        <v>tp_truck_co2_built_env</v>
      </c>
      <c r="C79" t="str">
        <v>tonne</v>
      </c>
    </row>
    <row r="80" spans="1:3" x14ac:dyDescent="0.2">
      <c r="A80" t="str">
        <v>co2_bk_ab_cng</v>
      </c>
      <c r="B80" t="str">
        <v>tp_bus_gas_co2_built_env</v>
      </c>
      <c r="C80" t="str">
        <v>tonne</v>
      </c>
    </row>
    <row r="81" spans="1:3" x14ac:dyDescent="0.2">
      <c r="A81" t="str">
        <v>co2_bw_ab_diesel</v>
      </c>
      <c r="B81" t="str">
        <v>tp_bus_diesel_co2_road</v>
      </c>
      <c r="C81" t="str">
        <v>tonne</v>
      </c>
    </row>
    <row r="82" spans="1:3" x14ac:dyDescent="0.2">
      <c r="A82" t="str">
        <v>co2_bw_ba_gasoline</v>
      </c>
      <c r="B82" t="str">
        <v>tp_van_gasoline_co2_road</v>
      </c>
      <c r="C82" t="str">
        <v>tonne</v>
      </c>
    </row>
    <row r="83" spans="1:3" x14ac:dyDescent="0.2">
      <c r="A83" t="str">
        <v>co2_bw_ba_diesel</v>
      </c>
      <c r="B83" t="str">
        <v>tp_van_diesel_co2_road</v>
      </c>
      <c r="C83" t="str">
        <v>tonne</v>
      </c>
    </row>
    <row r="84" spans="1:3" x14ac:dyDescent="0.2">
      <c r="A84" t="str">
        <v>co2_bw_ba_lpg</v>
      </c>
      <c r="B84" t="str">
        <v>tp_van_lpg_co2_road</v>
      </c>
      <c r="C84" t="str">
        <v>tonne</v>
      </c>
    </row>
    <row r="85" spans="1:3" x14ac:dyDescent="0.2">
      <c r="A85" t="str">
        <v>co2_bw_pa_gasoline</v>
      </c>
      <c r="B85" t="str">
        <v>tp_car_gasoline_co2_road</v>
      </c>
      <c r="C85" t="str">
        <v>tonne</v>
      </c>
    </row>
    <row r="86" spans="1:3" x14ac:dyDescent="0.2">
      <c r="A86" t="str">
        <v>co2_bw_pa_diesel</v>
      </c>
      <c r="B86" t="str">
        <v>tp_car_diesel_co2_road</v>
      </c>
      <c r="C86" t="str">
        <v>tonne</v>
      </c>
    </row>
    <row r="87" spans="1:3" x14ac:dyDescent="0.2">
      <c r="A87" t="str">
        <v>co2_bw_pa_lpg</v>
      </c>
      <c r="B87" t="str">
        <v>tp_car_lpg_co2_road</v>
      </c>
      <c r="C87" t="str">
        <v>tonne</v>
      </c>
    </row>
    <row r="88" spans="1:3" x14ac:dyDescent="0.2">
      <c r="A88" t="str">
        <v>co2bwtw</v>
      </c>
      <c r="B88" t="str">
        <v>tp_motorcycle_co2_road</v>
      </c>
      <c r="C88" t="str">
        <v>tonne</v>
      </c>
    </row>
    <row r="89" spans="1:3" x14ac:dyDescent="0.2">
      <c r="A89" t="str">
        <v>co2bwzbv</v>
      </c>
      <c r="B89" t="str">
        <v>tp_truck_co2_road</v>
      </c>
      <c r="C89" t="str">
        <v>tonne</v>
      </c>
    </row>
    <row r="90" spans="1:3" x14ac:dyDescent="0.2">
      <c r="A90" t="str">
        <v>co2_bw_ab_cng</v>
      </c>
      <c r="B90" t="str">
        <v>tp_bus_gas_co2_road</v>
      </c>
      <c r="C90" t="str">
        <v>tonne</v>
      </c>
    </row>
    <row r="91" spans="1:3" x14ac:dyDescent="0.2">
      <c r="A91" t="str">
        <v>co2_sw_ab_diesel</v>
      </c>
      <c r="B91" t="str">
        <v>tp_bus_diesel_co2_motorway</v>
      </c>
      <c r="C91" t="str">
        <v>tonne</v>
      </c>
    </row>
    <row r="92" spans="1:3" x14ac:dyDescent="0.2">
      <c r="A92" t="str">
        <v>co2_sw_ba_diesel</v>
      </c>
      <c r="B92" t="str">
        <v>tp_van_diesel_co2_motorway</v>
      </c>
      <c r="C92" t="str">
        <v>tonne</v>
      </c>
    </row>
    <row r="93" spans="1:3" x14ac:dyDescent="0.2">
      <c r="A93" t="str">
        <v>co2_sw_ba_gasoline</v>
      </c>
      <c r="B93" t="str">
        <v>tp_van_gasoline_co2_motorway</v>
      </c>
      <c r="C93" t="str">
        <v>tonne</v>
      </c>
    </row>
    <row r="94" spans="1:3" x14ac:dyDescent="0.2">
      <c r="A94" t="str">
        <v>co2_sw_ba_lpg</v>
      </c>
      <c r="B94" t="str">
        <v>tp_van_lpg_co2_motorway</v>
      </c>
      <c r="C94" t="str">
        <v>tonne</v>
      </c>
    </row>
    <row r="95" spans="1:3" x14ac:dyDescent="0.2">
      <c r="A95" t="str">
        <v>co2_sw_pa_gasoline</v>
      </c>
      <c r="B95" t="str">
        <v>tp_car_gasoline_co2_motorway</v>
      </c>
      <c r="C95" t="str">
        <v>tonne</v>
      </c>
    </row>
    <row r="96" spans="1:3" x14ac:dyDescent="0.2">
      <c r="A96" t="str">
        <v>co2_sw_pa_diesel</v>
      </c>
      <c r="B96" t="str">
        <v>tp_car_diesel_co2_motorway</v>
      </c>
      <c r="C96" t="str">
        <v>tonne</v>
      </c>
    </row>
    <row r="97" spans="1:3" x14ac:dyDescent="0.2">
      <c r="A97" t="str">
        <v>co2_sw_pa_lpg</v>
      </c>
      <c r="B97" t="str">
        <v>tp_car_lpg_co2_motorway</v>
      </c>
      <c r="C97" t="str">
        <v>tonne</v>
      </c>
    </row>
    <row r="98" spans="1:3" x14ac:dyDescent="0.2">
      <c r="A98" t="str">
        <v>co2swtw</v>
      </c>
      <c r="B98" t="str">
        <v>tp_motorcycle_co2_motorway</v>
      </c>
      <c r="C98" t="str">
        <v>tonne</v>
      </c>
    </row>
    <row r="99" spans="1:3" x14ac:dyDescent="0.2">
      <c r="A99" t="str">
        <v>co2swzbv</v>
      </c>
      <c r="B99" t="str">
        <v>tp_truck_co2_motorway</v>
      </c>
      <c r="C99" t="str">
        <v>tonne</v>
      </c>
    </row>
    <row r="100" spans="1:3" x14ac:dyDescent="0.2">
      <c r="A100" t="str">
        <v>co2_sw_ab_cng</v>
      </c>
      <c r="B100" t="str">
        <v>tp_bus_gas_co2_motorway</v>
      </c>
      <c r="C100" t="str">
        <v>tonne</v>
      </c>
    </row>
    <row r="101" spans="1:3" x14ac:dyDescent="0.2">
      <c r="A101" t="str">
        <v>vbrze_a</v>
      </c>
      <c r="B101" t="str">
        <v>agri_electricity_tj</v>
      </c>
      <c r="C101" t="str">
        <v>TJ</v>
      </c>
    </row>
    <row r="102" spans="1:3" x14ac:dyDescent="0.2">
      <c r="A102" t="str">
        <v>vbrzg_a</v>
      </c>
      <c r="B102" t="str">
        <v>agri_gas_tj</v>
      </c>
      <c r="C102" t="str">
        <v>TJ</v>
      </c>
    </row>
    <row r="103" spans="1:3" x14ac:dyDescent="0.2">
      <c r="A103" t="str">
        <v>vbrzg_b</v>
      </c>
      <c r="B103" t="str">
        <v>ind_gas_sbi_b_tj</v>
      </c>
      <c r="C103" t="str">
        <v>TJ</v>
      </c>
    </row>
    <row r="104" spans="1:3" x14ac:dyDescent="0.2">
      <c r="A104" t="str">
        <v>vbrzg_ctot</v>
      </c>
      <c r="B104" t="str">
        <v>ind_gas_sbi_c_tj</v>
      </c>
      <c r="C104" t="str">
        <v>TJ</v>
      </c>
    </row>
    <row r="105" spans="1:3" x14ac:dyDescent="0.2">
      <c r="A105" t="str">
        <v>vbrzg_afval</v>
      </c>
      <c r="B105" t="str">
        <v>ind_gas_sbi_e_tj</v>
      </c>
      <c r="C105" t="str">
        <v>TJ</v>
      </c>
    </row>
    <row r="106" spans="1:3" x14ac:dyDescent="0.2">
      <c r="A106" t="str">
        <v>vbrzg_f</v>
      </c>
      <c r="B106" t="str">
        <v>ind_gas_sbi_f_tj</v>
      </c>
      <c r="C106" t="str">
        <v>TJ</v>
      </c>
    </row>
    <row r="107" spans="1:3" x14ac:dyDescent="0.2">
      <c r="A107" t="str">
        <v>vbrze_b</v>
      </c>
      <c r="B107" t="str">
        <v>ind_electricity_sbi_b_tj</v>
      </c>
      <c r="C107" t="str">
        <v>TJ</v>
      </c>
    </row>
    <row r="108" spans="1:3" x14ac:dyDescent="0.2">
      <c r="A108" t="str">
        <v>vbrze_ctot</v>
      </c>
      <c r="B108" t="str">
        <v>ind_electricity_sbi_c_tj</v>
      </c>
      <c r="C108" t="str">
        <v>TJ</v>
      </c>
    </row>
    <row r="109" spans="1:3" x14ac:dyDescent="0.2">
      <c r="A109" t="str">
        <v>vbrze_d</v>
      </c>
      <c r="B109" t="str">
        <v>ind_electricity_sbi_d_tj</v>
      </c>
      <c r="C109" t="str">
        <v>TJ</v>
      </c>
    </row>
    <row r="110" spans="1:3" x14ac:dyDescent="0.2">
      <c r="A110" t="str">
        <v>vbrze_afval</v>
      </c>
      <c r="B110" t="str">
        <v>ind_electricity_sbi_e_tj</v>
      </c>
      <c r="C110" t="str">
        <v>TJ</v>
      </c>
    </row>
    <row r="111" spans="1:3" x14ac:dyDescent="0.2">
      <c r="A111" t="str">
        <v>vbrze_f</v>
      </c>
      <c r="B111" t="str">
        <v>ind_electricity_sbi_f_tj</v>
      </c>
      <c r="C111" t="str">
        <v>TJ</v>
      </c>
    </row>
    <row r="112" spans="1:3" x14ac:dyDescent="0.2">
      <c r="A112" t="str">
        <v>pv_vermogen</v>
      </c>
      <c r="B112" t="str">
        <v>total_solar_kw</v>
      </c>
      <c r="C112" t="str">
        <v>kW</v>
      </c>
    </row>
    <row r="113" spans="1:3" x14ac:dyDescent="0.2">
      <c r="A113" t="str">
        <v>zon_vermogen_won</v>
      </c>
      <c r="B113" t="str">
        <v>hh_solar_kw</v>
      </c>
      <c r="C113" t="str">
        <v>kW</v>
      </c>
    </row>
    <row r="114" spans="1:3" x14ac:dyDescent="0.2">
      <c r="A114" t="str">
        <v>zon_vermogen_bdr</v>
      </c>
      <c r="B114" t="str">
        <v>commercial_solar_roof_kw</v>
      </c>
      <c r="C114" t="str">
        <v>kW</v>
      </c>
    </row>
    <row r="115" spans="1:3" x14ac:dyDescent="0.2">
      <c r="A115" t="str">
        <v>zonvld</v>
      </c>
      <c r="B115" t="str">
        <v>energy_solar_farms_kw</v>
      </c>
      <c r="C115" t="str">
        <v>kW</v>
      </c>
    </row>
    <row r="116" spans="1:3" x14ac:dyDescent="0.2">
      <c r="A116" t="str">
        <v>biogas_warm</v>
      </c>
      <c r="B116" t="str">
        <v>biogas_heat_tj</v>
      </c>
      <c r="C116" t="str">
        <v>TJ</v>
      </c>
    </row>
    <row r="117" spans="1:3" x14ac:dyDescent="0.2">
      <c r="A117" t="str">
        <v>biogas_el</v>
      </c>
      <c r="B117" t="str">
        <v>biogas_electricity_tj</v>
      </c>
      <c r="C117" t="str">
        <v>TJ</v>
      </c>
    </row>
    <row r="118" spans="1:3" x14ac:dyDescent="0.2">
      <c r="A118" t="str">
        <v>ovbio_thtj</v>
      </c>
      <c r="B118" t="str">
        <v>biomass_firms_heat_tj</v>
      </c>
      <c r="C118" t="str">
        <v>TJ</v>
      </c>
    </row>
    <row r="119" spans="1:3" x14ac:dyDescent="0.2">
      <c r="A119" t="str">
        <v>ovbio_th_wkk_tj</v>
      </c>
      <c r="B119" t="str">
        <v>biomass_firms_chp_heat_tj</v>
      </c>
      <c r="C119" t="str">
        <v>TJ</v>
      </c>
    </row>
    <row r="120" spans="1:3" x14ac:dyDescent="0.2">
      <c r="A120" t="str">
        <v>geothermtj</v>
      </c>
      <c r="B120" t="str">
        <v>geothermal_heat_tj</v>
      </c>
      <c r="C120" t="str">
        <v>TJ</v>
      </c>
    </row>
    <row r="121" spans="1:3" x14ac:dyDescent="0.2">
      <c r="A121" t="str">
        <v>ovbio_eltjbrut</v>
      </c>
      <c r="B121" t="str">
        <v>biomass_firms_chp_electricity_tj</v>
      </c>
      <c r="C121" t="str">
        <v>TJ</v>
      </c>
    </row>
    <row r="122" spans="1:3" x14ac:dyDescent="0.2">
      <c r="A122" t="str">
        <v>watertjbrutnorm</v>
      </c>
      <c r="B122" t="str">
        <v>hydro_electricity_tj</v>
      </c>
      <c r="C122" t="str">
        <v>TJ</v>
      </c>
    </row>
    <row r="123" spans="1:3" x14ac:dyDescent="0.2">
      <c r="A123" t="str">
        <v>windtjbrutnorm</v>
      </c>
      <c r="B123" t="str">
        <v>wind_electricity_tj</v>
      </c>
      <c r="C123" t="str">
        <v>TJ</v>
      </c>
    </row>
    <row r="124" spans="1:3" x14ac:dyDescent="0.2">
      <c r="A124" t="str">
        <v>avi_eltjbrut</v>
      </c>
      <c r="B124" t="str">
        <v>waste_renewable_electricity_tj</v>
      </c>
      <c r="C124" t="str">
        <v>TJ</v>
      </c>
    </row>
    <row r="125" spans="1:3" x14ac:dyDescent="0.2">
      <c r="A125" t="str">
        <v>avi_thtjbrut</v>
      </c>
      <c r="B125" t="str">
        <v>waste_renewable_heat_tj</v>
      </c>
      <c r="C125" t="str">
        <v>TJ</v>
      </c>
    </row>
    <row r="126" spans="1:3" x14ac:dyDescent="0.2">
      <c r="A126" t="str">
        <v>efac_benz_g_mj</v>
      </c>
      <c r="B126" t="str">
        <v>gasoline_tonne_co2_per_tj</v>
      </c>
      <c r="C126" t="str">
        <v>tonne/TJ</v>
      </c>
    </row>
    <row r="127" spans="1:3" x14ac:dyDescent="0.2">
      <c r="A127" t="str">
        <v>efac_diesel_g_mj</v>
      </c>
      <c r="B127" t="str">
        <v>diesel_tonne_co2_per_tj</v>
      </c>
      <c r="C127" t="str">
        <v>tonne/TJ</v>
      </c>
    </row>
    <row r="128" spans="1:3" x14ac:dyDescent="0.2">
      <c r="A128" t="str">
        <v>efac_lpg_g_mj</v>
      </c>
      <c r="B128" t="str">
        <v>lpg_tonne_co2_per_tj</v>
      </c>
      <c r="C128" t="str">
        <v>tonne/TJ</v>
      </c>
    </row>
    <row r="129" spans="1:3" x14ac:dyDescent="0.2">
      <c r="A129" t="str">
        <v>efacgas</v>
      </c>
      <c r="B129" t="str">
        <v>gas_tonne_co2_per_tj</v>
      </c>
      <c r="C129" t="str">
        <v>tonne/TJ (natural gas)</v>
      </c>
    </row>
    <row r="130" spans="1:3" x14ac:dyDescent="0.2">
      <c r="A130" t="str">
        <v>vbrzg_tot_tj</v>
      </c>
      <c r="B130" t="str">
        <v>gas_buildings_industry_agriculture_tj</v>
      </c>
      <c r="C130" t="str">
        <v>TJ</v>
      </c>
    </row>
    <row r="131" spans="1:3" x14ac:dyDescent="0.2">
      <c r="A131" t="str">
        <v>vbrze_tot_tj</v>
      </c>
      <c r="B131" t="str">
        <v>electricity_buildings_industry_agriculture_tj</v>
      </c>
      <c r="C131" t="str">
        <v>TJ</v>
      </c>
    </row>
    <row r="132" spans="1:3" x14ac:dyDescent="0.2">
      <c r="A132" t="str">
        <v>zonpvtj</v>
      </c>
      <c r="B132" t="str">
        <v>solar_pv_total_production_tj</v>
      </c>
      <c r="C132" t="str">
        <v>TJ</v>
      </c>
    </row>
    <row r="133" spans="1:3" x14ac:dyDescent="0.2">
      <c r="A133" t="str">
        <v>warelektr</v>
      </c>
      <c r="B133" t="str">
        <v>waste_total_produced_electricity_tj</v>
      </c>
      <c r="C133" t="str">
        <v>TJ</v>
      </c>
    </row>
    <row r="134" spans="1:3" x14ac:dyDescent="0.2">
      <c r="A134" t="str">
        <v>hern_warm_tot_ex_groengas</v>
      </c>
      <c r="B134" t="str">
        <v>total_renewable_heat_tj_ex_greengas</v>
      </c>
      <c r="C134" t="str">
        <v>TJ</v>
      </c>
    </row>
    <row r="135" spans="1:3" x14ac:dyDescent="0.2">
      <c r="A135" t="str">
        <v>windmw</v>
      </c>
      <c r="B135" t="str">
        <v>energy_wind_kw</v>
      </c>
      <c r="C135" t="str">
        <v>kW</v>
      </c>
    </row>
    <row r="136" spans="1:3" x14ac:dyDescent="0.2">
      <c r="A136" t="str">
        <v>efacel</v>
      </c>
      <c r="B136" t="str">
        <v>electricity_tonne_co2_per_tj</v>
      </c>
      <c r="C136" t="str">
        <v>tonne/TJ (electricity)</v>
      </c>
    </row>
    <row r="137" spans="1:3" x14ac:dyDescent="0.2">
      <c r="A137" t="str">
        <v>warwarmte</v>
      </c>
      <c r="B137" t="str">
        <v>waste_heat_used_in_area_tj</v>
      </c>
      <c r="C137" t="str">
        <v>TJ</v>
      </c>
    </row>
    <row r="138" spans="1:3" x14ac:dyDescent="0.2">
      <c r="A138" t="str">
        <v>ondieptj</v>
      </c>
      <c r="B138" t="str">
        <v>bd_thermal_storage_tj</v>
      </c>
      <c r="C138" t="str">
        <v>TJ</v>
      </c>
    </row>
    <row r="139" spans="1:3" x14ac:dyDescent="0.2">
      <c r="A139" t="str">
        <v>co2_bk_pa_cng</v>
      </c>
      <c r="B139" t="str">
        <v>tp_car_gas_co2_built_env</v>
      </c>
      <c r="C139" t="str">
        <v>tonne</v>
      </c>
    </row>
    <row r="140" spans="1:3" x14ac:dyDescent="0.2">
      <c r="A140" t="str">
        <v>co2_bk_ba_cng</v>
      </c>
      <c r="B140" t="str">
        <v>tp_van_gas_co2_built_env</v>
      </c>
      <c r="C140" t="str">
        <v>tonne</v>
      </c>
    </row>
    <row r="141" spans="1:3" x14ac:dyDescent="0.2">
      <c r="A141" t="str">
        <v>co2_bw_pa_cng</v>
      </c>
      <c r="B141" t="str">
        <v>tp_car_gas_co2_road</v>
      </c>
      <c r="C141" t="str">
        <v>tonne</v>
      </c>
    </row>
    <row r="142" spans="1:3" x14ac:dyDescent="0.2">
      <c r="A142" t="str">
        <v>co2_bw_ba_cng</v>
      </c>
      <c r="B142" t="str">
        <v>tp_van_gas_co2_road</v>
      </c>
      <c r="C142" t="str">
        <v>tonne</v>
      </c>
    </row>
    <row r="143" spans="1:3" x14ac:dyDescent="0.2">
      <c r="A143" t="str">
        <v>co2_sw_pa_cng</v>
      </c>
      <c r="B143" t="str">
        <v>tp_car_gas_co2_motorway</v>
      </c>
      <c r="C143" t="str">
        <v>tonne</v>
      </c>
    </row>
    <row r="144" spans="1:3" x14ac:dyDescent="0.2">
      <c r="A144" t="str">
        <v>co2_sw_ba_cng</v>
      </c>
      <c r="B144" t="str">
        <v>tp_van_gas_co2_motorway</v>
      </c>
      <c r="C144" t="str">
        <v>tonne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8411-56CC-FC4D-B069-A7BD8E3CF164}">
  <sheetPr>
    <tabColor theme="2" tint="-9.9978637043366805E-2"/>
  </sheetPr>
  <dimension ref="A1:G144"/>
  <sheetViews>
    <sheetView topLeftCell="A53" workbookViewId="0">
      <selection activeCell="C66" sqref="C66"/>
    </sheetView>
  </sheetViews>
  <sheetFormatPr baseColWidth="10" defaultRowHeight="16" x14ac:dyDescent="0.2"/>
  <cols>
    <col min="1" max="1" width="29.33203125" bestFit="1" customWidth="1"/>
    <col min="2" max="2" width="29.33203125" customWidth="1"/>
    <col min="3" max="3" width="37.33203125" bestFit="1" customWidth="1"/>
    <col min="4" max="4" width="25.1640625" bestFit="1" customWidth="1"/>
    <col min="5" max="5" width="13.1640625" bestFit="1" customWidth="1"/>
    <col min="6" max="6" width="21.83203125" bestFit="1" customWidth="1"/>
    <col min="7" max="7" width="15.5" bestFit="1" customWidth="1"/>
  </cols>
  <sheetData>
    <row r="1" spans="1:7" x14ac:dyDescent="0.2">
      <c r="A1" s="12" t="str" cm="1">
        <f t="array" ref="A1:A138">LEFT(_xlfn._xlws.FILTER('unit_conversion_overview_XCL-A'!A:A,'unit_conversion_overview_XCL-A'!A:A&lt;&gt;""),IFERROR(SEARCH("2019",_xlfn._xlws.FILTER('unit_conversion_overview_XCL-A'!A:A,'unit_conversion_overview_XCL-A'!A:A&lt;&gt;""))-2,LEN(_xlfn._xlws.FILTER('unit_conversion_overview_XCL-A'!A:A,'unit_conversion_overview_XCL-A'!A:A&lt;&gt;""))))</f>
        <v>Variable Klimaatmonitor</v>
      </c>
      <c r="B1" s="12" t="s">
        <v>298</v>
      </c>
      <c r="C1" s="12" t="str" cm="1">
        <f t="array" ref="C1:C138">_xlfn._xlws.FILTER('unit_conversion_overview_XCL-A'!B:B,'unit_conversion_overview_XCL-A'!B:B&lt;&gt;"")</f>
        <v>Internal variable name</v>
      </c>
      <c r="D1" s="12" t="str" cm="1">
        <f t="array" ref="D1:D138">_xlfn._xlws.FILTER('unit_conversion_overview_XCL-A'!C:C,'unit_conversion_overview_XCL-A'!C:C&lt;&gt;"")</f>
        <v>Conversion</v>
      </c>
      <c r="E1" s="12" t="str" cm="1">
        <f t="array" ref="E1:E138">_xlfn._xlws.FILTER('unit_conversion_overview_XCL-A'!D:D,'unit_conversion_overview_XCL-A'!D:D&lt;&gt;"")</f>
        <v>Converted unit</v>
      </c>
      <c r="F1" s="12" t="s">
        <v>338</v>
      </c>
      <c r="G1" s="12" t="str" cm="1">
        <f t="array" ref="G1:G138">_xlfn._xlws.FILTER('unit_conversion_overview_XCL-A'!E:E,'unit_conversion_overview_XCL-A'!E:E&lt;&gt;"")</f>
        <v>Conversion factor</v>
      </c>
    </row>
    <row r="2" spans="1:7" x14ac:dyDescent="0.2">
      <c r="A2" t="str">
        <v>inwoners</v>
      </c>
      <c r="B2" t="str">
        <f>A2</f>
        <v>inwoners</v>
      </c>
      <c r="C2" t="str">
        <v>no_inhabitants</v>
      </c>
      <c r="D2" t="str">
        <v>no conversion</v>
      </c>
      <c r="E2" t="str">
        <v>#</v>
      </c>
      <c r="F2" t="str">
        <f>E2</f>
        <v>#</v>
      </c>
      <c r="G2">
        <v>1</v>
      </c>
    </row>
    <row r="3" spans="1:7" x14ac:dyDescent="0.2">
      <c r="A3" t="str">
        <v>woningen</v>
      </c>
      <c r="B3" t="str">
        <f t="shared" ref="B3:B66" si="0">A3</f>
        <v>woningen</v>
      </c>
      <c r="C3" t="str">
        <v>no_residences</v>
      </c>
      <c r="D3" t="str">
        <v>no conversion</v>
      </c>
      <c r="E3" t="str">
        <v>#</v>
      </c>
      <c r="F3" t="str">
        <f t="shared" ref="F3:F66" si="1">E3</f>
        <v>#</v>
      </c>
      <c r="G3">
        <v>1</v>
      </c>
    </row>
    <row r="4" spans="1:7" x14ac:dyDescent="0.2">
      <c r="A4" t="str">
        <v>pautos</v>
      </c>
      <c r="B4" t="str">
        <f t="shared" si="0"/>
        <v>pautos</v>
      </c>
      <c r="C4" t="str">
        <v>no_cars</v>
      </c>
      <c r="D4" t="str">
        <v>no conversion</v>
      </c>
      <c r="E4" t="str">
        <v>#</v>
      </c>
      <c r="F4" t="str">
        <f t="shared" si="1"/>
        <v>#</v>
      </c>
      <c r="G4">
        <v>1</v>
      </c>
    </row>
    <row r="5" spans="1:7" x14ac:dyDescent="0.2">
      <c r="A5" t="str">
        <v>energie_totaal_combi</v>
      </c>
      <c r="B5" t="str">
        <f t="shared" si="0"/>
        <v>energie_totaal_combi</v>
      </c>
      <c r="C5" t="str">
        <v>total_energy_tj</v>
      </c>
      <c r="D5" t="str">
        <v>no conversion</v>
      </c>
      <c r="E5" t="str">
        <v>TJ</v>
      </c>
      <c r="F5" t="str">
        <f t="shared" si="1"/>
        <v>TJ</v>
      </c>
      <c r="G5">
        <v>1</v>
      </c>
    </row>
    <row r="6" spans="1:7" x14ac:dyDescent="0.2">
      <c r="A6" t="str">
        <v>verk_totaal</v>
      </c>
      <c r="B6" t="str">
        <f t="shared" si="0"/>
        <v>verk_totaal</v>
      </c>
      <c r="C6" t="str">
        <v>tp_total_energy_tj</v>
      </c>
      <c r="D6" t="str">
        <v>no conversion</v>
      </c>
      <c r="E6" t="str">
        <v>TJ</v>
      </c>
      <c r="F6" t="str">
        <f t="shared" si="1"/>
        <v>TJ</v>
      </c>
      <c r="G6">
        <v>1</v>
      </c>
    </row>
    <row r="7" spans="1:7" x14ac:dyDescent="0.2">
      <c r="A7" t="str">
        <v>elektra_totaal_combi</v>
      </c>
      <c r="B7" t="str">
        <f t="shared" si="0"/>
        <v>elektra_totaal_combi</v>
      </c>
      <c r="C7" t="str">
        <v>total_electricity_tj</v>
      </c>
      <c r="D7" t="str">
        <v>no conversion</v>
      </c>
      <c r="E7" t="str">
        <v>TJ</v>
      </c>
      <c r="F7" t="str">
        <f t="shared" si="1"/>
        <v>TJ</v>
      </c>
      <c r="G7">
        <v>1</v>
      </c>
    </row>
    <row r="8" spans="1:7" x14ac:dyDescent="0.2">
      <c r="A8" t="str">
        <v>warm_totaal_combi</v>
      </c>
      <c r="B8" t="str">
        <f t="shared" si="0"/>
        <v>warm_totaal_combi</v>
      </c>
      <c r="C8" t="str">
        <v>total_gas_heat_tj_temp_corrected</v>
      </c>
      <c r="D8" t="str">
        <v>no conversion</v>
      </c>
      <c r="E8" t="str">
        <v>TJ</v>
      </c>
      <c r="F8" t="str">
        <f t="shared" si="1"/>
        <v>TJ</v>
      </c>
      <c r="G8">
        <v>1</v>
      </c>
    </row>
    <row r="9" spans="1:7" x14ac:dyDescent="0.2">
      <c r="A9" t="str">
        <v>zonpvachtermeter_kwh</v>
      </c>
      <c r="B9" t="str">
        <f t="shared" si="0"/>
        <v>zonpvachtermeter_kwh</v>
      </c>
      <c r="C9" t="str">
        <v>solar_pv_own_use_total_tj</v>
      </c>
      <c r="D9" t="str">
        <v>mln KWh to TJ</v>
      </c>
      <c r="E9" t="str">
        <v>TJ</v>
      </c>
      <c r="F9" t="str">
        <f t="shared" si="1"/>
        <v>TJ</v>
      </c>
      <c r="G9">
        <v>3.5999999999999996</v>
      </c>
    </row>
    <row r="10" spans="1:7" x14ac:dyDescent="0.2">
      <c r="A10" t="str">
        <v>hern_warm_tot</v>
      </c>
      <c r="B10" t="str">
        <f t="shared" si="0"/>
        <v>hern_warm_tot</v>
      </c>
      <c r="C10" t="str">
        <v>total_renewable_heat_tj</v>
      </c>
      <c r="D10" t="str">
        <v>no conversion</v>
      </c>
      <c r="E10" t="str">
        <v>TJ</v>
      </c>
      <c r="F10" t="str">
        <f t="shared" si="1"/>
        <v>TJ</v>
      </c>
      <c r="G10">
        <v>1</v>
      </c>
    </row>
    <row r="11" spans="1:7" x14ac:dyDescent="0.2">
      <c r="A11" t="str">
        <v>gas_woningen_tj</v>
      </c>
      <c r="B11" t="str">
        <f t="shared" si="0"/>
        <v>gas_woningen_tj</v>
      </c>
      <c r="C11" t="str">
        <v>hh_gas_tj_temp_corrected</v>
      </c>
      <c r="D11" t="str">
        <v>no conversion</v>
      </c>
      <c r="E11" t="str">
        <v>TJ</v>
      </c>
      <c r="F11" t="str">
        <f t="shared" si="1"/>
        <v>TJ</v>
      </c>
      <c r="G11">
        <v>1</v>
      </c>
    </row>
    <row r="12" spans="1:7" x14ac:dyDescent="0.2">
      <c r="A12" t="str">
        <v>warmwontjcor</v>
      </c>
      <c r="B12" t="str">
        <f t="shared" si="0"/>
        <v>warmwontjcor</v>
      </c>
      <c r="C12" t="str">
        <v>hh_heat_tj_temp_corrected</v>
      </c>
      <c r="D12" t="str">
        <v>no conversion</v>
      </c>
      <c r="E12" t="str">
        <v>TJ</v>
      </c>
      <c r="F12" t="str">
        <f t="shared" si="1"/>
        <v>TJ</v>
      </c>
      <c r="G12">
        <v>1</v>
      </c>
    </row>
    <row r="13" spans="1:7" x14ac:dyDescent="0.2">
      <c r="A13" t="str">
        <v>kwbelektotaal</v>
      </c>
      <c r="B13" t="str">
        <f t="shared" si="0"/>
        <v>kwbelektotaal</v>
      </c>
      <c r="C13" t="str">
        <v>hh_electricity_tj</v>
      </c>
      <c r="D13" t="str">
        <v>mln KWh to TJ</v>
      </c>
      <c r="E13" t="str">
        <v>TJ</v>
      </c>
      <c r="F13" t="str">
        <f t="shared" si="1"/>
        <v>TJ</v>
      </c>
      <c r="G13">
        <v>3.5999999999999996</v>
      </c>
    </row>
    <row r="14" spans="1:7" x14ac:dyDescent="0.2">
      <c r="A14" t="str">
        <v>kwbgastotaal</v>
      </c>
      <c r="B14" t="str">
        <f t="shared" si="0"/>
        <v>kwbgastotaal</v>
      </c>
      <c r="C14" t="str">
        <v>hh_gas_tj</v>
      </c>
      <c r="D14" t="str">
        <v>mln m3 (natural gas) to TJ</v>
      </c>
      <c r="E14" t="str">
        <v>TJ</v>
      </c>
      <c r="F14" t="str">
        <f t="shared" si="1"/>
        <v>TJ</v>
      </c>
      <c r="G14">
        <v>31.65</v>
      </c>
    </row>
    <row r="15" spans="1:7" x14ac:dyDescent="0.2">
      <c r="A15" t="str">
        <v>warmwontier2</v>
      </c>
      <c r="B15" t="str">
        <f t="shared" si="0"/>
        <v>warmwontier2</v>
      </c>
      <c r="C15" t="str">
        <v>hh_heat_tj</v>
      </c>
      <c r="D15" t="str">
        <v>GJ to TJ</v>
      </c>
      <c r="E15" t="str">
        <v>TJ</v>
      </c>
      <c r="F15" t="str">
        <f t="shared" si="1"/>
        <v>TJ</v>
      </c>
      <c r="G15">
        <v>1E-3</v>
      </c>
    </row>
    <row r="16" spans="1:7" x14ac:dyDescent="0.2">
      <c r="A16" t="str">
        <v>houtskool</v>
      </c>
      <c r="B16" t="str">
        <f t="shared" si="0"/>
        <v>houtskool</v>
      </c>
      <c r="C16" t="str">
        <v>hh_biomass_cooking_tj</v>
      </c>
      <c r="D16" t="str">
        <v>no conversion</v>
      </c>
      <c r="E16" t="str">
        <v>TJ</v>
      </c>
      <c r="F16" t="str">
        <f t="shared" si="1"/>
        <v>TJ</v>
      </c>
      <c r="G16">
        <v>1</v>
      </c>
    </row>
    <row r="17" spans="1:7" x14ac:dyDescent="0.2">
      <c r="A17" t="str">
        <v>houtwontj</v>
      </c>
      <c r="B17" t="str">
        <f t="shared" si="0"/>
        <v>houtwontj</v>
      </c>
      <c r="C17" t="str">
        <v>hh_biomass_heat_tj</v>
      </c>
      <c r="D17" t="str">
        <v>no conversion</v>
      </c>
      <c r="E17" t="str">
        <v>TJ</v>
      </c>
      <c r="F17" t="str">
        <f t="shared" si="1"/>
        <v>TJ</v>
      </c>
      <c r="G17">
        <v>1</v>
      </c>
    </row>
    <row r="18" spans="1:7" x14ac:dyDescent="0.2">
      <c r="A18" t="str">
        <v>gascomdv</v>
      </c>
      <c r="B18" t="str">
        <f t="shared" si="0"/>
        <v>gascomdv</v>
      </c>
      <c r="C18" t="str">
        <v>bd_commercial_gas_tj</v>
      </c>
      <c r="D18" t="str">
        <v>m3 (natural gas) to TJ</v>
      </c>
      <c r="E18" t="str">
        <v>TJ</v>
      </c>
      <c r="F18" t="str">
        <f t="shared" si="1"/>
        <v>TJ</v>
      </c>
      <c r="G18">
        <v>3.1649999999999997E-5</v>
      </c>
    </row>
    <row r="19" spans="1:7" x14ac:dyDescent="0.2">
      <c r="A19" t="str">
        <v>gaspubldv</v>
      </c>
      <c r="B19" t="str">
        <f t="shared" si="0"/>
        <v>gaspubldv</v>
      </c>
      <c r="C19" t="str">
        <v>bd_public_gas_tj</v>
      </c>
      <c r="D19" t="str">
        <v>m3 (natural gas) to TJ</v>
      </c>
      <c r="E19" t="str">
        <v>TJ</v>
      </c>
      <c r="F19" t="str">
        <f t="shared" si="1"/>
        <v>TJ</v>
      </c>
      <c r="G19">
        <v>3.1649999999999997E-5</v>
      </c>
    </row>
    <row r="20" spans="1:7" x14ac:dyDescent="0.2">
      <c r="A20" t="str">
        <v>elcomdv</v>
      </c>
      <c r="B20" t="str">
        <f t="shared" si="0"/>
        <v>elcomdv</v>
      </c>
      <c r="C20" t="str">
        <v>bd_commercial_electricity_tj</v>
      </c>
      <c r="D20" t="str">
        <v>kWh to TJ</v>
      </c>
      <c r="E20" t="str">
        <v>TJ</v>
      </c>
      <c r="F20" t="str">
        <f t="shared" si="1"/>
        <v>TJ</v>
      </c>
      <c r="G20">
        <v>3.5999999999999998E-6</v>
      </c>
    </row>
    <row r="21" spans="1:7" x14ac:dyDescent="0.2">
      <c r="A21" t="str">
        <v>elpubldv</v>
      </c>
      <c r="B21" t="str">
        <f t="shared" si="0"/>
        <v>elpubldv</v>
      </c>
      <c r="C21" t="str">
        <v>bd_public_electricity_tj</v>
      </c>
      <c r="D21" t="str">
        <v>kWh to TJ</v>
      </c>
      <c r="E21" t="str">
        <v>TJ</v>
      </c>
      <c r="F21" t="str">
        <f t="shared" si="1"/>
        <v>TJ</v>
      </c>
      <c r="G21">
        <v>3.5999999999999998E-6</v>
      </c>
    </row>
    <row r="22" spans="1:7" x14ac:dyDescent="0.2">
      <c r="A22" t="str">
        <v>vbrzg_g1</v>
      </c>
      <c r="B22" t="str">
        <f t="shared" si="0"/>
        <v>vbrzg_g1</v>
      </c>
      <c r="C22" t="str">
        <v>bd_gas_sbi_g_tj</v>
      </c>
      <c r="D22" t="str">
        <v>m3 (natural gas) to TJ</v>
      </c>
      <c r="E22" t="str">
        <v>TJ</v>
      </c>
      <c r="F22" t="str">
        <f t="shared" si="1"/>
        <v>TJ</v>
      </c>
      <c r="G22">
        <v>3.1649999999999997E-5</v>
      </c>
    </row>
    <row r="23" spans="1:7" x14ac:dyDescent="0.2">
      <c r="A23" t="str">
        <v>vbrzg_h</v>
      </c>
      <c r="B23" t="str">
        <f t="shared" si="0"/>
        <v>vbrzg_h</v>
      </c>
      <c r="C23" t="str">
        <v>bd_gas_sbi_h_tj</v>
      </c>
      <c r="D23" t="str">
        <v>m3 (natural gas) to TJ</v>
      </c>
      <c r="E23" t="str">
        <v>TJ</v>
      </c>
      <c r="F23" t="str">
        <f t="shared" si="1"/>
        <v>TJ</v>
      </c>
      <c r="G23">
        <v>3.1649999999999997E-5</v>
      </c>
    </row>
    <row r="24" spans="1:7" x14ac:dyDescent="0.2">
      <c r="A24" t="str">
        <v>vbrzg_i</v>
      </c>
      <c r="B24" t="str">
        <f t="shared" si="0"/>
        <v>vbrzg_i</v>
      </c>
      <c r="C24" t="str">
        <v>bd_gas_sbi_i_tj</v>
      </c>
      <c r="D24" t="str">
        <v>m3 (natural gas) to TJ</v>
      </c>
      <c r="E24" t="str">
        <v>TJ</v>
      </c>
      <c r="F24" t="str">
        <f t="shared" si="1"/>
        <v>TJ</v>
      </c>
      <c r="G24">
        <v>3.1649999999999997E-5</v>
      </c>
    </row>
    <row r="25" spans="1:7" x14ac:dyDescent="0.2">
      <c r="A25" t="str">
        <v>vbrzg_j</v>
      </c>
      <c r="B25" t="str">
        <f t="shared" si="0"/>
        <v>vbrzg_j</v>
      </c>
      <c r="C25" t="str">
        <v>bd_gas_sbi_j_tj</v>
      </c>
      <c r="D25" t="str">
        <v>m3 (natural gas) to TJ</v>
      </c>
      <c r="E25" t="str">
        <v>TJ</v>
      </c>
      <c r="F25" t="str">
        <f t="shared" si="1"/>
        <v>TJ</v>
      </c>
      <c r="G25">
        <v>3.1649999999999997E-5</v>
      </c>
    </row>
    <row r="26" spans="1:7" x14ac:dyDescent="0.2">
      <c r="A26" t="str">
        <v>vbrzg_k</v>
      </c>
      <c r="B26" t="str">
        <f t="shared" si="0"/>
        <v>vbrzg_k</v>
      </c>
      <c r="C26" t="str">
        <v>bd_gas_sbi_k_tj</v>
      </c>
      <c r="D26" t="str">
        <v>m3 (natural gas) to TJ</v>
      </c>
      <c r="E26" t="str">
        <v>TJ</v>
      </c>
      <c r="F26" t="str">
        <f t="shared" si="1"/>
        <v>TJ</v>
      </c>
      <c r="G26">
        <v>3.1649999999999997E-5</v>
      </c>
    </row>
    <row r="27" spans="1:7" x14ac:dyDescent="0.2">
      <c r="A27" t="str">
        <v>vbrzg_l</v>
      </c>
      <c r="B27" t="str">
        <f t="shared" si="0"/>
        <v>vbrzg_l</v>
      </c>
      <c r="C27" t="str">
        <v>bd_gas_sbi_l_tj</v>
      </c>
      <c r="D27" t="str">
        <v>m3 (natural gas) to TJ</v>
      </c>
      <c r="E27" t="str">
        <v>TJ</v>
      </c>
      <c r="F27" t="str">
        <f t="shared" si="1"/>
        <v>TJ</v>
      </c>
      <c r="G27">
        <v>3.1649999999999997E-5</v>
      </c>
    </row>
    <row r="28" spans="1:7" x14ac:dyDescent="0.2">
      <c r="A28" t="str">
        <v>vbrzg_m</v>
      </c>
      <c r="B28" t="str">
        <f t="shared" si="0"/>
        <v>vbrzg_m</v>
      </c>
      <c r="C28" t="str">
        <v>bd_gas_sbi_m_tj</v>
      </c>
      <c r="D28" t="str">
        <v>m3 (natural gas) to TJ</v>
      </c>
      <c r="E28" t="str">
        <v>TJ</v>
      </c>
      <c r="F28" t="str">
        <f t="shared" si="1"/>
        <v>TJ</v>
      </c>
      <c r="G28">
        <v>3.1649999999999997E-5</v>
      </c>
    </row>
    <row r="29" spans="1:7" x14ac:dyDescent="0.2">
      <c r="A29" t="str">
        <v>vbrzg_n</v>
      </c>
      <c r="B29" t="str">
        <f t="shared" si="0"/>
        <v>vbrzg_n</v>
      </c>
      <c r="C29" t="str">
        <v>bd_gas_sbi_n_tj</v>
      </c>
      <c r="D29" t="str">
        <v>m3 (natural gas) to TJ</v>
      </c>
      <c r="E29" t="str">
        <v>TJ</v>
      </c>
      <c r="F29" t="str">
        <f t="shared" si="1"/>
        <v>TJ</v>
      </c>
      <c r="G29">
        <v>3.1649999999999997E-5</v>
      </c>
    </row>
    <row r="30" spans="1:7" x14ac:dyDescent="0.2">
      <c r="A30" t="str">
        <v>vbrzg_o</v>
      </c>
      <c r="B30" t="str">
        <f t="shared" si="0"/>
        <v>vbrzg_o</v>
      </c>
      <c r="C30" t="str">
        <v>bd_gas_sbi_o_tj</v>
      </c>
      <c r="D30" t="str">
        <v>m3 (natural gas) to TJ</v>
      </c>
      <c r="E30" t="str">
        <v>TJ</v>
      </c>
      <c r="F30" t="str">
        <f t="shared" si="1"/>
        <v>TJ</v>
      </c>
      <c r="G30">
        <v>3.1649999999999997E-5</v>
      </c>
    </row>
    <row r="31" spans="1:7" x14ac:dyDescent="0.2">
      <c r="A31" t="str">
        <v>vbrzg_p</v>
      </c>
      <c r="B31" t="str">
        <f t="shared" si="0"/>
        <v>vbrzg_p</v>
      </c>
      <c r="C31" t="str">
        <v>bd_gas_sbi_p_tj</v>
      </c>
      <c r="D31" t="str">
        <v>m3 (natural gas) to TJ</v>
      </c>
      <c r="E31" t="str">
        <v>TJ</v>
      </c>
      <c r="F31" t="str">
        <f t="shared" si="1"/>
        <v>TJ</v>
      </c>
      <c r="G31">
        <v>3.1649999999999997E-5</v>
      </c>
    </row>
    <row r="32" spans="1:7" x14ac:dyDescent="0.2">
      <c r="A32" t="str">
        <v>vbrzg_q</v>
      </c>
      <c r="B32" t="str">
        <f t="shared" si="0"/>
        <v>vbrzg_q</v>
      </c>
      <c r="C32" t="str">
        <v>bd_gas_sbi_q_tj</v>
      </c>
      <c r="D32" t="str">
        <v>m3 (natural gas) to TJ</v>
      </c>
      <c r="E32" t="str">
        <v>TJ</v>
      </c>
      <c r="F32" t="str">
        <f t="shared" si="1"/>
        <v>TJ</v>
      </c>
      <c r="G32">
        <v>3.1649999999999997E-5</v>
      </c>
    </row>
    <row r="33" spans="1:7" x14ac:dyDescent="0.2">
      <c r="A33" t="str">
        <v>vbrzg_r1</v>
      </c>
      <c r="B33" t="str">
        <f t="shared" si="0"/>
        <v>vbrzg_r1</v>
      </c>
      <c r="C33" t="str">
        <v>bd_gas_sbi_r_tj</v>
      </c>
      <c r="D33" t="str">
        <v>m3 (natural gas) to TJ</v>
      </c>
      <c r="E33" t="str">
        <v>TJ</v>
      </c>
      <c r="F33" t="str">
        <f t="shared" si="1"/>
        <v>TJ</v>
      </c>
      <c r="G33">
        <v>3.1649999999999997E-5</v>
      </c>
    </row>
    <row r="34" spans="1:7" x14ac:dyDescent="0.2">
      <c r="A34" t="str">
        <v>vbrzg_s</v>
      </c>
      <c r="B34" t="str">
        <f t="shared" si="0"/>
        <v>vbrzg_s</v>
      </c>
      <c r="C34" t="str">
        <v>bd_gas_sbi_s_tj</v>
      </c>
      <c r="D34" t="str">
        <v>m3 (natural gas) to TJ</v>
      </c>
      <c r="E34" t="str">
        <v>TJ</v>
      </c>
      <c r="F34" t="str">
        <f t="shared" si="1"/>
        <v>TJ</v>
      </c>
      <c r="G34">
        <v>3.1649999999999997E-5</v>
      </c>
    </row>
    <row r="35" spans="1:7" x14ac:dyDescent="0.2">
      <c r="A35" t="str">
        <v>vbrzg_u</v>
      </c>
      <c r="B35" t="str">
        <f t="shared" si="0"/>
        <v>vbrzg_u</v>
      </c>
      <c r="C35" t="str">
        <v>bd_gas_sbi_u_tj</v>
      </c>
      <c r="D35" t="str">
        <v>m3 (natural gas) to TJ</v>
      </c>
      <c r="E35" t="str">
        <v>TJ</v>
      </c>
      <c r="F35" t="str">
        <f t="shared" si="1"/>
        <v>TJ</v>
      </c>
      <c r="G35">
        <v>3.1649999999999997E-5</v>
      </c>
    </row>
    <row r="36" spans="1:7" x14ac:dyDescent="0.2">
      <c r="A36" t="str">
        <v>vbrze_g1</v>
      </c>
      <c r="B36" t="str">
        <f t="shared" si="0"/>
        <v>vbrze_g1</v>
      </c>
      <c r="C36" t="str">
        <v>bd_electricity_sbi_g_tj</v>
      </c>
      <c r="D36" t="str">
        <v>kWh to TJ</v>
      </c>
      <c r="E36" t="str">
        <v>TJ</v>
      </c>
      <c r="F36" t="str">
        <f t="shared" si="1"/>
        <v>TJ</v>
      </c>
      <c r="G36">
        <v>3.5999999999999998E-6</v>
      </c>
    </row>
    <row r="37" spans="1:7" x14ac:dyDescent="0.2">
      <c r="A37" t="str">
        <v>vbrze_h</v>
      </c>
      <c r="B37" t="str">
        <f t="shared" si="0"/>
        <v>vbrze_h</v>
      </c>
      <c r="C37" t="str">
        <v>bd_electricity_sbi_h_tj</v>
      </c>
      <c r="D37" t="str">
        <v>kWh to TJ</v>
      </c>
      <c r="E37" t="str">
        <v>TJ</v>
      </c>
      <c r="F37" t="str">
        <f t="shared" si="1"/>
        <v>TJ</v>
      </c>
      <c r="G37">
        <v>3.5999999999999998E-6</v>
      </c>
    </row>
    <row r="38" spans="1:7" x14ac:dyDescent="0.2">
      <c r="A38" t="str">
        <v>vbrze_i</v>
      </c>
      <c r="B38" t="str">
        <f t="shared" si="0"/>
        <v>vbrze_i</v>
      </c>
      <c r="C38" t="str">
        <v>bd_electricity_sbi_i_tj</v>
      </c>
      <c r="D38" t="str">
        <v>kWh to TJ</v>
      </c>
      <c r="E38" t="str">
        <v>TJ</v>
      </c>
      <c r="F38" t="str">
        <f t="shared" si="1"/>
        <v>TJ</v>
      </c>
      <c r="G38">
        <v>3.5999999999999998E-6</v>
      </c>
    </row>
    <row r="39" spans="1:7" x14ac:dyDescent="0.2">
      <c r="A39" t="str">
        <v>vbrze_j</v>
      </c>
      <c r="B39" t="str">
        <f t="shared" si="0"/>
        <v>vbrze_j</v>
      </c>
      <c r="C39" t="str">
        <v>bd_electricity_sbi_j_tj</v>
      </c>
      <c r="D39" t="str">
        <v>kWh to TJ</v>
      </c>
      <c r="E39" t="str">
        <v>TJ</v>
      </c>
      <c r="F39" t="str">
        <f t="shared" si="1"/>
        <v>TJ</v>
      </c>
      <c r="G39">
        <v>3.5999999999999998E-6</v>
      </c>
    </row>
    <row r="40" spans="1:7" x14ac:dyDescent="0.2">
      <c r="A40" t="str">
        <v>vbrze_k</v>
      </c>
      <c r="B40" t="str">
        <f t="shared" si="0"/>
        <v>vbrze_k</v>
      </c>
      <c r="C40" t="str">
        <v>bd_electricity_sbi_k_tj</v>
      </c>
      <c r="D40" t="str">
        <v>kWh to TJ</v>
      </c>
      <c r="E40" t="str">
        <v>TJ</v>
      </c>
      <c r="F40" t="str">
        <f t="shared" si="1"/>
        <v>TJ</v>
      </c>
      <c r="G40">
        <v>3.5999999999999998E-6</v>
      </c>
    </row>
    <row r="41" spans="1:7" x14ac:dyDescent="0.2">
      <c r="A41" t="str">
        <v>vbrze_l</v>
      </c>
      <c r="B41" t="str">
        <f t="shared" si="0"/>
        <v>vbrze_l</v>
      </c>
      <c r="C41" t="str">
        <v>bd_electricity_sbi_l_tj</v>
      </c>
      <c r="D41" t="str">
        <v>kWh to TJ</v>
      </c>
      <c r="E41" t="str">
        <v>TJ</v>
      </c>
      <c r="F41" t="str">
        <f t="shared" si="1"/>
        <v>TJ</v>
      </c>
      <c r="G41">
        <v>3.5999999999999998E-6</v>
      </c>
    </row>
    <row r="42" spans="1:7" x14ac:dyDescent="0.2">
      <c r="A42" t="str">
        <v>vbrze_m</v>
      </c>
      <c r="B42" t="str">
        <f t="shared" si="0"/>
        <v>vbrze_m</v>
      </c>
      <c r="C42" t="str">
        <v>bd_electricity_sbi_m_tj</v>
      </c>
      <c r="D42" t="str">
        <v>kWh to TJ</v>
      </c>
      <c r="E42" t="str">
        <v>TJ</v>
      </c>
      <c r="F42" t="str">
        <f t="shared" si="1"/>
        <v>TJ</v>
      </c>
      <c r="G42">
        <v>3.5999999999999998E-6</v>
      </c>
    </row>
    <row r="43" spans="1:7" x14ac:dyDescent="0.2">
      <c r="A43" t="str">
        <v>vbrze_n</v>
      </c>
      <c r="B43" t="str">
        <f t="shared" si="0"/>
        <v>vbrze_n</v>
      </c>
      <c r="C43" t="str">
        <v>bd_electricity_sbi_n_tj</v>
      </c>
      <c r="D43" t="str">
        <v>kWh to TJ</v>
      </c>
      <c r="E43" t="str">
        <v>TJ</v>
      </c>
      <c r="F43" t="str">
        <f t="shared" si="1"/>
        <v>TJ</v>
      </c>
      <c r="G43">
        <v>3.5999999999999998E-6</v>
      </c>
    </row>
    <row r="44" spans="1:7" x14ac:dyDescent="0.2">
      <c r="A44" t="str">
        <v>vbrze_o</v>
      </c>
      <c r="B44" t="str">
        <f t="shared" si="0"/>
        <v>vbrze_o</v>
      </c>
      <c r="C44" t="str">
        <v>bd_electricity_sbi_o_tj</v>
      </c>
      <c r="D44" t="str">
        <v>kWh to TJ</v>
      </c>
      <c r="E44" t="str">
        <v>TJ</v>
      </c>
      <c r="F44" t="str">
        <f t="shared" si="1"/>
        <v>TJ</v>
      </c>
      <c r="G44">
        <v>3.5999999999999998E-6</v>
      </c>
    </row>
    <row r="45" spans="1:7" x14ac:dyDescent="0.2">
      <c r="A45" t="str">
        <v>vbrze_p</v>
      </c>
      <c r="B45" t="str">
        <f t="shared" si="0"/>
        <v>vbrze_p</v>
      </c>
      <c r="C45" t="str">
        <v>bd_electricity_sbi_p_tj</v>
      </c>
      <c r="D45" t="str">
        <v>kWh to TJ</v>
      </c>
      <c r="E45" t="str">
        <v>TJ</v>
      </c>
      <c r="F45" t="str">
        <f t="shared" si="1"/>
        <v>TJ</v>
      </c>
      <c r="G45">
        <v>3.5999999999999998E-6</v>
      </c>
    </row>
    <row r="46" spans="1:7" x14ac:dyDescent="0.2">
      <c r="A46" t="str">
        <v>vbrze_q</v>
      </c>
      <c r="B46" t="str">
        <f t="shared" si="0"/>
        <v>vbrze_q</v>
      </c>
      <c r="C46" t="str">
        <v>bd_electricity_sbi_q_tj</v>
      </c>
      <c r="D46" t="str">
        <v>kWh to TJ</v>
      </c>
      <c r="E46" t="str">
        <v>TJ</v>
      </c>
      <c r="F46" t="str">
        <f t="shared" si="1"/>
        <v>TJ</v>
      </c>
      <c r="G46">
        <v>3.5999999999999998E-6</v>
      </c>
    </row>
    <row r="47" spans="1:7" x14ac:dyDescent="0.2">
      <c r="A47" t="str">
        <v>vbrze_r1</v>
      </c>
      <c r="B47" t="str">
        <f t="shared" si="0"/>
        <v>vbrze_r1</v>
      </c>
      <c r="C47" t="str">
        <v>bd_electricity_sbi_r_tj</v>
      </c>
      <c r="D47" t="str">
        <v>kWh to TJ</v>
      </c>
      <c r="E47" t="str">
        <v>TJ</v>
      </c>
      <c r="F47" t="str">
        <f t="shared" si="1"/>
        <v>TJ</v>
      </c>
      <c r="G47">
        <v>3.5999999999999998E-6</v>
      </c>
    </row>
    <row r="48" spans="1:7" x14ac:dyDescent="0.2">
      <c r="A48" t="str">
        <v>vbrze_s</v>
      </c>
      <c r="B48" t="str">
        <f t="shared" si="0"/>
        <v>vbrze_s</v>
      </c>
      <c r="C48" t="str">
        <v>bd_electricity_sbi_s_tj</v>
      </c>
      <c r="D48" t="str">
        <v>kWh to TJ</v>
      </c>
      <c r="E48" t="str">
        <v>TJ</v>
      </c>
      <c r="F48" t="str">
        <f t="shared" si="1"/>
        <v>TJ</v>
      </c>
      <c r="G48">
        <v>3.5999999999999998E-6</v>
      </c>
    </row>
    <row r="49" spans="1:7" x14ac:dyDescent="0.2">
      <c r="A49" t="str">
        <v>vbrze_u</v>
      </c>
      <c r="B49" t="str">
        <f t="shared" si="0"/>
        <v>vbrze_u</v>
      </c>
      <c r="C49" t="str">
        <v>bd_electricity_sbi_u_tj</v>
      </c>
      <c r="D49" t="str">
        <v>kWh to TJ</v>
      </c>
      <c r="E49" t="str">
        <v>TJ</v>
      </c>
      <c r="F49" t="str">
        <f t="shared" si="1"/>
        <v>TJ</v>
      </c>
      <c r="G49">
        <v>3.5999999999999998E-6</v>
      </c>
    </row>
    <row r="50" spans="1:7" x14ac:dyDescent="0.2">
      <c r="A50" t="str">
        <v>energie_wegverk_tot</v>
      </c>
      <c r="B50" t="str">
        <f t="shared" si="0"/>
        <v>energie_wegverk_tot</v>
      </c>
      <c r="C50" t="str">
        <v>tp_road_total_tj</v>
      </c>
      <c r="D50" t="str">
        <v>no conversion</v>
      </c>
      <c r="E50" t="str">
        <v>TJ</v>
      </c>
      <c r="F50" t="str">
        <f t="shared" si="1"/>
        <v>TJ</v>
      </c>
      <c r="G50">
        <v>1</v>
      </c>
    </row>
    <row r="51" spans="1:7" x14ac:dyDescent="0.2">
      <c r="A51" t="str">
        <v>energie_mobwerk</v>
      </c>
      <c r="B51" t="str">
        <f t="shared" si="0"/>
        <v>energie_mobwerk</v>
      </c>
      <c r="C51" t="str">
        <v>tp_mobile_machines_inc_biofuels_tj</v>
      </c>
      <c r="D51" t="str">
        <v>no conversion</v>
      </c>
      <c r="E51" t="str">
        <v>TJ</v>
      </c>
      <c r="F51" t="str">
        <f t="shared" si="1"/>
        <v>TJ</v>
      </c>
      <c r="G51">
        <v>1</v>
      </c>
    </row>
    <row r="52" spans="1:7" x14ac:dyDescent="0.2">
      <c r="A52" t="str">
        <v>bio_verkeertj</v>
      </c>
      <c r="B52" t="str">
        <f t="shared" si="0"/>
        <v>bio_verkeertj</v>
      </c>
      <c r="C52" t="str">
        <v>tp_road_bio_fuels_ex_mm_tj</v>
      </c>
      <c r="D52" t="str">
        <v>no conversion</v>
      </c>
      <c r="E52" t="str">
        <v>TJ</v>
      </c>
      <c r="F52" t="str">
        <f t="shared" si="1"/>
        <v>TJ</v>
      </c>
      <c r="G52">
        <v>1</v>
      </c>
    </row>
    <row r="53" spans="1:7" x14ac:dyDescent="0.2">
      <c r="A53" t="str">
        <v>bio_mobwerk_tj</v>
      </c>
      <c r="B53" t="str">
        <f t="shared" si="0"/>
        <v>bio_mobwerk_tj</v>
      </c>
      <c r="C53" t="str">
        <v>tp_mobile_machines_bio_fuels_tj</v>
      </c>
      <c r="D53" t="str">
        <v>no conversion</v>
      </c>
      <c r="E53" t="str">
        <v>TJ</v>
      </c>
      <c r="F53" t="str">
        <f t="shared" si="1"/>
        <v>TJ</v>
      </c>
      <c r="G53">
        <v>1</v>
      </c>
    </row>
    <row r="54" spans="1:7" x14ac:dyDescent="0.2">
      <c r="A54" t="str">
        <v>energie_rail</v>
      </c>
      <c r="B54" t="str">
        <f t="shared" si="0"/>
        <v>energie_rail</v>
      </c>
      <c r="C54" t="str">
        <v>tp_rail_diesel_tj</v>
      </c>
      <c r="D54" t="str">
        <v>no conversion</v>
      </c>
      <c r="E54" t="str">
        <v>TJ</v>
      </c>
      <c r="F54" t="str">
        <f t="shared" si="1"/>
        <v>TJ</v>
      </c>
      <c r="G54">
        <v>1</v>
      </c>
    </row>
    <row r="55" spans="1:7" x14ac:dyDescent="0.2">
      <c r="A55" t="str">
        <v>energie_binnenvaart</v>
      </c>
      <c r="B55" t="str">
        <f t="shared" si="0"/>
        <v>energie_binnenvaart</v>
      </c>
      <c r="C55" t="str">
        <v>tp_inland_ship_diesel_tj</v>
      </c>
      <c r="D55" t="str">
        <v>no conversion</v>
      </c>
      <c r="E55" t="str">
        <v>TJ</v>
      </c>
      <c r="F55" t="str">
        <f t="shared" si="1"/>
        <v>TJ</v>
      </c>
      <c r="G55">
        <v>1</v>
      </c>
    </row>
    <row r="56" spans="1:7" x14ac:dyDescent="0.2">
      <c r="A56" t="str">
        <v>energie_zeevaart</v>
      </c>
      <c r="B56" t="str">
        <f t="shared" si="0"/>
        <v>energie_zeevaart</v>
      </c>
      <c r="C56" t="str">
        <v>tp_sea_ship_diesel_tj</v>
      </c>
      <c r="D56" t="str">
        <v>no conversion</v>
      </c>
      <c r="E56" t="str">
        <v>TJ</v>
      </c>
      <c r="F56" t="str">
        <f t="shared" si="1"/>
        <v>TJ</v>
      </c>
      <c r="G56">
        <v>1</v>
      </c>
    </row>
    <row r="57" spans="1:7" x14ac:dyDescent="0.2">
      <c r="A57" t="str">
        <v>wbelek</v>
      </c>
      <c r="B57" t="str">
        <f t="shared" si="0"/>
        <v>wbelek</v>
      </c>
      <c r="C57" t="str">
        <v>no_electric_busses</v>
      </c>
      <c r="D57" t="str">
        <v>no conversion</v>
      </c>
      <c r="E57" t="str">
        <v>#</v>
      </c>
      <c r="F57" t="str">
        <f t="shared" si="1"/>
        <v>#</v>
      </c>
      <c r="G57">
        <v>1</v>
      </c>
    </row>
    <row r="58" spans="1:7" x14ac:dyDescent="0.2">
      <c r="A58" t="str">
        <v>bedrautoelek</v>
      </c>
      <c r="B58" t="str">
        <f t="shared" si="0"/>
        <v>bedrautoelek</v>
      </c>
      <c r="C58" t="str">
        <v>no_electric_vans</v>
      </c>
      <c r="D58" t="str">
        <v>no conversion</v>
      </c>
      <c r="E58" t="str">
        <v>#</v>
      </c>
      <c r="F58" t="str">
        <f t="shared" si="1"/>
        <v>#</v>
      </c>
      <c r="G58">
        <v>1</v>
      </c>
    </row>
    <row r="59" spans="1:7" x14ac:dyDescent="0.2">
      <c r="A59" t="str">
        <v>wpelek</v>
      </c>
      <c r="B59" t="str">
        <f t="shared" si="0"/>
        <v>wpelek</v>
      </c>
      <c r="C59" t="str">
        <v>no_electric_cars_fev</v>
      </c>
      <c r="D59" t="str">
        <v>no conversion</v>
      </c>
      <c r="E59" t="str">
        <v>#</v>
      </c>
      <c r="F59" t="str">
        <f t="shared" si="1"/>
        <v>#</v>
      </c>
      <c r="G59">
        <v>1</v>
      </c>
    </row>
    <row r="60" spans="1:7" x14ac:dyDescent="0.2">
      <c r="A60" t="str">
        <v>rangeextend</v>
      </c>
      <c r="B60" t="str">
        <f t="shared" si="0"/>
        <v>rangeextend</v>
      </c>
      <c r="C60" t="str">
        <v>no_electric_cars_phev</v>
      </c>
      <c r="D60" t="str">
        <v>no conversion</v>
      </c>
      <c r="E60" t="str">
        <v>#</v>
      </c>
      <c r="F60" t="str">
        <f t="shared" si="1"/>
        <v>#</v>
      </c>
      <c r="G60">
        <v>1</v>
      </c>
    </row>
    <row r="61" spans="1:7" x14ac:dyDescent="0.2">
      <c r="A61" t="str">
        <v>wmfelek</v>
      </c>
      <c r="B61" t="str">
        <f t="shared" si="0"/>
        <v>wmfelek</v>
      </c>
      <c r="C61" t="str">
        <v>no_electric_scooters</v>
      </c>
      <c r="D61" t="str">
        <v>no conversion</v>
      </c>
      <c r="E61" t="str">
        <v>#</v>
      </c>
      <c r="F61" t="str">
        <f t="shared" si="1"/>
        <v>#</v>
      </c>
      <c r="G61">
        <v>1</v>
      </c>
    </row>
    <row r="62" spans="1:7" x14ac:dyDescent="0.2">
      <c r="A62" t="str">
        <v>wbfelek</v>
      </c>
      <c r="B62" t="str">
        <f t="shared" si="0"/>
        <v>wbfelek</v>
      </c>
      <c r="C62" t="str">
        <v>no_electric_motorcycles</v>
      </c>
      <c r="D62" t="str">
        <v>no conversion</v>
      </c>
      <c r="E62" t="str">
        <v>#</v>
      </c>
      <c r="F62" t="str">
        <f t="shared" si="1"/>
        <v>#</v>
      </c>
      <c r="G62">
        <v>1</v>
      </c>
    </row>
    <row r="63" spans="1:7" x14ac:dyDescent="0.2">
      <c r="A63" t="str">
        <v>bedrgas</v>
      </c>
      <c r="B63" t="str">
        <f t="shared" si="0"/>
        <v>bedrgas</v>
      </c>
      <c r="C63" t="str">
        <v>no_cng_trucks</v>
      </c>
      <c r="D63" t="str">
        <v>no conversion</v>
      </c>
      <c r="E63" t="str">
        <v>#</v>
      </c>
      <c r="F63" t="str">
        <f t="shared" si="1"/>
        <v>#</v>
      </c>
      <c r="G63">
        <v>1</v>
      </c>
    </row>
    <row r="64" spans="1:7" x14ac:dyDescent="0.2">
      <c r="A64" t="str">
        <v>wbgas</v>
      </c>
      <c r="B64" t="str">
        <f t="shared" si="0"/>
        <v>wbgas</v>
      </c>
      <c r="C64" t="str">
        <v>no_cng_busses</v>
      </c>
      <c r="D64" t="str">
        <v>no conversion</v>
      </c>
      <c r="E64" t="str">
        <v>#</v>
      </c>
      <c r="F64" t="str">
        <f t="shared" si="1"/>
        <v>#</v>
      </c>
      <c r="G64">
        <v>1</v>
      </c>
    </row>
    <row r="65" spans="1:7" x14ac:dyDescent="0.2">
      <c r="A65" t="str">
        <v>wpgas</v>
      </c>
      <c r="B65" t="str">
        <f t="shared" si="0"/>
        <v>wpgas</v>
      </c>
      <c r="C65" t="str">
        <v>no_cng_cars</v>
      </c>
      <c r="D65" t="str">
        <v>no conversion</v>
      </c>
      <c r="E65" t="str">
        <v>#</v>
      </c>
      <c r="F65" t="str">
        <f t="shared" si="1"/>
        <v>#</v>
      </c>
      <c r="G65">
        <v>1</v>
      </c>
    </row>
    <row r="66" spans="1:7" x14ac:dyDescent="0.2">
      <c r="A66" t="str">
        <v>bus_h2</v>
      </c>
      <c r="B66" t="str">
        <f t="shared" si="0"/>
        <v>bus_h2</v>
      </c>
      <c r="C66" t="str">
        <v>no_h2_busses</v>
      </c>
      <c r="D66" t="str">
        <v>no conversion</v>
      </c>
      <c r="E66" t="str">
        <v>#</v>
      </c>
      <c r="F66" t="str">
        <f t="shared" si="1"/>
        <v>#</v>
      </c>
      <c r="G66">
        <v>1</v>
      </c>
    </row>
    <row r="67" spans="1:7" x14ac:dyDescent="0.2">
      <c r="A67" t="str">
        <v>p_auto_h2</v>
      </c>
      <c r="B67" t="str">
        <f t="shared" ref="B67:B70" si="2">A67</f>
        <v>p_auto_h2</v>
      </c>
      <c r="C67" t="str">
        <v>no_h2_cars</v>
      </c>
      <c r="D67" t="str">
        <v>no conversion</v>
      </c>
      <c r="E67" t="str">
        <v>#</v>
      </c>
      <c r="F67" t="str">
        <f t="shared" ref="F67:F130" si="3">E67</f>
        <v>#</v>
      </c>
      <c r="G67">
        <v>1</v>
      </c>
    </row>
    <row r="68" spans="1:7" x14ac:dyDescent="0.2">
      <c r="A68" t="str">
        <v>b_auto_h2</v>
      </c>
      <c r="B68" t="str">
        <f t="shared" si="2"/>
        <v>b_auto_h2</v>
      </c>
      <c r="C68" t="str">
        <v>no_h2_vans</v>
      </c>
      <c r="D68" t="str">
        <v>no conversion</v>
      </c>
      <c r="E68" t="str">
        <v>#</v>
      </c>
      <c r="F68" t="str">
        <f t="shared" si="3"/>
        <v>#</v>
      </c>
      <c r="G68">
        <v>1</v>
      </c>
    </row>
    <row r="69" spans="1:7" x14ac:dyDescent="0.2">
      <c r="A69" t="str">
        <v>wbz_h2</v>
      </c>
      <c r="B69" t="str">
        <f t="shared" si="2"/>
        <v>wbz_h2</v>
      </c>
      <c r="C69" t="str">
        <v>no_h2_trucks</v>
      </c>
      <c r="D69" t="str">
        <v>no conversion</v>
      </c>
      <c r="E69" t="str">
        <v>#</v>
      </c>
      <c r="F69" t="str">
        <f t="shared" si="3"/>
        <v>#</v>
      </c>
      <c r="G69">
        <v>1</v>
      </c>
    </row>
    <row r="70" spans="1:7" x14ac:dyDescent="0.2">
      <c r="A70" t="str">
        <v>co2enmobwerk</v>
      </c>
      <c r="B70" t="str">
        <f t="shared" si="2"/>
        <v>co2enmobwerk</v>
      </c>
      <c r="C70" t="str">
        <v>tp_mobile_machines_co2</v>
      </c>
      <c r="D70" t="str">
        <v>no conversion</v>
      </c>
      <c r="E70" t="str">
        <v>tonne</v>
      </c>
      <c r="F70" t="s">
        <v>80</v>
      </c>
      <c r="G70">
        <v>1</v>
      </c>
    </row>
    <row r="71" spans="1:7" x14ac:dyDescent="0.2">
      <c r="A71" s="13" t="str">
        <v>co2bkabdsl</v>
      </c>
      <c r="B71" s="13" t="s">
        <v>306</v>
      </c>
      <c r="C71" t="str">
        <v>tp_bus_diesel_co2_built_env</v>
      </c>
      <c r="D71" t="str">
        <v>no conversion</v>
      </c>
      <c r="E71" t="str">
        <v>tonne</v>
      </c>
      <c r="F71" t="s">
        <v>80</v>
      </c>
      <c r="G71">
        <v>1</v>
      </c>
    </row>
    <row r="72" spans="1:7" x14ac:dyDescent="0.2">
      <c r="A72" s="13" t="str">
        <v>co2bkbabzn</v>
      </c>
      <c r="B72" s="13" t="s">
        <v>304</v>
      </c>
      <c r="C72" t="str">
        <v>tp_van_gasoline_co2_built_env</v>
      </c>
      <c r="D72" t="str">
        <v>no conversion</v>
      </c>
      <c r="E72" t="str">
        <v>tonne</v>
      </c>
      <c r="F72" t="s">
        <v>80</v>
      </c>
      <c r="G72">
        <v>1</v>
      </c>
    </row>
    <row r="73" spans="1:7" x14ac:dyDescent="0.2">
      <c r="A73" s="13" t="str">
        <v>co2bkbalpg</v>
      </c>
      <c r="B73" s="13" t="s">
        <v>299</v>
      </c>
      <c r="C73" t="str">
        <v>tp_van_lpg_co2_built_env</v>
      </c>
      <c r="D73" t="str">
        <v>no conversion</v>
      </c>
      <c r="E73" t="str">
        <v>tonne</v>
      </c>
      <c r="F73" t="s">
        <v>80</v>
      </c>
      <c r="G73">
        <v>1</v>
      </c>
    </row>
    <row r="74" spans="1:7" x14ac:dyDescent="0.2">
      <c r="A74" s="13" t="str">
        <v>co2bkbadsl</v>
      </c>
      <c r="B74" s="13" t="s">
        <v>300</v>
      </c>
      <c r="C74" t="str">
        <v>tp_van_diesel_co2_built_env</v>
      </c>
      <c r="D74" t="str">
        <v>no conversion</v>
      </c>
      <c r="E74" t="str">
        <v>tonne</v>
      </c>
      <c r="F74" t="s">
        <v>80</v>
      </c>
      <c r="G74">
        <v>1</v>
      </c>
    </row>
    <row r="75" spans="1:7" x14ac:dyDescent="0.2">
      <c r="A75" s="13" t="str">
        <v>co2bkpabzn</v>
      </c>
      <c r="B75" s="13" t="s">
        <v>339</v>
      </c>
      <c r="C75" t="str">
        <v>tp_car_gasoline_co2_built_env</v>
      </c>
      <c r="D75" t="str">
        <v>no conversion</v>
      </c>
      <c r="E75" t="str">
        <v>tonne</v>
      </c>
      <c r="F75" t="s">
        <v>80</v>
      </c>
      <c r="G75">
        <v>1</v>
      </c>
    </row>
    <row r="76" spans="1:7" x14ac:dyDescent="0.2">
      <c r="A76" s="13" t="str">
        <v>co2bkpadsl</v>
      </c>
      <c r="B76" s="13" t="s">
        <v>301</v>
      </c>
      <c r="C76" t="str">
        <v>tp_car_diesel_co2_built_env</v>
      </c>
      <c r="D76" t="str">
        <v>no conversion</v>
      </c>
      <c r="E76" t="str">
        <v>tonne</v>
      </c>
      <c r="F76" t="s">
        <v>80</v>
      </c>
      <c r="G76">
        <v>1</v>
      </c>
    </row>
    <row r="77" spans="1:7" x14ac:dyDescent="0.2">
      <c r="A77" s="13" t="str">
        <v>co2bkpalpg</v>
      </c>
      <c r="B77" s="13" t="s">
        <v>302</v>
      </c>
      <c r="C77" t="str">
        <v>tp_car_lpg_co2_built_env</v>
      </c>
      <c r="D77" t="str">
        <v>no conversion</v>
      </c>
      <c r="E77" t="str">
        <v>tonne</v>
      </c>
      <c r="F77" t="s">
        <v>80</v>
      </c>
      <c r="G77">
        <v>1</v>
      </c>
    </row>
    <row r="78" spans="1:7" x14ac:dyDescent="0.2">
      <c r="A78" t="str">
        <v>co2bktw</v>
      </c>
      <c r="B78" t="str">
        <f>A78</f>
        <v>co2bktw</v>
      </c>
      <c r="C78" t="str">
        <v>tp_motorcycle_co2_built_env</v>
      </c>
      <c r="D78" t="str">
        <v>no conversion</v>
      </c>
      <c r="E78" t="str">
        <v>tonne</v>
      </c>
      <c r="F78" t="s">
        <v>80</v>
      </c>
      <c r="G78">
        <v>1</v>
      </c>
    </row>
    <row r="79" spans="1:7" x14ac:dyDescent="0.2">
      <c r="A79" t="str">
        <v>co2bkzbv</v>
      </c>
      <c r="B79" t="str">
        <f>A79</f>
        <v>co2bkzbv</v>
      </c>
      <c r="C79" t="str">
        <v>tp_truck_co2_built_env</v>
      </c>
      <c r="D79" t="str">
        <v>no conversion</v>
      </c>
      <c r="E79" t="str">
        <v>tonne</v>
      </c>
      <c r="F79" t="s">
        <v>80</v>
      </c>
      <c r="G79">
        <v>1</v>
      </c>
    </row>
    <row r="80" spans="1:7" x14ac:dyDescent="0.2">
      <c r="A80" s="13" t="str">
        <v>co2bkabag</v>
      </c>
      <c r="B80" s="13" t="s">
        <v>307</v>
      </c>
      <c r="C80" t="str">
        <v>tp_bus_gas_co2_built_env</v>
      </c>
      <c r="D80" t="str">
        <v>no conversion</v>
      </c>
      <c r="E80" t="str">
        <v>tonne</v>
      </c>
      <c r="F80" t="s">
        <v>80</v>
      </c>
      <c r="G80">
        <v>1</v>
      </c>
    </row>
    <row r="81" spans="1:7" x14ac:dyDescent="0.2">
      <c r="A81" s="13" t="str">
        <v>co2bwabdsl</v>
      </c>
      <c r="B81" s="13" t="s">
        <v>316</v>
      </c>
      <c r="C81" t="str">
        <v>tp_bus_diesel_co2_road</v>
      </c>
      <c r="D81" t="str">
        <v>no conversion</v>
      </c>
      <c r="E81" t="str">
        <v>tonne</v>
      </c>
      <c r="F81" t="s">
        <v>80</v>
      </c>
      <c r="G81">
        <v>1</v>
      </c>
    </row>
    <row r="82" spans="1:7" x14ac:dyDescent="0.2">
      <c r="A82" s="13" t="str">
        <v>co2bwbabzn</v>
      </c>
      <c r="B82" s="13" t="s">
        <v>312</v>
      </c>
      <c r="C82" t="str">
        <v>tp_van_gasoline_co2_road</v>
      </c>
      <c r="D82" t="str">
        <v>no conversion</v>
      </c>
      <c r="E82" t="str">
        <v>tonne</v>
      </c>
      <c r="F82" t="s">
        <v>80</v>
      </c>
      <c r="G82">
        <v>1</v>
      </c>
    </row>
    <row r="83" spans="1:7" x14ac:dyDescent="0.2">
      <c r="A83" s="13" t="str">
        <v>co2bwbadsl</v>
      </c>
      <c r="B83" s="13" t="s">
        <v>313</v>
      </c>
      <c r="C83" t="str">
        <v>tp_van_diesel_co2_road</v>
      </c>
      <c r="D83" t="str">
        <v>no conversion</v>
      </c>
      <c r="E83" t="str">
        <v>tonne</v>
      </c>
      <c r="F83" t="s">
        <v>80</v>
      </c>
      <c r="G83">
        <v>1</v>
      </c>
    </row>
    <row r="84" spans="1:7" x14ac:dyDescent="0.2">
      <c r="A84" s="13" t="str">
        <v>co2bwbalpg</v>
      </c>
      <c r="B84" s="13" t="s">
        <v>314</v>
      </c>
      <c r="C84" t="str">
        <v>tp_van_lpg_co2_road</v>
      </c>
      <c r="D84" t="str">
        <v>no conversion</v>
      </c>
      <c r="E84" t="str">
        <v>tonne</v>
      </c>
      <c r="F84" t="s">
        <v>80</v>
      </c>
      <c r="G84">
        <v>1</v>
      </c>
    </row>
    <row r="85" spans="1:7" x14ac:dyDescent="0.2">
      <c r="A85" s="13" t="str">
        <v>co2bwpabzn</v>
      </c>
      <c r="B85" s="13" t="s">
        <v>308</v>
      </c>
      <c r="C85" t="str">
        <v>tp_car_gasoline_co2_road</v>
      </c>
      <c r="D85" t="str">
        <v>no conversion</v>
      </c>
      <c r="E85" t="str">
        <v>tonne</v>
      </c>
      <c r="F85" t="s">
        <v>80</v>
      </c>
      <c r="G85">
        <v>1</v>
      </c>
    </row>
    <row r="86" spans="1:7" x14ac:dyDescent="0.2">
      <c r="A86" s="13" t="str">
        <v>co2bwpadsl</v>
      </c>
      <c r="B86" s="13" t="s">
        <v>309</v>
      </c>
      <c r="C86" t="str">
        <v>tp_car_diesel_co2_road</v>
      </c>
      <c r="D86" t="str">
        <v>no conversion</v>
      </c>
      <c r="E86" t="str">
        <v>tonne</v>
      </c>
      <c r="F86" t="s">
        <v>80</v>
      </c>
      <c r="G86">
        <v>1</v>
      </c>
    </row>
    <row r="87" spans="1:7" x14ac:dyDescent="0.2">
      <c r="A87" s="13" t="str">
        <v>co2bwpalpg</v>
      </c>
      <c r="B87" s="13" t="s">
        <v>310</v>
      </c>
      <c r="C87" t="str">
        <v>tp_car_lpg_co2_road</v>
      </c>
      <c r="D87" t="str">
        <v>no conversion</v>
      </c>
      <c r="E87" t="str">
        <v>tonne</v>
      </c>
      <c r="F87" t="s">
        <v>80</v>
      </c>
      <c r="G87">
        <v>1</v>
      </c>
    </row>
    <row r="88" spans="1:7" x14ac:dyDescent="0.2">
      <c r="A88" t="str">
        <v>co2bwtw</v>
      </c>
      <c r="B88" t="str">
        <f>A88</f>
        <v>co2bwtw</v>
      </c>
      <c r="C88" t="str">
        <v>tp_motorcycle_co2_road</v>
      </c>
      <c r="D88" t="str">
        <v>no conversion</v>
      </c>
      <c r="E88" t="str">
        <v>tonne</v>
      </c>
      <c r="F88" t="s">
        <v>80</v>
      </c>
      <c r="G88">
        <v>1</v>
      </c>
    </row>
    <row r="89" spans="1:7" x14ac:dyDescent="0.2">
      <c r="A89" t="str">
        <v>co2bwzbv</v>
      </c>
      <c r="B89" t="str">
        <f>A89</f>
        <v>co2bwzbv</v>
      </c>
      <c r="C89" t="str">
        <v>tp_truck_co2_road</v>
      </c>
      <c r="D89" t="str">
        <v>no conversion</v>
      </c>
      <c r="E89" t="str">
        <v>tonne</v>
      </c>
      <c r="F89" t="s">
        <v>80</v>
      </c>
      <c r="G89">
        <v>1</v>
      </c>
    </row>
    <row r="90" spans="1:7" x14ac:dyDescent="0.2">
      <c r="A90" s="13" t="str">
        <v>co2bwabag</v>
      </c>
      <c r="B90" s="13" t="s">
        <v>317</v>
      </c>
      <c r="C90" t="str">
        <v>tp_bus_gas_co2_road</v>
      </c>
      <c r="D90" t="str">
        <v>no conversion</v>
      </c>
      <c r="E90" t="str">
        <v>tonne</v>
      </c>
      <c r="F90" t="s">
        <v>80</v>
      </c>
      <c r="G90">
        <v>1</v>
      </c>
    </row>
    <row r="91" spans="1:7" x14ac:dyDescent="0.2">
      <c r="A91" s="13" t="str">
        <v>co2swabdsl</v>
      </c>
      <c r="B91" s="13" t="s">
        <v>326</v>
      </c>
      <c r="C91" t="str">
        <v>tp_bus_diesel_co2_motorway</v>
      </c>
      <c r="D91" t="str">
        <v>no conversion</v>
      </c>
      <c r="E91" t="str">
        <v>tonne</v>
      </c>
      <c r="F91" t="s">
        <v>80</v>
      </c>
      <c r="G91">
        <v>1</v>
      </c>
    </row>
    <row r="92" spans="1:7" x14ac:dyDescent="0.2">
      <c r="A92" s="13" t="str">
        <v>co2swbadsl</v>
      </c>
      <c r="B92" s="13" t="s">
        <v>323</v>
      </c>
      <c r="C92" t="str">
        <v>tp_van_diesel_co2_motorway</v>
      </c>
      <c r="D92" t="str">
        <v>no conversion</v>
      </c>
      <c r="E92" t="str">
        <v>tonne</v>
      </c>
      <c r="F92" t="s">
        <v>80</v>
      </c>
      <c r="G92">
        <v>1</v>
      </c>
    </row>
    <row r="93" spans="1:7" x14ac:dyDescent="0.2">
      <c r="A93" s="13" t="str">
        <v>co2swbabzn</v>
      </c>
      <c r="B93" s="13" t="s">
        <v>322</v>
      </c>
      <c r="C93" t="str">
        <v>tp_van_gasoline_co2_motorway</v>
      </c>
      <c r="D93" t="str">
        <v>no conversion</v>
      </c>
      <c r="E93" t="str">
        <v>tonne</v>
      </c>
      <c r="F93" t="s">
        <v>80</v>
      </c>
      <c r="G93">
        <v>1</v>
      </c>
    </row>
    <row r="94" spans="1:7" x14ac:dyDescent="0.2">
      <c r="A94" s="13" t="str">
        <v>co2swbalpg</v>
      </c>
      <c r="B94" s="13" t="s">
        <v>324</v>
      </c>
      <c r="C94" t="str">
        <v>tp_van_lpg_co2_motorway</v>
      </c>
      <c r="D94" t="str">
        <v>no conversion</v>
      </c>
      <c r="E94" t="str">
        <v>tonne</v>
      </c>
      <c r="F94" t="s">
        <v>80</v>
      </c>
      <c r="G94">
        <v>1</v>
      </c>
    </row>
    <row r="95" spans="1:7" x14ac:dyDescent="0.2">
      <c r="A95" s="13" t="str">
        <v>co2swpabzn</v>
      </c>
      <c r="B95" s="13" t="s">
        <v>318</v>
      </c>
      <c r="C95" t="str">
        <v>tp_car_gasoline_co2_motorway</v>
      </c>
      <c r="D95" t="str">
        <v>no conversion</v>
      </c>
      <c r="E95" t="str">
        <v>tonne</v>
      </c>
      <c r="F95" t="s">
        <v>80</v>
      </c>
      <c r="G95">
        <v>1</v>
      </c>
    </row>
    <row r="96" spans="1:7" x14ac:dyDescent="0.2">
      <c r="A96" s="13" t="str">
        <v>co2swpadsl</v>
      </c>
      <c r="B96" s="13" t="s">
        <v>319</v>
      </c>
      <c r="C96" t="str">
        <v>tp_car_diesel_co2_motorway</v>
      </c>
      <c r="D96" t="str">
        <v>no conversion</v>
      </c>
      <c r="E96" t="str">
        <v>tonne</v>
      </c>
      <c r="F96" t="s">
        <v>80</v>
      </c>
      <c r="G96">
        <v>1</v>
      </c>
    </row>
    <row r="97" spans="1:7" x14ac:dyDescent="0.2">
      <c r="A97" s="13" t="str">
        <v>co2swpalpg</v>
      </c>
      <c r="B97" s="13" t="s">
        <v>320</v>
      </c>
      <c r="C97" t="str">
        <v>tp_car_lpg_co2_motorway</v>
      </c>
      <c r="D97" t="str">
        <v>no conversion</v>
      </c>
      <c r="E97" t="str">
        <v>tonne</v>
      </c>
      <c r="F97" t="s">
        <v>80</v>
      </c>
      <c r="G97">
        <v>1</v>
      </c>
    </row>
    <row r="98" spans="1:7" x14ac:dyDescent="0.2">
      <c r="A98" t="str">
        <v>co2swtw</v>
      </c>
      <c r="B98" t="str">
        <f>A98</f>
        <v>co2swtw</v>
      </c>
      <c r="C98" t="str">
        <v>tp_motorcycle_co2_motorway</v>
      </c>
      <c r="D98" t="str">
        <v>no conversion</v>
      </c>
      <c r="E98" t="str">
        <v>tonne</v>
      </c>
      <c r="F98" t="s">
        <v>80</v>
      </c>
      <c r="G98">
        <v>1</v>
      </c>
    </row>
    <row r="99" spans="1:7" x14ac:dyDescent="0.2">
      <c r="A99" t="str">
        <v>co2swzbv</v>
      </c>
      <c r="B99" t="str">
        <f>A99</f>
        <v>co2swzbv</v>
      </c>
      <c r="C99" t="str">
        <v>tp_truck_co2_motorway</v>
      </c>
      <c r="D99" t="str">
        <v>no conversion</v>
      </c>
      <c r="E99" t="str">
        <v>tonne</v>
      </c>
      <c r="F99" t="s">
        <v>80</v>
      </c>
      <c r="G99">
        <v>1</v>
      </c>
    </row>
    <row r="100" spans="1:7" x14ac:dyDescent="0.2">
      <c r="A100" s="13" t="str">
        <v>co2swabag</v>
      </c>
      <c r="B100" s="13" t="s">
        <v>327</v>
      </c>
      <c r="C100" t="str">
        <v>tp_bus_gas_co2_motorway</v>
      </c>
      <c r="D100" t="str">
        <v>no conversion</v>
      </c>
      <c r="E100" t="str">
        <v>tonne</v>
      </c>
      <c r="F100" t="s">
        <v>80</v>
      </c>
      <c r="G100">
        <v>1</v>
      </c>
    </row>
    <row r="101" spans="1:7" x14ac:dyDescent="0.2">
      <c r="A101" t="str">
        <v>vbrze_a</v>
      </c>
      <c r="B101" t="str">
        <f t="shared" ref="B101:B138" si="4">A101</f>
        <v>vbrze_a</v>
      </c>
      <c r="C101" t="str">
        <v>agri_electricity_tj</v>
      </c>
      <c r="D101" t="str">
        <v>kWh to TJ</v>
      </c>
      <c r="E101" t="str">
        <v>TJ</v>
      </c>
      <c r="F101" t="str">
        <f t="shared" si="3"/>
        <v>TJ</v>
      </c>
      <c r="G101">
        <v>3.5999999999999998E-6</v>
      </c>
    </row>
    <row r="102" spans="1:7" x14ac:dyDescent="0.2">
      <c r="A102" t="str">
        <v>vbrzg_a</v>
      </c>
      <c r="B102" t="str">
        <f t="shared" si="4"/>
        <v>vbrzg_a</v>
      </c>
      <c r="C102" t="str">
        <v>agri_gas_tj</v>
      </c>
      <c r="D102" t="str">
        <v>m3 (natural gas) to TJ</v>
      </c>
      <c r="E102" t="str">
        <v>TJ</v>
      </c>
      <c r="F102" t="str">
        <f t="shared" si="3"/>
        <v>TJ</v>
      </c>
      <c r="G102">
        <v>3.1649999999999997E-5</v>
      </c>
    </row>
    <row r="103" spans="1:7" x14ac:dyDescent="0.2">
      <c r="A103" t="str">
        <v>vbrzg_b</v>
      </c>
      <c r="B103" t="str">
        <f t="shared" si="4"/>
        <v>vbrzg_b</v>
      </c>
      <c r="C103" t="str">
        <v>ind_gas_sbi_b_tj</v>
      </c>
      <c r="D103" t="str">
        <v>m3 (natural gas) to TJ</v>
      </c>
      <c r="E103" t="str">
        <v>TJ</v>
      </c>
      <c r="F103" t="str">
        <f t="shared" si="3"/>
        <v>TJ</v>
      </c>
      <c r="G103">
        <v>3.1649999999999997E-5</v>
      </c>
    </row>
    <row r="104" spans="1:7" x14ac:dyDescent="0.2">
      <c r="A104" t="str">
        <v>vbrzg_ctot</v>
      </c>
      <c r="B104" t="str">
        <f t="shared" si="4"/>
        <v>vbrzg_ctot</v>
      </c>
      <c r="C104" t="str">
        <v>ind_gas_sbi_c_tj</v>
      </c>
      <c r="D104" t="str">
        <v>m3 (natural gas) to TJ</v>
      </c>
      <c r="E104" t="str">
        <v>TJ</v>
      </c>
      <c r="F104" t="str">
        <f t="shared" si="3"/>
        <v>TJ</v>
      </c>
      <c r="G104">
        <v>3.1649999999999997E-5</v>
      </c>
    </row>
    <row r="105" spans="1:7" x14ac:dyDescent="0.2">
      <c r="A105" t="str">
        <v>vbrzg_afval</v>
      </c>
      <c r="B105" t="str">
        <f t="shared" si="4"/>
        <v>vbrzg_afval</v>
      </c>
      <c r="C105" t="str">
        <v>ind_gas_sbi_e_tj</v>
      </c>
      <c r="D105" t="str">
        <v>m3 (natural gas) to TJ</v>
      </c>
      <c r="E105" t="str">
        <v>TJ</v>
      </c>
      <c r="F105" t="str">
        <f t="shared" si="3"/>
        <v>TJ</v>
      </c>
      <c r="G105">
        <v>3.1649999999999997E-5</v>
      </c>
    </row>
    <row r="106" spans="1:7" x14ac:dyDescent="0.2">
      <c r="A106" t="str">
        <v>vbrzg_f</v>
      </c>
      <c r="B106" t="str">
        <f t="shared" si="4"/>
        <v>vbrzg_f</v>
      </c>
      <c r="C106" t="str">
        <v>ind_gas_sbi_f_tj</v>
      </c>
      <c r="D106" t="str">
        <v>m3 (natural gas) to TJ</v>
      </c>
      <c r="E106" t="str">
        <v>TJ</v>
      </c>
      <c r="F106" t="str">
        <f t="shared" si="3"/>
        <v>TJ</v>
      </c>
      <c r="G106">
        <v>3.1649999999999997E-5</v>
      </c>
    </row>
    <row r="107" spans="1:7" x14ac:dyDescent="0.2">
      <c r="A107" t="str">
        <v>vbrze_b</v>
      </c>
      <c r="B107" t="str">
        <f t="shared" si="4"/>
        <v>vbrze_b</v>
      </c>
      <c r="C107" t="str">
        <v>ind_electricity_sbi_b_tj</v>
      </c>
      <c r="D107" t="str">
        <v>kWh to TJ</v>
      </c>
      <c r="E107" t="str">
        <v>TJ</v>
      </c>
      <c r="F107" t="str">
        <f t="shared" si="3"/>
        <v>TJ</v>
      </c>
      <c r="G107">
        <v>3.5999999999999998E-6</v>
      </c>
    </row>
    <row r="108" spans="1:7" x14ac:dyDescent="0.2">
      <c r="A108" t="str">
        <v>vbrze_ctot</v>
      </c>
      <c r="B108" t="str">
        <f t="shared" si="4"/>
        <v>vbrze_ctot</v>
      </c>
      <c r="C108" t="str">
        <v>ind_electricity_sbi_c_tj</v>
      </c>
      <c r="D108" t="str">
        <v>kWh to TJ</v>
      </c>
      <c r="E108" t="str">
        <v>TJ</v>
      </c>
      <c r="F108" t="str">
        <f t="shared" si="3"/>
        <v>TJ</v>
      </c>
      <c r="G108">
        <v>3.5999999999999998E-6</v>
      </c>
    </row>
    <row r="109" spans="1:7" x14ac:dyDescent="0.2">
      <c r="A109" t="str">
        <v>vbrze_d</v>
      </c>
      <c r="B109" t="str">
        <f t="shared" si="4"/>
        <v>vbrze_d</v>
      </c>
      <c r="C109" t="str">
        <v>ind_electricity_sbi_d_tj</v>
      </c>
      <c r="D109" t="str">
        <v>kWh to TJ</v>
      </c>
      <c r="E109" t="str">
        <v>TJ</v>
      </c>
      <c r="F109" t="str">
        <f t="shared" si="3"/>
        <v>TJ</v>
      </c>
      <c r="G109">
        <v>3.5999999999999998E-6</v>
      </c>
    </row>
    <row r="110" spans="1:7" x14ac:dyDescent="0.2">
      <c r="A110" t="str">
        <v>vbrze_afval</v>
      </c>
      <c r="B110" t="str">
        <f t="shared" si="4"/>
        <v>vbrze_afval</v>
      </c>
      <c r="C110" t="str">
        <v>ind_electricity_sbi_e_tj</v>
      </c>
      <c r="D110" t="str">
        <v>kWh to TJ</v>
      </c>
      <c r="E110" t="str">
        <v>TJ</v>
      </c>
      <c r="F110" t="str">
        <f t="shared" si="3"/>
        <v>TJ</v>
      </c>
      <c r="G110">
        <v>3.5999999999999998E-6</v>
      </c>
    </row>
    <row r="111" spans="1:7" x14ac:dyDescent="0.2">
      <c r="A111" t="str">
        <v>vbrze_f</v>
      </c>
      <c r="B111" t="str">
        <f t="shared" si="4"/>
        <v>vbrze_f</v>
      </c>
      <c r="C111" t="str">
        <v>ind_electricity_sbi_f_tj</v>
      </c>
      <c r="D111" t="str">
        <v>kWh to TJ</v>
      </c>
      <c r="E111" t="str">
        <v>TJ</v>
      </c>
      <c r="F111" t="str">
        <f t="shared" si="3"/>
        <v>TJ</v>
      </c>
      <c r="G111">
        <v>3.5999999999999998E-6</v>
      </c>
    </row>
    <row r="112" spans="1:7" x14ac:dyDescent="0.2">
      <c r="A112" t="str">
        <v>pv_vermogen</v>
      </c>
      <c r="B112" t="str">
        <f t="shared" si="4"/>
        <v>pv_vermogen</v>
      </c>
      <c r="C112" t="str">
        <v>total_solar_kw</v>
      </c>
      <c r="D112" t="str">
        <v>no conversion</v>
      </c>
      <c r="E112" t="str">
        <v>kW</v>
      </c>
      <c r="F112" t="str">
        <f t="shared" si="3"/>
        <v>kW</v>
      </c>
      <c r="G112">
        <v>1</v>
      </c>
    </row>
    <row r="113" spans="1:7" x14ac:dyDescent="0.2">
      <c r="A113" t="str">
        <v>zon_vermogen_won</v>
      </c>
      <c r="B113" t="str">
        <f t="shared" si="4"/>
        <v>zon_vermogen_won</v>
      </c>
      <c r="C113" t="str">
        <v>hh_solar_kw</v>
      </c>
      <c r="D113" t="str">
        <v>no conversion</v>
      </c>
      <c r="E113" t="str">
        <v>kW</v>
      </c>
      <c r="F113" t="str">
        <f t="shared" si="3"/>
        <v>kW</v>
      </c>
      <c r="G113">
        <v>1</v>
      </c>
    </row>
    <row r="114" spans="1:7" x14ac:dyDescent="0.2">
      <c r="A114" t="str">
        <v>zon_vermogen_bdr</v>
      </c>
      <c r="B114" t="str">
        <f t="shared" si="4"/>
        <v>zon_vermogen_bdr</v>
      </c>
      <c r="C114" t="str">
        <v>commercial_solar_roof_kw</v>
      </c>
      <c r="D114" t="str">
        <v>no conversion</v>
      </c>
      <c r="E114" t="str">
        <v>kW</v>
      </c>
      <c r="F114" t="str">
        <f t="shared" si="3"/>
        <v>kW</v>
      </c>
      <c r="G114">
        <v>1</v>
      </c>
    </row>
    <row r="115" spans="1:7" x14ac:dyDescent="0.2">
      <c r="A115" t="str">
        <v>zonvld</v>
      </c>
      <c r="B115" t="str">
        <f t="shared" si="4"/>
        <v>zonvld</v>
      </c>
      <c r="C115" t="str">
        <v>energy_solar_farms_kw</v>
      </c>
      <c r="D115" t="str">
        <v>MW to kW</v>
      </c>
      <c r="E115" t="str">
        <v>kW</v>
      </c>
      <c r="F115" t="str">
        <f t="shared" si="3"/>
        <v>kW</v>
      </c>
      <c r="G115">
        <v>1000</v>
      </c>
    </row>
    <row r="116" spans="1:7" x14ac:dyDescent="0.2">
      <c r="A116" t="str">
        <v>biogas_warm</v>
      </c>
      <c r="B116" t="str">
        <f t="shared" si="4"/>
        <v>biogas_warm</v>
      </c>
      <c r="C116" t="str">
        <v>biogas_heat_tj</v>
      </c>
      <c r="D116" t="str">
        <v>no conversion</v>
      </c>
      <c r="E116" t="str">
        <v>TJ</v>
      </c>
      <c r="F116" t="str">
        <f t="shared" si="3"/>
        <v>TJ</v>
      </c>
      <c r="G116">
        <v>1</v>
      </c>
    </row>
    <row r="117" spans="1:7" x14ac:dyDescent="0.2">
      <c r="A117" t="str">
        <v>biogas_el</v>
      </c>
      <c r="B117" t="str">
        <f t="shared" si="4"/>
        <v>biogas_el</v>
      </c>
      <c r="C117" t="str">
        <v>biogas_electricity_tj</v>
      </c>
      <c r="D117" t="str">
        <v>no conversion</v>
      </c>
      <c r="E117" t="str">
        <v>TJ</v>
      </c>
      <c r="F117" t="str">
        <f t="shared" si="3"/>
        <v>TJ</v>
      </c>
      <c r="G117">
        <v>1</v>
      </c>
    </row>
    <row r="118" spans="1:7" x14ac:dyDescent="0.2">
      <c r="A118" t="str">
        <v>ovbio_thtj</v>
      </c>
      <c r="B118" t="str">
        <f t="shared" si="4"/>
        <v>ovbio_thtj</v>
      </c>
      <c r="C118" t="str">
        <v>biomass_firms_heat_tj</v>
      </c>
      <c r="D118" t="str">
        <v>no conversion</v>
      </c>
      <c r="E118" t="str">
        <v>TJ</v>
      </c>
      <c r="F118" t="str">
        <f t="shared" si="3"/>
        <v>TJ</v>
      </c>
      <c r="G118">
        <v>1</v>
      </c>
    </row>
    <row r="119" spans="1:7" x14ac:dyDescent="0.2">
      <c r="A119" t="str">
        <v>ovbio_th_wkk_tj</v>
      </c>
      <c r="B119" t="str">
        <f t="shared" si="4"/>
        <v>ovbio_th_wkk_tj</v>
      </c>
      <c r="C119" t="str">
        <v>biomass_firms_chp_heat_tj</v>
      </c>
      <c r="D119" t="str">
        <v>no conversion</v>
      </c>
      <c r="E119" t="str">
        <v>TJ</v>
      </c>
      <c r="F119" t="str">
        <f t="shared" si="3"/>
        <v>TJ</v>
      </c>
      <c r="G119">
        <v>1</v>
      </c>
    </row>
    <row r="120" spans="1:7" x14ac:dyDescent="0.2">
      <c r="A120" t="str">
        <v>geothermtj</v>
      </c>
      <c r="B120" t="str">
        <f t="shared" si="4"/>
        <v>geothermtj</v>
      </c>
      <c r="C120" t="str">
        <v>geothermal_heat_tj</v>
      </c>
      <c r="D120" t="str">
        <v>no conversion</v>
      </c>
      <c r="E120" t="str">
        <v>TJ</v>
      </c>
      <c r="F120" t="str">
        <f t="shared" si="3"/>
        <v>TJ</v>
      </c>
      <c r="G120">
        <v>1</v>
      </c>
    </row>
    <row r="121" spans="1:7" x14ac:dyDescent="0.2">
      <c r="A121" t="str">
        <v>ovbio_eltjbrut</v>
      </c>
      <c r="B121" t="str">
        <f t="shared" si="4"/>
        <v>ovbio_eltjbrut</v>
      </c>
      <c r="C121" t="str">
        <v>biomass_firms_chp_electricity_tj</v>
      </c>
      <c r="D121" t="str">
        <v>no conversion</v>
      </c>
      <c r="E121" t="str">
        <v>TJ</v>
      </c>
      <c r="F121" t="str">
        <f t="shared" si="3"/>
        <v>TJ</v>
      </c>
      <c r="G121">
        <v>1</v>
      </c>
    </row>
    <row r="122" spans="1:7" x14ac:dyDescent="0.2">
      <c r="A122" t="str">
        <v>watertjbrutnorm</v>
      </c>
      <c r="B122" t="str">
        <f t="shared" si="4"/>
        <v>watertjbrutnorm</v>
      </c>
      <c r="C122" t="str">
        <v>hydro_electricity_tj</v>
      </c>
      <c r="D122" t="str">
        <v>no conversion</v>
      </c>
      <c r="E122" t="str">
        <v>TJ</v>
      </c>
      <c r="F122" t="str">
        <f t="shared" si="3"/>
        <v>TJ</v>
      </c>
      <c r="G122">
        <v>1</v>
      </c>
    </row>
    <row r="123" spans="1:7" x14ac:dyDescent="0.2">
      <c r="A123" t="str">
        <v>windtjbrutnorm</v>
      </c>
      <c r="B123" t="str">
        <f t="shared" si="4"/>
        <v>windtjbrutnorm</v>
      </c>
      <c r="C123" t="str">
        <v>wind_electricity_tj</v>
      </c>
      <c r="D123" t="str">
        <v>no conversion</v>
      </c>
      <c r="E123" t="str">
        <v>TJ</v>
      </c>
      <c r="F123" t="str">
        <f t="shared" si="3"/>
        <v>TJ</v>
      </c>
      <c r="G123">
        <v>1</v>
      </c>
    </row>
    <row r="124" spans="1:7" x14ac:dyDescent="0.2">
      <c r="A124" t="str">
        <v>avi_eltjbrut</v>
      </c>
      <c r="B124" t="str">
        <f t="shared" si="4"/>
        <v>avi_eltjbrut</v>
      </c>
      <c r="C124" t="str">
        <v>waste_renewable_electricity_tj</v>
      </c>
      <c r="D124" t="str">
        <v>no conversion</v>
      </c>
      <c r="E124" t="str">
        <v>TJ</v>
      </c>
      <c r="F124" t="str">
        <f t="shared" si="3"/>
        <v>TJ</v>
      </c>
      <c r="G124">
        <v>1</v>
      </c>
    </row>
    <row r="125" spans="1:7" x14ac:dyDescent="0.2">
      <c r="A125" t="str">
        <v>avi_thtjbrut</v>
      </c>
      <c r="B125" t="str">
        <f t="shared" si="4"/>
        <v>avi_thtjbrut</v>
      </c>
      <c r="C125" t="str">
        <v>waste_renewable_heat_tj</v>
      </c>
      <c r="D125" t="str">
        <v>no conversion</v>
      </c>
      <c r="E125" t="str">
        <v>TJ</v>
      </c>
      <c r="F125" t="str">
        <f t="shared" si="3"/>
        <v>TJ</v>
      </c>
      <c r="G125">
        <v>1</v>
      </c>
    </row>
    <row r="126" spans="1:7" x14ac:dyDescent="0.2">
      <c r="A126" t="str">
        <v>efac_benz_g_mj</v>
      </c>
      <c r="B126" t="str">
        <f t="shared" si="4"/>
        <v>efac_benz_g_mj</v>
      </c>
      <c r="C126" t="str">
        <v>gasoline_tonne_co2_per_tj</v>
      </c>
      <c r="D126" t="str">
        <v>no conversion</v>
      </c>
      <c r="E126" t="str">
        <v>tonne/TJ</v>
      </c>
      <c r="F126" t="str">
        <f t="shared" si="3"/>
        <v>tonne/TJ</v>
      </c>
      <c r="G126">
        <v>1</v>
      </c>
    </row>
    <row r="127" spans="1:7" x14ac:dyDescent="0.2">
      <c r="A127" t="str">
        <v>efac_diesel_g_mj</v>
      </c>
      <c r="B127" t="str">
        <f t="shared" si="4"/>
        <v>efac_diesel_g_mj</v>
      </c>
      <c r="C127" t="str">
        <v>diesel_tonne_co2_per_tj</v>
      </c>
      <c r="D127" t="str">
        <v>no conversion</v>
      </c>
      <c r="E127" t="str">
        <v>tonne/TJ</v>
      </c>
      <c r="F127" t="str">
        <f t="shared" si="3"/>
        <v>tonne/TJ</v>
      </c>
      <c r="G127">
        <v>1</v>
      </c>
    </row>
    <row r="128" spans="1:7" x14ac:dyDescent="0.2">
      <c r="A128" t="str">
        <v>efac_lpg_g_mj</v>
      </c>
      <c r="B128" t="str">
        <f t="shared" si="4"/>
        <v>efac_lpg_g_mj</v>
      </c>
      <c r="C128" t="str">
        <v>lpg_tonne_co2_per_tj</v>
      </c>
      <c r="D128" t="str">
        <v>no conversion</v>
      </c>
      <c r="E128" t="str">
        <v>tonne/TJ</v>
      </c>
      <c r="F128" t="str">
        <f t="shared" si="3"/>
        <v>tonne/TJ</v>
      </c>
      <c r="G128">
        <v>1</v>
      </c>
    </row>
    <row r="129" spans="1:7" x14ac:dyDescent="0.2">
      <c r="A129" t="str">
        <v>efacgas</v>
      </c>
      <c r="B129" t="str">
        <f t="shared" si="4"/>
        <v>efacgas</v>
      </c>
      <c r="C129" t="str">
        <v>gas_tonne_co2_per_tj</v>
      </c>
      <c r="D129" t="str">
        <v>ton/m3 to ton/TJ (natural gas)</v>
      </c>
      <c r="E129" t="str">
        <v>tonne/TJ (natural gas)</v>
      </c>
      <c r="F129" t="str">
        <f t="shared" si="3"/>
        <v>tonne/TJ (natural gas)</v>
      </c>
      <c r="G129">
        <v>31595.576619273306</v>
      </c>
    </row>
    <row r="130" spans="1:7" x14ac:dyDescent="0.2">
      <c r="A130" t="str">
        <v>vbrzg_tot_tj</v>
      </c>
      <c r="B130" t="str">
        <f t="shared" si="4"/>
        <v>vbrzg_tot_tj</v>
      </c>
      <c r="C130" t="str">
        <v>gas_buildings_industry_agriculture_tj</v>
      </c>
      <c r="D130" t="str">
        <v>no conversion</v>
      </c>
      <c r="E130" t="str">
        <v>TJ</v>
      </c>
      <c r="F130" t="str">
        <f t="shared" si="3"/>
        <v>TJ</v>
      </c>
      <c r="G130">
        <v>1</v>
      </c>
    </row>
    <row r="131" spans="1:7" x14ac:dyDescent="0.2">
      <c r="A131" t="str">
        <v>vbrze_tot_tj</v>
      </c>
      <c r="B131" t="str">
        <f t="shared" si="4"/>
        <v>vbrze_tot_tj</v>
      </c>
      <c r="C131" t="str">
        <v>electricity_buildings_industry_agriculture_tj</v>
      </c>
      <c r="D131" t="str">
        <v>no conversion</v>
      </c>
      <c r="E131" t="str">
        <v>TJ</v>
      </c>
      <c r="F131" t="str">
        <f t="shared" ref="F131:F144" si="5">E131</f>
        <v>TJ</v>
      </c>
      <c r="G131">
        <v>1</v>
      </c>
    </row>
    <row r="132" spans="1:7" x14ac:dyDescent="0.2">
      <c r="A132" t="str">
        <v>zonpvtj</v>
      </c>
      <c r="B132" t="str">
        <f t="shared" si="4"/>
        <v>zonpvtj</v>
      </c>
      <c r="C132" t="str">
        <v>solar_pv_total_production_tj</v>
      </c>
      <c r="D132" t="str">
        <v>no conversion</v>
      </c>
      <c r="E132" t="str">
        <v>TJ</v>
      </c>
      <c r="F132" t="str">
        <f t="shared" si="5"/>
        <v>TJ</v>
      </c>
      <c r="G132">
        <v>1</v>
      </c>
    </row>
    <row r="133" spans="1:7" x14ac:dyDescent="0.2">
      <c r="A133" t="str">
        <v>warelektr</v>
      </c>
      <c r="B133" t="str">
        <f t="shared" si="4"/>
        <v>warelektr</v>
      </c>
      <c r="C133" t="str">
        <v>waste_total_produced_electricity_tj</v>
      </c>
      <c r="D133" t="str">
        <v>GWh to TJ</v>
      </c>
      <c r="E133" t="str">
        <v>TJ</v>
      </c>
      <c r="F133" t="str">
        <f t="shared" si="5"/>
        <v>TJ</v>
      </c>
      <c r="G133">
        <v>3.6</v>
      </c>
    </row>
    <row r="134" spans="1:7" x14ac:dyDescent="0.2">
      <c r="A134" t="str">
        <v>hern_warm_tot_ex_groengas</v>
      </c>
      <c r="B134" t="str">
        <f t="shared" si="4"/>
        <v>hern_warm_tot_ex_groengas</v>
      </c>
      <c r="C134" t="str">
        <v>total_renewable_heat_tj_ex_greengas</v>
      </c>
      <c r="D134" t="str">
        <v>no conversion</v>
      </c>
      <c r="E134" t="str">
        <v>TJ</v>
      </c>
      <c r="F134" t="str">
        <f t="shared" si="5"/>
        <v>TJ</v>
      </c>
      <c r="G134">
        <v>1</v>
      </c>
    </row>
    <row r="135" spans="1:7" x14ac:dyDescent="0.2">
      <c r="A135" t="str">
        <v>windmw</v>
      </c>
      <c r="B135" t="str">
        <f t="shared" si="4"/>
        <v>windmw</v>
      </c>
      <c r="C135" t="str">
        <v>energy_wind_kw</v>
      </c>
      <c r="D135" t="str">
        <v>MW to kW</v>
      </c>
      <c r="E135" t="str">
        <v>kW</v>
      </c>
      <c r="F135" t="str">
        <f t="shared" si="5"/>
        <v>kW</v>
      </c>
      <c r="G135">
        <v>1000</v>
      </c>
    </row>
    <row r="136" spans="1:7" x14ac:dyDescent="0.2">
      <c r="A136" t="str">
        <v>efacel</v>
      </c>
      <c r="B136" t="str">
        <f t="shared" si="4"/>
        <v>efacel</v>
      </c>
      <c r="C136" t="str">
        <v>electricity_tonne_co2_per_tj</v>
      </c>
      <c r="D136" t="str">
        <v>ton/kwh to ton/TJ (electricity)</v>
      </c>
      <c r="E136" t="str">
        <v>tonne/TJ (electricity)</v>
      </c>
      <c r="F136" t="str">
        <f t="shared" si="5"/>
        <v>tonne/TJ (electricity)</v>
      </c>
      <c r="G136">
        <v>277777.77777777781</v>
      </c>
    </row>
    <row r="137" spans="1:7" x14ac:dyDescent="0.2">
      <c r="A137" t="str">
        <v>warwarmte</v>
      </c>
      <c r="B137" t="str">
        <f t="shared" si="4"/>
        <v>warwarmte</v>
      </c>
      <c r="C137" t="str">
        <v>waste_heat_used_in_area_tj</v>
      </c>
      <c r="D137" t="str">
        <v>no conversion</v>
      </c>
      <c r="E137" t="str">
        <v>TJ</v>
      </c>
      <c r="F137" t="str">
        <f t="shared" si="5"/>
        <v>TJ</v>
      </c>
      <c r="G137">
        <v>1</v>
      </c>
    </row>
    <row r="138" spans="1:7" x14ac:dyDescent="0.2">
      <c r="A138" t="str">
        <v>ondieptj</v>
      </c>
      <c r="B138" t="str">
        <f t="shared" si="4"/>
        <v>ondieptj</v>
      </c>
      <c r="C138" t="str">
        <v>bd_thermal_storage_tj</v>
      </c>
      <c r="D138" t="str">
        <v>no conversion</v>
      </c>
      <c r="E138" t="str">
        <v>TJ</v>
      </c>
      <c r="F138" t="str">
        <f t="shared" si="5"/>
        <v>TJ</v>
      </c>
      <c r="G138">
        <v>1</v>
      </c>
    </row>
    <row r="139" spans="1:7" x14ac:dyDescent="0.2">
      <c r="A139" t="s">
        <v>334</v>
      </c>
      <c r="B139" s="14" t="s">
        <v>303</v>
      </c>
      <c r="C139" s="14" t="s">
        <v>328</v>
      </c>
      <c r="D139" t="s">
        <v>4</v>
      </c>
      <c r="E139" t="s">
        <v>80</v>
      </c>
      <c r="F139" t="str">
        <f t="shared" si="5"/>
        <v>tonne</v>
      </c>
      <c r="G139">
        <v>1</v>
      </c>
    </row>
    <row r="140" spans="1:7" x14ac:dyDescent="0.2">
      <c r="A140" t="s">
        <v>334</v>
      </c>
      <c r="B140" s="14" t="s">
        <v>305</v>
      </c>
      <c r="C140" s="14" t="s">
        <v>332</v>
      </c>
      <c r="D140" t="s">
        <v>4</v>
      </c>
      <c r="E140" t="s">
        <v>80</v>
      </c>
      <c r="F140" t="str">
        <f t="shared" si="5"/>
        <v>tonne</v>
      </c>
      <c r="G140">
        <v>1</v>
      </c>
    </row>
    <row r="141" spans="1:7" x14ac:dyDescent="0.2">
      <c r="A141" t="s">
        <v>334</v>
      </c>
      <c r="B141" s="14" t="s">
        <v>311</v>
      </c>
      <c r="C141" s="14" t="s">
        <v>329</v>
      </c>
      <c r="D141" t="s">
        <v>4</v>
      </c>
      <c r="E141" t="s">
        <v>80</v>
      </c>
      <c r="F141" t="str">
        <f t="shared" si="5"/>
        <v>tonne</v>
      </c>
      <c r="G141">
        <v>1</v>
      </c>
    </row>
    <row r="142" spans="1:7" x14ac:dyDescent="0.2">
      <c r="A142" t="s">
        <v>334</v>
      </c>
      <c r="B142" s="14" t="s">
        <v>315</v>
      </c>
      <c r="C142" s="14" t="s">
        <v>331</v>
      </c>
      <c r="D142" t="s">
        <v>4</v>
      </c>
      <c r="E142" t="s">
        <v>80</v>
      </c>
      <c r="F142" t="str">
        <f t="shared" si="5"/>
        <v>tonne</v>
      </c>
      <c r="G142">
        <v>1</v>
      </c>
    </row>
    <row r="143" spans="1:7" x14ac:dyDescent="0.2">
      <c r="A143" t="s">
        <v>334</v>
      </c>
      <c r="B143" s="14" t="s">
        <v>321</v>
      </c>
      <c r="C143" s="14" t="s">
        <v>330</v>
      </c>
      <c r="D143" t="s">
        <v>4</v>
      </c>
      <c r="E143" t="s">
        <v>80</v>
      </c>
      <c r="F143" t="str">
        <f t="shared" si="5"/>
        <v>tonne</v>
      </c>
      <c r="G143">
        <v>1</v>
      </c>
    </row>
    <row r="144" spans="1:7" x14ac:dyDescent="0.2">
      <c r="A144" t="s">
        <v>334</v>
      </c>
      <c r="B144" s="14" t="s">
        <v>325</v>
      </c>
      <c r="C144" s="14" t="s">
        <v>333</v>
      </c>
      <c r="D144" t="s">
        <v>4</v>
      </c>
      <c r="E144" t="s">
        <v>80</v>
      </c>
      <c r="F144" t="str">
        <f t="shared" si="5"/>
        <v>tonne</v>
      </c>
      <c r="G144">
        <v>1</v>
      </c>
    </row>
  </sheetData>
  <autoFilter ref="A1:G144" xr:uid="{B3FE8411-56CC-FC4D-B069-A7BD8E3CF164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8177-A292-A045-B209-66C34219BFCE}">
  <sheetPr>
    <tabColor rgb="FFFFE699"/>
  </sheetPr>
  <dimension ref="A1:K138"/>
  <sheetViews>
    <sheetView tabSelected="1" topLeftCell="A95" workbookViewId="0">
      <selection activeCell="B114" sqref="B114"/>
    </sheetView>
  </sheetViews>
  <sheetFormatPr baseColWidth="10" defaultRowHeight="16" x14ac:dyDescent="0.2"/>
  <cols>
    <col min="1" max="2" width="30.1640625" customWidth="1"/>
    <col min="3" max="3" width="24.5" customWidth="1"/>
    <col min="4" max="4" width="15.83203125" customWidth="1"/>
    <col min="5" max="5" width="11.1640625" bestFit="1" customWidth="1"/>
    <col min="8" max="8" width="26.1640625" customWidth="1"/>
    <col min="10" max="10" width="12.1640625" bestFit="1" customWidth="1"/>
    <col min="11" max="11" width="30.6640625" customWidth="1"/>
  </cols>
  <sheetData>
    <row r="1" spans="1:11" x14ac:dyDescent="0.2">
      <c r="A1" s="1" t="s">
        <v>160</v>
      </c>
      <c r="B1" s="1" t="s">
        <v>153</v>
      </c>
      <c r="C1" s="1" t="s">
        <v>0</v>
      </c>
      <c r="D1" s="1" t="s">
        <v>1</v>
      </c>
      <c r="E1" s="1" t="s">
        <v>2</v>
      </c>
      <c r="H1" s="2" t="s">
        <v>154</v>
      </c>
      <c r="I1" s="3"/>
      <c r="J1" s="3"/>
      <c r="K1" s="4"/>
    </row>
    <row r="2" spans="1:11" x14ac:dyDescent="0.2">
      <c r="A2" t="s">
        <v>161</v>
      </c>
      <c r="B2" t="s">
        <v>3</v>
      </c>
      <c r="C2" t="s">
        <v>4</v>
      </c>
      <c r="D2" t="s">
        <v>5</v>
      </c>
      <c r="E2">
        <f t="shared" ref="E2:E65" si="0">VLOOKUP($C2,$H$3:$J$25,3,0)</f>
        <v>1</v>
      </c>
      <c r="H2" s="5" t="s">
        <v>155</v>
      </c>
      <c r="I2" s="6"/>
      <c r="J2" s="6" t="s">
        <v>156</v>
      </c>
      <c r="K2" s="7"/>
    </row>
    <row r="3" spans="1:11" x14ac:dyDescent="0.2">
      <c r="A3" t="s">
        <v>162</v>
      </c>
      <c r="B3" t="s">
        <v>6</v>
      </c>
      <c r="C3" t="s">
        <v>4</v>
      </c>
      <c r="D3" t="s">
        <v>5</v>
      </c>
      <c r="E3">
        <f t="shared" si="0"/>
        <v>1</v>
      </c>
      <c r="H3" s="8" t="s">
        <v>29</v>
      </c>
      <c r="J3">
        <v>3.5999999999999998E-6</v>
      </c>
      <c r="K3" s="7"/>
    </row>
    <row r="4" spans="1:11" x14ac:dyDescent="0.2">
      <c r="A4" t="s">
        <v>163</v>
      </c>
      <c r="B4" t="s">
        <v>7</v>
      </c>
      <c r="C4" t="s">
        <v>4</v>
      </c>
      <c r="D4" t="s">
        <v>5</v>
      </c>
      <c r="E4">
        <f t="shared" si="0"/>
        <v>1</v>
      </c>
      <c r="H4" s="8" t="s">
        <v>157</v>
      </c>
      <c r="J4">
        <f>J3*1000000</f>
        <v>3.5999999999999996</v>
      </c>
      <c r="K4" s="7"/>
    </row>
    <row r="5" spans="1:11" x14ac:dyDescent="0.2">
      <c r="A5" t="s">
        <v>164</v>
      </c>
      <c r="B5" t="s">
        <v>8</v>
      </c>
      <c r="C5" t="s">
        <v>4</v>
      </c>
      <c r="D5" t="s">
        <v>9</v>
      </c>
      <c r="E5">
        <f t="shared" si="0"/>
        <v>1</v>
      </c>
      <c r="H5" s="8" t="s">
        <v>158</v>
      </c>
      <c r="J5">
        <f>0.0036</f>
        <v>3.5999999999999999E-3</v>
      </c>
      <c r="K5" s="7"/>
    </row>
    <row r="6" spans="1:11" x14ac:dyDescent="0.2">
      <c r="A6" t="s">
        <v>165</v>
      </c>
      <c r="B6" t="s">
        <v>10</v>
      </c>
      <c r="C6" t="s">
        <v>4</v>
      </c>
      <c r="D6" t="s">
        <v>9</v>
      </c>
      <c r="E6">
        <f t="shared" si="0"/>
        <v>1</v>
      </c>
      <c r="H6" s="8" t="s">
        <v>146</v>
      </c>
      <c r="J6">
        <v>3.6</v>
      </c>
      <c r="K6" s="7"/>
    </row>
    <row r="7" spans="1:11" x14ac:dyDescent="0.2">
      <c r="A7" t="s">
        <v>166</v>
      </c>
      <c r="B7" t="s">
        <v>11</v>
      </c>
      <c r="C7" t="s">
        <v>4</v>
      </c>
      <c r="D7" t="s">
        <v>9</v>
      </c>
      <c r="E7">
        <f t="shared" si="0"/>
        <v>1</v>
      </c>
      <c r="H7" s="8" t="s">
        <v>26</v>
      </c>
      <c r="J7">
        <v>3.1649999999999997E-5</v>
      </c>
      <c r="K7" s="7"/>
    </row>
    <row r="8" spans="1:11" x14ac:dyDescent="0.2">
      <c r="A8" t="s">
        <v>167</v>
      </c>
      <c r="B8" t="s">
        <v>12</v>
      </c>
      <c r="C8" t="s">
        <v>4</v>
      </c>
      <c r="D8" t="s">
        <v>9</v>
      </c>
      <c r="E8">
        <f t="shared" si="0"/>
        <v>1</v>
      </c>
      <c r="H8" s="8" t="s">
        <v>20</v>
      </c>
      <c r="J8">
        <f>J7*1000000</f>
        <v>31.65</v>
      </c>
      <c r="K8" s="7"/>
    </row>
    <row r="9" spans="1:11" x14ac:dyDescent="0.2">
      <c r="A9" t="s">
        <v>168</v>
      </c>
      <c r="B9" t="s">
        <v>13</v>
      </c>
      <c r="C9" t="s">
        <v>14</v>
      </c>
      <c r="D9" t="s">
        <v>9</v>
      </c>
      <c r="E9">
        <f t="shared" si="0"/>
        <v>3.5999999999999996</v>
      </c>
      <c r="H9" s="8" t="s">
        <v>22</v>
      </c>
      <c r="J9">
        <f>1/1000</f>
        <v>1E-3</v>
      </c>
      <c r="K9" s="7"/>
    </row>
    <row r="10" spans="1:11" x14ac:dyDescent="0.2">
      <c r="A10" t="s">
        <v>169</v>
      </c>
      <c r="B10" t="s">
        <v>15</v>
      </c>
      <c r="C10" t="s">
        <v>4</v>
      </c>
      <c r="D10" t="s">
        <v>9</v>
      </c>
      <c r="E10">
        <f t="shared" si="0"/>
        <v>1</v>
      </c>
      <c r="H10" s="8" t="s">
        <v>4</v>
      </c>
      <c r="J10">
        <v>1</v>
      </c>
      <c r="K10" s="7"/>
    </row>
    <row r="11" spans="1:11" x14ac:dyDescent="0.2">
      <c r="A11" t="s">
        <v>170</v>
      </c>
      <c r="B11" t="s">
        <v>16</v>
      </c>
      <c r="C11" t="s">
        <v>4</v>
      </c>
      <c r="D11" t="s">
        <v>9</v>
      </c>
      <c r="E11">
        <f t="shared" si="0"/>
        <v>1</v>
      </c>
      <c r="H11" s="8" t="s">
        <v>141</v>
      </c>
      <c r="J11">
        <f>1/31.65*1000000</f>
        <v>31595.576619273306</v>
      </c>
      <c r="K11" s="7"/>
    </row>
    <row r="12" spans="1:11" x14ac:dyDescent="0.2">
      <c r="A12" t="s">
        <v>171</v>
      </c>
      <c r="B12" t="s">
        <v>17</v>
      </c>
      <c r="C12" t="s">
        <v>4</v>
      </c>
      <c r="D12" t="s">
        <v>9</v>
      </c>
      <c r="E12">
        <f t="shared" si="0"/>
        <v>1</v>
      </c>
      <c r="H12" s="8" t="s">
        <v>126</v>
      </c>
      <c r="J12">
        <f>1000</f>
        <v>1000</v>
      </c>
      <c r="K12" s="7"/>
    </row>
    <row r="13" spans="1:11" x14ac:dyDescent="0.2">
      <c r="A13" t="s">
        <v>172</v>
      </c>
      <c r="B13" t="s">
        <v>18</v>
      </c>
      <c r="C13" t="s">
        <v>14</v>
      </c>
      <c r="D13" t="s">
        <v>9</v>
      </c>
      <c r="E13">
        <f t="shared" si="0"/>
        <v>3.5999999999999996</v>
      </c>
      <c r="H13" s="8"/>
      <c r="K13" s="7"/>
    </row>
    <row r="14" spans="1:11" x14ac:dyDescent="0.2">
      <c r="A14" t="s">
        <v>173</v>
      </c>
      <c r="B14" t="s">
        <v>19</v>
      </c>
      <c r="C14" t="s">
        <v>20</v>
      </c>
      <c r="D14" t="s">
        <v>9</v>
      </c>
      <c r="E14">
        <f t="shared" si="0"/>
        <v>31.65</v>
      </c>
      <c r="H14" s="8"/>
      <c r="K14" s="7"/>
    </row>
    <row r="15" spans="1:11" x14ac:dyDescent="0.2">
      <c r="A15" t="s">
        <v>174</v>
      </c>
      <c r="B15" t="s">
        <v>21</v>
      </c>
      <c r="C15" t="s">
        <v>22</v>
      </c>
      <c r="D15" t="s">
        <v>9</v>
      </c>
      <c r="E15">
        <f t="shared" si="0"/>
        <v>1E-3</v>
      </c>
      <c r="H15" s="8" t="s">
        <v>150</v>
      </c>
      <c r="J15">
        <f>1/J3</f>
        <v>277777.77777777781</v>
      </c>
      <c r="K15" s="7"/>
    </row>
    <row r="16" spans="1:11" x14ac:dyDescent="0.2">
      <c r="A16" t="s">
        <v>175</v>
      </c>
      <c r="B16" t="s">
        <v>23</v>
      </c>
      <c r="C16" t="s">
        <v>4</v>
      </c>
      <c r="D16" t="s">
        <v>9</v>
      </c>
      <c r="E16">
        <f t="shared" si="0"/>
        <v>1</v>
      </c>
      <c r="H16" s="8"/>
      <c r="K16" s="7"/>
    </row>
    <row r="17" spans="1:11" x14ac:dyDescent="0.2">
      <c r="A17" t="s">
        <v>176</v>
      </c>
      <c r="B17" t="s">
        <v>24</v>
      </c>
      <c r="C17" t="s">
        <v>4</v>
      </c>
      <c r="D17" t="s">
        <v>9</v>
      </c>
      <c r="E17">
        <f t="shared" si="0"/>
        <v>1</v>
      </c>
      <c r="H17" s="8"/>
      <c r="K17" s="7"/>
    </row>
    <row r="18" spans="1:11" x14ac:dyDescent="0.2">
      <c r="A18" t="s">
        <v>177</v>
      </c>
      <c r="B18" t="s">
        <v>25</v>
      </c>
      <c r="C18" t="s">
        <v>26</v>
      </c>
      <c r="D18" t="s">
        <v>9</v>
      </c>
      <c r="E18">
        <f>VLOOKUP($C18,$H$3:$J$25,3,0)</f>
        <v>3.1649999999999997E-5</v>
      </c>
      <c r="H18" s="8"/>
      <c r="K18" s="7"/>
    </row>
    <row r="19" spans="1:11" x14ac:dyDescent="0.2">
      <c r="A19" t="s">
        <v>178</v>
      </c>
      <c r="B19" t="s">
        <v>27</v>
      </c>
      <c r="C19" t="s">
        <v>26</v>
      </c>
      <c r="D19" t="s">
        <v>9</v>
      </c>
      <c r="E19">
        <f t="shared" si="0"/>
        <v>3.1649999999999997E-5</v>
      </c>
      <c r="H19" s="8"/>
      <c r="K19" s="7"/>
    </row>
    <row r="20" spans="1:11" x14ac:dyDescent="0.2">
      <c r="A20" t="s">
        <v>179</v>
      </c>
      <c r="B20" t="s">
        <v>28</v>
      </c>
      <c r="C20" t="s">
        <v>29</v>
      </c>
      <c r="D20" t="s">
        <v>9</v>
      </c>
      <c r="E20">
        <f t="shared" si="0"/>
        <v>3.5999999999999998E-6</v>
      </c>
      <c r="H20" s="8"/>
      <c r="K20" s="7"/>
    </row>
    <row r="21" spans="1:11" x14ac:dyDescent="0.2">
      <c r="A21" t="s">
        <v>180</v>
      </c>
      <c r="B21" t="s">
        <v>30</v>
      </c>
      <c r="C21" t="s">
        <v>29</v>
      </c>
      <c r="D21" t="s">
        <v>9</v>
      </c>
      <c r="E21">
        <f t="shared" si="0"/>
        <v>3.5999999999999998E-6</v>
      </c>
      <c r="H21" s="8"/>
      <c r="K21" s="7"/>
    </row>
    <row r="22" spans="1:11" x14ac:dyDescent="0.2">
      <c r="A22" t="s">
        <v>181</v>
      </c>
      <c r="B22" t="s">
        <v>31</v>
      </c>
      <c r="C22" t="s">
        <v>26</v>
      </c>
      <c r="D22" t="s">
        <v>9</v>
      </c>
      <c r="E22">
        <f t="shared" si="0"/>
        <v>3.1649999999999997E-5</v>
      </c>
      <c r="H22" s="8"/>
      <c r="K22" s="7"/>
    </row>
    <row r="23" spans="1:11" x14ac:dyDescent="0.2">
      <c r="A23" t="s">
        <v>182</v>
      </c>
      <c r="B23" t="s">
        <v>32</v>
      </c>
      <c r="C23" t="s">
        <v>26</v>
      </c>
      <c r="D23" t="s">
        <v>9</v>
      </c>
      <c r="E23">
        <f t="shared" si="0"/>
        <v>3.1649999999999997E-5</v>
      </c>
      <c r="H23" s="8"/>
      <c r="K23" s="7"/>
    </row>
    <row r="24" spans="1:11" x14ac:dyDescent="0.2">
      <c r="A24" t="s">
        <v>183</v>
      </c>
      <c r="B24" t="s">
        <v>33</v>
      </c>
      <c r="C24" t="s">
        <v>26</v>
      </c>
      <c r="D24" t="s">
        <v>9</v>
      </c>
      <c r="E24">
        <f t="shared" si="0"/>
        <v>3.1649999999999997E-5</v>
      </c>
      <c r="H24" s="8"/>
      <c r="K24" s="7"/>
    </row>
    <row r="25" spans="1:11" ht="17" thickBot="1" x14ac:dyDescent="0.25">
      <c r="A25" t="s">
        <v>184</v>
      </c>
      <c r="B25" t="s">
        <v>34</v>
      </c>
      <c r="C25" t="s">
        <v>26</v>
      </c>
      <c r="D25" t="s">
        <v>9</v>
      </c>
      <c r="E25">
        <f t="shared" si="0"/>
        <v>3.1649999999999997E-5</v>
      </c>
      <c r="H25" s="9"/>
      <c r="I25" s="10"/>
      <c r="J25" s="10"/>
      <c r="K25" s="11"/>
    </row>
    <row r="26" spans="1:11" x14ac:dyDescent="0.2">
      <c r="A26" t="s">
        <v>185</v>
      </c>
      <c r="B26" t="s">
        <v>35</v>
      </c>
      <c r="C26" t="s">
        <v>26</v>
      </c>
      <c r="D26" t="s">
        <v>9</v>
      </c>
      <c r="E26">
        <f t="shared" si="0"/>
        <v>3.1649999999999997E-5</v>
      </c>
    </row>
    <row r="27" spans="1:11" x14ac:dyDescent="0.2">
      <c r="A27" t="s">
        <v>186</v>
      </c>
      <c r="B27" t="s">
        <v>36</v>
      </c>
      <c r="C27" t="s">
        <v>26</v>
      </c>
      <c r="D27" t="s">
        <v>9</v>
      </c>
      <c r="E27">
        <f t="shared" si="0"/>
        <v>3.1649999999999997E-5</v>
      </c>
    </row>
    <row r="28" spans="1:11" x14ac:dyDescent="0.2">
      <c r="A28" t="s">
        <v>187</v>
      </c>
      <c r="B28" t="s">
        <v>37</v>
      </c>
      <c r="C28" t="s">
        <v>26</v>
      </c>
      <c r="D28" t="s">
        <v>9</v>
      </c>
      <c r="E28">
        <f t="shared" si="0"/>
        <v>3.1649999999999997E-5</v>
      </c>
    </row>
    <row r="29" spans="1:11" x14ac:dyDescent="0.2">
      <c r="A29" t="s">
        <v>188</v>
      </c>
      <c r="B29" t="s">
        <v>38</v>
      </c>
      <c r="C29" t="s">
        <v>26</v>
      </c>
      <c r="D29" t="s">
        <v>9</v>
      </c>
      <c r="E29">
        <f t="shared" si="0"/>
        <v>3.1649999999999997E-5</v>
      </c>
    </row>
    <row r="30" spans="1:11" x14ac:dyDescent="0.2">
      <c r="A30" t="s">
        <v>189</v>
      </c>
      <c r="B30" t="s">
        <v>39</v>
      </c>
      <c r="C30" t="s">
        <v>26</v>
      </c>
      <c r="D30" t="s">
        <v>9</v>
      </c>
      <c r="E30">
        <f t="shared" si="0"/>
        <v>3.1649999999999997E-5</v>
      </c>
    </row>
    <row r="31" spans="1:11" x14ac:dyDescent="0.2">
      <c r="A31" t="s">
        <v>190</v>
      </c>
      <c r="B31" t="s">
        <v>40</v>
      </c>
      <c r="C31" t="s">
        <v>26</v>
      </c>
      <c r="D31" t="s">
        <v>9</v>
      </c>
      <c r="E31">
        <f t="shared" si="0"/>
        <v>3.1649999999999997E-5</v>
      </c>
    </row>
    <row r="32" spans="1:11" x14ac:dyDescent="0.2">
      <c r="A32" t="s">
        <v>191</v>
      </c>
      <c r="B32" t="s">
        <v>41</v>
      </c>
      <c r="C32" t="s">
        <v>26</v>
      </c>
      <c r="D32" t="s">
        <v>9</v>
      </c>
      <c r="E32">
        <f t="shared" si="0"/>
        <v>3.1649999999999997E-5</v>
      </c>
    </row>
    <row r="33" spans="1:5" x14ac:dyDescent="0.2">
      <c r="A33" t="s">
        <v>192</v>
      </c>
      <c r="B33" t="s">
        <v>42</v>
      </c>
      <c r="C33" t="s">
        <v>26</v>
      </c>
      <c r="D33" t="s">
        <v>9</v>
      </c>
      <c r="E33">
        <f t="shared" si="0"/>
        <v>3.1649999999999997E-5</v>
      </c>
    </row>
    <row r="34" spans="1:5" x14ac:dyDescent="0.2">
      <c r="A34" t="s">
        <v>193</v>
      </c>
      <c r="B34" t="s">
        <v>43</v>
      </c>
      <c r="C34" t="s">
        <v>26</v>
      </c>
      <c r="D34" t="s">
        <v>9</v>
      </c>
      <c r="E34">
        <f t="shared" si="0"/>
        <v>3.1649999999999997E-5</v>
      </c>
    </row>
    <row r="35" spans="1:5" x14ac:dyDescent="0.2">
      <c r="A35" t="s">
        <v>194</v>
      </c>
      <c r="B35" t="s">
        <v>44</v>
      </c>
      <c r="C35" t="s">
        <v>26</v>
      </c>
      <c r="D35" t="s">
        <v>9</v>
      </c>
      <c r="E35">
        <f t="shared" si="0"/>
        <v>3.1649999999999997E-5</v>
      </c>
    </row>
    <row r="36" spans="1:5" x14ac:dyDescent="0.2">
      <c r="A36" t="s">
        <v>195</v>
      </c>
      <c r="B36" t="s">
        <v>45</v>
      </c>
      <c r="C36" t="s">
        <v>29</v>
      </c>
      <c r="D36" t="s">
        <v>9</v>
      </c>
      <c r="E36">
        <f t="shared" si="0"/>
        <v>3.5999999999999998E-6</v>
      </c>
    </row>
    <row r="37" spans="1:5" x14ac:dyDescent="0.2">
      <c r="A37" t="s">
        <v>196</v>
      </c>
      <c r="B37" t="s">
        <v>46</v>
      </c>
      <c r="C37" t="s">
        <v>29</v>
      </c>
      <c r="D37" t="s">
        <v>9</v>
      </c>
      <c r="E37">
        <f t="shared" si="0"/>
        <v>3.5999999999999998E-6</v>
      </c>
    </row>
    <row r="38" spans="1:5" x14ac:dyDescent="0.2">
      <c r="A38" t="s">
        <v>197</v>
      </c>
      <c r="B38" t="s">
        <v>47</v>
      </c>
      <c r="C38" t="s">
        <v>29</v>
      </c>
      <c r="D38" t="s">
        <v>9</v>
      </c>
      <c r="E38">
        <f t="shared" si="0"/>
        <v>3.5999999999999998E-6</v>
      </c>
    </row>
    <row r="39" spans="1:5" x14ac:dyDescent="0.2">
      <c r="A39" t="s">
        <v>198</v>
      </c>
      <c r="B39" t="s">
        <v>48</v>
      </c>
      <c r="C39" t="s">
        <v>29</v>
      </c>
      <c r="D39" t="s">
        <v>9</v>
      </c>
      <c r="E39">
        <f t="shared" si="0"/>
        <v>3.5999999999999998E-6</v>
      </c>
    </row>
    <row r="40" spans="1:5" x14ac:dyDescent="0.2">
      <c r="A40" t="s">
        <v>199</v>
      </c>
      <c r="B40" t="s">
        <v>49</v>
      </c>
      <c r="C40" t="s">
        <v>29</v>
      </c>
      <c r="D40" t="s">
        <v>9</v>
      </c>
      <c r="E40">
        <f t="shared" si="0"/>
        <v>3.5999999999999998E-6</v>
      </c>
    </row>
    <row r="41" spans="1:5" x14ac:dyDescent="0.2">
      <c r="A41" t="s">
        <v>200</v>
      </c>
      <c r="B41" t="s">
        <v>50</v>
      </c>
      <c r="C41" t="s">
        <v>29</v>
      </c>
      <c r="D41" t="s">
        <v>9</v>
      </c>
      <c r="E41">
        <f t="shared" si="0"/>
        <v>3.5999999999999998E-6</v>
      </c>
    </row>
    <row r="42" spans="1:5" x14ac:dyDescent="0.2">
      <c r="A42" t="s">
        <v>201</v>
      </c>
      <c r="B42" t="s">
        <v>51</v>
      </c>
      <c r="C42" t="s">
        <v>29</v>
      </c>
      <c r="D42" t="s">
        <v>9</v>
      </c>
      <c r="E42">
        <f t="shared" si="0"/>
        <v>3.5999999999999998E-6</v>
      </c>
    </row>
    <row r="43" spans="1:5" x14ac:dyDescent="0.2">
      <c r="A43" t="s">
        <v>202</v>
      </c>
      <c r="B43" t="s">
        <v>52</v>
      </c>
      <c r="C43" t="s">
        <v>29</v>
      </c>
      <c r="D43" t="s">
        <v>9</v>
      </c>
      <c r="E43">
        <f t="shared" si="0"/>
        <v>3.5999999999999998E-6</v>
      </c>
    </row>
    <row r="44" spans="1:5" x14ac:dyDescent="0.2">
      <c r="A44" t="s">
        <v>203</v>
      </c>
      <c r="B44" t="s">
        <v>53</v>
      </c>
      <c r="C44" t="s">
        <v>29</v>
      </c>
      <c r="D44" t="s">
        <v>9</v>
      </c>
      <c r="E44">
        <f t="shared" si="0"/>
        <v>3.5999999999999998E-6</v>
      </c>
    </row>
    <row r="45" spans="1:5" x14ac:dyDescent="0.2">
      <c r="A45" t="s">
        <v>204</v>
      </c>
      <c r="B45" t="s">
        <v>54</v>
      </c>
      <c r="C45" t="s">
        <v>29</v>
      </c>
      <c r="D45" t="s">
        <v>9</v>
      </c>
      <c r="E45">
        <f t="shared" si="0"/>
        <v>3.5999999999999998E-6</v>
      </c>
    </row>
    <row r="46" spans="1:5" x14ac:dyDescent="0.2">
      <c r="A46" t="s">
        <v>205</v>
      </c>
      <c r="B46" t="s">
        <v>55</v>
      </c>
      <c r="C46" t="s">
        <v>29</v>
      </c>
      <c r="D46" t="s">
        <v>9</v>
      </c>
      <c r="E46">
        <f t="shared" si="0"/>
        <v>3.5999999999999998E-6</v>
      </c>
    </row>
    <row r="47" spans="1:5" x14ac:dyDescent="0.2">
      <c r="A47" t="s">
        <v>206</v>
      </c>
      <c r="B47" t="s">
        <v>56</v>
      </c>
      <c r="C47" t="s">
        <v>29</v>
      </c>
      <c r="D47" t="s">
        <v>9</v>
      </c>
      <c r="E47">
        <f t="shared" si="0"/>
        <v>3.5999999999999998E-6</v>
      </c>
    </row>
    <row r="48" spans="1:5" x14ac:dyDescent="0.2">
      <c r="A48" t="s">
        <v>207</v>
      </c>
      <c r="B48" t="s">
        <v>57</v>
      </c>
      <c r="C48" t="s">
        <v>29</v>
      </c>
      <c r="D48" t="s">
        <v>9</v>
      </c>
      <c r="E48">
        <f t="shared" si="0"/>
        <v>3.5999999999999998E-6</v>
      </c>
    </row>
    <row r="49" spans="1:5" x14ac:dyDescent="0.2">
      <c r="A49" t="s">
        <v>208</v>
      </c>
      <c r="B49" t="s">
        <v>58</v>
      </c>
      <c r="C49" t="s">
        <v>29</v>
      </c>
      <c r="D49" t="s">
        <v>9</v>
      </c>
      <c r="E49">
        <f t="shared" si="0"/>
        <v>3.5999999999999998E-6</v>
      </c>
    </row>
    <row r="50" spans="1:5" x14ac:dyDescent="0.2">
      <c r="A50" t="s">
        <v>209</v>
      </c>
      <c r="B50" t="s">
        <v>59</v>
      </c>
      <c r="C50" t="s">
        <v>4</v>
      </c>
      <c r="D50" t="s">
        <v>9</v>
      </c>
      <c r="E50">
        <f t="shared" si="0"/>
        <v>1</v>
      </c>
    </row>
    <row r="51" spans="1:5" x14ac:dyDescent="0.2">
      <c r="A51" t="s">
        <v>210</v>
      </c>
      <c r="B51" t="s">
        <v>60</v>
      </c>
      <c r="C51" t="s">
        <v>4</v>
      </c>
      <c r="D51" t="s">
        <v>9</v>
      </c>
      <c r="E51">
        <f t="shared" si="0"/>
        <v>1</v>
      </c>
    </row>
    <row r="52" spans="1:5" x14ac:dyDescent="0.2">
      <c r="A52" t="s">
        <v>211</v>
      </c>
      <c r="B52" t="s">
        <v>61</v>
      </c>
      <c r="C52" t="s">
        <v>4</v>
      </c>
      <c r="D52" t="s">
        <v>9</v>
      </c>
      <c r="E52">
        <f t="shared" si="0"/>
        <v>1</v>
      </c>
    </row>
    <row r="53" spans="1:5" x14ac:dyDescent="0.2">
      <c r="A53" t="s">
        <v>212</v>
      </c>
      <c r="B53" t="s">
        <v>62</v>
      </c>
      <c r="C53" t="s">
        <v>4</v>
      </c>
      <c r="D53" t="s">
        <v>9</v>
      </c>
      <c r="E53">
        <f t="shared" si="0"/>
        <v>1</v>
      </c>
    </row>
    <row r="54" spans="1:5" x14ac:dyDescent="0.2">
      <c r="A54" t="s">
        <v>213</v>
      </c>
      <c r="B54" t="s">
        <v>63</v>
      </c>
      <c r="C54" t="s">
        <v>4</v>
      </c>
      <c r="D54" t="s">
        <v>9</v>
      </c>
      <c r="E54">
        <f t="shared" si="0"/>
        <v>1</v>
      </c>
    </row>
    <row r="55" spans="1:5" x14ac:dyDescent="0.2">
      <c r="A55" t="s">
        <v>214</v>
      </c>
      <c r="B55" t="s">
        <v>64</v>
      </c>
      <c r="C55" t="s">
        <v>4</v>
      </c>
      <c r="D55" t="s">
        <v>9</v>
      </c>
      <c r="E55">
        <f t="shared" si="0"/>
        <v>1</v>
      </c>
    </row>
    <row r="56" spans="1:5" x14ac:dyDescent="0.2">
      <c r="A56" t="s">
        <v>215</v>
      </c>
      <c r="B56" t="s">
        <v>65</v>
      </c>
      <c r="C56" t="s">
        <v>4</v>
      </c>
      <c r="D56" t="s">
        <v>9</v>
      </c>
      <c r="E56">
        <f t="shared" si="0"/>
        <v>1</v>
      </c>
    </row>
    <row r="57" spans="1:5" x14ac:dyDescent="0.2">
      <c r="A57" t="s">
        <v>216</v>
      </c>
      <c r="B57" t="s">
        <v>66</v>
      </c>
      <c r="C57" t="s">
        <v>4</v>
      </c>
      <c r="D57" t="s">
        <v>5</v>
      </c>
      <c r="E57">
        <f t="shared" si="0"/>
        <v>1</v>
      </c>
    </row>
    <row r="58" spans="1:5" x14ac:dyDescent="0.2">
      <c r="A58" t="s">
        <v>217</v>
      </c>
      <c r="B58" t="s">
        <v>67</v>
      </c>
      <c r="C58" t="s">
        <v>4</v>
      </c>
      <c r="D58" t="s">
        <v>5</v>
      </c>
      <c r="E58">
        <f t="shared" si="0"/>
        <v>1</v>
      </c>
    </row>
    <row r="59" spans="1:5" x14ac:dyDescent="0.2">
      <c r="A59" t="s">
        <v>218</v>
      </c>
      <c r="B59" t="s">
        <v>68</v>
      </c>
      <c r="C59" t="s">
        <v>4</v>
      </c>
      <c r="D59" t="s">
        <v>5</v>
      </c>
      <c r="E59">
        <f t="shared" si="0"/>
        <v>1</v>
      </c>
    </row>
    <row r="60" spans="1:5" x14ac:dyDescent="0.2">
      <c r="A60" t="s">
        <v>219</v>
      </c>
      <c r="B60" t="s">
        <v>69</v>
      </c>
      <c r="C60" t="s">
        <v>4</v>
      </c>
      <c r="D60" t="s">
        <v>5</v>
      </c>
      <c r="E60">
        <f t="shared" si="0"/>
        <v>1</v>
      </c>
    </row>
    <row r="61" spans="1:5" x14ac:dyDescent="0.2">
      <c r="A61" t="s">
        <v>220</v>
      </c>
      <c r="B61" t="s">
        <v>70</v>
      </c>
      <c r="C61" t="s">
        <v>4</v>
      </c>
      <c r="D61" t="s">
        <v>5</v>
      </c>
      <c r="E61">
        <f t="shared" si="0"/>
        <v>1</v>
      </c>
    </row>
    <row r="62" spans="1:5" x14ac:dyDescent="0.2">
      <c r="A62" t="s">
        <v>221</v>
      </c>
      <c r="B62" t="s">
        <v>71</v>
      </c>
      <c r="C62" t="s">
        <v>4</v>
      </c>
      <c r="D62" t="s">
        <v>5</v>
      </c>
      <c r="E62">
        <f t="shared" si="0"/>
        <v>1</v>
      </c>
    </row>
    <row r="63" spans="1:5" x14ac:dyDescent="0.2">
      <c r="A63" t="s">
        <v>222</v>
      </c>
      <c r="B63" t="s">
        <v>72</v>
      </c>
      <c r="C63" t="s">
        <v>4</v>
      </c>
      <c r="D63" t="s">
        <v>5</v>
      </c>
      <c r="E63">
        <f t="shared" si="0"/>
        <v>1</v>
      </c>
    </row>
    <row r="64" spans="1:5" x14ac:dyDescent="0.2">
      <c r="A64" t="s">
        <v>223</v>
      </c>
      <c r="B64" t="s">
        <v>73</v>
      </c>
      <c r="C64" t="s">
        <v>4</v>
      </c>
      <c r="D64" t="s">
        <v>5</v>
      </c>
      <c r="E64">
        <f t="shared" si="0"/>
        <v>1</v>
      </c>
    </row>
    <row r="65" spans="1:5" x14ac:dyDescent="0.2">
      <c r="A65" t="s">
        <v>224</v>
      </c>
      <c r="B65" t="s">
        <v>74</v>
      </c>
      <c r="C65" t="s">
        <v>4</v>
      </c>
      <c r="D65" t="s">
        <v>5</v>
      </c>
      <c r="E65">
        <f t="shared" si="0"/>
        <v>1</v>
      </c>
    </row>
    <row r="66" spans="1:5" x14ac:dyDescent="0.2">
      <c r="A66" t="s">
        <v>225</v>
      </c>
      <c r="B66" t="s">
        <v>75</v>
      </c>
      <c r="C66" t="s">
        <v>4</v>
      </c>
      <c r="D66" t="s">
        <v>5</v>
      </c>
      <c r="E66">
        <f t="shared" ref="E66:E127" si="1">VLOOKUP($C66,$H$3:$J$25,3,0)</f>
        <v>1</v>
      </c>
    </row>
    <row r="67" spans="1:5" x14ac:dyDescent="0.2">
      <c r="A67" t="s">
        <v>226</v>
      </c>
      <c r="B67" t="s">
        <v>76</v>
      </c>
      <c r="C67" t="s">
        <v>4</v>
      </c>
      <c r="D67" t="s">
        <v>5</v>
      </c>
      <c r="E67">
        <f t="shared" si="1"/>
        <v>1</v>
      </c>
    </row>
    <row r="68" spans="1:5" x14ac:dyDescent="0.2">
      <c r="A68" t="s">
        <v>227</v>
      </c>
      <c r="B68" t="s">
        <v>77</v>
      </c>
      <c r="C68" t="s">
        <v>4</v>
      </c>
      <c r="D68" t="s">
        <v>5</v>
      </c>
      <c r="E68">
        <f t="shared" si="1"/>
        <v>1</v>
      </c>
    </row>
    <row r="69" spans="1:5" x14ac:dyDescent="0.2">
      <c r="A69" t="s">
        <v>228</v>
      </c>
      <c r="B69" t="s">
        <v>78</v>
      </c>
      <c r="C69" t="s">
        <v>4</v>
      </c>
      <c r="D69" t="s">
        <v>5</v>
      </c>
      <c r="E69">
        <f t="shared" si="1"/>
        <v>1</v>
      </c>
    </row>
    <row r="70" spans="1:5" x14ac:dyDescent="0.2">
      <c r="A70" t="s">
        <v>229</v>
      </c>
      <c r="B70" t="s">
        <v>79</v>
      </c>
      <c r="C70" t="s">
        <v>4</v>
      </c>
      <c r="D70" t="s">
        <v>80</v>
      </c>
      <c r="E70">
        <f t="shared" si="1"/>
        <v>1</v>
      </c>
    </row>
    <row r="71" spans="1:5" x14ac:dyDescent="0.2">
      <c r="A71" t="s">
        <v>230</v>
      </c>
      <c r="B71" t="s">
        <v>81</v>
      </c>
      <c r="C71" t="s">
        <v>4</v>
      </c>
      <c r="D71" t="s">
        <v>80</v>
      </c>
      <c r="E71">
        <f t="shared" si="1"/>
        <v>1</v>
      </c>
    </row>
    <row r="72" spans="1:5" x14ac:dyDescent="0.2">
      <c r="A72" t="s">
        <v>231</v>
      </c>
      <c r="B72" t="s">
        <v>82</v>
      </c>
      <c r="C72" t="s">
        <v>4</v>
      </c>
      <c r="D72" t="s">
        <v>80</v>
      </c>
      <c r="E72">
        <f t="shared" si="1"/>
        <v>1</v>
      </c>
    </row>
    <row r="73" spans="1:5" x14ac:dyDescent="0.2">
      <c r="A73" t="s">
        <v>232</v>
      </c>
      <c r="B73" t="s">
        <v>83</v>
      </c>
      <c r="C73" t="s">
        <v>4</v>
      </c>
      <c r="D73" t="s">
        <v>80</v>
      </c>
      <c r="E73">
        <f t="shared" si="1"/>
        <v>1</v>
      </c>
    </row>
    <row r="74" spans="1:5" x14ac:dyDescent="0.2">
      <c r="A74" t="s">
        <v>233</v>
      </c>
      <c r="B74" t="s">
        <v>84</v>
      </c>
      <c r="C74" t="s">
        <v>4</v>
      </c>
      <c r="D74" t="s">
        <v>80</v>
      </c>
      <c r="E74">
        <f t="shared" si="1"/>
        <v>1</v>
      </c>
    </row>
    <row r="75" spans="1:5" x14ac:dyDescent="0.2">
      <c r="A75" t="s">
        <v>234</v>
      </c>
      <c r="B75" t="s">
        <v>85</v>
      </c>
      <c r="C75" t="s">
        <v>4</v>
      </c>
      <c r="D75" t="s">
        <v>80</v>
      </c>
      <c r="E75">
        <f t="shared" si="1"/>
        <v>1</v>
      </c>
    </row>
    <row r="76" spans="1:5" x14ac:dyDescent="0.2">
      <c r="A76" t="s">
        <v>235</v>
      </c>
      <c r="B76" t="s">
        <v>86</v>
      </c>
      <c r="C76" t="s">
        <v>4</v>
      </c>
      <c r="D76" t="s">
        <v>80</v>
      </c>
      <c r="E76">
        <f t="shared" si="1"/>
        <v>1</v>
      </c>
    </row>
    <row r="77" spans="1:5" x14ac:dyDescent="0.2">
      <c r="A77" t="s">
        <v>236</v>
      </c>
      <c r="B77" t="s">
        <v>87</v>
      </c>
      <c r="C77" t="s">
        <v>4</v>
      </c>
      <c r="D77" t="s">
        <v>80</v>
      </c>
      <c r="E77">
        <f t="shared" si="1"/>
        <v>1</v>
      </c>
    </row>
    <row r="78" spans="1:5" x14ac:dyDescent="0.2">
      <c r="A78" t="s">
        <v>237</v>
      </c>
      <c r="B78" t="s">
        <v>88</v>
      </c>
      <c r="C78" t="s">
        <v>4</v>
      </c>
      <c r="D78" t="s">
        <v>80</v>
      </c>
      <c r="E78">
        <f t="shared" si="1"/>
        <v>1</v>
      </c>
    </row>
    <row r="79" spans="1:5" x14ac:dyDescent="0.2">
      <c r="A79" t="s">
        <v>238</v>
      </c>
      <c r="B79" t="s">
        <v>89</v>
      </c>
      <c r="C79" t="s">
        <v>4</v>
      </c>
      <c r="D79" t="s">
        <v>80</v>
      </c>
      <c r="E79">
        <f t="shared" si="1"/>
        <v>1</v>
      </c>
    </row>
    <row r="80" spans="1:5" x14ac:dyDescent="0.2">
      <c r="A80" t="s">
        <v>239</v>
      </c>
      <c r="B80" t="s">
        <v>90</v>
      </c>
      <c r="C80" t="s">
        <v>4</v>
      </c>
      <c r="D80" t="s">
        <v>80</v>
      </c>
      <c r="E80">
        <f t="shared" si="1"/>
        <v>1</v>
      </c>
    </row>
    <row r="81" spans="1:5" x14ac:dyDescent="0.2">
      <c r="A81" t="s">
        <v>240</v>
      </c>
      <c r="B81" t="s">
        <v>91</v>
      </c>
      <c r="C81" t="s">
        <v>4</v>
      </c>
      <c r="D81" t="s">
        <v>80</v>
      </c>
      <c r="E81">
        <f t="shared" si="1"/>
        <v>1</v>
      </c>
    </row>
    <row r="82" spans="1:5" x14ac:dyDescent="0.2">
      <c r="A82" t="s">
        <v>241</v>
      </c>
      <c r="B82" t="s">
        <v>92</v>
      </c>
      <c r="C82" t="s">
        <v>4</v>
      </c>
      <c r="D82" t="s">
        <v>80</v>
      </c>
      <c r="E82">
        <f t="shared" si="1"/>
        <v>1</v>
      </c>
    </row>
    <row r="83" spans="1:5" x14ac:dyDescent="0.2">
      <c r="A83" t="s">
        <v>242</v>
      </c>
      <c r="B83" t="s">
        <v>93</v>
      </c>
      <c r="C83" t="s">
        <v>4</v>
      </c>
      <c r="D83" t="s">
        <v>80</v>
      </c>
      <c r="E83">
        <f t="shared" si="1"/>
        <v>1</v>
      </c>
    </row>
    <row r="84" spans="1:5" x14ac:dyDescent="0.2">
      <c r="A84" t="s">
        <v>243</v>
      </c>
      <c r="B84" t="s">
        <v>94</v>
      </c>
      <c r="C84" t="s">
        <v>4</v>
      </c>
      <c r="D84" t="s">
        <v>80</v>
      </c>
      <c r="E84">
        <f t="shared" si="1"/>
        <v>1</v>
      </c>
    </row>
    <row r="85" spans="1:5" x14ac:dyDescent="0.2">
      <c r="A85" t="s">
        <v>244</v>
      </c>
      <c r="B85" t="s">
        <v>95</v>
      </c>
      <c r="C85" t="s">
        <v>4</v>
      </c>
      <c r="D85" t="s">
        <v>80</v>
      </c>
      <c r="E85">
        <f t="shared" si="1"/>
        <v>1</v>
      </c>
    </row>
    <row r="86" spans="1:5" x14ac:dyDescent="0.2">
      <c r="A86" t="s">
        <v>245</v>
      </c>
      <c r="B86" t="s">
        <v>96</v>
      </c>
      <c r="C86" t="s">
        <v>4</v>
      </c>
      <c r="D86" t="s">
        <v>80</v>
      </c>
      <c r="E86">
        <f t="shared" si="1"/>
        <v>1</v>
      </c>
    </row>
    <row r="87" spans="1:5" x14ac:dyDescent="0.2">
      <c r="A87" t="s">
        <v>246</v>
      </c>
      <c r="B87" t="s">
        <v>97</v>
      </c>
      <c r="C87" t="s">
        <v>4</v>
      </c>
      <c r="D87" t="s">
        <v>80</v>
      </c>
      <c r="E87">
        <f t="shared" si="1"/>
        <v>1</v>
      </c>
    </row>
    <row r="88" spans="1:5" x14ac:dyDescent="0.2">
      <c r="A88" t="s">
        <v>247</v>
      </c>
      <c r="B88" t="s">
        <v>98</v>
      </c>
      <c r="C88" t="s">
        <v>4</v>
      </c>
      <c r="D88" t="s">
        <v>80</v>
      </c>
      <c r="E88">
        <f t="shared" si="1"/>
        <v>1</v>
      </c>
    </row>
    <row r="89" spans="1:5" x14ac:dyDescent="0.2">
      <c r="A89" t="s">
        <v>248</v>
      </c>
      <c r="B89" t="s">
        <v>99</v>
      </c>
      <c r="C89" t="s">
        <v>4</v>
      </c>
      <c r="D89" t="s">
        <v>80</v>
      </c>
      <c r="E89">
        <f t="shared" si="1"/>
        <v>1</v>
      </c>
    </row>
    <row r="90" spans="1:5" x14ac:dyDescent="0.2">
      <c r="A90" t="s">
        <v>249</v>
      </c>
      <c r="B90" t="s">
        <v>100</v>
      </c>
      <c r="C90" t="s">
        <v>4</v>
      </c>
      <c r="D90" t="s">
        <v>80</v>
      </c>
      <c r="E90">
        <f t="shared" si="1"/>
        <v>1</v>
      </c>
    </row>
    <row r="91" spans="1:5" x14ac:dyDescent="0.2">
      <c r="A91" t="s">
        <v>250</v>
      </c>
      <c r="B91" t="s">
        <v>101</v>
      </c>
      <c r="C91" t="s">
        <v>4</v>
      </c>
      <c r="D91" t="s">
        <v>80</v>
      </c>
      <c r="E91">
        <f t="shared" si="1"/>
        <v>1</v>
      </c>
    </row>
    <row r="92" spans="1:5" x14ac:dyDescent="0.2">
      <c r="A92" t="s">
        <v>251</v>
      </c>
      <c r="B92" t="s">
        <v>102</v>
      </c>
      <c r="C92" t="s">
        <v>4</v>
      </c>
      <c r="D92" t="s">
        <v>80</v>
      </c>
      <c r="E92">
        <f t="shared" si="1"/>
        <v>1</v>
      </c>
    </row>
    <row r="93" spans="1:5" x14ac:dyDescent="0.2">
      <c r="A93" t="s">
        <v>252</v>
      </c>
      <c r="B93" t="s">
        <v>103</v>
      </c>
      <c r="C93" t="s">
        <v>4</v>
      </c>
      <c r="D93" t="s">
        <v>80</v>
      </c>
      <c r="E93">
        <f t="shared" si="1"/>
        <v>1</v>
      </c>
    </row>
    <row r="94" spans="1:5" x14ac:dyDescent="0.2">
      <c r="A94" t="s">
        <v>253</v>
      </c>
      <c r="B94" t="s">
        <v>104</v>
      </c>
      <c r="C94" t="s">
        <v>4</v>
      </c>
      <c r="D94" t="s">
        <v>80</v>
      </c>
      <c r="E94">
        <f t="shared" si="1"/>
        <v>1</v>
      </c>
    </row>
    <row r="95" spans="1:5" x14ac:dyDescent="0.2">
      <c r="A95" t="s">
        <v>254</v>
      </c>
      <c r="B95" t="s">
        <v>105</v>
      </c>
      <c r="C95" t="s">
        <v>4</v>
      </c>
      <c r="D95" t="s">
        <v>80</v>
      </c>
      <c r="E95">
        <f t="shared" si="1"/>
        <v>1</v>
      </c>
    </row>
    <row r="96" spans="1:5" x14ac:dyDescent="0.2">
      <c r="A96" t="s">
        <v>255</v>
      </c>
      <c r="B96" t="s">
        <v>106</v>
      </c>
      <c r="C96" t="s">
        <v>4</v>
      </c>
      <c r="D96" t="s">
        <v>80</v>
      </c>
      <c r="E96">
        <f t="shared" si="1"/>
        <v>1</v>
      </c>
    </row>
    <row r="97" spans="1:5" x14ac:dyDescent="0.2">
      <c r="A97" t="s">
        <v>256</v>
      </c>
      <c r="B97" t="s">
        <v>107</v>
      </c>
      <c r="C97" t="s">
        <v>4</v>
      </c>
      <c r="D97" t="s">
        <v>80</v>
      </c>
      <c r="E97">
        <f t="shared" si="1"/>
        <v>1</v>
      </c>
    </row>
    <row r="98" spans="1:5" x14ac:dyDescent="0.2">
      <c r="A98" t="s">
        <v>257</v>
      </c>
      <c r="B98" t="s">
        <v>108</v>
      </c>
      <c r="C98" t="s">
        <v>4</v>
      </c>
      <c r="D98" t="s">
        <v>80</v>
      </c>
      <c r="E98">
        <f t="shared" si="1"/>
        <v>1</v>
      </c>
    </row>
    <row r="99" spans="1:5" x14ac:dyDescent="0.2">
      <c r="A99" t="s">
        <v>258</v>
      </c>
      <c r="B99" t="s">
        <v>109</v>
      </c>
      <c r="C99" t="s">
        <v>4</v>
      </c>
      <c r="D99" t="s">
        <v>80</v>
      </c>
      <c r="E99">
        <f t="shared" si="1"/>
        <v>1</v>
      </c>
    </row>
    <row r="100" spans="1:5" x14ac:dyDescent="0.2">
      <c r="A100" t="s">
        <v>259</v>
      </c>
      <c r="B100" t="s">
        <v>110</v>
      </c>
      <c r="C100" t="s">
        <v>4</v>
      </c>
      <c r="D100" t="s">
        <v>80</v>
      </c>
      <c r="E100">
        <f t="shared" si="1"/>
        <v>1</v>
      </c>
    </row>
    <row r="101" spans="1:5" x14ac:dyDescent="0.2">
      <c r="A101" t="s">
        <v>260</v>
      </c>
      <c r="B101" t="s">
        <v>111</v>
      </c>
      <c r="C101" t="s">
        <v>29</v>
      </c>
      <c r="D101" t="s">
        <v>9</v>
      </c>
      <c r="E101">
        <f t="shared" si="1"/>
        <v>3.5999999999999998E-6</v>
      </c>
    </row>
    <row r="102" spans="1:5" x14ac:dyDescent="0.2">
      <c r="A102" t="s">
        <v>261</v>
      </c>
      <c r="B102" t="s">
        <v>112</v>
      </c>
      <c r="C102" t="s">
        <v>26</v>
      </c>
      <c r="D102" t="s">
        <v>9</v>
      </c>
      <c r="E102">
        <f t="shared" si="1"/>
        <v>3.1649999999999997E-5</v>
      </c>
    </row>
    <row r="103" spans="1:5" x14ac:dyDescent="0.2">
      <c r="A103" t="s">
        <v>262</v>
      </c>
      <c r="B103" t="s">
        <v>113</v>
      </c>
      <c r="C103" t="s">
        <v>26</v>
      </c>
      <c r="D103" t="s">
        <v>9</v>
      </c>
      <c r="E103">
        <f t="shared" si="1"/>
        <v>3.1649999999999997E-5</v>
      </c>
    </row>
    <row r="104" spans="1:5" x14ac:dyDescent="0.2">
      <c r="A104" t="s">
        <v>263</v>
      </c>
      <c r="B104" t="s">
        <v>114</v>
      </c>
      <c r="C104" t="s">
        <v>26</v>
      </c>
      <c r="D104" t="s">
        <v>9</v>
      </c>
      <c r="E104">
        <f t="shared" si="1"/>
        <v>3.1649999999999997E-5</v>
      </c>
    </row>
    <row r="105" spans="1:5" x14ac:dyDescent="0.2">
      <c r="A105" t="s">
        <v>264</v>
      </c>
      <c r="B105" t="s">
        <v>115</v>
      </c>
      <c r="C105" t="s">
        <v>26</v>
      </c>
      <c r="D105" t="s">
        <v>9</v>
      </c>
      <c r="E105">
        <f t="shared" si="1"/>
        <v>3.1649999999999997E-5</v>
      </c>
    </row>
    <row r="106" spans="1:5" x14ac:dyDescent="0.2">
      <c r="A106" t="s">
        <v>265</v>
      </c>
      <c r="B106" t="s">
        <v>116</v>
      </c>
      <c r="C106" t="s">
        <v>26</v>
      </c>
      <c r="D106" t="s">
        <v>9</v>
      </c>
      <c r="E106">
        <f t="shared" si="1"/>
        <v>3.1649999999999997E-5</v>
      </c>
    </row>
    <row r="107" spans="1:5" x14ac:dyDescent="0.2">
      <c r="A107" t="s">
        <v>266</v>
      </c>
      <c r="B107" t="s">
        <v>117</v>
      </c>
      <c r="C107" t="s">
        <v>29</v>
      </c>
      <c r="D107" t="s">
        <v>9</v>
      </c>
      <c r="E107">
        <f t="shared" si="1"/>
        <v>3.5999999999999998E-6</v>
      </c>
    </row>
    <row r="108" spans="1:5" x14ac:dyDescent="0.2">
      <c r="A108" t="s">
        <v>267</v>
      </c>
      <c r="B108" t="s">
        <v>118</v>
      </c>
      <c r="C108" t="s">
        <v>29</v>
      </c>
      <c r="D108" t="s">
        <v>9</v>
      </c>
      <c r="E108">
        <f t="shared" si="1"/>
        <v>3.5999999999999998E-6</v>
      </c>
    </row>
    <row r="109" spans="1:5" x14ac:dyDescent="0.2">
      <c r="A109" t="s">
        <v>268</v>
      </c>
      <c r="B109" t="s">
        <v>119</v>
      </c>
      <c r="C109" t="s">
        <v>29</v>
      </c>
      <c r="D109" t="s">
        <v>9</v>
      </c>
      <c r="E109">
        <f t="shared" si="1"/>
        <v>3.5999999999999998E-6</v>
      </c>
    </row>
    <row r="110" spans="1:5" x14ac:dyDescent="0.2">
      <c r="A110" t="s">
        <v>269</v>
      </c>
      <c r="B110" t="s">
        <v>120</v>
      </c>
      <c r="C110" t="s">
        <v>29</v>
      </c>
      <c r="D110" t="s">
        <v>9</v>
      </c>
      <c r="E110">
        <f t="shared" si="1"/>
        <v>3.5999999999999998E-6</v>
      </c>
    </row>
    <row r="111" spans="1:5" x14ac:dyDescent="0.2">
      <c r="A111" t="s">
        <v>270</v>
      </c>
      <c r="B111" t="s">
        <v>121</v>
      </c>
      <c r="C111" t="s">
        <v>29</v>
      </c>
      <c r="D111" t="s">
        <v>9</v>
      </c>
      <c r="E111">
        <f t="shared" si="1"/>
        <v>3.5999999999999998E-6</v>
      </c>
    </row>
    <row r="112" spans="1:5" x14ac:dyDescent="0.2">
      <c r="A112" t="s">
        <v>271</v>
      </c>
      <c r="B112" t="s">
        <v>122</v>
      </c>
      <c r="C112" t="s">
        <v>4</v>
      </c>
      <c r="D112" t="s">
        <v>123</v>
      </c>
      <c r="E112">
        <f t="shared" si="1"/>
        <v>1</v>
      </c>
    </row>
    <row r="113" spans="1:5" x14ac:dyDescent="0.2">
      <c r="A113" t="s">
        <v>272</v>
      </c>
      <c r="B113" t="s">
        <v>124</v>
      </c>
      <c r="C113" t="s">
        <v>4</v>
      </c>
      <c r="D113" t="s">
        <v>123</v>
      </c>
      <c r="E113">
        <f t="shared" si="1"/>
        <v>1</v>
      </c>
    </row>
    <row r="114" spans="1:5" x14ac:dyDescent="0.2">
      <c r="A114" t="s">
        <v>273</v>
      </c>
      <c r="B114" t="s">
        <v>343</v>
      </c>
      <c r="C114" t="s">
        <v>4</v>
      </c>
      <c r="D114" t="s">
        <v>123</v>
      </c>
      <c r="E114">
        <f t="shared" si="1"/>
        <v>1</v>
      </c>
    </row>
    <row r="115" spans="1:5" x14ac:dyDescent="0.2">
      <c r="A115" t="s">
        <v>274</v>
      </c>
      <c r="B115" t="s">
        <v>125</v>
      </c>
      <c r="C115" t="s">
        <v>126</v>
      </c>
      <c r="D115" t="s">
        <v>123</v>
      </c>
      <c r="E115">
        <f t="shared" si="1"/>
        <v>1000</v>
      </c>
    </row>
    <row r="116" spans="1:5" x14ac:dyDescent="0.2">
      <c r="A116" t="s">
        <v>275</v>
      </c>
      <c r="B116" t="s">
        <v>127</v>
      </c>
      <c r="C116" t="s">
        <v>4</v>
      </c>
      <c r="D116" t="s">
        <v>9</v>
      </c>
      <c r="E116">
        <f t="shared" si="1"/>
        <v>1</v>
      </c>
    </row>
    <row r="117" spans="1:5" x14ac:dyDescent="0.2">
      <c r="A117" t="s">
        <v>276</v>
      </c>
      <c r="B117" t="s">
        <v>128</v>
      </c>
      <c r="C117" t="s">
        <v>4</v>
      </c>
      <c r="D117" t="s">
        <v>9</v>
      </c>
      <c r="E117">
        <f t="shared" si="1"/>
        <v>1</v>
      </c>
    </row>
    <row r="118" spans="1:5" x14ac:dyDescent="0.2">
      <c r="A118" t="s">
        <v>277</v>
      </c>
      <c r="B118" t="s">
        <v>129</v>
      </c>
      <c r="C118" t="s">
        <v>4</v>
      </c>
      <c r="D118" t="s">
        <v>9</v>
      </c>
      <c r="E118">
        <f t="shared" si="1"/>
        <v>1</v>
      </c>
    </row>
    <row r="119" spans="1:5" x14ac:dyDescent="0.2">
      <c r="A119" t="s">
        <v>278</v>
      </c>
      <c r="B119" t="s">
        <v>130</v>
      </c>
      <c r="C119" t="s">
        <v>4</v>
      </c>
      <c r="D119" t="s">
        <v>9</v>
      </c>
      <c r="E119">
        <f t="shared" si="1"/>
        <v>1</v>
      </c>
    </row>
    <row r="120" spans="1:5" x14ac:dyDescent="0.2">
      <c r="A120" t="s">
        <v>279</v>
      </c>
      <c r="B120" t="s">
        <v>131</v>
      </c>
      <c r="C120" t="s">
        <v>4</v>
      </c>
      <c r="D120" t="s">
        <v>9</v>
      </c>
      <c r="E120">
        <f t="shared" si="1"/>
        <v>1</v>
      </c>
    </row>
    <row r="121" spans="1:5" x14ac:dyDescent="0.2">
      <c r="A121" t="s">
        <v>280</v>
      </c>
      <c r="B121" t="s">
        <v>132</v>
      </c>
      <c r="C121" t="s">
        <v>4</v>
      </c>
      <c r="D121" t="s">
        <v>9</v>
      </c>
      <c r="E121">
        <f t="shared" si="1"/>
        <v>1</v>
      </c>
    </row>
    <row r="122" spans="1:5" x14ac:dyDescent="0.2">
      <c r="A122" t="s">
        <v>281</v>
      </c>
      <c r="B122" t="s">
        <v>133</v>
      </c>
      <c r="C122" t="s">
        <v>4</v>
      </c>
      <c r="D122" t="s">
        <v>9</v>
      </c>
      <c r="E122">
        <f t="shared" si="1"/>
        <v>1</v>
      </c>
    </row>
    <row r="123" spans="1:5" x14ac:dyDescent="0.2">
      <c r="A123" t="s">
        <v>282</v>
      </c>
      <c r="B123" t="s">
        <v>134</v>
      </c>
      <c r="C123" t="s">
        <v>4</v>
      </c>
      <c r="D123" t="s">
        <v>9</v>
      </c>
      <c r="E123">
        <f t="shared" si="1"/>
        <v>1</v>
      </c>
    </row>
    <row r="124" spans="1:5" x14ac:dyDescent="0.2">
      <c r="A124" t="s">
        <v>283</v>
      </c>
      <c r="B124" t="s">
        <v>135</v>
      </c>
      <c r="C124" t="s">
        <v>4</v>
      </c>
      <c r="D124" t="s">
        <v>9</v>
      </c>
      <c r="E124">
        <f t="shared" si="1"/>
        <v>1</v>
      </c>
    </row>
    <row r="125" spans="1:5" x14ac:dyDescent="0.2">
      <c r="A125" t="s">
        <v>284</v>
      </c>
      <c r="B125" t="s">
        <v>136</v>
      </c>
      <c r="C125" t="s">
        <v>4</v>
      </c>
      <c r="D125" t="s">
        <v>9</v>
      </c>
      <c r="E125">
        <f t="shared" si="1"/>
        <v>1</v>
      </c>
    </row>
    <row r="126" spans="1:5" x14ac:dyDescent="0.2">
      <c r="A126" t="s">
        <v>285</v>
      </c>
      <c r="B126" t="s">
        <v>137</v>
      </c>
      <c r="C126" t="s">
        <v>4</v>
      </c>
      <c r="D126" t="s">
        <v>340</v>
      </c>
      <c r="E126">
        <f t="shared" si="1"/>
        <v>1</v>
      </c>
    </row>
    <row r="127" spans="1:5" x14ac:dyDescent="0.2">
      <c r="A127" t="s">
        <v>286</v>
      </c>
      <c r="B127" t="s">
        <v>138</v>
      </c>
      <c r="C127" t="s">
        <v>4</v>
      </c>
      <c r="D127" t="s">
        <v>340</v>
      </c>
      <c r="E127">
        <f t="shared" si="1"/>
        <v>1</v>
      </c>
    </row>
    <row r="128" spans="1:5" x14ac:dyDescent="0.2">
      <c r="A128" t="s">
        <v>287</v>
      </c>
      <c r="B128" t="s">
        <v>139</v>
      </c>
      <c r="C128" t="s">
        <v>4</v>
      </c>
      <c r="D128" t="s">
        <v>340</v>
      </c>
      <c r="E128">
        <f t="shared" ref="E128:E138" si="2">VLOOKUP($C128,$H$3:$J$25,3,0)</f>
        <v>1</v>
      </c>
    </row>
    <row r="129" spans="1:7" x14ac:dyDescent="0.2">
      <c r="A129" t="s">
        <v>288</v>
      </c>
      <c r="B129" t="s">
        <v>140</v>
      </c>
      <c r="C129" t="s">
        <v>141</v>
      </c>
      <c r="D129" t="s">
        <v>341</v>
      </c>
      <c r="E129">
        <f t="shared" si="2"/>
        <v>31595.576619273306</v>
      </c>
    </row>
    <row r="130" spans="1:7" x14ac:dyDescent="0.2">
      <c r="A130" t="s">
        <v>289</v>
      </c>
      <c r="B130" t="s">
        <v>142</v>
      </c>
      <c r="C130" t="s">
        <v>4</v>
      </c>
      <c r="D130" t="s">
        <v>9</v>
      </c>
      <c r="E130">
        <f t="shared" si="2"/>
        <v>1</v>
      </c>
    </row>
    <row r="131" spans="1:7" x14ac:dyDescent="0.2">
      <c r="A131" t="s">
        <v>290</v>
      </c>
      <c r="B131" t="s">
        <v>143</v>
      </c>
      <c r="C131" t="s">
        <v>4</v>
      </c>
      <c r="D131" t="s">
        <v>9</v>
      </c>
      <c r="E131">
        <f t="shared" si="2"/>
        <v>1</v>
      </c>
    </row>
    <row r="132" spans="1:7" x14ac:dyDescent="0.2">
      <c r="A132" t="s">
        <v>291</v>
      </c>
      <c r="B132" t="s">
        <v>144</v>
      </c>
      <c r="C132" t="s">
        <v>4</v>
      </c>
      <c r="D132" t="s">
        <v>9</v>
      </c>
      <c r="E132">
        <f t="shared" si="2"/>
        <v>1</v>
      </c>
    </row>
    <row r="133" spans="1:7" x14ac:dyDescent="0.2">
      <c r="A133" t="s">
        <v>292</v>
      </c>
      <c r="B133" t="s">
        <v>145</v>
      </c>
      <c r="C133" t="s">
        <v>146</v>
      </c>
      <c r="D133" t="s">
        <v>9</v>
      </c>
      <c r="E133">
        <f t="shared" si="2"/>
        <v>3.6</v>
      </c>
    </row>
    <row r="134" spans="1:7" x14ac:dyDescent="0.2">
      <c r="A134" t="s">
        <v>293</v>
      </c>
      <c r="B134" t="s">
        <v>147</v>
      </c>
      <c r="C134" t="s">
        <v>4</v>
      </c>
      <c r="D134" t="s">
        <v>9</v>
      </c>
      <c r="E134">
        <f t="shared" si="2"/>
        <v>1</v>
      </c>
    </row>
    <row r="135" spans="1:7" x14ac:dyDescent="0.2">
      <c r="A135" t="s">
        <v>294</v>
      </c>
      <c r="B135" t="s">
        <v>148</v>
      </c>
      <c r="C135" t="s">
        <v>126</v>
      </c>
      <c r="D135" t="s">
        <v>123</v>
      </c>
      <c r="E135">
        <f t="shared" si="2"/>
        <v>1000</v>
      </c>
    </row>
    <row r="136" spans="1:7" x14ac:dyDescent="0.2">
      <c r="A136" t="s">
        <v>295</v>
      </c>
      <c r="B136" t="s">
        <v>149</v>
      </c>
      <c r="C136" t="s">
        <v>150</v>
      </c>
      <c r="D136" t="s">
        <v>342</v>
      </c>
      <c r="E136">
        <f t="shared" si="2"/>
        <v>277777.77777777781</v>
      </c>
    </row>
    <row r="137" spans="1:7" x14ac:dyDescent="0.2">
      <c r="A137" t="s">
        <v>296</v>
      </c>
      <c r="B137" t="s">
        <v>151</v>
      </c>
      <c r="C137" t="s">
        <v>4</v>
      </c>
      <c r="D137" t="s">
        <v>9</v>
      </c>
      <c r="E137">
        <f t="shared" si="2"/>
        <v>1</v>
      </c>
      <c r="G137" t="s">
        <v>159</v>
      </c>
    </row>
    <row r="138" spans="1:7" x14ac:dyDescent="0.2">
      <c r="A138" t="s">
        <v>297</v>
      </c>
      <c r="B138" t="s">
        <v>152</v>
      </c>
      <c r="C138" t="s">
        <v>4</v>
      </c>
      <c r="D138" t="s">
        <v>9</v>
      </c>
      <c r="E138">
        <f t="shared" si="2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(2)</vt:lpstr>
      <vt:lpstr>A_km-var_to_ivar.csv</vt:lpstr>
      <vt:lpstr>mapping</vt:lpstr>
      <vt:lpstr>unit_conversion_overview_XCL-A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van Bemmelen</dc:creator>
  <cp:lastModifiedBy>Koen van Bemmelen</cp:lastModifiedBy>
  <dcterms:created xsi:type="dcterms:W3CDTF">2025-05-15T12:57:59Z</dcterms:created>
  <dcterms:modified xsi:type="dcterms:W3CDTF">2025-08-29T08:45:21Z</dcterms:modified>
</cp:coreProperties>
</file>