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molecules/molecules/"/>
    </mc:Choice>
  </mc:AlternateContent>
  <xr:revisionPtr revIDLastSave="0" documentId="13_ncr:1_{FF792082-6C14-D142-AC6D-4BF75AD3DB9E}" xr6:coauthVersionLast="47" xr6:coauthVersionMax="47" xr10:uidLastSave="{00000000-0000-0000-0000-000000000000}"/>
  <bookViews>
    <workbookView xWindow="0" yWindow="0" windowWidth="28800" windowHeight="18000" tabRatio="762"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2" i="12" l="1"/>
  <c r="D36" i="20"/>
  <c r="D31" i="20" l="1"/>
  <c r="D16" i="20"/>
  <c r="D13" i="20"/>
  <c r="D10" i="20"/>
</calcChain>
</file>

<file path=xl/sharedStrings.xml><?xml version="1.0" encoding="utf-8"?>
<sst xmlns="http://schemas.openxmlformats.org/spreadsheetml/2006/main" count="89" uniqueCount="79">
  <si>
    <t>Source</t>
  </si>
  <si>
    <t>years</t>
  </si>
  <si>
    <t>Value</t>
  </si>
  <si>
    <t>Definition</t>
  </si>
  <si>
    <t>Unit</t>
  </si>
  <si>
    <t>Link</t>
  </si>
  <si>
    <t>Cover Sheet</t>
  </si>
  <si>
    <t>Document</t>
  </si>
  <si>
    <t>Country</t>
  </si>
  <si>
    <t>Organization</t>
  </si>
  <si>
    <t>Quintel Intelligence</t>
  </si>
  <si>
    <t>Definition on the sources</t>
  </si>
  <si>
    <t>Type</t>
  </si>
  <si>
    <t>Date published</t>
  </si>
  <si>
    <t>Date retrieved</t>
  </si>
  <si>
    <t>Attribute</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</si>
  <si>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</si>
  <si>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</si>
  <si>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</si>
  <si>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</si>
  <si>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</si>
  <si>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</si>
  <si>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</si>
  <si>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</si>
  <si>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</si>
  <si>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</si>
  <si>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</si>
  <si>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</si>
  <si>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</si>
  <si>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</si>
  <si>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</si>
  <si>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</si>
  <si>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Technical</t>
  </si>
  <si>
    <t>ETM Library URL</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</si>
  <si>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</si>
  <si>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Subject</t>
  </si>
  <si>
    <t>Investment costs</t>
  </si>
  <si>
    <t>Capacity</t>
  </si>
  <si>
    <t>PJ</t>
  </si>
  <si>
    <t>Full load hours</t>
  </si>
  <si>
    <t>Technical lifetime</t>
  </si>
  <si>
    <t>All specs</t>
  </si>
  <si>
    <t>NL</t>
  </si>
  <si>
    <t>https://refman.energytransitionmodel.com/publications/2123</t>
  </si>
  <si>
    <t>Methanol production from CO2</t>
  </si>
  <si>
    <t>TNO</t>
  </si>
  <si>
    <t>Sept 2020</t>
  </si>
  <si>
    <t>https://energy.nl/en/fact_sheet/methanol-production-from-co2/</t>
  </si>
  <si>
    <t>PJ / year</t>
  </si>
  <si>
    <t>uur / year</t>
  </si>
  <si>
    <t>MJ/s = MW</t>
  </si>
  <si>
    <t>mln euro/ PJ</t>
  </si>
  <si>
    <t>euro / plant</t>
  </si>
  <si>
    <t>Fixed operational costs (excl fuel costs)</t>
  </si>
  <si>
    <t>euro / plant / year</t>
  </si>
  <si>
    <t>Hydrogen</t>
  </si>
  <si>
    <t>Electricity</t>
  </si>
  <si>
    <t>Methanol</t>
  </si>
  <si>
    <t>Heat</t>
  </si>
  <si>
    <t>ENERGY INPUT</t>
  </si>
  <si>
    <t>ENERGY OUTPUT</t>
  </si>
  <si>
    <t>Mton/PJ product</t>
  </si>
  <si>
    <t>kg/MJ product</t>
  </si>
  <si>
    <t>The heat is used in the purification/distillation proces, therefore we assume no losses</t>
  </si>
  <si>
    <t>Losses</t>
  </si>
  <si>
    <t>EMISSIONS (Non-fuel/energy-related emissions or emissions reductions (e.g. CCS</t>
  </si>
  <si>
    <t>CO2 input</t>
  </si>
  <si>
    <t>CO2 input is 0.074 Mton in 2020. Not all ends up in methanol as part is ending up, partly after conversion, as CO2 emissions in the flue gas</t>
  </si>
  <si>
    <t>from_energy.conversion</t>
  </si>
  <si>
    <t>CO2 emissions per MJ methanol produced</t>
  </si>
  <si>
    <t>molecules_production_synthetic_methanol_emitted_co2</t>
  </si>
  <si>
    <t>kg CO2 / MJ methanol</t>
  </si>
  <si>
    <t>Kyra de Haan</t>
  </si>
  <si>
    <t>CO2 out in product and emitted</t>
  </si>
  <si>
    <t>CO2 in methanol</t>
  </si>
  <si>
    <t>kg CO2/MJ</t>
  </si>
  <si>
    <t>from nl2023 carriers.csv</t>
  </si>
  <si>
    <t>CO2 emitted</t>
  </si>
  <si>
    <t>Note that CO2 utilised on this molecule node is set euqal to the emission factor of methanol (dataset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</si>
</sst>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5">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sz val="12"/>
      <name val="Calibri"/>
      <family val="2"/>
    </font>
    <font>
      <b/>
      <sz val="14"/>
      <color theme="1"/>
      <name val="Calibri"/>
      <family val="2"/>
      <scheme val="minor"/>
    </font>
    <font>
      <sz val="12"/>
      <color rgb="FFFF0000"/>
      <name val="Calibri"/>
      <family val="2"/>
      <scheme val="minor"/>
    </font>
    <font>
      <u/>
      <sz val="12"/>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indexed="64"/>
      </left>
      <right style="thin">
        <color indexed="64"/>
      </right>
      <top style="thin">
        <color indexed="64"/>
      </top>
      <bottom style="thin">
        <color indexed="64"/>
      </bottom>
      <diagonal/>
    </border>
  </borders>
  <cellStyleXfs count="496">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20"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96">
    <xf numFmtId="0" fontId="0" fillId="0" borderId="0" xfId="0"/>
    <xf numFmtId="0" fontId="11" fillId="3" borderId="7" xfId="0" applyFont="1" applyFill="1" applyBorder="1"/>
    <xf numFmtId="0" fontId="12" fillId="3" borderId="17" xfId="0" applyFont="1" applyFill="1" applyBorder="1"/>
    <xf numFmtId="0" fontId="11" fillId="3" borderId="13" xfId="0" applyFont="1" applyFill="1" applyBorder="1"/>
    <xf numFmtId="0" fontId="13" fillId="3" borderId="7" xfId="0" applyFont="1" applyFill="1" applyBorder="1" applyAlignment="1">
      <alignment vertical="center"/>
    </xf>
    <xf numFmtId="49" fontId="11" fillId="2" borderId="8" xfId="0" applyNumberFormat="1" applyFont="1" applyFill="1" applyBorder="1" applyAlignment="1">
      <alignment horizontal="left"/>
    </xf>
    <xf numFmtId="0" fontId="13" fillId="3" borderId="1" xfId="0" applyFont="1" applyFill="1" applyBorder="1" applyAlignment="1">
      <alignment vertical="center"/>
    </xf>
    <xf numFmtId="0" fontId="11" fillId="3" borderId="14" xfId="0" applyFont="1" applyFill="1" applyBorder="1"/>
    <xf numFmtId="0" fontId="11" fillId="3" borderId="0" xfId="0" applyFont="1" applyFill="1"/>
    <xf numFmtId="0" fontId="10" fillId="2" borderId="0" xfId="0" applyFont="1" applyFill="1"/>
    <xf numFmtId="0" fontId="10" fillId="2" borderId="5" xfId="0" applyFont="1" applyFill="1" applyBorder="1"/>
    <xf numFmtId="0" fontId="10" fillId="2" borderId="9" xfId="0" applyFont="1" applyFill="1" applyBorder="1"/>
    <xf numFmtId="0" fontId="10" fillId="0" borderId="9" xfId="0" applyFont="1" applyBorder="1"/>
    <xf numFmtId="0" fontId="12" fillId="0" borderId="9" xfId="0" applyFont="1" applyBorder="1"/>
    <xf numFmtId="49" fontId="10" fillId="2" borderId="0" xfId="0" applyNumberFormat="1" applyFont="1" applyFill="1"/>
    <xf numFmtId="49" fontId="10" fillId="2" borderId="9" xfId="0" applyNumberFormat="1" applyFont="1" applyFill="1" applyBorder="1"/>
    <xf numFmtId="0" fontId="10" fillId="2" borderId="4" xfId="0" applyFont="1" applyFill="1" applyBorder="1"/>
    <xf numFmtId="0" fontId="7" fillId="2" borderId="0" xfId="0" applyFont="1" applyFill="1"/>
    <xf numFmtId="0" fontId="10" fillId="0" borderId="16" xfId="0" applyFont="1" applyBorder="1"/>
    <xf numFmtId="0" fontId="10" fillId="2" borderId="6" xfId="0" applyFont="1" applyFill="1" applyBorder="1"/>
    <xf numFmtId="0" fontId="11" fillId="3" borderId="17" xfId="0" applyFont="1" applyFill="1" applyBorder="1"/>
    <xf numFmtId="0" fontId="11" fillId="3" borderId="2" xfId="0" applyFont="1" applyFill="1" applyBorder="1"/>
    <xf numFmtId="0" fontId="7" fillId="2" borderId="2" xfId="0" applyFont="1" applyFill="1" applyBorder="1"/>
    <xf numFmtId="0" fontId="14" fillId="3" borderId="0" xfId="0" applyFont="1" applyFill="1"/>
    <xf numFmtId="0" fontId="7" fillId="2" borderId="7" xfId="0" applyFont="1" applyFill="1" applyBorder="1"/>
    <xf numFmtId="0" fontId="12" fillId="3" borderId="0" xfId="0" applyFont="1" applyFill="1"/>
    <xf numFmtId="0" fontId="6" fillId="2" borderId="0" xfId="0" applyFont="1" applyFill="1"/>
    <xf numFmtId="0" fontId="6" fillId="2" borderId="3" xfId="0" applyFont="1" applyFill="1" applyBorder="1"/>
    <xf numFmtId="0" fontId="6" fillId="2" borderId="15" xfId="0" applyFont="1" applyFill="1" applyBorder="1"/>
    <xf numFmtId="0" fontId="5" fillId="2" borderId="0" xfId="0" applyFont="1" applyFill="1"/>
    <xf numFmtId="0" fontId="5" fillId="2" borderId="3" xfId="0" applyFont="1" applyFill="1" applyBorder="1"/>
    <xf numFmtId="0" fontId="5" fillId="2" borderId="4" xfId="0" applyFont="1" applyFill="1" applyBorder="1"/>
    <xf numFmtId="0" fontId="5" fillId="2" borderId="6" xfId="0" applyFont="1" applyFill="1" applyBorder="1"/>
    <xf numFmtId="49" fontId="5" fillId="2" borderId="0" xfId="0" applyNumberFormat="1" applyFont="1" applyFill="1"/>
    <xf numFmtId="49" fontId="5" fillId="2" borderId="4" xfId="0" applyNumberFormat="1" applyFont="1" applyFill="1" applyBorder="1"/>
    <xf numFmtId="0" fontId="5" fillId="2" borderId="16" xfId="0" applyFont="1" applyFill="1" applyBorder="1"/>
    <xf numFmtId="0" fontId="15" fillId="2" borderId="0" xfId="0" applyFont="1" applyFill="1"/>
    <xf numFmtId="0" fontId="15" fillId="2" borderId="3" xfId="0" applyFont="1" applyFill="1" applyBorder="1"/>
    <xf numFmtId="0" fontId="15" fillId="2" borderId="4" xfId="0" applyFont="1" applyFill="1" applyBorder="1"/>
    <xf numFmtId="0" fontId="15" fillId="2" borderId="15" xfId="0" applyFont="1" applyFill="1" applyBorder="1"/>
    <xf numFmtId="0" fontId="16" fillId="2" borderId="0" xfId="0" applyFont="1" applyFill="1"/>
    <xf numFmtId="0" fontId="15" fillId="2" borderId="9" xfId="0" applyFont="1" applyFill="1" applyBorder="1"/>
    <xf numFmtId="0" fontId="16" fillId="2" borderId="9" xfId="0" applyFont="1" applyFill="1" applyBorder="1"/>
    <xf numFmtId="0" fontId="10" fillId="2" borderId="17" xfId="0" applyFont="1" applyFill="1" applyBorder="1"/>
    <xf numFmtId="0" fontId="4" fillId="2" borderId="2" xfId="0" applyFont="1" applyFill="1" applyBorder="1"/>
    <xf numFmtId="0" fontId="10" fillId="2" borderId="7" xfId="0" applyFont="1" applyFill="1" applyBorder="1"/>
    <xf numFmtId="0" fontId="4" fillId="2" borderId="0" xfId="0" applyFont="1" applyFill="1"/>
    <xf numFmtId="0" fontId="17" fillId="2" borderId="0" xfId="0" applyFont="1" applyFill="1"/>
    <xf numFmtId="0" fontId="4" fillId="2" borderId="18" xfId="0" applyFont="1" applyFill="1" applyBorder="1"/>
    <xf numFmtId="0" fontId="4" fillId="4" borderId="0" xfId="0" applyFont="1" applyFill="1"/>
    <xf numFmtId="0" fontId="4" fillId="5" borderId="0" xfId="0" applyFont="1" applyFill="1"/>
    <xf numFmtId="0" fontId="4" fillId="6" borderId="0" xfId="0" applyFont="1" applyFill="1"/>
    <xf numFmtId="0" fontId="4" fillId="7" borderId="0" xfId="0" applyFont="1" applyFill="1"/>
    <xf numFmtId="0" fontId="4" fillId="2" borderId="7" xfId="0" applyFont="1" applyFill="1" applyBorder="1"/>
    <xf numFmtId="0" fontId="4" fillId="8" borderId="0" xfId="0" applyFont="1" applyFill="1"/>
    <xf numFmtId="0" fontId="4" fillId="9" borderId="0" xfId="0" applyFont="1" applyFill="1"/>
    <xf numFmtId="0" fontId="4" fillId="10" borderId="0" xfId="0" applyFont="1" applyFill="1"/>
    <xf numFmtId="0" fontId="4" fillId="11" borderId="0" xfId="0" applyFont="1" applyFill="1"/>
    <xf numFmtId="0" fontId="10" fillId="2" borderId="19" xfId="0" applyFont="1" applyFill="1" applyBorder="1"/>
    <xf numFmtId="0" fontId="16" fillId="2" borderId="16" xfId="0" applyFont="1" applyFill="1" applyBorder="1"/>
    <xf numFmtId="0" fontId="15" fillId="2" borderId="19" xfId="0" applyFont="1" applyFill="1" applyBorder="1"/>
    <xf numFmtId="0" fontId="3" fillId="2" borderId="0" xfId="0" applyFont="1" applyFill="1"/>
    <xf numFmtId="0" fontId="3" fillId="2" borderId="10" xfId="0" applyFont="1" applyFill="1" applyBorder="1"/>
    <xf numFmtId="0" fontId="3" fillId="2" borderId="11" xfId="0" applyFont="1" applyFill="1" applyBorder="1"/>
    <xf numFmtId="0" fontId="3" fillId="2" borderId="12" xfId="0" applyFont="1" applyFill="1" applyBorder="1"/>
    <xf numFmtId="0" fontId="21" fillId="12" borderId="0" xfId="0" applyFont="1" applyFill="1"/>
    <xf numFmtId="0" fontId="2" fillId="0" borderId="0" xfId="0" applyFont="1" applyAlignment="1">
      <alignment vertical="center"/>
    </xf>
    <xf numFmtId="0" fontId="11" fillId="0" borderId="0" xfId="0" applyFont="1" applyAlignment="1">
      <alignment vertical="center"/>
    </xf>
    <xf numFmtId="0" fontId="22" fillId="2" borderId="0" xfId="0" applyFont="1" applyFill="1" applyAlignment="1">
      <alignment vertical="center"/>
    </xf>
    <xf numFmtId="0" fontId="10" fillId="2" borderId="6" xfId="0" applyFont="1" applyFill="1" applyBorder="1" applyAlignment="1">
      <alignment vertical="center"/>
    </xf>
    <xf numFmtId="0" fontId="22" fillId="2" borderId="5" xfId="0" applyFont="1" applyFill="1" applyBorder="1" applyAlignment="1">
      <alignment vertical="center"/>
    </xf>
    <xf numFmtId="0" fontId="16" fillId="2" borderId="6" xfId="0" applyFont="1" applyFill="1" applyBorder="1"/>
    <xf numFmtId="2" fontId="15" fillId="2" borderId="0" xfId="0" applyNumberFormat="1" applyFont="1" applyFill="1"/>
    <xf numFmtId="164" fontId="15" fillId="2" borderId="0" xfId="0" applyNumberFormat="1" applyFont="1" applyFill="1"/>
    <xf numFmtId="0" fontId="15" fillId="2" borderId="20" xfId="0" applyFont="1" applyFill="1" applyBorder="1"/>
    <xf numFmtId="0" fontId="1" fillId="2" borderId="0" xfId="0" applyFont="1" applyFill="1"/>
    <xf numFmtId="49" fontId="1" fillId="2" borderId="0" xfId="0" applyNumberFormat="1" applyFont="1" applyFill="1"/>
    <xf numFmtId="17" fontId="5" fillId="2" borderId="0" xfId="0" applyNumberFormat="1" applyFont="1" applyFill="1"/>
    <xf numFmtId="0" fontId="23" fillId="2" borderId="0" xfId="0" applyFont="1" applyFill="1"/>
    <xf numFmtId="2" fontId="15" fillId="2" borderId="20" xfId="0" applyNumberFormat="1" applyFont="1" applyFill="1" applyBorder="1"/>
    <xf numFmtId="0" fontId="1" fillId="2" borderId="18" xfId="0" applyFont="1" applyFill="1" applyBorder="1" applyAlignment="1">
      <alignment vertical="center"/>
    </xf>
    <xf numFmtId="164" fontId="15" fillId="2" borderId="20" xfId="0" applyNumberFormat="1" applyFont="1" applyFill="1" applyBorder="1"/>
    <xf numFmtId="0" fontId="15" fillId="2" borderId="0" xfId="0" applyFont="1" applyFill="1" applyAlignment="1">
      <alignment vertical="top" wrapText="1"/>
    </xf>
    <xf numFmtId="0" fontId="1" fillId="0" borderId="0" xfId="0" applyFont="1" applyAlignment="1">
      <alignment vertical="center"/>
    </xf>
    <xf numFmtId="0" fontId="18" fillId="12" borderId="17" xfId="0" applyFont="1" applyFill="1" applyBorder="1" applyAlignment="1">
      <alignment horizontal="left" vertical="top" wrapText="1"/>
    </xf>
    <xf numFmtId="0" fontId="18" fillId="12" borderId="2" xfId="0" applyFont="1" applyFill="1" applyBorder="1" applyAlignment="1">
      <alignment horizontal="left" vertical="top" wrapText="1"/>
    </xf>
    <xf numFmtId="0" fontId="18" fillId="12" borderId="13" xfId="0" applyFont="1" applyFill="1" applyBorder="1" applyAlignment="1">
      <alignment horizontal="left" vertical="top" wrapText="1"/>
    </xf>
    <xf numFmtId="0" fontId="18" fillId="12" borderId="7" xfId="0" applyFont="1" applyFill="1" applyBorder="1" applyAlignment="1">
      <alignment horizontal="left" vertical="top" wrapText="1"/>
    </xf>
    <xf numFmtId="0" fontId="18" fillId="12" borderId="0" xfId="0" applyFont="1" applyFill="1" applyAlignment="1">
      <alignment horizontal="left" vertical="top" wrapText="1"/>
    </xf>
    <xf numFmtId="0" fontId="18" fillId="12" borderId="8" xfId="0" applyFont="1" applyFill="1" applyBorder="1" applyAlignment="1">
      <alignment horizontal="left" vertical="top" wrapText="1"/>
    </xf>
    <xf numFmtId="0" fontId="18" fillId="12" borderId="1" xfId="0" applyFont="1" applyFill="1" applyBorder="1" applyAlignment="1">
      <alignment horizontal="left" vertical="top" wrapText="1"/>
    </xf>
    <xf numFmtId="0" fontId="18" fillId="12" borderId="9" xfId="0" applyFont="1" applyFill="1" applyBorder="1" applyAlignment="1">
      <alignment horizontal="left" vertical="top" wrapText="1"/>
    </xf>
    <xf numFmtId="0" fontId="18" fillId="12" borderId="14" xfId="0" applyFont="1" applyFill="1" applyBorder="1" applyAlignment="1">
      <alignment horizontal="left" vertical="top" wrapText="1"/>
    </xf>
    <xf numFmtId="0" fontId="24" fillId="2" borderId="0" xfId="0" applyFont="1" applyFill="1"/>
    <xf numFmtId="165" fontId="15" fillId="2" borderId="0" xfId="0" applyNumberFormat="1" applyFont="1" applyFill="1"/>
    <xf numFmtId="165" fontId="2" fillId="2" borderId="18" xfId="0" applyNumberFormat="1" applyFont="1" applyFill="1" applyBorder="1" applyAlignment="1">
      <alignment vertical="center"/>
    </xf>
  </cellXfs>
  <cellStyles count="49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Normal" xfId="0" builtinId="0"/>
    <cellStyle name="Normal 2" xfId="274" xr:uid="{00000000-0005-0000-0000-0000EF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482600</xdr:colOff>
      <xdr:row>151</xdr:row>
      <xdr:rowOff>0</xdr:rowOff>
    </xdr:from>
    <xdr:to>
      <xdr:col>28</xdr:col>
      <xdr:colOff>444500</xdr:colOff>
      <xdr:row>180</xdr:row>
      <xdr:rowOff>0</xdr:rowOff>
    </xdr:to>
    <xdr:pic>
      <xdr:nvPicPr>
        <xdr:cNvPr id="4" name="Picture 3">
          <a:extLst>
            <a:ext uri="{FF2B5EF4-FFF2-40B4-BE49-F238E27FC236}">
              <a16:creationId xmlns:a16="http://schemas.microsoft.com/office/drawing/2014/main" id="{1A951AD9-3883-4A46-83D3-792C8E99FF1C}"/>
            </a:ext>
          </a:extLst>
        </xdr:cNvPr>
        <xdr:cNvPicPr>
          <a:picLocks noChangeAspect="1"/>
        </xdr:cNvPicPr>
      </xdr:nvPicPr>
      <xdr:blipFill>
        <a:blip xmlns:r="http://schemas.openxmlformats.org/officeDocument/2006/relationships" r:embed="rId1"/>
        <a:stretch>
          <a:fillRect/>
        </a:stretch>
      </xdr:blipFill>
      <xdr:spPr>
        <a:xfrm>
          <a:off x="21501100" y="16573500"/>
          <a:ext cx="6718300" cy="5892800"/>
        </a:xfrm>
        <a:prstGeom prst="rect">
          <a:avLst/>
        </a:prstGeom>
      </xdr:spPr>
    </xdr:pic>
    <xdr:clientData/>
  </xdr:twoCellAnchor>
  <xdr:twoCellAnchor editAs="oneCell">
    <xdr:from>
      <xdr:col>7</xdr:col>
      <xdr:colOff>520700</xdr:colOff>
      <xdr:row>5</xdr:row>
      <xdr:rowOff>50800</xdr:rowOff>
    </xdr:from>
    <xdr:to>
      <xdr:col>17</xdr:col>
      <xdr:colOff>558526</xdr:colOff>
      <xdr:row>53</xdr:row>
      <xdr:rowOff>203200</xdr:rowOff>
    </xdr:to>
    <xdr:pic>
      <xdr:nvPicPr>
        <xdr:cNvPr id="2" name="Picture 1">
          <a:extLst>
            <a:ext uri="{FF2B5EF4-FFF2-40B4-BE49-F238E27FC236}">
              <a16:creationId xmlns:a16="http://schemas.microsoft.com/office/drawing/2014/main" id="{1093A3A0-C609-0849-9161-6D13A570B35B}"/>
            </a:ext>
          </a:extLst>
        </xdr:cNvPr>
        <xdr:cNvPicPr>
          <a:picLocks noChangeAspect="1"/>
        </xdr:cNvPicPr>
      </xdr:nvPicPr>
      <xdr:blipFill>
        <a:blip xmlns:r="http://schemas.openxmlformats.org/officeDocument/2006/relationships" r:embed="rId2"/>
        <a:stretch>
          <a:fillRect/>
        </a:stretch>
      </xdr:blipFill>
      <xdr:spPr>
        <a:xfrm>
          <a:off x="7797800" y="1117600"/>
          <a:ext cx="10235926" cy="112268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industry/6_residences_analysis.xlsx" TargetMode="External"/><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terwel/Downloads/01D_Current_Central_Hydrogen_Production_from_Natural_Gas_without_CO2_Sequestration_version_3.1.xlsm" TargetMode="External"/><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tabSelected="1" workbookViewId="0">
      <selection activeCell="C6" sqref="C6"/>
    </sheetView>
  </sheetViews>
  <sheetFormatPr baseColWidth="10" defaultColWidth="10.85546875" defaultRowHeight="16"/>
  <cols>
    <col min="1" max="1" width="3.42578125" style="24" customWidth="1"/>
    <col min="2" max="2" width="11.42578125" style="17" customWidth="1"/>
    <col min="3" max="3" width="38.42578125" style="17" customWidth="1"/>
    <col min="4" max="16384" width="10.85546875" style="17"/>
  </cols>
  <sheetData>
    <row r="1" spans="1:3" s="22" customFormat="1">
      <c r="A1" s="20"/>
      <c r="B1" s="21"/>
      <c r="C1" s="21"/>
    </row>
    <row r="2" spans="1:3" ht="21">
      <c r="A2" s="1"/>
      <c r="B2" s="23" t="s">
        <v>6</v>
      </c>
      <c r="C2" s="23"/>
    </row>
    <row r="3" spans="1:3">
      <c r="A3" s="1"/>
      <c r="B3" s="8"/>
      <c r="C3" s="8"/>
    </row>
    <row r="4" spans="1:3">
      <c r="A4" s="1"/>
      <c r="B4" s="2" t="s">
        <v>7</v>
      </c>
      <c r="C4" s="3" t="s">
        <v>70</v>
      </c>
    </row>
    <row r="5" spans="1:3">
      <c r="A5" s="1"/>
      <c r="B5" s="4" t="s">
        <v>31</v>
      </c>
      <c r="C5" s="5" t="s">
        <v>72</v>
      </c>
    </row>
    <row r="6" spans="1:3">
      <c r="A6" s="1"/>
      <c r="B6" s="6" t="s">
        <v>9</v>
      </c>
      <c r="C6" s="7" t="s">
        <v>10</v>
      </c>
    </row>
    <row r="7" spans="1:3">
      <c r="A7" s="1"/>
      <c r="B7" s="8"/>
      <c r="C7" s="8"/>
    </row>
    <row r="8" spans="1:3">
      <c r="A8" s="1"/>
      <c r="B8" s="8"/>
      <c r="C8" s="8"/>
    </row>
    <row r="9" spans="1:3">
      <c r="A9" s="1"/>
      <c r="B9" s="43" t="s">
        <v>16</v>
      </c>
      <c r="C9" s="44"/>
    </row>
    <row r="10" spans="1:3">
      <c r="A10" s="1"/>
      <c r="B10" s="45"/>
      <c r="C10" s="46"/>
    </row>
    <row r="11" spans="1:3">
      <c r="A11" s="1"/>
      <c r="B11" s="45" t="s">
        <v>17</v>
      </c>
      <c r="C11" s="47" t="s">
        <v>18</v>
      </c>
    </row>
    <row r="12" spans="1:3" ht="17" thickBot="1">
      <c r="A12" s="1"/>
      <c r="B12" s="45"/>
      <c r="C12" s="9" t="s">
        <v>19</v>
      </c>
    </row>
    <row r="13" spans="1:3" ht="17" thickBot="1">
      <c r="A13" s="1"/>
      <c r="B13" s="45"/>
      <c r="C13" s="48" t="s">
        <v>20</v>
      </c>
    </row>
    <row r="14" spans="1:3">
      <c r="A14" s="1"/>
      <c r="B14" s="45"/>
      <c r="C14" s="46" t="s">
        <v>21</v>
      </c>
    </row>
    <row r="15" spans="1:3">
      <c r="A15" s="1"/>
      <c r="B15" s="45"/>
      <c r="C15" s="46"/>
    </row>
    <row r="16" spans="1:3">
      <c r="A16" s="1"/>
      <c r="B16" s="45" t="s">
        <v>22</v>
      </c>
      <c r="C16" s="49" t="s">
        <v>23</v>
      </c>
    </row>
    <row r="17" spans="1:3">
      <c r="A17" s="1"/>
      <c r="B17" s="45"/>
      <c r="C17" s="50" t="s">
        <v>24</v>
      </c>
    </row>
    <row r="18" spans="1:3">
      <c r="A18" s="1"/>
      <c r="B18" s="45"/>
      <c r="C18" s="51" t="s">
        <v>25</v>
      </c>
    </row>
    <row r="19" spans="1:3">
      <c r="A19" s="1"/>
      <c r="B19" s="45"/>
      <c r="C19" s="52" t="s">
        <v>26</v>
      </c>
    </row>
    <row r="20" spans="1:3">
      <c r="A20" s="1"/>
      <c r="B20" s="53"/>
      <c r="C20" s="54" t="s">
        <v>27</v>
      </c>
    </row>
    <row r="21" spans="1:3">
      <c r="A21" s="1"/>
      <c r="B21" s="53"/>
      <c r="C21" s="55" t="s">
        <v>28</v>
      </c>
    </row>
    <row r="22" spans="1:3">
      <c r="A22" s="1"/>
      <c r="B22" s="53"/>
      <c r="C22" s="56" t="s">
        <v>29</v>
      </c>
    </row>
    <row r="23" spans="1:3">
      <c r="B23" s="53"/>
      <c r="C23" s="57" t="s">
        <v>30</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I23"/>
  <sheetViews>
    <sheetView workbookViewId="0">
      <selection activeCell="D12" sqref="D12"/>
    </sheetView>
  </sheetViews>
  <sheetFormatPr baseColWidth="10" defaultColWidth="10.85546875" defaultRowHeight="16"/>
  <cols>
    <col min="1" max="2" width="3.42578125" style="26" customWidth="1"/>
    <col min="3" max="3" width="40.28515625" style="26" customWidth="1"/>
    <col min="4" max="4" width="19.140625" style="26" customWidth="1"/>
    <col min="5" max="5" width="14.7109375" style="26" customWidth="1"/>
    <col min="6" max="6" width="4.42578125" style="26" customWidth="1"/>
    <col min="7" max="7" width="49.42578125" style="26" customWidth="1"/>
    <col min="8" max="8" width="42.42578125" style="26" customWidth="1"/>
    <col min="9" max="9" width="5.42578125" style="26" customWidth="1"/>
    <col min="10" max="16384" width="10.85546875" style="26"/>
  </cols>
  <sheetData>
    <row r="2" spans="1:9">
      <c r="B2" s="84" t="s">
        <v>34</v>
      </c>
      <c r="C2" s="85"/>
      <c r="D2" s="85"/>
      <c r="E2" s="86"/>
    </row>
    <row r="3" spans="1:9">
      <c r="B3" s="87"/>
      <c r="C3" s="88"/>
      <c r="D3" s="88"/>
      <c r="E3" s="89"/>
    </row>
    <row r="4" spans="1:9">
      <c r="B4" s="87"/>
      <c r="C4" s="88"/>
      <c r="D4" s="88"/>
      <c r="E4" s="89"/>
    </row>
    <row r="5" spans="1:9">
      <c r="B5" s="90"/>
      <c r="C5" s="91"/>
      <c r="D5" s="91"/>
      <c r="E5" s="92"/>
    </row>
    <row r="7" spans="1:9" ht="17" thickBot="1"/>
    <row r="8" spans="1:9">
      <c r="B8" s="27"/>
      <c r="C8" s="16"/>
      <c r="D8" s="16"/>
      <c r="E8" s="16"/>
      <c r="F8" s="16"/>
      <c r="G8" s="16"/>
      <c r="H8" s="16"/>
      <c r="I8" s="28"/>
    </row>
    <row r="9" spans="1:9" s="9" customFormat="1">
      <c r="B9" s="18"/>
      <c r="C9" s="12" t="s">
        <v>15</v>
      </c>
      <c r="D9" s="13" t="s">
        <v>4</v>
      </c>
      <c r="E9" s="11" t="s">
        <v>2</v>
      </c>
      <c r="F9" s="12"/>
      <c r="G9" s="12" t="s">
        <v>3</v>
      </c>
      <c r="H9" s="12" t="s">
        <v>0</v>
      </c>
      <c r="I9" s="58"/>
    </row>
    <row r="10" spans="1:9" s="9" customFormat="1">
      <c r="B10" s="19"/>
      <c r="D10" s="25"/>
      <c r="I10" s="10"/>
    </row>
    <row r="11" spans="1:9" s="9" customFormat="1" ht="17" thickBot="1">
      <c r="B11" s="19"/>
      <c r="C11" s="9" t="s">
        <v>32</v>
      </c>
      <c r="D11" s="25"/>
      <c r="I11" s="10"/>
    </row>
    <row r="12" spans="1:9" s="68" customFormat="1" ht="16" customHeight="1" thickBot="1">
      <c r="B12" s="69"/>
      <c r="C12" s="66" t="s">
        <v>68</v>
      </c>
      <c r="D12" s="67" t="s">
        <v>71</v>
      </c>
      <c r="E12" s="95">
        <f>Notes!D36</f>
        <v>4.9000000000000016E-3</v>
      </c>
      <c r="F12" s="66"/>
      <c r="G12" s="83" t="s">
        <v>69</v>
      </c>
      <c r="H12" s="80" t="s">
        <v>45</v>
      </c>
      <c r="I12" s="70"/>
    </row>
    <row r="13" spans="1:9" ht="17" thickBot="1">
      <c r="A13" s="61"/>
      <c r="B13" s="62"/>
      <c r="C13" s="63"/>
      <c r="D13" s="63"/>
      <c r="E13" s="63"/>
      <c r="F13" s="63"/>
      <c r="G13" s="63"/>
      <c r="H13" s="63"/>
      <c r="I13" s="64"/>
    </row>
    <row r="14" spans="1:9">
      <c r="A14" s="61"/>
      <c r="B14" s="61"/>
      <c r="C14" s="61"/>
      <c r="D14" s="61"/>
      <c r="E14" s="61"/>
      <c r="F14" s="61"/>
      <c r="G14" s="61"/>
      <c r="H14" s="61"/>
      <c r="I14" s="61"/>
    </row>
    <row r="15" spans="1:9">
      <c r="A15" s="61"/>
      <c r="B15" s="61"/>
      <c r="C15" s="61"/>
      <c r="D15" s="61"/>
      <c r="E15" s="61"/>
      <c r="F15" s="61"/>
      <c r="G15" s="61"/>
      <c r="H15" s="61"/>
      <c r="I15" s="61"/>
    </row>
    <row r="16" spans="1:9">
      <c r="A16" s="61"/>
      <c r="B16" s="61"/>
      <c r="C16" s="61"/>
      <c r="D16" s="61"/>
      <c r="E16" s="61"/>
      <c r="F16" s="61"/>
      <c r="G16" s="61"/>
      <c r="H16" s="61"/>
      <c r="I16" s="61"/>
    </row>
    <row r="17" spans="1:9">
      <c r="A17" s="61"/>
      <c r="B17" s="61"/>
      <c r="E17" s="61"/>
      <c r="F17" s="61"/>
      <c r="G17" s="61"/>
      <c r="H17" s="61"/>
      <c r="I17" s="61"/>
    </row>
    <row r="18" spans="1:9">
      <c r="A18" s="61"/>
      <c r="B18" s="61"/>
      <c r="C18" s="61"/>
      <c r="D18" s="61"/>
      <c r="E18" s="61"/>
      <c r="F18" s="61"/>
      <c r="G18" s="61"/>
      <c r="H18" s="61"/>
      <c r="I18" s="61"/>
    </row>
    <row r="19" spans="1:9">
      <c r="A19" s="61"/>
      <c r="B19" s="61"/>
      <c r="C19" s="61"/>
      <c r="D19" s="61"/>
      <c r="E19" s="61"/>
      <c r="F19" s="61"/>
      <c r="G19" s="61"/>
      <c r="H19" s="61"/>
      <c r="I19" s="61"/>
    </row>
    <row r="20" spans="1:9">
      <c r="A20" s="61"/>
      <c r="B20" s="61"/>
      <c r="C20" s="61"/>
      <c r="D20" s="61"/>
      <c r="E20" s="61"/>
      <c r="F20" s="61"/>
      <c r="G20" s="61"/>
      <c r="H20" s="61"/>
      <c r="I20" s="61"/>
    </row>
    <row r="21" spans="1:9">
      <c r="A21" s="61"/>
      <c r="B21" s="61"/>
      <c r="C21" s="61"/>
      <c r="D21" s="61"/>
      <c r="E21" s="61"/>
      <c r="F21" s="61"/>
      <c r="G21" s="61"/>
      <c r="H21" s="61"/>
      <c r="I21" s="61"/>
    </row>
    <row r="22" spans="1:9">
      <c r="A22" s="61"/>
    </row>
    <row r="23" spans="1:9">
      <c r="A23" s="61"/>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7"/>
  <sheetViews>
    <sheetView topLeftCell="F3" workbookViewId="0">
      <selection activeCell="J7" sqref="J7"/>
    </sheetView>
  </sheetViews>
  <sheetFormatPr baseColWidth="10" defaultColWidth="33.140625" defaultRowHeight="16"/>
  <cols>
    <col min="1" max="1" width="3.42578125" style="29" customWidth="1"/>
    <col min="2" max="2" width="16.28515625" style="29" customWidth="1"/>
    <col min="3" max="3" width="24.42578125" style="29" customWidth="1"/>
    <col min="4" max="4" width="9.140625" style="29" customWidth="1"/>
    <col min="5" max="5" width="6.140625" style="29" customWidth="1"/>
    <col min="6" max="6" width="16.28515625" style="29" customWidth="1"/>
    <col min="7" max="7" width="28" style="29" customWidth="1"/>
    <col min="8" max="8" width="12.42578125" style="33" customWidth="1"/>
    <col min="9" max="9" width="44.85546875" style="33" customWidth="1"/>
    <col min="10" max="10" width="98.42578125" style="29" customWidth="1"/>
    <col min="11" max="16384" width="33.140625" style="29"/>
  </cols>
  <sheetData>
    <row r="1" spans="2:10" ht="17" thickBot="1"/>
    <row r="2" spans="2:10">
      <c r="B2" s="30"/>
      <c r="C2" s="31"/>
      <c r="D2" s="31"/>
      <c r="E2" s="31"/>
      <c r="F2" s="31"/>
      <c r="G2" s="31"/>
      <c r="H2" s="34"/>
      <c r="I2" s="34"/>
      <c r="J2" s="31"/>
    </row>
    <row r="3" spans="2:10">
      <c r="B3" s="32"/>
      <c r="C3" s="9" t="s">
        <v>11</v>
      </c>
      <c r="D3" s="9"/>
      <c r="E3" s="9"/>
      <c r="F3" s="9"/>
      <c r="G3" s="9"/>
      <c r="H3" s="14"/>
      <c r="I3" s="14"/>
    </row>
    <row r="4" spans="2:10">
      <c r="B4" s="32"/>
    </row>
    <row r="5" spans="2:10">
      <c r="B5" s="35"/>
      <c r="C5" s="11" t="s">
        <v>12</v>
      </c>
      <c r="D5" s="11" t="s">
        <v>0</v>
      </c>
      <c r="E5" s="11" t="s">
        <v>8</v>
      </c>
      <c r="F5" s="11" t="s">
        <v>13</v>
      </c>
      <c r="G5" s="11" t="s">
        <v>35</v>
      </c>
      <c r="H5" s="15" t="s">
        <v>14</v>
      </c>
      <c r="I5" s="15" t="s">
        <v>33</v>
      </c>
      <c r="J5" s="11" t="s">
        <v>5</v>
      </c>
    </row>
    <row r="6" spans="2:10">
      <c r="C6" s="9"/>
      <c r="D6" s="9"/>
      <c r="E6" s="9"/>
      <c r="F6" s="9"/>
      <c r="G6" s="9"/>
      <c r="H6" s="14"/>
      <c r="I6" s="14"/>
      <c r="J6" s="9"/>
    </row>
    <row r="7" spans="2:10">
      <c r="C7" s="75" t="s">
        <v>41</v>
      </c>
      <c r="D7" s="75" t="s">
        <v>45</v>
      </c>
      <c r="E7" s="75" t="s">
        <v>42</v>
      </c>
      <c r="F7" s="77">
        <v>43800</v>
      </c>
      <c r="G7" s="29" t="s">
        <v>44</v>
      </c>
      <c r="H7" s="76" t="s">
        <v>46</v>
      </c>
      <c r="I7" s="33" t="s">
        <v>43</v>
      </c>
      <c r="J7" s="29" t="s">
        <v>47</v>
      </c>
    </row>
  </sheetData>
  <phoneticPr fontId="19"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N294"/>
  <sheetViews>
    <sheetView topLeftCell="A20" zoomScaleNormal="100" workbookViewId="0">
      <selection activeCell="D36" sqref="D36"/>
    </sheetView>
  </sheetViews>
  <sheetFormatPr baseColWidth="10" defaultColWidth="10.85546875" defaultRowHeight="16"/>
  <cols>
    <col min="1" max="2" width="3.42578125" style="36" customWidth="1"/>
    <col min="3" max="3" width="30.28515625" style="36" customWidth="1"/>
    <col min="4" max="4" width="10.7109375" style="36" customWidth="1"/>
    <col min="5" max="5" width="17" style="36" customWidth="1"/>
    <col min="6" max="6" width="6.140625" style="36" customWidth="1"/>
    <col min="7" max="13" width="10.85546875" style="36"/>
    <col min="14" max="14" width="15.7109375" style="36" customWidth="1"/>
    <col min="15" max="15" width="10.85546875" style="36"/>
    <col min="16" max="16" width="12.140625" style="36" customWidth="1"/>
    <col min="17" max="16384" width="10.85546875" style="36"/>
  </cols>
  <sheetData>
    <row r="1" spans="1:14" ht="17" thickBot="1"/>
    <row r="2" spans="1:14">
      <c r="B2" s="37"/>
      <c r="C2" s="38"/>
      <c r="D2" s="38"/>
      <c r="E2" s="38"/>
      <c r="F2" s="38"/>
      <c r="G2" s="38"/>
      <c r="H2" s="38"/>
      <c r="I2" s="38"/>
      <c r="J2" s="38"/>
      <c r="K2" s="38"/>
      <c r="L2" s="38"/>
      <c r="M2" s="38"/>
      <c r="N2" s="39"/>
    </row>
    <row r="3" spans="1:14" ht="17" customHeight="1">
      <c r="A3" s="40"/>
      <c r="B3" s="59"/>
      <c r="C3" s="42" t="s">
        <v>0</v>
      </c>
      <c r="D3" s="42"/>
      <c r="E3" s="42"/>
      <c r="F3" s="42"/>
      <c r="G3" s="42"/>
      <c r="H3" s="41"/>
      <c r="I3" s="41"/>
      <c r="J3" s="41"/>
      <c r="K3" s="41"/>
      <c r="L3" s="41"/>
      <c r="M3" s="41"/>
      <c r="N3" s="60"/>
    </row>
    <row r="4" spans="1:14" ht="17" customHeight="1">
      <c r="A4" s="40"/>
      <c r="B4" s="71"/>
      <c r="C4" s="40"/>
      <c r="D4" s="40"/>
      <c r="E4" s="40"/>
      <c r="F4" s="40"/>
      <c r="G4" s="40"/>
    </row>
    <row r="5" spans="1:14" ht="17" customHeight="1">
      <c r="A5" s="40"/>
      <c r="B5" s="71"/>
      <c r="C5" s="36" t="s">
        <v>45</v>
      </c>
    </row>
    <row r="6" spans="1:14" ht="17" customHeight="1">
      <c r="A6" s="40"/>
      <c r="B6" s="71"/>
      <c r="D6" s="72"/>
      <c r="F6" s="78"/>
    </row>
    <row r="7" spans="1:14" ht="17" customHeight="1">
      <c r="A7" s="40"/>
      <c r="B7" s="71"/>
      <c r="C7" s="36" t="s">
        <v>39</v>
      </c>
      <c r="D7" s="74">
        <v>8322</v>
      </c>
      <c r="E7" s="36" t="s">
        <v>49</v>
      </c>
    </row>
    <row r="8" spans="1:14" ht="17" customHeight="1">
      <c r="A8" s="40"/>
      <c r="B8" s="71"/>
      <c r="D8" s="72"/>
      <c r="F8" s="78"/>
    </row>
    <row r="9" spans="1:14" ht="17" customHeight="1">
      <c r="A9" s="40"/>
      <c r="B9" s="71"/>
      <c r="C9" s="36" t="s">
        <v>37</v>
      </c>
      <c r="D9" s="74">
        <v>10</v>
      </c>
      <c r="E9" s="36" t="s">
        <v>48</v>
      </c>
    </row>
    <row r="10" spans="1:14" ht="17" customHeight="1">
      <c r="A10" s="40"/>
      <c r="B10" s="71"/>
      <c r="D10" s="72">
        <f>D9*1000000000/(D7*3600)</f>
        <v>333.78728403962725</v>
      </c>
      <c r="E10" s="36" t="s">
        <v>50</v>
      </c>
      <c r="F10" s="78"/>
    </row>
    <row r="11" spans="1:14" ht="17" customHeight="1">
      <c r="A11" s="40"/>
      <c r="B11" s="71"/>
    </row>
    <row r="12" spans="1:14" ht="17" customHeight="1">
      <c r="A12" s="40"/>
      <c r="B12" s="71"/>
      <c r="C12" s="36" t="s">
        <v>36</v>
      </c>
      <c r="D12" s="79">
        <v>11</v>
      </c>
      <c r="E12" s="36" t="s">
        <v>51</v>
      </c>
      <c r="F12" s="78"/>
    </row>
    <row r="13" spans="1:14" ht="17" customHeight="1">
      <c r="A13" s="40"/>
      <c r="B13" s="71"/>
      <c r="D13" s="36">
        <f>D12*D9*1000000</f>
        <v>110000000</v>
      </c>
      <c r="E13" s="36" t="s">
        <v>52</v>
      </c>
    </row>
    <row r="14" spans="1:14" ht="17" customHeight="1">
      <c r="A14" s="40"/>
      <c r="B14" s="71"/>
      <c r="D14" s="72"/>
      <c r="F14" s="78"/>
    </row>
    <row r="15" spans="1:14" ht="17" customHeight="1">
      <c r="A15" s="40"/>
      <c r="B15" s="71"/>
      <c r="C15" s="36" t="s">
        <v>53</v>
      </c>
      <c r="D15" s="74">
        <v>0.44</v>
      </c>
      <c r="E15" s="36" t="s">
        <v>51</v>
      </c>
    </row>
    <row r="16" spans="1:14" ht="17" customHeight="1">
      <c r="A16" s="40"/>
      <c r="B16" s="71"/>
      <c r="D16" s="72">
        <f>D15*D9*1000000</f>
        <v>4400000</v>
      </c>
      <c r="E16" s="36" t="s">
        <v>54</v>
      </c>
      <c r="F16" s="78"/>
    </row>
    <row r="17" spans="1:6" ht="17" customHeight="1">
      <c r="A17" s="40"/>
      <c r="B17" s="71"/>
      <c r="D17" s="72"/>
      <c r="F17" s="78"/>
    </row>
    <row r="18" spans="1:6" ht="17" customHeight="1">
      <c r="A18" s="40"/>
      <c r="B18" s="71"/>
      <c r="C18" s="36" t="s">
        <v>40</v>
      </c>
      <c r="D18" s="79">
        <v>25</v>
      </c>
      <c r="E18" s="36" t="s">
        <v>1</v>
      </c>
      <c r="F18" s="78"/>
    </row>
    <row r="19" spans="1:6" ht="17" customHeight="1">
      <c r="A19" s="40"/>
      <c r="B19" s="71"/>
    </row>
    <row r="20" spans="1:6" ht="17" customHeight="1">
      <c r="A20" s="40"/>
      <c r="B20" s="71"/>
      <c r="C20" s="40" t="s">
        <v>59</v>
      </c>
      <c r="D20" s="72"/>
      <c r="F20" s="78"/>
    </row>
    <row r="21" spans="1:6" ht="17" customHeight="1">
      <c r="A21" s="40"/>
      <c r="B21" s="71"/>
      <c r="C21" s="36" t="s">
        <v>55</v>
      </c>
      <c r="D21" s="74">
        <v>1.22</v>
      </c>
      <c r="E21" s="36" t="s">
        <v>38</v>
      </c>
    </row>
    <row r="22" spans="1:6" ht="17" customHeight="1">
      <c r="A22" s="40"/>
      <c r="B22" s="71"/>
      <c r="C22" s="36" t="s">
        <v>56</v>
      </c>
      <c r="D22" s="79">
        <v>0.05</v>
      </c>
      <c r="E22" s="36" t="s">
        <v>38</v>
      </c>
      <c r="F22" s="78"/>
    </row>
    <row r="23" spans="1:6" ht="17" customHeight="1">
      <c r="A23" s="40"/>
      <c r="B23" s="71"/>
      <c r="C23" s="40" t="s">
        <v>60</v>
      </c>
    </row>
    <row r="24" spans="1:6" ht="17" customHeight="1">
      <c r="A24" s="40"/>
      <c r="B24" s="71"/>
      <c r="C24" s="36" t="s">
        <v>57</v>
      </c>
      <c r="D24" s="79">
        <v>1</v>
      </c>
      <c r="E24" s="36" t="s">
        <v>38</v>
      </c>
      <c r="F24" s="78"/>
    </row>
    <row r="25" spans="1:6" ht="17" customHeight="1">
      <c r="A25" s="40"/>
      <c r="B25" s="71"/>
      <c r="C25" s="36" t="s">
        <v>58</v>
      </c>
      <c r="D25" s="74">
        <v>0.09</v>
      </c>
      <c r="E25" s="36" t="s">
        <v>38</v>
      </c>
    </row>
    <row r="26" spans="1:6" ht="17" customHeight="1">
      <c r="A26" s="40"/>
      <c r="B26" s="71"/>
      <c r="C26" s="36" t="s">
        <v>63</v>
      </c>
    </row>
    <row r="27" spans="1:6" ht="17" customHeight="1">
      <c r="A27" s="40"/>
      <c r="B27" s="71"/>
      <c r="C27" s="36" t="s">
        <v>64</v>
      </c>
      <c r="D27" s="74">
        <v>0</v>
      </c>
      <c r="E27" s="36" t="s">
        <v>38</v>
      </c>
    </row>
    <row r="28" spans="1:6" ht="17" customHeight="1">
      <c r="A28" s="40"/>
      <c r="B28" s="71"/>
      <c r="D28" s="72"/>
      <c r="F28" s="78"/>
    </row>
    <row r="29" spans="1:6" ht="17" customHeight="1">
      <c r="A29" s="40"/>
      <c r="B29" s="71"/>
      <c r="C29" s="40" t="s">
        <v>65</v>
      </c>
    </row>
    <row r="30" spans="1:6" ht="17" customHeight="1">
      <c r="A30" s="40"/>
      <c r="B30" s="71"/>
      <c r="C30" s="36" t="s">
        <v>66</v>
      </c>
      <c r="D30" s="81">
        <v>7.3999999999999996E-2</v>
      </c>
      <c r="E30" s="36" t="s">
        <v>61</v>
      </c>
      <c r="F30" s="78"/>
    </row>
    <row r="31" spans="1:6" ht="17" customHeight="1">
      <c r="A31" s="40"/>
      <c r="B31" s="71"/>
      <c r="D31" s="73">
        <f>D30*1000000000/1000000000</f>
        <v>7.3999999999999996E-2</v>
      </c>
      <c r="E31" s="36" t="s">
        <v>62</v>
      </c>
      <c r="F31" s="78"/>
    </row>
    <row r="32" spans="1:6" ht="17" customHeight="1">
      <c r="A32" s="40"/>
      <c r="B32" s="71"/>
      <c r="D32" s="72"/>
      <c r="F32" s="78"/>
    </row>
    <row r="33" spans="1:6" ht="73" customHeight="1">
      <c r="A33" s="40"/>
      <c r="B33" s="71"/>
      <c r="C33" s="82" t="s">
        <v>67</v>
      </c>
    </row>
    <row r="34" spans="1:6" ht="17" customHeight="1">
      <c r="B34" s="71"/>
      <c r="C34" s="93" t="s">
        <v>73</v>
      </c>
      <c r="D34" s="72"/>
      <c r="F34" s="78"/>
    </row>
    <row r="35" spans="1:6" ht="17" customHeight="1">
      <c r="A35" s="40"/>
      <c r="B35" s="71"/>
      <c r="C35" s="36" t="s">
        <v>74</v>
      </c>
      <c r="D35" s="36">
        <v>6.9099999999999995E-2</v>
      </c>
      <c r="E35" s="36" t="s">
        <v>75</v>
      </c>
      <c r="F35" s="36" t="s">
        <v>76</v>
      </c>
    </row>
    <row r="36" spans="1:6" ht="17" customHeight="1">
      <c r="A36" s="40"/>
      <c r="B36" s="71"/>
      <c r="C36" s="36" t="s">
        <v>77</v>
      </c>
      <c r="D36" s="94">
        <f>D31-D35</f>
        <v>4.9000000000000016E-3</v>
      </c>
      <c r="E36" s="36" t="s">
        <v>75</v>
      </c>
      <c r="F36" s="78"/>
    </row>
    <row r="37" spans="1:6" ht="17" customHeight="1">
      <c r="A37" s="40"/>
      <c r="B37" s="71"/>
    </row>
    <row r="38" spans="1:6" ht="17" customHeight="1">
      <c r="A38" s="40"/>
      <c r="B38" s="71"/>
      <c r="C38" s="36" t="s">
        <v>78</v>
      </c>
      <c r="D38" s="72"/>
      <c r="F38" s="78"/>
    </row>
    <row r="39" spans="1:6" ht="17" customHeight="1">
      <c r="A39" s="40"/>
      <c r="B39" s="71"/>
    </row>
    <row r="40" spans="1:6" ht="17" customHeight="1">
      <c r="A40" s="40"/>
      <c r="B40" s="71"/>
      <c r="D40" s="72"/>
      <c r="F40" s="78"/>
    </row>
    <row r="41" spans="1:6" ht="17" customHeight="1">
      <c r="A41" s="40"/>
      <c r="B41" s="71"/>
    </row>
    <row r="42" spans="1:6" ht="17" customHeight="1">
      <c r="A42" s="40"/>
      <c r="B42" s="71"/>
      <c r="D42" s="72"/>
      <c r="F42" s="78"/>
    </row>
    <row r="43" spans="1:6" ht="17" customHeight="1">
      <c r="A43" s="40"/>
      <c r="B43" s="71"/>
    </row>
    <row r="44" spans="1:6" ht="17" customHeight="1">
      <c r="A44" s="40"/>
      <c r="B44" s="71"/>
      <c r="D44" s="72"/>
      <c r="F44" s="78"/>
    </row>
    <row r="45" spans="1:6" ht="17" customHeight="1">
      <c r="A45" s="40"/>
      <c r="B45" s="71"/>
    </row>
    <row r="46" spans="1:6" ht="17" customHeight="1">
      <c r="A46" s="40"/>
      <c r="B46" s="71"/>
      <c r="D46" s="72"/>
      <c r="F46" s="78"/>
    </row>
    <row r="47" spans="1:6" ht="17" customHeight="1">
      <c r="A47" s="40"/>
      <c r="B47" s="71"/>
    </row>
    <row r="48" spans="1:6" ht="17" customHeight="1">
      <c r="A48" s="40"/>
      <c r="B48" s="71"/>
      <c r="D48" s="72"/>
      <c r="F48" s="78"/>
    </row>
    <row r="49" spans="1:6" ht="17" customHeight="1">
      <c r="A49" s="40"/>
      <c r="B49" s="71"/>
    </row>
    <row r="50" spans="1:6" ht="17" customHeight="1">
      <c r="A50" s="40"/>
      <c r="B50" s="71"/>
      <c r="D50" s="72"/>
      <c r="F50" s="78"/>
    </row>
    <row r="51" spans="1:6" ht="17" customHeight="1">
      <c r="A51" s="40"/>
      <c r="B51" s="71"/>
    </row>
    <row r="52" spans="1:6" ht="17" customHeight="1">
      <c r="A52" s="40"/>
      <c r="B52" s="71"/>
      <c r="D52" s="72"/>
      <c r="F52" s="78"/>
    </row>
    <row r="53" spans="1:6" ht="17" customHeight="1">
      <c r="A53" s="40"/>
      <c r="B53" s="71"/>
    </row>
    <row r="54" spans="1:6" ht="17" customHeight="1">
      <c r="A54" s="40"/>
      <c r="B54" s="71"/>
      <c r="D54" s="72"/>
      <c r="F54" s="78"/>
    </row>
    <row r="55" spans="1:6" ht="17" customHeight="1">
      <c r="A55" s="40"/>
      <c r="B55" s="71"/>
    </row>
    <row r="56" spans="1:6" ht="17" customHeight="1">
      <c r="A56" s="40"/>
      <c r="B56" s="71"/>
      <c r="D56" s="72"/>
      <c r="F56" s="78"/>
    </row>
    <row r="57" spans="1:6" ht="17" customHeight="1">
      <c r="A57" s="40"/>
      <c r="B57" s="71"/>
    </row>
    <row r="58" spans="1:6" ht="17" customHeight="1">
      <c r="A58" s="40"/>
      <c r="B58" s="71"/>
      <c r="D58" s="72"/>
      <c r="F58" s="78"/>
    </row>
    <row r="59" spans="1:6" ht="17" customHeight="1">
      <c r="A59" s="40"/>
      <c r="B59" s="71"/>
    </row>
    <row r="60" spans="1:6" ht="17" customHeight="1">
      <c r="A60" s="40"/>
      <c r="B60" s="71"/>
      <c r="D60" s="72"/>
      <c r="F60" s="78"/>
    </row>
    <row r="61" spans="1:6" ht="17" customHeight="1">
      <c r="A61" s="40"/>
      <c r="B61" s="71"/>
    </row>
    <row r="62" spans="1:6" ht="17" customHeight="1">
      <c r="A62" s="40"/>
      <c r="B62" s="71"/>
      <c r="D62" s="72"/>
      <c r="F62" s="78"/>
    </row>
    <row r="63" spans="1:6" ht="17" customHeight="1">
      <c r="A63" s="40"/>
      <c r="B63" s="71"/>
    </row>
    <row r="64" spans="1:6" ht="17" customHeight="1">
      <c r="A64" s="40"/>
      <c r="B64" s="71"/>
      <c r="D64" s="72"/>
      <c r="F64" s="78"/>
    </row>
    <row r="65" spans="1:6" ht="17" customHeight="1">
      <c r="A65" s="40"/>
      <c r="B65" s="71"/>
    </row>
    <row r="66" spans="1:6" ht="17" customHeight="1">
      <c r="A66" s="40"/>
      <c r="B66" s="71"/>
      <c r="D66" s="72"/>
      <c r="F66" s="78"/>
    </row>
    <row r="67" spans="1:6">
      <c r="B67" s="71"/>
    </row>
    <row r="68" spans="1:6">
      <c r="B68" s="71"/>
      <c r="D68" s="72"/>
      <c r="F68" s="78"/>
    </row>
    <row r="69" spans="1:6" ht="17" customHeight="1">
      <c r="A69" s="40"/>
      <c r="B69" s="71"/>
    </row>
    <row r="70" spans="1:6" ht="17" customHeight="1">
      <c r="A70" s="40"/>
      <c r="B70" s="71"/>
      <c r="D70" s="72"/>
      <c r="F70" s="78"/>
    </row>
    <row r="71" spans="1:6" ht="17" customHeight="1">
      <c r="A71" s="40"/>
      <c r="B71" s="71"/>
    </row>
    <row r="72" spans="1:6" ht="17" customHeight="1">
      <c r="A72" s="40"/>
      <c r="B72" s="71"/>
      <c r="D72" s="72"/>
      <c r="F72" s="78"/>
    </row>
    <row r="73" spans="1:6" ht="17" customHeight="1">
      <c r="A73" s="40"/>
      <c r="B73" s="71"/>
    </row>
    <row r="74" spans="1:6" ht="17" customHeight="1">
      <c r="A74" s="40"/>
      <c r="B74" s="71"/>
      <c r="D74" s="72"/>
      <c r="F74" s="78"/>
    </row>
    <row r="75" spans="1:6" ht="17" customHeight="1">
      <c r="A75" s="40"/>
      <c r="B75" s="71"/>
    </row>
    <row r="76" spans="1:6" ht="17" customHeight="1">
      <c r="A76" s="40"/>
      <c r="B76" s="71"/>
      <c r="D76" s="72"/>
      <c r="F76" s="78"/>
    </row>
    <row r="77" spans="1:6" ht="17" customHeight="1">
      <c r="A77" s="40"/>
      <c r="B77" s="71"/>
    </row>
    <row r="78" spans="1:6" ht="17" customHeight="1">
      <c r="A78" s="40"/>
      <c r="B78" s="71"/>
      <c r="D78" s="72"/>
      <c r="F78" s="78"/>
    </row>
    <row r="79" spans="1:6" ht="17" customHeight="1">
      <c r="A79" s="40"/>
      <c r="B79" s="71"/>
    </row>
    <row r="80" spans="1:6" ht="17" customHeight="1">
      <c r="A80" s="40"/>
      <c r="B80" s="71"/>
      <c r="D80" s="72"/>
      <c r="F80" s="78"/>
    </row>
    <row r="81" spans="1:6" ht="17" customHeight="1">
      <c r="A81" s="40"/>
      <c r="B81" s="71"/>
    </row>
    <row r="82" spans="1:6" ht="17" customHeight="1">
      <c r="A82" s="40"/>
      <c r="B82" s="71"/>
      <c r="D82" s="72"/>
      <c r="F82" s="78"/>
    </row>
    <row r="83" spans="1:6" ht="17" customHeight="1">
      <c r="A83" s="40"/>
      <c r="B83" s="71"/>
    </row>
    <row r="84" spans="1:6" ht="17" customHeight="1">
      <c r="A84" s="40"/>
      <c r="B84" s="71"/>
      <c r="D84" s="72"/>
      <c r="F84" s="78"/>
    </row>
    <row r="85" spans="1:6" ht="17" customHeight="1">
      <c r="A85" s="40"/>
      <c r="B85" s="71"/>
    </row>
    <row r="86" spans="1:6" ht="17" customHeight="1">
      <c r="A86" s="40"/>
      <c r="B86" s="71"/>
      <c r="D86" s="72"/>
      <c r="F86" s="78"/>
    </row>
    <row r="87" spans="1:6" ht="17" customHeight="1">
      <c r="A87" s="40"/>
      <c r="B87" s="71"/>
    </row>
    <row r="88" spans="1:6" ht="17" customHeight="1">
      <c r="A88" s="40"/>
      <c r="B88" s="71"/>
      <c r="D88" s="72"/>
      <c r="F88" s="78"/>
    </row>
    <row r="89" spans="1:6" ht="17" customHeight="1">
      <c r="A89" s="40"/>
      <c r="B89" s="71"/>
    </row>
    <row r="90" spans="1:6" ht="17" customHeight="1">
      <c r="A90" s="40"/>
      <c r="B90" s="71"/>
      <c r="D90" s="72"/>
      <c r="F90" s="78"/>
    </row>
    <row r="91" spans="1:6" ht="17" customHeight="1">
      <c r="A91" s="40"/>
      <c r="B91" s="71"/>
    </row>
    <row r="92" spans="1:6" ht="17" customHeight="1">
      <c r="A92" s="40"/>
      <c r="B92" s="71"/>
      <c r="D92" s="72"/>
      <c r="F92" s="78"/>
    </row>
    <row r="93" spans="1:6" ht="17" customHeight="1">
      <c r="A93" s="40"/>
      <c r="B93" s="71"/>
    </row>
    <row r="94" spans="1:6" ht="18" customHeight="1">
      <c r="A94" s="40"/>
      <c r="B94" s="71"/>
      <c r="D94" s="72"/>
      <c r="F94" s="78"/>
    </row>
    <row r="95" spans="1:6">
      <c r="A95" s="40"/>
      <c r="B95" s="71"/>
    </row>
    <row r="96" spans="1:6" ht="17" customHeight="1">
      <c r="B96" s="71"/>
      <c r="D96" s="72"/>
      <c r="F96" s="78"/>
    </row>
    <row r="97" spans="1:6" ht="17" customHeight="1">
      <c r="A97" s="40"/>
      <c r="B97" s="71"/>
    </row>
    <row r="98" spans="1:6">
      <c r="A98" s="40"/>
      <c r="B98" s="71"/>
      <c r="D98" s="72"/>
      <c r="F98" s="78"/>
    </row>
    <row r="99" spans="1:6">
      <c r="A99" s="40"/>
      <c r="B99" s="71"/>
    </row>
    <row r="100" spans="1:6">
      <c r="B100" s="71"/>
      <c r="D100" s="72"/>
      <c r="F100" s="78"/>
    </row>
    <row r="101" spans="1:6">
      <c r="B101" s="71"/>
    </row>
    <row r="102" spans="1:6">
      <c r="B102" s="71"/>
      <c r="D102" s="72"/>
      <c r="F102" s="78"/>
    </row>
    <row r="103" spans="1:6">
      <c r="B103" s="71"/>
    </row>
    <row r="104" spans="1:6">
      <c r="B104" s="71"/>
      <c r="D104" s="72"/>
      <c r="F104" s="78"/>
    </row>
    <row r="105" spans="1:6">
      <c r="B105" s="71"/>
    </row>
    <row r="106" spans="1:6">
      <c r="A106" s="40"/>
      <c r="B106" s="71"/>
      <c r="D106" s="72"/>
      <c r="F106" s="78"/>
    </row>
    <row r="107" spans="1:6">
      <c r="A107" s="40"/>
      <c r="B107" s="71"/>
    </row>
    <row r="108" spans="1:6">
      <c r="B108" s="71"/>
      <c r="D108" s="72"/>
      <c r="F108" s="78"/>
    </row>
    <row r="109" spans="1:6">
      <c r="B109" s="71"/>
    </row>
    <row r="110" spans="1:6">
      <c r="B110" s="71"/>
      <c r="D110" s="72"/>
      <c r="F110" s="78"/>
    </row>
    <row r="111" spans="1:6">
      <c r="B111" s="71"/>
    </row>
    <row r="112" spans="1:6">
      <c r="B112" s="71"/>
      <c r="D112" s="72"/>
      <c r="F112" s="78"/>
    </row>
    <row r="113" spans="1:6">
      <c r="B113" s="71"/>
    </row>
    <row r="114" spans="1:6">
      <c r="B114" s="71"/>
      <c r="D114" s="72"/>
      <c r="F114" s="78"/>
    </row>
    <row r="115" spans="1:6">
      <c r="B115" s="71"/>
    </row>
    <row r="116" spans="1:6">
      <c r="A116" s="40"/>
      <c r="B116" s="71"/>
      <c r="D116" s="72"/>
      <c r="F116" s="78"/>
    </row>
    <row r="117" spans="1:6">
      <c r="A117" s="40"/>
      <c r="B117" s="71"/>
    </row>
    <row r="118" spans="1:6">
      <c r="B118" s="71"/>
      <c r="D118" s="72"/>
      <c r="F118" s="78"/>
    </row>
    <row r="119" spans="1:6">
      <c r="B119" s="71"/>
    </row>
    <row r="120" spans="1:6">
      <c r="B120" s="71"/>
      <c r="D120" s="72"/>
      <c r="F120" s="78"/>
    </row>
    <row r="121" spans="1:6">
      <c r="B121" s="71"/>
    </row>
    <row r="122" spans="1:6">
      <c r="B122" s="71"/>
      <c r="D122" s="72"/>
      <c r="F122" s="78"/>
    </row>
    <row r="123" spans="1:6">
      <c r="B123" s="71"/>
    </row>
    <row r="124" spans="1:6">
      <c r="B124" s="71"/>
      <c r="D124" s="72"/>
      <c r="F124" s="78"/>
    </row>
    <row r="125" spans="1:6">
      <c r="B125" s="71"/>
    </row>
    <row r="126" spans="1:6">
      <c r="B126" s="71"/>
      <c r="D126" s="72"/>
      <c r="F126" s="78"/>
    </row>
    <row r="127" spans="1:6">
      <c r="B127" s="71"/>
    </row>
    <row r="128" spans="1:6">
      <c r="B128" s="71"/>
      <c r="D128" s="72"/>
      <c r="F128" s="78"/>
    </row>
    <row r="129" spans="2:6">
      <c r="B129" s="71"/>
    </row>
    <row r="130" spans="2:6">
      <c r="B130" s="71"/>
      <c r="D130" s="72"/>
      <c r="F130" s="78"/>
    </row>
    <row r="131" spans="2:6">
      <c r="B131" s="71"/>
    </row>
    <row r="132" spans="2:6">
      <c r="B132" s="71"/>
      <c r="D132" s="72"/>
      <c r="F132" s="78"/>
    </row>
    <row r="133" spans="2:6">
      <c r="B133" s="71"/>
    </row>
    <row r="134" spans="2:6">
      <c r="B134" s="71"/>
      <c r="D134" s="72"/>
      <c r="F134" s="78"/>
    </row>
    <row r="135" spans="2:6">
      <c r="B135" s="71"/>
    </row>
    <row r="136" spans="2:6">
      <c r="B136" s="71"/>
      <c r="D136" s="72"/>
      <c r="F136" s="78"/>
    </row>
    <row r="137" spans="2:6">
      <c r="B137" s="71"/>
    </row>
    <row r="138" spans="2:6">
      <c r="B138" s="71"/>
      <c r="D138" s="72"/>
      <c r="F138" s="78"/>
    </row>
    <row r="139" spans="2:6">
      <c r="B139" s="71"/>
    </row>
    <row r="140" spans="2:6">
      <c r="B140" s="71"/>
      <c r="D140" s="72"/>
      <c r="F140" s="78"/>
    </row>
    <row r="141" spans="2:6">
      <c r="B141" s="71"/>
    </row>
    <row r="142" spans="2:6">
      <c r="B142" s="71"/>
      <c r="D142" s="72"/>
      <c r="F142" s="78"/>
    </row>
    <row r="143" spans="2:6">
      <c r="B143" s="71"/>
    </row>
    <row r="144" spans="2:6">
      <c r="B144" s="71"/>
      <c r="D144" s="72"/>
      <c r="F144" s="78"/>
    </row>
    <row r="145" spans="2:6">
      <c r="B145" s="71"/>
    </row>
    <row r="146" spans="2:6">
      <c r="B146" s="71"/>
      <c r="D146" s="72"/>
      <c r="F146" s="78"/>
    </row>
    <row r="147" spans="2:6">
      <c r="B147" s="71"/>
    </row>
    <row r="148" spans="2:6">
      <c r="B148" s="71"/>
      <c r="D148" s="72"/>
      <c r="F148" s="78"/>
    </row>
    <row r="149" spans="2:6">
      <c r="B149" s="71"/>
    </row>
    <row r="150" spans="2:6">
      <c r="B150" s="71"/>
      <c r="D150" s="72"/>
      <c r="F150" s="78"/>
    </row>
    <row r="151" spans="2:6">
      <c r="B151" s="71"/>
    </row>
    <row r="152" spans="2:6">
      <c r="B152" s="71"/>
      <c r="D152" s="72"/>
      <c r="F152" s="78"/>
    </row>
    <row r="153" spans="2:6">
      <c r="B153" s="71"/>
    </row>
    <row r="154" spans="2:6">
      <c r="B154" s="71"/>
      <c r="D154" s="72"/>
      <c r="F154" s="78"/>
    </row>
    <row r="155" spans="2:6">
      <c r="B155" s="71"/>
    </row>
    <row r="156" spans="2:6">
      <c r="B156" s="71"/>
      <c r="D156" s="72"/>
      <c r="F156" s="78"/>
    </row>
    <row r="157" spans="2:6">
      <c r="B157" s="71"/>
    </row>
    <row r="158" spans="2:6">
      <c r="B158" s="71"/>
      <c r="D158" s="72"/>
      <c r="F158" s="78"/>
    </row>
    <row r="159" spans="2:6">
      <c r="B159" s="71"/>
    </row>
    <row r="160" spans="2:6">
      <c r="B160" s="71"/>
      <c r="D160" s="72"/>
      <c r="F160" s="78"/>
    </row>
    <row r="161" spans="2:6">
      <c r="B161" s="71"/>
    </row>
    <row r="162" spans="2:6">
      <c r="B162" s="71"/>
      <c r="D162" s="72"/>
      <c r="F162" s="78"/>
    </row>
    <row r="163" spans="2:6">
      <c r="B163" s="71"/>
    </row>
    <row r="164" spans="2:6">
      <c r="B164" s="71"/>
      <c r="D164" s="72"/>
      <c r="F164" s="78"/>
    </row>
    <row r="165" spans="2:6">
      <c r="B165" s="71"/>
    </row>
    <row r="166" spans="2:6">
      <c r="B166" s="71"/>
      <c r="D166" s="72"/>
      <c r="F166" s="78"/>
    </row>
    <row r="167" spans="2:6">
      <c r="B167" s="71"/>
    </row>
    <row r="168" spans="2:6">
      <c r="B168" s="71"/>
      <c r="D168" s="72"/>
      <c r="F168" s="78"/>
    </row>
    <row r="169" spans="2:6">
      <c r="B169" s="71"/>
    </row>
    <row r="170" spans="2:6">
      <c r="B170" s="71"/>
      <c r="D170" s="72"/>
      <c r="F170" s="78"/>
    </row>
    <row r="171" spans="2:6">
      <c r="B171" s="71"/>
    </row>
    <row r="172" spans="2:6">
      <c r="B172" s="71"/>
      <c r="D172" s="72"/>
      <c r="F172" s="78"/>
    </row>
    <row r="173" spans="2:6">
      <c r="B173" s="71"/>
    </row>
    <row r="174" spans="2:6">
      <c r="B174" s="71"/>
      <c r="D174" s="72"/>
      <c r="F174" s="78"/>
    </row>
    <row r="175" spans="2:6">
      <c r="B175" s="71"/>
    </row>
    <row r="176" spans="2:6">
      <c r="B176" s="71"/>
      <c r="D176" s="72"/>
      <c r="F176" s="78"/>
    </row>
    <row r="177" spans="2:6">
      <c r="B177" s="71"/>
    </row>
    <row r="178" spans="2:6">
      <c r="B178" s="71"/>
      <c r="D178" s="72"/>
      <c r="F178" s="78"/>
    </row>
    <row r="179" spans="2:6">
      <c r="B179" s="71"/>
    </row>
    <row r="180" spans="2:6">
      <c r="B180" s="71"/>
      <c r="D180" s="72"/>
      <c r="F180" s="78"/>
    </row>
    <row r="181" spans="2:6">
      <c r="B181" s="71"/>
    </row>
    <row r="182" spans="2:6">
      <c r="B182" s="71"/>
      <c r="D182" s="72"/>
      <c r="F182" s="78"/>
    </row>
    <row r="183" spans="2:6">
      <c r="B183" s="71"/>
    </row>
    <row r="184" spans="2:6">
      <c r="B184" s="71"/>
      <c r="D184" s="72"/>
      <c r="F184" s="78"/>
    </row>
    <row r="185" spans="2:6">
      <c r="B185" s="71"/>
    </row>
    <row r="186" spans="2:6">
      <c r="B186" s="71"/>
      <c r="D186" s="72"/>
      <c r="F186" s="78"/>
    </row>
    <row r="187" spans="2:6">
      <c r="B187" s="71"/>
    </row>
    <row r="188" spans="2:6">
      <c r="B188" s="71"/>
      <c r="D188" s="72"/>
      <c r="F188" s="78"/>
    </row>
    <row r="189" spans="2:6">
      <c r="B189" s="71"/>
    </row>
    <row r="190" spans="2:6">
      <c r="B190" s="71"/>
      <c r="D190" s="72"/>
      <c r="F190" s="78"/>
    </row>
    <row r="191" spans="2:6">
      <c r="B191" s="71"/>
    </row>
    <row r="192" spans="2:6">
      <c r="B192" s="71"/>
      <c r="D192" s="72"/>
      <c r="F192" s="78"/>
    </row>
    <row r="193" spans="2:6">
      <c r="B193" s="71"/>
    </row>
    <row r="194" spans="2:6">
      <c r="B194" s="71"/>
      <c r="D194" s="72"/>
      <c r="F194" s="78"/>
    </row>
    <row r="195" spans="2:6">
      <c r="B195" s="71"/>
    </row>
    <row r="196" spans="2:6">
      <c r="B196" s="71"/>
      <c r="D196" s="72"/>
      <c r="F196" s="78"/>
    </row>
    <row r="197" spans="2:6">
      <c r="B197" s="71"/>
    </row>
    <row r="198" spans="2:6">
      <c r="B198" s="71"/>
      <c r="D198" s="72"/>
      <c r="F198" s="78"/>
    </row>
    <row r="199" spans="2:6">
      <c r="B199" s="71"/>
    </row>
    <row r="200" spans="2:6">
      <c r="B200" s="71"/>
      <c r="D200" s="72"/>
      <c r="F200" s="78"/>
    </row>
    <row r="201" spans="2:6">
      <c r="B201" s="71"/>
    </row>
    <row r="202" spans="2:6">
      <c r="B202" s="71"/>
      <c r="D202" s="72"/>
      <c r="F202" s="78"/>
    </row>
    <row r="203" spans="2:6">
      <c r="B203" s="71"/>
    </row>
    <row r="204" spans="2:6">
      <c r="B204" s="71"/>
      <c r="D204" s="72"/>
      <c r="F204" s="78"/>
    </row>
    <row r="205" spans="2:6">
      <c r="B205" s="71"/>
    </row>
    <row r="206" spans="2:6">
      <c r="B206" s="71"/>
      <c r="D206" s="72"/>
      <c r="F206" s="78"/>
    </row>
    <row r="207" spans="2:6">
      <c r="B207" s="71"/>
    </row>
    <row r="208" spans="2:6">
      <c r="B208" s="71"/>
      <c r="D208" s="72"/>
      <c r="F208" s="78"/>
    </row>
    <row r="209" spans="2:6">
      <c r="B209" s="71"/>
    </row>
    <row r="210" spans="2:6">
      <c r="B210" s="71"/>
      <c r="D210" s="72"/>
      <c r="F210" s="78"/>
    </row>
    <row r="211" spans="2:6">
      <c r="B211" s="71"/>
    </row>
    <row r="212" spans="2:6">
      <c r="B212" s="71"/>
      <c r="D212" s="72"/>
      <c r="F212" s="78"/>
    </row>
    <row r="213" spans="2:6">
      <c r="B213" s="71"/>
    </row>
    <row r="214" spans="2:6">
      <c r="B214" s="71"/>
      <c r="D214" s="72"/>
      <c r="F214" s="78"/>
    </row>
    <row r="215" spans="2:6">
      <c r="B215" s="71"/>
    </row>
    <row r="216" spans="2:6">
      <c r="B216" s="71"/>
      <c r="D216" s="72"/>
      <c r="F216" s="78"/>
    </row>
    <row r="217" spans="2:6">
      <c r="B217" s="71"/>
    </row>
    <row r="218" spans="2:6">
      <c r="B218" s="71"/>
      <c r="D218" s="72"/>
      <c r="F218" s="78"/>
    </row>
    <row r="219" spans="2:6">
      <c r="B219" s="71"/>
    </row>
    <row r="220" spans="2:6">
      <c r="B220" s="71"/>
      <c r="D220" s="72"/>
      <c r="F220" s="78"/>
    </row>
    <row r="221" spans="2:6">
      <c r="B221" s="71"/>
    </row>
    <row r="222" spans="2:6">
      <c r="B222" s="71"/>
      <c r="D222" s="72"/>
      <c r="F222" s="78"/>
    </row>
    <row r="223" spans="2:6">
      <c r="B223" s="71"/>
    </row>
    <row r="224" spans="2:6">
      <c r="B224" s="71"/>
      <c r="D224" s="72"/>
      <c r="F224" s="78"/>
    </row>
    <row r="225" spans="1:6">
      <c r="B225" s="71"/>
    </row>
    <row r="226" spans="1:6">
      <c r="B226" s="71"/>
      <c r="D226" s="72"/>
      <c r="F226" s="78"/>
    </row>
    <row r="227" spans="1:6">
      <c r="B227" s="71"/>
    </row>
    <row r="228" spans="1:6">
      <c r="A228" s="65"/>
      <c r="B228" s="71"/>
      <c r="D228" s="72"/>
      <c r="F228" s="78"/>
    </row>
    <row r="229" spans="1:6">
      <c r="A229" s="65"/>
      <c r="B229" s="71"/>
    </row>
    <row r="230" spans="1:6">
      <c r="A230" s="65"/>
      <c r="B230" s="71"/>
      <c r="D230" s="72"/>
      <c r="F230" s="78"/>
    </row>
    <row r="231" spans="1:6">
      <c r="A231" s="65"/>
      <c r="B231" s="71"/>
    </row>
    <row r="232" spans="1:6">
      <c r="A232" s="65"/>
      <c r="B232" s="71"/>
      <c r="D232" s="72"/>
      <c r="F232" s="78"/>
    </row>
    <row r="233" spans="1:6">
      <c r="A233" s="65"/>
      <c r="B233" s="71"/>
    </row>
    <row r="234" spans="1:6">
      <c r="A234" s="65"/>
      <c r="B234" s="71"/>
      <c r="D234" s="72"/>
      <c r="F234" s="78"/>
    </row>
    <row r="235" spans="1:6">
      <c r="A235" s="65"/>
      <c r="B235" s="71"/>
    </row>
    <row r="236" spans="1:6">
      <c r="A236" s="65"/>
      <c r="B236" s="71"/>
      <c r="D236" s="72"/>
      <c r="F236" s="78"/>
    </row>
    <row r="237" spans="1:6">
      <c r="A237" s="65"/>
      <c r="B237" s="71"/>
    </row>
    <row r="238" spans="1:6">
      <c r="A238" s="65"/>
      <c r="B238" s="71"/>
      <c r="D238" s="72"/>
      <c r="F238" s="78"/>
    </row>
    <row r="239" spans="1:6">
      <c r="A239" s="65"/>
      <c r="B239" s="71"/>
    </row>
    <row r="240" spans="1:6">
      <c r="A240" s="65"/>
      <c r="B240" s="71"/>
      <c r="D240" s="72"/>
      <c r="F240" s="78"/>
    </row>
    <row r="241" spans="1:6">
      <c r="A241" s="65"/>
      <c r="B241" s="71"/>
    </row>
    <row r="242" spans="1:6">
      <c r="A242" s="65"/>
      <c r="B242" s="71"/>
      <c r="D242" s="72"/>
      <c r="F242" s="78"/>
    </row>
    <row r="243" spans="1:6">
      <c r="A243" s="65"/>
      <c r="B243" s="71"/>
    </row>
    <row r="244" spans="1:6">
      <c r="A244" s="65"/>
      <c r="B244" s="71"/>
      <c r="D244" s="72"/>
      <c r="F244" s="78"/>
    </row>
    <row r="245" spans="1:6">
      <c r="A245" s="65"/>
      <c r="B245" s="71"/>
    </row>
    <row r="246" spans="1:6">
      <c r="A246" s="65"/>
      <c r="B246" s="71"/>
      <c r="D246" s="72"/>
      <c r="F246" s="78"/>
    </row>
    <row r="247" spans="1:6">
      <c r="A247" s="65"/>
      <c r="B247" s="71"/>
    </row>
    <row r="248" spans="1:6">
      <c r="A248" s="65"/>
      <c r="B248" s="71"/>
      <c r="D248" s="72"/>
      <c r="F248" s="78"/>
    </row>
    <row r="249" spans="1:6">
      <c r="A249" s="65"/>
      <c r="B249" s="71"/>
    </row>
    <row r="250" spans="1:6">
      <c r="A250" s="65"/>
      <c r="B250" s="71"/>
      <c r="D250" s="72"/>
      <c r="F250" s="78"/>
    </row>
    <row r="251" spans="1:6">
      <c r="A251" s="65"/>
      <c r="B251" s="71"/>
    </row>
    <row r="252" spans="1:6">
      <c r="A252" s="65"/>
      <c r="B252" s="71"/>
      <c r="D252" s="72"/>
      <c r="F252" s="78"/>
    </row>
    <row r="253" spans="1:6">
      <c r="A253" s="65"/>
      <c r="B253" s="71"/>
    </row>
    <row r="254" spans="1:6">
      <c r="A254" s="65"/>
      <c r="B254" s="71"/>
      <c r="D254" s="72"/>
      <c r="F254" s="78"/>
    </row>
    <row r="255" spans="1:6">
      <c r="A255" s="65"/>
      <c r="B255" s="71"/>
    </row>
    <row r="256" spans="1:6">
      <c r="A256" s="65"/>
      <c r="B256" s="71"/>
      <c r="D256" s="72"/>
      <c r="F256" s="78"/>
    </row>
    <row r="257" spans="1:6">
      <c r="A257" s="65"/>
      <c r="B257" s="71"/>
    </row>
    <row r="258" spans="1:6">
      <c r="A258" s="65"/>
      <c r="B258" s="71"/>
      <c r="D258" s="72"/>
      <c r="F258" s="78"/>
    </row>
    <row r="259" spans="1:6">
      <c r="A259" s="65"/>
      <c r="B259" s="71"/>
    </row>
    <row r="260" spans="1:6">
      <c r="A260" s="65"/>
      <c r="B260" s="71"/>
      <c r="D260" s="72"/>
      <c r="F260" s="78"/>
    </row>
    <row r="261" spans="1:6">
      <c r="A261" s="65"/>
      <c r="B261" s="71"/>
    </row>
    <row r="262" spans="1:6">
      <c r="A262" s="65"/>
      <c r="B262" s="71"/>
      <c r="D262" s="72"/>
      <c r="F262" s="78"/>
    </row>
    <row r="263" spans="1:6">
      <c r="A263" s="65"/>
      <c r="B263" s="71"/>
    </row>
    <row r="264" spans="1:6">
      <c r="A264" s="65"/>
      <c r="B264" s="71"/>
      <c r="D264" s="72"/>
      <c r="F264" s="78"/>
    </row>
    <row r="265" spans="1:6">
      <c r="A265" s="65"/>
      <c r="B265" s="71"/>
    </row>
    <row r="266" spans="1:6">
      <c r="A266" s="65"/>
      <c r="B266" s="71"/>
      <c r="D266" s="72"/>
      <c r="F266" s="78"/>
    </row>
    <row r="267" spans="1:6">
      <c r="A267" s="65"/>
      <c r="B267" s="71"/>
    </row>
    <row r="268" spans="1:6">
      <c r="A268" s="65"/>
      <c r="B268" s="71"/>
      <c r="D268" s="72"/>
      <c r="F268" s="78"/>
    </row>
    <row r="269" spans="1:6">
      <c r="A269" s="65"/>
      <c r="B269" s="71"/>
    </row>
    <row r="270" spans="1:6">
      <c r="A270" s="65"/>
      <c r="B270" s="71"/>
      <c r="D270" s="72"/>
      <c r="F270" s="78"/>
    </row>
    <row r="271" spans="1:6">
      <c r="A271" s="65"/>
      <c r="B271" s="71"/>
    </row>
    <row r="272" spans="1:6">
      <c r="A272" s="65"/>
      <c r="B272" s="71"/>
      <c r="D272" s="72"/>
      <c r="F272" s="78"/>
    </row>
    <row r="273" spans="1:6">
      <c r="A273" s="65"/>
      <c r="B273" s="71"/>
    </row>
    <row r="274" spans="1:6">
      <c r="A274" s="65"/>
      <c r="B274" s="71"/>
      <c r="D274" s="72"/>
      <c r="F274" s="78"/>
    </row>
    <row r="275" spans="1:6">
      <c r="A275" s="65"/>
      <c r="B275" s="71"/>
    </row>
    <row r="276" spans="1:6">
      <c r="A276" s="65"/>
      <c r="B276" s="71"/>
      <c r="D276" s="72"/>
      <c r="F276" s="78"/>
    </row>
    <row r="277" spans="1:6">
      <c r="A277" s="65"/>
      <c r="B277" s="71"/>
    </row>
    <row r="278" spans="1:6">
      <c r="A278" s="65"/>
      <c r="B278" s="71"/>
      <c r="D278" s="72"/>
      <c r="F278" s="78"/>
    </row>
    <row r="279" spans="1:6">
      <c r="A279" s="65"/>
      <c r="B279" s="71"/>
    </row>
    <row r="280" spans="1:6">
      <c r="A280" s="65"/>
      <c r="B280" s="71"/>
      <c r="D280" s="72"/>
      <c r="F280" s="78"/>
    </row>
    <row r="281" spans="1:6">
      <c r="A281" s="65"/>
      <c r="B281" s="71"/>
    </row>
    <row r="282" spans="1:6">
      <c r="A282" s="65"/>
      <c r="B282" s="71"/>
      <c r="D282" s="72"/>
      <c r="F282" s="78"/>
    </row>
    <row r="283" spans="1:6">
      <c r="A283" s="65"/>
      <c r="B283" s="71"/>
    </row>
    <row r="284" spans="1:6">
      <c r="A284" s="65"/>
      <c r="B284" s="71"/>
      <c r="D284" s="72"/>
      <c r="F284" s="78"/>
    </row>
    <row r="285" spans="1:6">
      <c r="A285" s="65"/>
      <c r="B285" s="71"/>
    </row>
    <row r="286" spans="1:6">
      <c r="A286" s="65"/>
      <c r="B286" s="71"/>
      <c r="D286" s="72"/>
      <c r="F286" s="78"/>
    </row>
    <row r="287" spans="1:6">
      <c r="A287" s="65"/>
      <c r="B287" s="71"/>
    </row>
    <row r="288" spans="1:6">
      <c r="A288" s="65"/>
      <c r="B288" s="71"/>
      <c r="D288" s="72"/>
      <c r="F288" s="78"/>
    </row>
    <row r="289" spans="1:1">
      <c r="A289" s="65"/>
    </row>
    <row r="290" spans="1:1">
      <c r="A290" s="65"/>
    </row>
    <row r="291" spans="1:1">
      <c r="A291" s="65"/>
    </row>
    <row r="292" spans="1:1">
      <c r="A292" s="65"/>
    </row>
    <row r="293" spans="1:1">
      <c r="A293" s="65"/>
    </row>
    <row r="294" spans="1:1">
      <c r="A294" s="65"/>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2026-05-24T08:38:17Z</dcterms:modified>
</cp:coreProperties>
</file>