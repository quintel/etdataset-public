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5"/>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molecules/molecules/"/>
    </mc:Choice>
  </mc:AlternateContent>
  <xr:revisionPtr revIDLastSave="0" documentId="13_ncr:1_{1E7E2AA3-76FC-8D4B-8D86-DFB1582B0353}" xr6:coauthVersionLast="47" xr6:coauthVersionMax="47" xr10:uidLastSave="{00000000-0000-0000-0000-000000000000}"/>
  <bookViews>
    <workbookView xWindow="-4900" yWindow="-21600" windowWidth="38400" windowHeight="21600" tabRatio="762" activeTab="1" xr2:uid="{00000000-000D-0000-FFFF-FFFF00000000}"/>
  </bookViews>
  <sheets>
    <sheet name="Cover sheet" sheetId="14" r:id="rId1"/>
    <sheet name="Dashboard" sheetId="12" r:id="rId2"/>
    <sheet name="Sources" sheetId="15" r:id="rId3"/>
    <sheet name="Notes" sheetId="20" r:id="rId4"/>
  </sheets>
  <externalReferences>
    <externalReference r:id="rId5"/>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2" i="12" l="1"/>
  <c r="E11" i="12"/>
  <c r="F46" i="20"/>
  <c r="F48" i="20" l="1"/>
  <c r="G32" i="20"/>
  <c r="F19" i="20" s="1"/>
  <c r="G30" i="20"/>
  <c r="G27" i="20"/>
  <c r="G26" i="20"/>
  <c r="G28" i="20" s="1"/>
  <c r="F42" i="20"/>
  <c r="G40" i="20"/>
  <c r="G41" i="20"/>
  <c r="H40" i="20" s="1"/>
  <c r="F18" i="20" s="1"/>
  <c r="G39" i="20"/>
  <c r="H39" i="20" s="1"/>
  <c r="F17" i="20" s="1"/>
  <c r="F39" i="20"/>
  <c r="E36" i="20"/>
  <c r="F21" i="20"/>
  <c r="F20" i="20"/>
  <c r="F12" i="20"/>
  <c r="F10" i="20"/>
  <c r="F9" i="20"/>
  <c r="F8" i="20"/>
  <c r="F7" i="20"/>
  <c r="F26" i="20"/>
  <c r="F27" i="20"/>
  <c r="F63" i="20"/>
  <c r="F64" i="20" s="1"/>
  <c r="F14" i="20" s="1"/>
  <c r="F61" i="20"/>
  <c r="F62" i="20"/>
  <c r="F13" i="20" s="1"/>
  <c r="F59" i="20"/>
  <c r="F58" i="20"/>
  <c r="F57" i="20"/>
  <c r="F55" i="20"/>
  <c r="F54" i="20"/>
  <c r="G42" i="20" l="1"/>
  <c r="H42" i="20"/>
  <c r="F32" i="20"/>
  <c r="F6" i="20" s="1"/>
  <c r="F31" i="20"/>
  <c r="F30" i="20"/>
  <c r="F28" i="20"/>
</calcChain>
</file>

<file path=xl/sharedStrings.xml><?xml version="1.0" encoding="utf-8"?>
<sst xmlns="http://schemas.openxmlformats.org/spreadsheetml/2006/main" count="225" uniqueCount="187">
  <si>
    <t>Source</t>
  </si>
  <si>
    <t>-</t>
  </si>
  <si>
    <t>Value</t>
  </si>
  <si>
    <t>Definition</t>
  </si>
  <si>
    <t>Unit</t>
  </si>
  <si>
    <t>Link</t>
  </si>
  <si>
    <t>Cover Sheet</t>
  </si>
  <si>
    <t>Document</t>
  </si>
  <si>
    <t>Country</t>
  </si>
  <si>
    <t>Organization</t>
  </si>
  <si>
    <t>Quintel Intelligence</t>
  </si>
  <si>
    <t>Definition on the sources</t>
  </si>
  <si>
    <t>Type</t>
  </si>
  <si>
    <t>Date published</t>
  </si>
  <si>
    <t>Date retrieved</t>
  </si>
  <si>
    <t>Attribute</t>
  </si>
  <si>
    <t>euro</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</si>
  <si>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</si>
  <si>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</si>
  <si>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</si>
  <si>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</si>
  <si>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</si>
  <si>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</si>
  <si>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</si>
  <si>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</si>
  <si>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</si>
  <si>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</si>
  <si>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</si>
  <si>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</si>
  <si>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</si>
  <si>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</si>
  <si>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</si>
  <si>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</si>
  <si>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</si>
  <si>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</si>
  <si>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</si>
  <si>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euro/flh</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</si>
  <si>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</si>
  <si>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input.electricity</t>
  </si>
  <si>
    <t>Subject</t>
  </si>
  <si>
    <t>Investment</t>
  </si>
  <si>
    <t>input.hydrogen</t>
  </si>
  <si>
    <t>Full load hours</t>
  </si>
  <si>
    <t>Technical lifetime</t>
  </si>
  <si>
    <t>MW</t>
  </si>
  <si>
    <t>All specs</t>
  </si>
  <si>
    <t>Kyra de Haan</t>
  </si>
  <si>
    <t>Input</t>
  </si>
  <si>
    <t>Output</t>
  </si>
  <si>
    <t>year</t>
  </si>
  <si>
    <t>Technology</t>
  </si>
  <si>
    <t>Note</t>
  </si>
  <si>
    <t>Ref</t>
  </si>
  <si>
    <t>est</t>
  </si>
  <si>
    <t>ctrl</t>
  </si>
  <si>
    <t>Lower</t>
  </si>
  <si>
    <t>Upper</t>
  </si>
  <si>
    <t>cat</t>
  </si>
  <si>
    <t>par</t>
  </si>
  <si>
    <t>Energy/technical data</t>
  </si>
  <si>
    <t>E</t>
  </si>
  <si>
    <t>District Heating Output [MWh/MWh Total Input]</t>
  </si>
  <si>
    <t>H</t>
  </si>
  <si>
    <t>I</t>
  </si>
  <si>
    <t>Forced outage [%]</t>
  </si>
  <si>
    <t>Planned outage [weeks per year]</t>
  </si>
  <si>
    <t>Technical lifetime [years]</t>
  </si>
  <si>
    <t>Construction time [years]</t>
  </si>
  <si>
    <t>Financial data</t>
  </si>
  <si>
    <t>L</t>
  </si>
  <si>
    <t xml:space="preserve"> - equipment [%]</t>
  </si>
  <si>
    <t xml:space="preserve"> - installation [%]</t>
  </si>
  <si>
    <t>M</t>
  </si>
  <si>
    <t>Technology-specific data</t>
  </si>
  <si>
    <t>Notes:</t>
  </si>
  <si>
    <t>input</t>
  </si>
  <si>
    <t>hydrogen</t>
  </si>
  <si>
    <t>electricity</t>
  </si>
  <si>
    <t>total</t>
  </si>
  <si>
    <t>output</t>
  </si>
  <si>
    <t>Danish Energy Agency</t>
  </si>
  <si>
    <t>Hydrogen to Jet Fuel</t>
  </si>
  <si>
    <t>Typical total plant size [1,000 kt FT Liquids/year]</t>
  </si>
  <si>
    <t xml:space="preserve">A, B, </t>
  </si>
  <si>
    <t>18, 20, 23</t>
  </si>
  <si>
    <t>Typical total plant size [MW] Output</t>
  </si>
  <si>
    <t>A,B,C</t>
  </si>
  <si>
    <t>18, 20</t>
  </si>
  <si>
    <r>
      <t>CO</t>
    </r>
    <r>
      <rPr>
        <vertAlign val="subscript"/>
        <sz val="8"/>
        <color theme="1"/>
        <rFont val="Calibri"/>
        <family val="2"/>
        <scheme val="minor"/>
      </rPr>
      <t>2</t>
    </r>
    <r>
      <rPr>
        <sz val="8"/>
        <color theme="1"/>
        <rFont val="Calibri"/>
        <family val="2"/>
        <scheme val="minor"/>
      </rPr>
      <t xml:space="preserve"> Consumption [t/t FT Liquids]</t>
    </r>
  </si>
  <si>
    <t>C, D, E</t>
  </si>
  <si>
    <t>Hydrogen Consumption [MWh/MWh Total Input]</t>
  </si>
  <si>
    <t xml:space="preserve">E </t>
  </si>
  <si>
    <t>Power Consumption [MWh/MWh Total Input]</t>
  </si>
  <si>
    <t>FT Liquids Output [MWh/MWh Total Input]</t>
  </si>
  <si>
    <t>F, G, O</t>
  </si>
  <si>
    <t>20, 18</t>
  </si>
  <si>
    <t>Specific investment [M€/MW Liquids/year]</t>
  </si>
  <si>
    <t>G, J</t>
  </si>
  <si>
    <t>18, 20, 26, 30</t>
  </si>
  <si>
    <t>K</t>
  </si>
  <si>
    <t>Fixed O&amp;M [€/MWH Liquids]</t>
  </si>
  <si>
    <t>Variable O&amp;M [€/MWH Liquids]</t>
  </si>
  <si>
    <t>Start up [€/l FT Liquids]</t>
  </si>
  <si>
    <t>Specific investment [€/l FT Liquids/year]</t>
  </si>
  <si>
    <t>Fixed O&amp;M [€/l FT Liquids]</t>
  </si>
  <si>
    <t>Variable O&amp;M [€/l FT Liquids]</t>
  </si>
  <si>
    <t>A.    The plant size range is based on the Schmidt and Mortensen reports and other analysis in the literature. Scale up is our assumption.</t>
  </si>
  <si>
    <t>B.    CO2 availability is likely to determine the maximum plant size.</t>
  </si>
  <si>
    <t>C.    Conversion to MW is based on 8,000 operating hours per year and the energy output in all liquid fuels. The conversion is rounded. Some reports are based on only 4,000 hours of operation. Figure 1-2 utilizes the 2050 estimates.</t>
  </si>
  <si>
    <t>D.    Carbon efficiency in the literature ranges from 75 to 95%. Assuming that the early plants have low carbon efficiency and increase over time.</t>
  </si>
  <si>
    <t>E.    Denominator of FT liquids is the total liquid fuel output.</t>
  </si>
  <si>
    <t>F.    Hydrogen and power are the only energy input. Power will be required for pumping, compression, and utilities in addition to hydrogen production. Power estimated based on typical electric demand in petroleum refineries.</t>
  </si>
  <si>
    <t>G.   FT Liquids efficiency increases as hydrogen production efficiency increases with adoption of more efficient technologies. 2020 and 2030 assume alkaline electrolysis, 2040 is based on PEM systems, and 2050 assumes SOEC. Limited improvement in FT synthesis assumed, although jet fuel selectivity may improve over time.</t>
  </si>
  <si>
    <t>H.    Own calculations.</t>
  </si>
  <si>
    <t>I.      Some heat is lost in the process to drive the RWGS reaction. Assumes that total losses and internal consumption is 10% of the input. The quality of the district heat will depend on the electrolysis technology employed. The FT portion of the process will have excess steam available. The quantity and quality of the steam will depend on the FT process employed and the plant configuration.</t>
  </si>
  <si>
    <t>J.     This will depend on the level of hydrogen storage and the frequency of low surplus electricity periods that are outside of the range used for the calculation of the required hydrogen storage.</t>
  </si>
  <si>
    <t>K.    The capital costs drop as plant size increases and through technological learning. Hydrogen storage costs are included (10% of capital costs) but not sized in the reference. No CO2 storage is assumed.</t>
  </si>
  <si>
    <t>L.    Own Assumption</t>
  </si>
  <si>
    <t>M.   Based on 5% of capital cost.</t>
  </si>
  <si>
    <t>N.    Based on 1.5% of capital cost. Excludes cost of power and carbon dioxide.</t>
  </si>
  <si>
    <t>O. A reasonable distribution of the FT fuels might be 60% jet fuel, 20% gasoline, and 20% lighter products (LPG and fuel gas), but the distribution of outputs could be very different depending on the plant design, catalyst and the operating conditions.</t>
  </si>
  <si>
    <t>Hydrogen and CO2 to Fischer Tropsch, from DEA:</t>
  </si>
  <si>
    <t>Feedstock in- and output</t>
  </si>
  <si>
    <t>FT liquids</t>
  </si>
  <si>
    <t>District heating output</t>
  </si>
  <si>
    <t>loss</t>
  </si>
  <si>
    <t>Plant specs</t>
  </si>
  <si>
    <t>Plant size</t>
  </si>
  <si>
    <t>t FT liquids/y</t>
  </si>
  <si>
    <t>Plant size (production output)</t>
  </si>
  <si>
    <t>h</t>
  </si>
  <si>
    <t>y</t>
  </si>
  <si>
    <t>Construction time</t>
  </si>
  <si>
    <t>availability</t>
  </si>
  <si>
    <t>€</t>
  </si>
  <si>
    <t>Fixed O&amp;M</t>
  </si>
  <si>
    <t>€/y</t>
  </si>
  <si>
    <t>Variable O&amp;M</t>
  </si>
  <si>
    <t>€/flh</t>
  </si>
  <si>
    <t>Overview</t>
  </si>
  <si>
    <t>Input capacity</t>
  </si>
  <si>
    <t>hours</t>
  </si>
  <si>
    <t>euro/y</t>
  </si>
  <si>
    <t>Input/output</t>
  </si>
  <si>
    <t>output.loss</t>
  </si>
  <si>
    <t>note: in line with the input capacity of  other Fischer-Tropsch technologies, the input capacity is now based on the 2050 value</t>
  </si>
  <si>
    <t>otherwise, the input capacity would be significantly lower is the 2030 value would've been taken</t>
  </si>
  <si>
    <t>Construction period</t>
  </si>
  <si>
    <t>Availability</t>
  </si>
  <si>
    <t>Composition of FT liquids</t>
  </si>
  <si>
    <t>See note at bottom of the table:</t>
  </si>
  <si>
    <t>kerosene</t>
  </si>
  <si>
    <t>gasoline</t>
  </si>
  <si>
    <t>lighter products</t>
  </si>
  <si>
    <t>MJ</t>
  </si>
  <si>
    <t>original</t>
  </si>
  <si>
    <t>converted to 0.7 MJ FT liquids</t>
  </si>
  <si>
    <t>corrected</t>
  </si>
  <si>
    <t>output.kerosene</t>
  </si>
  <si>
    <t>output.gasoline</t>
  </si>
  <si>
    <t>lighter products not specified further in specific fractions per carrier;</t>
  </si>
  <si>
    <t>assumption: ligther products assumed zero, kerosene / gasoline output increased proportionally</t>
  </si>
  <si>
    <t>DK</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</si>
  <si>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</si>
  <si>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</si>
  <si>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</si>
  <si>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</si>
  <si>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CO2 requirement</t>
  </si>
  <si>
    <t>CO2 consumption</t>
  </si>
  <si>
    <t>t CO2/t FT liquids</t>
  </si>
  <si>
    <t>LHV kerosene</t>
  </si>
  <si>
    <t>MJ/kg</t>
  </si>
  <si>
    <t>kg CO2/MJ kerosene</t>
  </si>
  <si>
    <t>copied from kerosene.ad on ETSource</t>
  </si>
  <si>
    <t>from_energy.conversion.kerosene</t>
  </si>
  <si>
    <t>kg CO2 consumption per MJ product</t>
  </si>
  <si>
    <t>molecules_production_fischer_tropsch_synthetic_dispatchable_co2</t>
  </si>
  <si>
    <t>DEA</t>
  </si>
  <si>
    <t>assumption: all output is kerosene</t>
  </si>
  <si>
    <t>CO2 consumption per MJ product</t>
  </si>
  <si>
    <t>kg CO2/MJ FT products</t>
  </si>
  <si>
    <t>check with emissions factors (EF) to confirm required input of CO2 is higher than EF</t>
  </si>
  <si>
    <t>Emissions factor kerosene</t>
  </si>
  <si>
    <t>copied from carriers.csv nl2023</t>
  </si>
  <si>
    <t>Emission factor gasoline</t>
  </si>
  <si>
    <t>kg CO2/MJ gasoline</t>
  </si>
  <si>
    <t>from_energy.conversion.gasoline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</si>
</sst>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_ * #,##0.0_ ;_ * \-#,##0.0_ ;_ * &quot;-&quot;??_ ;_ @_ "/>
    <numFmt numFmtId="168" formatCode="_ * #,##0_ ;_ * \-#,##0_ ;_ * &quot;-&quot;??_ ;_ @_ "/>
    <numFmt numFmtId="169" formatCode="[$-413]mmm\-yy;@"/>
  </numFmts>
  <fonts count="41">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sz val="12"/>
      <color theme="1"/>
      <name val="Lettertype hoofdtekst"/>
      <family val="2"/>
    </font>
    <font>
      <b/>
      <sz val="8"/>
      <color rgb="FF969696"/>
      <name val="Calibri"/>
      <family val="2"/>
      <scheme val="minor"/>
    </font>
    <font>
      <sz val="8"/>
      <color rgb="FF969696"/>
      <name val="Calibri"/>
      <family val="2"/>
      <scheme val="minor"/>
    </font>
    <font>
      <b/>
      <sz val="8"/>
      <color theme="1"/>
      <name val="Calibri"/>
      <family val="2"/>
    </font>
    <font>
      <b/>
      <sz val="8"/>
      <color theme="1"/>
      <name val="Calibri"/>
      <family val="2"/>
      <scheme val="minor"/>
    </font>
    <font>
      <sz val="8"/>
      <color theme="1"/>
      <name val="Calibri"/>
      <family val="2"/>
      <scheme val="minor"/>
    </font>
    <font>
      <b/>
      <sz val="8"/>
      <name val="Calibri"/>
      <family val="2"/>
    </font>
    <font>
      <b/>
      <sz val="8"/>
      <name val="Calibri"/>
      <family val="2"/>
      <scheme val="minor"/>
    </font>
    <font>
      <sz val="8"/>
      <name val="Calibri"/>
      <family val="2"/>
      <scheme val="minor"/>
    </font>
    <font>
      <sz val="8"/>
      <color theme="1"/>
      <name val="Calibri"/>
      <family val="2"/>
    </font>
    <font>
      <sz val="11"/>
      <color theme="1"/>
      <name val="Calibri"/>
      <family val="2"/>
      <scheme val="minor"/>
    </font>
    <font>
      <sz val="8"/>
      <name val="Calibri"/>
      <family val="2"/>
    </font>
    <font>
      <sz val="9"/>
      <color rgb="FF000000"/>
      <name val="Calibri"/>
      <family val="2"/>
      <scheme val="minor"/>
    </font>
    <font>
      <u/>
      <sz val="12"/>
      <name val="Calibri"/>
      <family val="2"/>
      <scheme val="minor"/>
    </font>
    <font>
      <vertAlign val="subscript"/>
      <sz val="8"/>
      <color theme="1"/>
      <name val="Calibri"/>
      <family val="2"/>
      <scheme val="minor"/>
    </font>
    <font>
      <sz val="8"/>
      <color rgb="FF000000"/>
      <name val="Calibri"/>
      <family val="2"/>
    </font>
    <font>
      <b/>
      <sz val="8"/>
      <color rgb="FF000000"/>
      <name val="Calibri"/>
      <family val="2"/>
    </font>
  </fonts>
  <fills count="15">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FFFF"/>
        <bgColor indexed="64"/>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500">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3"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9" fontId="24" fillId="0" borderId="0" applyFont="0" applyFill="0" applyBorder="0" applyAlignment="0" applyProtection="0"/>
    <xf numFmtId="0" fontId="11" fillId="0" borderId="0" applyNumberFormat="0" applyFill="0" applyBorder="0" applyAlignment="0" applyProtection="0"/>
    <xf numFmtId="43" fontId="34" fillId="0" borderId="0" applyFont="0" applyFill="0" applyBorder="0" applyAlignment="0" applyProtection="0"/>
    <xf numFmtId="43" fontId="24" fillId="0" borderId="0" applyFont="0" applyFill="0" applyBorder="0" applyAlignment="0" applyProtection="0"/>
  </cellStyleXfs>
  <cellXfs count="173">
    <xf numFmtId="0" fontId="0" fillId="0" borderId="0" xfId="0"/>
    <xf numFmtId="0" fontId="14" fillId="3" borderId="7" xfId="0" applyFont="1" applyFill="1" applyBorder="1"/>
    <xf numFmtId="0" fontId="15" fillId="3" borderId="17" xfId="0" applyFont="1" applyFill="1" applyBorder="1"/>
    <xf numFmtId="0" fontId="14" fillId="3" borderId="13" xfId="0" applyFont="1" applyFill="1" applyBorder="1"/>
    <xf numFmtId="0" fontId="16" fillId="3" borderId="7" xfId="0" applyFont="1" applyFill="1" applyBorder="1" applyAlignment="1">
      <alignment vertical="center"/>
    </xf>
    <xf numFmtId="49" fontId="14" fillId="2" borderId="8" xfId="0" applyNumberFormat="1" applyFont="1" applyFill="1" applyBorder="1" applyAlignment="1">
      <alignment horizontal="left"/>
    </xf>
    <xf numFmtId="0" fontId="16" fillId="3" borderId="1" xfId="0" applyFont="1" applyFill="1" applyBorder="1" applyAlignment="1">
      <alignment vertical="center"/>
    </xf>
    <xf numFmtId="0" fontId="14" fillId="3" borderId="14" xfId="0" applyFont="1" applyFill="1" applyBorder="1"/>
    <xf numFmtId="0" fontId="14" fillId="3" borderId="0" xfId="0" applyFont="1" applyFill="1"/>
    <xf numFmtId="0" fontId="13" fillId="2" borderId="0" xfId="0" applyFont="1" applyFill="1"/>
    <xf numFmtId="0" fontId="13" fillId="2" borderId="5" xfId="0" applyFont="1" applyFill="1" applyBorder="1"/>
    <xf numFmtId="0" fontId="13" fillId="2" borderId="9" xfId="0" applyFont="1" applyFill="1" applyBorder="1"/>
    <xf numFmtId="0" fontId="13" fillId="0" borderId="9" xfId="0" applyFont="1" applyBorder="1"/>
    <xf numFmtId="0" fontId="15" fillId="0" borderId="9" xfId="0" applyFont="1" applyBorder="1"/>
    <xf numFmtId="49" fontId="13" fillId="2" borderId="0" xfId="0" applyNumberFormat="1" applyFont="1" applyFill="1"/>
    <xf numFmtId="49" fontId="13" fillId="2" borderId="9" xfId="0" applyNumberFormat="1" applyFont="1" applyFill="1" applyBorder="1"/>
    <xf numFmtId="0" fontId="13" fillId="2" borderId="4" xfId="0" applyFont="1" applyFill="1" applyBorder="1"/>
    <xf numFmtId="0" fontId="10" fillId="2" borderId="0" xfId="0" applyFont="1" applyFill="1"/>
    <xf numFmtId="0" fontId="14" fillId="0" borderId="0" xfId="0" applyFont="1"/>
    <xf numFmtId="0" fontId="13" fillId="0" borderId="16" xfId="0" applyFont="1" applyBorder="1"/>
    <xf numFmtId="0" fontId="13" fillId="2" borderId="6" xfId="0" applyFont="1" applyFill="1" applyBorder="1"/>
    <xf numFmtId="0" fontId="14" fillId="3" borderId="17" xfId="0" applyFont="1" applyFill="1" applyBorder="1"/>
    <xf numFmtId="0" fontId="14" fillId="3" borderId="2" xfId="0" applyFont="1" applyFill="1" applyBorder="1"/>
    <xf numFmtId="0" fontId="10" fillId="2" borderId="2" xfId="0" applyFont="1" applyFill="1" applyBorder="1"/>
    <xf numFmtId="0" fontId="17" fillId="3" borderId="0" xfId="0" applyFont="1" applyFill="1"/>
    <xf numFmtId="0" fontId="10" fillId="2" borderId="7" xfId="0" applyFont="1" applyFill="1" applyBorder="1"/>
    <xf numFmtId="0" fontId="15" fillId="3" borderId="0" xfId="0" applyFont="1" applyFill="1"/>
    <xf numFmtId="0" fontId="9" fillId="2" borderId="0" xfId="0" applyFont="1" applyFill="1"/>
    <xf numFmtId="0" fontId="9" fillId="2" borderId="3" xfId="0" applyFont="1" applyFill="1" applyBorder="1"/>
    <xf numFmtId="0" fontId="9" fillId="2" borderId="15" xfId="0" applyFont="1" applyFill="1" applyBorder="1"/>
    <xf numFmtId="0" fontId="8" fillId="2" borderId="0" xfId="0" applyFont="1" applyFill="1"/>
    <xf numFmtId="0" fontId="8" fillId="2" borderId="3" xfId="0" applyFont="1" applyFill="1" applyBorder="1"/>
    <xf numFmtId="0" fontId="8" fillId="2" borderId="4" xfId="0" applyFont="1" applyFill="1" applyBorder="1"/>
    <xf numFmtId="0" fontId="8" fillId="2" borderId="6" xfId="0" applyFont="1" applyFill="1" applyBorder="1"/>
    <xf numFmtId="49" fontId="8" fillId="2" borderId="0" xfId="0" applyNumberFormat="1" applyFont="1" applyFill="1"/>
    <xf numFmtId="49" fontId="8" fillId="2" borderId="4" xfId="0" applyNumberFormat="1" applyFont="1" applyFill="1" applyBorder="1"/>
    <xf numFmtId="0" fontId="8" fillId="2" borderId="16" xfId="0" applyFont="1" applyFill="1" applyBorder="1"/>
    <xf numFmtId="0" fontId="18" fillId="2" borderId="0" xfId="0" applyFont="1" applyFill="1"/>
    <xf numFmtId="0" fontId="18" fillId="2" borderId="3" xfId="0" applyFont="1" applyFill="1" applyBorder="1"/>
    <xf numFmtId="0" fontId="18" fillId="2" borderId="4" xfId="0" applyFont="1" applyFill="1" applyBorder="1"/>
    <xf numFmtId="0" fontId="18" fillId="2" borderId="15" xfId="0" applyFont="1" applyFill="1" applyBorder="1"/>
    <xf numFmtId="0" fontId="19" fillId="2" borderId="0" xfId="0" applyFont="1" applyFill="1"/>
    <xf numFmtId="0" fontId="18" fillId="2" borderId="9" xfId="0" applyFont="1" applyFill="1" applyBorder="1"/>
    <xf numFmtId="0" fontId="18" fillId="2" borderId="6" xfId="0" applyFont="1" applyFill="1" applyBorder="1"/>
    <xf numFmtId="0" fontId="19" fillId="2" borderId="9" xfId="0" applyFont="1" applyFill="1" applyBorder="1"/>
    <xf numFmtId="0" fontId="13" fillId="2" borderId="17" xfId="0" applyFont="1" applyFill="1" applyBorder="1"/>
    <xf numFmtId="0" fontId="7" fillId="2" borderId="2" xfId="0" applyFont="1" applyFill="1" applyBorder="1"/>
    <xf numFmtId="0" fontId="13" fillId="2" borderId="7" xfId="0" applyFont="1" applyFill="1" applyBorder="1"/>
    <xf numFmtId="0" fontId="7" fillId="2" borderId="0" xfId="0" applyFont="1" applyFill="1"/>
    <xf numFmtId="0" fontId="20" fillId="2" borderId="0" xfId="0" applyFont="1" applyFill="1"/>
    <xf numFmtId="0" fontId="7" fillId="2" borderId="18" xfId="0" applyFont="1" applyFill="1" applyBorder="1"/>
    <xf numFmtId="0" fontId="7" fillId="4" borderId="0" xfId="0" applyFont="1" applyFill="1"/>
    <xf numFmtId="0" fontId="7" fillId="5" borderId="0" xfId="0" applyFont="1" applyFill="1"/>
    <xf numFmtId="0" fontId="7" fillId="6" borderId="0" xfId="0" applyFont="1" applyFill="1"/>
    <xf numFmtId="0" fontId="7" fillId="7" borderId="0" xfId="0" applyFont="1" applyFill="1"/>
    <xf numFmtId="0" fontId="7" fillId="2" borderId="7" xfId="0" applyFont="1" applyFill="1" applyBorder="1"/>
    <xf numFmtId="0" fontId="7" fillId="8" borderId="0" xfId="0" applyFont="1" applyFill="1"/>
    <xf numFmtId="0" fontId="7" fillId="9" borderId="0" xfId="0" applyFont="1" applyFill="1"/>
    <xf numFmtId="0" fontId="7" fillId="10" borderId="0" xfId="0" applyFont="1" applyFill="1"/>
    <xf numFmtId="0" fontId="7" fillId="11" borderId="0" xfId="0" applyFont="1" applyFill="1"/>
    <xf numFmtId="0" fontId="13" fillId="2" borderId="19" xfId="0" applyFont="1" applyFill="1" applyBorder="1"/>
    <xf numFmtId="0" fontId="19" fillId="2" borderId="16" xfId="0" applyFont="1" applyFill="1" applyBorder="1"/>
    <xf numFmtId="0" fontId="18" fillId="2" borderId="19" xfId="0" applyFont="1" applyFill="1" applyBorder="1"/>
    <xf numFmtId="0" fontId="6" fillId="0" borderId="0" xfId="0" applyFont="1"/>
    <xf numFmtId="0" fontId="6" fillId="2" borderId="0" xfId="0" applyFont="1" applyFill="1"/>
    <xf numFmtId="0" fontId="6" fillId="2" borderId="6" xfId="0" applyFont="1" applyFill="1" applyBorder="1"/>
    <xf numFmtId="0" fontId="6" fillId="2" borderId="5" xfId="0" applyFont="1" applyFill="1" applyBorder="1"/>
    <xf numFmtId="0" fontId="6" fillId="2" borderId="10" xfId="0" applyFont="1" applyFill="1" applyBorder="1"/>
    <xf numFmtId="0" fontId="6" fillId="2" borderId="11" xfId="0" applyFont="1" applyFill="1" applyBorder="1"/>
    <xf numFmtId="0" fontId="6" fillId="2" borderId="12" xfId="0" applyFont="1" applyFill="1" applyBorder="1"/>
    <xf numFmtId="0" fontId="19" fillId="2" borderId="6" xfId="0" applyFont="1" applyFill="1" applyBorder="1"/>
    <xf numFmtId="0" fontId="5" fillId="2" borderId="0" xfId="0" applyFont="1" applyFill="1"/>
    <xf numFmtId="2" fontId="18" fillId="2" borderId="0" xfId="0" applyNumberFormat="1" applyFont="1" applyFill="1"/>
    <xf numFmtId="165" fontId="18" fillId="2" borderId="0" xfId="0" applyNumberFormat="1" applyFont="1" applyFill="1"/>
    <xf numFmtId="0" fontId="25" fillId="13" borderId="2" xfId="0" applyFont="1" applyFill="1" applyBorder="1" applyAlignment="1">
      <alignment horizontal="left" vertical="top"/>
    </xf>
    <xf numFmtId="0" fontId="26" fillId="13" borderId="2" xfId="0" applyFont="1" applyFill="1" applyBorder="1" applyAlignment="1">
      <alignment horizontal="left" vertical="top"/>
    </xf>
    <xf numFmtId="0" fontId="26" fillId="13" borderId="0" xfId="0" applyFont="1" applyFill="1" applyAlignment="1">
      <alignment horizontal="left" vertical="top"/>
    </xf>
    <xf numFmtId="0" fontId="25" fillId="13" borderId="11" xfId="0" applyFont="1" applyFill="1" applyBorder="1" applyAlignment="1">
      <alignment horizontal="left" vertical="top"/>
    </xf>
    <xf numFmtId="0" fontId="26" fillId="13" borderId="11" xfId="0" applyFont="1" applyFill="1" applyBorder="1" applyAlignment="1">
      <alignment horizontal="left" vertical="top"/>
    </xf>
    <xf numFmtId="0" fontId="31" fillId="13" borderId="11" xfId="0" applyFont="1" applyFill="1" applyBorder="1" applyAlignment="1">
      <alignment horizontal="right" vertical="top"/>
    </xf>
    <xf numFmtId="0" fontId="29" fillId="0" borderId="0" xfId="0" applyFont="1" applyAlignment="1">
      <alignment horizontal="right" vertical="top"/>
    </xf>
    <xf numFmtId="0" fontId="28" fillId="0" borderId="0" xfId="0" applyFont="1" applyAlignment="1">
      <alignment horizontal="left" vertical="top"/>
    </xf>
    <xf numFmtId="0" fontId="28" fillId="0" borderId="11" xfId="0" applyFont="1" applyBorder="1" applyAlignment="1">
      <alignment horizontal="left" vertical="top"/>
    </xf>
    <xf numFmtId="0" fontId="29" fillId="0" borderId="0" xfId="0" applyFont="1"/>
    <xf numFmtId="0" fontId="37" fillId="2" borderId="0" xfId="0" applyFont="1" applyFill="1"/>
    <xf numFmtId="0" fontId="28" fillId="13" borderId="0" xfId="0" applyFont="1" applyFill="1" applyAlignment="1">
      <alignment horizontal="right" vertical="top"/>
    </xf>
    <xf numFmtId="1" fontId="18" fillId="2" borderId="0" xfId="0" applyNumberFormat="1" applyFont="1" applyFill="1"/>
    <xf numFmtId="0" fontId="18" fillId="2" borderId="0" xfId="0" quotePrefix="1" applyFont="1" applyFill="1"/>
    <xf numFmtId="9" fontId="33" fillId="2" borderId="0" xfId="496" applyFont="1" applyFill="1" applyBorder="1" applyAlignment="1">
      <alignment horizontal="right" vertical="top"/>
    </xf>
    <xf numFmtId="9" fontId="29" fillId="2" borderId="0" xfId="496" applyFont="1" applyFill="1" applyBorder="1" applyAlignment="1">
      <alignment horizontal="center" vertical="top"/>
    </xf>
    <xf numFmtId="167" fontId="33" fillId="2" borderId="0" xfId="498" applyNumberFormat="1" applyFont="1" applyFill="1" applyBorder="1" applyAlignment="1">
      <alignment horizontal="right" vertical="top"/>
    </xf>
    <xf numFmtId="167" fontId="27" fillId="2" borderId="0" xfId="498" applyNumberFormat="1" applyFont="1" applyFill="1" applyBorder="1" applyAlignment="1">
      <alignment horizontal="right" vertical="top"/>
    </xf>
    <xf numFmtId="9" fontId="35" fillId="2" borderId="0" xfId="496" applyFont="1" applyFill="1" applyBorder="1" applyAlignment="1">
      <alignment horizontal="right" vertical="top"/>
    </xf>
    <xf numFmtId="0" fontId="25" fillId="2" borderId="0" xfId="0" applyFont="1" applyFill="1" applyAlignment="1">
      <alignment horizontal="left" vertical="top"/>
    </xf>
    <xf numFmtId="0" fontId="26" fillId="2" borderId="0" xfId="0" applyFont="1" applyFill="1" applyAlignment="1">
      <alignment horizontal="left" vertical="top"/>
    </xf>
    <xf numFmtId="0" fontId="29" fillId="2" borderId="0" xfId="0" applyFont="1" applyFill="1" applyAlignment="1">
      <alignment horizontal="right" vertical="top"/>
    </xf>
    <xf numFmtId="0" fontId="28" fillId="2" borderId="0" xfId="0" applyFont="1" applyFill="1" applyAlignment="1">
      <alignment horizontal="right" vertical="top"/>
    </xf>
    <xf numFmtId="0" fontId="30" fillId="2" borderId="0" xfId="0" applyFont="1" applyFill="1" applyAlignment="1">
      <alignment horizontal="right" vertical="top"/>
    </xf>
    <xf numFmtId="0" fontId="29" fillId="2" borderId="0" xfId="0" applyFont="1" applyFill="1" applyAlignment="1">
      <alignment horizontal="center" vertical="top"/>
    </xf>
    <xf numFmtId="0" fontId="31" fillId="2" borderId="0" xfId="0" applyFont="1" applyFill="1" applyAlignment="1">
      <alignment horizontal="right" vertical="top"/>
    </xf>
    <xf numFmtId="0" fontId="28" fillId="2" borderId="0" xfId="0" applyFont="1" applyFill="1" applyAlignment="1">
      <alignment horizontal="left" vertical="top"/>
    </xf>
    <xf numFmtId="0" fontId="32" fillId="2" borderId="0" xfId="0" applyFont="1" applyFill="1"/>
    <xf numFmtId="0" fontId="33" fillId="2" borderId="0" xfId="0" applyFont="1" applyFill="1" applyAlignment="1">
      <alignment horizontal="right" vertical="top"/>
    </xf>
    <xf numFmtId="0" fontId="27" fillId="2" borderId="0" xfId="0" applyFont="1" applyFill="1" applyAlignment="1">
      <alignment horizontal="right" vertical="top"/>
    </xf>
    <xf numFmtId="9" fontId="33" fillId="2" borderId="0" xfId="0" applyNumberFormat="1" applyFont="1" applyFill="1" applyAlignment="1">
      <alignment horizontal="right" vertical="top"/>
    </xf>
    <xf numFmtId="0" fontId="29" fillId="2" borderId="0" xfId="0" applyFont="1" applyFill="1" applyAlignment="1">
      <alignment horizontal="left" vertical="top"/>
    </xf>
    <xf numFmtId="0" fontId="32" fillId="2" borderId="0" xfId="0" applyFont="1" applyFill="1" applyAlignment="1">
      <alignment horizontal="left" vertical="top"/>
    </xf>
    <xf numFmtId="0" fontId="35" fillId="2" borderId="0" xfId="0" applyFont="1" applyFill="1" applyAlignment="1">
      <alignment horizontal="right" vertical="top"/>
    </xf>
    <xf numFmtId="9" fontId="35" fillId="2" borderId="0" xfId="0" applyNumberFormat="1" applyFont="1" applyFill="1" applyAlignment="1">
      <alignment horizontal="right" vertical="top"/>
    </xf>
    <xf numFmtId="0" fontId="32" fillId="2" borderId="0" xfId="0" applyFont="1" applyFill="1" applyAlignment="1">
      <alignment horizontal="center" vertical="top"/>
    </xf>
    <xf numFmtId="0" fontId="31" fillId="2" borderId="0" xfId="0" applyFont="1" applyFill="1" applyAlignment="1">
      <alignment horizontal="left" vertical="top"/>
    </xf>
    <xf numFmtId="0" fontId="31" fillId="2" borderId="0" xfId="0" applyFont="1" applyFill="1"/>
    <xf numFmtId="2" fontId="35" fillId="2" borderId="0" xfId="0" applyNumberFormat="1" applyFont="1" applyFill="1" applyAlignment="1">
      <alignment horizontal="right" vertical="top"/>
    </xf>
    <xf numFmtId="2" fontId="30" fillId="2" borderId="0" xfId="0" applyNumberFormat="1" applyFont="1" applyFill="1" applyAlignment="1">
      <alignment horizontal="right" vertical="top"/>
    </xf>
    <xf numFmtId="1" fontId="35" fillId="2" borderId="0" xfId="0" applyNumberFormat="1" applyFont="1" applyFill="1" applyAlignment="1">
      <alignment horizontal="right" vertical="top"/>
    </xf>
    <xf numFmtId="1" fontId="30" fillId="2" borderId="0" xfId="0" applyNumberFormat="1" applyFont="1" applyFill="1" applyAlignment="1">
      <alignment horizontal="right" vertical="top"/>
    </xf>
    <xf numFmtId="0" fontId="29" fillId="2" borderId="0" xfId="0" applyFont="1" applyFill="1"/>
    <xf numFmtId="0" fontId="29" fillId="2" borderId="0" xfId="0" applyFont="1" applyFill="1" applyAlignment="1">
      <alignment horizontal="right"/>
    </xf>
    <xf numFmtId="0" fontId="29" fillId="2" borderId="0" xfId="0" applyFont="1" applyFill="1" applyAlignment="1">
      <alignment horizontal="center"/>
    </xf>
    <xf numFmtId="0" fontId="30" fillId="2" borderId="0" xfId="0" applyFont="1" applyFill="1"/>
    <xf numFmtId="0" fontId="35" fillId="2" borderId="0" xfId="0" applyFont="1" applyFill="1"/>
    <xf numFmtId="0" fontId="35" fillId="2" borderId="0" xfId="0" applyFont="1" applyFill="1" applyAlignment="1">
      <alignment horizontal="left" vertical="top"/>
    </xf>
    <xf numFmtId="0" fontId="36" fillId="2" borderId="0" xfId="0" applyFont="1" applyFill="1" applyAlignment="1">
      <alignment vertical="center"/>
    </xf>
    <xf numFmtId="0" fontId="36" fillId="2" borderId="0" xfId="0" applyFont="1" applyFill="1" applyAlignment="1">
      <alignment vertical="center" wrapText="1"/>
    </xf>
    <xf numFmtId="0" fontId="31" fillId="13" borderId="0" xfId="0" applyFont="1" applyFill="1" applyAlignment="1">
      <alignment horizontal="right" vertical="top"/>
    </xf>
    <xf numFmtId="0" fontId="28" fillId="13" borderId="0" xfId="0" applyFont="1" applyFill="1" applyAlignment="1">
      <alignment horizontal="center" vertical="top"/>
    </xf>
    <xf numFmtId="0" fontId="28" fillId="13" borderId="11" xfId="0" applyFont="1" applyFill="1" applyBorder="1" applyAlignment="1">
      <alignment horizontal="center" vertical="top"/>
    </xf>
    <xf numFmtId="0" fontId="25" fillId="14" borderId="0" xfId="0" applyFont="1" applyFill="1" applyAlignment="1">
      <alignment horizontal="left" vertical="top"/>
    </xf>
    <xf numFmtId="0" fontId="28" fillId="14" borderId="0" xfId="0" applyFont="1" applyFill="1" applyAlignment="1">
      <alignment horizontal="right" vertical="top"/>
    </xf>
    <xf numFmtId="0" fontId="28" fillId="14" borderId="0" xfId="0" applyFont="1" applyFill="1" applyAlignment="1">
      <alignment horizontal="center" vertical="top"/>
    </xf>
    <xf numFmtId="0" fontId="28" fillId="14" borderId="0" xfId="0" applyFont="1" applyFill="1" applyAlignment="1">
      <alignment horizontal="left" vertical="top"/>
    </xf>
    <xf numFmtId="0" fontId="29" fillId="14" borderId="0" xfId="0" applyFont="1" applyFill="1" applyAlignment="1">
      <alignment horizontal="left" vertical="top"/>
    </xf>
    <xf numFmtId="0" fontId="33" fillId="14" borderId="0" xfId="0" applyFont="1" applyFill="1" applyAlignment="1">
      <alignment horizontal="right" vertical="top"/>
    </xf>
    <xf numFmtId="9" fontId="33" fillId="14" borderId="0" xfId="0" applyNumberFormat="1" applyFont="1" applyFill="1" applyAlignment="1">
      <alignment horizontal="right" vertical="top"/>
    </xf>
    <xf numFmtId="0" fontId="29" fillId="14" borderId="0" xfId="0" applyFont="1" applyFill="1" applyAlignment="1">
      <alignment horizontal="center" vertical="top"/>
    </xf>
    <xf numFmtId="0" fontId="27" fillId="14" borderId="0" xfId="0" applyFont="1" applyFill="1" applyAlignment="1">
      <alignment horizontal="right" vertical="top"/>
    </xf>
    <xf numFmtId="0" fontId="39" fillId="14" borderId="0" xfId="0" applyFont="1" applyFill="1" applyAlignment="1">
      <alignment horizontal="right" vertical="top"/>
    </xf>
    <xf numFmtId="2" fontId="33" fillId="14" borderId="0" xfId="0" applyNumberFormat="1" applyFont="1" applyFill="1" applyAlignment="1">
      <alignment horizontal="right" vertical="top"/>
    </xf>
    <xf numFmtId="0" fontId="29" fillId="14" borderId="11" xfId="0" applyFont="1" applyFill="1" applyBorder="1" applyAlignment="1">
      <alignment horizontal="left" vertical="top"/>
    </xf>
    <xf numFmtId="0" fontId="33" fillId="14" borderId="11" xfId="0" applyFont="1" applyFill="1" applyBorder="1" applyAlignment="1">
      <alignment horizontal="right" vertical="top"/>
    </xf>
    <xf numFmtId="0" fontId="29" fillId="14" borderId="11" xfId="0" applyFont="1" applyFill="1" applyBorder="1" applyAlignment="1">
      <alignment horizontal="center" vertical="top"/>
    </xf>
    <xf numFmtId="0" fontId="29" fillId="14" borderId="0" xfId="0" applyFont="1" applyFill="1" applyAlignment="1">
      <alignment vertical="center" wrapText="1"/>
    </xf>
    <xf numFmtId="0" fontId="29" fillId="14" borderId="0" xfId="0" applyFont="1" applyFill="1" applyAlignment="1">
      <alignment horizontal="center" vertical="center" wrapText="1"/>
    </xf>
    <xf numFmtId="0" fontId="27" fillId="0" borderId="0" xfId="0" applyFont="1"/>
    <xf numFmtId="0" fontId="33" fillId="0" borderId="0" xfId="0" applyFont="1"/>
    <xf numFmtId="0" fontId="40" fillId="14" borderId="0" xfId="0" applyFont="1" applyFill="1" applyAlignment="1">
      <alignment horizontal="right" vertical="top"/>
    </xf>
    <xf numFmtId="2" fontId="27" fillId="14" borderId="0" xfId="0" applyNumberFormat="1" applyFont="1" applyFill="1" applyAlignment="1">
      <alignment horizontal="right" vertical="top"/>
    </xf>
    <xf numFmtId="0" fontId="27" fillId="14" borderId="11" xfId="0" applyFont="1" applyFill="1" applyBorder="1" applyAlignment="1">
      <alignment horizontal="right" vertical="top"/>
    </xf>
    <xf numFmtId="164" fontId="18" fillId="2" borderId="0" xfId="0" applyNumberFormat="1" applyFont="1" applyFill="1"/>
    <xf numFmtId="168" fontId="18" fillId="2" borderId="0" xfId="499" applyNumberFormat="1" applyFont="1" applyFill="1"/>
    <xf numFmtId="43" fontId="18" fillId="2" borderId="0" xfId="499" applyFont="1" applyFill="1"/>
    <xf numFmtId="168" fontId="18" fillId="2" borderId="0" xfId="0" applyNumberFormat="1" applyFont="1" applyFill="1"/>
    <xf numFmtId="0" fontId="4" fillId="2" borderId="0" xfId="0" applyFont="1" applyFill="1"/>
    <xf numFmtId="169" fontId="4" fillId="2" borderId="0" xfId="0" applyNumberFormat="1" applyFont="1" applyFill="1"/>
    <xf numFmtId="49" fontId="11" fillId="2" borderId="0" xfId="497" applyNumberFormat="1" applyFill="1"/>
    <xf numFmtId="0" fontId="3" fillId="0" borderId="0" xfId="0" applyFont="1"/>
    <xf numFmtId="166" fontId="6" fillId="2" borderId="18" xfId="0" applyNumberFormat="1" applyFont="1" applyFill="1" applyBorder="1"/>
    <xf numFmtId="0" fontId="2" fillId="2" borderId="18" xfId="0" applyFont="1" applyFill="1" applyBorder="1"/>
    <xf numFmtId="166" fontId="18" fillId="2" borderId="0" xfId="0" applyNumberFormat="1" applyFont="1" applyFill="1"/>
    <xf numFmtId="0" fontId="21" fillId="12" borderId="17" xfId="0" applyFont="1" applyFill="1" applyBorder="1" applyAlignment="1">
      <alignment horizontal="left" vertical="top" wrapText="1"/>
    </xf>
    <xf numFmtId="0" fontId="21" fillId="12" borderId="2" xfId="0" applyFont="1" applyFill="1" applyBorder="1" applyAlignment="1">
      <alignment horizontal="left" vertical="top" wrapText="1"/>
    </xf>
    <xf numFmtId="0" fontId="21" fillId="12" borderId="13" xfId="0" applyFont="1" applyFill="1" applyBorder="1" applyAlignment="1">
      <alignment horizontal="left" vertical="top" wrapText="1"/>
    </xf>
    <xf numFmtId="0" fontId="21" fillId="12" borderId="7" xfId="0" applyFont="1" applyFill="1" applyBorder="1" applyAlignment="1">
      <alignment horizontal="left" vertical="top" wrapText="1"/>
    </xf>
    <xf numFmtId="0" fontId="21" fillId="12" borderId="0" xfId="0" applyFont="1" applyFill="1" applyAlignment="1">
      <alignment horizontal="left" vertical="top" wrapText="1"/>
    </xf>
    <xf numFmtId="0" fontId="21" fillId="12" borderId="8" xfId="0" applyFont="1" applyFill="1" applyBorder="1" applyAlignment="1">
      <alignment horizontal="left" vertical="top" wrapText="1"/>
    </xf>
    <xf numFmtId="0" fontId="21" fillId="12" borderId="1" xfId="0" applyFont="1" applyFill="1" applyBorder="1" applyAlignment="1">
      <alignment horizontal="left" vertical="top" wrapText="1"/>
    </xf>
    <xf numFmtId="0" fontId="21" fillId="12" borderId="9" xfId="0" applyFont="1" applyFill="1" applyBorder="1" applyAlignment="1">
      <alignment horizontal="left" vertical="top" wrapText="1"/>
    </xf>
    <xf numFmtId="0" fontId="21" fillId="12" borderId="14" xfId="0" applyFont="1" applyFill="1" applyBorder="1" applyAlignment="1">
      <alignment horizontal="left" vertical="top" wrapText="1"/>
    </xf>
    <xf numFmtId="0" fontId="27" fillId="2" borderId="0" xfId="497" applyFont="1" applyFill="1" applyBorder="1" applyAlignment="1" applyProtection="1">
      <alignment horizontal="center" vertical="top" wrapText="1"/>
    </xf>
    <xf numFmtId="0" fontId="28" fillId="2" borderId="0" xfId="0" applyFont="1" applyFill="1" applyAlignment="1">
      <alignment horizontal="center" vertical="top" wrapText="1"/>
    </xf>
    <xf numFmtId="0" fontId="27" fillId="13" borderId="2" xfId="497" applyFont="1" applyFill="1" applyBorder="1" applyAlignment="1" applyProtection="1">
      <alignment horizontal="center" vertical="top" wrapText="1"/>
    </xf>
    <xf numFmtId="0" fontId="28" fillId="13" borderId="2" xfId="0" applyFont="1" applyFill="1" applyBorder="1" applyAlignment="1">
      <alignment horizontal="center" vertical="top" wrapText="1"/>
    </xf>
    <xf numFmtId="0" fontId="1" fillId="0" borderId="0" xfId="0" applyFont="1"/>
  </cellXfs>
  <cellStyles count="500">
    <cellStyle name="Comma" xfId="499" builtinId="3"/>
    <cellStyle name="Comma 2" xfId="498" xr:uid="{F4EFD76B-DEEF-5F4C-84C7-4A51E91A835C}"/>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7" builtinId="8"/>
    <cellStyle name="Normal" xfId="0" builtinId="0"/>
    <cellStyle name="Normal 2" xfId="274" xr:uid="{00000000-0005-0000-0000-0000EF010000}"/>
    <cellStyle name="Per cent" xfId="496"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5" sqref="C5"/>
    </sheetView>
  </sheetViews>
  <sheetFormatPr baseColWidth="10" defaultColWidth="10.85546875" defaultRowHeight="16"/>
  <cols>
    <col min="1" max="1" width="3.42578125" style="25" customWidth="1"/>
    <col min="2" max="2" width="11.42578125" style="17" customWidth="1"/>
    <col min="3" max="3" width="38.42578125" style="17" customWidth="1"/>
    <col min="4" max="16384" width="10.85546875" style="17"/>
  </cols>
  <sheetData>
    <row r="1" spans="1:3" s="23" customFormat="1">
      <c r="A1" s="21"/>
      <c r="B1" s="22"/>
      <c r="C1" s="22"/>
    </row>
    <row r="2" spans="1:3" ht="21">
      <c r="A2" s="1"/>
      <c r="B2" s="24" t="s">
        <v>6</v>
      </c>
      <c r="C2" s="24"/>
    </row>
    <row r="3" spans="1:3">
      <c r="A3" s="1"/>
      <c r="B3" s="8"/>
      <c r="C3" s="8"/>
    </row>
    <row r="4" spans="1:3">
      <c r="A4" s="1"/>
      <c r="B4" s="2" t="s">
        <v>7</v>
      </c>
      <c r="C4" s="3" t="s">
        <v>176</v>
      </c>
    </row>
    <row r="5" spans="1:3">
      <c r="A5" s="1"/>
      <c r="B5" s="4" t="s">
        <v>33</v>
      </c>
      <c r="C5" s="5" t="s">
        <v>46</v>
      </c>
    </row>
    <row r="6" spans="1:3">
      <c r="A6" s="1"/>
      <c r="B6" s="6" t="s">
        <v>9</v>
      </c>
      <c r="C6" s="7" t="s">
        <v>10</v>
      </c>
    </row>
    <row r="7" spans="1:3">
      <c r="A7" s="1"/>
      <c r="B7" s="8"/>
      <c r="C7" s="8"/>
    </row>
    <row r="8" spans="1:3">
      <c r="A8" s="1"/>
      <c r="B8" s="8"/>
      <c r="C8" s="8"/>
    </row>
    <row r="9" spans="1:3">
      <c r="A9" s="1"/>
      <c r="B9" s="45" t="s">
        <v>18</v>
      </c>
      <c r="C9" s="46"/>
    </row>
    <row r="10" spans="1:3">
      <c r="A10" s="1"/>
      <c r="B10" s="47"/>
      <c r="C10" s="48"/>
    </row>
    <row r="11" spans="1:3">
      <c r="A11" s="1"/>
      <c r="B11" s="47" t="s">
        <v>19</v>
      </c>
      <c r="C11" s="49" t="s">
        <v>20</v>
      </c>
    </row>
    <row r="12" spans="1:3" ht="17" thickBot="1">
      <c r="A12" s="1"/>
      <c r="B12" s="47"/>
      <c r="C12" s="9" t="s">
        <v>21</v>
      </c>
    </row>
    <row r="13" spans="1:3" ht="17" thickBot="1">
      <c r="A13" s="1"/>
      <c r="B13" s="47"/>
      <c r="C13" s="50" t="s">
        <v>22</v>
      </c>
    </row>
    <row r="14" spans="1:3">
      <c r="A14" s="1"/>
      <c r="B14" s="47"/>
      <c r="C14" s="48" t="s">
        <v>23</v>
      </c>
    </row>
    <row r="15" spans="1:3">
      <c r="A15" s="1"/>
      <c r="B15" s="47"/>
      <c r="C15" s="48"/>
    </row>
    <row r="16" spans="1:3">
      <c r="A16" s="1"/>
      <c r="B16" s="47" t="s">
        <v>24</v>
      </c>
      <c r="C16" s="51" t="s">
        <v>25</v>
      </c>
    </row>
    <row r="17" spans="1:3">
      <c r="A17" s="1"/>
      <c r="B17" s="47"/>
      <c r="C17" s="52" t="s">
        <v>26</v>
      </c>
    </row>
    <row r="18" spans="1:3">
      <c r="A18" s="1"/>
      <c r="B18" s="47"/>
      <c r="C18" s="53" t="s">
        <v>27</v>
      </c>
    </row>
    <row r="19" spans="1:3">
      <c r="A19" s="1"/>
      <c r="B19" s="47"/>
      <c r="C19" s="54" t="s">
        <v>28</v>
      </c>
    </row>
    <row r="20" spans="1:3">
      <c r="A20" s="1"/>
      <c r="B20" s="55"/>
      <c r="C20" s="56" t="s">
        <v>29</v>
      </c>
    </row>
    <row r="21" spans="1:3">
      <c r="A21" s="1"/>
      <c r="B21" s="55"/>
      <c r="C21" s="57" t="s">
        <v>30</v>
      </c>
    </row>
    <row r="22" spans="1:3">
      <c r="A22" s="1"/>
      <c r="B22" s="55"/>
      <c r="C22" s="58" t="s">
        <v>31</v>
      </c>
    </row>
    <row r="23" spans="1:3">
      <c r="B23" s="55"/>
      <c r="C23" s="59" t="s">
        <v>32</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3"/>
  <sheetViews>
    <sheetView tabSelected="1" zoomScale="86" workbookViewId="0">
      <selection activeCell="I12" sqref="I12"/>
    </sheetView>
  </sheetViews>
  <sheetFormatPr baseColWidth="10" defaultColWidth="10.85546875" defaultRowHeight="16"/>
  <cols>
    <col min="1" max="2" width="3.42578125" style="27" customWidth="1"/>
    <col min="3" max="3" width="51.42578125" style="27" customWidth="1"/>
    <col min="4" max="5" width="14.7109375" style="27" customWidth="1"/>
    <col min="6" max="6" width="4.42578125" style="27" customWidth="1"/>
    <col min="7" max="7" width="49.42578125" style="27" customWidth="1"/>
    <col min="8" max="8" width="20.85546875" style="27" customWidth="1"/>
    <col min="9" max="9" width="42.42578125" style="27" customWidth="1"/>
    <col min="10" max="10" width="5.42578125" style="27" customWidth="1"/>
    <col min="11" max="16384" width="10.85546875" style="27"/>
  </cols>
  <sheetData>
    <row r="2" spans="1:10">
      <c r="B2" s="159" t="s">
        <v>37</v>
      </c>
      <c r="C2" s="160"/>
      <c r="D2" s="160"/>
      <c r="E2" s="161"/>
    </row>
    <row r="3" spans="1:10">
      <c r="B3" s="162"/>
      <c r="C3" s="163"/>
      <c r="D3" s="163"/>
      <c r="E3" s="164"/>
    </row>
    <row r="4" spans="1:10">
      <c r="B4" s="162"/>
      <c r="C4" s="163"/>
      <c r="D4" s="163"/>
      <c r="E4" s="164"/>
    </row>
    <row r="5" spans="1:10">
      <c r="B5" s="165"/>
      <c r="C5" s="166"/>
      <c r="D5" s="166"/>
      <c r="E5" s="167"/>
    </row>
    <row r="7" spans="1:10" ht="17" thickBot="1"/>
    <row r="8" spans="1:10">
      <c r="B8" s="28"/>
      <c r="C8" s="16"/>
      <c r="D8" s="16"/>
      <c r="E8" s="16"/>
      <c r="F8" s="16"/>
      <c r="G8" s="16"/>
      <c r="H8" s="16"/>
      <c r="I8" s="16"/>
      <c r="J8" s="29"/>
    </row>
    <row r="9" spans="1:10" s="9" customFormat="1">
      <c r="B9" s="19"/>
      <c r="C9" s="12" t="s">
        <v>15</v>
      </c>
      <c r="D9" s="13" t="s">
        <v>4</v>
      </c>
      <c r="E9" s="11" t="s">
        <v>2</v>
      </c>
      <c r="F9" s="12"/>
      <c r="G9" s="12" t="s">
        <v>3</v>
      </c>
      <c r="H9" s="12"/>
      <c r="I9" s="12" t="s">
        <v>0</v>
      </c>
      <c r="J9" s="60"/>
    </row>
    <row r="10" spans="1:10" s="9" customFormat="1" ht="17" thickBot="1">
      <c r="B10" s="20"/>
      <c r="D10" s="26"/>
      <c r="J10" s="10"/>
    </row>
    <row r="11" spans="1:10" ht="17" thickBot="1">
      <c r="A11" s="64"/>
      <c r="B11" s="65"/>
      <c r="C11" s="155" t="s">
        <v>174</v>
      </c>
      <c r="D11" s="18" t="s">
        <v>1</v>
      </c>
      <c r="E11" s="156">
        <f>ROUND(Notes!$F$48,5)</f>
        <v>9.0380000000000002E-2</v>
      </c>
      <c r="F11" s="63"/>
      <c r="G11" s="155" t="s">
        <v>175</v>
      </c>
      <c r="H11" s="63"/>
      <c r="I11" s="157" t="s">
        <v>177</v>
      </c>
      <c r="J11" s="66"/>
    </row>
    <row r="12" spans="1:10" ht="17" thickBot="1">
      <c r="A12" s="64"/>
      <c r="B12" s="65"/>
      <c r="C12" s="172" t="s">
        <v>186</v>
      </c>
      <c r="D12" s="18" t="s">
        <v>1</v>
      </c>
      <c r="E12" s="156">
        <f>ROUND(Notes!$F$48,5)</f>
        <v>9.0380000000000002E-2</v>
      </c>
      <c r="F12" s="63"/>
      <c r="G12" s="155" t="s">
        <v>175</v>
      </c>
      <c r="H12" s="63"/>
      <c r="I12" s="157" t="s">
        <v>177</v>
      </c>
      <c r="J12" s="66"/>
    </row>
    <row r="13" spans="1:10" ht="17" thickBot="1">
      <c r="A13" s="64"/>
      <c r="B13" s="67"/>
      <c r="C13" s="68"/>
      <c r="D13" s="68"/>
      <c r="E13" s="68"/>
      <c r="F13" s="68"/>
      <c r="G13" s="68"/>
      <c r="H13" s="68"/>
      <c r="I13" s="68"/>
      <c r="J13" s="69"/>
    </row>
    <row r="14" spans="1:10">
      <c r="A14" s="64"/>
      <c r="B14" s="64"/>
      <c r="C14" s="64"/>
      <c r="D14" s="64"/>
      <c r="E14" s="64"/>
      <c r="F14" s="64"/>
      <c r="G14" s="64"/>
      <c r="H14" s="64"/>
      <c r="I14" s="64"/>
      <c r="J14" s="64"/>
    </row>
    <row r="15" spans="1:10">
      <c r="A15" s="64"/>
      <c r="B15" s="64"/>
      <c r="C15" s="64"/>
      <c r="D15" s="64"/>
      <c r="E15" s="64"/>
      <c r="F15" s="64"/>
      <c r="G15" s="64"/>
      <c r="H15" s="64"/>
      <c r="I15" s="64"/>
      <c r="J15" s="64"/>
    </row>
    <row r="16" spans="1:10">
      <c r="A16" s="64"/>
      <c r="B16" s="64"/>
      <c r="C16" s="64"/>
      <c r="D16" s="64"/>
      <c r="E16" s="64"/>
      <c r="F16" s="64"/>
      <c r="G16" s="64"/>
      <c r="H16" s="64"/>
      <c r="I16" s="64"/>
      <c r="J16" s="64"/>
    </row>
    <row r="17" spans="1:10">
      <c r="A17" s="64"/>
      <c r="B17" s="64"/>
      <c r="E17" s="64"/>
      <c r="F17" s="64"/>
      <c r="G17" s="64"/>
      <c r="H17" s="64"/>
      <c r="I17" s="64"/>
      <c r="J17" s="64"/>
    </row>
    <row r="18" spans="1:10">
      <c r="A18" s="64"/>
      <c r="B18" s="64"/>
      <c r="C18" s="64"/>
      <c r="D18" s="64"/>
      <c r="E18" s="64"/>
      <c r="F18" s="64"/>
      <c r="G18" s="64"/>
      <c r="H18" s="64"/>
      <c r="I18" s="64"/>
      <c r="J18" s="64"/>
    </row>
    <row r="19" spans="1:10">
      <c r="A19" s="64"/>
      <c r="B19" s="64"/>
      <c r="C19" s="64"/>
      <c r="D19" s="64"/>
      <c r="E19" s="64"/>
      <c r="F19" s="64"/>
      <c r="G19" s="64"/>
      <c r="H19" s="64"/>
      <c r="I19" s="64"/>
      <c r="J19" s="64"/>
    </row>
    <row r="20" spans="1:10">
      <c r="A20" s="64"/>
      <c r="B20" s="64"/>
      <c r="C20" s="64"/>
      <c r="D20" s="64"/>
      <c r="E20" s="64"/>
      <c r="F20" s="64"/>
      <c r="G20" s="64"/>
      <c r="H20" s="64"/>
      <c r="I20" s="64"/>
      <c r="J20" s="64"/>
    </row>
    <row r="21" spans="1:10">
      <c r="A21" s="64"/>
      <c r="B21" s="64"/>
      <c r="C21" s="64"/>
      <c r="D21" s="64"/>
      <c r="E21" s="64"/>
      <c r="F21" s="64"/>
      <c r="G21" s="64"/>
      <c r="H21" s="64"/>
      <c r="I21" s="64"/>
      <c r="J21" s="64"/>
    </row>
    <row r="22" spans="1:10">
      <c r="A22" s="64"/>
    </row>
    <row r="23" spans="1:10">
      <c r="A23" s="64"/>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3"/>
  <sheetViews>
    <sheetView topLeftCell="B1" workbookViewId="0">
      <selection activeCell="J7" sqref="J7"/>
    </sheetView>
  </sheetViews>
  <sheetFormatPr baseColWidth="10" defaultColWidth="33.140625" defaultRowHeight="16"/>
  <cols>
    <col min="1" max="1" width="3.42578125" style="30" customWidth="1"/>
    <col min="2" max="2" width="16.28515625" style="30" customWidth="1"/>
    <col min="3" max="3" width="24.42578125" style="30" customWidth="1"/>
    <col min="4" max="4" width="32.85546875" style="30" customWidth="1"/>
    <col min="5" max="5" width="6.140625" style="30" customWidth="1"/>
    <col min="6" max="6" width="16.28515625" style="30" customWidth="1"/>
    <col min="7" max="7" width="78" style="30" customWidth="1"/>
    <col min="8" max="8" width="12.42578125" style="34" customWidth="1"/>
    <col min="9" max="9" width="31.42578125" style="34" customWidth="1"/>
    <col min="10" max="10" width="98.42578125" style="30" customWidth="1"/>
    <col min="11" max="16384" width="33.140625" style="30"/>
  </cols>
  <sheetData>
    <row r="1" spans="2:10" ht="17" thickBot="1"/>
    <row r="2" spans="2:10">
      <c r="B2" s="31"/>
      <c r="C2" s="32"/>
      <c r="D2" s="32"/>
      <c r="E2" s="32"/>
      <c r="F2" s="32"/>
      <c r="G2" s="32"/>
      <c r="H2" s="35"/>
      <c r="I2" s="35"/>
      <c r="J2" s="32"/>
    </row>
    <row r="3" spans="2:10">
      <c r="B3" s="33"/>
      <c r="C3" s="9" t="s">
        <v>11</v>
      </c>
      <c r="D3" s="9"/>
      <c r="E3" s="9"/>
      <c r="F3" s="9"/>
      <c r="G3" s="9"/>
      <c r="H3" s="14"/>
      <c r="I3" s="14"/>
    </row>
    <row r="4" spans="2:10">
      <c r="B4" s="33"/>
    </row>
    <row r="5" spans="2:10">
      <c r="B5" s="36"/>
      <c r="C5" s="11" t="s">
        <v>12</v>
      </c>
      <c r="D5" s="11" t="s">
        <v>0</v>
      </c>
      <c r="E5" s="11" t="s">
        <v>8</v>
      </c>
      <c r="F5" s="11" t="s">
        <v>13</v>
      </c>
      <c r="G5" s="11" t="s">
        <v>39</v>
      </c>
      <c r="H5" s="15" t="s">
        <v>14</v>
      </c>
      <c r="I5" s="15" t="s">
        <v>34</v>
      </c>
      <c r="J5" s="11" t="s">
        <v>5</v>
      </c>
    </row>
    <row r="6" spans="2:10">
      <c r="B6" s="33"/>
      <c r="C6" s="9"/>
      <c r="D6" s="9"/>
      <c r="E6" s="9"/>
      <c r="F6" s="9"/>
      <c r="G6" s="9"/>
      <c r="H6" s="14"/>
      <c r="I6" s="14"/>
      <c r="J6" s="9"/>
    </row>
    <row r="7" spans="2:10">
      <c r="B7" s="33"/>
      <c r="C7" s="71" t="s">
        <v>45</v>
      </c>
      <c r="D7" s="152" t="s">
        <v>80</v>
      </c>
      <c r="E7" s="152" t="s">
        <v>162</v>
      </c>
      <c r="F7" s="152">
        <v>2025</v>
      </c>
      <c r="G7" s="152" t="s">
        <v>163</v>
      </c>
      <c r="H7" s="153">
        <v>45951</v>
      </c>
      <c r="I7" s="154" t="s">
        <v>164</v>
      </c>
    </row>
    <row r="8" spans="2:10">
      <c r="B8" s="33"/>
      <c r="C8" s="71"/>
      <c r="D8" s="152" t="s">
        <v>80</v>
      </c>
      <c r="E8" s="152" t="s">
        <v>162</v>
      </c>
      <c r="F8" s="152">
        <v>2025</v>
      </c>
      <c r="G8" s="152" t="s">
        <v>165</v>
      </c>
      <c r="H8" s="153">
        <v>45951</v>
      </c>
      <c r="I8" s="154" t="s">
        <v>166</v>
      </c>
    </row>
    <row r="9" spans="2:10">
      <c r="B9" s="33"/>
    </row>
    <row r="10" spans="2:10">
      <c r="B10" s="33"/>
    </row>
    <row r="11" spans="2:10">
      <c r="B11" s="33"/>
    </row>
    <row r="12" spans="2:10">
      <c r="B12" s="33"/>
    </row>
    <row r="13" spans="2:10">
      <c r="B13" s="33"/>
    </row>
  </sheetData>
  <phoneticPr fontId="22" type="noConversion"/>
  <hyperlinks>
    <hyperlink ref="I7" r:id="rId1" xr:uid="{877979D8-94D4-4246-B8F7-7FF5F6E32CF4}"/>
    <hyperlink ref="I8" r:id="rId2" xr:uid="{06CFC551-C46B-2F44-A4BE-28617D395B8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31"/>
  <sheetViews>
    <sheetView topLeftCell="A30" zoomScaleNormal="100" workbookViewId="0">
      <selection activeCell="F48" sqref="F48"/>
    </sheetView>
  </sheetViews>
  <sheetFormatPr baseColWidth="10" defaultColWidth="10.85546875" defaultRowHeight="16"/>
  <cols>
    <col min="1" max="2" width="3.42578125" style="37" customWidth="1"/>
    <col min="3" max="3" width="18.42578125" style="37" customWidth="1"/>
    <col min="4" max="4" width="7.140625" style="37" customWidth="1"/>
    <col min="5" max="5" width="23.7109375" style="37" bestFit="1" customWidth="1"/>
    <col min="6" max="6" width="15" style="37" customWidth="1"/>
    <col min="7" max="7" width="23.140625" style="37" customWidth="1"/>
    <col min="8" max="13" width="10.85546875" style="37"/>
    <col min="14" max="15" width="15.7109375" style="37" customWidth="1"/>
    <col min="16" max="16" width="24.42578125" style="37" customWidth="1"/>
    <col min="17" max="16384" width="10.85546875" style="37"/>
  </cols>
  <sheetData>
    <row r="1" spans="1:26" ht="17" thickBot="1"/>
    <row r="2" spans="1:26">
      <c r="B2" s="38"/>
      <c r="C2" s="39"/>
      <c r="D2" s="39"/>
      <c r="E2" s="39"/>
      <c r="F2" s="39"/>
      <c r="G2" s="39"/>
      <c r="H2" s="39"/>
      <c r="I2" s="39"/>
      <c r="J2" s="39"/>
      <c r="K2" s="39"/>
      <c r="L2" s="39"/>
      <c r="M2" s="39"/>
      <c r="N2" s="40"/>
    </row>
    <row r="3" spans="1:26" ht="17" customHeight="1">
      <c r="A3" s="41"/>
      <c r="B3" s="61"/>
      <c r="C3" s="44" t="s">
        <v>0</v>
      </c>
      <c r="D3" s="44" t="s">
        <v>35</v>
      </c>
      <c r="E3" s="44" t="s">
        <v>17</v>
      </c>
      <c r="F3" s="44"/>
      <c r="G3" s="44"/>
      <c r="H3" s="42"/>
      <c r="I3" s="42"/>
      <c r="J3" s="42"/>
      <c r="K3" s="42"/>
      <c r="L3" s="42"/>
      <c r="M3" s="42"/>
      <c r="N3" s="62"/>
    </row>
    <row r="4" spans="1:26" ht="17" customHeight="1">
      <c r="A4" s="41"/>
      <c r="B4" s="70"/>
      <c r="C4" s="41"/>
      <c r="D4" s="41"/>
      <c r="E4" s="41"/>
      <c r="F4" s="41"/>
      <c r="G4" s="41"/>
    </row>
    <row r="5" spans="1:26" ht="17" customHeight="1">
      <c r="A5" s="41"/>
      <c r="B5" s="70"/>
      <c r="C5" s="37" t="s">
        <v>80</v>
      </c>
      <c r="D5" s="41"/>
      <c r="E5" s="41" t="s">
        <v>139</v>
      </c>
      <c r="O5" s="37" t="s">
        <v>121</v>
      </c>
    </row>
    <row r="6" spans="1:26" ht="17" customHeight="1">
      <c r="A6" s="41"/>
      <c r="B6" s="70"/>
      <c r="D6" s="41"/>
      <c r="E6" s="37" t="s">
        <v>140</v>
      </c>
      <c r="F6" s="72">
        <f>T12/(1-F32)</f>
        <v>288.44444444444451</v>
      </c>
      <c r="G6" s="37" t="s">
        <v>44</v>
      </c>
      <c r="H6" s="37" t="s">
        <v>145</v>
      </c>
      <c r="O6" s="74" t="s">
        <v>50</v>
      </c>
      <c r="P6" s="75"/>
      <c r="Q6" s="170" t="s">
        <v>81</v>
      </c>
      <c r="R6" s="171"/>
      <c r="S6" s="171"/>
      <c r="T6" s="171"/>
      <c r="U6" s="171"/>
      <c r="V6" s="171"/>
      <c r="W6" s="171"/>
      <c r="X6" s="171"/>
      <c r="Y6" s="171"/>
      <c r="Z6" s="171"/>
    </row>
    <row r="7" spans="1:26" ht="17" customHeight="1">
      <c r="A7" s="41"/>
      <c r="B7" s="70"/>
      <c r="D7" s="41"/>
      <c r="E7" s="37" t="s">
        <v>42</v>
      </c>
      <c r="F7" s="86">
        <f>F56</f>
        <v>8000</v>
      </c>
      <c r="G7" s="37" t="s">
        <v>141</v>
      </c>
      <c r="H7" s="37" t="s">
        <v>146</v>
      </c>
      <c r="O7" s="76" t="s">
        <v>49</v>
      </c>
      <c r="P7" s="76"/>
      <c r="Q7" s="85">
        <v>2020</v>
      </c>
      <c r="R7" s="85">
        <v>2030</v>
      </c>
      <c r="S7" s="85">
        <v>2040</v>
      </c>
      <c r="T7" s="85">
        <v>2050</v>
      </c>
      <c r="U7" s="124">
        <v>2020</v>
      </c>
      <c r="V7" s="124">
        <v>2020</v>
      </c>
      <c r="W7" s="124">
        <v>2050</v>
      </c>
      <c r="X7" s="124">
        <v>2050</v>
      </c>
      <c r="Y7" s="125" t="s">
        <v>51</v>
      </c>
      <c r="Z7" s="125" t="s">
        <v>52</v>
      </c>
    </row>
    <row r="8" spans="1:26" ht="17" customHeight="1" thickBot="1">
      <c r="A8" s="41"/>
      <c r="B8" s="43"/>
      <c r="E8" s="37" t="s">
        <v>43</v>
      </c>
      <c r="F8" s="86">
        <f>F57</f>
        <v>25</v>
      </c>
      <c r="G8" s="37" t="s">
        <v>131</v>
      </c>
      <c r="O8" s="77" t="s">
        <v>53</v>
      </c>
      <c r="P8" s="78"/>
      <c r="Q8" s="79" t="s">
        <v>54</v>
      </c>
      <c r="R8" s="79" t="s">
        <v>54</v>
      </c>
      <c r="S8" s="79" t="s">
        <v>54</v>
      </c>
      <c r="T8" s="79" t="s">
        <v>54</v>
      </c>
      <c r="U8" s="79" t="s">
        <v>55</v>
      </c>
      <c r="V8" s="79" t="s">
        <v>56</v>
      </c>
      <c r="W8" s="79" t="s">
        <v>55</v>
      </c>
      <c r="X8" s="79" t="s">
        <v>56</v>
      </c>
      <c r="Y8" s="126" t="s">
        <v>1</v>
      </c>
      <c r="Z8" s="126" t="s">
        <v>1</v>
      </c>
    </row>
    <row r="9" spans="1:26" ht="17" customHeight="1">
      <c r="A9" s="41"/>
      <c r="B9" s="43"/>
      <c r="E9" s="37" t="s">
        <v>147</v>
      </c>
      <c r="F9" s="86">
        <f>F58</f>
        <v>2</v>
      </c>
      <c r="G9" s="37" t="s">
        <v>131</v>
      </c>
      <c r="O9" s="127" t="s">
        <v>57</v>
      </c>
      <c r="P9" s="127" t="s">
        <v>58</v>
      </c>
      <c r="Q9" s="80"/>
      <c r="R9" s="128"/>
      <c r="S9" s="128"/>
      <c r="T9" s="128"/>
      <c r="U9" s="128"/>
      <c r="V9" s="128"/>
      <c r="W9" s="128"/>
      <c r="X9" s="128"/>
      <c r="Y9" s="129"/>
      <c r="Z9" s="129"/>
    </row>
    <row r="10" spans="1:26" ht="17" customHeight="1">
      <c r="A10" s="41"/>
      <c r="B10" s="43"/>
      <c r="E10" s="37" t="s">
        <v>148</v>
      </c>
      <c r="F10" s="72">
        <f>F59</f>
        <v>0.94230769230769229</v>
      </c>
      <c r="O10" s="81" t="s">
        <v>59</v>
      </c>
      <c r="P10" s="130"/>
      <c r="Q10" s="128"/>
      <c r="R10" s="128"/>
      <c r="S10" s="128"/>
      <c r="T10" s="128"/>
      <c r="U10" s="128"/>
      <c r="V10" s="128"/>
      <c r="W10" s="128"/>
      <c r="X10" s="128"/>
      <c r="Y10" s="129"/>
      <c r="Z10" s="129"/>
    </row>
    <row r="11" spans="1:26" ht="17" customHeight="1">
      <c r="A11" s="41"/>
      <c r="B11" s="43"/>
      <c r="O11" s="81"/>
      <c r="P11" s="131" t="s">
        <v>82</v>
      </c>
      <c r="Q11" s="132">
        <v>2</v>
      </c>
      <c r="R11" s="135">
        <v>13</v>
      </c>
      <c r="S11" s="132">
        <v>41</v>
      </c>
      <c r="T11" s="132">
        <v>165</v>
      </c>
      <c r="U11" s="133">
        <v>0.5</v>
      </c>
      <c r="V11" s="133">
        <v>1.5</v>
      </c>
      <c r="W11" s="133">
        <v>0.5</v>
      </c>
      <c r="X11" s="133">
        <v>1.5</v>
      </c>
      <c r="Y11" s="134" t="s">
        <v>83</v>
      </c>
      <c r="Z11" s="134" t="s">
        <v>84</v>
      </c>
    </row>
    <row r="12" spans="1:26" ht="17" customHeight="1">
      <c r="A12" s="41"/>
      <c r="B12" s="43"/>
      <c r="E12" s="37" t="s">
        <v>40</v>
      </c>
      <c r="F12" s="150">
        <f>F61</f>
        <v>871988000</v>
      </c>
      <c r="G12" s="37" t="s">
        <v>16</v>
      </c>
      <c r="O12" s="81"/>
      <c r="P12" s="131" t="s">
        <v>85</v>
      </c>
      <c r="Q12" s="132">
        <v>3.1</v>
      </c>
      <c r="R12" s="135">
        <v>20.5</v>
      </c>
      <c r="S12" s="132">
        <v>64.5</v>
      </c>
      <c r="T12" s="132">
        <v>259.60000000000002</v>
      </c>
      <c r="U12" s="133">
        <v>0.5</v>
      </c>
      <c r="V12" s="133">
        <v>1.5</v>
      </c>
      <c r="W12" s="133">
        <v>0.5</v>
      </c>
      <c r="X12" s="133">
        <v>1.5</v>
      </c>
      <c r="Y12" s="134" t="s">
        <v>86</v>
      </c>
      <c r="Z12" s="134" t="s">
        <v>87</v>
      </c>
    </row>
    <row r="13" spans="1:26" ht="17" customHeight="1">
      <c r="A13" s="41"/>
      <c r="B13" s="43"/>
      <c r="E13" s="37" t="s">
        <v>135</v>
      </c>
      <c r="F13" s="151">
        <f>F62</f>
        <v>2214849.5199999996</v>
      </c>
      <c r="G13" s="37" t="s">
        <v>142</v>
      </c>
      <c r="O13" s="81"/>
      <c r="P13" s="130" t="s">
        <v>47</v>
      </c>
      <c r="Q13" s="135"/>
      <c r="R13" s="135"/>
      <c r="S13" s="135"/>
      <c r="T13" s="135"/>
      <c r="U13" s="135"/>
      <c r="V13" s="135"/>
      <c r="W13" s="135"/>
      <c r="X13" s="135"/>
      <c r="Y13" s="129"/>
      <c r="Z13" s="129"/>
    </row>
    <row r="14" spans="1:26" ht="17" customHeight="1">
      <c r="A14" s="41"/>
      <c r="B14" s="43"/>
      <c r="E14" s="37" t="s">
        <v>137</v>
      </c>
      <c r="F14" s="72">
        <f>F64</f>
        <v>91.558739999999986</v>
      </c>
      <c r="G14" s="37" t="s">
        <v>36</v>
      </c>
      <c r="O14" s="81"/>
      <c r="P14" s="131" t="s">
        <v>88</v>
      </c>
      <c r="Q14" s="132">
        <v>4.3</v>
      </c>
      <c r="R14" s="135">
        <v>3.9</v>
      </c>
      <c r="S14" s="132">
        <v>3.6</v>
      </c>
      <c r="T14" s="132">
        <v>3.3</v>
      </c>
      <c r="U14" s="133">
        <v>1</v>
      </c>
      <c r="V14" s="133">
        <v>1.1000000000000001</v>
      </c>
      <c r="W14" s="133">
        <v>1</v>
      </c>
      <c r="X14" s="133">
        <v>1.1000000000000001</v>
      </c>
      <c r="Y14" s="134" t="s">
        <v>89</v>
      </c>
      <c r="Z14" s="134"/>
    </row>
    <row r="15" spans="1:26" ht="17" customHeight="1">
      <c r="A15" s="41"/>
      <c r="B15" s="43"/>
      <c r="F15" s="73"/>
      <c r="O15" s="81"/>
      <c r="P15" s="131" t="s">
        <v>90</v>
      </c>
      <c r="Q15" s="132">
        <v>0.995</v>
      </c>
      <c r="R15" s="135">
        <v>0.995</v>
      </c>
      <c r="S15" s="132">
        <v>0.995</v>
      </c>
      <c r="T15" s="132">
        <v>0.995</v>
      </c>
      <c r="U15" s="133">
        <v>0.75</v>
      </c>
      <c r="V15" s="133">
        <v>1.25</v>
      </c>
      <c r="W15" s="133">
        <v>0.75</v>
      </c>
      <c r="X15" s="133">
        <v>1.25</v>
      </c>
      <c r="Y15" s="134" t="s">
        <v>91</v>
      </c>
      <c r="Z15" s="134"/>
    </row>
    <row r="16" spans="1:26" ht="17" customHeight="1">
      <c r="A16" s="41"/>
      <c r="B16" s="43"/>
      <c r="E16" s="41" t="s">
        <v>143</v>
      </c>
      <c r="F16" s="72"/>
      <c r="O16" s="81"/>
      <c r="P16" s="131" t="s">
        <v>92</v>
      </c>
      <c r="Q16" s="132">
        <v>5.0000000000000001E-3</v>
      </c>
      <c r="R16" s="135">
        <v>5.0000000000000001E-3</v>
      </c>
      <c r="S16" s="132">
        <v>5.0000000000000001E-3</v>
      </c>
      <c r="T16" s="132">
        <v>5.0000000000000001E-3</v>
      </c>
      <c r="U16" s="133">
        <v>0.75</v>
      </c>
      <c r="V16" s="133">
        <v>1.25</v>
      </c>
      <c r="W16" s="133">
        <v>0.75</v>
      </c>
      <c r="X16" s="133">
        <v>1.25</v>
      </c>
      <c r="Y16" s="134" t="s">
        <v>60</v>
      </c>
      <c r="Z16" s="134"/>
    </row>
    <row r="17" spans="1:26" ht="17" customHeight="1">
      <c r="A17" s="41"/>
      <c r="B17" s="43"/>
      <c r="E17" s="37" t="s">
        <v>158</v>
      </c>
      <c r="F17" s="72">
        <f>H39</f>
        <v>0.52500000000000002</v>
      </c>
      <c r="O17" s="81"/>
      <c r="P17" s="130" t="s">
        <v>48</v>
      </c>
      <c r="Q17" s="135"/>
      <c r="R17" s="135"/>
      <c r="S17" s="135"/>
      <c r="T17" s="135"/>
      <c r="U17" s="135"/>
      <c r="V17" s="135"/>
      <c r="W17" s="135"/>
      <c r="X17" s="135"/>
      <c r="Y17" s="129"/>
      <c r="Z17" s="129"/>
    </row>
    <row r="18" spans="1:26" ht="17" customHeight="1">
      <c r="A18" s="41"/>
      <c r="B18" s="43"/>
      <c r="E18" s="37" t="s">
        <v>159</v>
      </c>
      <c r="F18" s="37">
        <f>H40</f>
        <v>0.17499999999999999</v>
      </c>
      <c r="O18" s="81"/>
      <c r="P18" s="131" t="s">
        <v>93</v>
      </c>
      <c r="Q18" s="132">
        <v>0.65</v>
      </c>
      <c r="R18" s="135">
        <v>0.7</v>
      </c>
      <c r="S18" s="132">
        <v>0.73</v>
      </c>
      <c r="T18" s="132">
        <v>0.75</v>
      </c>
      <c r="U18" s="133">
        <v>0.8</v>
      </c>
      <c r="V18" s="133">
        <v>1.2</v>
      </c>
      <c r="W18" s="133">
        <v>0.8</v>
      </c>
      <c r="X18" s="133">
        <v>1.2</v>
      </c>
      <c r="Y18" s="134" t="s">
        <v>94</v>
      </c>
      <c r="Z18" s="134" t="s">
        <v>95</v>
      </c>
    </row>
    <row r="19" spans="1:26" ht="17" customHeight="1">
      <c r="A19" s="41"/>
      <c r="B19" s="43"/>
      <c r="E19" s="37" t="s">
        <v>144</v>
      </c>
      <c r="F19" s="72">
        <f>G32</f>
        <v>0.30000000000000004</v>
      </c>
      <c r="O19" s="81"/>
      <c r="P19" s="131" t="s">
        <v>61</v>
      </c>
      <c r="Q19" s="132">
        <v>0.25</v>
      </c>
      <c r="R19" s="135">
        <v>0.2</v>
      </c>
      <c r="S19" s="132">
        <v>0.17</v>
      </c>
      <c r="T19" s="132">
        <v>0.15</v>
      </c>
      <c r="U19" s="133">
        <v>0.8</v>
      </c>
      <c r="V19" s="133">
        <v>1.2</v>
      </c>
      <c r="W19" s="133">
        <v>0.8</v>
      </c>
      <c r="X19" s="133">
        <v>1.2</v>
      </c>
      <c r="Y19" s="134" t="s">
        <v>62</v>
      </c>
      <c r="Z19" s="134"/>
    </row>
    <row r="20" spans="1:26" ht="17" customHeight="1">
      <c r="A20" s="41"/>
      <c r="B20" s="70"/>
      <c r="E20" s="37" t="s">
        <v>41</v>
      </c>
      <c r="F20" s="72">
        <f>F26</f>
        <v>0.995</v>
      </c>
      <c r="H20" s="41"/>
      <c r="O20" s="81"/>
      <c r="P20" s="131" t="s">
        <v>64</v>
      </c>
      <c r="Q20" s="132">
        <v>0</v>
      </c>
      <c r="R20" s="135">
        <v>0</v>
      </c>
      <c r="S20" s="132">
        <v>0</v>
      </c>
      <c r="T20" s="132">
        <v>0</v>
      </c>
      <c r="U20" s="132"/>
      <c r="V20" s="132"/>
      <c r="W20" s="132"/>
      <c r="X20" s="132"/>
      <c r="Y20" s="134" t="s">
        <v>63</v>
      </c>
      <c r="Z20" s="134"/>
    </row>
    <row r="21" spans="1:26" ht="17" customHeight="1">
      <c r="A21" s="41"/>
      <c r="B21" s="70"/>
      <c r="E21" s="37" t="s">
        <v>38</v>
      </c>
      <c r="F21" s="73">
        <f>F27</f>
        <v>5.0000000000000001E-3</v>
      </c>
      <c r="G21" s="41"/>
      <c r="O21" s="81"/>
      <c r="P21" s="131" t="s">
        <v>65</v>
      </c>
      <c r="Q21" s="132">
        <v>3</v>
      </c>
      <c r="R21" s="135"/>
      <c r="S21" s="132"/>
      <c r="T21" s="132"/>
      <c r="U21" s="132"/>
      <c r="V21" s="132"/>
      <c r="W21" s="132"/>
      <c r="X21" s="132"/>
      <c r="Y21" s="134"/>
      <c r="Z21" s="134">
        <v>18</v>
      </c>
    </row>
    <row r="22" spans="1:26" ht="17" customHeight="1">
      <c r="A22" s="41"/>
      <c r="B22" s="70"/>
      <c r="O22" s="81"/>
      <c r="P22" s="131" t="s">
        <v>66</v>
      </c>
      <c r="Q22" s="132">
        <v>25</v>
      </c>
      <c r="R22" s="135"/>
      <c r="S22" s="132"/>
      <c r="T22" s="132"/>
      <c r="U22" s="132"/>
      <c r="V22" s="132"/>
      <c r="W22" s="132"/>
      <c r="X22" s="132"/>
      <c r="Y22" s="134"/>
      <c r="Z22" s="134"/>
    </row>
    <row r="23" spans="1:26" ht="17" customHeight="1">
      <c r="A23" s="41"/>
      <c r="B23" s="70"/>
      <c r="O23" s="81"/>
      <c r="P23" s="131" t="s">
        <v>67</v>
      </c>
      <c r="Q23" s="132">
        <v>2</v>
      </c>
      <c r="R23" s="135"/>
      <c r="S23" s="132"/>
      <c r="T23" s="132"/>
      <c r="U23" s="132"/>
      <c r="V23" s="132"/>
      <c r="W23" s="132"/>
      <c r="X23" s="132"/>
      <c r="Y23" s="134"/>
      <c r="Z23" s="134"/>
    </row>
    <row r="24" spans="1:26" ht="17" customHeight="1">
      <c r="A24" s="41"/>
      <c r="B24" s="70"/>
      <c r="E24" s="41" t="s">
        <v>122</v>
      </c>
      <c r="F24" s="41"/>
      <c r="G24" s="41"/>
      <c r="O24" s="81" t="s">
        <v>68</v>
      </c>
      <c r="P24" s="130"/>
      <c r="Q24" s="135"/>
      <c r="R24" s="135"/>
      <c r="S24" s="135"/>
      <c r="T24" s="135"/>
      <c r="U24" s="135"/>
      <c r="V24" s="135"/>
      <c r="W24" s="135"/>
      <c r="X24" s="135"/>
      <c r="Y24" s="129"/>
      <c r="Z24" s="129"/>
    </row>
    <row r="25" spans="1:26" ht="17" customHeight="1">
      <c r="A25" s="41"/>
      <c r="B25" s="70"/>
      <c r="E25" s="84" t="s">
        <v>75</v>
      </c>
      <c r="F25" s="37" t="s">
        <v>155</v>
      </c>
      <c r="G25" s="37" t="s">
        <v>157</v>
      </c>
      <c r="O25" s="81"/>
      <c r="P25" s="131" t="s">
        <v>96</v>
      </c>
      <c r="Q25" s="136">
        <v>2.2331399999999997</v>
      </c>
      <c r="R25" s="145">
        <v>1.7014399999999998</v>
      </c>
      <c r="S25" s="136">
        <v>1.16974</v>
      </c>
      <c r="T25" s="136">
        <v>0.95705999999999991</v>
      </c>
      <c r="U25" s="133">
        <v>0.75</v>
      </c>
      <c r="V25" s="133">
        <v>1.5</v>
      </c>
      <c r="W25" s="133">
        <v>0.75</v>
      </c>
      <c r="X25" s="133">
        <v>1.25</v>
      </c>
      <c r="Y25" s="134" t="s">
        <v>97</v>
      </c>
      <c r="Z25" s="134" t="s">
        <v>98</v>
      </c>
    </row>
    <row r="26" spans="1:26" ht="17" customHeight="1">
      <c r="A26" s="41"/>
      <c r="B26" s="70"/>
      <c r="E26" s="37" t="s">
        <v>76</v>
      </c>
      <c r="F26" s="73">
        <f>R15</f>
        <v>0.995</v>
      </c>
      <c r="G26" s="73">
        <f>F26</f>
        <v>0.995</v>
      </c>
      <c r="O26" s="81"/>
      <c r="P26" s="131" t="s">
        <v>70</v>
      </c>
      <c r="Q26" s="132">
        <v>75</v>
      </c>
      <c r="R26" s="135">
        <v>75</v>
      </c>
      <c r="S26" s="132">
        <v>75</v>
      </c>
      <c r="T26" s="132">
        <v>75</v>
      </c>
      <c r="U26" s="132"/>
      <c r="V26" s="132"/>
      <c r="W26" s="132"/>
      <c r="X26" s="132"/>
      <c r="Y26" s="134" t="s">
        <v>99</v>
      </c>
      <c r="Z26" s="134"/>
    </row>
    <row r="27" spans="1:26" ht="17" customHeight="1">
      <c r="A27" s="41"/>
      <c r="B27" s="70"/>
      <c r="E27" s="37" t="s">
        <v>77</v>
      </c>
      <c r="F27" s="73">
        <f>R16</f>
        <v>5.0000000000000001E-3</v>
      </c>
      <c r="G27" s="73">
        <f>F27</f>
        <v>5.0000000000000001E-3</v>
      </c>
      <c r="O27" s="81"/>
      <c r="P27" s="131" t="s">
        <v>71</v>
      </c>
      <c r="Q27" s="132">
        <v>25</v>
      </c>
      <c r="R27" s="135">
        <v>25</v>
      </c>
      <c r="S27" s="132">
        <v>25</v>
      </c>
      <c r="T27" s="132">
        <v>25</v>
      </c>
      <c r="U27" s="132"/>
      <c r="V27" s="132"/>
      <c r="W27" s="132"/>
      <c r="X27" s="132"/>
      <c r="Y27" s="134"/>
      <c r="Z27" s="134"/>
    </row>
    <row r="28" spans="1:26" ht="17" customHeight="1">
      <c r="A28" s="41"/>
      <c r="B28" s="70"/>
      <c r="E28" s="37" t="s">
        <v>78</v>
      </c>
      <c r="F28" s="37">
        <f>SUM(F26:F27)</f>
        <v>1</v>
      </c>
      <c r="G28" s="37">
        <f>SUM(G26:G27)</f>
        <v>1</v>
      </c>
      <c r="O28" s="81"/>
      <c r="P28" s="131" t="s">
        <v>100</v>
      </c>
      <c r="Q28" s="136">
        <v>17.971459999999997</v>
      </c>
      <c r="R28" s="145">
        <v>13.505179999999998</v>
      </c>
      <c r="S28" s="136">
        <v>9.0388999999999999</v>
      </c>
      <c r="T28" s="136">
        <v>7.8691599999999999</v>
      </c>
      <c r="U28" s="133">
        <v>0.9</v>
      </c>
      <c r="V28" s="133">
        <v>1.1000000000000001</v>
      </c>
      <c r="W28" s="133">
        <v>0.9</v>
      </c>
      <c r="X28" s="133">
        <v>1.1000000000000001</v>
      </c>
      <c r="Y28" s="134" t="s">
        <v>69</v>
      </c>
      <c r="Z28" s="134">
        <v>18</v>
      </c>
    </row>
    <row r="29" spans="1:26" ht="17" customHeight="1">
      <c r="A29" s="41"/>
      <c r="B29" s="70"/>
      <c r="E29" s="84" t="s">
        <v>79</v>
      </c>
      <c r="O29" s="81"/>
      <c r="P29" s="131" t="s">
        <v>101</v>
      </c>
      <c r="Q29" s="136">
        <v>5.6360199999999994</v>
      </c>
      <c r="R29" s="145">
        <v>4.4662799999999994</v>
      </c>
      <c r="S29" s="136">
        <v>3.4028799999999997</v>
      </c>
      <c r="T29" s="136">
        <v>2.2331399999999997</v>
      </c>
      <c r="U29" s="133">
        <v>0.9</v>
      </c>
      <c r="V29" s="133">
        <v>1.1000000000000001</v>
      </c>
      <c r="W29" s="133">
        <v>0.9</v>
      </c>
      <c r="X29" s="133">
        <v>1.1000000000000001</v>
      </c>
      <c r="Y29" s="134" t="s">
        <v>72</v>
      </c>
      <c r="Z29" s="134">
        <v>26</v>
      </c>
    </row>
    <row r="30" spans="1:26" ht="17" customHeight="1">
      <c r="A30" s="41"/>
      <c r="B30" s="70"/>
      <c r="E30" s="37" t="s">
        <v>123</v>
      </c>
      <c r="F30" s="37">
        <f>R18</f>
        <v>0.7</v>
      </c>
      <c r="G30" s="37">
        <f>F30</f>
        <v>0.7</v>
      </c>
      <c r="O30" s="81"/>
      <c r="P30" s="131" t="s">
        <v>102</v>
      </c>
      <c r="Q30" s="132">
        <v>0</v>
      </c>
      <c r="R30" s="135">
        <v>0</v>
      </c>
      <c r="S30" s="132">
        <v>0</v>
      </c>
      <c r="T30" s="132">
        <v>0</v>
      </c>
      <c r="U30" s="132"/>
      <c r="V30" s="132"/>
      <c r="W30" s="132"/>
      <c r="X30" s="132"/>
      <c r="Y30" s="134"/>
      <c r="Z30" s="134"/>
    </row>
    <row r="31" spans="1:26" ht="17" customHeight="1">
      <c r="A31" s="41"/>
      <c r="B31" s="70"/>
      <c r="E31" s="37" t="s">
        <v>124</v>
      </c>
      <c r="F31" s="148">
        <f>R19</f>
        <v>0.2</v>
      </c>
      <c r="O31" s="130" t="s">
        <v>73</v>
      </c>
      <c r="P31" s="83"/>
      <c r="Q31" s="132"/>
      <c r="R31" s="135"/>
      <c r="S31" s="132"/>
      <c r="T31" s="132"/>
      <c r="U31" s="132"/>
      <c r="V31" s="132"/>
      <c r="W31" s="132"/>
      <c r="X31" s="132"/>
      <c r="Y31" s="134"/>
      <c r="Z31" s="134"/>
    </row>
    <row r="32" spans="1:26" ht="17" customHeight="1">
      <c r="A32" s="41"/>
      <c r="B32" s="70"/>
      <c r="E32" s="37" t="s">
        <v>125</v>
      </c>
      <c r="F32" s="148">
        <f>1-SUM(F30:F31)</f>
        <v>0.10000000000000009</v>
      </c>
      <c r="G32" s="37">
        <f>1-G30</f>
        <v>0.30000000000000004</v>
      </c>
      <c r="O32" s="81"/>
      <c r="P32" s="131" t="s">
        <v>103</v>
      </c>
      <c r="Q32" s="137">
        <v>3.5091299760000001</v>
      </c>
      <c r="R32" s="146">
        <v>2.6584318000000002</v>
      </c>
      <c r="S32" s="137">
        <v>1.8077336239999999</v>
      </c>
      <c r="T32" s="137">
        <v>1.488721808</v>
      </c>
      <c r="U32" s="133">
        <v>0.75</v>
      </c>
      <c r="V32" s="133">
        <v>1.5</v>
      </c>
      <c r="W32" s="133">
        <v>0.75</v>
      </c>
      <c r="X32" s="133">
        <v>1.25</v>
      </c>
      <c r="Y32" s="134" t="s">
        <v>97</v>
      </c>
      <c r="Z32" s="134" t="s">
        <v>98</v>
      </c>
    </row>
    <row r="33" spans="1:26" ht="17" customHeight="1">
      <c r="A33" s="41"/>
      <c r="B33" s="70"/>
      <c r="O33" s="81"/>
      <c r="P33" s="131" t="s">
        <v>70</v>
      </c>
      <c r="Q33" s="132">
        <v>75</v>
      </c>
      <c r="R33" s="135">
        <v>75</v>
      </c>
      <c r="S33" s="132">
        <v>75</v>
      </c>
      <c r="T33" s="132">
        <v>75</v>
      </c>
      <c r="U33" s="132"/>
      <c r="V33" s="132"/>
      <c r="W33" s="132"/>
      <c r="X33" s="132"/>
      <c r="Y33" s="134" t="s">
        <v>99</v>
      </c>
      <c r="Z33" s="134"/>
    </row>
    <row r="34" spans="1:26" ht="17" customHeight="1">
      <c r="A34" s="41"/>
      <c r="B34" s="70"/>
      <c r="E34" s="84" t="s">
        <v>149</v>
      </c>
      <c r="O34" s="81"/>
      <c r="P34" s="131" t="s">
        <v>71</v>
      </c>
      <c r="Q34" s="132">
        <v>25</v>
      </c>
      <c r="R34" s="135">
        <v>25</v>
      </c>
      <c r="S34" s="132">
        <v>25</v>
      </c>
      <c r="T34" s="132">
        <v>25</v>
      </c>
      <c r="U34" s="132"/>
      <c r="V34" s="132"/>
      <c r="W34" s="132"/>
      <c r="X34" s="132"/>
      <c r="Y34" s="134"/>
      <c r="Z34" s="134"/>
    </row>
    <row r="35" spans="1:26" ht="17" customHeight="1">
      <c r="A35" s="41"/>
      <c r="B35" s="70"/>
      <c r="E35" s="37" t="s">
        <v>150</v>
      </c>
      <c r="O35" s="81"/>
      <c r="P35" s="131" t="s">
        <v>104</v>
      </c>
      <c r="Q35" s="136">
        <v>0.1701396352</v>
      </c>
      <c r="R35" s="145">
        <v>0.12760472640000001</v>
      </c>
      <c r="S35" s="136">
        <v>8.50698176E-2</v>
      </c>
      <c r="T35" s="136">
        <v>7.4436090400000016E-2</v>
      </c>
      <c r="U35" s="133">
        <v>0.9</v>
      </c>
      <c r="V35" s="133">
        <v>1.1000000000000001</v>
      </c>
      <c r="W35" s="133">
        <v>0.9</v>
      </c>
      <c r="X35" s="133">
        <v>1.1000000000000001</v>
      </c>
      <c r="Y35" s="134" t="s">
        <v>69</v>
      </c>
      <c r="Z35" s="134">
        <v>18</v>
      </c>
    </row>
    <row r="36" spans="1:26" ht="17" customHeight="1">
      <c r="A36" s="41"/>
      <c r="B36" s="70"/>
      <c r="E36" s="37" t="str">
        <f>P54</f>
        <v>O. A reasonable distribution of the FT fuels might be 60% jet fuel, 20% gasoline, and 20% lighter products (LPG and fuel gas), but the distribution of outputs could be very different depending on the plant design, catalyst and the operating conditions.</v>
      </c>
      <c r="O36" s="81"/>
      <c r="P36" s="131" t="s">
        <v>105</v>
      </c>
      <c r="Q36" s="136">
        <v>5.3168636000000005E-2</v>
      </c>
      <c r="R36" s="145">
        <v>4.25349088E-2</v>
      </c>
      <c r="S36" s="136">
        <v>3.1901181600000002E-2</v>
      </c>
      <c r="T36" s="136">
        <v>2.12674544E-2</v>
      </c>
      <c r="U36" s="133">
        <v>0.9</v>
      </c>
      <c r="V36" s="133">
        <v>1.1000000000000001</v>
      </c>
      <c r="W36" s="133">
        <v>0.9</v>
      </c>
      <c r="X36" s="133">
        <v>1.1000000000000001</v>
      </c>
      <c r="Y36" s="134" t="s">
        <v>72</v>
      </c>
      <c r="Z36" s="134">
        <v>26</v>
      </c>
    </row>
    <row r="37" spans="1:26" ht="17" customHeight="1" thickBot="1">
      <c r="A37" s="41"/>
      <c r="B37" s="70"/>
      <c r="O37" s="82"/>
      <c r="P37" s="138" t="s">
        <v>102</v>
      </c>
      <c r="Q37" s="139">
        <v>0</v>
      </c>
      <c r="R37" s="147">
        <v>0</v>
      </c>
      <c r="S37" s="139">
        <v>0</v>
      </c>
      <c r="T37" s="139">
        <v>0</v>
      </c>
      <c r="U37" s="139"/>
      <c r="V37" s="139"/>
      <c r="W37" s="139"/>
      <c r="X37" s="139"/>
      <c r="Y37" s="140"/>
      <c r="Z37" s="140"/>
    </row>
    <row r="38" spans="1:26" ht="17" customHeight="1">
      <c r="A38" s="41"/>
      <c r="B38" s="70"/>
      <c r="E38" s="84" t="s">
        <v>79</v>
      </c>
      <c r="F38" s="37" t="s">
        <v>154</v>
      </c>
      <c r="G38" s="37" t="s">
        <v>156</v>
      </c>
      <c r="H38" s="37" t="s">
        <v>157</v>
      </c>
      <c r="O38" s="83"/>
      <c r="P38" s="141"/>
      <c r="Q38" s="142"/>
      <c r="R38" s="142"/>
      <c r="S38" s="142"/>
      <c r="T38" s="142"/>
      <c r="U38" s="142"/>
      <c r="V38" s="142"/>
      <c r="W38" s="142"/>
      <c r="X38" s="141"/>
      <c r="Y38" s="142"/>
      <c r="Z38" s="142"/>
    </row>
    <row r="39" spans="1:26" ht="17" customHeight="1">
      <c r="A39" s="41"/>
      <c r="B39" s="70"/>
      <c r="E39" s="37" t="s">
        <v>151</v>
      </c>
      <c r="F39" s="37">
        <f>0.6</f>
        <v>0.6</v>
      </c>
      <c r="G39" s="37">
        <f>$F$30*F39</f>
        <v>0.42</v>
      </c>
      <c r="H39" s="37">
        <f>G39+$G$41*G39/SUM($G$39:$G$40)</f>
        <v>0.52500000000000002</v>
      </c>
      <c r="O39" s="143" t="s">
        <v>74</v>
      </c>
      <c r="P39" s="83"/>
      <c r="Q39" s="83"/>
      <c r="R39" s="83"/>
      <c r="S39" s="83"/>
      <c r="T39" s="83"/>
      <c r="U39" s="83"/>
      <c r="V39" s="83"/>
      <c r="W39" s="83"/>
      <c r="X39" s="83"/>
      <c r="Y39" s="83"/>
      <c r="Z39" s="83"/>
    </row>
    <row r="40" spans="1:26">
      <c r="E40" s="37" t="s">
        <v>152</v>
      </c>
      <c r="F40" s="37">
        <v>0.2</v>
      </c>
      <c r="G40" s="37">
        <f>$F$30*F40</f>
        <v>0.13999999999999999</v>
      </c>
      <c r="H40" s="37">
        <f>G40+$G$41*G40/SUM($G$39:$G$40)</f>
        <v>0.17499999999999999</v>
      </c>
      <c r="O40" s="144"/>
      <c r="P40" s="144" t="s">
        <v>106</v>
      </c>
      <c r="Q40" s="83"/>
      <c r="R40" s="83"/>
      <c r="S40" s="83"/>
      <c r="T40" s="83"/>
      <c r="U40" s="83"/>
      <c r="V40" s="83"/>
      <c r="W40" s="83"/>
      <c r="X40" s="83"/>
      <c r="Y40" s="83"/>
      <c r="Z40" s="83"/>
    </row>
    <row r="41" spans="1:26">
      <c r="E41" s="37" t="s">
        <v>153</v>
      </c>
      <c r="F41" s="37">
        <v>0.2</v>
      </c>
      <c r="G41" s="37">
        <f>$F$30*F41</f>
        <v>0.13999999999999999</v>
      </c>
      <c r="H41" s="37">
        <v>0</v>
      </c>
      <c r="I41" s="37" t="s">
        <v>160</v>
      </c>
      <c r="O41" s="144"/>
      <c r="P41" s="144" t="s">
        <v>107</v>
      </c>
      <c r="Q41" s="83"/>
      <c r="R41" s="83"/>
      <c r="S41" s="83"/>
      <c r="T41" s="83"/>
      <c r="U41" s="83"/>
      <c r="V41" s="83"/>
      <c r="W41" s="83"/>
      <c r="X41" s="83"/>
      <c r="Y41" s="83"/>
      <c r="Z41" s="83"/>
    </row>
    <row r="42" spans="1:26">
      <c r="E42" s="37" t="s">
        <v>78</v>
      </c>
      <c r="F42" s="37">
        <f>SUM(F39:F41)</f>
        <v>1</v>
      </c>
      <c r="G42" s="37">
        <f>SUM(G39:G41)</f>
        <v>0.7</v>
      </c>
      <c r="H42" s="37">
        <f>SUM(H39:H41)</f>
        <v>0.7</v>
      </c>
      <c r="I42" s="37" t="s">
        <v>161</v>
      </c>
      <c r="O42" s="144"/>
      <c r="P42" s="144" t="s">
        <v>108</v>
      </c>
      <c r="Q42" s="83"/>
      <c r="R42" s="83"/>
      <c r="S42" s="83"/>
      <c r="T42" s="83"/>
      <c r="U42" s="83"/>
      <c r="V42" s="83"/>
      <c r="W42" s="83"/>
      <c r="X42" s="83"/>
      <c r="Y42" s="83"/>
      <c r="Z42" s="83"/>
    </row>
    <row r="43" spans="1:26">
      <c r="O43" s="144"/>
      <c r="P43" s="144" t="s">
        <v>109</v>
      </c>
      <c r="Q43" s="83"/>
      <c r="R43" s="83"/>
      <c r="S43" s="83"/>
      <c r="T43" s="83"/>
      <c r="U43" s="83"/>
      <c r="V43" s="83"/>
      <c r="W43" s="83"/>
      <c r="X43" s="83"/>
      <c r="Y43" s="83"/>
      <c r="Z43" s="83"/>
    </row>
    <row r="44" spans="1:26">
      <c r="O44" s="144"/>
      <c r="P44" s="144" t="s">
        <v>110</v>
      </c>
      <c r="Q44" s="83"/>
      <c r="R44" s="83"/>
      <c r="S44" s="83"/>
      <c r="T44" s="83"/>
      <c r="U44" s="83"/>
      <c r="V44" s="83"/>
      <c r="W44" s="83"/>
      <c r="X44" s="83"/>
      <c r="Y44" s="83"/>
      <c r="Z44" s="83"/>
    </row>
    <row r="45" spans="1:26">
      <c r="E45" s="41" t="s">
        <v>167</v>
      </c>
      <c r="O45" s="144"/>
      <c r="P45" s="144" t="s">
        <v>111</v>
      </c>
      <c r="Q45" s="83"/>
      <c r="R45" s="83"/>
      <c r="S45" s="83"/>
      <c r="T45" s="83"/>
      <c r="U45" s="83"/>
      <c r="V45" s="83"/>
      <c r="W45" s="83"/>
      <c r="X45" s="83"/>
      <c r="Y45" s="83"/>
      <c r="Z45" s="83"/>
    </row>
    <row r="46" spans="1:26">
      <c r="E46" s="37" t="s">
        <v>168</v>
      </c>
      <c r="F46" s="37">
        <f>R14</f>
        <v>3.9</v>
      </c>
      <c r="G46" s="37" t="s">
        <v>169</v>
      </c>
      <c r="H46" s="37" t="s">
        <v>178</v>
      </c>
      <c r="O46" s="144"/>
      <c r="P46" s="144" t="s">
        <v>112</v>
      </c>
      <c r="Q46" s="83"/>
      <c r="R46" s="83"/>
      <c r="S46" s="83"/>
      <c r="T46" s="83"/>
      <c r="U46" s="83"/>
      <c r="V46" s="83"/>
      <c r="W46" s="83"/>
      <c r="X46" s="83"/>
      <c r="Y46" s="83"/>
      <c r="Z46" s="83"/>
    </row>
    <row r="47" spans="1:26">
      <c r="E47" s="37" t="s">
        <v>170</v>
      </c>
      <c r="F47" s="37">
        <v>43.15</v>
      </c>
      <c r="G47" s="37" t="s">
        <v>171</v>
      </c>
      <c r="H47" s="37" t="s">
        <v>173</v>
      </c>
      <c r="O47" s="144"/>
      <c r="P47" s="144" t="s">
        <v>113</v>
      </c>
      <c r="Q47" s="83"/>
      <c r="R47" s="83"/>
      <c r="S47" s="83"/>
      <c r="T47" s="83"/>
      <c r="U47" s="83"/>
      <c r="V47" s="83"/>
      <c r="W47" s="83"/>
      <c r="X47" s="83"/>
      <c r="Y47" s="83"/>
      <c r="Z47" s="83"/>
    </row>
    <row r="48" spans="1:26">
      <c r="E48" s="37" t="s">
        <v>179</v>
      </c>
      <c r="F48" s="158">
        <f>F46/F47</f>
        <v>9.0382387022016217E-2</v>
      </c>
      <c r="G48" s="37" t="s">
        <v>180</v>
      </c>
      <c r="H48" s="37" t="s">
        <v>181</v>
      </c>
      <c r="O48" s="144"/>
      <c r="P48" s="144" t="s">
        <v>114</v>
      </c>
      <c r="Q48" s="83"/>
      <c r="R48" s="83"/>
      <c r="S48" s="83"/>
      <c r="T48" s="83"/>
      <c r="U48" s="83"/>
      <c r="V48" s="83"/>
      <c r="W48" s="83"/>
      <c r="X48" s="83"/>
      <c r="Y48" s="83"/>
      <c r="Z48" s="83"/>
    </row>
    <row r="49" spans="5:26">
      <c r="E49" s="37" t="s">
        <v>182</v>
      </c>
      <c r="F49" s="37">
        <v>7.1499999999999994E-2</v>
      </c>
      <c r="G49" s="37" t="s">
        <v>172</v>
      </c>
      <c r="H49" s="37" t="s">
        <v>183</v>
      </c>
      <c r="O49" s="144"/>
      <c r="P49" s="144" t="s">
        <v>115</v>
      </c>
      <c r="Q49" s="83"/>
      <c r="R49" s="83"/>
      <c r="S49" s="83"/>
      <c r="T49" s="83"/>
      <c r="U49" s="83"/>
      <c r="V49" s="83"/>
      <c r="W49" s="83"/>
      <c r="X49" s="83"/>
      <c r="Y49" s="83"/>
      <c r="Z49" s="83"/>
    </row>
    <row r="50" spans="5:26">
      <c r="E50" s="37" t="s">
        <v>184</v>
      </c>
      <c r="F50" s="37">
        <v>7.1999999999999995E-2</v>
      </c>
      <c r="G50" s="37" t="s">
        <v>185</v>
      </c>
      <c r="H50" s="37" t="s">
        <v>183</v>
      </c>
      <c r="O50" s="144"/>
      <c r="P50" s="144" t="s">
        <v>116</v>
      </c>
      <c r="Q50" s="83"/>
      <c r="R50" s="83"/>
      <c r="S50" s="83"/>
      <c r="T50" s="83"/>
      <c r="U50" s="83"/>
      <c r="V50" s="83"/>
      <c r="W50" s="83"/>
      <c r="X50" s="83"/>
      <c r="Y50" s="83"/>
      <c r="Z50" s="83"/>
    </row>
    <row r="51" spans="5:26">
      <c r="O51" s="144"/>
      <c r="P51" s="144" t="s">
        <v>117</v>
      </c>
      <c r="Q51" s="83"/>
      <c r="R51" s="83"/>
      <c r="S51" s="83"/>
      <c r="T51" s="83"/>
      <c r="U51" s="83"/>
      <c r="V51" s="83"/>
      <c r="W51" s="83"/>
      <c r="X51" s="83"/>
      <c r="Y51" s="83"/>
      <c r="Z51" s="83"/>
    </row>
    <row r="52" spans="5:26">
      <c r="O52" s="144"/>
      <c r="P52" s="144" t="s">
        <v>118</v>
      </c>
      <c r="Q52" s="83"/>
      <c r="R52" s="83"/>
      <c r="S52" s="83"/>
      <c r="T52" s="83"/>
      <c r="U52" s="83"/>
      <c r="V52" s="83"/>
      <c r="W52" s="83"/>
      <c r="X52" s="83"/>
      <c r="Y52" s="83"/>
      <c r="Z52" s="83"/>
    </row>
    <row r="53" spans="5:26">
      <c r="E53" s="41" t="s">
        <v>126</v>
      </c>
      <c r="O53" s="144"/>
      <c r="P53" s="144" t="s">
        <v>119</v>
      </c>
      <c r="Q53" s="83"/>
      <c r="R53" s="83"/>
      <c r="S53" s="83"/>
      <c r="T53" s="83"/>
      <c r="U53" s="83"/>
      <c r="V53" s="83"/>
      <c r="W53" s="83"/>
      <c r="X53" s="83"/>
      <c r="Y53" s="83"/>
      <c r="Z53" s="83"/>
    </row>
    <row r="54" spans="5:26">
      <c r="E54" s="37" t="s">
        <v>127</v>
      </c>
      <c r="F54" s="37">
        <f>S26*10^3</f>
        <v>75000</v>
      </c>
      <c r="G54" s="37" t="s">
        <v>128</v>
      </c>
      <c r="O54" s="144"/>
      <c r="P54" s="144" t="s">
        <v>120</v>
      </c>
      <c r="Q54" s="83"/>
      <c r="R54" s="83"/>
      <c r="S54" s="83"/>
      <c r="T54" s="83"/>
      <c r="U54" s="83"/>
      <c r="V54" s="83"/>
      <c r="W54" s="83"/>
      <c r="X54" s="83"/>
      <c r="Y54" s="83"/>
      <c r="Z54" s="83"/>
    </row>
    <row r="55" spans="5:26">
      <c r="E55" s="37" t="s">
        <v>129</v>
      </c>
      <c r="F55" s="37">
        <f>R12</f>
        <v>20.5</v>
      </c>
      <c r="G55" s="37" t="s">
        <v>44</v>
      </c>
    </row>
    <row r="56" spans="5:26">
      <c r="E56" s="37" t="s">
        <v>42</v>
      </c>
      <c r="F56" s="37">
        <v>8000</v>
      </c>
      <c r="G56" s="37" t="s">
        <v>130</v>
      </c>
    </row>
    <row r="57" spans="5:26">
      <c r="E57" s="37" t="s">
        <v>43</v>
      </c>
      <c r="F57" s="37">
        <f>Q22</f>
        <v>25</v>
      </c>
      <c r="G57" s="37" t="s">
        <v>131</v>
      </c>
    </row>
    <row r="58" spans="5:26">
      <c r="E58" s="37" t="s">
        <v>132</v>
      </c>
      <c r="F58" s="86">
        <f>Q23</f>
        <v>2</v>
      </c>
      <c r="G58" s="37" t="s">
        <v>131</v>
      </c>
    </row>
    <row r="59" spans="5:26">
      <c r="E59" s="37" t="s">
        <v>133</v>
      </c>
      <c r="F59" s="72">
        <f>1-Q21/52</f>
        <v>0.94230769230769229</v>
      </c>
    </row>
    <row r="61" spans="5:26">
      <c r="E61" s="37" t="s">
        <v>40</v>
      </c>
      <c r="F61" s="149">
        <f>R25*R12*Q22*10^6</f>
        <v>871988000</v>
      </c>
      <c r="G61" s="37" t="s">
        <v>134</v>
      </c>
    </row>
    <row r="62" spans="5:26">
      <c r="E62" s="37" t="s">
        <v>135</v>
      </c>
      <c r="F62" s="149">
        <f>R28*R12*F56</f>
        <v>2214849.5199999996</v>
      </c>
      <c r="G62" s="37" t="s">
        <v>136</v>
      </c>
    </row>
    <row r="63" spans="5:26">
      <c r="E63" s="37" t="s">
        <v>137</v>
      </c>
      <c r="F63" s="149">
        <f>R29*R12*F56</f>
        <v>732469.91999999993</v>
      </c>
      <c r="G63" s="37" t="s">
        <v>136</v>
      </c>
    </row>
    <row r="64" spans="5:26">
      <c r="E64" s="37" t="s">
        <v>137</v>
      </c>
      <c r="F64" s="72">
        <f>F63/F56</f>
        <v>91.558739999999986</v>
      </c>
      <c r="G64" s="37" t="s">
        <v>138</v>
      </c>
    </row>
    <row r="79" spans="5:26">
      <c r="E79" s="41"/>
      <c r="N79" s="93"/>
      <c r="O79" s="94"/>
      <c r="P79" s="168"/>
      <c r="Q79" s="169"/>
      <c r="R79" s="169"/>
      <c r="S79" s="169"/>
      <c r="T79" s="169"/>
      <c r="U79" s="169"/>
      <c r="V79" s="169"/>
      <c r="W79" s="169"/>
      <c r="X79" s="169"/>
      <c r="Y79" s="169"/>
      <c r="Z79" s="169"/>
    </row>
    <row r="80" spans="5:26">
      <c r="N80" s="94"/>
      <c r="O80" s="94"/>
      <c r="P80" s="95"/>
      <c r="Q80" s="95"/>
      <c r="R80" s="96"/>
      <c r="S80" s="95"/>
      <c r="T80" s="95"/>
      <c r="U80" s="97"/>
      <c r="V80" s="97"/>
      <c r="W80" s="97"/>
      <c r="X80" s="97"/>
      <c r="Y80" s="98"/>
      <c r="Z80" s="98"/>
    </row>
    <row r="81" spans="5:26">
      <c r="N81" s="93"/>
      <c r="O81" s="94"/>
      <c r="P81" s="99"/>
      <c r="Q81" s="99"/>
      <c r="R81" s="99"/>
      <c r="S81" s="99"/>
      <c r="T81" s="99"/>
      <c r="U81" s="97"/>
      <c r="V81" s="97"/>
      <c r="W81" s="97"/>
      <c r="X81" s="97"/>
      <c r="Y81" s="98"/>
      <c r="Z81" s="98"/>
    </row>
    <row r="82" spans="5:26">
      <c r="N82" s="93"/>
      <c r="O82" s="94"/>
      <c r="P82" s="95"/>
      <c r="Q82" s="95"/>
      <c r="R82" s="96"/>
      <c r="S82" s="95"/>
      <c r="T82" s="95"/>
      <c r="U82" s="95"/>
      <c r="V82" s="95"/>
      <c r="W82" s="95"/>
      <c r="X82" s="95"/>
      <c r="Y82" s="98"/>
      <c r="Z82" s="98"/>
    </row>
    <row r="83" spans="5:26">
      <c r="E83" s="84"/>
      <c r="N83" s="100"/>
      <c r="O83" s="100"/>
      <c r="P83" s="95"/>
      <c r="Q83" s="95"/>
      <c r="R83" s="96"/>
      <c r="S83" s="95"/>
      <c r="T83" s="95"/>
      <c r="U83" s="95"/>
      <c r="V83" s="95"/>
      <c r="W83" s="95"/>
      <c r="X83" s="95"/>
      <c r="Y83" s="98"/>
      <c r="Z83" s="98"/>
    </row>
    <row r="84" spans="5:26">
      <c r="N84" s="100"/>
      <c r="O84" s="101"/>
      <c r="P84" s="102"/>
      <c r="Q84" s="102"/>
      <c r="R84" s="103"/>
      <c r="S84" s="102"/>
      <c r="T84" s="102"/>
      <c r="U84" s="104"/>
      <c r="V84" s="88"/>
      <c r="W84" s="88"/>
      <c r="X84" s="88"/>
      <c r="Y84" s="89"/>
      <c r="Z84" s="98"/>
    </row>
    <row r="85" spans="5:26">
      <c r="G85" s="72"/>
      <c r="H85" s="72"/>
      <c r="I85" s="72"/>
      <c r="N85" s="100"/>
      <c r="O85" s="105"/>
      <c r="P85" s="102"/>
      <c r="Q85" s="102"/>
      <c r="R85" s="103"/>
      <c r="S85" s="102"/>
      <c r="T85" s="102"/>
      <c r="U85" s="104"/>
      <c r="V85" s="88"/>
      <c r="W85" s="88"/>
      <c r="X85" s="88"/>
      <c r="Y85" s="89"/>
      <c r="Z85" s="98"/>
    </row>
    <row r="86" spans="5:26">
      <c r="G86" s="72"/>
      <c r="H86" s="72"/>
      <c r="I86" s="72"/>
      <c r="N86" s="100"/>
      <c r="O86" s="100"/>
      <c r="P86" s="102"/>
      <c r="Q86" s="102"/>
      <c r="R86" s="103"/>
      <c r="S86" s="102"/>
      <c r="T86" s="102"/>
      <c r="U86" s="102"/>
      <c r="V86" s="102"/>
      <c r="W86" s="102"/>
      <c r="X86" s="102"/>
      <c r="Y86" s="98"/>
      <c r="Z86" s="98"/>
    </row>
    <row r="87" spans="5:26">
      <c r="G87" s="72"/>
      <c r="H87" s="72"/>
      <c r="I87" s="72"/>
      <c r="N87" s="100"/>
      <c r="O87" s="106"/>
      <c r="P87" s="90"/>
      <c r="Q87" s="90"/>
      <c r="R87" s="91"/>
      <c r="S87" s="90"/>
      <c r="T87" s="90"/>
      <c r="U87" s="104"/>
      <c r="V87" s="104"/>
      <c r="W87" s="104"/>
      <c r="X87" s="104"/>
      <c r="Y87" s="98"/>
      <c r="Z87" s="98"/>
    </row>
    <row r="88" spans="5:26">
      <c r="G88" s="72"/>
      <c r="H88" s="72"/>
      <c r="I88" s="86"/>
      <c r="N88" s="100"/>
      <c r="O88" s="106"/>
      <c r="P88" s="102"/>
      <c r="Q88" s="102"/>
      <c r="R88" s="103"/>
      <c r="S88" s="102"/>
      <c r="T88" s="102"/>
      <c r="U88" s="104"/>
      <c r="V88" s="104"/>
      <c r="W88" s="104"/>
      <c r="X88" s="104"/>
      <c r="Y88" s="98"/>
      <c r="Z88" s="98"/>
    </row>
    <row r="89" spans="5:26">
      <c r="I89" s="73"/>
      <c r="N89" s="100"/>
      <c r="O89" s="106"/>
      <c r="P89" s="102"/>
      <c r="Q89" s="102"/>
      <c r="R89" s="103"/>
      <c r="S89" s="102"/>
      <c r="T89" s="102"/>
      <c r="U89" s="104"/>
      <c r="V89" s="104"/>
      <c r="W89" s="104"/>
      <c r="X89" s="104"/>
      <c r="Y89" s="98"/>
      <c r="Z89" s="98"/>
    </row>
    <row r="90" spans="5:26">
      <c r="E90" s="84"/>
      <c r="I90" s="73"/>
      <c r="N90" s="100"/>
      <c r="O90" s="106"/>
      <c r="P90" s="107"/>
      <c r="Q90" s="107"/>
      <c r="R90" s="97"/>
      <c r="S90" s="107"/>
      <c r="T90" s="107"/>
      <c r="U90" s="108"/>
      <c r="V90" s="108"/>
      <c r="W90" s="108"/>
      <c r="X90" s="108"/>
      <c r="Y90" s="109"/>
      <c r="Z90" s="109"/>
    </row>
    <row r="91" spans="5:26">
      <c r="I91" s="72"/>
      <c r="N91" s="100"/>
      <c r="O91" s="106"/>
      <c r="P91" s="107"/>
      <c r="Q91" s="107"/>
      <c r="R91" s="97"/>
      <c r="S91" s="107"/>
      <c r="T91" s="107"/>
      <c r="U91" s="108"/>
      <c r="V91" s="108"/>
      <c r="W91" s="108"/>
      <c r="X91" s="108"/>
      <c r="Y91" s="109"/>
      <c r="Z91" s="109"/>
    </row>
    <row r="92" spans="5:26">
      <c r="I92" s="72"/>
      <c r="N92" s="100"/>
      <c r="O92" s="110"/>
      <c r="P92" s="107"/>
      <c r="Q92" s="107"/>
      <c r="R92" s="97"/>
      <c r="S92" s="107"/>
      <c r="T92" s="107"/>
      <c r="U92" s="108"/>
      <c r="V92" s="108"/>
      <c r="W92" s="108"/>
      <c r="X92" s="108"/>
      <c r="Y92" s="109"/>
      <c r="Z92" s="109"/>
    </row>
    <row r="93" spans="5:26">
      <c r="I93" s="72"/>
      <c r="N93" s="100"/>
      <c r="O93" s="106"/>
      <c r="P93" s="107"/>
      <c r="Q93" s="107"/>
      <c r="R93" s="97"/>
      <c r="S93" s="107"/>
      <c r="T93" s="107"/>
      <c r="U93" s="108"/>
      <c r="V93" s="108"/>
      <c r="W93" s="108"/>
      <c r="X93" s="108"/>
      <c r="Y93" s="109"/>
      <c r="Z93" s="109"/>
    </row>
    <row r="94" spans="5:26">
      <c r="N94" s="100"/>
      <c r="O94" s="106"/>
      <c r="P94" s="107"/>
      <c r="Q94" s="107"/>
      <c r="R94" s="97"/>
      <c r="S94" s="107"/>
      <c r="T94" s="107"/>
      <c r="U94" s="108"/>
      <c r="V94" s="108"/>
      <c r="W94" s="108"/>
      <c r="X94" s="108"/>
      <c r="Y94" s="109"/>
      <c r="Z94" s="109"/>
    </row>
    <row r="95" spans="5:26">
      <c r="F95" s="72"/>
      <c r="N95" s="100"/>
      <c r="O95" s="106"/>
      <c r="P95" s="107"/>
      <c r="Q95" s="107"/>
      <c r="R95" s="97"/>
      <c r="S95" s="107"/>
      <c r="T95" s="107"/>
      <c r="U95" s="108"/>
      <c r="V95" s="108"/>
      <c r="W95" s="108"/>
      <c r="X95" s="108"/>
      <c r="Y95" s="109"/>
      <c r="Z95" s="109"/>
    </row>
    <row r="96" spans="5:26">
      <c r="N96" s="100"/>
      <c r="O96" s="106"/>
      <c r="P96" s="107"/>
      <c r="Q96" s="107"/>
      <c r="R96" s="97"/>
      <c r="S96" s="107"/>
      <c r="T96" s="107"/>
      <c r="U96" s="108"/>
      <c r="V96" s="108"/>
      <c r="W96" s="108"/>
      <c r="X96" s="108"/>
      <c r="Y96" s="109"/>
      <c r="Z96" s="109"/>
    </row>
    <row r="97" spans="5:26">
      <c r="N97" s="100"/>
      <c r="O97" s="106"/>
      <c r="P97" s="101"/>
      <c r="Q97" s="101"/>
      <c r="R97" s="111"/>
      <c r="S97" s="101"/>
      <c r="T97" s="101"/>
      <c r="U97" s="108"/>
      <c r="V97" s="108"/>
      <c r="W97" s="108"/>
      <c r="X97" s="108"/>
      <c r="Y97" s="101"/>
      <c r="Z97" s="109"/>
    </row>
    <row r="98" spans="5:26">
      <c r="E98" s="41"/>
      <c r="N98" s="100"/>
      <c r="O98" s="106"/>
      <c r="P98" s="101"/>
      <c r="Q98" s="101"/>
      <c r="R98" s="111"/>
      <c r="S98" s="101"/>
      <c r="T98" s="101"/>
      <c r="U98" s="108"/>
      <c r="V98" s="108"/>
      <c r="W98" s="108"/>
      <c r="X98" s="108"/>
      <c r="Y98" s="101"/>
      <c r="Z98" s="109"/>
    </row>
    <row r="99" spans="5:26">
      <c r="N99" s="100"/>
      <c r="O99" s="106"/>
      <c r="P99" s="101"/>
      <c r="Q99" s="101"/>
      <c r="R99" s="111"/>
      <c r="S99" s="101"/>
      <c r="T99" s="101"/>
      <c r="U99" s="107"/>
      <c r="V99" s="107"/>
      <c r="W99" s="107"/>
      <c r="X99" s="107"/>
      <c r="Y99" s="109"/>
      <c r="Z99" s="109"/>
    </row>
    <row r="100" spans="5:26">
      <c r="N100" s="100"/>
      <c r="O100" s="106"/>
      <c r="P100" s="101"/>
      <c r="Q100" s="101"/>
      <c r="R100" s="111"/>
      <c r="S100" s="101"/>
      <c r="T100" s="101"/>
      <c r="U100" s="107"/>
      <c r="V100" s="107"/>
      <c r="W100" s="107"/>
      <c r="X100" s="107"/>
      <c r="Y100" s="109"/>
      <c r="Z100" s="109"/>
    </row>
    <row r="101" spans="5:26">
      <c r="N101" s="100"/>
      <c r="O101" s="110"/>
      <c r="P101" s="107"/>
      <c r="Q101" s="107"/>
      <c r="R101" s="97"/>
      <c r="S101" s="107"/>
      <c r="T101" s="107"/>
      <c r="U101" s="107"/>
      <c r="V101" s="107"/>
      <c r="W101" s="107"/>
      <c r="X101" s="107"/>
      <c r="Y101" s="109"/>
      <c r="Z101" s="109"/>
    </row>
    <row r="102" spans="5:26">
      <c r="N102" s="100"/>
      <c r="O102" s="106"/>
      <c r="P102" s="112"/>
      <c r="Q102" s="112"/>
      <c r="R102" s="113"/>
      <c r="S102" s="112"/>
      <c r="T102" s="112"/>
      <c r="U102" s="92"/>
      <c r="V102" s="92"/>
      <c r="W102" s="92"/>
      <c r="X102" s="92"/>
      <c r="Y102" s="109"/>
      <c r="Z102" s="109"/>
    </row>
    <row r="103" spans="5:26">
      <c r="E103" s="87"/>
      <c r="N103" s="100"/>
      <c r="O103" s="105"/>
      <c r="P103" s="107"/>
      <c r="Q103" s="107"/>
      <c r="R103" s="97"/>
      <c r="S103" s="107"/>
      <c r="T103" s="107"/>
      <c r="U103" s="92"/>
      <c r="V103" s="92"/>
      <c r="W103" s="92"/>
      <c r="X103" s="92"/>
      <c r="Y103" s="109"/>
      <c r="Z103" s="109"/>
    </row>
    <row r="104" spans="5:26">
      <c r="E104" s="87"/>
      <c r="N104" s="100"/>
      <c r="O104" s="105"/>
      <c r="P104" s="107"/>
      <c r="Q104" s="107"/>
      <c r="R104" s="97"/>
      <c r="S104" s="107"/>
      <c r="T104" s="107"/>
      <c r="U104" s="92"/>
      <c r="V104" s="92"/>
      <c r="W104" s="92"/>
      <c r="X104" s="92"/>
      <c r="Y104" s="109"/>
      <c r="Z104" s="109"/>
    </row>
    <row r="105" spans="5:26">
      <c r="E105" s="87"/>
      <c r="N105" s="100"/>
      <c r="O105" s="106"/>
      <c r="P105" s="114"/>
      <c r="Q105" s="114"/>
      <c r="R105" s="115"/>
      <c r="S105" s="114"/>
      <c r="T105" s="114"/>
      <c r="U105" s="92"/>
      <c r="V105" s="92"/>
      <c r="W105" s="92"/>
      <c r="X105" s="92"/>
      <c r="Y105" s="109"/>
      <c r="Z105" s="109"/>
    </row>
    <row r="106" spans="5:26">
      <c r="E106" s="87"/>
      <c r="N106" s="100"/>
      <c r="O106" s="106"/>
      <c r="P106" s="114"/>
      <c r="Q106" s="114"/>
      <c r="R106" s="115"/>
      <c r="S106" s="114"/>
      <c r="T106" s="114"/>
      <c r="U106" s="92"/>
      <c r="V106" s="92"/>
      <c r="W106" s="92"/>
      <c r="X106" s="92"/>
      <c r="Y106" s="109"/>
      <c r="Z106" s="109"/>
    </row>
    <row r="107" spans="5:26">
      <c r="N107" s="100"/>
      <c r="O107" s="106"/>
      <c r="P107" s="107"/>
      <c r="Q107" s="107"/>
      <c r="R107" s="97"/>
      <c r="S107" s="107"/>
      <c r="T107" s="107"/>
      <c r="U107" s="92"/>
      <c r="V107" s="92"/>
      <c r="W107" s="92"/>
      <c r="X107" s="92"/>
      <c r="Y107" s="109"/>
      <c r="Z107" s="109"/>
    </row>
    <row r="108" spans="5:26">
      <c r="N108" s="100"/>
      <c r="O108" s="101"/>
      <c r="P108" s="107"/>
      <c r="Q108" s="107"/>
      <c r="R108" s="97"/>
      <c r="S108" s="107"/>
      <c r="T108" s="107"/>
      <c r="U108" s="92"/>
      <c r="V108" s="92"/>
      <c r="W108" s="92"/>
      <c r="X108" s="92"/>
      <c r="Y108" s="109"/>
      <c r="Z108" s="109"/>
    </row>
    <row r="109" spans="5:26">
      <c r="N109" s="100"/>
      <c r="O109" s="106"/>
      <c r="P109" s="107"/>
      <c r="Q109" s="107"/>
      <c r="R109" s="97"/>
      <c r="S109" s="107"/>
      <c r="T109" s="107"/>
      <c r="U109" s="92"/>
      <c r="V109" s="92"/>
      <c r="W109" s="92"/>
      <c r="X109" s="92"/>
      <c r="Y109" s="109"/>
      <c r="Z109" s="109"/>
    </row>
    <row r="110" spans="5:26">
      <c r="N110" s="100"/>
      <c r="O110" s="106"/>
      <c r="P110" s="107"/>
      <c r="Q110" s="107"/>
      <c r="R110" s="97"/>
      <c r="S110" s="107"/>
      <c r="T110" s="107"/>
      <c r="U110" s="92"/>
      <c r="V110" s="92"/>
      <c r="W110" s="92"/>
      <c r="X110" s="92"/>
      <c r="Y110" s="109"/>
      <c r="Z110" s="109"/>
    </row>
    <row r="111" spans="5:26">
      <c r="N111" s="100"/>
      <c r="O111" s="106"/>
      <c r="P111" s="112"/>
      <c r="Q111" s="112"/>
      <c r="R111" s="113"/>
      <c r="S111" s="112"/>
      <c r="T111" s="112"/>
      <c r="U111" s="92"/>
      <c r="V111" s="92"/>
      <c r="W111" s="92"/>
      <c r="X111" s="92"/>
      <c r="Y111" s="109"/>
      <c r="Z111" s="109"/>
    </row>
    <row r="112" spans="5:26">
      <c r="N112" s="100"/>
      <c r="O112" s="106"/>
      <c r="P112" s="107"/>
      <c r="Q112" s="107"/>
      <c r="R112" s="97"/>
      <c r="S112" s="107"/>
      <c r="T112" s="107"/>
      <c r="U112" s="92"/>
      <c r="V112" s="92"/>
      <c r="W112" s="92"/>
      <c r="X112" s="92"/>
      <c r="Y112" s="109"/>
      <c r="Z112" s="109"/>
    </row>
    <row r="113" spans="14:26">
      <c r="N113" s="100"/>
      <c r="O113" s="106"/>
      <c r="P113" s="107"/>
      <c r="Q113" s="107"/>
      <c r="R113" s="97"/>
      <c r="S113" s="107"/>
      <c r="T113" s="107"/>
      <c r="U113" s="92"/>
      <c r="V113" s="92"/>
      <c r="W113" s="92"/>
      <c r="X113" s="92"/>
      <c r="Y113" s="109"/>
      <c r="Z113" s="109"/>
    </row>
    <row r="114" spans="14:26">
      <c r="N114" s="100"/>
      <c r="O114" s="106"/>
      <c r="P114" s="114"/>
      <c r="Q114" s="114"/>
      <c r="R114" s="115"/>
      <c r="S114" s="114"/>
      <c r="T114" s="114"/>
      <c r="U114" s="92"/>
      <c r="V114" s="92"/>
      <c r="W114" s="92"/>
      <c r="X114" s="92"/>
      <c r="Y114" s="109"/>
      <c r="Z114" s="109"/>
    </row>
    <row r="115" spans="14:26">
      <c r="N115" s="100"/>
      <c r="O115" s="105"/>
      <c r="P115" s="114"/>
      <c r="Q115" s="114"/>
      <c r="R115" s="115"/>
      <c r="S115" s="114"/>
      <c r="T115" s="114"/>
      <c r="U115" s="92"/>
      <c r="V115" s="92"/>
      <c r="W115" s="92"/>
      <c r="X115" s="92"/>
      <c r="Y115" s="109"/>
      <c r="Z115" s="109"/>
    </row>
    <row r="116" spans="14:26">
      <c r="N116" s="100"/>
      <c r="O116" s="106"/>
      <c r="P116" s="107"/>
      <c r="Q116" s="107"/>
      <c r="R116" s="97"/>
      <c r="S116" s="107"/>
      <c r="T116" s="107"/>
      <c r="U116" s="107"/>
      <c r="V116" s="107"/>
      <c r="W116" s="107"/>
      <c r="X116" s="107"/>
      <c r="Y116" s="109"/>
      <c r="Z116" s="109"/>
    </row>
    <row r="117" spans="14:26">
      <c r="N117" s="116"/>
      <c r="O117" s="116"/>
      <c r="P117" s="117"/>
      <c r="Q117" s="116"/>
      <c r="R117" s="116"/>
      <c r="S117" s="116"/>
      <c r="T117" s="116"/>
      <c r="U117" s="116"/>
      <c r="V117" s="116"/>
      <c r="W117" s="116"/>
      <c r="X117" s="116"/>
      <c r="Y117" s="118"/>
      <c r="Z117" s="118"/>
    </row>
    <row r="118" spans="14:26">
      <c r="N118" s="119"/>
      <c r="O118" s="120"/>
      <c r="P118" s="116"/>
      <c r="Q118" s="116"/>
      <c r="R118" s="116"/>
      <c r="S118" s="116"/>
      <c r="T118" s="116"/>
      <c r="U118" s="116"/>
      <c r="V118" s="116"/>
      <c r="W118" s="116"/>
      <c r="X118" s="116"/>
      <c r="Y118" s="116"/>
      <c r="Z118" s="116"/>
    </row>
    <row r="119" spans="14:26">
      <c r="N119" s="107"/>
      <c r="O119" s="121"/>
      <c r="P119" s="116"/>
      <c r="Q119" s="116"/>
      <c r="R119" s="116"/>
      <c r="S119" s="116"/>
      <c r="T119" s="116"/>
      <c r="U119" s="116"/>
      <c r="V119" s="116"/>
      <c r="W119" s="116"/>
      <c r="X119" s="116"/>
      <c r="Y119" s="116"/>
      <c r="Z119" s="116"/>
    </row>
    <row r="120" spans="14:26">
      <c r="N120" s="107"/>
      <c r="O120" s="122"/>
      <c r="P120" s="116"/>
      <c r="Q120" s="116"/>
      <c r="R120" s="116"/>
      <c r="S120" s="116"/>
      <c r="T120" s="116"/>
      <c r="U120" s="116"/>
      <c r="V120" s="116"/>
      <c r="W120" s="116"/>
      <c r="X120" s="116"/>
      <c r="Y120" s="116"/>
      <c r="Z120" s="116"/>
    </row>
    <row r="121" spans="14:26">
      <c r="N121" s="107"/>
      <c r="O121" s="122"/>
      <c r="P121" s="116"/>
      <c r="Q121" s="116"/>
      <c r="R121" s="116"/>
      <c r="S121" s="116"/>
      <c r="T121" s="116"/>
      <c r="U121" s="116"/>
      <c r="V121" s="116"/>
      <c r="W121" s="116"/>
      <c r="X121" s="116"/>
      <c r="Y121" s="116"/>
      <c r="Z121" s="116"/>
    </row>
    <row r="122" spans="14:26">
      <c r="N122" s="107"/>
      <c r="O122" s="122"/>
      <c r="P122" s="116"/>
      <c r="Q122" s="116"/>
      <c r="R122" s="116"/>
      <c r="S122" s="116"/>
      <c r="T122" s="116"/>
      <c r="U122" s="116"/>
      <c r="V122" s="116"/>
      <c r="W122" s="116"/>
      <c r="X122" s="116"/>
      <c r="Y122" s="116"/>
      <c r="Z122" s="116"/>
    </row>
    <row r="123" spans="14:26">
      <c r="N123" s="107"/>
      <c r="O123" s="123"/>
      <c r="P123" s="116"/>
      <c r="Q123" s="116"/>
      <c r="R123" s="116"/>
      <c r="S123" s="116"/>
      <c r="T123" s="116"/>
      <c r="U123" s="116"/>
      <c r="V123" s="116"/>
      <c r="W123" s="116"/>
      <c r="X123" s="116"/>
      <c r="Y123" s="116"/>
      <c r="Z123" s="116"/>
    </row>
    <row r="124" spans="14:26">
      <c r="N124" s="107"/>
      <c r="O124" s="122"/>
      <c r="P124" s="116"/>
      <c r="Q124" s="116"/>
      <c r="R124" s="116"/>
      <c r="S124" s="116"/>
      <c r="T124" s="116"/>
      <c r="U124" s="116"/>
      <c r="V124" s="116"/>
      <c r="W124" s="116"/>
      <c r="X124" s="116"/>
      <c r="Y124" s="116"/>
      <c r="Z124" s="116"/>
    </row>
    <row r="125" spans="14:26">
      <c r="N125" s="107"/>
      <c r="O125" s="122"/>
      <c r="P125" s="116"/>
      <c r="Q125" s="116"/>
      <c r="R125" s="116"/>
      <c r="S125" s="116"/>
      <c r="T125" s="116"/>
      <c r="U125" s="116"/>
      <c r="V125" s="116"/>
      <c r="W125" s="116"/>
      <c r="X125" s="116"/>
      <c r="Y125" s="116"/>
      <c r="Z125" s="116"/>
    </row>
    <row r="126" spans="14:26">
      <c r="N126" s="107"/>
      <c r="O126" s="122"/>
      <c r="P126" s="116"/>
      <c r="Q126" s="116"/>
      <c r="R126" s="116"/>
      <c r="S126" s="116"/>
      <c r="T126" s="116"/>
      <c r="U126" s="116"/>
      <c r="V126" s="116"/>
      <c r="W126" s="116"/>
      <c r="X126" s="116"/>
      <c r="Y126" s="116"/>
      <c r="Z126" s="116"/>
    </row>
    <row r="127" spans="14:26">
      <c r="N127" s="107"/>
      <c r="O127" s="122"/>
      <c r="P127" s="116"/>
      <c r="Q127" s="116"/>
      <c r="R127" s="116"/>
      <c r="S127" s="116"/>
      <c r="T127" s="116"/>
      <c r="U127" s="116"/>
      <c r="V127" s="116"/>
      <c r="W127" s="116"/>
      <c r="X127" s="116"/>
      <c r="Y127" s="116"/>
      <c r="Z127" s="116"/>
    </row>
    <row r="128" spans="14:26">
      <c r="N128" s="107"/>
      <c r="O128" s="122"/>
      <c r="P128" s="116"/>
      <c r="Q128" s="116"/>
      <c r="R128" s="116"/>
      <c r="S128" s="116"/>
      <c r="T128" s="116"/>
      <c r="U128" s="116"/>
      <c r="V128" s="116"/>
      <c r="W128" s="116"/>
      <c r="X128" s="116"/>
      <c r="Y128" s="116"/>
      <c r="Z128" s="116"/>
    </row>
    <row r="129" spans="14:26">
      <c r="N129" s="116"/>
      <c r="O129" s="122"/>
      <c r="P129" s="116"/>
      <c r="Q129" s="116"/>
      <c r="R129" s="116"/>
      <c r="S129" s="116"/>
      <c r="T129" s="116"/>
      <c r="U129" s="116"/>
      <c r="V129" s="116"/>
      <c r="W129" s="116"/>
      <c r="X129" s="116"/>
      <c r="Y129" s="116"/>
      <c r="Z129" s="116"/>
    </row>
    <row r="130" spans="14:26">
      <c r="N130" s="107"/>
      <c r="O130" s="122"/>
      <c r="P130" s="116"/>
      <c r="Q130" s="116"/>
      <c r="R130" s="116"/>
      <c r="S130" s="116"/>
      <c r="T130" s="116"/>
      <c r="U130" s="116"/>
      <c r="V130" s="116"/>
      <c r="W130" s="116"/>
      <c r="X130" s="116"/>
      <c r="Y130" s="116"/>
      <c r="Z130" s="116"/>
    </row>
    <row r="131" spans="14:26">
      <c r="N131" s="107"/>
      <c r="O131" s="122"/>
      <c r="P131" s="116"/>
      <c r="Q131" s="116"/>
      <c r="R131" s="116"/>
      <c r="S131" s="116"/>
      <c r="T131" s="116"/>
      <c r="U131" s="116"/>
      <c r="V131" s="116"/>
      <c r="W131" s="116"/>
      <c r="X131" s="116"/>
      <c r="Y131" s="116"/>
      <c r="Z131" s="116"/>
    </row>
  </sheetData>
  <mergeCells count="2">
    <mergeCell ref="P79:Z79"/>
    <mergeCell ref="Q6:Z6"/>
  </mergeCells>
  <hyperlinks>
    <hyperlink ref="Q6" location="INDEX" display="Hydrogen to Jet Fuel" xr:uid="{FE8332F7-49C6-1C4B-B655-1AD82850DDA1}"/>
  </hyperlinks>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cp:lastPrinted>2015-02-13T09:40:54Z</cp:lastPrinted>
  <dcterms:created xsi:type="dcterms:W3CDTF">2011-10-26T09:05:09Z</dcterms:created>
  <dcterms:modified xsi:type="dcterms:W3CDTF">2026-06-01T09:07:51Z</dcterms:modified>
</cp:coreProperties>
</file>