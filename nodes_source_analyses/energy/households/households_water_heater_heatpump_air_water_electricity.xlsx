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ortwolda/Desktop/Quintel/etdataset/nodes_source_analyses/energy/households/"/>
    </mc:Choice>
  </mc:AlternateContent>
  <xr:revisionPtr revIDLastSave="0" documentId="13_ncr:1_{E46C7280-491C-5947-BFF1-607F1377F3F3}" xr6:coauthVersionLast="47" xr6:coauthVersionMax="47" xr10:uidLastSave="{00000000-0000-0000-0000-000000000000}"/>
  <bookViews>
    <workbookView xWindow="-4100" yWindow="-28200" windowWidth="51200" windowHeight="28200" activeTab="2" xr2:uid="{A1272A0A-2295-F242-B379-D968EB1AC513}"/>
  </bookViews>
  <sheets>
    <sheet name="Dashboard" sheetId="1" r:id="rId1"/>
    <sheet name="Sources" sheetId="4" r:id="rId2"/>
    <sheet name="Analysis" sheetId="9" r:id="rId3"/>
  </sheets>
  <externalReferences>
    <externalReference r:id="rId4"/>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6" i="1" l="1"/>
  <c r="D64" i="9"/>
  <c r="F67" i="9"/>
  <c r="D5" i="9"/>
  <c r="D46" i="9"/>
  <c r="D31" i="9"/>
  <c r="AH19" i="9"/>
  <c r="AJ18" i="9"/>
  <c r="AK18" i="9" s="1"/>
  <c r="D32" i="9" l="1"/>
  <c r="E14" i="1" s="1"/>
  <c r="E21" i="1"/>
  <c r="D4" i="9"/>
  <c r="E10" i="1" s="1"/>
  <c r="E11" i="1"/>
  <c r="AH20" i="9"/>
  <c r="AJ19" i="9"/>
  <c r="AK19" i="9" s="1"/>
  <c r="AJ20" i="9" l="1"/>
  <c r="AK20" i="9" s="1"/>
  <c r="AH21" i="9"/>
  <c r="AJ21" i="9" l="1"/>
  <c r="AK21" i="9" s="1"/>
  <c r="AH22" i="9"/>
  <c r="AJ22" i="9" l="1"/>
  <c r="AK22" i="9" s="1"/>
  <c r="AH23" i="9"/>
  <c r="AJ23" i="9" l="1"/>
  <c r="AK23" i="9" s="1"/>
  <c r="AH24" i="9"/>
  <c r="AH25" i="9" l="1"/>
  <c r="AJ24" i="9"/>
  <c r="AK24" i="9" s="1"/>
  <c r="AJ25" i="9" l="1"/>
  <c r="AK25" i="9" s="1"/>
  <c r="AH26" i="9"/>
  <c r="AH27" i="9" l="1"/>
  <c r="AJ26" i="9"/>
  <c r="AK26" i="9" s="1"/>
  <c r="AJ27" i="9" l="1"/>
  <c r="AK27" i="9" s="1"/>
  <c r="AH28" i="9"/>
  <c r="AH29" i="9" l="1"/>
  <c r="AJ28" i="9"/>
  <c r="AK28" i="9" s="1"/>
  <c r="AL28" i="9" s="1"/>
  <c r="D16" i="9" s="1"/>
  <c r="E13" i="1" l="1"/>
  <c r="AH30" i="9"/>
  <c r="AJ29" i="9"/>
  <c r="AK29" i="9" s="1"/>
  <c r="AJ30" i="9" l="1"/>
  <c r="AK30" i="9" s="1"/>
  <c r="AH31" i="9"/>
  <c r="AJ31" i="9" l="1"/>
  <c r="AK31" i="9" s="1"/>
  <c r="AH32" i="9"/>
  <c r="AJ32" i="9" l="1"/>
  <c r="AK32" i="9" s="1"/>
  <c r="AH33" i="9"/>
  <c r="AJ33" i="9" l="1"/>
  <c r="AK33" i="9" s="1"/>
  <c r="AH34" i="9"/>
  <c r="AJ34" i="9" l="1"/>
  <c r="AK34" i="9" s="1"/>
  <c r="AH35" i="9"/>
  <c r="AJ35" i="9" l="1"/>
  <c r="AK35" i="9" s="1"/>
  <c r="AH36" i="9"/>
  <c r="AJ36" i="9" l="1"/>
  <c r="AK36" i="9" s="1"/>
  <c r="AH37" i="9"/>
  <c r="AH38" i="9" l="1"/>
  <c r="AJ37" i="9"/>
  <c r="AK37" i="9" s="1"/>
  <c r="AJ38" i="9" l="1"/>
  <c r="AK38" i="9" s="1"/>
  <c r="AH39" i="9"/>
  <c r="AJ39" i="9" l="1"/>
  <c r="AK39" i="9" s="1"/>
  <c r="AH40" i="9"/>
  <c r="AJ40" i="9" l="1"/>
  <c r="AK40" i="9" s="1"/>
  <c r="AH41" i="9"/>
  <c r="AJ41" i="9" l="1"/>
  <c r="AK41" i="9" s="1"/>
  <c r="AH42" i="9"/>
  <c r="AJ42" i="9" l="1"/>
  <c r="AK42" i="9" s="1"/>
  <c r="AH43" i="9"/>
  <c r="AJ43" i="9" s="1"/>
  <c r="AK43" i="9" s="1"/>
  <c r="AK45" i="9" s="1"/>
  <c r="D17" i="9" s="1"/>
  <c r="E15" i="1" l="1"/>
  <c r="AL27" i="9"/>
  <c r="AL26" i="9" s="1"/>
  <c r="AL25" i="9" s="1"/>
  <c r="AL24" i="9" s="1"/>
  <c r="AL23" i="9" s="1"/>
  <c r="AL22" i="9" s="1"/>
  <c r="AL21" i="9" s="1"/>
  <c r="AL20" i="9" s="1"/>
  <c r="AL19" i="9" s="1"/>
  <c r="AL18" i="9" s="1"/>
  <c r="AL29" i="9"/>
  <c r="AL30" i="9" s="1"/>
  <c r="AL31" i="9" s="1"/>
  <c r="AL32" i="9" s="1"/>
  <c r="AL33" i="9" s="1"/>
  <c r="AL34" i="9" s="1"/>
  <c r="AL35" i="9" s="1"/>
  <c r="AL36" i="9" s="1"/>
  <c r="AL37" i="9" s="1"/>
  <c r="AL38" i="9" s="1"/>
  <c r="AL39" i="9" s="1"/>
  <c r="AL40" i="9" s="1"/>
  <c r="AL41" i="9" s="1"/>
  <c r="AL42" i="9" s="1"/>
  <c r="AL43" i="9" s="1"/>
</calcChain>
</file>

<file path=xl/sharedStrings.xml><?xml version="1.0" encoding="utf-8"?>
<sst xmlns="http://schemas.openxmlformats.org/spreadsheetml/2006/main" count="225" uniqueCount="142">
  <si>
    <t>Attribute</t>
  </si>
  <si>
    <t>Unit</t>
  </si>
  <si>
    <t>Value</t>
  </si>
  <si>
    <t>Definition</t>
  </si>
  <si>
    <t>Source</t>
  </si>
  <si>
    <t>Technical</t>
  </si>
  <si>
    <t>input.ambient_heat</t>
  </si>
  <si>
    <t>-</t>
  </si>
  <si>
    <t>input.electricity</t>
  </si>
  <si>
    <t>output.useable_heat</t>
  </si>
  <si>
    <t>fever.base_cop</t>
  </si>
  <si>
    <t>fever.capacity.electricity</t>
  </si>
  <si>
    <t>fever.cop_per_degree</t>
  </si>
  <si>
    <t>storage.volume</t>
  </si>
  <si>
    <t>MWh</t>
  </si>
  <si>
    <t>storage.cost_per_mwh</t>
  </si>
  <si>
    <t>euro/MWh</t>
  </si>
  <si>
    <t>availability</t>
  </si>
  <si>
    <t>full_load_hours</t>
  </si>
  <si>
    <t>households_supplied_per_unit</t>
  </si>
  <si>
    <t>MW</t>
  </si>
  <si>
    <t>heat_output_capacity</t>
  </si>
  <si>
    <t>Heat output capacity</t>
  </si>
  <si>
    <t>Cost</t>
  </si>
  <si>
    <t>initial_investment</t>
  </si>
  <si>
    <t>euro</t>
  </si>
  <si>
    <t>Initial investment costs</t>
  </si>
  <si>
    <t>ccs_investment</t>
  </si>
  <si>
    <t>Investment cost with ccs</t>
  </si>
  <si>
    <t>cost_of_installing</t>
  </si>
  <si>
    <t>Installation cost</t>
  </si>
  <si>
    <t>decommissioning_costs</t>
  </si>
  <si>
    <t>fixed_operation_and_maintenance_costs_per_year</t>
  </si>
  <si>
    <t>euro/year</t>
  </si>
  <si>
    <t>Fixed operational and maintenance costs per year</t>
  </si>
  <si>
    <t>variable_operation_and_maintenance_costs_per_full_load_hour</t>
  </si>
  <si>
    <t>euro/FLH</t>
  </si>
  <si>
    <t>Variable operational and maintenance costs</t>
  </si>
  <si>
    <t>variable_operation_and_maintenance_costs_for_ccs_per_full_load_hour</t>
  </si>
  <si>
    <t>Variable operational and maintenance costs for ccs</t>
  </si>
  <si>
    <t>wacc</t>
  </si>
  <si>
    <t>%</t>
  </si>
  <si>
    <t>Weighted average cost of capita</t>
  </si>
  <si>
    <t>takes_part_in_ets</t>
  </si>
  <si>
    <t>yes=1, no=0</t>
  </si>
  <si>
    <t>eur0/MWh</t>
  </si>
  <si>
    <t>Other</t>
  </si>
  <si>
    <t>construction_time</t>
  </si>
  <si>
    <t>years</t>
  </si>
  <si>
    <t xml:space="preserve">Construction time of the plant </t>
  </si>
  <si>
    <t>technical_lifetime</t>
  </si>
  <si>
    <t>Technical lifetime of the plant</t>
  </si>
  <si>
    <t>free_co2_factor</t>
  </si>
  <si>
    <t xml:space="preserve">Decommissioning cost </t>
  </si>
  <si>
    <t>Author</t>
  </si>
  <si>
    <t>Node</t>
  </si>
  <si>
    <t>Organisation</t>
  </si>
  <si>
    <t>Quintel</t>
  </si>
  <si>
    <t>Description</t>
  </si>
  <si>
    <t>Published year</t>
  </si>
  <si>
    <t>Subject year</t>
  </si>
  <si>
    <t>Retreived year</t>
  </si>
  <si>
    <t>Link</t>
  </si>
  <si>
    <t>Subject country</t>
  </si>
  <si>
    <t>NL</t>
  </si>
  <si>
    <t>Title</t>
  </si>
  <si>
    <t>Author / organisation</t>
  </si>
  <si>
    <t>Variables</t>
  </si>
  <si>
    <t>value</t>
  </si>
  <si>
    <t>variable</t>
  </si>
  <si>
    <t>unit</t>
  </si>
  <si>
    <t>comment</t>
  </si>
  <si>
    <t>source</t>
  </si>
  <si>
    <t>Quintel assumption</t>
  </si>
  <si>
    <t>Note: "published year" might deviate from "subject year". For example, a study can be published in 2024 about costs parameters in 2020.</t>
  </si>
  <si>
    <r>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r>
    <r>
      <rPr>
        <i/>
        <sz val="12"/>
        <color rgb="FF000000"/>
        <rFont val="Aptos Narrow"/>
        <scheme val="minor"/>
      </rPr>
      <t>Note: in the final dashboard values, use ROUND to avoid long floats.</t>
    </r>
    <r>
      <rPr>
        <sz val="12"/>
        <color rgb="FF000000"/>
        <rFont val="Aptos Narrow"/>
        <scheme val="minor"/>
      </rPr>
      <t xml:space="preserve">
</t>
    </r>
  </si>
  <si>
    <t>https://pdf.sciencedirectassets.com/271429/1-s2.0-S0306261924X00148/1-s2.0-S0306261924010304/main.pdf?X-Amz-Security-Token=IQoJb3JpZ2luX2VjEDcaCXVzLWVhc3QtMSJHMEUCIDayx60tWfHNKXVVv8qS6t7aPyy1YM%2BiBAF7FCuifT67AiEAuYqhuC5gy%2FAawde7fGCHiyLrCKGdXwEYRSiojbmpQdMqvAUI%2F%2F%2F%2F%2F%2F%2F%2F%2F%2F%2F%2FARAFGgwwNTkwMDM1NDY4NjUiDOxvvumY1HhRiHczdCqQBRl5ICXGeg74c%2B%2BGt6IdqbTCtLh0Cu69IR5DEAACTsA%2FYwbWrgDr%2BzXwqBDPa6GZ8rgoLiR9YP9HwXG8g%2FsR0yi1Kld1R%2B%2FWY4sYSSMxxVoJmr9SAtWFnzKuv3LwQ0U2Adpceq1YsXSRwmaVFGy7fk389lcW%2Fx0PaB8USbARFUz8p03pCT3wcy8uXWXyCUsRNl6eN2pTmmamMv3RKEWuw3extsuoc3KfxXjb1TvnEDTIgZx1P8BYBcpoGfOuxdPLkVGa8bhbYyZ3HVNKrf7pzMaq17fTLj4PtFdLFyyhuxiXNV3Vv%2BnsdmEbZhPvp99m3lYJsMRX7bHAtXdbw661dYT3M%2BPCe%2B2kJQwMikZxWfs%2FihlZaEbdIlQpMbfX7xST6xM%2BeeEEIvV%2ByABbJ5kxzBBjHzbJtSk%2FN4YhVLoyXDdq1LEenN5CVcFf0YztFQk8SMQoMi%2BAhVpoSV3LUK5DFisHXeXWMHsc3QUDM9XFp26Y1GovhZJ%2FijGUhgTn%2FTC00qogUqGKkhG8ws4pnu94DzqgWxmVjyWX%2FqX30i6fDPpUxSHKujCyTj8siOS1lTNWWz3UoZDFmz3frOI2ztMm%2FVfWe5OVeVblN87IRAYyyxJ5uKCv5C66BGzW4YUiIVBSFkFdv872uvoP5J61SJVs9v20T6SbGfxJM5LLK4KqvQHWYs4YCMzA%2BVEwwXF4hhZ8CVD4PK9cTnxzsdFLLFOkBdrcoYL4uEIaufqbnZthK%2FbpUrMgMYWi2jgW8wG4s9ipCWTg6R5bvu2Ds6Q3UmUo7CglQ%2FJD5ASTEHmqR%2BCGYqUNRAeH4YlHSwliIoR6X77fyWpfWOBygE8rtJa%2FtVr82LfTpIljxYkK79XYmiKV0ls9MPfA%2FNMGOrEBYjfBchqkKUY1si0EA8Zq2hP92hHujyBIqLntJvfEzpLLYb0g37kv5ohpd%2F6qPuxSJ3%2BhVhPJfzDptMtbBx3zUZ4IhdZMgyeZOemV8w1F17hV0fBa03MzuejvBr2JtTLZICTYLwr%2BH0yS3XH9QU13P7vE%2BPpZc5gSh9J9CBi%2FtIddCYJZ1A8g073sJV7VbQyodWrsmfyWIvppurgch2bZZGxtV3uCtxOjTIPHblTrWVX7&amp;X-Amz-Algorithm=AWS4-HMAC-SHA256&amp;X-Amz-Date=20260814T142629Z&amp;X-Amz-SignedHeaders=host&amp;X-Amz-Expires=300&amp;X-Amz-Credential=ASIAQ3PHCVTYQ7GBCDX4%2F20260814%2Fus-east-1%2Fs3%2Faws4_request&amp;X-Amz-Signature=f5505e1ab0c3d216f958b3dd2da6d768b974147a086a958ae13c8ff067f3f793&amp;hash=700ab74877321dbaa56e45a1d6afdbe3b6e32748e211e8ec3c9cab8c75cadcf4&amp;host=68042c943591013ac2b2430a89b270f6af2c76d8dfd086a07176afe7c76c2c61&amp;pii=S0306261924010304&amp;tid=spdf-df67c04d-858b-4d71-8345-3792de26f625&amp;sid=71107c3f109b914cd36b34220ded9018ec04gxrqb&amp;type=client&amp;tsoh=d3d3LnNjaWVuY2VkaXJlY3QuY29t&amp;rh=d3d3LnNjaWVuY2VkaXJlY3QuY29t&amp;ua=140a0653005505515b5757&amp;rr=a2b0a2864a59feb4&amp;cc=nl</t>
  </si>
  <si>
    <t xml:space="preserve">Impact of temperature dependent coefficient of performance of heat pumps on heating systems in national and regional energy systems modelling </t>
  </si>
  <si>
    <t>Bogdanov, Stymov, Breyer (LUT University)</t>
  </si>
  <si>
    <t>delta T</t>
  </si>
  <si>
    <t>COP</t>
  </si>
  <si>
    <r>
      <t>Test formule</t>
    </r>
    <r>
      <rPr>
        <sz val="12"/>
        <color theme="1"/>
        <rFont val="Aptos Narrow"/>
        <scheme val="minor"/>
      </rPr>
      <t xml:space="preserve"> (ASHP)</t>
    </r>
  </si>
  <si>
    <t>Base COP</t>
  </si>
  <si>
    <t>Average COP per degree</t>
  </si>
  <si>
    <t>COP (lineair aproximation)</t>
  </si>
  <si>
    <t>Outside temp</t>
  </si>
  <si>
    <t>Sink temp</t>
  </si>
  <si>
    <t>https://www.nature.com/articles/s41597-019-0199-y</t>
  </si>
  <si>
    <t xml:space="preserve">Ruhnau, O., Hirth, L. &amp; Praktiknjo, A. </t>
  </si>
  <si>
    <t>Time series of heat demand and heat pump efficiency for energy system modeling (When2Heat)</t>
  </si>
  <si>
    <t>CE Delft</t>
  </si>
  <si>
    <t>https://ce.nl/wp-content/uploads/2023/03/CE_Delft_210348_Update_kentallen_installaties_Vesta_MAIS_Def.pdf</t>
  </si>
  <si>
    <t>Jort Wolda</t>
  </si>
  <si>
    <t>Update kentallen installaties Vesta MAIS</t>
  </si>
  <si>
    <t xml:space="preserve">https://kennisdelen.rvo.nl/file/download/a29e1ec4-ad00-4a5b-ba62-287ca7602ddf/Installatiemonitor_3_eindrapportage_v1.02.pdf </t>
  </si>
  <si>
    <t>BDH</t>
  </si>
  <si>
    <t>Installatiemonitor 3.0</t>
  </si>
  <si>
    <t>Installatiemonitor 3.0 - De warmtepomp in de gebouwde omgeving</t>
  </si>
  <si>
    <t>Screenshots</t>
  </si>
  <si>
    <t>Bogdanov et al. (2024)</t>
  </si>
  <si>
    <t>Ruhnau et al. (2019)</t>
  </si>
  <si>
    <t>Main source:</t>
  </si>
  <si>
    <t>Supporting source:</t>
  </si>
  <si>
    <t xml:space="preserve">https://www.sinclair-solutions.com/files/product-fiche/sinclair-prfi-shp-140ica-shp-140eca2.pdf </t>
  </si>
  <si>
    <t>Sinclair</t>
  </si>
  <si>
    <t>Sinclair SHP-140ICA + SHP-140ECA product fiche</t>
  </si>
  <si>
    <r>
      <t xml:space="preserve">The average bivalence capacity* of all-electric heat pumps  in the </t>
    </r>
    <r>
      <rPr>
        <i/>
        <sz val="12"/>
        <color theme="1"/>
        <rFont val="Aptos Narrow (Hoofdtekst)"/>
      </rPr>
      <t>Installatiemonitor</t>
    </r>
    <r>
      <rPr>
        <sz val="12"/>
        <color theme="1"/>
        <rFont val="Aptos Narrow (Hoofdtekst)"/>
      </rPr>
      <t xml:space="preserve"> research was 7.8 kW.
The COP at bivalence capacity according to Bogdanov et al. (2024) is 2.7. Which is used to find the electrical capacity.
</t>
    </r>
    <r>
      <rPr>
        <i/>
        <sz val="12"/>
        <color theme="1"/>
        <rFont val="Aptos Narrow (Hoofdtekst)"/>
      </rPr>
      <t xml:space="preserve">*The capacity of the heat pump at the lowest outdoor temperature point at which the heat pump is declared to have a capacity able to meet 100 % of the heating load without supplementary heater
This temperature is often around -7 °C as for the Sinclair SHP-140ICA + SHP-140ECA
</t>
    </r>
  </si>
  <si>
    <t>Update kengetallen Vesta Mais</t>
  </si>
  <si>
    <t>Average between min and max</t>
  </si>
  <si>
    <t>Directly from source</t>
  </si>
  <si>
    <t>€ / year</t>
  </si>
  <si>
    <t>€ / #</t>
  </si>
  <si>
    <t>https://ce.nl/wp-content/uploads/2021/04/04_Factsheet-Luchtwarmtepomp_DEF.pdf</t>
  </si>
  <si>
    <t>Factsheet Luchtwarmtepomp</t>
  </si>
  <si>
    <t>Factsheet warmtepompen</t>
  </si>
  <si>
    <t>Quintel assumptions</t>
  </si>
  <si>
    <t>Factsheet luchtwarmtepomp</t>
  </si>
  <si>
    <t>input.ambient_heat, input.electricity, heat_output_capacity, fever.capacity.electricity</t>
  </si>
  <si>
    <t>fever.base_cop, fever.cop_per_degree, heat_output_capacity, fever.capacity.electricity</t>
  </si>
  <si>
    <t>fever.base_cop, fever.cop_per_degree</t>
  </si>
  <si>
    <t>initial_investment, fixed_operation_and_maintenance_costs_per_year</t>
  </si>
  <si>
    <t>The Installatiemonitor tracks smart meter data from households with heat pumps, collected between 01-2023 and 01-2026, and therefore reflects real-world performance. The sample covers 200–250 all-electric and 1,955 hybrid heat pumps with a complete dataset.
The average SCOP for tap water is 2.3</t>
  </si>
  <si>
    <t>WARM TAPWATERINSTALLATIES Leidingontwerp, wachttijden, toestellen en temperatuurregeling</t>
  </si>
  <si>
    <t>Samenwerkende Drinkwaterbedrijven</t>
  </si>
  <si>
    <t>KNMI</t>
  </si>
  <si>
    <t>https://www.knmi.nl/klimaat#klimaatdashboard</t>
  </si>
  <si>
    <t>Klimaatdashboard</t>
  </si>
  <si>
    <t>Quintel assumptions: costs are covered in space_heater_heatpump</t>
  </si>
  <si>
    <t>Installatiemonitor 3.0 (identical to space_heater_heatpump)</t>
  </si>
  <si>
    <t xml:space="preserve">https://www.infodwi.nl/media/50phiyot/concept-waterwerkblad-4-4a-december-2023_1.pdf </t>
  </si>
  <si>
    <t>KNMI klimaatdashboard</t>
  </si>
  <si>
    <t>Bogdanov et al. (2024) give COP formulas as a function of delta T for air, ground and water source heat pumps. The formulas originate from Ruhnau et al. (2019), which used 2016 manufacturer data, but Bogdanov et al. updated the coefficients. The changes are small but the fact they're refised in 2024 improves credibility. While the formula has a quadratic term, the curve is nearly linear in the relevant range (see chart).
These attributes should reproduce a SCOP broadly in line with the static value under typical conditions. Tap water installations have to heat up to at least 55 °C at the tap, which means the temperature at the tank must be slightly higher, at least. So, we'll use an estimated average of 60 °C. Combined with average outside temperature of ~10 °C a COP of 2.5 is found using the formula. Close to installatiemonitor values.
The COP per degree is derived from the average step between −10 and 15 °C outside temperature.</t>
  </si>
  <si>
    <t>households_water_heater_heatpump_air_water_electricity.ad</t>
  </si>
  <si>
    <t>€</t>
  </si>
  <si>
    <t>Storage costs are assumed to be included in the average investment costs per household in Vesta Mais. The only costs they give are 'costs per house' and storage costs are never specified individually.</t>
  </si>
  <si>
    <t>https://documenten.isso.nl/s/vZjyBQVS20iaUaEAiV1XTK08Z7hsdsnV/addendum_ISSO-Publicatie98.pdf</t>
  </si>
  <si>
    <t>ISSO</t>
  </si>
  <si>
    <t>Addendum ISSO-publicatie 98, Bijlage A "Boilerberekening", Tabel A.1</t>
  </si>
  <si>
    <t>Source volume tank:</t>
  </si>
  <si>
    <t>Delta T: 60 °C - 10 °C = 50 °C = 50 K (temperatures also used in F16)</t>
  </si>
  <si>
    <t>Specific heat water: 1.163 Wh/L/K</t>
  </si>
  <si>
    <t>Volume storage tank is situation dependent but at least 107L for a household without heat recovery system for the shower. More people, or a bath increase the tank size, heat recovery systems reduce the minimum tank size. As an estimated average we use 150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</si>
</sst>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000"/>
  </numFmts>
  <fonts count="13">
    <font>
      <sz val="12"/>
      <color theme="1"/>
      <name val="Aptos Narrow"/>
      <family val="2"/>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4"/>
      <color theme="1"/>
      <name val="Aptos Narrow"/>
      <scheme val="minor"/>
    </font>
    <font>
      <u/>
      <sz val="12"/>
      <color theme="10"/>
      <name val="Aptos Narrow"/>
      <family val="2"/>
      <scheme val="minor"/>
    </font>
    <font>
      <i/>
      <sz val="12"/>
      <color theme="1"/>
      <name val="Aptos Narrow"/>
      <scheme val="minor"/>
    </font>
    <font>
      <i/>
      <sz val="12"/>
      <color rgb="FF000000"/>
      <name val="Aptos Narrow"/>
      <scheme val="minor"/>
    </font>
    <font>
      <sz val="12"/>
      <color theme="1"/>
      <name val="Lettertype hoofdtekst"/>
      <family val="2"/>
    </font>
    <font>
      <sz val="12"/>
      <color theme="1"/>
      <name val="Aptos Narrow (Hoofdtekst)"/>
    </font>
    <font>
      <i/>
      <sz val="12"/>
      <color rgb="FFFF0000"/>
      <name val="Aptos Narrow"/>
      <scheme val="minor"/>
    </font>
    <font>
      <i/>
      <sz val="12"/>
      <color theme="1"/>
      <name val="Aptos Narrow (Hoofdtekst)"/>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top/>
      <bottom style="thin">
        <color auto="1"/>
      </bottom>
      <diagonal/>
    </border>
    <border>
      <left/>
      <right style="hair">
        <color indexed="64"/>
      </right>
      <top/>
      <bottom style="thin">
        <color auto="1"/>
      </bottom>
      <diagonal/>
    </border>
    <border>
      <left/>
      <right style="hair">
        <color indexed="64"/>
      </right>
      <top/>
      <bottom/>
      <diagonal/>
    </border>
    <border>
      <left/>
      <right style="hair">
        <color indexed="64"/>
      </right>
      <top style="thin">
        <color indexed="64"/>
      </top>
      <bottom/>
      <diagonal/>
    </border>
    <border>
      <left style="hair">
        <color indexed="64"/>
      </left>
      <right style="hair">
        <color indexed="64"/>
      </right>
      <top/>
      <bottom style="thin">
        <color auto="1"/>
      </bottom>
      <diagonal/>
    </border>
    <border>
      <left style="hair">
        <color indexed="64"/>
      </left>
      <right/>
      <top/>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bottom/>
      <diagonal/>
    </border>
    <border>
      <left style="dotted">
        <color indexed="64"/>
      </left>
      <right style="hair">
        <color indexed="64"/>
      </right>
      <top/>
      <bottom/>
      <diagonal/>
    </border>
    <border>
      <left style="dotted">
        <color indexed="64"/>
      </left>
      <right style="dotted">
        <color indexed="64"/>
      </right>
      <top style="thin">
        <color auto="1"/>
      </top>
      <bottom/>
      <diagonal/>
    </border>
  </borders>
  <cellStyleXfs count="3">
    <xf numFmtId="0" fontId="0" fillId="0" borderId="0"/>
    <xf numFmtId="0" fontId="6" fillId="0" borderId="0" applyNumberFormat="0" applyFill="0" applyBorder="0" applyAlignment="0" applyProtection="0"/>
    <xf numFmtId="0" fontId="9" fillId="0" borderId="0"/>
  </cellStyleXfs>
  <cellXfs count="133">
    <xf numFmtId="0" fontId="0" fillId="0" borderId="0" xfId="0"/>
    <xf numFmtId="0" fontId="2" fillId="2" borderId="0" xfId="0" applyFont="1" applyFill="1"/>
    <xf numFmtId="0" fontId="2" fillId="2" borderId="2" xfId="0" applyFont="1" applyFill="1" applyBorder="1"/>
    <xf numFmtId="0" fontId="3" fillId="2" borderId="3" xfId="0" applyFont="1" applyFill="1" applyBorder="1"/>
    <xf numFmtId="0" fontId="2" fillId="2" borderId="9"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5" fillId="2" borderId="10" xfId="0" applyFont="1" applyFill="1" applyBorder="1"/>
    <xf numFmtId="0" fontId="3" fillId="2" borderId="5" xfId="0" applyFont="1" applyFill="1" applyBorder="1"/>
    <xf numFmtId="0" fontId="3" fillId="2" borderId="0" xfId="0" applyFont="1" applyFill="1"/>
    <xf numFmtId="0" fontId="4" fillId="4" borderId="0" xfId="0" applyFont="1" applyFill="1"/>
    <xf numFmtId="0" fontId="5" fillId="2" borderId="11" xfId="0" applyFont="1" applyFill="1" applyBorder="1"/>
    <xf numFmtId="0" fontId="4" fillId="0" borderId="0" xfId="0" applyFont="1"/>
    <xf numFmtId="164" fontId="2" fillId="2" borderId="6" xfId="0" applyNumberFormat="1" applyFont="1" applyFill="1" applyBorder="1"/>
    <xf numFmtId="0" fontId="5" fillId="2" borderId="0" xfId="0" applyFont="1" applyFill="1"/>
    <xf numFmtId="0" fontId="2" fillId="0" borderId="0" xfId="0" applyFont="1"/>
    <xf numFmtId="0" fontId="3" fillId="0" borderId="0" xfId="0" applyFont="1"/>
    <xf numFmtId="0" fontId="2" fillId="2" borderId="6" xfId="0" applyFont="1" applyFill="1" applyBorder="1"/>
    <xf numFmtId="165" fontId="2" fillId="2" borderId="6" xfId="0" applyNumberFormat="1" applyFont="1" applyFill="1" applyBorder="1"/>
    <xf numFmtId="49" fontId="2" fillId="2" borderId="0" xfId="0" applyNumberFormat="1" applyFont="1" applyFill="1"/>
    <xf numFmtId="166" fontId="2" fillId="2" borderId="6" xfId="0" applyNumberFormat="1" applyFont="1" applyFill="1" applyBorder="1"/>
    <xf numFmtId="0" fontId="1" fillId="0" borderId="0" xfId="0" applyFont="1"/>
    <xf numFmtId="0" fontId="2" fillId="2" borderId="5" xfId="0" applyFont="1" applyFill="1" applyBorder="1"/>
    <xf numFmtId="0" fontId="2" fillId="2" borderId="11" xfId="0" applyFont="1" applyFill="1" applyBorder="1"/>
    <xf numFmtId="0" fontId="1" fillId="2" borderId="0" xfId="0" applyFont="1" applyFill="1"/>
    <xf numFmtId="2" fontId="2" fillId="2" borderId="0" xfId="0" applyNumberFormat="1" applyFont="1" applyFill="1"/>
    <xf numFmtId="2" fontId="2" fillId="0" borderId="6" xfId="0" applyNumberFormat="1" applyFont="1" applyBorder="1"/>
    <xf numFmtId="0" fontId="2" fillId="2" borderId="7" xfId="0" applyFont="1" applyFill="1" applyBorder="1"/>
    <xf numFmtId="0" fontId="2" fillId="2" borderId="8" xfId="0" applyFont="1" applyFill="1" applyBorder="1"/>
    <xf numFmtId="0" fontId="2" fillId="2" borderId="12" xfId="0" applyFont="1" applyFill="1" applyBorder="1"/>
    <xf numFmtId="0" fontId="3" fillId="2" borderId="2" xfId="0" applyFont="1" applyFill="1" applyBorder="1"/>
    <xf numFmtId="0" fontId="2" fillId="2" borderId="3" xfId="0" applyFont="1" applyFill="1" applyBorder="1"/>
    <xf numFmtId="0" fontId="0" fillId="2" borderId="0" xfId="0" applyFill="1"/>
    <xf numFmtId="0" fontId="0" fillId="2" borderId="8" xfId="0" applyFill="1" applyBorder="1"/>
    <xf numFmtId="0" fontId="3" fillId="2" borderId="7" xfId="0" applyFont="1" applyFill="1" applyBorder="1" applyAlignment="1">
      <alignment vertical="top"/>
    </xf>
    <xf numFmtId="0" fontId="2" fillId="2" borderId="8" xfId="0" applyFont="1" applyFill="1" applyBorder="1" applyAlignment="1">
      <alignment vertical="top"/>
    </xf>
    <xf numFmtId="0" fontId="0" fillId="2" borderId="2" xfId="0" applyFill="1" applyBorder="1"/>
    <xf numFmtId="0" fontId="0" fillId="2" borderId="3" xfId="0" applyFill="1" applyBorder="1"/>
    <xf numFmtId="0" fontId="0" fillId="2" borderId="9" xfId="0" applyFill="1" applyBorder="1"/>
    <xf numFmtId="0" fontId="0" fillId="2" borderId="4" xfId="0" applyFill="1" applyBorder="1"/>
    <xf numFmtId="0" fontId="0" fillId="2" borderId="10" xfId="0" applyFill="1" applyBorder="1"/>
    <xf numFmtId="0" fontId="0" fillId="2" borderId="5" xfId="0" applyFill="1" applyBorder="1"/>
    <xf numFmtId="0" fontId="0" fillId="2" borderId="11" xfId="0" applyFill="1" applyBorder="1"/>
    <xf numFmtId="0" fontId="0" fillId="2" borderId="7" xfId="0" applyFill="1" applyBorder="1"/>
    <xf numFmtId="0" fontId="0" fillId="2" borderId="12" xfId="0" applyFill="1" applyBorder="1"/>
    <xf numFmtId="0" fontId="0" fillId="2" borderId="0" xfId="0" applyFill="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wrapText="1"/>
    </xf>
    <xf numFmtId="0" fontId="0" fillId="2" borderId="8" xfId="0" applyFill="1" applyBorder="1" applyAlignment="1">
      <alignment horizontal="center"/>
    </xf>
    <xf numFmtId="0" fontId="6" fillId="2" borderId="0" xfId="1" applyFill="1" applyBorder="1"/>
    <xf numFmtId="0" fontId="7" fillId="2" borderId="0" xfId="0" applyFont="1" applyFill="1"/>
    <xf numFmtId="2" fontId="0" fillId="2" borderId="15" xfId="0" applyNumberFormat="1" applyFill="1" applyBorder="1"/>
    <xf numFmtId="0" fontId="0" fillId="2" borderId="15" xfId="0" applyFill="1" applyBorder="1"/>
    <xf numFmtId="0" fontId="0" fillId="2" borderId="16" xfId="0" applyFill="1" applyBorder="1"/>
    <xf numFmtId="0" fontId="0" fillId="2" borderId="18" xfId="0" applyFill="1" applyBorder="1"/>
    <xf numFmtId="0" fontId="0" fillId="2" borderId="17" xfId="0" applyFill="1" applyBorder="1"/>
    <xf numFmtId="0" fontId="0" fillId="2" borderId="19" xfId="0" applyFill="1" applyBorder="1"/>
    <xf numFmtId="0" fontId="0" fillId="2" borderId="1" xfId="0" applyFill="1" applyBorder="1"/>
    <xf numFmtId="0" fontId="0" fillId="2" borderId="20" xfId="0" applyFill="1" applyBorder="1"/>
    <xf numFmtId="164" fontId="0" fillId="2" borderId="15" xfId="0" applyNumberFormat="1" applyFill="1" applyBorder="1"/>
    <xf numFmtId="0" fontId="0" fillId="2" borderId="27" xfId="0" applyFill="1" applyBorder="1"/>
    <xf numFmtId="0" fontId="0" fillId="2" borderId="29" xfId="0" applyFill="1" applyBorder="1"/>
    <xf numFmtId="0" fontId="0" fillId="2" borderId="30" xfId="0" applyFill="1" applyBorder="1"/>
    <xf numFmtId="0" fontId="0" fillId="2" borderId="28" xfId="0" applyFill="1" applyBorder="1"/>
    <xf numFmtId="0" fontId="0" fillId="2" borderId="32" xfId="0" applyFill="1" applyBorder="1"/>
    <xf numFmtId="0" fontId="0" fillId="2" borderId="34" xfId="0" applyFill="1" applyBorder="1"/>
    <xf numFmtId="0" fontId="0" fillId="2" borderId="31" xfId="0" applyFill="1" applyBorder="1"/>
    <xf numFmtId="0" fontId="0" fillId="2" borderId="35" xfId="0" applyFill="1" applyBorder="1"/>
    <xf numFmtId="0" fontId="0" fillId="2" borderId="33" xfId="0" applyFill="1" applyBorder="1"/>
    <xf numFmtId="0" fontId="0" fillId="2" borderId="14" xfId="0" applyFill="1" applyBorder="1"/>
    <xf numFmtId="165" fontId="0" fillId="2" borderId="18" xfId="0" applyNumberFormat="1" applyFill="1" applyBorder="1"/>
    <xf numFmtId="165" fontId="0" fillId="2" borderId="20" xfId="0" applyNumberFormat="1" applyFill="1" applyBorder="1"/>
    <xf numFmtId="0" fontId="0" fillId="2" borderId="36" xfId="0" applyFill="1" applyBorder="1"/>
    <xf numFmtId="0" fontId="0" fillId="2" borderId="37" xfId="0" applyFill="1" applyBorder="1"/>
    <xf numFmtId="0" fontId="0" fillId="2" borderId="38" xfId="0" applyFill="1" applyBorder="1"/>
    <xf numFmtId="0" fontId="11" fillId="2" borderId="0" xfId="0" applyFont="1" applyFill="1"/>
    <xf numFmtId="0" fontId="0" fillId="2" borderId="13" xfId="0" applyFill="1" applyBorder="1"/>
    <xf numFmtId="165" fontId="0" fillId="2" borderId="22" xfId="0" applyNumberFormat="1" applyFill="1" applyBorder="1"/>
    <xf numFmtId="165" fontId="0" fillId="2" borderId="21" xfId="0" applyNumberFormat="1" applyFill="1" applyBorder="1"/>
    <xf numFmtId="165" fontId="0" fillId="2" borderId="23" xfId="0" applyNumberFormat="1" applyFill="1" applyBorder="1"/>
    <xf numFmtId="165" fontId="0" fillId="2" borderId="16" xfId="0" applyNumberFormat="1" applyFill="1" applyBorder="1"/>
    <xf numFmtId="0" fontId="10" fillId="2" borderId="32" xfId="1" applyFont="1" applyFill="1" applyBorder="1"/>
    <xf numFmtId="0" fontId="2" fillId="2" borderId="18" xfId="0" applyFont="1" applyFill="1" applyBorder="1" applyAlignment="1">
      <alignment vertical="top"/>
    </xf>
    <xf numFmtId="0" fontId="2" fillId="2" borderId="1" xfId="0" applyFont="1" applyFill="1" applyBorder="1" applyAlignment="1">
      <alignment vertical="top"/>
    </xf>
    <xf numFmtId="0" fontId="2" fillId="2" borderId="20" xfId="0" applyFont="1" applyFill="1" applyBorder="1" applyAlignment="1">
      <alignment vertical="top"/>
    </xf>
    <xf numFmtId="0" fontId="7" fillId="2" borderId="33" xfId="0" applyFont="1" applyFill="1" applyBorder="1" applyAlignment="1">
      <alignment vertical="top"/>
    </xf>
    <xf numFmtId="0" fontId="7" fillId="2" borderId="32" xfId="0" applyFont="1" applyFill="1" applyBorder="1"/>
    <xf numFmtId="0" fontId="11" fillId="2" borderId="17" xfId="0" applyFont="1" applyFill="1" applyBorder="1"/>
    <xf numFmtId="0" fontId="11" fillId="2" borderId="18" xfId="0" applyFont="1" applyFill="1" applyBorder="1"/>
    <xf numFmtId="165" fontId="11" fillId="2" borderId="18" xfId="0" applyNumberFormat="1" applyFont="1" applyFill="1" applyBorder="1"/>
    <xf numFmtId="165" fontId="11" fillId="2" borderId="22" xfId="0" applyNumberFormat="1" applyFont="1" applyFill="1" applyBorder="1"/>
    <xf numFmtId="0" fontId="10" fillId="2" borderId="35" xfId="0" applyFont="1" applyFill="1" applyBorder="1" applyAlignment="1">
      <alignment vertical="top" wrapText="1"/>
    </xf>
    <xf numFmtId="0" fontId="10" fillId="2" borderId="34" xfId="0" applyFont="1" applyFill="1" applyBorder="1" applyAlignment="1">
      <alignment vertical="top" wrapText="1"/>
    </xf>
    <xf numFmtId="0" fontId="10" fillId="2" borderId="31" xfId="0" applyFont="1" applyFill="1" applyBorder="1" applyAlignment="1">
      <alignment vertical="top" wrapText="1"/>
    </xf>
    <xf numFmtId="0" fontId="0" fillId="2" borderId="25" xfId="0" applyFill="1" applyBorder="1"/>
    <xf numFmtId="0" fontId="2" fillId="2" borderId="24" xfId="0" applyFont="1" applyFill="1" applyBorder="1" applyAlignment="1">
      <alignment vertical="top"/>
    </xf>
    <xf numFmtId="0" fontId="2" fillId="2" borderId="25" xfId="0" applyFont="1" applyFill="1" applyBorder="1" applyAlignment="1">
      <alignment vertical="top"/>
    </xf>
    <xf numFmtId="0" fontId="2" fillId="2" borderId="25" xfId="0" applyFont="1" applyFill="1" applyBorder="1"/>
    <xf numFmtId="0" fontId="0" fillId="2" borderId="26" xfId="0" applyFill="1" applyBorder="1"/>
    <xf numFmtId="0" fontId="2" fillId="2" borderId="0" xfId="0" applyFont="1" applyFill="1" applyAlignment="1">
      <alignment vertical="top"/>
    </xf>
    <xf numFmtId="0" fontId="0" fillId="2" borderId="39" xfId="0" applyFill="1" applyBorder="1"/>
    <xf numFmtId="0" fontId="0" fillId="2" borderId="40" xfId="0" applyFill="1" applyBorder="1"/>
    <xf numFmtId="0" fontId="0" fillId="2" borderId="41" xfId="0" applyFill="1" applyBorder="1"/>
    <xf numFmtId="0" fontId="0" fillId="2" borderId="41" xfId="0" applyFill="1" applyBorder="1" applyAlignment="1">
      <alignment horizontal="center"/>
    </xf>
    <xf numFmtId="0" fontId="0" fillId="2" borderId="39" xfId="0" applyFill="1" applyBorder="1" applyAlignment="1">
      <alignment horizontal="center"/>
    </xf>
    <xf numFmtId="0" fontId="2" fillId="0" borderId="6" xfId="0" applyFont="1" applyBorder="1"/>
    <xf numFmtId="165" fontId="0" fillId="2" borderId="0" xfId="0" applyNumberFormat="1" applyFill="1"/>
    <xf numFmtId="165" fontId="11" fillId="2" borderId="0" xfId="0" applyNumberFormat="1" applyFont="1" applyFill="1"/>
    <xf numFmtId="0" fontId="6" fillId="2" borderId="0" xfId="1" applyFill="1"/>
    <xf numFmtId="167" fontId="2" fillId="2" borderId="6" xfId="0" applyNumberFormat="1" applyFont="1" applyFill="1" applyBorder="1"/>
    <xf numFmtId="0" fontId="1" fillId="3" borderId="3"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0" xfId="0" applyFont="1" applyFill="1" applyAlignment="1">
      <alignment horizontal="left" vertical="top" wrapText="1"/>
    </xf>
    <xf numFmtId="0" fontId="1" fillId="3" borderId="1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2" xfId="0" applyFont="1" applyFill="1" applyBorder="1" applyAlignment="1">
      <alignment horizontal="left" vertical="top" wrapText="1"/>
    </xf>
    <xf numFmtId="0" fontId="10" fillId="2" borderId="35" xfId="0" applyFont="1" applyFill="1" applyBorder="1" applyAlignment="1">
      <alignment horizontal="left" vertical="top" wrapText="1"/>
    </xf>
    <xf numFmtId="0" fontId="10" fillId="2" borderId="34" xfId="0" applyFont="1" applyFill="1" applyBorder="1" applyAlignment="1">
      <alignment horizontal="left" vertical="top" wrapText="1"/>
    </xf>
    <xf numFmtId="0" fontId="10" fillId="2" borderId="31" xfId="0" applyFont="1" applyFill="1" applyBorder="1" applyAlignment="1">
      <alignment horizontal="left" vertical="top" wrapText="1"/>
    </xf>
    <xf numFmtId="0" fontId="0" fillId="2" borderId="15" xfId="0" applyFill="1" applyBorder="1" applyAlignment="1">
      <alignment horizontal="left" vertical="top" wrapText="1"/>
    </xf>
    <xf numFmtId="0" fontId="0" fillId="2" borderId="1" xfId="0" applyFill="1" applyBorder="1" applyAlignment="1">
      <alignment horizontal="left" vertical="top" wrapText="1"/>
    </xf>
    <xf numFmtId="0" fontId="0" fillId="2" borderId="0" xfId="0" applyFill="1" applyBorder="1"/>
    <xf numFmtId="0" fontId="10" fillId="2" borderId="0" xfId="0" applyFont="1" applyFill="1" applyBorder="1" applyAlignment="1">
      <alignment vertical="top" wrapText="1"/>
    </xf>
    <xf numFmtId="166" fontId="0" fillId="2" borderId="15" xfId="0" applyNumberFormat="1" applyFill="1" applyBorder="1"/>
    <xf numFmtId="166" fontId="10" fillId="2" borderId="34" xfId="0" applyNumberFormat="1" applyFont="1" applyFill="1" applyBorder="1" applyAlignment="1">
      <alignment horizontal="center" vertical="center" wrapText="1"/>
    </xf>
    <xf numFmtId="0" fontId="3" fillId="2" borderId="0" xfId="0" applyFont="1" applyFill="1" applyBorder="1"/>
    <xf numFmtId="2" fontId="0" fillId="2" borderId="0" xfId="0" applyNumberFormat="1" applyFill="1" applyBorder="1"/>
    <xf numFmtId="0" fontId="0" fillId="2" borderId="0" xfId="0" applyFill="1" applyBorder="1" applyAlignment="1">
      <alignment horizontal="left" vertical="top" wrapText="1"/>
    </xf>
    <xf numFmtId="0" fontId="2" fillId="2" borderId="0" xfId="0" applyFont="1" applyFill="1" applyBorder="1" applyAlignment="1">
      <alignment vertical="top"/>
    </xf>
    <xf numFmtId="0" fontId="0" fillId="2" borderId="0" xfId="0" applyFill="1" applyBorder="1" applyAlignment="1">
      <alignment vertical="top" wrapText="1"/>
    </xf>
    <xf numFmtId="164" fontId="0" fillId="2" borderId="0" xfId="0" applyNumberFormat="1" applyFill="1" applyBorder="1"/>
    <xf numFmtId="165" fontId="0" fillId="2" borderId="0" xfId="0" applyNumberFormat="1" applyFill="1" applyBorder="1"/>
  </cellXfs>
  <cellStyles count="3">
    <cellStyle name="Hyperlink" xfId="1" builtinId="8"/>
    <cellStyle name="Standaard" xfId="0" builtinId="0"/>
    <cellStyle name="Standaard 2" xfId="2" xr:uid="{0BFE01EF-3352-E84A-B0B8-B4DC3F55C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nl-NL"/>
              <a:t>Temperature</a:t>
            </a:r>
            <a:r>
              <a:rPr lang="nl-NL" baseline="0"/>
              <a:t> dependant COP with 40 °C sink temperature</a:t>
            </a:r>
            <a:endParaRPr lang="nl-NL"/>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8.8275755843644735E-2"/>
          <c:y val="6.4105623306730489E-2"/>
          <c:w val="0.75023001518012344"/>
          <c:h val="0.67240099191635894"/>
        </c:manualLayout>
      </c:layout>
      <c:lineChart>
        <c:grouping val="standard"/>
        <c:varyColors val="0"/>
        <c:ser>
          <c:idx val="0"/>
          <c:order val="0"/>
          <c:tx>
            <c:strRef>
              <c:f>Analysis!$AK$17</c:f>
              <c:strCache>
                <c:ptCount val="1"/>
                <c:pt idx="0">
                  <c:v>COP</c:v>
                </c:pt>
              </c:strCache>
            </c:strRef>
          </c:tx>
          <c:spPr>
            <a:ln w="28575" cap="rnd">
              <a:solidFill>
                <a:schemeClr val="accent1"/>
              </a:solidFill>
              <a:round/>
            </a:ln>
            <a:effectLst/>
          </c:spPr>
          <c:marker>
            <c:symbol val="none"/>
          </c:marker>
          <c:cat>
            <c:numRef>
              <c:f>Analysis!$AH$18:$AH$43</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Analysis!$AK$18:$AK$43</c:f>
              <c:numCache>
                <c:formatCode>0.0</c:formatCode>
                <c:ptCount val="26"/>
                <c:pt idx="0">
                  <c:v>1.7665999999999995</c:v>
                </c:pt>
                <c:pt idx="1">
                  <c:v>1.7962039999999995</c:v>
                </c:pt>
                <c:pt idx="2">
                  <c:v>1.8267359999999995</c:v>
                </c:pt>
                <c:pt idx="3">
                  <c:v>1.8581959999999995</c:v>
                </c:pt>
                <c:pt idx="4">
                  <c:v>1.8905839999999996</c:v>
                </c:pt>
                <c:pt idx="5">
                  <c:v>1.9238999999999997</c:v>
                </c:pt>
                <c:pt idx="6">
                  <c:v>1.9581439999999999</c:v>
                </c:pt>
                <c:pt idx="7">
                  <c:v>1.9933159999999999</c:v>
                </c:pt>
                <c:pt idx="8">
                  <c:v>2.0294160000000003</c:v>
                </c:pt>
                <c:pt idx="9">
                  <c:v>2.0664440000000002</c:v>
                </c:pt>
                <c:pt idx="10">
                  <c:v>2.1044</c:v>
                </c:pt>
                <c:pt idx="11">
                  <c:v>2.1432840000000004</c:v>
                </c:pt>
                <c:pt idx="12">
                  <c:v>2.1830960000000004</c:v>
                </c:pt>
                <c:pt idx="13">
                  <c:v>2.2238359999999995</c:v>
                </c:pt>
                <c:pt idx="14">
                  <c:v>2.2655039999999995</c:v>
                </c:pt>
                <c:pt idx="15">
                  <c:v>2.3080999999999996</c:v>
                </c:pt>
                <c:pt idx="16">
                  <c:v>2.3516239999999997</c:v>
                </c:pt>
                <c:pt idx="17">
                  <c:v>2.3960759999999999</c:v>
                </c:pt>
                <c:pt idx="18">
                  <c:v>2.4414559999999996</c:v>
                </c:pt>
                <c:pt idx="19">
                  <c:v>2.4877639999999999</c:v>
                </c:pt>
                <c:pt idx="20">
                  <c:v>2.5350000000000001</c:v>
                </c:pt>
                <c:pt idx="21">
                  <c:v>2.583164</c:v>
                </c:pt>
                <c:pt idx="22">
                  <c:v>2.6322559999999999</c:v>
                </c:pt>
                <c:pt idx="23">
                  <c:v>2.6822760000000003</c:v>
                </c:pt>
                <c:pt idx="24">
                  <c:v>2.7332240000000003</c:v>
                </c:pt>
                <c:pt idx="25">
                  <c:v>2.7851000000000004</c:v>
                </c:pt>
              </c:numCache>
            </c:numRef>
          </c:val>
          <c:smooth val="0"/>
          <c:extLst>
            <c:ext xmlns:c16="http://schemas.microsoft.com/office/drawing/2014/chart" uri="{C3380CC4-5D6E-409C-BE32-E72D297353CC}">
              <c16:uniqueId val="{00000000-B918-DC41-BA89-F6E981ADBA7C}"/>
            </c:ext>
          </c:extLst>
        </c:ser>
        <c:ser>
          <c:idx val="1"/>
          <c:order val="1"/>
          <c:tx>
            <c:strRef>
              <c:f>Analysis!$AL$17</c:f>
              <c:strCache>
                <c:ptCount val="1"/>
                <c:pt idx="0">
                  <c:v>COP (lineair aproximation)</c:v>
                </c:pt>
              </c:strCache>
            </c:strRef>
          </c:tx>
          <c:spPr>
            <a:ln w="28575" cap="rnd">
              <a:solidFill>
                <a:schemeClr val="accent2"/>
              </a:solidFill>
              <a:round/>
            </a:ln>
            <a:effectLst/>
          </c:spPr>
          <c:marker>
            <c:symbol val="none"/>
          </c:marker>
          <c:cat>
            <c:numRef>
              <c:f>Analysis!$AH$18:$AH$43</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Analysis!$AL$18:$AL$43</c:f>
              <c:numCache>
                <c:formatCode>0.0</c:formatCode>
                <c:ptCount val="26"/>
                <c:pt idx="0">
                  <c:v>1.6970000000000001</c:v>
                </c:pt>
                <c:pt idx="1">
                  <c:v>1.7377400000000001</c:v>
                </c:pt>
                <c:pt idx="2">
                  <c:v>1.7784800000000001</c:v>
                </c:pt>
                <c:pt idx="3">
                  <c:v>1.8192200000000001</c:v>
                </c:pt>
                <c:pt idx="4">
                  <c:v>1.8599600000000001</c:v>
                </c:pt>
                <c:pt idx="5">
                  <c:v>1.9007000000000001</c:v>
                </c:pt>
                <c:pt idx="6">
                  <c:v>1.9414400000000001</c:v>
                </c:pt>
                <c:pt idx="7">
                  <c:v>1.9821800000000001</c:v>
                </c:pt>
                <c:pt idx="8">
                  <c:v>2.0229200000000001</c:v>
                </c:pt>
                <c:pt idx="9">
                  <c:v>2.06366</c:v>
                </c:pt>
                <c:pt idx="10">
                  <c:v>2.1044</c:v>
                </c:pt>
                <c:pt idx="11">
                  <c:v>2.14514</c:v>
                </c:pt>
                <c:pt idx="12">
                  <c:v>2.18588</c:v>
                </c:pt>
                <c:pt idx="13">
                  <c:v>2.22662</c:v>
                </c:pt>
                <c:pt idx="14">
                  <c:v>2.26736</c:v>
                </c:pt>
                <c:pt idx="15">
                  <c:v>2.3081</c:v>
                </c:pt>
                <c:pt idx="16">
                  <c:v>2.34884</c:v>
                </c:pt>
                <c:pt idx="17">
                  <c:v>2.38958</c:v>
                </c:pt>
                <c:pt idx="18">
                  <c:v>2.43032</c:v>
                </c:pt>
                <c:pt idx="19">
                  <c:v>2.47106</c:v>
                </c:pt>
                <c:pt idx="20">
                  <c:v>2.5118</c:v>
                </c:pt>
                <c:pt idx="21">
                  <c:v>2.55254</c:v>
                </c:pt>
                <c:pt idx="22">
                  <c:v>2.59328</c:v>
                </c:pt>
                <c:pt idx="23">
                  <c:v>2.63402</c:v>
                </c:pt>
                <c:pt idx="24">
                  <c:v>2.67476</c:v>
                </c:pt>
                <c:pt idx="25">
                  <c:v>2.7155</c:v>
                </c:pt>
              </c:numCache>
            </c:numRef>
          </c:val>
          <c:smooth val="0"/>
          <c:extLst>
            <c:ext xmlns:c16="http://schemas.microsoft.com/office/drawing/2014/chart" uri="{C3380CC4-5D6E-409C-BE32-E72D297353CC}">
              <c16:uniqueId val="{00000001-B918-DC41-BA89-F6E981ADBA7C}"/>
            </c:ext>
          </c:extLst>
        </c:ser>
        <c:dLbls>
          <c:showLegendKey val="0"/>
          <c:showVal val="0"/>
          <c:showCatName val="0"/>
          <c:showSerName val="0"/>
          <c:showPercent val="0"/>
          <c:showBubbleSize val="0"/>
        </c:dLbls>
        <c:smooth val="0"/>
        <c:axId val="2107110527"/>
        <c:axId val="2107111871"/>
      </c:lineChart>
      <c:catAx>
        <c:axId val="210711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Outdoor temperature</a:t>
                </a:r>
                <a:r>
                  <a:rPr lang="nl-NL" baseline="0"/>
                  <a:t>  °C</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1871"/>
        <c:crosses val="autoZero"/>
        <c:auto val="1"/>
        <c:lblAlgn val="ctr"/>
        <c:lblOffset val="100"/>
        <c:tickLblSkip val="1"/>
        <c:noMultiLvlLbl val="0"/>
      </c:catAx>
      <c:valAx>
        <c:axId val="210711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0527"/>
        <c:crosses val="autoZero"/>
        <c:crossBetween val="between"/>
      </c:valAx>
      <c:spPr>
        <a:noFill/>
        <a:ln>
          <a:noFill/>
        </a:ln>
        <a:effectLst/>
      </c:spPr>
    </c:plotArea>
    <c:legend>
      <c:legendPos val="r"/>
      <c:layout>
        <c:manualLayout>
          <c:xMode val="edge"/>
          <c:yMode val="edge"/>
          <c:x val="0.84780301095873722"/>
          <c:y val="0.40165545774260103"/>
          <c:w val="0.14104030111929983"/>
          <c:h val="0.14657596344652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304661</xdr:colOff>
      <xdr:row>18</xdr:row>
      <xdr:rowOff>92807</xdr:rowOff>
    </xdr:from>
    <xdr:to>
      <xdr:col>17</xdr:col>
      <xdr:colOff>495160</xdr:colOff>
      <xdr:row>23</xdr:row>
      <xdr:rowOff>149748</xdr:rowOff>
    </xdr:to>
    <xdr:pic>
      <xdr:nvPicPr>
        <xdr:cNvPr id="4" name="Afbeelding 3">
          <a:extLst>
            <a:ext uri="{FF2B5EF4-FFF2-40B4-BE49-F238E27FC236}">
              <a16:creationId xmlns:a16="http://schemas.microsoft.com/office/drawing/2014/main" id="{43BBF300-3F94-FC4C-9572-13B3A8E84507}"/>
            </a:ext>
          </a:extLst>
        </xdr:cNvPr>
        <xdr:cNvPicPr>
          <a:picLocks noChangeAspect="1"/>
        </xdr:cNvPicPr>
      </xdr:nvPicPr>
      <xdr:blipFill>
        <a:blip xmlns:r="http://schemas.openxmlformats.org/officeDocument/2006/relationships" r:embed="rId1"/>
        <a:stretch>
          <a:fillRect/>
        </a:stretch>
      </xdr:blipFill>
      <xdr:spPr>
        <a:xfrm>
          <a:off x="16828617" y="3860939"/>
          <a:ext cx="4307532" cy="1103644"/>
        </a:xfrm>
        <a:prstGeom prst="rect">
          <a:avLst/>
        </a:prstGeom>
        <a:ln>
          <a:solidFill>
            <a:schemeClr val="tx1"/>
          </a:solidFill>
        </a:ln>
      </xdr:spPr>
    </xdr:pic>
    <xdr:clientData/>
  </xdr:twoCellAnchor>
  <xdr:twoCellAnchor>
    <xdr:from>
      <xdr:col>18</xdr:col>
      <xdr:colOff>97261</xdr:colOff>
      <xdr:row>15</xdr:row>
      <xdr:rowOff>104933</xdr:rowOff>
    </xdr:from>
    <xdr:to>
      <xdr:col>27</xdr:col>
      <xdr:colOff>42426</xdr:colOff>
      <xdr:row>27</xdr:row>
      <xdr:rowOff>157896</xdr:rowOff>
    </xdr:to>
    <xdr:graphicFrame macro="">
      <xdr:nvGraphicFramePr>
        <xdr:cNvPr id="5" name="Grafiek 4">
          <a:extLst>
            <a:ext uri="{FF2B5EF4-FFF2-40B4-BE49-F238E27FC236}">
              <a16:creationId xmlns:a16="http://schemas.microsoft.com/office/drawing/2014/main" id="{87E1308C-4FE8-2D4F-BFA3-35C24ED4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322317</xdr:colOff>
      <xdr:row>3</xdr:row>
      <xdr:rowOff>143204</xdr:rowOff>
    </xdr:from>
    <xdr:to>
      <xdr:col>18</xdr:col>
      <xdr:colOff>386151</xdr:colOff>
      <xdr:row>13</xdr:row>
      <xdr:rowOff>74888</xdr:rowOff>
    </xdr:to>
    <xdr:pic>
      <xdr:nvPicPr>
        <xdr:cNvPr id="6" name="Afbeelding 5">
          <a:extLst>
            <a:ext uri="{FF2B5EF4-FFF2-40B4-BE49-F238E27FC236}">
              <a16:creationId xmlns:a16="http://schemas.microsoft.com/office/drawing/2014/main" id="{0D5BB3B5-8486-3C63-8082-DA587DA2685D}"/>
            </a:ext>
          </a:extLst>
        </xdr:cNvPr>
        <xdr:cNvPicPr>
          <a:picLocks noChangeAspect="1"/>
        </xdr:cNvPicPr>
      </xdr:nvPicPr>
      <xdr:blipFill>
        <a:blip xmlns:r="http://schemas.openxmlformats.org/officeDocument/2006/relationships" r:embed="rId3"/>
        <a:stretch>
          <a:fillRect/>
        </a:stretch>
      </xdr:blipFill>
      <xdr:spPr>
        <a:xfrm>
          <a:off x="14358007" y="778204"/>
          <a:ext cx="4990558" cy="2011856"/>
        </a:xfrm>
        <a:prstGeom prst="rect">
          <a:avLst/>
        </a:prstGeom>
        <a:ln>
          <a:solidFill>
            <a:schemeClr val="tx1"/>
          </a:solidFill>
        </a:ln>
      </xdr:spPr>
    </xdr:pic>
    <xdr:clientData/>
  </xdr:twoCellAnchor>
  <xdr:twoCellAnchor editAs="oneCell">
    <xdr:from>
      <xdr:col>12</xdr:col>
      <xdr:colOff>303695</xdr:colOff>
      <xdr:row>30</xdr:row>
      <xdr:rowOff>149743</xdr:rowOff>
    </xdr:from>
    <xdr:to>
      <xdr:col>19</xdr:col>
      <xdr:colOff>427935</xdr:colOff>
      <xdr:row>43</xdr:row>
      <xdr:rowOff>13677</xdr:rowOff>
    </xdr:to>
    <xdr:pic>
      <xdr:nvPicPr>
        <xdr:cNvPr id="13" name="Afbeelding 12">
          <a:extLst>
            <a:ext uri="{FF2B5EF4-FFF2-40B4-BE49-F238E27FC236}">
              <a16:creationId xmlns:a16="http://schemas.microsoft.com/office/drawing/2014/main" id="{601C49DC-4169-91A8-C09E-3F9EA0EA3C45}"/>
            </a:ext>
          </a:extLst>
        </xdr:cNvPr>
        <xdr:cNvPicPr>
          <a:picLocks noChangeAspect="1"/>
        </xdr:cNvPicPr>
      </xdr:nvPicPr>
      <xdr:blipFill>
        <a:blip xmlns:r="http://schemas.openxmlformats.org/officeDocument/2006/relationships" r:embed="rId4"/>
        <a:stretch>
          <a:fillRect/>
        </a:stretch>
      </xdr:blipFill>
      <xdr:spPr>
        <a:xfrm>
          <a:off x="14991521" y="6375504"/>
          <a:ext cx="5922066" cy="2555782"/>
        </a:xfrm>
        <a:prstGeom prst="rect">
          <a:avLst/>
        </a:prstGeom>
        <a:ln>
          <a:solidFill>
            <a:schemeClr val="tx1"/>
          </a:solidFill>
        </a:ln>
      </xdr:spPr>
    </xdr:pic>
    <xdr:clientData/>
  </xdr:twoCellAnchor>
  <xdr:twoCellAnchor editAs="oneCell">
    <xdr:from>
      <xdr:col>12</xdr:col>
      <xdr:colOff>393700</xdr:colOff>
      <xdr:row>45</xdr:row>
      <xdr:rowOff>88900</xdr:rowOff>
    </xdr:from>
    <xdr:to>
      <xdr:col>21</xdr:col>
      <xdr:colOff>736600</xdr:colOff>
      <xdr:row>51</xdr:row>
      <xdr:rowOff>31319</xdr:rowOff>
    </xdr:to>
    <xdr:pic>
      <xdr:nvPicPr>
        <xdr:cNvPr id="15" name="Afbeelding 14">
          <a:extLst>
            <a:ext uri="{FF2B5EF4-FFF2-40B4-BE49-F238E27FC236}">
              <a16:creationId xmlns:a16="http://schemas.microsoft.com/office/drawing/2014/main" id="{84DA635C-6510-F2FE-E6A9-FD9CE5EDB112}"/>
            </a:ext>
          </a:extLst>
        </xdr:cNvPr>
        <xdr:cNvPicPr>
          <a:picLocks noChangeAspect="1"/>
        </xdr:cNvPicPr>
      </xdr:nvPicPr>
      <xdr:blipFill>
        <a:blip xmlns:r="http://schemas.openxmlformats.org/officeDocument/2006/relationships" r:embed="rId5"/>
        <a:stretch>
          <a:fillRect/>
        </a:stretch>
      </xdr:blipFill>
      <xdr:spPr>
        <a:xfrm>
          <a:off x="15125700" y="9245600"/>
          <a:ext cx="7772400" cy="1174319"/>
        </a:xfrm>
        <a:prstGeom prst="rect">
          <a:avLst/>
        </a:prstGeom>
        <a:ln>
          <a:solidFill>
            <a:schemeClr val="tx1"/>
          </a:solidFill>
        </a:ln>
      </xdr:spPr>
    </xdr:pic>
    <xdr:clientData/>
  </xdr:twoCellAnchor>
  <xdr:twoCellAnchor editAs="oneCell">
    <xdr:from>
      <xdr:col>12</xdr:col>
      <xdr:colOff>393700</xdr:colOff>
      <xdr:row>51</xdr:row>
      <xdr:rowOff>139700</xdr:rowOff>
    </xdr:from>
    <xdr:to>
      <xdr:col>21</xdr:col>
      <xdr:colOff>736600</xdr:colOff>
      <xdr:row>53</xdr:row>
      <xdr:rowOff>21079</xdr:rowOff>
    </xdr:to>
    <xdr:pic>
      <xdr:nvPicPr>
        <xdr:cNvPr id="16" name="Afbeelding 15">
          <a:extLst>
            <a:ext uri="{FF2B5EF4-FFF2-40B4-BE49-F238E27FC236}">
              <a16:creationId xmlns:a16="http://schemas.microsoft.com/office/drawing/2014/main" id="{839C4359-3949-8420-B2AC-A284655BA8F0}"/>
            </a:ext>
          </a:extLst>
        </xdr:cNvPr>
        <xdr:cNvPicPr>
          <a:picLocks noChangeAspect="1"/>
        </xdr:cNvPicPr>
      </xdr:nvPicPr>
      <xdr:blipFill>
        <a:blip xmlns:r="http://schemas.openxmlformats.org/officeDocument/2006/relationships" r:embed="rId6"/>
        <a:stretch>
          <a:fillRect/>
        </a:stretch>
      </xdr:blipFill>
      <xdr:spPr>
        <a:xfrm>
          <a:off x="15125700" y="10528300"/>
          <a:ext cx="7772400" cy="300479"/>
        </a:xfrm>
        <a:prstGeom prst="rect">
          <a:avLst/>
        </a:prstGeom>
        <a:ln>
          <a:solidFill>
            <a:schemeClr val="tx1"/>
          </a:solidFill>
        </a:ln>
      </xdr:spPr>
    </xdr:pic>
    <xdr:clientData/>
  </xdr:twoCellAnchor>
  <xdr:twoCellAnchor editAs="oneCell">
    <xdr:from>
      <xdr:col>12</xdr:col>
      <xdr:colOff>635000</xdr:colOff>
      <xdr:row>57</xdr:row>
      <xdr:rowOff>63500</xdr:rowOff>
    </xdr:from>
    <xdr:to>
      <xdr:col>15</xdr:col>
      <xdr:colOff>584200</xdr:colOff>
      <xdr:row>61</xdr:row>
      <xdr:rowOff>168056</xdr:rowOff>
    </xdr:to>
    <xdr:pic>
      <xdr:nvPicPr>
        <xdr:cNvPr id="17" name="Afbeelding 16">
          <a:extLst>
            <a:ext uri="{FF2B5EF4-FFF2-40B4-BE49-F238E27FC236}">
              <a16:creationId xmlns:a16="http://schemas.microsoft.com/office/drawing/2014/main" id="{2C0B3021-5A00-BE45-423D-63526E9D6422}"/>
            </a:ext>
          </a:extLst>
        </xdr:cNvPr>
        <xdr:cNvPicPr>
          <a:picLocks noChangeAspect="1"/>
        </xdr:cNvPicPr>
      </xdr:nvPicPr>
      <xdr:blipFill>
        <a:blip xmlns:r="http://schemas.openxmlformats.org/officeDocument/2006/relationships" r:embed="rId7"/>
        <a:stretch>
          <a:fillRect/>
        </a:stretch>
      </xdr:blipFill>
      <xdr:spPr>
        <a:xfrm>
          <a:off x="17183100" y="11887200"/>
          <a:ext cx="2425700" cy="917355"/>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quintel.sharepoint.com/Users/dorinevandervlies/Projects/etdataset/nodes_source_analyses/households/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ocumenten.isso.nl/s/vZjyBQVS20iaUaEAiV1XTK08Z7hsdsnV/addendum_ISSO-Publicatie98.pdf" TargetMode="External"/><Relationship Id="rId3" Type="http://schemas.openxmlformats.org/officeDocument/2006/relationships/hyperlink" Target="https://www.nature.com/articles/s41597-019-0199-y" TargetMode="External"/><Relationship Id="rId7" Type="http://schemas.openxmlformats.org/officeDocument/2006/relationships/hyperlink" Target="https://www.knmi.nl/klimaat" TargetMode="External"/><Relationship Id="rId2" Type="http://schemas.openxmlformats.org/officeDocument/2006/relationships/hyperlink" Target="https://www.sinclair-solutions.com/files/product-fiche/sinclair-prfi-shp-140ica-shp-140eca2.pdf" TargetMode="External"/><Relationship Id="rId1" Type="http://schemas.openxmlformats.org/officeDocument/2006/relationships/hyperlink" Target="https://kennisdelen.rvo.nl/file/download/a29e1ec4-ad00-4a5b-ba62-287ca7602ddf/Installatiemonitor_3_eindrapportage_v1.02.pdf" TargetMode="External"/><Relationship Id="rId6" Type="http://schemas.openxmlformats.org/officeDocument/2006/relationships/hyperlink" Target="https://www.infodwi.nl/media/50phiyot/concept-waterwerkblad-4-4a-december-2023_1.pdf" TargetMode="External"/><Relationship Id="rId5" Type="http://schemas.openxmlformats.org/officeDocument/2006/relationships/hyperlink" Target="https://ce.nl/wp-content/uploads/2021/04/04_Factsheet-Luchtwarmtepomp_DEF.pdf" TargetMode="External"/><Relationship Id="rId4" Type="http://schemas.openxmlformats.org/officeDocument/2006/relationships/hyperlink" Target="https://ce.nl/wp-content/uploads/2023/03/CE_Delft_210348_Update_kentallen_installaties_Vesta_MAIS_Def.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3B62-CE5D-4342-B744-D64F77AEDC7B}">
  <dimension ref="B1:J39"/>
  <sheetViews>
    <sheetView zoomScale="132" zoomScaleNormal="100" workbookViewId="0">
      <selection activeCell="C42" sqref="C42"/>
    </sheetView>
  </sheetViews>
  <sheetFormatPr baseColWidth="10" defaultRowHeight="16"/>
  <cols>
    <col min="1" max="1" width="5.83203125" style="1" customWidth="1"/>
    <col min="2" max="2" width="11.83203125" style="1" customWidth="1"/>
    <col min="3" max="3" width="64.33203125" style="1" customWidth="1"/>
    <col min="4" max="4" width="15.5" style="1" customWidth="1"/>
    <col min="5" max="5" width="17.33203125" style="1" customWidth="1"/>
    <col min="6" max="6" width="5.33203125" style="1" customWidth="1"/>
    <col min="7" max="7" width="45.83203125" style="1" customWidth="1"/>
    <col min="8" max="8" width="4.83203125" style="1" customWidth="1"/>
    <col min="9" max="9" width="38.33203125" style="1" customWidth="1"/>
    <col min="10" max="10" width="5" style="1" customWidth="1"/>
    <col min="11" max="16384" width="10.83203125" style="1"/>
  </cols>
  <sheetData>
    <row r="1" spans="2:10" ht="17" thickBot="1"/>
    <row r="2" spans="2:10" ht="16" customHeight="1">
      <c r="B2" s="31" t="s">
        <v>55</v>
      </c>
      <c r="C2" s="32" t="s">
        <v>132</v>
      </c>
      <c r="D2" s="32"/>
      <c r="E2" s="3" t="s">
        <v>58</v>
      </c>
      <c r="F2" s="111" t="s">
        <v>75</v>
      </c>
      <c r="G2" s="111"/>
      <c r="H2" s="111"/>
      <c r="I2" s="111"/>
      <c r="J2" s="112"/>
    </row>
    <row r="3" spans="2:10">
      <c r="B3" s="9" t="s">
        <v>54</v>
      </c>
      <c r="C3" s="1" t="s">
        <v>92</v>
      </c>
      <c r="E3" s="33"/>
      <c r="F3" s="113"/>
      <c r="G3" s="113"/>
      <c r="H3" s="113"/>
      <c r="I3" s="113"/>
      <c r="J3" s="114"/>
    </row>
    <row r="4" spans="2:10" ht="37" customHeight="1" thickBot="1">
      <c r="B4" s="35" t="s">
        <v>56</v>
      </c>
      <c r="C4" s="36" t="s">
        <v>57</v>
      </c>
      <c r="D4" s="29"/>
      <c r="E4" s="34"/>
      <c r="F4" s="115"/>
      <c r="G4" s="115"/>
      <c r="H4" s="115"/>
      <c r="I4" s="115"/>
      <c r="J4" s="116"/>
    </row>
    <row r="5" spans="2:10" ht="17" thickBot="1"/>
    <row r="6" spans="2:10">
      <c r="B6" s="2"/>
      <c r="C6" s="3"/>
      <c r="D6" s="3"/>
      <c r="E6" s="3"/>
      <c r="F6" s="3"/>
      <c r="G6" s="3"/>
      <c r="H6" s="3"/>
      <c r="I6" s="3"/>
      <c r="J6" s="4"/>
    </row>
    <row r="7" spans="2:10" ht="19">
      <c r="B7" s="5"/>
      <c r="C7" s="6" t="s">
        <v>0</v>
      </c>
      <c r="D7" s="7" t="s">
        <v>1</v>
      </c>
      <c r="E7" s="6" t="s">
        <v>2</v>
      </c>
      <c r="F7" s="6"/>
      <c r="G7" s="6" t="s">
        <v>3</v>
      </c>
      <c r="H7" s="6"/>
      <c r="I7" s="6" t="s">
        <v>4</v>
      </c>
      <c r="J7" s="8"/>
    </row>
    <row r="8" spans="2:10" ht="19">
      <c r="B8" s="9"/>
      <c r="C8" s="10"/>
      <c r="D8" s="11"/>
      <c r="E8" s="10"/>
      <c r="F8" s="10"/>
      <c r="G8" s="10"/>
      <c r="H8" s="10"/>
      <c r="I8" s="10"/>
      <c r="J8" s="12"/>
    </row>
    <row r="9" spans="2:10" ht="20" thickBot="1">
      <c r="B9" s="9"/>
      <c r="C9" s="10" t="s">
        <v>5</v>
      </c>
      <c r="D9" s="11"/>
      <c r="E9" s="10"/>
      <c r="F9" s="10"/>
      <c r="G9" s="10"/>
      <c r="H9" s="10"/>
      <c r="I9" s="10"/>
      <c r="J9" s="12"/>
    </row>
    <row r="10" spans="2:10" ht="20" thickBot="1">
      <c r="B10" s="9"/>
      <c r="C10" s="1" t="s">
        <v>6</v>
      </c>
      <c r="D10" s="13" t="s">
        <v>7</v>
      </c>
      <c r="E10" s="110">
        <f>ROUND(Analysis!$D$4,6)</f>
        <v>0.56521699999999997</v>
      </c>
      <c r="F10" s="15"/>
      <c r="G10" s="16"/>
      <c r="H10" s="17"/>
      <c r="I10" s="18" t="s">
        <v>96</v>
      </c>
      <c r="J10" s="12"/>
    </row>
    <row r="11" spans="2:10" ht="20" thickBot="1">
      <c r="B11" s="9"/>
      <c r="C11" s="1" t="s">
        <v>8</v>
      </c>
      <c r="D11" s="13" t="s">
        <v>7</v>
      </c>
      <c r="E11" s="110">
        <f>ROUND(Analysis!$D$5,6)</f>
        <v>0.43478299999999998</v>
      </c>
      <c r="F11" s="15"/>
      <c r="G11" s="16"/>
      <c r="H11" s="17"/>
      <c r="I11" s="18" t="s">
        <v>96</v>
      </c>
      <c r="J11" s="12"/>
    </row>
    <row r="12" spans="2:10" ht="20" thickBot="1">
      <c r="B12" s="9"/>
      <c r="C12" s="1" t="s">
        <v>9</v>
      </c>
      <c r="D12" s="13" t="s">
        <v>7</v>
      </c>
      <c r="E12" s="19">
        <v>1</v>
      </c>
      <c r="F12" s="15"/>
      <c r="G12" s="16"/>
      <c r="H12" s="17"/>
      <c r="I12" s="106" t="s">
        <v>115</v>
      </c>
      <c r="J12" s="12"/>
    </row>
    <row r="13" spans="2:10" ht="20" thickBot="1">
      <c r="B13" s="9"/>
      <c r="C13" s="20" t="s">
        <v>10</v>
      </c>
      <c r="D13" s="13" t="s">
        <v>7</v>
      </c>
      <c r="E13" s="21">
        <f>ROUND(Analysis!$D$16,6)</f>
        <v>2.1044</v>
      </c>
      <c r="F13" s="15"/>
      <c r="G13" s="16"/>
      <c r="H13" s="17"/>
      <c r="I13" s="18" t="s">
        <v>99</v>
      </c>
      <c r="J13" s="12"/>
    </row>
    <row r="14" spans="2:10" ht="20" thickBot="1">
      <c r="B14" s="9"/>
      <c r="C14" s="20" t="s">
        <v>11</v>
      </c>
      <c r="D14" s="22" t="s">
        <v>20</v>
      </c>
      <c r="E14" s="14">
        <f>ROUND(Analysis!D32,6)</f>
        <v>2.8890000000000001E-3</v>
      </c>
      <c r="F14" s="15"/>
      <c r="G14" s="16"/>
      <c r="H14" s="17"/>
      <c r="I14" s="18" t="s">
        <v>128</v>
      </c>
      <c r="J14" s="12"/>
    </row>
    <row r="15" spans="2:10" ht="20" thickBot="1">
      <c r="B15" s="9"/>
      <c r="C15" s="20" t="s">
        <v>12</v>
      </c>
      <c r="D15" s="13" t="s">
        <v>7</v>
      </c>
      <c r="E15" s="21">
        <f>ROUND(Analysis!$D$17,6)</f>
        <v>4.0739999999999998E-2</v>
      </c>
      <c r="F15" s="15"/>
      <c r="G15" s="16"/>
      <c r="H15" s="17"/>
      <c r="I15" s="18" t="s">
        <v>99</v>
      </c>
      <c r="J15" s="12"/>
    </row>
    <row r="16" spans="2:10" ht="20" thickBot="1">
      <c r="B16" s="9"/>
      <c r="C16" s="20" t="s">
        <v>13</v>
      </c>
      <c r="D16" s="22" t="s">
        <v>14</v>
      </c>
      <c r="E16" s="19">
        <f>ROUND(Analysis!D64,6)</f>
        <v>8.7229999999999999E-3</v>
      </c>
      <c r="F16" s="15"/>
      <c r="G16" s="16"/>
      <c r="H16" s="17"/>
      <c r="I16" s="18" t="s">
        <v>115</v>
      </c>
      <c r="J16" s="12"/>
    </row>
    <row r="17" spans="2:10" ht="20" thickBot="1">
      <c r="B17" s="9"/>
      <c r="C17" s="20" t="s">
        <v>15</v>
      </c>
      <c r="D17" s="22" t="s">
        <v>16</v>
      </c>
      <c r="E17" s="19">
        <v>0</v>
      </c>
      <c r="F17" s="15"/>
      <c r="G17" s="16"/>
      <c r="H17" s="17"/>
      <c r="I17" s="18" t="s">
        <v>115</v>
      </c>
      <c r="J17" s="12"/>
    </row>
    <row r="18" spans="2:10" ht="17" thickBot="1">
      <c r="B18" s="23"/>
      <c r="C18" s="1" t="s">
        <v>17</v>
      </c>
      <c r="D18" s="22" t="s">
        <v>7</v>
      </c>
      <c r="E18" s="19">
        <v>0</v>
      </c>
      <c r="G18" s="16"/>
      <c r="H18" s="16"/>
      <c r="I18" s="18" t="s">
        <v>115</v>
      </c>
      <c r="J18" s="24"/>
    </row>
    <row r="19" spans="2:10" ht="17" thickBot="1">
      <c r="B19" s="23"/>
      <c r="C19" s="1" t="s">
        <v>18</v>
      </c>
      <c r="D19" s="22" t="s">
        <v>7</v>
      </c>
      <c r="E19" s="19">
        <v>0</v>
      </c>
      <c r="G19" s="16"/>
      <c r="H19" s="16"/>
      <c r="I19" s="18" t="s">
        <v>115</v>
      </c>
      <c r="J19" s="24"/>
    </row>
    <row r="20" spans="2:10" ht="17" thickBot="1">
      <c r="B20" s="23"/>
      <c r="C20" s="1" t="s">
        <v>19</v>
      </c>
      <c r="D20" s="22" t="s">
        <v>7</v>
      </c>
      <c r="E20" s="19">
        <v>1</v>
      </c>
      <c r="G20" s="16"/>
      <c r="H20" s="16"/>
      <c r="I20" s="18" t="s">
        <v>115</v>
      </c>
      <c r="J20" s="24"/>
    </row>
    <row r="21" spans="2:10" ht="17" thickBot="1">
      <c r="B21" s="23"/>
      <c r="C21" s="1" t="s">
        <v>21</v>
      </c>
      <c r="D21" s="22" t="s">
        <v>20</v>
      </c>
      <c r="E21" s="14">
        <f>ROUND(Analysis!D31,6)</f>
        <v>7.7999999999999996E-3</v>
      </c>
      <c r="G21" s="16" t="s">
        <v>22</v>
      </c>
      <c r="H21" s="16"/>
      <c r="I21" s="18" t="s">
        <v>128</v>
      </c>
      <c r="J21" s="24"/>
    </row>
    <row r="22" spans="2:10">
      <c r="B22" s="23"/>
      <c r="D22" s="25"/>
      <c r="E22" s="26"/>
      <c r="J22" s="24"/>
    </row>
    <row r="23" spans="2:10" ht="17" thickBot="1">
      <c r="B23" s="23"/>
      <c r="C23" s="10" t="s">
        <v>23</v>
      </c>
      <c r="D23" s="25"/>
      <c r="J23" s="24"/>
    </row>
    <row r="24" spans="2:10" ht="17" thickBot="1">
      <c r="B24" s="23"/>
      <c r="C24" s="1" t="s">
        <v>24</v>
      </c>
      <c r="D24" s="22" t="s">
        <v>25</v>
      </c>
      <c r="E24" s="27">
        <v>0</v>
      </c>
      <c r="G24" s="16" t="s">
        <v>26</v>
      </c>
      <c r="H24" s="16"/>
      <c r="I24" s="18" t="s">
        <v>127</v>
      </c>
      <c r="J24" s="24"/>
    </row>
    <row r="25" spans="2:10" ht="17" thickBot="1">
      <c r="B25" s="23"/>
      <c r="C25" s="1" t="s">
        <v>27</v>
      </c>
      <c r="D25" s="22" t="s">
        <v>25</v>
      </c>
      <c r="E25" s="27">
        <v>0</v>
      </c>
      <c r="G25" s="16" t="s">
        <v>28</v>
      </c>
      <c r="H25" s="16"/>
      <c r="I25" s="18" t="s">
        <v>127</v>
      </c>
      <c r="J25" s="24"/>
    </row>
    <row r="26" spans="2:10" ht="17" thickBot="1">
      <c r="B26" s="23"/>
      <c r="C26" s="1" t="s">
        <v>29</v>
      </c>
      <c r="D26" s="22" t="s">
        <v>25</v>
      </c>
      <c r="E26" s="27">
        <v>0</v>
      </c>
      <c r="G26" s="16" t="s">
        <v>30</v>
      </c>
      <c r="H26" s="16"/>
      <c r="I26" s="18" t="s">
        <v>127</v>
      </c>
      <c r="J26" s="24"/>
    </row>
    <row r="27" spans="2:10" ht="17" thickBot="1">
      <c r="B27" s="23"/>
      <c r="C27" s="1" t="s">
        <v>31</v>
      </c>
      <c r="D27" s="22" t="s">
        <v>25</v>
      </c>
      <c r="E27" s="27">
        <v>0</v>
      </c>
      <c r="G27" s="16" t="s">
        <v>53</v>
      </c>
      <c r="H27" s="16"/>
      <c r="I27" s="18" t="s">
        <v>127</v>
      </c>
      <c r="J27" s="24"/>
    </row>
    <row r="28" spans="2:10" ht="17" thickBot="1">
      <c r="B28" s="23"/>
      <c r="C28" s="1" t="s">
        <v>32</v>
      </c>
      <c r="D28" s="22" t="s">
        <v>33</v>
      </c>
      <c r="E28" s="27">
        <v>0</v>
      </c>
      <c r="G28" s="16" t="s">
        <v>34</v>
      </c>
      <c r="H28" s="16"/>
      <c r="I28" s="18" t="s">
        <v>127</v>
      </c>
      <c r="J28" s="24"/>
    </row>
    <row r="29" spans="2:10" ht="17" thickBot="1">
      <c r="B29" s="23"/>
      <c r="C29" s="1" t="s">
        <v>35</v>
      </c>
      <c r="D29" s="22" t="s">
        <v>36</v>
      </c>
      <c r="E29" s="27">
        <v>0</v>
      </c>
      <c r="G29" s="16" t="s">
        <v>37</v>
      </c>
      <c r="H29" s="16"/>
      <c r="I29" s="18" t="s">
        <v>127</v>
      </c>
      <c r="J29" s="24"/>
    </row>
    <row r="30" spans="2:10" ht="17" thickBot="1">
      <c r="B30" s="23"/>
      <c r="C30" s="1" t="s">
        <v>38</v>
      </c>
      <c r="D30" s="22" t="s">
        <v>36</v>
      </c>
      <c r="E30" s="27">
        <v>0</v>
      </c>
      <c r="G30" s="16" t="s">
        <v>39</v>
      </c>
      <c r="H30" s="16"/>
      <c r="I30" s="18" t="s">
        <v>127</v>
      </c>
      <c r="J30" s="24"/>
    </row>
    <row r="31" spans="2:10" ht="17" thickBot="1">
      <c r="B31" s="23"/>
      <c r="C31" s="1" t="s">
        <v>40</v>
      </c>
      <c r="D31" s="22" t="s">
        <v>41</v>
      </c>
      <c r="E31" s="27">
        <v>0.02</v>
      </c>
      <c r="G31" s="16" t="s">
        <v>42</v>
      </c>
      <c r="H31" s="16"/>
      <c r="I31" s="18" t="s">
        <v>127</v>
      </c>
      <c r="J31" s="24"/>
    </row>
    <row r="32" spans="2:10" ht="17" thickBot="1">
      <c r="B32" s="23"/>
      <c r="C32" s="1" t="s">
        <v>43</v>
      </c>
      <c r="D32" s="22" t="s">
        <v>44</v>
      </c>
      <c r="E32" s="27">
        <v>0</v>
      </c>
      <c r="G32" s="16"/>
      <c r="H32" s="16"/>
      <c r="I32" s="18" t="s">
        <v>127</v>
      </c>
      <c r="J32" s="24"/>
    </row>
    <row r="33" spans="2:10" ht="20" thickBot="1">
      <c r="B33" s="9"/>
      <c r="C33" s="1" t="s">
        <v>15</v>
      </c>
      <c r="D33" s="22" t="s">
        <v>45</v>
      </c>
      <c r="E33" s="27">
        <v>0</v>
      </c>
      <c r="F33" s="15"/>
      <c r="G33" s="16"/>
      <c r="H33" s="17"/>
      <c r="I33" s="18" t="s">
        <v>127</v>
      </c>
      <c r="J33" s="12"/>
    </row>
    <row r="34" spans="2:10">
      <c r="B34" s="23"/>
      <c r="D34" s="22"/>
      <c r="E34" s="16"/>
      <c r="G34" s="16"/>
      <c r="H34" s="16"/>
      <c r="J34" s="24"/>
    </row>
    <row r="35" spans="2:10" ht="17" thickBot="1">
      <c r="B35" s="23"/>
      <c r="C35" s="10" t="s">
        <v>46</v>
      </c>
      <c r="D35" s="25"/>
      <c r="J35" s="24"/>
    </row>
    <row r="36" spans="2:10" ht="17" thickBot="1">
      <c r="B36" s="23"/>
      <c r="C36" s="1" t="s">
        <v>47</v>
      </c>
      <c r="D36" s="22" t="s">
        <v>48</v>
      </c>
      <c r="E36" s="27">
        <v>0</v>
      </c>
      <c r="G36" s="16" t="s">
        <v>49</v>
      </c>
      <c r="H36" s="16"/>
      <c r="I36" s="18" t="s">
        <v>73</v>
      </c>
      <c r="J36" s="24"/>
    </row>
    <row r="37" spans="2:10" ht="17" thickBot="1">
      <c r="B37" s="23"/>
      <c r="C37" s="1" t="s">
        <v>50</v>
      </c>
      <c r="D37" s="22" t="s">
        <v>48</v>
      </c>
      <c r="E37" s="27">
        <v>15</v>
      </c>
      <c r="G37" s="16" t="s">
        <v>51</v>
      </c>
      <c r="H37" s="16"/>
      <c r="I37" s="18" t="s">
        <v>116</v>
      </c>
      <c r="J37" s="24"/>
    </row>
    <row r="38" spans="2:10" ht="17" thickBot="1">
      <c r="B38" s="23"/>
      <c r="C38" s="1" t="s">
        <v>52</v>
      </c>
      <c r="D38" s="22" t="s">
        <v>7</v>
      </c>
      <c r="E38" s="27">
        <v>0</v>
      </c>
      <c r="G38" s="16"/>
      <c r="H38" s="16"/>
      <c r="I38" s="18" t="s">
        <v>73</v>
      </c>
      <c r="J38" s="24"/>
    </row>
    <row r="39" spans="2:10" ht="17" thickBot="1">
      <c r="B39" s="28"/>
      <c r="C39" s="29"/>
      <c r="D39" s="29"/>
      <c r="E39" s="29"/>
      <c r="F39" s="29"/>
      <c r="G39" s="29"/>
      <c r="H39" s="29"/>
      <c r="I39" s="29"/>
      <c r="J39" s="30"/>
    </row>
  </sheetData>
  <mergeCells count="1">
    <mergeCell ref="F2: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EDC0-AC59-664A-BB9B-BC4ECA4036D4}">
  <dimension ref="B1:K31"/>
  <sheetViews>
    <sheetView workbookViewId="0">
      <selection activeCell="C18" sqref="C18"/>
    </sheetView>
  </sheetViews>
  <sheetFormatPr baseColWidth="10" defaultRowHeight="16"/>
  <cols>
    <col min="1" max="2" width="4.6640625" style="33" customWidth="1"/>
    <col min="3" max="3" width="69.6640625" style="33" customWidth="1"/>
    <col min="4" max="4" width="114.83203125" style="33" customWidth="1"/>
    <col min="5" max="5" width="35.33203125" style="33" bestFit="1" customWidth="1"/>
    <col min="6" max="9" width="10.5" style="46" customWidth="1"/>
    <col min="10" max="10" width="107.1640625" style="33" customWidth="1"/>
    <col min="11" max="11" width="6.33203125" style="33" customWidth="1"/>
    <col min="12" max="16384" width="10.83203125" style="33"/>
  </cols>
  <sheetData>
    <row r="1" spans="2:11" ht="17" thickBot="1"/>
    <row r="2" spans="2:11">
      <c r="B2" s="37"/>
      <c r="C2" s="38"/>
      <c r="D2" s="38"/>
      <c r="E2" s="38"/>
      <c r="F2" s="47"/>
      <c r="G2" s="47"/>
      <c r="H2" s="47"/>
      <c r="I2" s="47"/>
      <c r="J2" s="38"/>
      <c r="K2" s="39"/>
    </row>
    <row r="3" spans="2:11" ht="34">
      <c r="B3" s="40"/>
      <c r="C3" s="6" t="s">
        <v>67</v>
      </c>
      <c r="D3" s="6" t="s">
        <v>65</v>
      </c>
      <c r="E3" s="6" t="s">
        <v>66</v>
      </c>
      <c r="F3" s="48" t="s">
        <v>63</v>
      </c>
      <c r="G3" s="48" t="s">
        <v>59</v>
      </c>
      <c r="H3" s="48" t="s">
        <v>60</v>
      </c>
      <c r="I3" s="48" t="s">
        <v>61</v>
      </c>
      <c r="J3" s="6" t="s">
        <v>62</v>
      </c>
      <c r="K3" s="41"/>
    </row>
    <row r="4" spans="2:11">
      <c r="B4" s="42"/>
      <c r="C4" s="33" t="s">
        <v>117</v>
      </c>
      <c r="D4" s="103" t="s">
        <v>97</v>
      </c>
      <c r="E4" s="33" t="s">
        <v>95</v>
      </c>
      <c r="F4" s="104" t="s">
        <v>64</v>
      </c>
      <c r="G4" s="46">
        <v>2026</v>
      </c>
      <c r="H4" s="104"/>
      <c r="I4" s="104">
        <v>2026</v>
      </c>
      <c r="J4" s="50" t="s">
        <v>94</v>
      </c>
      <c r="K4" s="43"/>
    </row>
    <row r="5" spans="2:11">
      <c r="B5" s="42"/>
      <c r="C5" s="33" t="s">
        <v>118</v>
      </c>
      <c r="D5" s="101" t="s">
        <v>77</v>
      </c>
      <c r="E5" s="33" t="s">
        <v>78</v>
      </c>
      <c r="F5" s="105" t="s">
        <v>7</v>
      </c>
      <c r="G5" s="46">
        <v>2024</v>
      </c>
      <c r="H5" s="105"/>
      <c r="I5" s="105">
        <v>2026</v>
      </c>
      <c r="J5" s="33" t="s">
        <v>76</v>
      </c>
      <c r="K5" s="43"/>
    </row>
    <row r="6" spans="2:11">
      <c r="B6" s="42"/>
      <c r="C6" s="33" t="s">
        <v>119</v>
      </c>
      <c r="D6" s="101" t="s">
        <v>89</v>
      </c>
      <c r="E6" s="33" t="s">
        <v>88</v>
      </c>
      <c r="F6" s="105" t="s">
        <v>7</v>
      </c>
      <c r="G6" s="46">
        <v>2019</v>
      </c>
      <c r="H6" s="105">
        <v>2016</v>
      </c>
      <c r="I6" s="105">
        <v>2026</v>
      </c>
      <c r="J6" s="50" t="s">
        <v>87</v>
      </c>
      <c r="K6" s="43"/>
    </row>
    <row r="7" spans="2:11">
      <c r="B7" s="42"/>
      <c r="C7" s="100" t="s">
        <v>11</v>
      </c>
      <c r="D7" s="101" t="s">
        <v>105</v>
      </c>
      <c r="E7" s="33" t="s">
        <v>104</v>
      </c>
      <c r="F7" s="105" t="s">
        <v>7</v>
      </c>
      <c r="G7" s="46" t="s">
        <v>7</v>
      </c>
      <c r="H7" s="105" t="s">
        <v>7</v>
      </c>
      <c r="I7" s="105" t="s">
        <v>7</v>
      </c>
      <c r="J7" s="50" t="s">
        <v>103</v>
      </c>
      <c r="K7" s="43"/>
    </row>
    <row r="8" spans="2:11">
      <c r="B8" s="42"/>
      <c r="C8" s="33" t="s">
        <v>120</v>
      </c>
      <c r="D8" s="101" t="s">
        <v>93</v>
      </c>
      <c r="E8" s="33" t="s">
        <v>90</v>
      </c>
      <c r="F8" s="105" t="s">
        <v>64</v>
      </c>
      <c r="G8" s="46">
        <v>2023</v>
      </c>
      <c r="H8" s="105"/>
      <c r="I8" s="105">
        <v>2026</v>
      </c>
      <c r="J8" s="50" t="s">
        <v>91</v>
      </c>
      <c r="K8" s="43"/>
    </row>
    <row r="9" spans="2:11">
      <c r="B9" s="42"/>
      <c r="C9" s="100" t="s">
        <v>50</v>
      </c>
      <c r="D9" s="101" t="s">
        <v>113</v>
      </c>
      <c r="E9" s="33" t="s">
        <v>90</v>
      </c>
      <c r="F9" s="105" t="s">
        <v>64</v>
      </c>
      <c r="G9" s="46">
        <v>2021</v>
      </c>
      <c r="H9" s="105"/>
      <c r="I9" s="105">
        <v>2026</v>
      </c>
      <c r="J9" s="50" t="s">
        <v>112</v>
      </c>
      <c r="K9" s="43"/>
    </row>
    <row r="10" spans="2:11">
      <c r="B10" s="42"/>
      <c r="C10" s="33" t="s">
        <v>119</v>
      </c>
      <c r="D10" s="101" t="s">
        <v>122</v>
      </c>
      <c r="E10" t="s">
        <v>123</v>
      </c>
      <c r="F10" s="105" t="s">
        <v>64</v>
      </c>
      <c r="G10" s="46">
        <v>2023</v>
      </c>
      <c r="H10" s="105" t="s">
        <v>7</v>
      </c>
      <c r="I10" s="105">
        <v>2026</v>
      </c>
      <c r="J10" s="109" t="s">
        <v>129</v>
      </c>
      <c r="K10" s="43"/>
    </row>
    <row r="11" spans="2:11">
      <c r="B11" s="42"/>
      <c r="C11" s="33" t="s">
        <v>119</v>
      </c>
      <c r="D11" s="101" t="s">
        <v>126</v>
      </c>
      <c r="E11" s="33" t="s">
        <v>124</v>
      </c>
      <c r="F11" s="105" t="s">
        <v>7</v>
      </c>
      <c r="G11" s="46" t="s">
        <v>7</v>
      </c>
      <c r="H11" s="105" t="s">
        <v>7</v>
      </c>
      <c r="I11" s="105">
        <v>2026</v>
      </c>
      <c r="J11" s="109" t="s">
        <v>125</v>
      </c>
      <c r="K11" s="43"/>
    </row>
    <row r="12" spans="2:11">
      <c r="B12" s="42"/>
      <c r="C12" s="33" t="s">
        <v>13</v>
      </c>
      <c r="D12" s="101" t="s">
        <v>137</v>
      </c>
      <c r="E12" s="33" t="s">
        <v>136</v>
      </c>
      <c r="F12" s="105" t="s">
        <v>64</v>
      </c>
      <c r="G12" s="46">
        <v>2022</v>
      </c>
      <c r="H12" s="105"/>
      <c r="I12" s="105">
        <v>2026</v>
      </c>
      <c r="J12" s="109" t="s">
        <v>135</v>
      </c>
      <c r="K12" s="43"/>
    </row>
    <row r="13" spans="2:11">
      <c r="B13" s="42"/>
      <c r="K13" s="43"/>
    </row>
    <row r="14" spans="2:11">
      <c r="B14" s="42"/>
      <c r="K14" s="43"/>
    </row>
    <row r="15" spans="2:11">
      <c r="B15" s="42"/>
      <c r="C15" s="51"/>
      <c r="K15" s="43"/>
    </row>
    <row r="16" spans="2:11">
      <c r="B16" s="42"/>
      <c r="D16" s="10"/>
      <c r="K16" s="43"/>
    </row>
    <row r="17" spans="2:11">
      <c r="B17" s="42"/>
      <c r="K17" s="43"/>
    </row>
    <row r="18" spans="2:11">
      <c r="B18" s="42"/>
      <c r="K18" s="43"/>
    </row>
    <row r="19" spans="2:11">
      <c r="B19" s="42"/>
      <c r="C19" s="51"/>
      <c r="K19" s="43"/>
    </row>
    <row r="20" spans="2:11">
      <c r="B20" s="42"/>
      <c r="K20" s="43"/>
    </row>
    <row r="21" spans="2:11">
      <c r="B21" s="42"/>
      <c r="K21" s="43"/>
    </row>
    <row r="22" spans="2:11">
      <c r="B22" s="42"/>
      <c r="K22" s="43"/>
    </row>
    <row r="23" spans="2:11">
      <c r="B23" s="42"/>
      <c r="K23" s="43"/>
    </row>
    <row r="24" spans="2:11">
      <c r="B24" s="42"/>
      <c r="K24" s="43"/>
    </row>
    <row r="25" spans="2:11">
      <c r="B25" s="42"/>
      <c r="K25" s="43"/>
    </row>
    <row r="26" spans="2:11">
      <c r="B26" s="42"/>
      <c r="C26" s="51"/>
      <c r="K26" s="43"/>
    </row>
    <row r="27" spans="2:11">
      <c r="B27" s="42"/>
      <c r="K27" s="43"/>
    </row>
    <row r="28" spans="2:11">
      <c r="B28" s="42"/>
      <c r="K28" s="43"/>
    </row>
    <row r="29" spans="2:11">
      <c r="B29" s="42"/>
      <c r="C29" s="51"/>
      <c r="K29" s="43"/>
    </row>
    <row r="30" spans="2:11">
      <c r="B30" s="42"/>
      <c r="C30" s="51" t="s">
        <v>74</v>
      </c>
      <c r="K30" s="43"/>
    </row>
    <row r="31" spans="2:11" ht="17" thickBot="1">
      <c r="B31" s="44"/>
      <c r="C31" s="34"/>
      <c r="D31" s="34"/>
      <c r="E31" s="34"/>
      <c r="F31" s="49"/>
      <c r="G31" s="49"/>
      <c r="H31" s="49"/>
      <c r="I31" s="49"/>
      <c r="J31" s="34"/>
      <c r="K31" s="45"/>
    </row>
  </sheetData>
  <hyperlinks>
    <hyperlink ref="J4" r:id="rId1" xr:uid="{DDA6119B-4C9C-B84B-A475-A5D2B73919A0}"/>
    <hyperlink ref="J7" r:id="rId2" xr:uid="{52DCC7FB-CCAA-6642-A617-FF186252A6AA}"/>
    <hyperlink ref="J6" r:id="rId3" xr:uid="{9810E27D-3612-6744-9CAA-30BA6362A054}"/>
    <hyperlink ref="J8" r:id="rId4" xr:uid="{D299A270-E5A7-DA44-863C-E544B8742D33}"/>
    <hyperlink ref="J9" r:id="rId5" xr:uid="{ED1CDA47-A6F6-AB40-B87C-F019BE027446}"/>
    <hyperlink ref="J10" r:id="rId6" xr:uid="{6971BCD9-337C-FD46-B87F-7C8C5B00DFBB}"/>
    <hyperlink ref="J11" r:id="rId7" location="klimaatdashboard" xr:uid="{5FBC28E6-AFBF-3E47-9798-9A480C63735B}"/>
    <hyperlink ref="J12" r:id="rId8" xr:uid="{306AAD5C-E56B-7B40-B950-B6A0C3C295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5F35-E6A2-4947-B6EF-DDB70CF5DBF6}">
  <dimension ref="B1:AX70"/>
  <sheetViews>
    <sheetView tabSelected="1" topLeftCell="A34" zoomScale="131" zoomScaleNormal="100" workbookViewId="0">
      <selection activeCell="C44" sqref="C44"/>
    </sheetView>
  </sheetViews>
  <sheetFormatPr baseColWidth="10" defaultRowHeight="16"/>
  <cols>
    <col min="1" max="2" width="5" style="33" customWidth="1"/>
    <col min="3" max="3" width="43" style="33" bestFit="1" customWidth="1"/>
    <col min="4" max="4" width="10.6640625" style="33" bestFit="1" customWidth="1"/>
    <col min="5" max="5" width="8.5" style="33" customWidth="1"/>
    <col min="6" max="6" width="68.33203125" style="33" customWidth="1"/>
    <col min="7" max="7" width="17" style="33" customWidth="1"/>
    <col min="8" max="11" width="10.83203125" style="33"/>
    <col min="12" max="12" width="16.33203125" style="33" customWidth="1"/>
    <col min="13" max="30" width="10.83203125" style="33"/>
    <col min="31" max="31" width="3.5" style="33" customWidth="1"/>
    <col min="32" max="32" width="3.33203125" style="33" customWidth="1"/>
    <col min="33" max="37" width="10.83203125" style="33"/>
    <col min="38" max="38" width="23" style="33" bestFit="1" customWidth="1"/>
    <col min="39" max="16384" width="10.83203125" style="33"/>
  </cols>
  <sheetData>
    <row r="1" spans="2:46" ht="17" thickBot="1"/>
    <row r="2" spans="2:46">
      <c r="B2" s="37"/>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9"/>
    </row>
    <row r="3" spans="2:46">
      <c r="B3" s="42"/>
      <c r="C3" s="126" t="s">
        <v>69</v>
      </c>
      <c r="D3" s="126" t="s">
        <v>68</v>
      </c>
      <c r="E3" s="126" t="s">
        <v>70</v>
      </c>
      <c r="F3" s="126" t="s">
        <v>71</v>
      </c>
      <c r="G3" s="126" t="s">
        <v>72</v>
      </c>
      <c r="H3" s="122"/>
      <c r="I3" s="122"/>
      <c r="J3" s="122"/>
      <c r="K3" s="122"/>
      <c r="L3" s="122"/>
      <c r="M3" s="126" t="s">
        <v>98</v>
      </c>
      <c r="N3" s="122"/>
      <c r="O3" s="122"/>
      <c r="P3" s="122"/>
      <c r="Q3" s="122"/>
      <c r="R3" s="122"/>
      <c r="S3" s="122"/>
      <c r="T3" s="122"/>
      <c r="U3" s="122"/>
      <c r="V3" s="122"/>
      <c r="W3" s="122"/>
      <c r="X3" s="122"/>
      <c r="Y3" s="122"/>
      <c r="Z3" s="122"/>
      <c r="AA3" s="122"/>
      <c r="AB3" s="122"/>
      <c r="AC3" s="122"/>
      <c r="AD3" s="122"/>
      <c r="AE3" s="43"/>
    </row>
    <row r="4" spans="2:46" ht="16" customHeight="1">
      <c r="B4" s="42"/>
      <c r="C4" s="96" t="s">
        <v>6</v>
      </c>
      <c r="D4" s="52">
        <f>1-D5</f>
        <v>0.56521739130434778</v>
      </c>
      <c r="E4" s="68"/>
      <c r="F4" s="120" t="s">
        <v>121</v>
      </c>
      <c r="G4" s="86" t="s">
        <v>101</v>
      </c>
      <c r="H4" s="53" t="s">
        <v>96</v>
      </c>
      <c r="I4" s="53"/>
      <c r="J4" s="53"/>
      <c r="K4" s="53"/>
      <c r="L4" s="53"/>
      <c r="M4" s="69"/>
      <c r="N4" s="53"/>
      <c r="O4" s="53"/>
      <c r="P4" s="53"/>
      <c r="Q4" s="53"/>
      <c r="R4" s="53"/>
      <c r="S4" s="53"/>
      <c r="T4" s="53"/>
      <c r="U4" s="53"/>
      <c r="V4" s="53"/>
      <c r="W4" s="53"/>
      <c r="X4" s="53"/>
      <c r="Y4" s="53"/>
      <c r="Z4" s="53"/>
      <c r="AA4" s="53"/>
      <c r="AB4" s="53"/>
      <c r="AC4" s="53"/>
      <c r="AD4" s="54"/>
      <c r="AE4" s="43"/>
    </row>
    <row r="5" spans="2:46">
      <c r="B5" s="42"/>
      <c r="C5" s="97" t="s">
        <v>8</v>
      </c>
      <c r="D5" s="127">
        <f>1/2.3</f>
        <v>0.43478260869565222</v>
      </c>
      <c r="E5" s="66"/>
      <c r="F5" s="128"/>
      <c r="G5" s="87"/>
      <c r="H5" s="122"/>
      <c r="I5" s="122"/>
      <c r="J5" s="122"/>
      <c r="K5" s="122"/>
      <c r="L5" s="122"/>
      <c r="M5" s="65"/>
      <c r="N5" s="122"/>
      <c r="O5" s="122"/>
      <c r="P5" s="122"/>
      <c r="Q5" s="122"/>
      <c r="R5" s="122"/>
      <c r="S5" s="122"/>
      <c r="T5" s="122"/>
      <c r="U5" s="122"/>
      <c r="V5" s="122"/>
      <c r="W5" s="122"/>
      <c r="X5" s="122"/>
      <c r="Y5" s="122"/>
      <c r="Z5" s="122"/>
      <c r="AA5" s="122"/>
      <c r="AB5" s="122"/>
      <c r="AC5" s="122"/>
      <c r="AD5" s="55"/>
      <c r="AE5" s="43"/>
    </row>
    <row r="6" spans="2:46">
      <c r="B6" s="42"/>
      <c r="C6" s="98"/>
      <c r="D6" s="122"/>
      <c r="E6" s="66"/>
      <c r="F6" s="128"/>
      <c r="G6" s="65"/>
      <c r="H6" s="122"/>
      <c r="I6" s="122"/>
      <c r="J6" s="122"/>
      <c r="K6" s="122"/>
      <c r="L6" s="122"/>
      <c r="M6" s="65"/>
      <c r="N6" s="122"/>
      <c r="O6" s="122"/>
      <c r="P6" s="122"/>
      <c r="Q6" s="122"/>
      <c r="R6" s="122"/>
      <c r="S6" s="122"/>
      <c r="T6" s="122"/>
      <c r="U6" s="122"/>
      <c r="V6" s="122"/>
      <c r="W6" s="122"/>
      <c r="X6" s="122"/>
      <c r="Y6" s="122"/>
      <c r="Z6" s="122"/>
      <c r="AA6" s="122"/>
      <c r="AB6" s="122"/>
      <c r="AC6" s="122"/>
      <c r="AD6" s="55"/>
      <c r="AE6" s="43"/>
    </row>
    <row r="7" spans="2:46">
      <c r="B7" s="42"/>
      <c r="C7" s="95"/>
      <c r="D7" s="122"/>
      <c r="E7" s="66"/>
      <c r="F7" s="128"/>
      <c r="G7" s="65"/>
      <c r="H7" s="122"/>
      <c r="I7" s="122"/>
      <c r="J7" s="122"/>
      <c r="K7" s="122"/>
      <c r="L7" s="122"/>
      <c r="M7" s="65"/>
      <c r="N7" s="122"/>
      <c r="O7" s="122"/>
      <c r="P7" s="122"/>
      <c r="Q7" s="122"/>
      <c r="R7" s="122"/>
      <c r="S7" s="122"/>
      <c r="T7" s="122"/>
      <c r="U7" s="122"/>
      <c r="V7" s="122"/>
      <c r="W7" s="122"/>
      <c r="X7" s="122"/>
      <c r="Y7" s="122"/>
      <c r="Z7" s="122"/>
      <c r="AA7" s="122"/>
      <c r="AB7" s="122"/>
      <c r="AC7" s="122"/>
      <c r="AD7" s="55"/>
      <c r="AE7" s="43"/>
    </row>
    <row r="8" spans="2:46">
      <c r="B8" s="42"/>
      <c r="C8" s="95"/>
      <c r="D8" s="122"/>
      <c r="E8" s="66"/>
      <c r="F8" s="128"/>
      <c r="G8" s="65"/>
      <c r="H8" s="122"/>
      <c r="I8" s="122"/>
      <c r="J8" s="122"/>
      <c r="K8" s="122"/>
      <c r="L8" s="122"/>
      <c r="M8" s="65"/>
      <c r="N8" s="122"/>
      <c r="O8" s="122"/>
      <c r="P8" s="122"/>
      <c r="Q8" s="122"/>
      <c r="R8" s="122"/>
      <c r="S8" s="122"/>
      <c r="T8" s="122"/>
      <c r="U8" s="122"/>
      <c r="V8" s="122"/>
      <c r="W8" s="122"/>
      <c r="X8" s="122"/>
      <c r="Y8" s="122"/>
      <c r="Z8" s="122"/>
      <c r="AA8" s="122"/>
      <c r="AB8" s="122"/>
      <c r="AC8" s="122"/>
      <c r="AD8" s="55"/>
      <c r="AE8" s="43"/>
    </row>
    <row r="9" spans="2:46">
      <c r="B9" s="42"/>
      <c r="C9" s="95"/>
      <c r="D9" s="122"/>
      <c r="E9" s="66"/>
      <c r="F9" s="128"/>
      <c r="G9" s="65"/>
      <c r="H9" s="122"/>
      <c r="I9" s="122"/>
      <c r="J9" s="122"/>
      <c r="K9" s="122"/>
      <c r="L9" s="122"/>
      <c r="M9" s="65"/>
      <c r="N9" s="122"/>
      <c r="O9" s="122"/>
      <c r="P9" s="122"/>
      <c r="Q9" s="122"/>
      <c r="R9" s="122"/>
      <c r="S9" s="122"/>
      <c r="T9" s="122"/>
      <c r="U9" s="122"/>
      <c r="V9" s="122"/>
      <c r="W9" s="122"/>
      <c r="X9" s="122"/>
      <c r="Y9" s="122"/>
      <c r="Z9" s="122"/>
      <c r="AA9" s="122"/>
      <c r="AB9" s="122"/>
      <c r="AC9" s="122"/>
      <c r="AD9" s="55"/>
      <c r="AE9" s="43"/>
    </row>
    <row r="10" spans="2:46">
      <c r="B10" s="42"/>
      <c r="C10" s="95"/>
      <c r="D10" s="122"/>
      <c r="E10" s="66"/>
      <c r="F10" s="128"/>
      <c r="G10" s="65"/>
      <c r="H10" s="122"/>
      <c r="I10" s="122"/>
      <c r="J10" s="122"/>
      <c r="K10" s="122"/>
      <c r="L10" s="122"/>
      <c r="M10" s="65"/>
      <c r="N10" s="122"/>
      <c r="O10" s="122"/>
      <c r="P10" s="122"/>
      <c r="Q10" s="122"/>
      <c r="R10" s="122"/>
      <c r="S10" s="122"/>
      <c r="T10" s="122"/>
      <c r="U10" s="122"/>
      <c r="V10" s="122"/>
      <c r="W10" s="122"/>
      <c r="X10" s="122"/>
      <c r="Y10" s="122"/>
      <c r="Z10" s="122"/>
      <c r="AA10" s="122"/>
      <c r="AB10" s="122"/>
      <c r="AC10" s="122"/>
      <c r="AD10" s="55"/>
      <c r="AE10" s="43"/>
    </row>
    <row r="11" spans="2:46">
      <c r="B11" s="42"/>
      <c r="C11" s="95"/>
      <c r="D11" s="122"/>
      <c r="E11" s="66"/>
      <c r="F11" s="128"/>
      <c r="G11" s="65"/>
      <c r="H11" s="122"/>
      <c r="I11" s="122"/>
      <c r="J11" s="122"/>
      <c r="K11" s="122"/>
      <c r="L11" s="122"/>
      <c r="M11" s="65"/>
      <c r="N11" s="122"/>
      <c r="O11" s="122"/>
      <c r="P11" s="122"/>
      <c r="Q11" s="122"/>
      <c r="R11" s="122"/>
      <c r="S11" s="122"/>
      <c r="T11" s="122"/>
      <c r="U11" s="122"/>
      <c r="V11" s="122"/>
      <c r="W11" s="122"/>
      <c r="X11" s="122"/>
      <c r="Y11" s="122"/>
      <c r="Z11" s="122"/>
      <c r="AA11" s="122"/>
      <c r="AB11" s="122"/>
      <c r="AC11" s="122"/>
      <c r="AD11" s="55"/>
      <c r="AE11" s="43"/>
    </row>
    <row r="12" spans="2:46">
      <c r="B12" s="42"/>
      <c r="C12" s="95"/>
      <c r="D12" s="122"/>
      <c r="E12" s="66"/>
      <c r="F12" s="128"/>
      <c r="G12" s="65"/>
      <c r="H12" s="129"/>
      <c r="I12" s="129"/>
      <c r="J12" s="129"/>
      <c r="K12" s="129"/>
      <c r="L12" s="122"/>
      <c r="M12" s="65"/>
      <c r="N12" s="129"/>
      <c r="O12" s="129"/>
      <c r="P12" s="129"/>
      <c r="Q12" s="129"/>
      <c r="R12" s="129"/>
      <c r="S12" s="129"/>
      <c r="T12" s="129"/>
      <c r="U12" s="129"/>
      <c r="V12" s="129"/>
      <c r="W12" s="129"/>
      <c r="X12" s="129"/>
      <c r="Y12" s="129"/>
      <c r="Z12" s="129"/>
      <c r="AA12" s="129"/>
      <c r="AB12" s="129"/>
      <c r="AC12" s="129"/>
      <c r="AD12" s="83"/>
      <c r="AE12" s="43"/>
    </row>
    <row r="13" spans="2:46">
      <c r="B13" s="42"/>
      <c r="C13" s="95"/>
      <c r="D13" s="122"/>
      <c r="E13" s="66"/>
      <c r="F13" s="128"/>
      <c r="G13" s="65"/>
      <c r="H13" s="129"/>
      <c r="I13" s="129"/>
      <c r="J13" s="129"/>
      <c r="K13" s="129"/>
      <c r="L13" s="122"/>
      <c r="M13" s="65"/>
      <c r="N13" s="129"/>
      <c r="O13" s="129"/>
      <c r="P13" s="129"/>
      <c r="Q13" s="129"/>
      <c r="R13" s="129"/>
      <c r="S13" s="129"/>
      <c r="T13" s="129"/>
      <c r="U13" s="129"/>
      <c r="V13" s="129"/>
      <c r="W13" s="129"/>
      <c r="X13" s="129"/>
      <c r="Y13" s="129"/>
      <c r="Z13" s="129"/>
      <c r="AA13" s="129"/>
      <c r="AB13" s="129"/>
      <c r="AC13" s="129"/>
      <c r="AD13" s="83"/>
      <c r="AE13" s="43"/>
    </row>
    <row r="14" spans="2:46">
      <c r="B14" s="42"/>
      <c r="C14" s="99"/>
      <c r="D14" s="58"/>
      <c r="E14" s="67"/>
      <c r="F14" s="121"/>
      <c r="G14" s="61"/>
      <c r="H14" s="84"/>
      <c r="I14" s="84"/>
      <c r="J14" s="84"/>
      <c r="K14" s="84"/>
      <c r="L14" s="58"/>
      <c r="M14" s="61"/>
      <c r="N14" s="84"/>
      <c r="O14" s="84"/>
      <c r="P14" s="84"/>
      <c r="Q14" s="84"/>
      <c r="R14" s="84"/>
      <c r="S14" s="84"/>
      <c r="T14" s="84"/>
      <c r="U14" s="84"/>
      <c r="V14" s="84"/>
      <c r="W14" s="84"/>
      <c r="X14" s="84"/>
      <c r="Y14" s="84"/>
      <c r="Z14" s="84"/>
      <c r="AA14" s="84"/>
      <c r="AB14" s="84"/>
      <c r="AC14" s="84"/>
      <c r="AD14" s="85"/>
      <c r="AE14" s="43"/>
    </row>
    <row r="15" spans="2:46">
      <c r="B15" s="42"/>
      <c r="C15" s="129"/>
      <c r="D15" s="129"/>
      <c r="E15" s="129"/>
      <c r="F15" s="130"/>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43"/>
    </row>
    <row r="16" spans="2:46" ht="16" customHeight="1">
      <c r="B16" s="42"/>
      <c r="C16" s="96" t="s">
        <v>10</v>
      </c>
      <c r="D16" s="52">
        <f>AL28</f>
        <v>2.1044</v>
      </c>
      <c r="E16" s="68"/>
      <c r="F16" s="117" t="s">
        <v>131</v>
      </c>
      <c r="G16" s="86" t="s">
        <v>101</v>
      </c>
      <c r="H16" s="53" t="s">
        <v>99</v>
      </c>
      <c r="I16" s="53"/>
      <c r="J16" s="53"/>
      <c r="K16" s="53"/>
      <c r="L16" s="63"/>
      <c r="M16" s="53"/>
      <c r="N16" s="53"/>
      <c r="O16" s="53"/>
      <c r="P16" s="53"/>
      <c r="Q16" s="53"/>
      <c r="R16" s="53"/>
      <c r="S16" s="53"/>
      <c r="T16" s="53"/>
      <c r="U16" s="53"/>
      <c r="V16" s="53"/>
      <c r="W16" s="53"/>
      <c r="X16" s="53"/>
      <c r="Y16" s="53"/>
      <c r="Z16" s="53"/>
      <c r="AA16" s="53"/>
      <c r="AB16" s="53"/>
      <c r="AC16" s="53"/>
      <c r="AD16" s="54"/>
      <c r="AE16" s="43"/>
      <c r="AH16" s="10" t="s">
        <v>81</v>
      </c>
      <c r="AN16" s="10"/>
      <c r="AT16" s="10"/>
    </row>
    <row r="17" spans="2:50">
      <c r="B17" s="42"/>
      <c r="C17" s="97" t="s">
        <v>12</v>
      </c>
      <c r="D17" s="127">
        <f>AK45</f>
        <v>4.0740000000000033E-2</v>
      </c>
      <c r="E17" s="66"/>
      <c r="F17" s="118"/>
      <c r="G17" s="87" t="s">
        <v>102</v>
      </c>
      <c r="H17" s="122" t="s">
        <v>100</v>
      </c>
      <c r="I17" s="122"/>
      <c r="J17" s="122"/>
      <c r="K17" s="122"/>
      <c r="L17" s="62"/>
      <c r="M17" s="122"/>
      <c r="N17" s="122"/>
      <c r="O17" s="122"/>
      <c r="P17" s="122"/>
      <c r="Q17" s="122"/>
      <c r="R17" s="122"/>
      <c r="S17" s="122"/>
      <c r="T17" s="122"/>
      <c r="U17" s="122"/>
      <c r="V17" s="122"/>
      <c r="W17" s="122"/>
      <c r="X17" s="122"/>
      <c r="Y17" s="122"/>
      <c r="Z17" s="122"/>
      <c r="AA17" s="122"/>
      <c r="AB17" s="122"/>
      <c r="AC17" s="122"/>
      <c r="AD17" s="55"/>
      <c r="AE17" s="43"/>
      <c r="AH17" s="73" t="s">
        <v>85</v>
      </c>
      <c r="AI17" s="74" t="s">
        <v>86</v>
      </c>
      <c r="AJ17" s="75" t="s">
        <v>79</v>
      </c>
      <c r="AK17" s="75" t="s">
        <v>80</v>
      </c>
      <c r="AL17" s="77" t="s">
        <v>84</v>
      </c>
    </row>
    <row r="18" spans="2:50">
      <c r="B18" s="42"/>
      <c r="C18" s="95"/>
      <c r="D18" s="122"/>
      <c r="E18" s="66"/>
      <c r="F18" s="118"/>
      <c r="G18" s="87" t="s">
        <v>102</v>
      </c>
      <c r="H18" s="122" t="s">
        <v>123</v>
      </c>
      <c r="I18" s="122"/>
      <c r="J18" s="122"/>
      <c r="K18" s="122"/>
      <c r="L18" s="62"/>
      <c r="M18" s="122"/>
      <c r="N18" s="122"/>
      <c r="O18" s="122"/>
      <c r="P18" s="122"/>
      <c r="Q18" s="122"/>
      <c r="R18" s="122"/>
      <c r="S18" s="122"/>
      <c r="T18" s="122"/>
      <c r="U18" s="122"/>
      <c r="V18" s="122"/>
      <c r="W18" s="122"/>
      <c r="X18" s="122"/>
      <c r="Y18" s="122"/>
      <c r="Z18" s="122"/>
      <c r="AA18" s="122"/>
      <c r="AB18" s="122"/>
      <c r="AC18" s="122"/>
      <c r="AD18" s="55"/>
      <c r="AE18" s="43"/>
      <c r="AH18" s="70">
        <v>-10</v>
      </c>
      <c r="AI18" s="53">
        <v>60</v>
      </c>
      <c r="AJ18" s="54">
        <f>AI18-AH18</f>
        <v>70</v>
      </c>
      <c r="AK18" s="81">
        <f>6.08 - 0.0941 * AJ18 + 0.000464 * AJ18^2</f>
        <v>1.7665999999999995</v>
      </c>
      <c r="AL18" s="79">
        <f>AL19-$AK$45</f>
        <v>1.6970000000000001</v>
      </c>
      <c r="AQ18" s="107"/>
      <c r="AR18" s="107"/>
      <c r="AW18" s="107"/>
      <c r="AX18" s="107"/>
    </row>
    <row r="19" spans="2:50">
      <c r="B19" s="42"/>
      <c r="C19" s="95"/>
      <c r="D19" s="122"/>
      <c r="E19" s="66"/>
      <c r="F19" s="118"/>
      <c r="G19" s="82" t="s">
        <v>102</v>
      </c>
      <c r="H19" s="122" t="s">
        <v>130</v>
      </c>
      <c r="I19" s="122"/>
      <c r="J19" s="122"/>
      <c r="K19" s="122"/>
      <c r="L19" s="62"/>
      <c r="M19" s="122"/>
      <c r="N19" s="122"/>
      <c r="O19" s="122"/>
      <c r="P19" s="122"/>
      <c r="Q19" s="122"/>
      <c r="R19" s="122"/>
      <c r="S19" s="122"/>
      <c r="T19" s="122"/>
      <c r="U19" s="122"/>
      <c r="V19" s="122"/>
      <c r="W19" s="122"/>
      <c r="X19" s="122"/>
      <c r="Y19" s="122"/>
      <c r="Z19" s="122"/>
      <c r="AA19" s="122"/>
      <c r="AB19" s="122"/>
      <c r="AC19" s="122"/>
      <c r="AD19" s="55"/>
      <c r="AE19" s="43"/>
      <c r="AH19" s="56">
        <f>AH18+1</f>
        <v>-9</v>
      </c>
      <c r="AI19" s="33">
        <v>60</v>
      </c>
      <c r="AJ19" s="55">
        <f t="shared" ref="AJ19:AJ43" si="0">AI19-AH19</f>
        <v>69</v>
      </c>
      <c r="AK19" s="71">
        <f t="shared" ref="AK19:AK43" si="1">6.08 - 0.0941 * AJ19 + 0.000464 * AJ19^2</f>
        <v>1.7962039999999995</v>
      </c>
      <c r="AL19" s="78">
        <f>AL20-$AK$45</f>
        <v>1.7377400000000001</v>
      </c>
      <c r="AQ19" s="107"/>
      <c r="AR19" s="107"/>
      <c r="AW19" s="107"/>
      <c r="AX19" s="107"/>
    </row>
    <row r="20" spans="2:50">
      <c r="B20" s="42"/>
      <c r="C20" s="95"/>
      <c r="D20" s="122"/>
      <c r="E20" s="66"/>
      <c r="F20" s="118"/>
      <c r="G20" s="65"/>
      <c r="H20" s="122"/>
      <c r="I20" s="122"/>
      <c r="J20" s="122"/>
      <c r="K20" s="122"/>
      <c r="L20" s="62"/>
      <c r="M20" s="122"/>
      <c r="N20" s="122"/>
      <c r="O20" s="122"/>
      <c r="P20" s="122"/>
      <c r="Q20" s="122"/>
      <c r="R20" s="122"/>
      <c r="S20" s="122"/>
      <c r="T20" s="122"/>
      <c r="U20" s="122"/>
      <c r="V20" s="122"/>
      <c r="W20" s="122"/>
      <c r="X20" s="122"/>
      <c r="Y20" s="122"/>
      <c r="Z20" s="122"/>
      <c r="AA20" s="122"/>
      <c r="AB20" s="122"/>
      <c r="AC20" s="122"/>
      <c r="AD20" s="55"/>
      <c r="AE20" s="43"/>
      <c r="AH20" s="56">
        <f t="shared" ref="AH20:AH43" si="2">AH19+1</f>
        <v>-8</v>
      </c>
      <c r="AI20" s="33">
        <v>60</v>
      </c>
      <c r="AJ20" s="55">
        <f t="shared" si="0"/>
        <v>68</v>
      </c>
      <c r="AK20" s="71">
        <f t="shared" si="1"/>
        <v>1.8267359999999995</v>
      </c>
      <c r="AL20" s="78">
        <f t="shared" ref="AL20:AL25" si="3">AL21-$AK$45</f>
        <v>1.7784800000000001</v>
      </c>
      <c r="AQ20" s="107"/>
      <c r="AR20" s="107"/>
      <c r="AW20" s="107"/>
      <c r="AX20" s="107"/>
    </row>
    <row r="21" spans="2:50">
      <c r="B21" s="42"/>
      <c r="C21" s="95"/>
      <c r="D21" s="122"/>
      <c r="E21" s="66"/>
      <c r="F21" s="118"/>
      <c r="G21" s="65"/>
      <c r="H21" s="122"/>
      <c r="I21" s="122"/>
      <c r="J21" s="122"/>
      <c r="K21" s="122"/>
      <c r="L21" s="62"/>
      <c r="M21" s="122"/>
      <c r="N21" s="122"/>
      <c r="O21" s="122"/>
      <c r="P21" s="122"/>
      <c r="Q21" s="122"/>
      <c r="R21" s="122"/>
      <c r="S21" s="122"/>
      <c r="T21" s="122"/>
      <c r="U21" s="122"/>
      <c r="V21" s="122"/>
      <c r="W21" s="122"/>
      <c r="X21" s="122"/>
      <c r="Y21" s="122"/>
      <c r="Z21" s="122"/>
      <c r="AA21" s="122"/>
      <c r="AB21" s="122"/>
      <c r="AC21" s="122"/>
      <c r="AD21" s="55"/>
      <c r="AE21" s="43"/>
      <c r="AH21" s="56">
        <f t="shared" si="2"/>
        <v>-7</v>
      </c>
      <c r="AI21" s="33">
        <v>60</v>
      </c>
      <c r="AJ21" s="55">
        <f t="shared" si="0"/>
        <v>67</v>
      </c>
      <c r="AK21" s="71">
        <f t="shared" si="1"/>
        <v>1.8581959999999995</v>
      </c>
      <c r="AL21" s="78">
        <f t="shared" si="3"/>
        <v>1.8192200000000001</v>
      </c>
      <c r="AQ21" s="107"/>
      <c r="AR21" s="107"/>
      <c r="AW21" s="107"/>
      <c r="AX21" s="107"/>
    </row>
    <row r="22" spans="2:50">
      <c r="B22" s="42"/>
      <c r="C22" s="95"/>
      <c r="D22" s="122"/>
      <c r="E22" s="66"/>
      <c r="F22" s="118"/>
      <c r="G22" s="65"/>
      <c r="H22" s="122"/>
      <c r="I22" s="122"/>
      <c r="J22" s="122"/>
      <c r="K22" s="122"/>
      <c r="L22" s="62"/>
      <c r="M22" s="122"/>
      <c r="N22" s="122"/>
      <c r="O22" s="122"/>
      <c r="P22" s="122"/>
      <c r="Q22" s="122"/>
      <c r="R22" s="122"/>
      <c r="S22" s="122"/>
      <c r="T22" s="122"/>
      <c r="U22" s="122"/>
      <c r="V22" s="122"/>
      <c r="W22" s="122"/>
      <c r="X22" s="122"/>
      <c r="Y22" s="122"/>
      <c r="Z22" s="122"/>
      <c r="AA22" s="122"/>
      <c r="AB22" s="122"/>
      <c r="AC22" s="122"/>
      <c r="AD22" s="55"/>
      <c r="AE22" s="43"/>
      <c r="AH22" s="56">
        <f t="shared" si="2"/>
        <v>-6</v>
      </c>
      <c r="AI22" s="33">
        <v>60</v>
      </c>
      <c r="AJ22" s="55">
        <f t="shared" si="0"/>
        <v>66</v>
      </c>
      <c r="AK22" s="71">
        <f t="shared" si="1"/>
        <v>1.8905839999999996</v>
      </c>
      <c r="AL22" s="78">
        <f t="shared" si="3"/>
        <v>1.8599600000000001</v>
      </c>
      <c r="AQ22" s="107"/>
      <c r="AR22" s="107"/>
      <c r="AW22" s="107"/>
      <c r="AX22" s="107"/>
    </row>
    <row r="23" spans="2:50">
      <c r="B23" s="42"/>
      <c r="C23" s="95"/>
      <c r="D23" s="122"/>
      <c r="E23" s="66"/>
      <c r="F23" s="118"/>
      <c r="G23" s="65"/>
      <c r="H23" s="122"/>
      <c r="I23" s="122"/>
      <c r="J23" s="122"/>
      <c r="K23" s="122"/>
      <c r="L23" s="62"/>
      <c r="M23" s="122"/>
      <c r="N23" s="122"/>
      <c r="O23" s="122"/>
      <c r="P23" s="122"/>
      <c r="Q23" s="122"/>
      <c r="R23" s="122"/>
      <c r="S23" s="122"/>
      <c r="T23" s="122"/>
      <c r="U23" s="122"/>
      <c r="V23" s="122"/>
      <c r="W23" s="122"/>
      <c r="X23" s="122"/>
      <c r="Y23" s="122"/>
      <c r="Z23" s="122"/>
      <c r="AA23" s="122"/>
      <c r="AB23" s="122"/>
      <c r="AC23" s="122"/>
      <c r="AD23" s="55"/>
      <c r="AE23" s="43"/>
      <c r="AH23" s="56">
        <f t="shared" si="2"/>
        <v>-5</v>
      </c>
      <c r="AI23" s="33">
        <v>60</v>
      </c>
      <c r="AJ23" s="55">
        <f t="shared" si="0"/>
        <v>65</v>
      </c>
      <c r="AK23" s="71">
        <f t="shared" si="1"/>
        <v>1.9238999999999997</v>
      </c>
      <c r="AL23" s="78">
        <f t="shared" si="3"/>
        <v>1.9007000000000001</v>
      </c>
      <c r="AQ23" s="107"/>
      <c r="AR23" s="107"/>
      <c r="AW23" s="107"/>
      <c r="AX23" s="107"/>
    </row>
    <row r="24" spans="2:50">
      <c r="B24" s="42"/>
      <c r="C24" s="95"/>
      <c r="D24" s="122"/>
      <c r="E24" s="66"/>
      <c r="F24" s="118"/>
      <c r="G24" s="65"/>
      <c r="H24" s="122"/>
      <c r="I24" s="122"/>
      <c r="J24" s="122"/>
      <c r="K24" s="122"/>
      <c r="L24" s="62"/>
      <c r="M24" s="122"/>
      <c r="N24" s="122"/>
      <c r="O24" s="122"/>
      <c r="P24" s="122"/>
      <c r="Q24" s="122"/>
      <c r="R24" s="122"/>
      <c r="S24" s="122"/>
      <c r="T24" s="122"/>
      <c r="U24" s="122"/>
      <c r="V24" s="122"/>
      <c r="W24" s="122"/>
      <c r="X24" s="122"/>
      <c r="Y24" s="122"/>
      <c r="Z24" s="122"/>
      <c r="AA24" s="122"/>
      <c r="AB24" s="122"/>
      <c r="AC24" s="122"/>
      <c r="AD24" s="55"/>
      <c r="AE24" s="43"/>
      <c r="AH24" s="56">
        <f t="shared" si="2"/>
        <v>-4</v>
      </c>
      <c r="AI24" s="33">
        <v>60</v>
      </c>
      <c r="AJ24" s="55">
        <f t="shared" si="0"/>
        <v>64</v>
      </c>
      <c r="AK24" s="71">
        <f t="shared" si="1"/>
        <v>1.9581439999999999</v>
      </c>
      <c r="AL24" s="78">
        <f t="shared" si="3"/>
        <v>1.9414400000000001</v>
      </c>
      <c r="AQ24" s="107"/>
      <c r="AR24" s="107"/>
      <c r="AW24" s="107"/>
      <c r="AX24" s="107"/>
    </row>
    <row r="25" spans="2:50">
      <c r="B25" s="42"/>
      <c r="C25" s="95"/>
      <c r="D25" s="122"/>
      <c r="E25" s="66"/>
      <c r="F25" s="118"/>
      <c r="G25" s="65"/>
      <c r="H25" s="122"/>
      <c r="I25" s="122"/>
      <c r="J25" s="122"/>
      <c r="K25" s="122"/>
      <c r="L25" s="62"/>
      <c r="M25" s="122"/>
      <c r="N25" s="122"/>
      <c r="O25" s="122"/>
      <c r="P25" s="122"/>
      <c r="Q25" s="122"/>
      <c r="R25" s="122"/>
      <c r="S25" s="122"/>
      <c r="T25" s="122"/>
      <c r="U25" s="122"/>
      <c r="V25" s="122"/>
      <c r="W25" s="122"/>
      <c r="X25" s="122"/>
      <c r="Y25" s="122"/>
      <c r="Z25" s="122"/>
      <c r="AA25" s="122"/>
      <c r="AB25" s="122"/>
      <c r="AC25" s="122"/>
      <c r="AD25" s="55"/>
      <c r="AE25" s="43"/>
      <c r="AH25" s="56">
        <f t="shared" si="2"/>
        <v>-3</v>
      </c>
      <c r="AI25" s="33">
        <v>60</v>
      </c>
      <c r="AJ25" s="55">
        <f t="shared" si="0"/>
        <v>63</v>
      </c>
      <c r="AK25" s="71">
        <f t="shared" si="1"/>
        <v>1.9933159999999999</v>
      </c>
      <c r="AL25" s="78">
        <f t="shared" si="3"/>
        <v>1.9821800000000001</v>
      </c>
      <c r="AQ25" s="107"/>
      <c r="AR25" s="107"/>
      <c r="AW25" s="107"/>
      <c r="AX25" s="107"/>
    </row>
    <row r="26" spans="2:50">
      <c r="B26" s="42"/>
      <c r="C26" s="95"/>
      <c r="D26" s="122"/>
      <c r="E26" s="66"/>
      <c r="F26" s="118"/>
      <c r="G26" s="65"/>
      <c r="H26" s="122"/>
      <c r="I26" s="122"/>
      <c r="J26" s="122"/>
      <c r="K26" s="122"/>
      <c r="L26" s="62"/>
      <c r="M26" s="122"/>
      <c r="N26" s="122"/>
      <c r="O26" s="122"/>
      <c r="P26" s="122"/>
      <c r="Q26" s="122"/>
      <c r="R26" s="122"/>
      <c r="S26" s="122"/>
      <c r="T26" s="122"/>
      <c r="U26" s="122"/>
      <c r="V26" s="122"/>
      <c r="W26" s="122"/>
      <c r="X26" s="122"/>
      <c r="Y26" s="122"/>
      <c r="Z26" s="122"/>
      <c r="AA26" s="122"/>
      <c r="AB26" s="122"/>
      <c r="AC26" s="122"/>
      <c r="AD26" s="55"/>
      <c r="AE26" s="43"/>
      <c r="AH26" s="56">
        <f t="shared" si="2"/>
        <v>-2</v>
      </c>
      <c r="AI26" s="33">
        <v>60</v>
      </c>
      <c r="AJ26" s="55">
        <f t="shared" si="0"/>
        <v>62</v>
      </c>
      <c r="AK26" s="71">
        <f t="shared" si="1"/>
        <v>2.0294160000000003</v>
      </c>
      <c r="AL26" s="78">
        <f>AL27-$AK$45</f>
        <v>2.0229200000000001</v>
      </c>
      <c r="AQ26" s="107"/>
      <c r="AR26" s="107"/>
      <c r="AW26" s="107"/>
      <c r="AX26" s="107"/>
    </row>
    <row r="27" spans="2:50">
      <c r="B27" s="42"/>
      <c r="C27" s="95"/>
      <c r="D27" s="122"/>
      <c r="E27" s="66"/>
      <c r="F27" s="118"/>
      <c r="G27" s="65"/>
      <c r="H27" s="122"/>
      <c r="I27" s="122"/>
      <c r="J27" s="122"/>
      <c r="K27" s="122"/>
      <c r="L27" s="62"/>
      <c r="M27" s="122"/>
      <c r="N27" s="122"/>
      <c r="O27" s="122"/>
      <c r="P27" s="122"/>
      <c r="Q27" s="122"/>
      <c r="R27" s="122"/>
      <c r="S27" s="122"/>
      <c r="T27" s="122"/>
      <c r="U27" s="122"/>
      <c r="V27" s="122"/>
      <c r="W27" s="122"/>
      <c r="X27" s="122"/>
      <c r="Y27" s="122"/>
      <c r="Z27" s="122"/>
      <c r="AA27" s="122"/>
      <c r="AB27" s="122"/>
      <c r="AC27" s="122"/>
      <c r="AD27" s="55"/>
      <c r="AE27" s="43"/>
      <c r="AH27" s="56">
        <f t="shared" si="2"/>
        <v>-1</v>
      </c>
      <c r="AI27" s="33">
        <v>60</v>
      </c>
      <c r="AJ27" s="55">
        <f t="shared" si="0"/>
        <v>61</v>
      </c>
      <c r="AK27" s="71">
        <f t="shared" si="1"/>
        <v>2.0664440000000002</v>
      </c>
      <c r="AL27" s="78">
        <f>AL28-$AK$45</f>
        <v>2.06366</v>
      </c>
      <c r="AQ27" s="107"/>
      <c r="AR27" s="107"/>
      <c r="AW27" s="107"/>
      <c r="AX27" s="107"/>
    </row>
    <row r="28" spans="2:50">
      <c r="B28" s="42"/>
      <c r="C28" s="95"/>
      <c r="D28" s="122"/>
      <c r="E28" s="66"/>
      <c r="F28" s="118"/>
      <c r="G28" s="65"/>
      <c r="H28" s="122"/>
      <c r="I28" s="122"/>
      <c r="J28" s="122"/>
      <c r="K28" s="122"/>
      <c r="L28" s="62"/>
      <c r="M28" s="122"/>
      <c r="N28" s="122"/>
      <c r="O28" s="122"/>
      <c r="P28" s="122"/>
      <c r="Q28" s="122"/>
      <c r="R28" s="122"/>
      <c r="S28" s="122"/>
      <c r="T28" s="122"/>
      <c r="U28" s="122"/>
      <c r="V28" s="122"/>
      <c r="W28" s="122"/>
      <c r="X28" s="122"/>
      <c r="Y28" s="122"/>
      <c r="Z28" s="122"/>
      <c r="AA28" s="122"/>
      <c r="AB28" s="122"/>
      <c r="AC28" s="122"/>
      <c r="AD28" s="55"/>
      <c r="AE28" s="43"/>
      <c r="AG28" s="76" t="s">
        <v>82</v>
      </c>
      <c r="AH28" s="88">
        <f t="shared" si="2"/>
        <v>0</v>
      </c>
      <c r="AI28" s="76">
        <v>60</v>
      </c>
      <c r="AJ28" s="89">
        <f t="shared" si="0"/>
        <v>60</v>
      </c>
      <c r="AK28" s="90">
        <f t="shared" si="1"/>
        <v>2.1044</v>
      </c>
      <c r="AL28" s="91">
        <f>AK28</f>
        <v>2.1044</v>
      </c>
      <c r="AM28" s="51"/>
      <c r="AN28" s="76"/>
      <c r="AO28" s="76"/>
      <c r="AP28" s="76"/>
      <c r="AQ28" s="108"/>
      <c r="AR28" s="108"/>
      <c r="AS28" s="51"/>
      <c r="AT28" s="76"/>
      <c r="AU28" s="76"/>
      <c r="AV28" s="76"/>
      <c r="AW28" s="108"/>
      <c r="AX28" s="108"/>
    </row>
    <row r="29" spans="2:50">
      <c r="B29" s="42"/>
      <c r="C29" s="99"/>
      <c r="D29" s="58"/>
      <c r="E29" s="67"/>
      <c r="F29" s="119"/>
      <c r="G29" s="61"/>
      <c r="H29" s="58"/>
      <c r="I29" s="58"/>
      <c r="J29" s="58"/>
      <c r="K29" s="58"/>
      <c r="L29" s="64"/>
      <c r="M29" s="58"/>
      <c r="N29" s="58"/>
      <c r="O29" s="58"/>
      <c r="P29" s="58"/>
      <c r="Q29" s="58"/>
      <c r="R29" s="58"/>
      <c r="S29" s="58"/>
      <c r="T29" s="58"/>
      <c r="U29" s="58"/>
      <c r="V29" s="58"/>
      <c r="W29" s="58"/>
      <c r="X29" s="58"/>
      <c r="Y29" s="58"/>
      <c r="Z29" s="58"/>
      <c r="AA29" s="58"/>
      <c r="AB29" s="58"/>
      <c r="AC29" s="58"/>
      <c r="AD29" s="59"/>
      <c r="AE29" s="43"/>
      <c r="AH29" s="56">
        <f t="shared" si="2"/>
        <v>1</v>
      </c>
      <c r="AI29" s="33">
        <v>60</v>
      </c>
      <c r="AJ29" s="55">
        <f t="shared" si="0"/>
        <v>59</v>
      </c>
      <c r="AK29" s="71">
        <f t="shared" si="1"/>
        <v>2.1432840000000004</v>
      </c>
      <c r="AL29" s="78">
        <f>AL28+$AK$45</f>
        <v>2.14514</v>
      </c>
      <c r="AQ29" s="107"/>
      <c r="AR29" s="107"/>
      <c r="AW29" s="107"/>
      <c r="AX29" s="107"/>
    </row>
    <row r="30" spans="2:50">
      <c r="B30" s="4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43"/>
      <c r="AH30" s="56">
        <f t="shared" si="2"/>
        <v>2</v>
      </c>
      <c r="AI30" s="33">
        <v>60</v>
      </c>
      <c r="AJ30" s="55">
        <f t="shared" si="0"/>
        <v>58</v>
      </c>
      <c r="AK30" s="71">
        <f t="shared" si="1"/>
        <v>2.1830960000000004</v>
      </c>
      <c r="AL30" s="78">
        <f t="shared" ref="AL30:AL43" si="4">AL29+$AK$45</f>
        <v>2.18588</v>
      </c>
      <c r="AQ30" s="107"/>
      <c r="AR30" s="107"/>
      <c r="AW30" s="107"/>
      <c r="AX30" s="107"/>
    </row>
    <row r="31" spans="2:50">
      <c r="B31" s="42"/>
      <c r="C31" s="96" t="s">
        <v>21</v>
      </c>
      <c r="D31" s="60">
        <f>7.8/10^3</f>
        <v>7.7999999999999996E-3</v>
      </c>
      <c r="E31" s="68" t="s">
        <v>20</v>
      </c>
      <c r="F31" s="117" t="s">
        <v>106</v>
      </c>
      <c r="G31" s="86" t="s">
        <v>101</v>
      </c>
      <c r="H31" s="53" t="s">
        <v>96</v>
      </c>
      <c r="I31" s="53"/>
      <c r="J31" s="53"/>
      <c r="K31" s="53"/>
      <c r="L31" s="63"/>
      <c r="M31" s="53"/>
      <c r="N31" s="53"/>
      <c r="O31" s="53"/>
      <c r="P31" s="53"/>
      <c r="Q31" s="53"/>
      <c r="R31" s="53"/>
      <c r="S31" s="53"/>
      <c r="T31" s="53"/>
      <c r="U31" s="53"/>
      <c r="V31" s="53"/>
      <c r="W31" s="53"/>
      <c r="X31" s="53"/>
      <c r="Y31" s="53"/>
      <c r="Z31" s="53"/>
      <c r="AA31" s="53"/>
      <c r="AB31" s="53"/>
      <c r="AC31" s="53"/>
      <c r="AD31" s="54"/>
      <c r="AE31" s="43"/>
      <c r="AH31" s="56">
        <f t="shared" si="2"/>
        <v>3</v>
      </c>
      <c r="AI31" s="33">
        <v>60</v>
      </c>
      <c r="AJ31" s="55">
        <f t="shared" si="0"/>
        <v>57</v>
      </c>
      <c r="AK31" s="71">
        <f t="shared" si="1"/>
        <v>2.2238359999999995</v>
      </c>
      <c r="AL31" s="78">
        <f t="shared" si="4"/>
        <v>2.22662</v>
      </c>
      <c r="AQ31" s="107"/>
      <c r="AR31" s="107"/>
      <c r="AW31" s="107"/>
      <c r="AX31" s="107"/>
    </row>
    <row r="32" spans="2:50">
      <c r="B32" s="42"/>
      <c r="C32" s="97" t="s">
        <v>11</v>
      </c>
      <c r="D32" s="131">
        <f>D31/2.7</f>
        <v>2.8888888888888888E-3</v>
      </c>
      <c r="E32" s="66" t="s">
        <v>20</v>
      </c>
      <c r="F32" s="118"/>
      <c r="G32" s="87" t="s">
        <v>102</v>
      </c>
      <c r="H32" s="122" t="s">
        <v>99</v>
      </c>
      <c r="I32" s="122"/>
      <c r="J32" s="122"/>
      <c r="K32" s="122"/>
      <c r="L32" s="62"/>
      <c r="M32" s="122"/>
      <c r="N32" s="122"/>
      <c r="O32" s="122"/>
      <c r="P32" s="122"/>
      <c r="Q32" s="122"/>
      <c r="R32" s="122"/>
      <c r="S32" s="122"/>
      <c r="T32" s="122"/>
      <c r="U32" s="122"/>
      <c r="V32" s="122"/>
      <c r="W32" s="122"/>
      <c r="X32" s="122"/>
      <c r="Y32" s="122"/>
      <c r="Z32" s="122"/>
      <c r="AA32" s="122"/>
      <c r="AB32" s="122"/>
      <c r="AC32" s="122"/>
      <c r="AD32" s="55"/>
      <c r="AE32" s="43"/>
      <c r="AH32" s="56">
        <f t="shared" si="2"/>
        <v>4</v>
      </c>
      <c r="AI32" s="33">
        <v>60</v>
      </c>
      <c r="AJ32" s="55">
        <f t="shared" si="0"/>
        <v>56</v>
      </c>
      <c r="AK32" s="71">
        <f t="shared" si="1"/>
        <v>2.2655039999999995</v>
      </c>
      <c r="AL32" s="78">
        <f t="shared" si="4"/>
        <v>2.26736</v>
      </c>
      <c r="AQ32" s="107"/>
      <c r="AR32" s="107"/>
      <c r="AW32" s="107"/>
      <c r="AX32" s="107"/>
    </row>
    <row r="33" spans="2:50">
      <c r="B33" s="42"/>
      <c r="C33" s="95"/>
      <c r="D33" s="122"/>
      <c r="E33" s="66"/>
      <c r="F33" s="118"/>
      <c r="G33" s="87" t="s">
        <v>102</v>
      </c>
      <c r="H33" s="122" t="s">
        <v>104</v>
      </c>
      <c r="I33" s="122"/>
      <c r="J33" s="122"/>
      <c r="K33" s="122"/>
      <c r="L33" s="62"/>
      <c r="M33" s="122"/>
      <c r="N33" s="122"/>
      <c r="O33" s="122"/>
      <c r="P33" s="122"/>
      <c r="Q33" s="122"/>
      <c r="R33" s="122"/>
      <c r="S33" s="122"/>
      <c r="T33" s="122"/>
      <c r="U33" s="122"/>
      <c r="V33" s="122"/>
      <c r="W33" s="122"/>
      <c r="X33" s="122"/>
      <c r="Y33" s="122"/>
      <c r="Z33" s="122"/>
      <c r="AA33" s="122"/>
      <c r="AB33" s="122"/>
      <c r="AC33" s="122"/>
      <c r="AD33" s="55"/>
      <c r="AE33" s="43"/>
      <c r="AH33" s="56">
        <f t="shared" si="2"/>
        <v>5</v>
      </c>
      <c r="AI33" s="33">
        <v>60</v>
      </c>
      <c r="AJ33" s="55">
        <f t="shared" si="0"/>
        <v>55</v>
      </c>
      <c r="AK33" s="71">
        <f t="shared" si="1"/>
        <v>2.3080999999999996</v>
      </c>
      <c r="AL33" s="78">
        <f t="shared" si="4"/>
        <v>2.3081</v>
      </c>
      <c r="AQ33" s="107"/>
      <c r="AR33" s="107"/>
      <c r="AW33" s="107"/>
      <c r="AX33" s="107"/>
    </row>
    <row r="34" spans="2:50">
      <c r="B34" s="42"/>
      <c r="C34" s="95"/>
      <c r="D34" s="122"/>
      <c r="E34" s="66"/>
      <c r="F34" s="118"/>
      <c r="G34" s="82"/>
      <c r="H34" s="122"/>
      <c r="I34" s="122"/>
      <c r="J34" s="122"/>
      <c r="K34" s="122"/>
      <c r="L34" s="62"/>
      <c r="M34" s="122"/>
      <c r="N34" s="122"/>
      <c r="O34" s="122"/>
      <c r="P34" s="122"/>
      <c r="Q34" s="122"/>
      <c r="R34" s="122"/>
      <c r="S34" s="122"/>
      <c r="T34" s="122"/>
      <c r="U34" s="122"/>
      <c r="V34" s="122"/>
      <c r="W34" s="122"/>
      <c r="X34" s="122"/>
      <c r="Y34" s="122"/>
      <c r="Z34" s="122"/>
      <c r="AA34" s="122"/>
      <c r="AB34" s="122"/>
      <c r="AC34" s="122"/>
      <c r="AD34" s="55"/>
      <c r="AE34" s="43"/>
      <c r="AH34" s="56">
        <f t="shared" si="2"/>
        <v>6</v>
      </c>
      <c r="AI34" s="33">
        <v>60</v>
      </c>
      <c r="AJ34" s="55">
        <f t="shared" si="0"/>
        <v>54</v>
      </c>
      <c r="AK34" s="71">
        <f t="shared" si="1"/>
        <v>2.3516239999999997</v>
      </c>
      <c r="AL34" s="78">
        <f t="shared" si="4"/>
        <v>2.34884</v>
      </c>
      <c r="AQ34" s="107"/>
      <c r="AR34" s="107"/>
      <c r="AW34" s="107"/>
      <c r="AX34" s="107"/>
    </row>
    <row r="35" spans="2:50">
      <c r="B35" s="42"/>
      <c r="C35" s="95"/>
      <c r="D35" s="122"/>
      <c r="E35" s="66"/>
      <c r="F35" s="118"/>
      <c r="G35" s="65"/>
      <c r="H35" s="122"/>
      <c r="I35" s="122"/>
      <c r="J35" s="122"/>
      <c r="K35" s="122"/>
      <c r="L35" s="62"/>
      <c r="M35" s="122"/>
      <c r="N35" s="122"/>
      <c r="O35" s="122"/>
      <c r="P35" s="122"/>
      <c r="Q35" s="122"/>
      <c r="R35" s="122"/>
      <c r="S35" s="122"/>
      <c r="T35" s="122"/>
      <c r="U35" s="122"/>
      <c r="V35" s="122"/>
      <c r="W35" s="122"/>
      <c r="X35" s="122"/>
      <c r="Y35" s="122"/>
      <c r="Z35" s="122"/>
      <c r="AA35" s="122"/>
      <c r="AB35" s="122"/>
      <c r="AC35" s="122"/>
      <c r="AD35" s="55"/>
      <c r="AE35" s="43"/>
      <c r="AH35" s="56">
        <f t="shared" si="2"/>
        <v>7</v>
      </c>
      <c r="AI35" s="33">
        <v>60</v>
      </c>
      <c r="AJ35" s="55">
        <f t="shared" si="0"/>
        <v>53</v>
      </c>
      <c r="AK35" s="71">
        <f t="shared" si="1"/>
        <v>2.3960759999999999</v>
      </c>
      <c r="AL35" s="78">
        <f t="shared" si="4"/>
        <v>2.38958</v>
      </c>
      <c r="AQ35" s="107"/>
      <c r="AR35" s="107"/>
      <c r="AW35" s="107"/>
      <c r="AX35" s="107"/>
    </row>
    <row r="36" spans="2:50">
      <c r="B36" s="42"/>
      <c r="C36" s="95"/>
      <c r="D36" s="122"/>
      <c r="E36" s="66"/>
      <c r="F36" s="118"/>
      <c r="G36" s="65"/>
      <c r="H36" s="122"/>
      <c r="I36" s="122"/>
      <c r="J36" s="122"/>
      <c r="K36" s="122"/>
      <c r="L36" s="62"/>
      <c r="M36" s="122"/>
      <c r="N36" s="122"/>
      <c r="O36" s="122"/>
      <c r="P36" s="122"/>
      <c r="Q36" s="122"/>
      <c r="R36" s="122"/>
      <c r="S36" s="122"/>
      <c r="T36" s="122"/>
      <c r="U36" s="122"/>
      <c r="V36" s="122"/>
      <c r="W36" s="122"/>
      <c r="X36" s="122"/>
      <c r="Y36" s="122"/>
      <c r="Z36" s="122"/>
      <c r="AA36" s="122"/>
      <c r="AB36" s="122"/>
      <c r="AC36" s="122"/>
      <c r="AD36" s="55"/>
      <c r="AE36" s="43"/>
      <c r="AH36" s="56">
        <f t="shared" si="2"/>
        <v>8</v>
      </c>
      <c r="AI36" s="33">
        <v>60</v>
      </c>
      <c r="AJ36" s="55">
        <f t="shared" si="0"/>
        <v>52</v>
      </c>
      <c r="AK36" s="71">
        <f t="shared" si="1"/>
        <v>2.4414559999999996</v>
      </c>
      <c r="AL36" s="78">
        <f t="shared" si="4"/>
        <v>2.43032</v>
      </c>
      <c r="AQ36" s="107"/>
      <c r="AR36" s="107"/>
      <c r="AW36" s="107"/>
      <c r="AX36" s="107"/>
    </row>
    <row r="37" spans="2:50">
      <c r="B37" s="42"/>
      <c r="C37" s="95"/>
      <c r="D37" s="122"/>
      <c r="E37" s="66"/>
      <c r="F37" s="118"/>
      <c r="G37" s="65"/>
      <c r="H37" s="122"/>
      <c r="I37" s="122"/>
      <c r="J37" s="122"/>
      <c r="K37" s="122"/>
      <c r="L37" s="62"/>
      <c r="M37" s="122"/>
      <c r="N37" s="122"/>
      <c r="O37" s="122"/>
      <c r="P37" s="122"/>
      <c r="Q37" s="122"/>
      <c r="R37" s="122"/>
      <c r="S37" s="122"/>
      <c r="T37" s="122"/>
      <c r="U37" s="122"/>
      <c r="V37" s="122"/>
      <c r="W37" s="122"/>
      <c r="X37" s="122"/>
      <c r="Y37" s="122"/>
      <c r="Z37" s="122"/>
      <c r="AA37" s="122"/>
      <c r="AB37" s="122"/>
      <c r="AC37" s="122"/>
      <c r="AD37" s="55"/>
      <c r="AE37" s="43"/>
      <c r="AH37" s="56">
        <f t="shared" si="2"/>
        <v>9</v>
      </c>
      <c r="AI37" s="33">
        <v>60</v>
      </c>
      <c r="AJ37" s="55">
        <f t="shared" si="0"/>
        <v>51</v>
      </c>
      <c r="AK37" s="71">
        <f t="shared" si="1"/>
        <v>2.4877639999999999</v>
      </c>
      <c r="AL37" s="78">
        <f t="shared" si="4"/>
        <v>2.47106</v>
      </c>
      <c r="AQ37" s="107"/>
      <c r="AR37" s="107"/>
      <c r="AW37" s="107"/>
      <c r="AX37" s="107"/>
    </row>
    <row r="38" spans="2:50">
      <c r="B38" s="42"/>
      <c r="C38" s="95"/>
      <c r="D38" s="122"/>
      <c r="E38" s="66"/>
      <c r="F38" s="118"/>
      <c r="G38" s="65"/>
      <c r="H38" s="122"/>
      <c r="I38" s="122"/>
      <c r="J38" s="122"/>
      <c r="K38" s="122"/>
      <c r="L38" s="62"/>
      <c r="M38" s="122"/>
      <c r="N38" s="122"/>
      <c r="O38" s="122"/>
      <c r="P38" s="122"/>
      <c r="Q38" s="122"/>
      <c r="R38" s="122"/>
      <c r="S38" s="122"/>
      <c r="T38" s="122"/>
      <c r="U38" s="122"/>
      <c r="V38" s="122"/>
      <c r="W38" s="122"/>
      <c r="X38" s="122"/>
      <c r="Y38" s="122"/>
      <c r="Z38" s="122"/>
      <c r="AA38" s="122"/>
      <c r="AB38" s="122"/>
      <c r="AC38" s="122"/>
      <c r="AD38" s="55"/>
      <c r="AE38" s="43"/>
      <c r="AH38" s="56">
        <f t="shared" si="2"/>
        <v>10</v>
      </c>
      <c r="AI38" s="33">
        <v>60</v>
      </c>
      <c r="AJ38" s="55">
        <f t="shared" si="0"/>
        <v>50</v>
      </c>
      <c r="AK38" s="71">
        <f t="shared" si="1"/>
        <v>2.5350000000000001</v>
      </c>
      <c r="AL38" s="78">
        <f t="shared" si="4"/>
        <v>2.5118</v>
      </c>
      <c r="AQ38" s="107"/>
      <c r="AR38" s="107"/>
      <c r="AW38" s="107"/>
      <c r="AX38" s="107"/>
    </row>
    <row r="39" spans="2:50">
      <c r="B39" s="42"/>
      <c r="C39" s="95"/>
      <c r="D39" s="122"/>
      <c r="E39" s="66"/>
      <c r="F39" s="118"/>
      <c r="G39" s="65"/>
      <c r="H39" s="122"/>
      <c r="I39" s="122"/>
      <c r="J39" s="122"/>
      <c r="K39" s="122"/>
      <c r="L39" s="62"/>
      <c r="M39" s="122"/>
      <c r="N39" s="122"/>
      <c r="O39" s="122"/>
      <c r="P39" s="122"/>
      <c r="Q39" s="122"/>
      <c r="R39" s="122"/>
      <c r="S39" s="122"/>
      <c r="T39" s="122"/>
      <c r="U39" s="122"/>
      <c r="V39" s="122"/>
      <c r="W39" s="122"/>
      <c r="X39" s="122"/>
      <c r="Y39" s="122"/>
      <c r="Z39" s="122"/>
      <c r="AA39" s="122"/>
      <c r="AB39" s="122"/>
      <c r="AC39" s="122"/>
      <c r="AD39" s="55"/>
      <c r="AE39" s="43"/>
      <c r="AH39" s="56">
        <f t="shared" si="2"/>
        <v>11</v>
      </c>
      <c r="AI39" s="33">
        <v>60</v>
      </c>
      <c r="AJ39" s="55">
        <f t="shared" si="0"/>
        <v>49</v>
      </c>
      <c r="AK39" s="71">
        <f t="shared" si="1"/>
        <v>2.583164</v>
      </c>
      <c r="AL39" s="78">
        <f t="shared" si="4"/>
        <v>2.55254</v>
      </c>
      <c r="AQ39" s="107"/>
      <c r="AR39" s="107"/>
      <c r="AW39" s="107"/>
      <c r="AX39" s="107"/>
    </row>
    <row r="40" spans="2:50">
      <c r="B40" s="42"/>
      <c r="C40" s="95"/>
      <c r="D40" s="122"/>
      <c r="E40" s="66"/>
      <c r="F40" s="118"/>
      <c r="G40" s="65"/>
      <c r="H40" s="122"/>
      <c r="I40" s="122"/>
      <c r="J40" s="122"/>
      <c r="K40" s="122"/>
      <c r="L40" s="62"/>
      <c r="M40" s="122"/>
      <c r="N40" s="122"/>
      <c r="O40" s="122"/>
      <c r="P40" s="122"/>
      <c r="Q40" s="122"/>
      <c r="R40" s="122"/>
      <c r="S40" s="122"/>
      <c r="T40" s="122"/>
      <c r="U40" s="122"/>
      <c r="V40" s="122"/>
      <c r="W40" s="122"/>
      <c r="X40" s="122"/>
      <c r="Y40" s="122"/>
      <c r="Z40" s="122"/>
      <c r="AA40" s="122"/>
      <c r="AB40" s="122"/>
      <c r="AC40" s="122"/>
      <c r="AD40" s="55"/>
      <c r="AE40" s="43"/>
      <c r="AH40" s="56">
        <f t="shared" si="2"/>
        <v>12</v>
      </c>
      <c r="AI40" s="33">
        <v>60</v>
      </c>
      <c r="AJ40" s="55">
        <f t="shared" si="0"/>
        <v>48</v>
      </c>
      <c r="AK40" s="71">
        <f t="shared" si="1"/>
        <v>2.6322559999999999</v>
      </c>
      <c r="AL40" s="78">
        <f t="shared" si="4"/>
        <v>2.59328</v>
      </c>
      <c r="AQ40" s="107"/>
      <c r="AR40" s="107"/>
      <c r="AW40" s="107"/>
      <c r="AX40" s="107"/>
    </row>
    <row r="41" spans="2:50">
      <c r="B41" s="42"/>
      <c r="C41" s="95"/>
      <c r="D41" s="122"/>
      <c r="E41" s="66"/>
      <c r="F41" s="118"/>
      <c r="G41" s="65"/>
      <c r="H41" s="122"/>
      <c r="I41" s="122"/>
      <c r="J41" s="122"/>
      <c r="K41" s="122"/>
      <c r="L41" s="62"/>
      <c r="M41" s="122"/>
      <c r="N41" s="122"/>
      <c r="O41" s="122"/>
      <c r="P41" s="122"/>
      <c r="Q41" s="122"/>
      <c r="R41" s="122"/>
      <c r="S41" s="122"/>
      <c r="T41" s="122"/>
      <c r="U41" s="122"/>
      <c r="V41" s="122"/>
      <c r="W41" s="122"/>
      <c r="X41" s="122"/>
      <c r="Y41" s="122"/>
      <c r="Z41" s="122"/>
      <c r="AA41" s="122"/>
      <c r="AB41" s="122"/>
      <c r="AC41" s="122"/>
      <c r="AD41" s="55"/>
      <c r="AE41" s="43"/>
      <c r="AH41" s="56">
        <f t="shared" si="2"/>
        <v>13</v>
      </c>
      <c r="AI41" s="33">
        <v>60</v>
      </c>
      <c r="AJ41" s="55">
        <f t="shared" si="0"/>
        <v>47</v>
      </c>
      <c r="AK41" s="71">
        <f t="shared" si="1"/>
        <v>2.6822760000000003</v>
      </c>
      <c r="AL41" s="78">
        <f t="shared" si="4"/>
        <v>2.63402</v>
      </c>
      <c r="AQ41" s="107"/>
      <c r="AR41" s="107"/>
      <c r="AW41" s="107"/>
      <c r="AX41" s="107"/>
    </row>
    <row r="42" spans="2:50">
      <c r="B42" s="42"/>
      <c r="C42" s="95"/>
      <c r="D42" s="122"/>
      <c r="E42" s="66"/>
      <c r="F42" s="118"/>
      <c r="G42" s="65"/>
      <c r="H42" s="122"/>
      <c r="I42" s="122"/>
      <c r="J42" s="122"/>
      <c r="K42" s="122"/>
      <c r="L42" s="62"/>
      <c r="M42" s="122"/>
      <c r="N42" s="122"/>
      <c r="O42" s="122"/>
      <c r="P42" s="122"/>
      <c r="Q42" s="122"/>
      <c r="R42" s="122"/>
      <c r="S42" s="122"/>
      <c r="T42" s="122"/>
      <c r="U42" s="122"/>
      <c r="V42" s="122"/>
      <c r="W42" s="122"/>
      <c r="X42" s="122"/>
      <c r="Y42" s="122"/>
      <c r="Z42" s="122"/>
      <c r="AA42" s="122"/>
      <c r="AB42" s="122"/>
      <c r="AC42" s="122"/>
      <c r="AD42" s="55"/>
      <c r="AE42" s="43"/>
      <c r="AH42" s="56">
        <f t="shared" si="2"/>
        <v>14</v>
      </c>
      <c r="AI42" s="33">
        <v>60</v>
      </c>
      <c r="AJ42" s="55">
        <f t="shared" si="0"/>
        <v>46</v>
      </c>
      <c r="AK42" s="71">
        <f t="shared" si="1"/>
        <v>2.7332240000000003</v>
      </c>
      <c r="AL42" s="78">
        <f t="shared" si="4"/>
        <v>2.67476</v>
      </c>
      <c r="AQ42" s="107"/>
      <c r="AR42" s="107"/>
      <c r="AW42" s="107"/>
      <c r="AX42" s="107"/>
    </row>
    <row r="43" spans="2:50">
      <c r="B43" s="42"/>
      <c r="C43" s="95"/>
      <c r="D43" s="122"/>
      <c r="E43" s="66"/>
      <c r="F43" s="118"/>
      <c r="G43" s="65"/>
      <c r="H43" s="122"/>
      <c r="I43" s="122"/>
      <c r="J43" s="122"/>
      <c r="K43" s="122"/>
      <c r="L43" s="62"/>
      <c r="M43" s="122"/>
      <c r="N43" s="122"/>
      <c r="O43" s="122"/>
      <c r="P43" s="122"/>
      <c r="Q43" s="122"/>
      <c r="R43" s="122"/>
      <c r="S43" s="122"/>
      <c r="T43" s="122"/>
      <c r="U43" s="122"/>
      <c r="V43" s="122"/>
      <c r="W43" s="122"/>
      <c r="X43" s="122"/>
      <c r="Y43" s="122"/>
      <c r="Z43" s="122"/>
      <c r="AA43" s="122"/>
      <c r="AB43" s="122"/>
      <c r="AC43" s="122"/>
      <c r="AD43" s="55"/>
      <c r="AE43" s="43"/>
      <c r="AH43" s="57">
        <f t="shared" si="2"/>
        <v>15</v>
      </c>
      <c r="AI43" s="58">
        <v>60</v>
      </c>
      <c r="AJ43" s="59">
        <f t="shared" si="0"/>
        <v>45</v>
      </c>
      <c r="AK43" s="72">
        <f t="shared" si="1"/>
        <v>2.7851000000000004</v>
      </c>
      <c r="AL43" s="80">
        <f t="shared" si="4"/>
        <v>2.7155</v>
      </c>
      <c r="AQ43" s="107"/>
      <c r="AR43" s="107"/>
      <c r="AW43" s="107"/>
      <c r="AX43" s="107"/>
    </row>
    <row r="44" spans="2:50">
      <c r="B44" s="42"/>
      <c r="C44" s="99"/>
      <c r="D44" s="58"/>
      <c r="E44" s="67"/>
      <c r="F44" s="119"/>
      <c r="G44" s="61"/>
      <c r="H44" s="58"/>
      <c r="I44" s="58"/>
      <c r="J44" s="58"/>
      <c r="K44" s="58"/>
      <c r="L44" s="64"/>
      <c r="M44" s="58"/>
      <c r="N44" s="58"/>
      <c r="O44" s="58"/>
      <c r="P44" s="58"/>
      <c r="Q44" s="58"/>
      <c r="R44" s="58"/>
      <c r="S44" s="58"/>
      <c r="T44" s="58"/>
      <c r="U44" s="58"/>
      <c r="V44" s="58"/>
      <c r="W44" s="58"/>
      <c r="X44" s="58"/>
      <c r="Y44" s="58"/>
      <c r="Z44" s="58"/>
      <c r="AA44" s="58"/>
      <c r="AB44" s="58"/>
      <c r="AC44" s="58"/>
      <c r="AD44" s="59"/>
      <c r="AE44" s="43"/>
    </row>
    <row r="45" spans="2:50">
      <c r="B45" s="4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43"/>
      <c r="AH45" s="73" t="s">
        <v>83</v>
      </c>
      <c r="AI45" s="74"/>
      <c r="AJ45" s="74"/>
      <c r="AK45" s="77">
        <f>(AK43-AK18)/(AH43-AH18)</f>
        <v>4.0740000000000033E-2</v>
      </c>
    </row>
    <row r="46" spans="2:50" ht="16" customHeight="1">
      <c r="B46" s="42"/>
      <c r="C46" s="96" t="s">
        <v>24</v>
      </c>
      <c r="D46" s="52">
        <f xml:space="preserve"> AVERAGE(8619, 12561)</f>
        <v>10590</v>
      </c>
      <c r="E46" s="68" t="s">
        <v>111</v>
      </c>
      <c r="F46" s="92" t="s">
        <v>108</v>
      </c>
      <c r="G46" s="86" t="s">
        <v>101</v>
      </c>
      <c r="H46" s="53" t="s">
        <v>107</v>
      </c>
      <c r="I46" s="53"/>
      <c r="J46" s="53"/>
      <c r="K46" s="53"/>
      <c r="L46" s="63"/>
      <c r="M46" s="53"/>
      <c r="N46" s="53"/>
      <c r="O46" s="53"/>
      <c r="P46" s="53"/>
      <c r="Q46" s="53"/>
      <c r="R46" s="53"/>
      <c r="S46" s="53"/>
      <c r="T46" s="53"/>
      <c r="U46" s="53"/>
      <c r="V46" s="53"/>
      <c r="W46" s="53"/>
      <c r="X46" s="53"/>
      <c r="Y46" s="53"/>
      <c r="Z46" s="53"/>
      <c r="AA46" s="53"/>
      <c r="AB46" s="53"/>
      <c r="AC46" s="53"/>
      <c r="AD46" s="54"/>
      <c r="AE46" s="43"/>
    </row>
    <row r="47" spans="2:50" ht="17">
      <c r="B47" s="42"/>
      <c r="C47" s="97" t="s">
        <v>32</v>
      </c>
      <c r="D47" s="127">
        <v>50</v>
      </c>
      <c r="E47" s="66" t="s">
        <v>110</v>
      </c>
      <c r="F47" s="93" t="s">
        <v>109</v>
      </c>
      <c r="G47" s="87"/>
      <c r="H47" s="122"/>
      <c r="I47" s="122"/>
      <c r="J47" s="122"/>
      <c r="K47" s="122"/>
      <c r="L47" s="62"/>
      <c r="M47" s="122"/>
      <c r="N47" s="122"/>
      <c r="O47" s="122"/>
      <c r="P47" s="122"/>
      <c r="Q47" s="122"/>
      <c r="R47" s="122"/>
      <c r="S47" s="122"/>
      <c r="T47" s="122"/>
      <c r="U47" s="122"/>
      <c r="V47" s="122"/>
      <c r="W47" s="122"/>
      <c r="X47" s="122"/>
      <c r="Y47" s="122"/>
      <c r="Z47" s="122"/>
      <c r="AA47" s="122"/>
      <c r="AB47" s="122"/>
      <c r="AC47" s="122"/>
      <c r="AD47" s="55"/>
      <c r="AE47" s="43"/>
    </row>
    <row r="48" spans="2:50">
      <c r="B48" s="42"/>
      <c r="C48" s="97" t="s">
        <v>15</v>
      </c>
      <c r="D48" s="132">
        <v>0</v>
      </c>
      <c r="E48" s="66" t="s">
        <v>133</v>
      </c>
      <c r="F48" s="118" t="s">
        <v>134</v>
      </c>
      <c r="G48" s="87"/>
      <c r="H48" s="122"/>
      <c r="I48" s="122"/>
      <c r="J48" s="122"/>
      <c r="K48" s="122"/>
      <c r="L48" s="62"/>
      <c r="M48" s="122"/>
      <c r="N48" s="122"/>
      <c r="O48" s="122"/>
      <c r="P48" s="122"/>
      <c r="Q48" s="122"/>
      <c r="R48" s="122"/>
      <c r="S48" s="122"/>
      <c r="T48" s="122"/>
      <c r="U48" s="122"/>
      <c r="V48" s="122"/>
      <c r="W48" s="122"/>
      <c r="X48" s="122"/>
      <c r="Y48" s="122"/>
      <c r="Z48" s="122"/>
      <c r="AA48" s="122"/>
      <c r="AB48" s="122"/>
      <c r="AC48" s="122"/>
      <c r="AD48" s="55"/>
      <c r="AE48" s="43"/>
    </row>
    <row r="49" spans="2:31">
      <c r="B49" s="42"/>
      <c r="C49" s="95"/>
      <c r="D49" s="122"/>
      <c r="E49" s="66"/>
      <c r="F49" s="118"/>
      <c r="G49" s="82"/>
      <c r="H49" s="122"/>
      <c r="I49" s="122"/>
      <c r="J49" s="122"/>
      <c r="K49" s="122"/>
      <c r="L49" s="62"/>
      <c r="M49" s="122"/>
      <c r="N49" s="122"/>
      <c r="O49" s="122"/>
      <c r="P49" s="122"/>
      <c r="Q49" s="122"/>
      <c r="R49" s="122"/>
      <c r="S49" s="122"/>
      <c r="T49" s="122"/>
      <c r="U49" s="122"/>
      <c r="V49" s="122"/>
      <c r="W49" s="122"/>
      <c r="X49" s="122"/>
      <c r="Y49" s="122"/>
      <c r="Z49" s="122"/>
      <c r="AA49" s="122"/>
      <c r="AB49" s="122"/>
      <c r="AC49" s="122"/>
      <c r="AD49" s="55"/>
      <c r="AE49" s="43"/>
    </row>
    <row r="50" spans="2:31">
      <c r="B50" s="42"/>
      <c r="C50" s="56"/>
      <c r="D50" s="102"/>
      <c r="E50" s="66"/>
      <c r="F50" s="118"/>
      <c r="G50" s="65"/>
      <c r="H50" s="122"/>
      <c r="I50" s="122"/>
      <c r="J50" s="122"/>
      <c r="K50" s="122"/>
      <c r="L50" s="62"/>
      <c r="M50" s="122"/>
      <c r="N50" s="122"/>
      <c r="O50" s="122"/>
      <c r="P50" s="122"/>
      <c r="Q50" s="122"/>
      <c r="R50" s="122"/>
      <c r="S50" s="122"/>
      <c r="T50" s="122"/>
      <c r="U50" s="122"/>
      <c r="V50" s="122"/>
      <c r="W50" s="122"/>
      <c r="X50" s="122"/>
      <c r="Y50" s="122"/>
      <c r="Z50" s="122"/>
      <c r="AA50" s="122"/>
      <c r="AB50" s="122"/>
      <c r="AC50" s="122"/>
      <c r="AD50" s="55"/>
      <c r="AE50" s="43"/>
    </row>
    <row r="51" spans="2:31">
      <c r="B51" s="42"/>
      <c r="C51" s="95"/>
      <c r="D51" s="122"/>
      <c r="E51" s="66"/>
      <c r="F51" s="93"/>
      <c r="G51" s="65"/>
      <c r="H51" s="122"/>
      <c r="I51" s="122"/>
      <c r="J51" s="122"/>
      <c r="K51" s="122"/>
      <c r="L51" s="62"/>
      <c r="M51" s="122"/>
      <c r="N51" s="122"/>
      <c r="O51" s="122"/>
      <c r="P51" s="122"/>
      <c r="Q51" s="122"/>
      <c r="R51" s="122"/>
      <c r="S51" s="122"/>
      <c r="T51" s="122"/>
      <c r="U51" s="122"/>
      <c r="V51" s="122"/>
      <c r="W51" s="122"/>
      <c r="X51" s="122"/>
      <c r="Y51" s="122"/>
      <c r="Z51" s="122"/>
      <c r="AA51" s="122"/>
      <c r="AB51" s="122"/>
      <c r="AC51" s="122"/>
      <c r="AD51" s="55"/>
      <c r="AE51" s="43"/>
    </row>
    <row r="52" spans="2:31" ht="17" customHeight="1">
      <c r="B52" s="42"/>
      <c r="C52" s="95"/>
      <c r="D52" s="122"/>
      <c r="E52" s="66"/>
      <c r="F52" s="93"/>
      <c r="G52" s="65"/>
      <c r="H52" s="122"/>
      <c r="I52" s="122"/>
      <c r="J52" s="122"/>
      <c r="K52" s="122"/>
      <c r="L52" s="62"/>
      <c r="M52" s="122"/>
      <c r="N52" s="122"/>
      <c r="O52" s="122"/>
      <c r="P52" s="122"/>
      <c r="Q52" s="122"/>
      <c r="R52" s="122"/>
      <c r="S52" s="122"/>
      <c r="T52" s="122"/>
      <c r="U52" s="122"/>
      <c r="V52" s="122"/>
      <c r="W52" s="122"/>
      <c r="X52" s="122"/>
      <c r="Y52" s="122"/>
      <c r="Z52" s="122"/>
      <c r="AA52" s="122"/>
      <c r="AB52" s="122"/>
      <c r="AC52" s="122"/>
      <c r="AD52" s="55"/>
      <c r="AE52" s="43"/>
    </row>
    <row r="53" spans="2:31">
      <c r="B53" s="42"/>
      <c r="C53" s="95"/>
      <c r="D53" s="122"/>
      <c r="E53" s="66"/>
      <c r="F53" s="93"/>
      <c r="G53" s="65"/>
      <c r="H53" s="122"/>
      <c r="I53" s="122"/>
      <c r="J53" s="122"/>
      <c r="K53" s="122"/>
      <c r="L53" s="62"/>
      <c r="M53" s="122"/>
      <c r="N53" s="122"/>
      <c r="O53" s="122"/>
      <c r="P53" s="122"/>
      <c r="Q53" s="122"/>
      <c r="R53" s="122"/>
      <c r="S53" s="122"/>
      <c r="T53" s="122"/>
      <c r="U53" s="122"/>
      <c r="V53" s="122"/>
      <c r="W53" s="122"/>
      <c r="X53" s="122"/>
      <c r="Y53" s="122"/>
      <c r="Z53" s="122"/>
      <c r="AA53" s="122"/>
      <c r="AB53" s="122"/>
      <c r="AC53" s="122"/>
      <c r="AD53" s="55"/>
      <c r="AE53" s="43"/>
    </row>
    <row r="54" spans="2:31">
      <c r="B54" s="42"/>
      <c r="C54" s="95"/>
      <c r="D54" s="122"/>
      <c r="E54" s="66"/>
      <c r="F54" s="93"/>
      <c r="G54" s="65"/>
      <c r="H54" s="122"/>
      <c r="I54" s="122"/>
      <c r="J54" s="122"/>
      <c r="K54" s="122"/>
      <c r="L54" s="62"/>
      <c r="M54" s="122"/>
      <c r="N54" s="122"/>
      <c r="O54" s="122"/>
      <c r="P54" s="122"/>
      <c r="Q54" s="122"/>
      <c r="R54" s="122"/>
      <c r="S54" s="122"/>
      <c r="T54" s="122"/>
      <c r="U54" s="122"/>
      <c r="V54" s="122"/>
      <c r="W54" s="122"/>
      <c r="X54" s="122"/>
      <c r="Y54" s="122"/>
      <c r="Z54" s="122"/>
      <c r="AA54" s="122"/>
      <c r="AB54" s="122"/>
      <c r="AC54" s="122"/>
      <c r="AD54" s="55"/>
      <c r="AE54" s="43"/>
    </row>
    <row r="55" spans="2:31">
      <c r="B55" s="42"/>
      <c r="C55" s="95"/>
      <c r="D55" s="122"/>
      <c r="E55" s="66"/>
      <c r="F55" s="93"/>
      <c r="G55" s="65"/>
      <c r="H55" s="122"/>
      <c r="I55" s="122"/>
      <c r="J55" s="122"/>
      <c r="K55" s="122"/>
      <c r="L55" s="62"/>
      <c r="M55" s="122"/>
      <c r="N55" s="122"/>
      <c r="O55" s="122"/>
      <c r="P55" s="122"/>
      <c r="Q55" s="122"/>
      <c r="R55" s="122"/>
      <c r="S55" s="122"/>
      <c r="T55" s="122"/>
      <c r="U55" s="122"/>
      <c r="V55" s="122"/>
      <c r="W55" s="122"/>
      <c r="X55" s="122"/>
      <c r="Y55" s="122"/>
      <c r="Z55" s="122"/>
      <c r="AA55" s="122"/>
      <c r="AB55" s="122"/>
      <c r="AC55" s="122"/>
      <c r="AD55" s="55"/>
      <c r="AE55" s="43"/>
    </row>
    <row r="56" spans="2:31">
      <c r="B56" s="42"/>
      <c r="C56" s="99"/>
      <c r="D56" s="58"/>
      <c r="E56" s="67"/>
      <c r="F56" s="94"/>
      <c r="G56" s="61"/>
      <c r="H56" s="58"/>
      <c r="I56" s="58"/>
      <c r="J56" s="58"/>
      <c r="K56" s="58"/>
      <c r="L56" s="64"/>
      <c r="M56" s="58"/>
      <c r="N56" s="58"/>
      <c r="O56" s="58"/>
      <c r="P56" s="58"/>
      <c r="Q56" s="58"/>
      <c r="R56" s="58"/>
      <c r="S56" s="58"/>
      <c r="T56" s="58"/>
      <c r="U56" s="58"/>
      <c r="V56" s="58"/>
      <c r="W56" s="58"/>
      <c r="X56" s="58"/>
      <c r="Y56" s="58"/>
      <c r="Z56" s="58"/>
      <c r="AA56" s="58"/>
      <c r="AB56" s="58"/>
      <c r="AC56" s="58"/>
      <c r="AD56" s="59"/>
      <c r="AE56" s="43"/>
    </row>
    <row r="57" spans="2:31">
      <c r="B57" s="4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43"/>
    </row>
    <row r="58" spans="2:31">
      <c r="B58" s="42"/>
      <c r="C58" s="96" t="s">
        <v>50</v>
      </c>
      <c r="D58" s="52">
        <v>15</v>
      </c>
      <c r="E58" s="68" t="s">
        <v>48</v>
      </c>
      <c r="F58" s="92"/>
      <c r="G58" s="86" t="s">
        <v>101</v>
      </c>
      <c r="H58" s="53" t="s">
        <v>114</v>
      </c>
      <c r="I58" s="53"/>
      <c r="J58" s="53"/>
      <c r="K58" s="53"/>
      <c r="L58" s="63"/>
      <c r="M58" s="53"/>
      <c r="N58" s="53"/>
      <c r="O58" s="53"/>
      <c r="P58" s="53"/>
      <c r="Q58" s="53"/>
      <c r="R58" s="53"/>
      <c r="S58" s="53"/>
      <c r="T58" s="53"/>
      <c r="U58" s="53"/>
      <c r="V58" s="53"/>
      <c r="W58" s="53"/>
      <c r="X58" s="53"/>
      <c r="Y58" s="53"/>
      <c r="Z58" s="53"/>
      <c r="AA58" s="53"/>
      <c r="AB58" s="53"/>
      <c r="AC58" s="53"/>
      <c r="AD58" s="54"/>
      <c r="AE58" s="43"/>
    </row>
    <row r="59" spans="2:31">
      <c r="B59" s="42"/>
      <c r="C59" s="97"/>
      <c r="D59" s="127"/>
      <c r="E59" s="66"/>
      <c r="F59" s="93"/>
      <c r="G59" s="87"/>
      <c r="H59" s="122"/>
      <c r="I59" s="122"/>
      <c r="J59" s="122"/>
      <c r="K59" s="122"/>
      <c r="L59" s="62"/>
      <c r="M59" s="122"/>
      <c r="N59" s="122"/>
      <c r="O59" s="122"/>
      <c r="P59" s="122"/>
      <c r="Q59" s="122"/>
      <c r="R59" s="122"/>
      <c r="S59" s="122"/>
      <c r="T59" s="122"/>
      <c r="U59" s="122"/>
      <c r="V59" s="122"/>
      <c r="W59" s="122"/>
      <c r="X59" s="122"/>
      <c r="Y59" s="122"/>
      <c r="Z59" s="122"/>
      <c r="AA59" s="122"/>
      <c r="AB59" s="122"/>
      <c r="AC59" s="122"/>
      <c r="AD59" s="55"/>
      <c r="AE59" s="43"/>
    </row>
    <row r="60" spans="2:31">
      <c r="B60" s="42"/>
      <c r="C60" s="95"/>
      <c r="D60" s="122"/>
      <c r="E60" s="66"/>
      <c r="F60" s="93"/>
      <c r="G60" s="87"/>
      <c r="H60" s="122"/>
      <c r="I60" s="122"/>
      <c r="J60" s="122"/>
      <c r="K60" s="122"/>
      <c r="L60" s="62"/>
      <c r="M60" s="122"/>
      <c r="N60" s="122"/>
      <c r="O60" s="122"/>
      <c r="P60" s="122"/>
      <c r="Q60" s="122"/>
      <c r="R60" s="122"/>
      <c r="S60" s="122"/>
      <c r="T60" s="122"/>
      <c r="U60" s="122"/>
      <c r="V60" s="122"/>
      <c r="W60" s="122"/>
      <c r="X60" s="122"/>
      <c r="Y60" s="122"/>
      <c r="Z60" s="122"/>
      <c r="AA60" s="122"/>
      <c r="AB60" s="122"/>
      <c r="AC60" s="122"/>
      <c r="AD60" s="55"/>
      <c r="AE60" s="43"/>
    </row>
    <row r="61" spans="2:31">
      <c r="B61" s="42"/>
      <c r="C61" s="95"/>
      <c r="D61" s="122"/>
      <c r="E61" s="66"/>
      <c r="F61" s="93"/>
      <c r="G61" s="82"/>
      <c r="H61" s="122"/>
      <c r="I61" s="122"/>
      <c r="J61" s="122"/>
      <c r="K61" s="122"/>
      <c r="L61" s="62"/>
      <c r="M61" s="122"/>
      <c r="N61" s="122"/>
      <c r="O61" s="122"/>
      <c r="P61" s="122"/>
      <c r="Q61" s="122"/>
      <c r="R61" s="122"/>
      <c r="S61" s="122"/>
      <c r="T61" s="122"/>
      <c r="U61" s="122"/>
      <c r="V61" s="122"/>
      <c r="W61" s="122"/>
      <c r="X61" s="122"/>
      <c r="Y61" s="122"/>
      <c r="Z61" s="122"/>
      <c r="AA61" s="122"/>
      <c r="AB61" s="122"/>
      <c r="AC61" s="122"/>
      <c r="AD61" s="55"/>
      <c r="AE61" s="43"/>
    </row>
    <row r="62" spans="2:31">
      <c r="B62" s="42"/>
      <c r="C62" s="99"/>
      <c r="D62" s="58"/>
      <c r="E62" s="67"/>
      <c r="F62" s="94"/>
      <c r="G62" s="61"/>
      <c r="H62" s="58"/>
      <c r="I62" s="58"/>
      <c r="J62" s="58"/>
      <c r="K62" s="58"/>
      <c r="L62" s="64"/>
      <c r="M62" s="58"/>
      <c r="N62" s="58"/>
      <c r="O62" s="58"/>
      <c r="P62" s="58"/>
      <c r="Q62" s="58"/>
      <c r="R62" s="58"/>
      <c r="S62" s="58"/>
      <c r="T62" s="58"/>
      <c r="U62" s="58"/>
      <c r="V62" s="58"/>
      <c r="W62" s="58"/>
      <c r="X62" s="58"/>
      <c r="Y62" s="58"/>
      <c r="Z62" s="58"/>
      <c r="AA62" s="58"/>
      <c r="AB62" s="58"/>
      <c r="AC62" s="58"/>
      <c r="AD62" s="59"/>
      <c r="AE62" s="43"/>
    </row>
    <row r="63" spans="2:31">
      <c r="B63" s="42"/>
      <c r="C63" s="122"/>
      <c r="D63" s="122"/>
      <c r="E63" s="122"/>
      <c r="F63" s="123"/>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43"/>
    </row>
    <row r="64" spans="2:31" s="122" customFormat="1" ht="17">
      <c r="B64" s="42"/>
      <c r="C64" s="96" t="s">
        <v>13</v>
      </c>
      <c r="D64" s="124">
        <f>F67</f>
        <v>8.7224999999999994E-3</v>
      </c>
      <c r="E64" s="68" t="s">
        <v>14</v>
      </c>
      <c r="F64" s="92" t="s">
        <v>140</v>
      </c>
      <c r="G64" s="86" t="s">
        <v>138</v>
      </c>
      <c r="H64" s="53" t="s">
        <v>136</v>
      </c>
      <c r="I64" s="53"/>
      <c r="J64" s="53"/>
      <c r="K64" s="53"/>
      <c r="L64" s="63"/>
      <c r="M64" s="53"/>
      <c r="N64" s="53"/>
      <c r="O64" s="53"/>
      <c r="P64" s="53"/>
      <c r="Q64" s="53"/>
      <c r="R64" s="53"/>
      <c r="S64" s="53"/>
      <c r="T64" s="53"/>
      <c r="U64" s="53"/>
      <c r="V64" s="53"/>
      <c r="W64" s="53"/>
      <c r="X64" s="53"/>
      <c r="Y64" s="53"/>
      <c r="Z64" s="53"/>
      <c r="AA64" s="53"/>
      <c r="AB64" s="53"/>
      <c r="AC64" s="53"/>
      <c r="AD64" s="54"/>
      <c r="AE64" s="43"/>
    </row>
    <row r="65" spans="2:31" ht="17">
      <c r="B65" s="42"/>
      <c r="C65" s="97"/>
      <c r="D65" s="127"/>
      <c r="E65" s="66"/>
      <c r="F65" s="93" t="s">
        <v>139</v>
      </c>
      <c r="G65" s="87"/>
      <c r="H65" s="122"/>
      <c r="I65" s="122"/>
      <c r="J65" s="122"/>
      <c r="K65" s="122"/>
      <c r="L65" s="62"/>
      <c r="M65" s="122"/>
      <c r="N65" s="122"/>
      <c r="O65" s="122"/>
      <c r="P65" s="122"/>
      <c r="Q65" s="122"/>
      <c r="R65" s="122"/>
      <c r="S65" s="122"/>
      <c r="T65" s="122"/>
      <c r="U65" s="122"/>
      <c r="V65" s="122"/>
      <c r="W65" s="122"/>
      <c r="X65" s="122"/>
      <c r="Y65" s="122"/>
      <c r="Z65" s="122"/>
      <c r="AA65" s="122"/>
      <c r="AB65" s="122"/>
      <c r="AC65" s="122"/>
      <c r="AD65" s="55"/>
      <c r="AE65" s="43"/>
    </row>
    <row r="66" spans="2:31" ht="68">
      <c r="B66" s="42"/>
      <c r="C66" s="95"/>
      <c r="D66" s="122"/>
      <c r="E66" s="66"/>
      <c r="F66" s="93" t="s">
        <v>141</v>
      </c>
      <c r="G66" s="87"/>
      <c r="H66" s="122"/>
      <c r="I66" s="122"/>
      <c r="J66" s="122"/>
      <c r="K66" s="122"/>
      <c r="L66" s="62"/>
      <c r="M66" s="122"/>
      <c r="N66" s="122"/>
      <c r="O66" s="122"/>
      <c r="P66" s="122"/>
      <c r="Q66" s="122"/>
      <c r="R66" s="122"/>
      <c r="S66" s="122"/>
      <c r="T66" s="122"/>
      <c r="U66" s="122"/>
      <c r="V66" s="122"/>
      <c r="W66" s="122"/>
      <c r="X66" s="122"/>
      <c r="Y66" s="122"/>
      <c r="Z66" s="122"/>
      <c r="AA66" s="122"/>
      <c r="AB66" s="122"/>
      <c r="AC66" s="122"/>
      <c r="AD66" s="55"/>
      <c r="AE66" s="43"/>
    </row>
    <row r="67" spans="2:31">
      <c r="B67" s="42"/>
      <c r="C67" s="95"/>
      <c r="D67" s="122"/>
      <c r="E67" s="66"/>
      <c r="F67" s="125">
        <f xml:space="preserve"> 1.163*150*50/10^6</f>
        <v>8.7224999999999994E-3</v>
      </c>
      <c r="G67" s="82"/>
      <c r="H67" s="122"/>
      <c r="I67" s="122"/>
      <c r="J67" s="122"/>
      <c r="K67" s="122"/>
      <c r="L67" s="62"/>
      <c r="M67" s="122"/>
      <c r="N67" s="122"/>
      <c r="O67" s="122"/>
      <c r="P67" s="122"/>
      <c r="Q67" s="122"/>
      <c r="R67" s="122"/>
      <c r="S67" s="122"/>
      <c r="T67" s="122"/>
      <c r="U67" s="122"/>
      <c r="V67" s="122"/>
      <c r="W67" s="122"/>
      <c r="X67" s="122"/>
      <c r="Y67" s="122"/>
      <c r="Z67" s="122"/>
      <c r="AA67" s="122"/>
      <c r="AB67" s="122"/>
      <c r="AC67" s="122"/>
      <c r="AD67" s="55"/>
      <c r="AE67" s="43"/>
    </row>
    <row r="68" spans="2:31">
      <c r="B68" s="42"/>
      <c r="C68" s="99"/>
      <c r="D68" s="58"/>
      <c r="E68" s="67"/>
      <c r="F68" s="94"/>
      <c r="G68" s="61"/>
      <c r="H68" s="58"/>
      <c r="I68" s="58"/>
      <c r="J68" s="58"/>
      <c r="K68" s="58"/>
      <c r="L68" s="64"/>
      <c r="M68" s="58"/>
      <c r="N68" s="58"/>
      <c r="O68" s="58"/>
      <c r="P68" s="58"/>
      <c r="Q68" s="58"/>
      <c r="R68" s="58"/>
      <c r="S68" s="58"/>
      <c r="T68" s="58"/>
      <c r="U68" s="58"/>
      <c r="V68" s="58"/>
      <c r="W68" s="58"/>
      <c r="X68" s="58"/>
      <c r="Y68" s="58"/>
      <c r="Z68" s="58"/>
      <c r="AA68" s="58"/>
      <c r="AB68" s="58"/>
      <c r="AC68" s="58"/>
      <c r="AD68" s="59"/>
      <c r="AE68" s="43"/>
    </row>
    <row r="69" spans="2:31">
      <c r="B69" s="4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43"/>
    </row>
    <row r="70" spans="2:31" ht="17" thickBot="1">
      <c r="B70" s="4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45"/>
    </row>
  </sheetData>
  <mergeCells count="4">
    <mergeCell ref="F31:F44"/>
    <mergeCell ref="F4:F14"/>
    <mergeCell ref="F16:F29"/>
    <mergeCell ref="F48:F5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ea20d7-b07c-4b8c-910d-061b36a62ee7">
      <Terms xmlns="http://schemas.microsoft.com/office/infopath/2007/PartnerControls"/>
    </lcf76f155ced4ddcb4097134ff3c332f>
    <TaxCatchAll xmlns="8ea8976e-b461-4dc7-a1f6-93425136281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76FF306601E54A9190474F965DF301" ma:contentTypeVersion="16" ma:contentTypeDescription="Create a new document." ma:contentTypeScope="" ma:versionID="ef6a82be5b3fcae584fd3133aec49bd3">
  <xsd:schema xmlns:xsd="http://www.w3.org/2001/XMLSchema" xmlns:xs="http://www.w3.org/2001/XMLSchema" xmlns:p="http://schemas.microsoft.com/office/2006/metadata/properties" xmlns:ns2="26ea20d7-b07c-4b8c-910d-061b36a62ee7" xmlns:ns3="8ea8976e-b461-4dc7-a1f6-93425136281f" targetNamespace="http://schemas.microsoft.com/office/2006/metadata/properties" ma:root="true" ma:fieldsID="e0efb51e8ed5e3280588dc7f56b24b79" ns2:_="" ns3:_="">
    <xsd:import namespace="26ea20d7-b07c-4b8c-910d-061b36a62ee7"/>
    <xsd:import namespace="8ea8976e-b461-4dc7-a1f6-9342513628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a20d7-b07c-4b8c-910d-061b36a62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1aa8d75-97ee-4a6e-a682-6298985b5c9e"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a8976e-b461-4dc7-a1f6-93425136281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3fa1f66-9166-4d51-a9dc-77dbf5e90cce}" ma:internalName="TaxCatchAll" ma:showField="CatchAllData" ma:web="8ea8976e-b461-4dc7-a1f6-93425136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242B6A-2C4B-4142-B2E7-3634092A4249}">
  <ds:schemaRefs>
    <ds:schemaRef ds:uri="http://schemas.microsoft.com/sharepoint/v3/contenttype/forms"/>
  </ds:schemaRefs>
</ds:datastoreItem>
</file>

<file path=customXml/itemProps2.xml><?xml version="1.0" encoding="utf-8"?>
<ds:datastoreItem xmlns:ds="http://schemas.openxmlformats.org/officeDocument/2006/customXml" ds:itemID="{3431F30F-4767-42F3-B6CA-CBBB67480D65}">
  <ds:schemaRefs>
    <ds:schemaRef ds:uri="http://purl.org/dc/elements/1.1/"/>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schemas.microsoft.com/office/2006/metadata/properties"/>
    <ds:schemaRef ds:uri="26ea20d7-b07c-4b8c-910d-061b36a62ee7"/>
    <ds:schemaRef ds:uri="8ea8976e-b461-4dc7-a1f6-93425136281f"/>
    <ds:schemaRef ds:uri="http://www.w3.org/XML/1998/namespace"/>
    <ds:schemaRef ds:uri="http://purl.org/dc/terms/"/>
  </ds:schemaRefs>
</ds:datastoreItem>
</file>

<file path=customXml/itemProps3.xml><?xml version="1.0" encoding="utf-8"?>
<ds:datastoreItem xmlns:ds="http://schemas.openxmlformats.org/officeDocument/2006/customXml" ds:itemID="{AD21FE06-2EF2-4042-A8CF-52E18F39E9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a20d7-b07c-4b8c-910d-061b36a62ee7"/>
    <ds:schemaRef ds:uri="8ea8976e-b461-4dc7-a1f6-93425136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Sources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Mathijs Bijkerk</dc:creator>
  <cp:lastModifiedBy>Jort Wolda</cp:lastModifiedBy>
  <dcterms:created xsi:type="dcterms:W3CDTF">2026-08-13T16:00:32Z</dcterms:created>
  <dcterms:modified xsi:type="dcterms:W3CDTF">2026-08-20T08:18:29Z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0x010100FB76FF306601E54A9190474F965DF301</vt:lpwstr>
  </property>
  <property fmtid="{D5CDD505-2E9C-101B-9397-08002B2CF9AE}" pid="3" name="MediaServiceImageTags">
    <vt:lpwstr/>
  </property>
</Properties>
</file>