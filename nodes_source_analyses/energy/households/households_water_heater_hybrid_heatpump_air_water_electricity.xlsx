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jortwolda/Desktop/Quintel/etdataset/nodes_source_analyses/energy/households/"/>
    </mc:Choice>
  </mc:AlternateContent>
  <xr:revisionPtr revIDLastSave="0" documentId="13_ncr:1_{1FADDA1E-E33D-4042-B3F9-6551A4D32DB3}" xr6:coauthVersionLast="47" xr6:coauthVersionMax="47" xr10:uidLastSave="{00000000-0000-0000-0000-000000000000}"/>
  <bookViews>
    <workbookView xWindow="0" yWindow="660" windowWidth="29400" windowHeight="18460" xr2:uid="{A1272A0A-2295-F242-B379-D968EB1AC513}"/>
  </bookViews>
  <sheets>
    <sheet name="Dashboard" sheetId="1" r:id="rId1"/>
    <sheet name="Sources" sheetId="4" r:id="rId2"/>
    <sheet name="Analysis" sheetId="9" r:id="rId3"/>
  </sheets>
  <externalReferences>
    <externalReference r:id="rId4"/>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2" i="1" l="1"/>
  <c r="D34" i="9"/>
  <c r="E17" i="1"/>
  <c r="E14" i="1"/>
  <c r="D35" i="9"/>
  <c r="AH23" i="9"/>
  <c r="AJ22" i="9"/>
  <c r="AK22" i="9" s="1"/>
  <c r="E12" i="1"/>
  <c r="E15" i="1"/>
  <c r="AH24" i="9" l="1"/>
  <c r="AJ23" i="9"/>
  <c r="AK23" i="9" s="1"/>
  <c r="AJ24" i="9"/>
  <c r="AK24" i="9" s="1"/>
  <c r="AH25" i="9"/>
  <c r="AJ25" i="9" l="1"/>
  <c r="AK25" i="9" s="1"/>
  <c r="AH26" i="9"/>
  <c r="AJ26" i="9" l="1"/>
  <c r="AK26" i="9" s="1"/>
  <c r="AH27" i="9"/>
  <c r="AJ27" i="9" l="1"/>
  <c r="AK27" i="9" s="1"/>
  <c r="AH28" i="9"/>
  <c r="AJ28" i="9" l="1"/>
  <c r="AK28" i="9" s="1"/>
  <c r="AH29" i="9"/>
  <c r="AJ29" i="9" l="1"/>
  <c r="AK29" i="9" s="1"/>
  <c r="AH30" i="9"/>
  <c r="AJ30" i="9" l="1"/>
  <c r="AK30" i="9" s="1"/>
  <c r="AH31" i="9"/>
  <c r="AJ31" i="9" l="1"/>
  <c r="AK31" i="9" s="1"/>
  <c r="AH32" i="9"/>
  <c r="AJ32" i="9" l="1"/>
  <c r="AK32" i="9" s="1"/>
  <c r="AL32" i="9" s="1"/>
  <c r="AH33" i="9"/>
  <c r="D19" i="9" l="1"/>
  <c r="E13" i="1" s="1"/>
  <c r="AJ33" i="9"/>
  <c r="AK33" i="9" s="1"/>
  <c r="AH34" i="9"/>
  <c r="AJ34" i="9" l="1"/>
  <c r="AK34" i="9" s="1"/>
  <c r="AH35" i="9"/>
  <c r="AJ35" i="9" l="1"/>
  <c r="AK35" i="9" s="1"/>
  <c r="AH36" i="9"/>
  <c r="AJ36" i="9" l="1"/>
  <c r="AK36" i="9" s="1"/>
  <c r="AH37" i="9"/>
  <c r="AJ37" i="9" l="1"/>
  <c r="AK37" i="9" s="1"/>
  <c r="AH38" i="9"/>
  <c r="AJ38" i="9" l="1"/>
  <c r="AK38" i="9" s="1"/>
  <c r="AH39" i="9"/>
  <c r="AJ39" i="9" l="1"/>
  <c r="AK39" i="9" s="1"/>
  <c r="AH40" i="9"/>
  <c r="AJ40" i="9" l="1"/>
  <c r="AK40" i="9" s="1"/>
  <c r="AH41" i="9"/>
  <c r="AJ41" i="9" l="1"/>
  <c r="AK41" i="9" s="1"/>
  <c r="AH42" i="9"/>
  <c r="AJ42" i="9" l="1"/>
  <c r="AK42" i="9" s="1"/>
  <c r="AH43" i="9"/>
  <c r="AJ43" i="9" l="1"/>
  <c r="AK43" i="9" s="1"/>
  <c r="AH44" i="9"/>
  <c r="AJ44" i="9" l="1"/>
  <c r="AK44" i="9" s="1"/>
  <c r="AH45" i="9"/>
  <c r="AJ45" i="9" l="1"/>
  <c r="AK45" i="9" s="1"/>
  <c r="AH46" i="9"/>
  <c r="AJ46" i="9" l="1"/>
  <c r="AK46" i="9" s="1"/>
  <c r="AH47" i="9"/>
  <c r="AJ47" i="9" s="1"/>
  <c r="AK47" i="9" s="1"/>
  <c r="AK49" i="9" s="1"/>
  <c r="D20" i="9" l="1"/>
  <c r="AL31" i="9"/>
  <c r="AL30" i="9" s="1"/>
  <c r="AL29" i="9" s="1"/>
  <c r="AL28" i="9" s="1"/>
  <c r="AL27" i="9" s="1"/>
  <c r="AL26" i="9" s="1"/>
  <c r="AL25" i="9" s="1"/>
  <c r="AL24" i="9" s="1"/>
  <c r="AL23" i="9" s="1"/>
  <c r="AL22" i="9" s="1"/>
  <c r="AL33" i="9"/>
  <c r="AL34" i="9" s="1"/>
  <c r="AL35" i="9" s="1"/>
  <c r="AL36" i="9" s="1"/>
  <c r="AL37" i="9" s="1"/>
  <c r="AL38" i="9" s="1"/>
  <c r="AL39" i="9" s="1"/>
  <c r="AL40" i="9" s="1"/>
  <c r="AL41" i="9" s="1"/>
  <c r="AL42" i="9" s="1"/>
  <c r="AL43" i="9" s="1"/>
  <c r="AL44" i="9" s="1"/>
  <c r="AL45" i="9" s="1"/>
  <c r="AL46" i="9" s="1"/>
  <c r="AL47" i="9" s="1"/>
</calcChain>
</file>

<file path=xl/sharedStrings.xml><?xml version="1.0" encoding="utf-8"?>
<sst xmlns="http://schemas.openxmlformats.org/spreadsheetml/2006/main" count="203" uniqueCount="132">
  <si>
    <t>Attribute</t>
  </si>
  <si>
    <t>Unit</t>
  </si>
  <si>
    <t>Value</t>
  </si>
  <si>
    <t>Definition</t>
  </si>
  <si>
    <t>Source</t>
  </si>
  <si>
    <t>Technical</t>
  </si>
  <si>
    <t>-</t>
  </si>
  <si>
    <t>fever.base_cop</t>
  </si>
  <si>
    <t>fever.capacity.electricity</t>
  </si>
  <si>
    <t>fever.cop_per_degree</t>
  </si>
  <si>
    <t>storage.volume</t>
  </si>
  <si>
    <t>MWh</t>
  </si>
  <si>
    <t>storage.cost_per_mwh</t>
  </si>
  <si>
    <t>availability</t>
  </si>
  <si>
    <t>full_load_hours</t>
  </si>
  <si>
    <t>households_supplied_per_unit</t>
  </si>
  <si>
    <t>MW</t>
  </si>
  <si>
    <t>heat_output_capacity</t>
  </si>
  <si>
    <t>Heat output capacity</t>
  </si>
  <si>
    <t>Cost</t>
  </si>
  <si>
    <t>initial_investment</t>
  </si>
  <si>
    <t>euro</t>
  </si>
  <si>
    <t>Initial investment costs</t>
  </si>
  <si>
    <t>ccs_investment</t>
  </si>
  <si>
    <t>Investment cost with ccs</t>
  </si>
  <si>
    <t>cost_of_installing</t>
  </si>
  <si>
    <t>Installation cost</t>
  </si>
  <si>
    <t>decommissioning_costs</t>
  </si>
  <si>
    <t>fixed_operation_and_maintenance_costs_per_year</t>
  </si>
  <si>
    <t>euro/year</t>
  </si>
  <si>
    <t>Fixed operational and maintenance costs per year</t>
  </si>
  <si>
    <t>variable_operation_and_maintenance_costs_per_full_load_hour</t>
  </si>
  <si>
    <t>euro/FLH</t>
  </si>
  <si>
    <t>Variable operational and maintenance costs</t>
  </si>
  <si>
    <t>variable_operation_and_maintenance_costs_for_ccs_per_full_load_hour</t>
  </si>
  <si>
    <t>Variable operational and maintenance costs for ccs</t>
  </si>
  <si>
    <t>wacc</t>
  </si>
  <si>
    <t>%</t>
  </si>
  <si>
    <t>takes_part_in_ets</t>
  </si>
  <si>
    <t>yes=1, no=0</t>
  </si>
  <si>
    <t>eur0/MWh</t>
  </si>
  <si>
    <t>Other</t>
  </si>
  <si>
    <t>construction_time</t>
  </si>
  <si>
    <t>years</t>
  </si>
  <si>
    <t xml:space="preserve">Construction time of the plant </t>
  </si>
  <si>
    <t>technical_lifetime</t>
  </si>
  <si>
    <t>Technical lifetime of the plant</t>
  </si>
  <si>
    <t>free_co2_factor</t>
  </si>
  <si>
    <t xml:space="preserve">Decommissioning cost </t>
  </si>
  <si>
    <t>Author</t>
  </si>
  <si>
    <t>Node</t>
  </si>
  <si>
    <t>Organisation</t>
  </si>
  <si>
    <t>Quintel</t>
  </si>
  <si>
    <t>Description</t>
  </si>
  <si>
    <t>Published year</t>
  </si>
  <si>
    <t>Subject year</t>
  </si>
  <si>
    <t>Retreived year</t>
  </si>
  <si>
    <t>Link</t>
  </si>
  <si>
    <t>Subject country</t>
  </si>
  <si>
    <t>NL</t>
  </si>
  <si>
    <t>Title</t>
  </si>
  <si>
    <t>Author / organisation</t>
  </si>
  <si>
    <t>Variables</t>
  </si>
  <si>
    <t>value</t>
  </si>
  <si>
    <t>variable</t>
  </si>
  <si>
    <t>unit</t>
  </si>
  <si>
    <t>comment</t>
  </si>
  <si>
    <t>source</t>
  </si>
  <si>
    <t>Quintel assumption, see https://docs.energytransitionmodel.com/main/cost-wacc/</t>
  </si>
  <si>
    <t>Quintel assumption</t>
  </si>
  <si>
    <t>Note: "published year" might deviate from "subject year". For example, a study can be published in 2024 about costs parameters in 2020.</t>
  </si>
  <si>
    <r>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r>
    <r>
      <rPr>
        <i/>
        <sz val="12"/>
        <color rgb="FF000000"/>
        <rFont val="Aptos Narrow"/>
        <scheme val="minor"/>
      </rPr>
      <t>Note: in the final dashboard values, use ROUND to avoid long floats.</t>
    </r>
    <r>
      <rPr>
        <sz val="12"/>
        <color rgb="FF000000"/>
        <rFont val="Aptos Narrow"/>
        <scheme val="minor"/>
      </rPr>
      <t xml:space="preserve">
</t>
    </r>
  </si>
  <si>
    <t>https://pdf.sciencedirectassets.com/271429/1-s2.0-S0306261924X00148/1-s2.0-S0306261924010304/main.pdf?X-Amz-Security-Token=IQoJb3JpZ2luX2VjEDcaCXVzLWVhc3QtMSJHMEUCIDayx60tWfHNKXVVv8qS6t7aPyy1YM%2BiBAF7FCuifT67AiEAuYqhuC5gy%2FAawde7fGCHiyLrCKGdXwEYRSiojbmpQdMqvAUI%2F%2F%2F%2F%2F%2F%2F%2F%2F%2F%2F%2FARAFGgwwNTkwMDM1NDY4NjUiDOxvvumY1HhRiHczdCqQBRl5ICXGeg74c%2B%2BGt6IdqbTCtLh0Cu69IR5DEAACTsA%2FYwbWrgDr%2BzXwqBDPa6GZ8rgoLiR9YP9HwXG8g%2FsR0yi1Kld1R%2B%2FWY4sYSSMxxVoJmr9SAtWFnzKuv3LwQ0U2Adpceq1YsXSRwmaVFGy7fk389lcW%2Fx0PaB8USbARFUz8p03pCT3wcy8uXWXyCUsRNl6eN2pTmmamMv3RKEWuw3extsuoc3KfxXjb1TvnEDTIgZx1P8BYBcpoGfOuxdPLkVGa8bhbYyZ3HVNKrf7pzMaq17fTLj4PtFdLFyyhuxiXNV3Vv%2BnsdmEbZhPvp99m3lYJsMRX7bHAtXdbw661dYT3M%2BPCe%2B2kJQwMikZxWfs%2FihlZaEbdIlQpMbfX7xST6xM%2BeeEEIvV%2ByABbJ5kxzBBjHzbJtSk%2FN4YhVLoyXDdq1LEenN5CVcFf0YztFQk8SMQoMi%2BAhVpoSV3LUK5DFisHXeXWMHsc3QUDM9XFp26Y1GovhZJ%2FijGUhgTn%2FTC00qogUqGKkhG8ws4pnu94DzqgWxmVjyWX%2FqX30i6fDPpUxSHKujCyTj8siOS1lTNWWz3UoZDFmz3frOI2ztMm%2FVfWe5OVeVblN87IRAYyyxJ5uKCv5C66BGzW4YUiIVBSFkFdv872uvoP5J61SJVs9v20T6SbGfxJM5LLK4KqvQHWYs4YCMzA%2BVEwwXF4hhZ8CVD4PK9cTnxzsdFLLFOkBdrcoYL4uEIaufqbnZthK%2FbpUrMgMYWi2jgW8wG4s9ipCWTg6R5bvu2Ds6Q3UmUo7CglQ%2FJD5ASTEHmqR%2BCGYqUNRAeH4YlHSwliIoR6X77fyWpfWOBygE8rtJa%2FtVr82LfTpIljxYkK79XYmiKV0ls9MPfA%2FNMGOrEBYjfBchqkKUY1si0EA8Zq2hP92hHujyBIqLntJvfEzpLLYb0g37kv5ohpd%2F6qPuxSJ3%2BhVhPJfzDptMtbBx3zUZ4IhdZMgyeZOemV8w1F17hV0fBa03MzuejvBr2JtTLZICTYLwr%2BH0yS3XH9QU13P7vE%2BPpZc5gSh9J9CBi%2FtIddCYJZ1A8g073sJV7VbQyodWrsmfyWIvppurgch2bZZGxtV3uCtxOjTIPHblTrWVX7&amp;X-Amz-Algorithm=AWS4-HMAC-SHA256&amp;X-Amz-Date=20260814T142629Z&amp;X-Amz-SignedHeaders=host&amp;X-Amz-Expires=300&amp;X-Amz-Credential=ASIAQ3PHCVTYQ7GBCDX4%2F20260814%2Fus-east-1%2Fs3%2Faws4_request&amp;X-Amz-Signature=f5505e1ab0c3d216f958b3dd2da6d768b974147a086a958ae13c8ff067f3f793&amp;hash=700ab74877321dbaa56e45a1d6afdbe3b6e32748e211e8ec3c9cab8c75cadcf4&amp;host=68042c943591013ac2b2430a89b270f6af2c76d8dfd086a07176afe7c76c2c61&amp;pii=S0306261924010304&amp;tid=spdf-df67c04d-858b-4d71-8345-3792de26f625&amp;sid=71107c3f109b914cd36b34220ded9018ec04gxrqb&amp;type=client&amp;tsoh=d3d3LnNjaWVuY2VkaXJlY3QuY29t&amp;rh=d3d3LnNjaWVuY2VkaXJlY3QuY29t&amp;ua=140a0653005505515b5757&amp;rr=a2b0a2864a59feb4&amp;cc=nl</t>
  </si>
  <si>
    <t xml:space="preserve">Impact of temperature dependent coefficient of performance of heat pumps on heating systems in national and regional energy systems modelling </t>
  </si>
  <si>
    <t>Bogdanov, Stymov, Breyer (LUT University)</t>
  </si>
  <si>
    <t>delta T</t>
  </si>
  <si>
    <t>COP</t>
  </si>
  <si>
    <r>
      <t>Test formule</t>
    </r>
    <r>
      <rPr>
        <sz val="12"/>
        <color theme="1"/>
        <rFont val="Aptos Narrow"/>
        <scheme val="minor"/>
      </rPr>
      <t xml:space="preserve"> (ASHP)</t>
    </r>
  </si>
  <si>
    <t>Base COP</t>
  </si>
  <si>
    <t>Average COP per degree</t>
  </si>
  <si>
    <t>COP (lineair aproximation)</t>
  </si>
  <si>
    <t>Outside temp</t>
  </si>
  <si>
    <t>Sink temp</t>
  </si>
  <si>
    <t>https://www.nature.com/articles/s41597-019-0199-y</t>
  </si>
  <si>
    <t xml:space="preserve">Ruhnau, O., Hirth, L. &amp; Praktiknjo, A. </t>
  </si>
  <si>
    <t>Time series of heat demand and heat pump efficiency for energy system modeling (When2Heat)</t>
  </si>
  <si>
    <t>CE Delft</t>
  </si>
  <si>
    <t>Jort Wolda</t>
  </si>
  <si>
    <t xml:space="preserve">https://kennisdelen.rvo.nl/file/download/a29e1ec4-ad00-4a5b-ba62-287ca7602ddf/Installatiemonitor_3_eindrapportage_v1.02.pdf </t>
  </si>
  <si>
    <t>BDH</t>
  </si>
  <si>
    <t>Installatiemonitor 3.0</t>
  </si>
  <si>
    <t>Installatiemonitor 3.0 - De warmtepomp in de gebouwde omgeving</t>
  </si>
  <si>
    <t>Screenshots</t>
  </si>
  <si>
    <t>Bogdanov et al. (2024)</t>
  </si>
  <si>
    <t>Ruhnau et al. (2019)</t>
  </si>
  <si>
    <t>Main source:</t>
  </si>
  <si>
    <t>Supporting source:</t>
  </si>
  <si>
    <t xml:space="preserve">https://www.sinclair-solutions.com/files/product-fiche/sinclair-prfi-shp-140ica-shp-140eca2.pdf </t>
  </si>
  <si>
    <t>Sinclair</t>
  </si>
  <si>
    <t>Sinclair SHP-140ICA + SHP-140ECA product fiche</t>
  </si>
  <si>
    <t>Installatiemonitor 3.0 &amp; Bofdanov et al. (2024)</t>
  </si>
  <si>
    <t>https://ce.nl/wp-content/uploads/2021/04/04_Factsheet-Luchtwarmtepomp_DEF.pdf</t>
  </si>
  <si>
    <t>Factsheet Luchtwarmtepomp</t>
  </si>
  <si>
    <t>Factsheet warmtepompen</t>
  </si>
  <si>
    <t>Factsheet luchtwarmtepomp</t>
  </si>
  <si>
    <t>fever.base_cop, fever.cop_per_degree, heat_output_capacity, fever.capacity.electricity</t>
  </si>
  <si>
    <t>fever.base_cop, fever.cop_per_degree</t>
  </si>
  <si>
    <t>output.useable_heat.ambient_heat</t>
  </si>
  <si>
    <t>output.useable_heat.electricity</t>
  </si>
  <si>
    <t>output.useable_heat.network_gas</t>
  </si>
  <si>
    <t>fever.capacity.network_gas</t>
  </si>
  <si>
    <t>fever.cop_cutoff</t>
  </si>
  <si>
    <t>Based on HR-107 condensing boiler - From households_space_heater_combined_network_gas - Vesta is used as source</t>
  </si>
  <si>
    <t>Covered more extensively there</t>
  </si>
  <si>
    <t>In general, capacity for central heating boilers are mostly related to the peak demand caused by tap water. So it makes sense to have the same value for here as tap water is coverd by the gas boiler.</t>
  </si>
  <si>
    <t>Quintel assumption (using several sources)</t>
  </si>
  <si>
    <t>Same assumptions as used in households_space_heater_combined_network_gas.converter.ad</t>
  </si>
  <si>
    <t>From households_water_heater_combined_network_gas</t>
  </si>
  <si>
    <t>Investment costs are covered at space heating</t>
  </si>
  <si>
    <t>fever.base_cop, fever.capacity.electricity, fever.cop_per_degree</t>
  </si>
  <si>
    <t>Weighted average cost of capital</t>
  </si>
  <si>
    <t>Bogdanov et al. (2024) give COP formulas as a function of delta T for air, ground and water source heat pumps. The formulas originate from Ruhnau et al. (2019), which used 2016 manufacturer data, but Bogdanov et al. updated the coefficients. The changes are small but the fact they're refised in 2024 improves credibility. While the formula has an exponential term, the curve is nearly linear in the relevant range (see chart).
These attributes should reproduce a SCOP broadly in line with the static value under typical conditions. Tap water installations have to heat up to at least 55 °C at the tap, which means the temperature at the tank must be slightly higher, at least. So, we'll use an estimated average of 60 °C. Combined with average outside temperature of ~10 °C a COP of 2.5 is found using the formula. Close to installatiemonitor values.
The COP per degree is derived from the average step between −10 and 15 °C outside temperature.</t>
  </si>
  <si>
    <t>Samenwerkende Drinkwaterbedrijven</t>
  </si>
  <si>
    <t>KNMI klimaatdashboard</t>
  </si>
  <si>
    <t xml:space="preserve">Efficiency is lower compared to the 107% that is used for space heating using network gas. The main difference is that because of higher temperature, the condensation doesn't occur. </t>
  </si>
  <si>
    <t>WARM TAPWATERINSTALLATIES Leidingontwerp, wachttijden, toestellen en temperatuurregeling</t>
  </si>
  <si>
    <t xml:space="preserve">https://www.infodwi.nl/media/50phiyot/concept-waterwerkblad-4-4a-december-2023_1.pdf </t>
  </si>
  <si>
    <t>Klimaatdashboard</t>
  </si>
  <si>
    <t>KNMI</t>
  </si>
  <si>
    <t>https://www.knmi.nl/klimaat#klimaatdashboard</t>
  </si>
  <si>
    <t>households_water_heater__hybrid_heatpump_air_water_electricity.ad</t>
  </si>
  <si>
    <r>
      <t xml:space="preserve">The average bivalence capacity* of hybrid heat pumps  in the </t>
    </r>
    <r>
      <rPr>
        <i/>
        <sz val="12"/>
        <color theme="1"/>
        <rFont val="Aptos Narrow (Hoofdtekst)"/>
      </rPr>
      <t>Installatiemonitor</t>
    </r>
    <r>
      <rPr>
        <sz val="12"/>
        <color theme="1"/>
        <rFont val="Aptos Narrow (Hoofdtekst)"/>
      </rPr>
      <t xml:space="preserve"> research was 4.6 kW.
The COP at bivalence capacity according to Bogdanov et al. (2024) is 2.7. Which is used to find the electrical capacity.
In practice either the gas boiler or the heat pump runs, not both at the same time. Therefore the heat_output_capacity is calculated based on the highest capacity of the two is used. The heat_output_capacity is aligned with the heat_output_capacity of the space heater. Therefore an efficiency of 1.07 is used instead of 0.90
</t>
    </r>
    <r>
      <rPr>
        <i/>
        <sz val="12"/>
        <color theme="1"/>
        <rFont val="Aptos Narrow (Hoofdtekst)"/>
      </rPr>
      <t xml:space="preserve">*The capacity of the heat pump at the lowest outdoor temperature point at which the heat pump is declared to have a capacity able to meet 100 % of the heating load without supplementary heater
This temperature is often around -7 °C as for the Sinclair SHP-140ICA + SHP-140ECA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</si>
</sst>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00"/>
  </numFmts>
  <fonts count="15">
    <font>
      <sz val="12"/>
      <color theme="1"/>
      <name val="Aptos Narrow"/>
      <family val="2"/>
      <scheme val="minor"/>
    </font>
    <font>
      <sz val="12"/>
      <color rgb="FF000000"/>
      <name val="Aptos Narrow"/>
      <scheme val="minor"/>
    </font>
    <font>
      <sz val="12"/>
      <color theme="1"/>
      <name val="Aptos Narrow"/>
      <scheme val="minor"/>
    </font>
    <font>
      <b/>
      <sz val="12"/>
      <color theme="1"/>
      <name val="Aptos Narrow"/>
      <scheme val="minor"/>
    </font>
    <font>
      <b/>
      <sz val="12"/>
      <color rgb="FF000000"/>
      <name val="Aptos Narrow"/>
      <scheme val="minor"/>
    </font>
    <font>
      <b/>
      <sz val="14"/>
      <color theme="1"/>
      <name val="Aptos Narrow"/>
      <scheme val="minor"/>
    </font>
    <font>
      <u/>
      <sz val="12"/>
      <color theme="10"/>
      <name val="Aptos Narrow"/>
      <family val="2"/>
      <scheme val="minor"/>
    </font>
    <font>
      <i/>
      <sz val="12"/>
      <color theme="1"/>
      <name val="Aptos Narrow"/>
      <scheme val="minor"/>
    </font>
    <font>
      <i/>
      <sz val="12"/>
      <color rgb="FF000000"/>
      <name val="Aptos Narrow"/>
      <scheme val="minor"/>
    </font>
    <font>
      <sz val="12"/>
      <color theme="1"/>
      <name val="Lettertype hoofdtekst"/>
      <family val="2"/>
    </font>
    <font>
      <sz val="12"/>
      <color theme="1"/>
      <name val="Aptos Narrow (Hoofdtekst)"/>
    </font>
    <font>
      <i/>
      <sz val="12"/>
      <color rgb="FFFF0000"/>
      <name val="Aptos Narrow"/>
      <scheme val="minor"/>
    </font>
    <font>
      <i/>
      <sz val="12"/>
      <color theme="1"/>
      <name val="Aptos Narrow (Hoofdtekst)"/>
    </font>
    <font>
      <sz val="12"/>
      <color theme="1"/>
      <name val="Aptos Narrow"/>
      <family val="2"/>
      <scheme val="minor"/>
    </font>
    <font>
      <sz val="12"/>
      <color rgb="FF00000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42">
    <border>
      <left/>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style="thin">
        <color auto="1"/>
      </bottom>
      <diagonal/>
    </border>
    <border>
      <left style="medium">
        <color auto="1"/>
      </left>
      <right/>
      <top/>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hair">
        <color indexed="64"/>
      </left>
      <right/>
      <top/>
      <bottom style="thin">
        <color auto="1"/>
      </bottom>
      <diagonal/>
    </border>
    <border>
      <left/>
      <right style="hair">
        <color indexed="64"/>
      </right>
      <top/>
      <bottom style="thin">
        <color auto="1"/>
      </bottom>
      <diagonal/>
    </border>
    <border>
      <left/>
      <right style="hair">
        <color indexed="64"/>
      </right>
      <top/>
      <bottom/>
      <diagonal/>
    </border>
    <border>
      <left/>
      <right style="hair">
        <color indexed="64"/>
      </right>
      <top style="thin">
        <color indexed="64"/>
      </top>
      <bottom/>
      <diagonal/>
    </border>
    <border>
      <left style="hair">
        <color indexed="64"/>
      </left>
      <right style="hair">
        <color indexed="64"/>
      </right>
      <top/>
      <bottom style="thin">
        <color auto="1"/>
      </bottom>
      <diagonal/>
    </border>
    <border>
      <left style="hair">
        <color indexed="64"/>
      </left>
      <right/>
      <top/>
      <bottom/>
      <diagonal/>
    </border>
    <border>
      <left style="hair">
        <color indexed="64"/>
      </left>
      <right/>
      <top style="thin">
        <color indexed="64"/>
      </top>
      <bottom/>
      <diagonal/>
    </border>
    <border>
      <left style="hair">
        <color indexed="64"/>
      </left>
      <right style="hair">
        <color indexed="64"/>
      </right>
      <top/>
      <bottom/>
      <diagonal/>
    </border>
    <border>
      <left style="hair">
        <color indexed="64"/>
      </left>
      <right style="hair">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dotted">
        <color indexed="64"/>
      </right>
      <top/>
      <bottom/>
      <diagonal/>
    </border>
    <border>
      <left style="dotted">
        <color indexed="64"/>
      </left>
      <right style="hair">
        <color indexed="64"/>
      </right>
      <top/>
      <bottom/>
      <diagonal/>
    </border>
    <border>
      <left style="dotted">
        <color indexed="64"/>
      </left>
      <right style="dotted">
        <color indexed="64"/>
      </right>
      <top style="thin">
        <color auto="1"/>
      </top>
      <bottom/>
      <diagonal/>
    </border>
  </borders>
  <cellStyleXfs count="3">
    <xf numFmtId="0" fontId="0" fillId="0" borderId="0"/>
    <xf numFmtId="0" fontId="6" fillId="0" borderId="0" applyNumberFormat="0" applyFill="0" applyBorder="0" applyAlignment="0" applyProtection="0"/>
    <xf numFmtId="0" fontId="9" fillId="0" borderId="0"/>
  </cellStyleXfs>
  <cellXfs count="124">
    <xf numFmtId="0" fontId="0" fillId="0" borderId="0" xfId="0"/>
    <xf numFmtId="0" fontId="2" fillId="2" borderId="0" xfId="0" applyFont="1" applyFill="1"/>
    <xf numFmtId="0" fontId="2" fillId="2" borderId="2" xfId="0" applyFont="1" applyFill="1" applyBorder="1"/>
    <xf numFmtId="0" fontId="3" fillId="2" borderId="3" xfId="0" applyFont="1" applyFill="1" applyBorder="1"/>
    <xf numFmtId="0" fontId="2" fillId="2" borderId="9" xfId="0" applyFont="1" applyFill="1" applyBorder="1"/>
    <xf numFmtId="0" fontId="3" fillId="2" borderId="4" xfId="0" applyFont="1" applyFill="1" applyBorder="1"/>
    <xf numFmtId="0" fontId="3" fillId="2" borderId="1" xfId="0" applyFont="1" applyFill="1" applyBorder="1"/>
    <xf numFmtId="0" fontId="4" fillId="2" borderId="1" xfId="0" applyFont="1" applyFill="1" applyBorder="1"/>
    <xf numFmtId="0" fontId="5" fillId="2" borderId="10" xfId="0" applyFont="1" applyFill="1" applyBorder="1"/>
    <xf numFmtId="0" fontId="3" fillId="2" borderId="5" xfId="0" applyFont="1" applyFill="1" applyBorder="1"/>
    <xf numFmtId="0" fontId="3" fillId="2" borderId="0" xfId="0" applyFont="1" applyFill="1"/>
    <xf numFmtId="0" fontId="4" fillId="4" borderId="0" xfId="0" applyFont="1" applyFill="1"/>
    <xf numFmtId="0" fontId="5" fillId="2" borderId="11" xfId="0" applyFont="1" applyFill="1" applyBorder="1"/>
    <xf numFmtId="0" fontId="4" fillId="0" borderId="0" xfId="0" applyFont="1"/>
    <xf numFmtId="164" fontId="2" fillId="2" borderId="6" xfId="0" applyNumberFormat="1" applyFont="1" applyFill="1" applyBorder="1"/>
    <xf numFmtId="0" fontId="5" fillId="2" borderId="0" xfId="0" applyFont="1" applyFill="1"/>
    <xf numFmtId="0" fontId="2" fillId="0" borderId="0" xfId="0" applyFont="1"/>
    <xf numFmtId="0" fontId="3" fillId="0" borderId="0" xfId="0" applyFont="1"/>
    <xf numFmtId="0" fontId="2" fillId="2" borderId="6" xfId="0" applyFont="1" applyFill="1" applyBorder="1"/>
    <xf numFmtId="165" fontId="2" fillId="2" borderId="6" xfId="0" applyNumberFormat="1" applyFont="1" applyFill="1" applyBorder="1"/>
    <xf numFmtId="49" fontId="2" fillId="2" borderId="0" xfId="0" applyNumberFormat="1" applyFont="1" applyFill="1"/>
    <xf numFmtId="166" fontId="2" fillId="2" borderId="6" xfId="0" applyNumberFormat="1" applyFont="1" applyFill="1" applyBorder="1"/>
    <xf numFmtId="0" fontId="1" fillId="0" borderId="0" xfId="0" applyFont="1"/>
    <xf numFmtId="0" fontId="2" fillId="2" borderId="5" xfId="0" applyFont="1" applyFill="1" applyBorder="1"/>
    <xf numFmtId="0" fontId="2" fillId="2" borderId="11" xfId="0" applyFont="1" applyFill="1" applyBorder="1"/>
    <xf numFmtId="0" fontId="1" fillId="2" borderId="0" xfId="0" applyFont="1" applyFill="1"/>
    <xf numFmtId="2" fontId="2" fillId="2" borderId="0" xfId="0" applyNumberFormat="1" applyFont="1" applyFill="1"/>
    <xf numFmtId="2" fontId="2" fillId="0" borderId="6" xfId="0" applyNumberFormat="1" applyFont="1" applyBorder="1"/>
    <xf numFmtId="0" fontId="2" fillId="2" borderId="7" xfId="0" applyFont="1" applyFill="1" applyBorder="1"/>
    <xf numFmtId="0" fontId="2" fillId="2" borderId="8" xfId="0" applyFont="1" applyFill="1" applyBorder="1"/>
    <xf numFmtId="0" fontId="2" fillId="2" borderId="12" xfId="0" applyFont="1" applyFill="1" applyBorder="1"/>
    <xf numFmtId="0" fontId="3" fillId="2" borderId="2" xfId="0" applyFont="1" applyFill="1" applyBorder="1"/>
    <xf numFmtId="0" fontId="2" fillId="2" borderId="3" xfId="0" applyFont="1" applyFill="1" applyBorder="1"/>
    <xf numFmtId="0" fontId="0" fillId="2" borderId="0" xfId="0" applyFill="1"/>
    <xf numFmtId="0" fontId="0" fillId="2" borderId="8" xfId="0" applyFill="1" applyBorder="1"/>
    <xf numFmtId="0" fontId="3" fillId="2" borderId="7" xfId="0" applyFont="1" applyFill="1" applyBorder="1" applyAlignment="1">
      <alignment vertical="top"/>
    </xf>
    <xf numFmtId="0" fontId="2" fillId="2" borderId="8" xfId="0" applyFont="1" applyFill="1" applyBorder="1" applyAlignment="1">
      <alignment vertical="top"/>
    </xf>
    <xf numFmtId="0" fontId="0" fillId="2" borderId="2" xfId="0" applyFill="1" applyBorder="1"/>
    <xf numFmtId="0" fontId="0" fillId="2" borderId="3" xfId="0" applyFill="1" applyBorder="1"/>
    <xf numFmtId="0" fontId="0" fillId="2" borderId="9" xfId="0" applyFill="1" applyBorder="1"/>
    <xf numFmtId="0" fontId="0" fillId="2" borderId="4" xfId="0" applyFill="1" applyBorder="1"/>
    <xf numFmtId="0" fontId="0" fillId="2" borderId="10" xfId="0" applyFill="1" applyBorder="1"/>
    <xf numFmtId="0" fontId="0" fillId="2" borderId="5" xfId="0" applyFill="1" applyBorder="1"/>
    <xf numFmtId="0" fontId="0" fillId="2" borderId="11" xfId="0" applyFill="1" applyBorder="1"/>
    <xf numFmtId="0" fontId="0" fillId="2" borderId="7" xfId="0" applyFill="1" applyBorder="1"/>
    <xf numFmtId="0" fontId="0" fillId="2" borderId="12" xfId="0" applyFill="1" applyBorder="1"/>
    <xf numFmtId="0" fontId="0" fillId="2" borderId="0" xfId="0" applyFill="1" applyAlignment="1">
      <alignment horizontal="center"/>
    </xf>
    <xf numFmtId="0" fontId="0" fillId="2" borderId="3" xfId="0" applyFill="1" applyBorder="1" applyAlignment="1">
      <alignment horizontal="center"/>
    </xf>
    <xf numFmtId="0" fontId="3" fillId="2" borderId="1" xfId="0" applyFont="1" applyFill="1" applyBorder="1" applyAlignment="1">
      <alignment horizontal="center" wrapText="1"/>
    </xf>
    <xf numFmtId="0" fontId="0" fillId="2" borderId="8" xfId="0" applyFill="1" applyBorder="1" applyAlignment="1">
      <alignment horizontal="center"/>
    </xf>
    <xf numFmtId="0" fontId="6" fillId="2" borderId="0" xfId="1" applyFill="1" applyBorder="1"/>
    <xf numFmtId="0" fontId="7" fillId="2" borderId="0" xfId="0" applyFont="1" applyFill="1"/>
    <xf numFmtId="2" fontId="0" fillId="2" borderId="15" xfId="0" applyNumberFormat="1" applyFill="1" applyBorder="1"/>
    <xf numFmtId="0" fontId="0" fillId="2" borderId="15" xfId="0" applyFill="1" applyBorder="1"/>
    <xf numFmtId="0" fontId="0" fillId="2" borderId="16" xfId="0" applyFill="1" applyBorder="1"/>
    <xf numFmtId="0" fontId="0" fillId="2" borderId="18" xfId="0" applyFill="1" applyBorder="1"/>
    <xf numFmtId="0" fontId="0" fillId="2" borderId="17" xfId="0" applyFill="1" applyBorder="1"/>
    <xf numFmtId="0" fontId="0" fillId="2" borderId="19" xfId="0" applyFill="1" applyBorder="1"/>
    <xf numFmtId="0" fontId="0" fillId="2" borderId="1" xfId="0" applyFill="1" applyBorder="1"/>
    <xf numFmtId="0" fontId="0" fillId="2" borderId="20" xfId="0" applyFill="1" applyBorder="1"/>
    <xf numFmtId="164" fontId="0" fillId="2" borderId="15" xfId="0" applyNumberFormat="1" applyFill="1" applyBorder="1"/>
    <xf numFmtId="0" fontId="0" fillId="2" borderId="27" xfId="0" applyFill="1" applyBorder="1"/>
    <xf numFmtId="0" fontId="0" fillId="2" borderId="29" xfId="0" applyFill="1" applyBorder="1"/>
    <xf numFmtId="0" fontId="0" fillId="2" borderId="30" xfId="0" applyFill="1" applyBorder="1"/>
    <xf numFmtId="0" fontId="0" fillId="2" borderId="28" xfId="0" applyFill="1" applyBorder="1"/>
    <xf numFmtId="0" fontId="0" fillId="2" borderId="32" xfId="0" applyFill="1" applyBorder="1"/>
    <xf numFmtId="0" fontId="0" fillId="2" borderId="34" xfId="0" applyFill="1" applyBorder="1"/>
    <xf numFmtId="0" fontId="0" fillId="2" borderId="31" xfId="0" applyFill="1" applyBorder="1"/>
    <xf numFmtId="0" fontId="0" fillId="2" borderId="35" xfId="0" applyFill="1" applyBorder="1"/>
    <xf numFmtId="0" fontId="0" fillId="2" borderId="14" xfId="0" applyFill="1" applyBorder="1"/>
    <xf numFmtId="0" fontId="0" fillId="2" borderId="36" xfId="0" applyFill="1" applyBorder="1"/>
    <xf numFmtId="0" fontId="0" fillId="2" borderId="37" xfId="0" applyFill="1" applyBorder="1"/>
    <xf numFmtId="0" fontId="0" fillId="2" borderId="38" xfId="0" applyFill="1" applyBorder="1"/>
    <xf numFmtId="0" fontId="11" fillId="2" borderId="0" xfId="0" applyFont="1" applyFill="1"/>
    <xf numFmtId="0" fontId="0" fillId="2" borderId="21" xfId="0" applyFill="1" applyBorder="1"/>
    <xf numFmtId="0" fontId="0" fillId="2" borderId="13" xfId="0" applyFill="1" applyBorder="1"/>
    <xf numFmtId="165" fontId="0" fillId="2" borderId="22" xfId="0" applyNumberFormat="1" applyFill="1" applyBorder="1"/>
    <xf numFmtId="165" fontId="0" fillId="2" borderId="21" xfId="0" applyNumberFormat="1" applyFill="1" applyBorder="1"/>
    <xf numFmtId="165" fontId="0" fillId="2" borderId="23" xfId="0" applyNumberFormat="1" applyFill="1" applyBorder="1"/>
    <xf numFmtId="0" fontId="10" fillId="2" borderId="32" xfId="1" applyFont="1" applyFill="1" applyBorder="1"/>
    <xf numFmtId="165" fontId="0" fillId="2" borderId="15" xfId="0" applyNumberFormat="1" applyFill="1" applyBorder="1"/>
    <xf numFmtId="165" fontId="0" fillId="2" borderId="1" xfId="0" applyNumberFormat="1" applyFill="1" applyBorder="1"/>
    <xf numFmtId="0" fontId="7" fillId="2" borderId="33" xfId="0" applyFont="1" applyFill="1" applyBorder="1" applyAlignment="1">
      <alignment vertical="top"/>
    </xf>
    <xf numFmtId="0" fontId="7" fillId="2" borderId="32" xfId="0" applyFont="1" applyFill="1" applyBorder="1"/>
    <xf numFmtId="0" fontId="11" fillId="2" borderId="17" xfId="0" applyFont="1" applyFill="1" applyBorder="1"/>
    <xf numFmtId="0" fontId="11" fillId="2" borderId="18" xfId="0" applyFont="1" applyFill="1" applyBorder="1"/>
    <xf numFmtId="165" fontId="11" fillId="2" borderId="22" xfId="0" applyNumberFormat="1" applyFont="1" applyFill="1" applyBorder="1"/>
    <xf numFmtId="0" fontId="10" fillId="2" borderId="35" xfId="0" applyFont="1" applyFill="1" applyBorder="1" applyAlignment="1">
      <alignment vertical="top" wrapText="1"/>
    </xf>
    <xf numFmtId="0" fontId="10" fillId="2" borderId="34" xfId="0" applyFont="1" applyFill="1" applyBorder="1" applyAlignment="1">
      <alignment vertical="top" wrapText="1"/>
    </xf>
    <xf numFmtId="0" fontId="10" fillId="2" borderId="31" xfId="0" applyFont="1" applyFill="1" applyBorder="1" applyAlignment="1">
      <alignment vertical="top" wrapText="1"/>
    </xf>
    <xf numFmtId="0" fontId="0" fillId="2" borderId="25" xfId="0" applyFill="1" applyBorder="1"/>
    <xf numFmtId="0" fontId="2" fillId="2" borderId="24" xfId="0" applyFont="1" applyFill="1" applyBorder="1" applyAlignment="1">
      <alignment vertical="top"/>
    </xf>
    <xf numFmtId="0" fontId="2" fillId="2" borderId="25" xfId="0" applyFont="1" applyFill="1" applyBorder="1" applyAlignment="1">
      <alignment vertical="top"/>
    </xf>
    <xf numFmtId="0" fontId="0" fillId="2" borderId="26" xfId="0" applyFill="1" applyBorder="1"/>
    <xf numFmtId="0" fontId="2" fillId="2" borderId="0" xfId="0" applyFont="1" applyFill="1" applyAlignment="1">
      <alignment vertical="top"/>
    </xf>
    <xf numFmtId="0" fontId="0" fillId="2" borderId="39" xfId="0" applyFill="1" applyBorder="1"/>
    <xf numFmtId="0" fontId="0" fillId="2" borderId="40" xfId="0" applyFill="1" applyBorder="1"/>
    <xf numFmtId="0" fontId="0" fillId="2" borderId="41" xfId="0" applyFill="1" applyBorder="1"/>
    <xf numFmtId="0" fontId="0" fillId="2" borderId="41" xfId="0" applyFill="1" applyBorder="1" applyAlignment="1">
      <alignment horizontal="center"/>
    </xf>
    <xf numFmtId="0" fontId="0" fillId="2" borderId="39" xfId="0" applyFill="1" applyBorder="1" applyAlignment="1">
      <alignment horizontal="center"/>
    </xf>
    <xf numFmtId="0" fontId="7" fillId="0" borderId="0" xfId="0" applyFont="1"/>
    <xf numFmtId="0" fontId="14" fillId="0" borderId="0" xfId="0" applyFont="1"/>
    <xf numFmtId="167" fontId="13" fillId="2" borderId="6" xfId="0" applyNumberFormat="1" applyFont="1" applyFill="1" applyBorder="1"/>
    <xf numFmtId="0" fontId="13" fillId="2" borderId="0" xfId="0" applyFont="1" applyFill="1"/>
    <xf numFmtId="0" fontId="6" fillId="2" borderId="0" xfId="1" applyFill="1"/>
    <xf numFmtId="167" fontId="2" fillId="2" borderId="6" xfId="0" applyNumberFormat="1" applyFont="1" applyFill="1" applyBorder="1"/>
    <xf numFmtId="0" fontId="2" fillId="0" borderId="6" xfId="0" applyFont="1" applyBorder="1"/>
    <xf numFmtId="0" fontId="0" fillId="2" borderId="28" xfId="0" applyFill="1" applyBorder="1" applyAlignment="1">
      <alignment wrapText="1"/>
    </xf>
    <xf numFmtId="0" fontId="0" fillId="2" borderId="0" xfId="0" applyFill="1" applyAlignment="1">
      <alignment wrapText="1"/>
    </xf>
    <xf numFmtId="0" fontId="0" fillId="2" borderId="24" xfId="0" applyFill="1" applyBorder="1"/>
    <xf numFmtId="0" fontId="0" fillId="2" borderId="30" xfId="0" applyFill="1" applyBorder="1" applyAlignment="1">
      <alignment wrapText="1"/>
    </xf>
    <xf numFmtId="2" fontId="0" fillId="2" borderId="0" xfId="0" applyNumberFormat="1" applyFill="1"/>
    <xf numFmtId="165" fontId="0" fillId="2" borderId="0" xfId="0" applyNumberFormat="1" applyFill="1"/>
    <xf numFmtId="165" fontId="11" fillId="2" borderId="0" xfId="0" applyNumberFormat="1" applyFont="1" applyFill="1"/>
    <xf numFmtId="164" fontId="0" fillId="2" borderId="0" xfId="0" applyNumberFormat="1" applyFill="1"/>
    <xf numFmtId="0" fontId="1" fillId="3" borderId="3"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0" xfId="0" applyFont="1" applyFill="1" applyAlignment="1">
      <alignment horizontal="left" vertical="top" wrapText="1"/>
    </xf>
    <xf numFmtId="0" fontId="1" fillId="3" borderId="1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12" xfId="0" applyFont="1" applyFill="1" applyBorder="1" applyAlignment="1">
      <alignment horizontal="left" vertical="top" wrapText="1"/>
    </xf>
    <xf numFmtId="0" fontId="10" fillId="2" borderId="35" xfId="0" applyFont="1" applyFill="1" applyBorder="1" applyAlignment="1">
      <alignment horizontal="left" vertical="top" wrapText="1"/>
    </xf>
    <xf numFmtId="0" fontId="10" fillId="2" borderId="34" xfId="0" applyFont="1" applyFill="1" applyBorder="1" applyAlignment="1">
      <alignment horizontal="left" vertical="top" wrapText="1"/>
    </xf>
    <xf numFmtId="0" fontId="10" fillId="2" borderId="31" xfId="0" applyFont="1" applyFill="1" applyBorder="1" applyAlignment="1">
      <alignment horizontal="left" vertical="top" wrapText="1"/>
    </xf>
  </cellXfs>
  <cellStyles count="3">
    <cellStyle name="Hyperlink" xfId="1" builtinId="8"/>
    <cellStyle name="Standaard" xfId="0" builtinId="0"/>
    <cellStyle name="Standaard 2" xfId="2" xr:uid="{0BFE01EF-3352-E84A-B0B8-B4DC3F55C6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nl-NL"/>
              <a:t>Temperature</a:t>
            </a:r>
            <a:r>
              <a:rPr lang="nl-NL" baseline="0"/>
              <a:t> dependant COP with 40 °C sink temperature</a:t>
            </a:r>
            <a:endParaRPr lang="nl-NL"/>
          </a:p>
        </c:rich>
      </c:tx>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manualLayout>
          <c:layoutTarget val="inner"/>
          <c:xMode val="edge"/>
          <c:yMode val="edge"/>
          <c:x val="8.8275755843644735E-2"/>
          <c:y val="6.4105623306730489E-2"/>
          <c:w val="0.75023001518012344"/>
          <c:h val="0.67240099191635894"/>
        </c:manualLayout>
      </c:layout>
      <c:lineChart>
        <c:grouping val="standard"/>
        <c:varyColors val="0"/>
        <c:ser>
          <c:idx val="1"/>
          <c:order val="0"/>
          <c:tx>
            <c:strRef>
              <c:f>Analysis!$AK$21</c:f>
              <c:strCache>
                <c:ptCount val="1"/>
                <c:pt idx="0">
                  <c:v>COP</c:v>
                </c:pt>
              </c:strCache>
            </c:strRef>
          </c:tx>
          <c:spPr>
            <a:ln w="28575" cap="rnd">
              <a:solidFill>
                <a:schemeClr val="accent2"/>
              </a:solidFill>
              <a:round/>
            </a:ln>
            <a:effectLst/>
          </c:spPr>
          <c:marker>
            <c:symbol val="none"/>
          </c:marker>
          <c:cat>
            <c:numRef>
              <c:f>Analysis!$AH$22:$AH$47</c:f>
              <c:numCache>
                <c:formatCode>General</c:formatCode>
                <c:ptCount val="2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numCache>
            </c:numRef>
          </c:cat>
          <c:val>
            <c:numRef>
              <c:f>Analysis!$AK$22:$AK$47</c:f>
              <c:numCache>
                <c:formatCode>0.0</c:formatCode>
                <c:ptCount val="26"/>
                <c:pt idx="0">
                  <c:v>1.7665999999999995</c:v>
                </c:pt>
                <c:pt idx="1">
                  <c:v>1.7962039999999995</c:v>
                </c:pt>
                <c:pt idx="2">
                  <c:v>1.8267359999999995</c:v>
                </c:pt>
                <c:pt idx="3">
                  <c:v>1.8581959999999995</c:v>
                </c:pt>
                <c:pt idx="4">
                  <c:v>1.8905839999999996</c:v>
                </c:pt>
                <c:pt idx="5">
                  <c:v>1.9238999999999997</c:v>
                </c:pt>
                <c:pt idx="6">
                  <c:v>1.9581439999999999</c:v>
                </c:pt>
                <c:pt idx="7">
                  <c:v>1.9933159999999999</c:v>
                </c:pt>
                <c:pt idx="8">
                  <c:v>2.0294160000000003</c:v>
                </c:pt>
                <c:pt idx="9">
                  <c:v>2.0664440000000002</c:v>
                </c:pt>
                <c:pt idx="10">
                  <c:v>2.1044</c:v>
                </c:pt>
                <c:pt idx="11">
                  <c:v>2.1432840000000004</c:v>
                </c:pt>
                <c:pt idx="12">
                  <c:v>2.1830960000000004</c:v>
                </c:pt>
                <c:pt idx="13">
                  <c:v>2.2238359999999995</c:v>
                </c:pt>
                <c:pt idx="14">
                  <c:v>2.2655039999999995</c:v>
                </c:pt>
                <c:pt idx="15">
                  <c:v>2.3080999999999996</c:v>
                </c:pt>
                <c:pt idx="16">
                  <c:v>2.3516239999999997</c:v>
                </c:pt>
                <c:pt idx="17">
                  <c:v>2.3960759999999999</c:v>
                </c:pt>
                <c:pt idx="18">
                  <c:v>2.4414559999999996</c:v>
                </c:pt>
                <c:pt idx="19">
                  <c:v>2.4877639999999999</c:v>
                </c:pt>
                <c:pt idx="20">
                  <c:v>2.5350000000000001</c:v>
                </c:pt>
                <c:pt idx="21">
                  <c:v>2.583164</c:v>
                </c:pt>
                <c:pt idx="22">
                  <c:v>2.6322559999999999</c:v>
                </c:pt>
                <c:pt idx="23">
                  <c:v>2.6822760000000003</c:v>
                </c:pt>
                <c:pt idx="24">
                  <c:v>2.7332240000000003</c:v>
                </c:pt>
                <c:pt idx="25">
                  <c:v>2.7851000000000004</c:v>
                </c:pt>
              </c:numCache>
            </c:numRef>
          </c:val>
          <c:smooth val="0"/>
          <c:extLst>
            <c:ext xmlns:c16="http://schemas.microsoft.com/office/drawing/2014/chart" uri="{C3380CC4-5D6E-409C-BE32-E72D297353CC}">
              <c16:uniqueId val="{00000002-B9B4-AF4C-8560-770813E12FA7}"/>
            </c:ext>
          </c:extLst>
        </c:ser>
        <c:ser>
          <c:idx val="2"/>
          <c:order val="1"/>
          <c:tx>
            <c:strRef>
              <c:f>Analysis!$AL$21</c:f>
              <c:strCache>
                <c:ptCount val="1"/>
                <c:pt idx="0">
                  <c:v>COP (lineair aproximation)</c:v>
                </c:pt>
              </c:strCache>
            </c:strRef>
          </c:tx>
          <c:spPr>
            <a:ln w="28575" cap="rnd">
              <a:solidFill>
                <a:schemeClr val="accent3"/>
              </a:solidFill>
              <a:round/>
            </a:ln>
            <a:effectLst/>
          </c:spPr>
          <c:marker>
            <c:symbol val="none"/>
          </c:marker>
          <c:cat>
            <c:numRef>
              <c:f>Analysis!$AH$22:$AH$47</c:f>
              <c:numCache>
                <c:formatCode>General</c:formatCode>
                <c:ptCount val="2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numCache>
            </c:numRef>
          </c:cat>
          <c:val>
            <c:numRef>
              <c:f>Analysis!$AL$22:$AL$47</c:f>
              <c:numCache>
                <c:formatCode>0.0</c:formatCode>
                <c:ptCount val="26"/>
                <c:pt idx="0">
                  <c:v>1.6970000000000001</c:v>
                </c:pt>
                <c:pt idx="1">
                  <c:v>1.7377400000000001</c:v>
                </c:pt>
                <c:pt idx="2">
                  <c:v>1.7784800000000001</c:v>
                </c:pt>
                <c:pt idx="3">
                  <c:v>1.8192200000000001</c:v>
                </c:pt>
                <c:pt idx="4">
                  <c:v>1.8599600000000001</c:v>
                </c:pt>
                <c:pt idx="5">
                  <c:v>1.9007000000000001</c:v>
                </c:pt>
                <c:pt idx="6">
                  <c:v>1.9414400000000001</c:v>
                </c:pt>
                <c:pt idx="7">
                  <c:v>1.9821800000000001</c:v>
                </c:pt>
                <c:pt idx="8">
                  <c:v>2.0229200000000001</c:v>
                </c:pt>
                <c:pt idx="9">
                  <c:v>2.06366</c:v>
                </c:pt>
                <c:pt idx="10">
                  <c:v>2.1044</c:v>
                </c:pt>
                <c:pt idx="11">
                  <c:v>2.14514</c:v>
                </c:pt>
                <c:pt idx="12">
                  <c:v>2.18588</c:v>
                </c:pt>
                <c:pt idx="13">
                  <c:v>2.22662</c:v>
                </c:pt>
                <c:pt idx="14">
                  <c:v>2.26736</c:v>
                </c:pt>
                <c:pt idx="15">
                  <c:v>2.3081</c:v>
                </c:pt>
                <c:pt idx="16">
                  <c:v>2.34884</c:v>
                </c:pt>
                <c:pt idx="17">
                  <c:v>2.38958</c:v>
                </c:pt>
                <c:pt idx="18">
                  <c:v>2.43032</c:v>
                </c:pt>
                <c:pt idx="19">
                  <c:v>2.47106</c:v>
                </c:pt>
                <c:pt idx="20">
                  <c:v>2.5118</c:v>
                </c:pt>
                <c:pt idx="21">
                  <c:v>2.55254</c:v>
                </c:pt>
                <c:pt idx="22">
                  <c:v>2.59328</c:v>
                </c:pt>
                <c:pt idx="23">
                  <c:v>2.63402</c:v>
                </c:pt>
                <c:pt idx="24">
                  <c:v>2.67476</c:v>
                </c:pt>
                <c:pt idx="25">
                  <c:v>2.7155</c:v>
                </c:pt>
              </c:numCache>
            </c:numRef>
          </c:val>
          <c:smooth val="0"/>
          <c:extLst>
            <c:ext xmlns:c16="http://schemas.microsoft.com/office/drawing/2014/chart" uri="{C3380CC4-5D6E-409C-BE32-E72D297353CC}">
              <c16:uniqueId val="{00000003-B9B4-AF4C-8560-770813E12FA7}"/>
            </c:ext>
          </c:extLst>
        </c:ser>
        <c:dLbls>
          <c:showLegendKey val="0"/>
          <c:showVal val="0"/>
          <c:showCatName val="0"/>
          <c:showSerName val="0"/>
          <c:showPercent val="0"/>
          <c:showBubbleSize val="0"/>
        </c:dLbls>
        <c:smooth val="0"/>
        <c:axId val="2107110527"/>
        <c:axId val="2107111871"/>
      </c:lineChart>
      <c:catAx>
        <c:axId val="210711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Outdoor temperature</a:t>
                </a:r>
                <a:r>
                  <a:rPr lang="nl-NL" baseline="0"/>
                  <a:t>  °C</a:t>
                </a:r>
                <a:endParaRPr lang="nl-NL"/>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7111871"/>
        <c:crosses val="autoZero"/>
        <c:auto val="1"/>
        <c:lblAlgn val="ctr"/>
        <c:lblOffset val="100"/>
        <c:tickLblSkip val="1"/>
        <c:noMultiLvlLbl val="0"/>
      </c:catAx>
      <c:valAx>
        <c:axId val="210711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COP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107110527"/>
        <c:crosses val="autoZero"/>
        <c:crossBetween val="between"/>
      </c:valAx>
      <c:spPr>
        <a:noFill/>
        <a:ln>
          <a:noFill/>
        </a:ln>
        <a:effectLst/>
      </c:spPr>
    </c:plotArea>
    <c:legend>
      <c:legendPos val="r"/>
      <c:layout>
        <c:manualLayout>
          <c:xMode val="edge"/>
          <c:yMode val="edge"/>
          <c:x val="0.84780301095873722"/>
          <c:y val="0.40165545774260103"/>
          <c:w val="0.15219703018045316"/>
          <c:h val="0.171083234179925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587074</xdr:colOff>
      <xdr:row>4</xdr:row>
      <xdr:rowOff>75482</xdr:rowOff>
    </xdr:from>
    <xdr:to>
      <xdr:col>15</xdr:col>
      <xdr:colOff>440425</xdr:colOff>
      <xdr:row>8</xdr:row>
      <xdr:rowOff>143767</xdr:rowOff>
    </xdr:to>
    <xdr:pic>
      <xdr:nvPicPr>
        <xdr:cNvPr id="17" name="Afbeelding 16">
          <a:extLst>
            <a:ext uri="{FF2B5EF4-FFF2-40B4-BE49-F238E27FC236}">
              <a16:creationId xmlns:a16="http://schemas.microsoft.com/office/drawing/2014/main" id="{2C0B3021-5A00-BE45-423D-63526E9D6422}"/>
            </a:ext>
          </a:extLst>
        </xdr:cNvPr>
        <xdr:cNvPicPr>
          <a:picLocks noChangeAspect="1"/>
        </xdr:cNvPicPr>
      </xdr:nvPicPr>
      <xdr:blipFill>
        <a:blip xmlns:r="http://schemas.openxmlformats.org/officeDocument/2006/relationships" r:embed="rId1"/>
        <a:stretch>
          <a:fillRect/>
        </a:stretch>
      </xdr:blipFill>
      <xdr:spPr>
        <a:xfrm>
          <a:off x="17144999" y="12140482"/>
          <a:ext cx="2333445" cy="883002"/>
        </a:xfrm>
        <a:prstGeom prst="rect">
          <a:avLst/>
        </a:prstGeom>
        <a:ln>
          <a:solidFill>
            <a:schemeClr val="tx1"/>
          </a:solidFill>
        </a:ln>
      </xdr:spPr>
    </xdr:pic>
    <xdr:clientData/>
  </xdr:twoCellAnchor>
  <xdr:twoCellAnchor editAs="oneCell">
    <xdr:from>
      <xdr:col>12</xdr:col>
      <xdr:colOff>304661</xdr:colOff>
      <xdr:row>21</xdr:row>
      <xdr:rowOff>92807</xdr:rowOff>
    </xdr:from>
    <xdr:to>
      <xdr:col>17</xdr:col>
      <xdr:colOff>495160</xdr:colOff>
      <xdr:row>26</xdr:row>
      <xdr:rowOff>149749</xdr:rowOff>
    </xdr:to>
    <xdr:pic>
      <xdr:nvPicPr>
        <xdr:cNvPr id="7" name="Afbeelding 6">
          <a:extLst>
            <a:ext uri="{FF2B5EF4-FFF2-40B4-BE49-F238E27FC236}">
              <a16:creationId xmlns:a16="http://schemas.microsoft.com/office/drawing/2014/main" id="{31FAADD3-70B6-B141-AE89-1D354661022B}"/>
            </a:ext>
          </a:extLst>
        </xdr:cNvPr>
        <xdr:cNvPicPr>
          <a:picLocks noChangeAspect="1"/>
        </xdr:cNvPicPr>
      </xdr:nvPicPr>
      <xdr:blipFill>
        <a:blip xmlns:r="http://schemas.openxmlformats.org/officeDocument/2006/relationships" r:embed="rId2"/>
        <a:stretch>
          <a:fillRect/>
        </a:stretch>
      </xdr:blipFill>
      <xdr:spPr>
        <a:xfrm>
          <a:off x="16852761" y="3763107"/>
          <a:ext cx="4317999" cy="1072941"/>
        </a:xfrm>
        <a:prstGeom prst="rect">
          <a:avLst/>
        </a:prstGeom>
        <a:ln>
          <a:solidFill>
            <a:schemeClr val="tx1"/>
          </a:solidFill>
        </a:ln>
      </xdr:spPr>
    </xdr:pic>
    <xdr:clientData/>
  </xdr:twoCellAnchor>
  <xdr:twoCellAnchor>
    <xdr:from>
      <xdr:col>18</xdr:col>
      <xdr:colOff>97261</xdr:colOff>
      <xdr:row>18</xdr:row>
      <xdr:rowOff>104933</xdr:rowOff>
    </xdr:from>
    <xdr:to>
      <xdr:col>27</xdr:col>
      <xdr:colOff>42426</xdr:colOff>
      <xdr:row>30</xdr:row>
      <xdr:rowOff>157896</xdr:rowOff>
    </xdr:to>
    <xdr:graphicFrame macro="">
      <xdr:nvGraphicFramePr>
        <xdr:cNvPr id="8" name="Grafiek 7">
          <a:extLst>
            <a:ext uri="{FF2B5EF4-FFF2-40B4-BE49-F238E27FC236}">
              <a16:creationId xmlns:a16="http://schemas.microsoft.com/office/drawing/2014/main" id="{A1E15A7A-1C6C-BA40-904C-5B9F63BA8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303695</xdr:colOff>
      <xdr:row>33</xdr:row>
      <xdr:rowOff>149743</xdr:rowOff>
    </xdr:from>
    <xdr:to>
      <xdr:col>19</xdr:col>
      <xdr:colOff>427935</xdr:colOff>
      <xdr:row>46</xdr:row>
      <xdr:rowOff>13675</xdr:rowOff>
    </xdr:to>
    <xdr:pic>
      <xdr:nvPicPr>
        <xdr:cNvPr id="10" name="Afbeelding 9">
          <a:extLst>
            <a:ext uri="{FF2B5EF4-FFF2-40B4-BE49-F238E27FC236}">
              <a16:creationId xmlns:a16="http://schemas.microsoft.com/office/drawing/2014/main" id="{46443CA6-4D28-A243-9F6D-A4E074AC8F41}"/>
            </a:ext>
          </a:extLst>
        </xdr:cNvPr>
        <xdr:cNvPicPr>
          <a:picLocks noChangeAspect="1"/>
        </xdr:cNvPicPr>
      </xdr:nvPicPr>
      <xdr:blipFill>
        <a:blip xmlns:r="http://schemas.openxmlformats.org/officeDocument/2006/relationships" r:embed="rId4"/>
        <a:stretch>
          <a:fillRect/>
        </a:stretch>
      </xdr:blipFill>
      <xdr:spPr>
        <a:xfrm>
          <a:off x="16851795" y="7299843"/>
          <a:ext cx="5902740" cy="2505533"/>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quintel.sharepoint.com/Users/dorinevandervlies/Projects/etdataset/nodes_source_analyses/households/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nature.com/articles/s41597-019-0199-y" TargetMode="External"/><Relationship Id="rId2" Type="http://schemas.openxmlformats.org/officeDocument/2006/relationships/hyperlink" Target="https://ce.nl/wp-content/uploads/2021/04/04_Factsheet-Luchtwarmtepomp_DEF.pdf" TargetMode="External"/><Relationship Id="rId1" Type="http://schemas.openxmlformats.org/officeDocument/2006/relationships/hyperlink" Target="https://kennisdelen.rvo.nl/file/download/a29e1ec4-ad00-4a5b-ba62-287ca7602ddf/Installatiemonitor_3_eindrapportage_v1.02.pdf" TargetMode="External"/><Relationship Id="rId6" Type="http://schemas.openxmlformats.org/officeDocument/2006/relationships/hyperlink" Target="https://www.knmi.nl/klimaat" TargetMode="External"/><Relationship Id="rId5" Type="http://schemas.openxmlformats.org/officeDocument/2006/relationships/hyperlink" Target="https://www.infodwi.nl/media/50phiyot/concept-waterwerkblad-4-4a-december-2023_1.pdf" TargetMode="External"/><Relationship Id="rId4" Type="http://schemas.openxmlformats.org/officeDocument/2006/relationships/hyperlink" Target="https://www.sinclair-solutions.com/files/product-fiche/sinclair-prfi-shp-140ica-shp-140eca2.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3B62-CE5D-4342-B744-D64F77AEDC7B}">
  <dimension ref="B1:J40"/>
  <sheetViews>
    <sheetView tabSelected="1" topLeftCell="A6" zoomScaleNormal="100" workbookViewId="0">
      <selection activeCell="E23" sqref="E23"/>
    </sheetView>
  </sheetViews>
  <sheetFormatPr baseColWidth="10" defaultRowHeight="16"/>
  <cols>
    <col min="1" max="1" width="5.83203125" style="1" customWidth="1"/>
    <col min="2" max="2" width="11.83203125" style="1" customWidth="1"/>
    <col min="3" max="3" width="64.33203125" style="1" customWidth="1"/>
    <col min="4" max="4" width="15.5" style="1" customWidth="1"/>
    <col min="5" max="5" width="17.33203125" style="1" customWidth="1"/>
    <col min="6" max="6" width="5.33203125" style="1" customWidth="1"/>
    <col min="7" max="7" width="45.83203125" style="1" customWidth="1"/>
    <col min="8" max="8" width="4.83203125" style="1" customWidth="1"/>
    <col min="9" max="9" width="38.33203125" style="1" customWidth="1"/>
    <col min="10" max="10" width="5" style="1" customWidth="1"/>
    <col min="11" max="16384" width="10.83203125" style="1"/>
  </cols>
  <sheetData>
    <row r="1" spans="2:10" ht="17" thickBot="1"/>
    <row r="2" spans="2:10" ht="16" customHeight="1">
      <c r="B2" s="31" t="s">
        <v>50</v>
      </c>
      <c r="C2" s="32" t="s">
        <v>130</v>
      </c>
      <c r="D2" s="32"/>
      <c r="E2" s="3" t="s">
        <v>53</v>
      </c>
      <c r="F2" s="115" t="s">
        <v>71</v>
      </c>
      <c r="G2" s="115"/>
      <c r="H2" s="115"/>
      <c r="I2" s="115"/>
      <c r="J2" s="116"/>
    </row>
    <row r="3" spans="2:10">
      <c r="B3" s="9" t="s">
        <v>49</v>
      </c>
      <c r="C3" s="1" t="s">
        <v>87</v>
      </c>
      <c r="E3" s="33"/>
      <c r="F3" s="117"/>
      <c r="G3" s="117"/>
      <c r="H3" s="117"/>
      <c r="I3" s="117"/>
      <c r="J3" s="118"/>
    </row>
    <row r="4" spans="2:10" ht="37" customHeight="1" thickBot="1">
      <c r="B4" s="35" t="s">
        <v>51</v>
      </c>
      <c r="C4" s="36" t="s">
        <v>52</v>
      </c>
      <c r="D4" s="29"/>
      <c r="E4" s="34"/>
      <c r="F4" s="119"/>
      <c r="G4" s="119"/>
      <c r="H4" s="119"/>
      <c r="I4" s="119"/>
      <c r="J4" s="120"/>
    </row>
    <row r="5" spans="2:10" ht="17" thickBot="1"/>
    <row r="6" spans="2:10">
      <c r="B6" s="2"/>
      <c r="C6" s="3"/>
      <c r="D6" s="3"/>
      <c r="E6" s="3"/>
      <c r="F6" s="3"/>
      <c r="G6" s="3"/>
      <c r="H6" s="3"/>
      <c r="I6" s="3"/>
      <c r="J6" s="4"/>
    </row>
    <row r="7" spans="2:10" ht="19">
      <c r="B7" s="5"/>
      <c r="C7" s="6" t="s">
        <v>0</v>
      </c>
      <c r="D7" s="7" t="s">
        <v>1</v>
      </c>
      <c r="E7" s="6" t="s">
        <v>2</v>
      </c>
      <c r="F7" s="6"/>
      <c r="G7" s="6" t="s">
        <v>3</v>
      </c>
      <c r="H7" s="6"/>
      <c r="I7" s="6" t="s">
        <v>4</v>
      </c>
      <c r="J7" s="8"/>
    </row>
    <row r="8" spans="2:10" ht="19">
      <c r="B8" s="9"/>
      <c r="C8" s="10"/>
      <c r="D8" s="11"/>
      <c r="E8" s="10"/>
      <c r="F8" s="10"/>
      <c r="G8" s="10"/>
      <c r="H8" s="10"/>
      <c r="I8" s="10"/>
      <c r="J8" s="12"/>
    </row>
    <row r="9" spans="2:10" ht="20" thickBot="1">
      <c r="B9" s="9"/>
      <c r="C9" s="10" t="s">
        <v>5</v>
      </c>
      <c r="D9" s="11"/>
      <c r="E9" s="10"/>
      <c r="F9" s="10"/>
      <c r="G9" s="10"/>
      <c r="H9" s="10"/>
      <c r="I9" s="10"/>
      <c r="J9" s="12"/>
    </row>
    <row r="10" spans="2:10" ht="20" thickBot="1">
      <c r="B10" s="9"/>
      <c r="C10" s="103" t="s">
        <v>107</v>
      </c>
      <c r="D10" s="101" t="s">
        <v>6</v>
      </c>
      <c r="E10" s="102">
        <v>1</v>
      </c>
      <c r="F10" s="15"/>
      <c r="G10" s="100"/>
      <c r="H10" s="17"/>
      <c r="I10" s="106" t="s">
        <v>69</v>
      </c>
      <c r="J10" s="12"/>
    </row>
    <row r="11" spans="2:10" ht="20" thickBot="1">
      <c r="B11" s="9"/>
      <c r="C11" s="103" t="s">
        <v>108</v>
      </c>
      <c r="D11" s="101" t="s">
        <v>6</v>
      </c>
      <c r="E11" s="102">
        <v>1</v>
      </c>
      <c r="F11" s="15"/>
      <c r="G11" s="100"/>
      <c r="H11" s="17"/>
      <c r="I11" s="106" t="s">
        <v>69</v>
      </c>
      <c r="J11" s="12"/>
    </row>
    <row r="12" spans="2:10" ht="20" thickBot="1">
      <c r="B12" s="9"/>
      <c r="C12" s="103" t="s">
        <v>109</v>
      </c>
      <c r="D12" s="101" t="s">
        <v>6</v>
      </c>
      <c r="E12" s="102">
        <f>Analysis!D16</f>
        <v>0.9</v>
      </c>
      <c r="F12" s="15"/>
      <c r="G12" s="100"/>
      <c r="H12" s="17"/>
      <c r="I12" s="106" t="s">
        <v>69</v>
      </c>
      <c r="J12" s="12"/>
    </row>
    <row r="13" spans="2:10" ht="20" thickBot="1">
      <c r="B13" s="9"/>
      <c r="C13" s="20" t="s">
        <v>7</v>
      </c>
      <c r="D13" s="13" t="s">
        <v>6</v>
      </c>
      <c r="E13" s="21">
        <f>Analysis!D19</f>
        <v>2.1044</v>
      </c>
      <c r="F13" s="15"/>
      <c r="G13" s="16"/>
      <c r="H13" s="17"/>
      <c r="I13" s="18" t="s">
        <v>93</v>
      </c>
      <c r="J13" s="12"/>
    </row>
    <row r="14" spans="2:10" ht="20" thickBot="1">
      <c r="B14" s="9"/>
      <c r="C14" s="20" t="s">
        <v>8</v>
      </c>
      <c r="D14" s="22" t="s">
        <v>16</v>
      </c>
      <c r="E14" s="14">
        <f>ROUND(Analysis!D35,6)</f>
        <v>1.704E-3</v>
      </c>
      <c r="F14" s="15"/>
      <c r="G14" s="16"/>
      <c r="H14" s="17"/>
      <c r="I14" s="18" t="s">
        <v>100</v>
      </c>
      <c r="J14" s="12"/>
    </row>
    <row r="15" spans="2:10" ht="20" thickBot="1">
      <c r="B15" s="9"/>
      <c r="C15" s="20" t="s">
        <v>110</v>
      </c>
      <c r="D15" s="22" t="s">
        <v>16</v>
      </c>
      <c r="E15" s="14">
        <f>ROUND(Analysis!D11,6)</f>
        <v>2.1999999999999999E-2</v>
      </c>
      <c r="F15" s="15"/>
      <c r="G15" s="16"/>
      <c r="H15" s="17"/>
      <c r="I15" s="18" t="s">
        <v>112</v>
      </c>
      <c r="J15" s="12"/>
    </row>
    <row r="16" spans="2:10" ht="20" thickBot="1">
      <c r="B16" s="9"/>
      <c r="C16" s="20" t="s">
        <v>111</v>
      </c>
      <c r="D16" s="13" t="s">
        <v>6</v>
      </c>
      <c r="E16" s="14">
        <v>6</v>
      </c>
      <c r="F16" s="15"/>
      <c r="G16" s="16"/>
      <c r="H16" s="17"/>
      <c r="I16" s="18" t="s">
        <v>115</v>
      </c>
      <c r="J16" s="12"/>
    </row>
    <row r="17" spans="2:10" ht="20" thickBot="1">
      <c r="B17" s="9"/>
      <c r="C17" s="20" t="s">
        <v>9</v>
      </c>
      <c r="D17" s="13" t="s">
        <v>6</v>
      </c>
      <c r="E17" s="21">
        <f>ROUND(Analysis!D20,6)</f>
        <v>4.0739999999999998E-2</v>
      </c>
      <c r="F17" s="15"/>
      <c r="G17" s="16"/>
      <c r="H17" s="17"/>
      <c r="I17" s="18" t="s">
        <v>93</v>
      </c>
      <c r="J17" s="12"/>
    </row>
    <row r="18" spans="2:10" ht="20" thickBot="1">
      <c r="B18" s="9"/>
      <c r="C18" s="20" t="s">
        <v>10</v>
      </c>
      <c r="D18" s="22" t="s">
        <v>11</v>
      </c>
      <c r="E18" s="19">
        <v>0</v>
      </c>
      <c r="F18" s="15"/>
      <c r="G18" s="16"/>
      <c r="H18" s="17"/>
      <c r="I18" s="18" t="s">
        <v>69</v>
      </c>
      <c r="J18" s="12"/>
    </row>
    <row r="19" spans="2:10" ht="17" thickBot="1">
      <c r="B19" s="23"/>
      <c r="C19" s="1" t="s">
        <v>13</v>
      </c>
      <c r="D19" s="22" t="s">
        <v>6</v>
      </c>
      <c r="E19" s="19">
        <v>0</v>
      </c>
      <c r="G19" s="16"/>
      <c r="H19" s="16"/>
      <c r="I19" s="18" t="s">
        <v>69</v>
      </c>
      <c r="J19" s="24"/>
    </row>
    <row r="20" spans="2:10" ht="17" thickBot="1">
      <c r="B20" s="23"/>
      <c r="C20" s="1" t="s">
        <v>14</v>
      </c>
      <c r="D20" s="22" t="s">
        <v>6</v>
      </c>
      <c r="E20" s="19">
        <v>0</v>
      </c>
      <c r="G20" s="16"/>
      <c r="H20" s="16"/>
      <c r="I20" s="18" t="s">
        <v>69</v>
      </c>
      <c r="J20" s="24"/>
    </row>
    <row r="21" spans="2:10" ht="17" thickBot="1">
      <c r="B21" s="23"/>
      <c r="C21" s="1" t="s">
        <v>15</v>
      </c>
      <c r="D21" s="22" t="s">
        <v>6</v>
      </c>
      <c r="E21" s="19">
        <v>1</v>
      </c>
      <c r="G21" s="16"/>
      <c r="H21" s="16"/>
      <c r="I21" s="18" t="s">
        <v>69</v>
      </c>
      <c r="J21" s="24"/>
    </row>
    <row r="22" spans="2:10" ht="17" thickBot="1">
      <c r="B22" s="23"/>
      <c r="C22" s="1" t="s">
        <v>17</v>
      </c>
      <c r="D22" s="22" t="s">
        <v>16</v>
      </c>
      <c r="E22" s="105">
        <f>Analysis!D34</f>
        <v>2.3539999999999998E-2</v>
      </c>
      <c r="G22" s="16" t="s">
        <v>18</v>
      </c>
      <c r="H22" s="16"/>
      <c r="I22" s="18" t="s">
        <v>90</v>
      </c>
      <c r="J22" s="24"/>
    </row>
    <row r="23" spans="2:10">
      <c r="B23" s="23"/>
      <c r="D23" s="25"/>
      <c r="E23" s="26"/>
      <c r="J23" s="24"/>
    </row>
    <row r="24" spans="2:10" ht="17" thickBot="1">
      <c r="B24" s="23"/>
      <c r="C24" s="10" t="s">
        <v>19</v>
      </c>
      <c r="D24" s="25"/>
      <c r="J24" s="24"/>
    </row>
    <row r="25" spans="2:10" ht="17" thickBot="1">
      <c r="B25" s="23"/>
      <c r="C25" s="1" t="s">
        <v>20</v>
      </c>
      <c r="D25" s="22" t="s">
        <v>21</v>
      </c>
      <c r="E25" s="27">
        <v>0</v>
      </c>
      <c r="G25" s="16" t="s">
        <v>22</v>
      </c>
      <c r="H25" s="16"/>
      <c r="I25" s="18" t="s">
        <v>118</v>
      </c>
      <c r="J25" s="24"/>
    </row>
    <row r="26" spans="2:10" ht="17" thickBot="1">
      <c r="B26" s="23"/>
      <c r="C26" s="1" t="s">
        <v>23</v>
      </c>
      <c r="D26" s="22" t="s">
        <v>21</v>
      </c>
      <c r="E26" s="27">
        <v>0</v>
      </c>
      <c r="G26" s="16" t="s">
        <v>24</v>
      </c>
      <c r="H26" s="16"/>
      <c r="I26" s="18" t="s">
        <v>118</v>
      </c>
      <c r="J26" s="24"/>
    </row>
    <row r="27" spans="2:10" ht="17" thickBot="1">
      <c r="B27" s="23"/>
      <c r="C27" s="1" t="s">
        <v>25</v>
      </c>
      <c r="D27" s="22" t="s">
        <v>21</v>
      </c>
      <c r="E27" s="27">
        <v>0</v>
      </c>
      <c r="G27" s="16" t="s">
        <v>26</v>
      </c>
      <c r="H27" s="16"/>
      <c r="I27" s="18" t="s">
        <v>118</v>
      </c>
      <c r="J27" s="24"/>
    </row>
    <row r="28" spans="2:10" ht="17" thickBot="1">
      <c r="B28" s="23"/>
      <c r="C28" s="1" t="s">
        <v>27</v>
      </c>
      <c r="D28" s="22" t="s">
        <v>21</v>
      </c>
      <c r="E28" s="27">
        <v>0</v>
      </c>
      <c r="G28" s="16" t="s">
        <v>48</v>
      </c>
      <c r="H28" s="16"/>
      <c r="I28" s="18" t="s">
        <v>118</v>
      </c>
      <c r="J28" s="24"/>
    </row>
    <row r="29" spans="2:10" ht="17" thickBot="1">
      <c r="B29" s="23"/>
      <c r="C29" s="1" t="s">
        <v>28</v>
      </c>
      <c r="D29" s="22" t="s">
        <v>29</v>
      </c>
      <c r="E29" s="27">
        <v>0</v>
      </c>
      <c r="G29" s="16" t="s">
        <v>30</v>
      </c>
      <c r="H29" s="16"/>
      <c r="I29" s="18" t="s">
        <v>118</v>
      </c>
      <c r="J29" s="24"/>
    </row>
    <row r="30" spans="2:10" ht="17" thickBot="1">
      <c r="B30" s="23"/>
      <c r="C30" s="1" t="s">
        <v>31</v>
      </c>
      <c r="D30" s="22" t="s">
        <v>32</v>
      </c>
      <c r="E30" s="27">
        <v>0</v>
      </c>
      <c r="G30" s="16" t="s">
        <v>33</v>
      </c>
      <c r="H30" s="16"/>
      <c r="I30" s="18" t="s">
        <v>118</v>
      </c>
      <c r="J30" s="24"/>
    </row>
    <row r="31" spans="2:10" ht="17" thickBot="1">
      <c r="B31" s="23"/>
      <c r="C31" s="1" t="s">
        <v>34</v>
      </c>
      <c r="D31" s="22" t="s">
        <v>32</v>
      </c>
      <c r="E31" s="27">
        <v>0</v>
      </c>
      <c r="G31" s="16" t="s">
        <v>35</v>
      </c>
      <c r="H31" s="16"/>
      <c r="I31" s="18" t="s">
        <v>118</v>
      </c>
      <c r="J31" s="24"/>
    </row>
    <row r="32" spans="2:10" ht="17" thickBot="1">
      <c r="B32" s="23"/>
      <c r="C32" s="1" t="s">
        <v>36</v>
      </c>
      <c r="D32" s="22" t="s">
        <v>37</v>
      </c>
      <c r="E32" s="27">
        <v>0.02</v>
      </c>
      <c r="G32" s="16" t="s">
        <v>120</v>
      </c>
      <c r="H32" s="16"/>
      <c r="I32" s="18" t="s">
        <v>68</v>
      </c>
      <c r="J32" s="24"/>
    </row>
    <row r="33" spans="2:10" ht="17" thickBot="1">
      <c r="B33" s="23"/>
      <c r="C33" s="1" t="s">
        <v>38</v>
      </c>
      <c r="D33" s="22" t="s">
        <v>39</v>
      </c>
      <c r="E33" s="27">
        <v>0</v>
      </c>
      <c r="G33" s="16"/>
      <c r="H33" s="16"/>
      <c r="I33" s="18" t="s">
        <v>69</v>
      </c>
      <c r="J33" s="24"/>
    </row>
    <row r="34" spans="2:10" ht="20" thickBot="1">
      <c r="B34" s="9"/>
      <c r="C34" s="1" t="s">
        <v>12</v>
      </c>
      <c r="D34" s="22" t="s">
        <v>40</v>
      </c>
      <c r="E34" s="27">
        <v>0</v>
      </c>
      <c r="F34" s="15"/>
      <c r="G34" s="16"/>
      <c r="H34" s="17"/>
      <c r="I34" s="18" t="s">
        <v>69</v>
      </c>
      <c r="J34" s="12"/>
    </row>
    <row r="35" spans="2:10">
      <c r="B35" s="23"/>
      <c r="D35" s="22"/>
      <c r="E35" s="16"/>
      <c r="G35" s="16"/>
      <c r="H35" s="16"/>
      <c r="J35" s="24"/>
    </row>
    <row r="36" spans="2:10" ht="17" thickBot="1">
      <c r="B36" s="23"/>
      <c r="C36" s="10" t="s">
        <v>41</v>
      </c>
      <c r="D36" s="25"/>
      <c r="J36" s="24"/>
    </row>
    <row r="37" spans="2:10" ht="17" thickBot="1">
      <c r="B37" s="23"/>
      <c r="C37" s="1" t="s">
        <v>42</v>
      </c>
      <c r="D37" s="22" t="s">
        <v>43</v>
      </c>
      <c r="E37" s="27">
        <v>0</v>
      </c>
      <c r="G37" s="16" t="s">
        <v>44</v>
      </c>
      <c r="H37" s="16"/>
      <c r="I37" s="18" t="s">
        <v>69</v>
      </c>
      <c r="J37" s="24"/>
    </row>
    <row r="38" spans="2:10" ht="17" thickBot="1">
      <c r="B38" s="23"/>
      <c r="C38" s="1" t="s">
        <v>45</v>
      </c>
      <c r="D38" s="22" t="s">
        <v>43</v>
      </c>
      <c r="E38" s="27">
        <v>15</v>
      </c>
      <c r="G38" s="16" t="s">
        <v>46</v>
      </c>
      <c r="H38" s="16"/>
      <c r="I38" s="18" t="s">
        <v>104</v>
      </c>
      <c r="J38" s="24"/>
    </row>
    <row r="39" spans="2:10" ht="17" thickBot="1">
      <c r="B39" s="23"/>
      <c r="C39" s="1" t="s">
        <v>47</v>
      </c>
      <c r="D39" s="22" t="s">
        <v>6</v>
      </c>
      <c r="E39" s="27">
        <v>0</v>
      </c>
      <c r="G39" s="16"/>
      <c r="H39" s="16"/>
      <c r="I39" s="18" t="s">
        <v>69</v>
      </c>
      <c r="J39" s="24"/>
    </row>
    <row r="40" spans="2:10" ht="17" thickBot="1">
      <c r="B40" s="28"/>
      <c r="C40" s="29"/>
      <c r="D40" s="29"/>
      <c r="E40" s="29"/>
      <c r="F40" s="29"/>
      <c r="G40" s="29"/>
      <c r="H40" s="29"/>
      <c r="I40" s="29"/>
      <c r="J40" s="30"/>
    </row>
  </sheetData>
  <mergeCells count="1">
    <mergeCell ref="F2:J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EDC0-AC59-664A-BB9B-BC4ECA4036D4}">
  <dimension ref="B1:K27"/>
  <sheetViews>
    <sheetView topLeftCell="D1" zoomScale="107" workbookViewId="0">
      <selection activeCell="C12" sqref="C12"/>
    </sheetView>
  </sheetViews>
  <sheetFormatPr baseColWidth="10" defaultRowHeight="16"/>
  <cols>
    <col min="1" max="2" width="4.6640625" style="33" customWidth="1"/>
    <col min="3" max="3" width="69.6640625" style="33" customWidth="1"/>
    <col min="4" max="4" width="114.83203125" style="33" customWidth="1"/>
    <col min="5" max="5" width="35.33203125" style="33" bestFit="1" customWidth="1"/>
    <col min="6" max="9" width="10.5" style="46" customWidth="1"/>
    <col min="10" max="10" width="107.1640625" style="33" customWidth="1"/>
    <col min="11" max="11" width="6.33203125" style="33" customWidth="1"/>
    <col min="12" max="16384" width="10.83203125" style="33"/>
  </cols>
  <sheetData>
    <row r="1" spans="2:11" ht="17" thickBot="1"/>
    <row r="2" spans="2:11">
      <c r="B2" s="37"/>
      <c r="C2" s="38"/>
      <c r="D2" s="38"/>
      <c r="E2" s="38"/>
      <c r="F2" s="47"/>
      <c r="G2" s="47"/>
      <c r="H2" s="47"/>
      <c r="I2" s="47"/>
      <c r="J2" s="38"/>
      <c r="K2" s="39"/>
    </row>
    <row r="3" spans="2:11" ht="34">
      <c r="B3" s="40"/>
      <c r="C3" s="6" t="s">
        <v>62</v>
      </c>
      <c r="D3" s="6" t="s">
        <v>60</v>
      </c>
      <c r="E3" s="6" t="s">
        <v>61</v>
      </c>
      <c r="F3" s="48" t="s">
        <v>58</v>
      </c>
      <c r="G3" s="48" t="s">
        <v>54</v>
      </c>
      <c r="H3" s="48" t="s">
        <v>55</v>
      </c>
      <c r="I3" s="48" t="s">
        <v>56</v>
      </c>
      <c r="J3" s="6" t="s">
        <v>57</v>
      </c>
      <c r="K3" s="41"/>
    </row>
    <row r="4" spans="2:11" ht="17">
      <c r="B4" s="42"/>
      <c r="C4" s="108" t="s">
        <v>119</v>
      </c>
      <c r="D4" s="97" t="s">
        <v>91</v>
      </c>
      <c r="E4" s="33" t="s">
        <v>89</v>
      </c>
      <c r="F4" s="98" t="s">
        <v>59</v>
      </c>
      <c r="G4" s="46">
        <v>2026</v>
      </c>
      <c r="H4" s="98"/>
      <c r="I4" s="98">
        <v>2026</v>
      </c>
      <c r="J4" s="50" t="s">
        <v>88</v>
      </c>
      <c r="K4" s="43"/>
    </row>
    <row r="5" spans="2:11">
      <c r="B5" s="42"/>
      <c r="C5" s="94" t="s">
        <v>45</v>
      </c>
      <c r="D5" s="95" t="s">
        <v>102</v>
      </c>
      <c r="E5" s="33" t="s">
        <v>86</v>
      </c>
      <c r="F5" s="99" t="s">
        <v>59</v>
      </c>
      <c r="G5" s="46">
        <v>2021</v>
      </c>
      <c r="H5" s="99"/>
      <c r="I5" s="99">
        <v>2026</v>
      </c>
      <c r="J5" s="50" t="s">
        <v>101</v>
      </c>
      <c r="K5" s="43"/>
    </row>
    <row r="6" spans="2:11">
      <c r="B6" s="42"/>
      <c r="C6" s="33" t="s">
        <v>105</v>
      </c>
      <c r="D6" s="95" t="s">
        <v>73</v>
      </c>
      <c r="E6" s="33" t="s">
        <v>74</v>
      </c>
      <c r="F6" s="99" t="s">
        <v>6</v>
      </c>
      <c r="G6" s="46">
        <v>2024</v>
      </c>
      <c r="H6" s="99"/>
      <c r="I6" s="99">
        <v>2026</v>
      </c>
      <c r="J6" s="33" t="s">
        <v>72</v>
      </c>
      <c r="K6" s="43"/>
    </row>
    <row r="7" spans="2:11">
      <c r="B7" s="42"/>
      <c r="C7" s="33" t="s">
        <v>106</v>
      </c>
      <c r="D7" s="95" t="s">
        <v>85</v>
      </c>
      <c r="E7" s="33" t="s">
        <v>84</v>
      </c>
      <c r="F7" s="99" t="s">
        <v>6</v>
      </c>
      <c r="G7" s="46">
        <v>2019</v>
      </c>
      <c r="H7" s="99">
        <v>2016</v>
      </c>
      <c r="I7" s="99">
        <v>2026</v>
      </c>
      <c r="J7" s="50" t="s">
        <v>83</v>
      </c>
      <c r="K7" s="43"/>
    </row>
    <row r="8" spans="2:11">
      <c r="B8" s="42"/>
      <c r="C8" s="94" t="s">
        <v>8</v>
      </c>
      <c r="D8" s="95" t="s">
        <v>99</v>
      </c>
      <c r="E8" s="33" t="s">
        <v>98</v>
      </c>
      <c r="F8" s="99" t="s">
        <v>6</v>
      </c>
      <c r="G8" s="46" t="s">
        <v>6</v>
      </c>
      <c r="H8" s="99" t="s">
        <v>6</v>
      </c>
      <c r="I8" s="99" t="s">
        <v>6</v>
      </c>
      <c r="J8" s="50" t="s">
        <v>97</v>
      </c>
      <c r="K8" s="43"/>
    </row>
    <row r="9" spans="2:11">
      <c r="B9" s="42"/>
      <c r="C9" s="33" t="s">
        <v>106</v>
      </c>
      <c r="D9" s="95" t="s">
        <v>125</v>
      </c>
      <c r="E9" t="s">
        <v>122</v>
      </c>
      <c r="F9" s="99" t="s">
        <v>59</v>
      </c>
      <c r="G9" s="46">
        <v>2023</v>
      </c>
      <c r="H9" s="99" t="s">
        <v>6</v>
      </c>
      <c r="I9" s="99">
        <v>2026</v>
      </c>
      <c r="J9" s="104" t="s">
        <v>126</v>
      </c>
      <c r="K9" s="43"/>
    </row>
    <row r="10" spans="2:11">
      <c r="B10" s="42"/>
      <c r="C10" s="33" t="s">
        <v>106</v>
      </c>
      <c r="D10" s="95" t="s">
        <v>127</v>
      </c>
      <c r="E10" s="33" t="s">
        <v>128</v>
      </c>
      <c r="F10" s="99" t="s">
        <v>6</v>
      </c>
      <c r="G10" s="46" t="s">
        <v>6</v>
      </c>
      <c r="H10" s="99" t="s">
        <v>6</v>
      </c>
      <c r="I10" s="99">
        <v>2026</v>
      </c>
      <c r="J10" s="104" t="s">
        <v>129</v>
      </c>
      <c r="K10" s="43"/>
    </row>
    <row r="11" spans="2:11">
      <c r="B11" s="42"/>
      <c r="C11" s="51"/>
      <c r="D11" s="96"/>
      <c r="F11" s="99"/>
      <c r="H11" s="99"/>
      <c r="I11" s="99"/>
      <c r="K11" s="43"/>
    </row>
    <row r="12" spans="2:11">
      <c r="B12" s="42"/>
      <c r="D12" s="10"/>
      <c r="K12" s="43"/>
    </row>
    <row r="13" spans="2:11">
      <c r="B13" s="42"/>
      <c r="K13" s="43"/>
    </row>
    <row r="14" spans="2:11">
      <c r="B14" s="42"/>
      <c r="K14" s="43"/>
    </row>
    <row r="15" spans="2:11">
      <c r="B15" s="42"/>
      <c r="C15" s="51"/>
      <c r="K15" s="43"/>
    </row>
    <row r="16" spans="2:11">
      <c r="B16" s="42"/>
      <c r="K16" s="43"/>
    </row>
    <row r="17" spans="2:11">
      <c r="B17" s="42"/>
      <c r="K17" s="43"/>
    </row>
    <row r="18" spans="2:11">
      <c r="B18" s="42"/>
      <c r="K18" s="43"/>
    </row>
    <row r="19" spans="2:11">
      <c r="B19" s="42"/>
      <c r="K19" s="43"/>
    </row>
    <row r="20" spans="2:11">
      <c r="B20" s="42"/>
      <c r="K20" s="43"/>
    </row>
    <row r="21" spans="2:11">
      <c r="B21" s="42"/>
      <c r="K21" s="43"/>
    </row>
    <row r="22" spans="2:11">
      <c r="B22" s="42"/>
      <c r="C22" s="51"/>
      <c r="K22" s="43"/>
    </row>
    <row r="23" spans="2:11">
      <c r="B23" s="42"/>
      <c r="K23" s="43"/>
    </row>
    <row r="24" spans="2:11">
      <c r="B24" s="42"/>
      <c r="K24" s="43"/>
    </row>
    <row r="25" spans="2:11">
      <c r="B25" s="42"/>
      <c r="C25" s="51"/>
      <c r="K25" s="43"/>
    </row>
    <row r="26" spans="2:11">
      <c r="B26" s="42"/>
      <c r="C26" s="51" t="s">
        <v>70</v>
      </c>
      <c r="K26" s="43"/>
    </row>
    <row r="27" spans="2:11" ht="17" thickBot="1">
      <c r="B27" s="44"/>
      <c r="C27" s="34"/>
      <c r="D27" s="34"/>
      <c r="E27" s="34"/>
      <c r="F27" s="49"/>
      <c r="G27" s="49"/>
      <c r="H27" s="49"/>
      <c r="I27" s="49"/>
      <c r="J27" s="34"/>
      <c r="K27" s="45"/>
    </row>
  </sheetData>
  <hyperlinks>
    <hyperlink ref="J4" r:id="rId1" xr:uid="{DDA6119B-4C9C-B84B-A475-A5D2B73919A0}"/>
    <hyperlink ref="J5" r:id="rId2" xr:uid="{ED1CDA47-A6F6-AB40-B87C-F019BE027446}"/>
    <hyperlink ref="J7" r:id="rId3" xr:uid="{FBA3E2BB-AA8A-914E-9517-0CC25A7691CC}"/>
    <hyperlink ref="J8" r:id="rId4" xr:uid="{BC924E41-15C1-674A-8451-8743E886E8FF}"/>
    <hyperlink ref="J9" r:id="rId5" xr:uid="{31DC6981-019D-3041-B703-E1257AE3F400}"/>
    <hyperlink ref="J10" r:id="rId6" location="klimaatdashboard" xr:uid="{9509B386-A656-D441-8A5C-7772F382143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95F35-E6A2-4947-B6EF-DDB70CF5DBF6}">
  <dimension ref="B1:AL49"/>
  <sheetViews>
    <sheetView topLeftCell="A14" zoomScale="87" zoomScaleNormal="82" workbookViewId="0">
      <selection activeCell="D35" sqref="D35"/>
    </sheetView>
  </sheetViews>
  <sheetFormatPr baseColWidth="10" defaultRowHeight="16"/>
  <cols>
    <col min="1" max="2" width="5" style="33" customWidth="1"/>
    <col min="3" max="3" width="43" style="33" bestFit="1" customWidth="1"/>
    <col min="4" max="4" width="10.6640625" style="33" bestFit="1" customWidth="1"/>
    <col min="5" max="5" width="8.5" style="33" customWidth="1"/>
    <col min="6" max="6" width="68.33203125" style="33" customWidth="1"/>
    <col min="7" max="7" width="17" style="33" customWidth="1"/>
    <col min="8" max="11" width="10.83203125" style="33"/>
    <col min="12" max="12" width="16.33203125" style="33" customWidth="1"/>
    <col min="13" max="30" width="10.83203125" style="33"/>
    <col min="31" max="31" width="3.5" style="33" customWidth="1"/>
    <col min="32" max="32" width="3.33203125" style="33" customWidth="1"/>
    <col min="33" max="37" width="10.83203125" style="33"/>
    <col min="38" max="38" width="23" style="33" bestFit="1" customWidth="1"/>
    <col min="39" max="16384" width="10.83203125" style="33"/>
  </cols>
  <sheetData>
    <row r="1" spans="2:31" ht="17" thickBot="1"/>
    <row r="2" spans="2:31">
      <c r="B2" s="37"/>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9"/>
    </row>
    <row r="3" spans="2:31">
      <c r="B3" s="42"/>
      <c r="C3" s="10" t="s">
        <v>64</v>
      </c>
      <c r="D3" s="10" t="s">
        <v>63</v>
      </c>
      <c r="E3" s="10" t="s">
        <v>65</v>
      </c>
      <c r="F3" s="10" t="s">
        <v>66</v>
      </c>
      <c r="G3" s="10" t="s">
        <v>67</v>
      </c>
      <c r="M3" s="10" t="s">
        <v>92</v>
      </c>
      <c r="AE3" s="43"/>
    </row>
    <row r="4" spans="2:31" ht="16" customHeight="1">
      <c r="B4" s="42"/>
      <c r="AE4" s="43"/>
    </row>
    <row r="5" spans="2:31">
      <c r="B5" s="42"/>
      <c r="C5" s="91" t="s">
        <v>45</v>
      </c>
      <c r="D5" s="52">
        <v>15</v>
      </c>
      <c r="E5" s="68" t="s">
        <v>43</v>
      </c>
      <c r="F5" s="87"/>
      <c r="G5" s="82" t="s">
        <v>95</v>
      </c>
      <c r="H5" s="53" t="s">
        <v>103</v>
      </c>
      <c r="I5" s="53"/>
      <c r="J5" s="53"/>
      <c r="K5" s="53"/>
      <c r="L5" s="63"/>
      <c r="M5" s="53"/>
      <c r="N5" s="53"/>
      <c r="O5" s="53"/>
      <c r="P5" s="53"/>
      <c r="Q5" s="53"/>
      <c r="R5" s="53"/>
      <c r="S5" s="53"/>
      <c r="T5" s="53"/>
      <c r="U5" s="53"/>
      <c r="V5" s="53"/>
      <c r="W5" s="53"/>
      <c r="X5" s="53"/>
      <c r="Y5" s="53"/>
      <c r="Z5" s="53"/>
      <c r="AA5" s="53"/>
      <c r="AB5" s="53"/>
      <c r="AC5" s="53"/>
      <c r="AD5" s="54"/>
      <c r="AE5" s="43"/>
    </row>
    <row r="6" spans="2:31">
      <c r="B6" s="42"/>
      <c r="C6" s="92"/>
      <c r="D6" s="111"/>
      <c r="E6" s="66"/>
      <c r="F6" s="88"/>
      <c r="G6" s="83"/>
      <c r="L6" s="62"/>
      <c r="AD6" s="55"/>
      <c r="AE6" s="43"/>
    </row>
    <row r="7" spans="2:31">
      <c r="B7" s="42"/>
      <c r="C7" s="90"/>
      <c r="E7" s="66"/>
      <c r="F7" s="88"/>
      <c r="G7" s="83"/>
      <c r="L7" s="62"/>
      <c r="AD7" s="55"/>
      <c r="AE7" s="43"/>
    </row>
    <row r="8" spans="2:31">
      <c r="B8" s="42"/>
      <c r="C8" s="90"/>
      <c r="E8" s="66"/>
      <c r="F8" s="88"/>
      <c r="G8" s="79"/>
      <c r="L8" s="62"/>
      <c r="AD8" s="55"/>
      <c r="AE8" s="43"/>
    </row>
    <row r="9" spans="2:31">
      <c r="B9" s="42"/>
      <c r="C9" s="93"/>
      <c r="D9" s="58"/>
      <c r="E9" s="67"/>
      <c r="F9" s="89"/>
      <c r="G9" s="61"/>
      <c r="H9" s="58"/>
      <c r="I9" s="58"/>
      <c r="J9" s="58"/>
      <c r="K9" s="58"/>
      <c r="L9" s="64"/>
      <c r="M9" s="61"/>
      <c r="N9" s="58"/>
      <c r="O9" s="58"/>
      <c r="P9" s="58"/>
      <c r="Q9" s="58"/>
      <c r="R9" s="58"/>
      <c r="S9" s="58"/>
      <c r="T9" s="58"/>
      <c r="U9" s="58"/>
      <c r="V9" s="58"/>
      <c r="W9" s="58"/>
      <c r="X9" s="58"/>
      <c r="Y9" s="58"/>
      <c r="Z9" s="58"/>
      <c r="AA9" s="58"/>
      <c r="AB9" s="58"/>
      <c r="AC9" s="58"/>
      <c r="AD9" s="59"/>
      <c r="AE9" s="43"/>
    </row>
    <row r="10" spans="2:31">
      <c r="B10" s="42"/>
      <c r="AE10" s="43"/>
    </row>
    <row r="11" spans="2:31">
      <c r="B11" s="42"/>
      <c r="C11" s="91" t="s">
        <v>110</v>
      </c>
      <c r="D11" s="52">
        <v>2.1999999999999999E-2</v>
      </c>
      <c r="E11" s="68" t="s">
        <v>16</v>
      </c>
      <c r="F11" s="121" t="s">
        <v>116</v>
      </c>
      <c r="G11" s="82"/>
      <c r="H11" s="53"/>
      <c r="I11" s="53"/>
      <c r="J11" s="53"/>
      <c r="K11" s="53"/>
      <c r="L11" s="63"/>
      <c r="M11" s="53"/>
      <c r="N11" s="53"/>
      <c r="O11" s="53"/>
      <c r="P11" s="53"/>
      <c r="Q11" s="53"/>
      <c r="R11" s="53"/>
      <c r="S11" s="53"/>
      <c r="T11" s="53"/>
      <c r="U11" s="53"/>
      <c r="V11" s="53"/>
      <c r="W11" s="53"/>
      <c r="X11" s="53"/>
      <c r="Y11" s="53"/>
      <c r="Z11" s="53"/>
      <c r="AA11" s="53"/>
      <c r="AB11" s="53"/>
      <c r="AC11" s="53"/>
      <c r="AD11" s="54"/>
      <c r="AE11" s="43"/>
    </row>
    <row r="12" spans="2:31">
      <c r="B12" s="42"/>
      <c r="C12" s="56"/>
      <c r="D12" s="66"/>
      <c r="E12" s="62"/>
      <c r="F12" s="122"/>
      <c r="L12" s="62"/>
      <c r="AD12" s="55"/>
      <c r="AE12" s="43"/>
    </row>
    <row r="13" spans="2:31" ht="29" customHeight="1">
      <c r="B13" s="42"/>
      <c r="C13" s="90"/>
      <c r="D13" s="66"/>
      <c r="E13" s="62"/>
      <c r="F13" s="62" t="s">
        <v>113</v>
      </c>
      <c r="L13" s="62"/>
      <c r="AD13" s="55"/>
      <c r="AE13" s="43"/>
    </row>
    <row r="14" spans="2:31" ht="51">
      <c r="B14" s="42"/>
      <c r="C14" s="93"/>
      <c r="D14" s="67"/>
      <c r="E14" s="64"/>
      <c r="F14" s="107" t="s">
        <v>114</v>
      </c>
      <c r="G14" s="58"/>
      <c r="H14" s="58"/>
      <c r="I14" s="58"/>
      <c r="J14" s="58"/>
      <c r="K14" s="58"/>
      <c r="L14" s="64"/>
      <c r="M14" s="58"/>
      <c r="N14" s="58"/>
      <c r="O14" s="58"/>
      <c r="P14" s="58"/>
      <c r="Q14" s="58"/>
      <c r="R14" s="58"/>
      <c r="S14" s="58"/>
      <c r="T14" s="58"/>
      <c r="U14" s="58"/>
      <c r="V14" s="58"/>
      <c r="W14" s="58"/>
      <c r="X14" s="58"/>
      <c r="Y14" s="58"/>
      <c r="Z14" s="58"/>
      <c r="AA14" s="58"/>
      <c r="AB14" s="58"/>
      <c r="AC14" s="58"/>
      <c r="AD14" s="59"/>
      <c r="AE14" s="43"/>
    </row>
    <row r="15" spans="2:31">
      <c r="B15" s="42"/>
      <c r="F15" s="108"/>
      <c r="AE15" s="43"/>
    </row>
    <row r="16" spans="2:31" ht="16" customHeight="1">
      <c r="B16" s="42"/>
      <c r="C16" s="109" t="s">
        <v>109</v>
      </c>
      <c r="D16" s="68">
        <v>0.9</v>
      </c>
      <c r="E16" s="63"/>
      <c r="F16" s="110" t="s">
        <v>117</v>
      </c>
      <c r="G16" s="53"/>
      <c r="H16" s="53"/>
      <c r="I16" s="53"/>
      <c r="J16" s="53"/>
      <c r="K16" s="53"/>
      <c r="L16" s="63"/>
      <c r="M16" s="53"/>
      <c r="N16" s="53"/>
      <c r="O16" s="53"/>
      <c r="P16" s="53"/>
      <c r="Q16" s="53"/>
      <c r="R16" s="53"/>
      <c r="S16" s="53"/>
      <c r="T16" s="53"/>
      <c r="U16" s="53"/>
      <c r="V16" s="53"/>
      <c r="W16" s="53"/>
      <c r="X16" s="53"/>
      <c r="Y16" s="53"/>
      <c r="Z16" s="53"/>
      <c r="AA16" s="53"/>
      <c r="AB16" s="53"/>
      <c r="AC16" s="53"/>
      <c r="AD16" s="54"/>
      <c r="AE16" s="43"/>
    </row>
    <row r="17" spans="2:38" ht="51">
      <c r="B17" s="42"/>
      <c r="C17" s="93"/>
      <c r="D17" s="67"/>
      <c r="E17" s="64"/>
      <c r="F17" s="107" t="s">
        <v>124</v>
      </c>
      <c r="G17" s="58"/>
      <c r="H17" s="58"/>
      <c r="I17" s="58"/>
      <c r="J17" s="58"/>
      <c r="K17" s="58"/>
      <c r="L17" s="64"/>
      <c r="M17" s="58"/>
      <c r="N17" s="58"/>
      <c r="O17" s="58"/>
      <c r="P17" s="58"/>
      <c r="Q17" s="58"/>
      <c r="R17" s="58"/>
      <c r="S17" s="58"/>
      <c r="T17" s="58"/>
      <c r="U17" s="58"/>
      <c r="V17" s="58"/>
      <c r="W17" s="58"/>
      <c r="X17" s="58"/>
      <c r="Y17" s="58"/>
      <c r="Z17" s="58"/>
      <c r="AA17" s="58"/>
      <c r="AB17" s="58"/>
      <c r="AC17" s="58"/>
      <c r="AD17" s="59"/>
      <c r="AE17" s="43"/>
    </row>
    <row r="18" spans="2:38" ht="17" customHeight="1">
      <c r="B18" s="42"/>
      <c r="AE18" s="43"/>
    </row>
    <row r="19" spans="2:38">
      <c r="B19" s="42"/>
      <c r="C19" s="91" t="s">
        <v>7</v>
      </c>
      <c r="D19" s="52">
        <f>AL32</f>
        <v>2.1044</v>
      </c>
      <c r="E19" s="68"/>
      <c r="F19" s="121" t="s">
        <v>121</v>
      </c>
      <c r="G19" s="82" t="s">
        <v>95</v>
      </c>
      <c r="H19" s="53" t="s">
        <v>93</v>
      </c>
      <c r="I19" s="53"/>
      <c r="J19" s="53"/>
      <c r="K19" s="53"/>
      <c r="L19" s="63"/>
      <c r="M19" s="53"/>
      <c r="N19" s="53"/>
      <c r="O19" s="53"/>
      <c r="P19" s="53"/>
      <c r="Q19" s="53"/>
      <c r="R19" s="53"/>
      <c r="S19" s="53"/>
      <c r="T19" s="53"/>
      <c r="U19" s="53"/>
      <c r="V19" s="53"/>
      <c r="W19" s="53"/>
      <c r="X19" s="53"/>
      <c r="Y19" s="53"/>
      <c r="Z19" s="53"/>
      <c r="AA19" s="53"/>
      <c r="AB19" s="53"/>
      <c r="AC19" s="53"/>
      <c r="AD19" s="54"/>
      <c r="AE19" s="43"/>
    </row>
    <row r="20" spans="2:38">
      <c r="B20" s="42"/>
      <c r="C20" s="92" t="s">
        <v>9</v>
      </c>
      <c r="D20" s="111">
        <f>AK49</f>
        <v>4.0740000000000033E-2</v>
      </c>
      <c r="E20" s="66"/>
      <c r="F20" s="122"/>
      <c r="G20" s="83" t="s">
        <v>96</v>
      </c>
      <c r="H20" s="33" t="s">
        <v>94</v>
      </c>
      <c r="L20" s="62"/>
      <c r="AD20" s="55"/>
      <c r="AE20" s="43"/>
      <c r="AH20" s="10" t="s">
        <v>77</v>
      </c>
    </row>
    <row r="21" spans="2:38">
      <c r="B21" s="42"/>
      <c r="C21" s="90"/>
      <c r="E21" s="66"/>
      <c r="F21" s="122"/>
      <c r="G21" s="83" t="s">
        <v>96</v>
      </c>
      <c r="H21" s="33" t="s">
        <v>122</v>
      </c>
      <c r="L21" s="62"/>
      <c r="AD21" s="55"/>
      <c r="AE21" s="43"/>
      <c r="AH21" s="70" t="s">
        <v>81</v>
      </c>
      <c r="AI21" s="71" t="s">
        <v>82</v>
      </c>
      <c r="AJ21" s="72" t="s">
        <v>75</v>
      </c>
      <c r="AK21" s="72" t="s">
        <v>76</v>
      </c>
      <c r="AL21" s="74" t="s">
        <v>80</v>
      </c>
    </row>
    <row r="22" spans="2:38">
      <c r="B22" s="42"/>
      <c r="C22" s="90"/>
      <c r="E22" s="66"/>
      <c r="F22" s="122"/>
      <c r="G22" s="79" t="s">
        <v>96</v>
      </c>
      <c r="H22" s="33" t="s">
        <v>123</v>
      </c>
      <c r="L22" s="62"/>
      <c r="AD22" s="55"/>
      <c r="AE22" s="43"/>
      <c r="AH22" s="69">
        <v>-10</v>
      </c>
      <c r="AI22" s="53">
        <v>60</v>
      </c>
      <c r="AJ22" s="54">
        <f>AI22-AH22</f>
        <v>70</v>
      </c>
      <c r="AK22" s="80">
        <f>6.08 - 0.0941 * AJ22 + 0.000464 * AJ22^2</f>
        <v>1.7665999999999995</v>
      </c>
      <c r="AL22" s="77">
        <f>AL23-$AK$49</f>
        <v>1.6970000000000001</v>
      </c>
    </row>
    <row r="23" spans="2:38">
      <c r="B23" s="42"/>
      <c r="C23" s="90"/>
      <c r="E23" s="66"/>
      <c r="F23" s="122"/>
      <c r="G23" s="65"/>
      <c r="L23" s="62"/>
      <c r="AD23" s="55"/>
      <c r="AE23" s="43"/>
      <c r="AH23" s="56">
        <f>AH22+1</f>
        <v>-9</v>
      </c>
      <c r="AI23" s="33">
        <v>60</v>
      </c>
      <c r="AJ23" s="55">
        <f t="shared" ref="AJ23:AJ47" si="0">AI23-AH23</f>
        <v>69</v>
      </c>
      <c r="AK23" s="112">
        <f t="shared" ref="AK23:AK47" si="1">6.08 - 0.0941 * AJ23 + 0.000464 * AJ23^2</f>
        <v>1.7962039999999995</v>
      </c>
      <c r="AL23" s="76">
        <f t="shared" ref="AL23:AL31" si="2">AL24-$AK$49</f>
        <v>1.7377400000000001</v>
      </c>
    </row>
    <row r="24" spans="2:38">
      <c r="B24" s="42"/>
      <c r="C24" s="90"/>
      <c r="E24" s="66"/>
      <c r="F24" s="122"/>
      <c r="G24" s="65"/>
      <c r="L24" s="62"/>
      <c r="AD24" s="55"/>
      <c r="AE24" s="43"/>
      <c r="AH24" s="56">
        <f t="shared" ref="AH24:AH47" si="3">AH23+1</f>
        <v>-8</v>
      </c>
      <c r="AI24" s="33">
        <v>60</v>
      </c>
      <c r="AJ24" s="55">
        <f t="shared" si="0"/>
        <v>68</v>
      </c>
      <c r="AK24" s="112">
        <f t="shared" si="1"/>
        <v>1.8267359999999995</v>
      </c>
      <c r="AL24" s="76">
        <f t="shared" si="2"/>
        <v>1.7784800000000001</v>
      </c>
    </row>
    <row r="25" spans="2:38">
      <c r="B25" s="42"/>
      <c r="C25" s="90"/>
      <c r="E25" s="66"/>
      <c r="F25" s="122"/>
      <c r="G25" s="65"/>
      <c r="L25" s="62"/>
      <c r="AD25" s="55"/>
      <c r="AE25" s="43"/>
      <c r="AH25" s="56">
        <f t="shared" si="3"/>
        <v>-7</v>
      </c>
      <c r="AI25" s="33">
        <v>60</v>
      </c>
      <c r="AJ25" s="55">
        <f t="shared" si="0"/>
        <v>67</v>
      </c>
      <c r="AK25" s="112">
        <f t="shared" si="1"/>
        <v>1.8581959999999995</v>
      </c>
      <c r="AL25" s="76">
        <f t="shared" si="2"/>
        <v>1.8192200000000001</v>
      </c>
    </row>
    <row r="26" spans="2:38">
      <c r="B26" s="42"/>
      <c r="C26" s="90"/>
      <c r="E26" s="66"/>
      <c r="F26" s="122"/>
      <c r="G26" s="65"/>
      <c r="L26" s="62"/>
      <c r="AD26" s="55"/>
      <c r="AE26" s="43"/>
      <c r="AH26" s="56">
        <f t="shared" si="3"/>
        <v>-6</v>
      </c>
      <c r="AI26" s="33">
        <v>60</v>
      </c>
      <c r="AJ26" s="55">
        <f t="shared" si="0"/>
        <v>66</v>
      </c>
      <c r="AK26" s="112">
        <f t="shared" si="1"/>
        <v>1.8905839999999996</v>
      </c>
      <c r="AL26" s="76">
        <f t="shared" si="2"/>
        <v>1.8599600000000001</v>
      </c>
    </row>
    <row r="27" spans="2:38">
      <c r="B27" s="42"/>
      <c r="C27" s="90"/>
      <c r="E27" s="66"/>
      <c r="F27" s="122"/>
      <c r="G27" s="65"/>
      <c r="L27" s="62"/>
      <c r="AD27" s="55"/>
      <c r="AE27" s="43"/>
      <c r="AH27" s="56">
        <f t="shared" si="3"/>
        <v>-5</v>
      </c>
      <c r="AI27" s="33">
        <v>60</v>
      </c>
      <c r="AJ27" s="55">
        <f t="shared" si="0"/>
        <v>65</v>
      </c>
      <c r="AK27" s="112">
        <f t="shared" si="1"/>
        <v>1.9238999999999997</v>
      </c>
      <c r="AL27" s="76">
        <f t="shared" si="2"/>
        <v>1.9007000000000001</v>
      </c>
    </row>
    <row r="28" spans="2:38">
      <c r="B28" s="42"/>
      <c r="C28" s="90"/>
      <c r="E28" s="66"/>
      <c r="F28" s="122"/>
      <c r="G28" s="65"/>
      <c r="L28" s="62"/>
      <c r="AD28" s="55"/>
      <c r="AE28" s="43"/>
      <c r="AH28" s="56">
        <f t="shared" si="3"/>
        <v>-4</v>
      </c>
      <c r="AI28" s="33">
        <v>60</v>
      </c>
      <c r="AJ28" s="55">
        <f t="shared" si="0"/>
        <v>64</v>
      </c>
      <c r="AK28" s="112">
        <f t="shared" si="1"/>
        <v>1.9581439999999999</v>
      </c>
      <c r="AL28" s="76">
        <f t="shared" si="2"/>
        <v>1.9414400000000001</v>
      </c>
    </row>
    <row r="29" spans="2:38">
      <c r="B29" s="42"/>
      <c r="C29" s="90"/>
      <c r="E29" s="66"/>
      <c r="F29" s="122"/>
      <c r="G29" s="65"/>
      <c r="L29" s="62"/>
      <c r="AD29" s="55"/>
      <c r="AE29" s="43"/>
      <c r="AH29" s="56">
        <f t="shared" si="3"/>
        <v>-3</v>
      </c>
      <c r="AI29" s="33">
        <v>60</v>
      </c>
      <c r="AJ29" s="55">
        <f t="shared" si="0"/>
        <v>63</v>
      </c>
      <c r="AK29" s="112">
        <f t="shared" si="1"/>
        <v>1.9933159999999999</v>
      </c>
      <c r="AL29" s="76">
        <f t="shared" si="2"/>
        <v>1.9821800000000001</v>
      </c>
    </row>
    <row r="30" spans="2:38">
      <c r="B30" s="42"/>
      <c r="C30" s="90"/>
      <c r="E30" s="66"/>
      <c r="F30" s="122"/>
      <c r="G30" s="65"/>
      <c r="L30" s="62"/>
      <c r="AD30" s="55"/>
      <c r="AE30" s="43"/>
      <c r="AH30" s="56">
        <f t="shared" si="3"/>
        <v>-2</v>
      </c>
      <c r="AI30" s="33">
        <v>60</v>
      </c>
      <c r="AJ30" s="55">
        <f t="shared" si="0"/>
        <v>62</v>
      </c>
      <c r="AK30" s="112">
        <f t="shared" si="1"/>
        <v>2.0294160000000003</v>
      </c>
      <c r="AL30" s="76">
        <f t="shared" si="2"/>
        <v>2.0229200000000001</v>
      </c>
    </row>
    <row r="31" spans="2:38">
      <c r="B31" s="42"/>
      <c r="C31" s="90"/>
      <c r="E31" s="66"/>
      <c r="F31" s="122"/>
      <c r="G31" s="65"/>
      <c r="L31" s="62"/>
      <c r="AD31" s="55"/>
      <c r="AE31" s="43"/>
      <c r="AH31" s="56">
        <f t="shared" si="3"/>
        <v>-1</v>
      </c>
      <c r="AI31" s="33">
        <v>60</v>
      </c>
      <c r="AJ31" s="55">
        <f t="shared" si="0"/>
        <v>61</v>
      </c>
      <c r="AK31" s="112">
        <f t="shared" si="1"/>
        <v>2.0664440000000002</v>
      </c>
      <c r="AL31" s="76">
        <f t="shared" si="2"/>
        <v>2.06366</v>
      </c>
    </row>
    <row r="32" spans="2:38">
      <c r="B32" s="42"/>
      <c r="C32" s="93"/>
      <c r="D32" s="58"/>
      <c r="E32" s="67"/>
      <c r="F32" s="123"/>
      <c r="G32" s="61"/>
      <c r="H32" s="58"/>
      <c r="I32" s="58"/>
      <c r="J32" s="58"/>
      <c r="K32" s="58"/>
      <c r="L32" s="64"/>
      <c r="M32" s="58"/>
      <c r="N32" s="58"/>
      <c r="O32" s="58"/>
      <c r="P32" s="58"/>
      <c r="Q32" s="58"/>
      <c r="R32" s="58"/>
      <c r="S32" s="58"/>
      <c r="T32" s="58"/>
      <c r="U32" s="58"/>
      <c r="V32" s="58"/>
      <c r="W32" s="58"/>
      <c r="X32" s="58"/>
      <c r="Y32" s="58"/>
      <c r="Z32" s="58"/>
      <c r="AA32" s="58"/>
      <c r="AB32" s="58"/>
      <c r="AC32" s="58"/>
      <c r="AD32" s="59"/>
      <c r="AE32" s="43"/>
      <c r="AG32" s="73" t="s">
        <v>78</v>
      </c>
      <c r="AH32" s="84">
        <f t="shared" si="3"/>
        <v>0</v>
      </c>
      <c r="AI32" s="73">
        <v>60</v>
      </c>
      <c r="AJ32" s="85">
        <f t="shared" si="0"/>
        <v>60</v>
      </c>
      <c r="AK32" s="113">
        <f t="shared" si="1"/>
        <v>2.1044</v>
      </c>
      <c r="AL32" s="86">
        <f>AK32</f>
        <v>2.1044</v>
      </c>
    </row>
    <row r="33" spans="2:38">
      <c r="B33" s="42"/>
      <c r="AE33" s="43"/>
      <c r="AH33" s="56">
        <f t="shared" si="3"/>
        <v>1</v>
      </c>
      <c r="AI33" s="33">
        <v>60</v>
      </c>
      <c r="AJ33" s="55">
        <f t="shared" si="0"/>
        <v>59</v>
      </c>
      <c r="AK33" s="112">
        <f t="shared" si="1"/>
        <v>2.1432840000000004</v>
      </c>
      <c r="AL33" s="76">
        <f>AL32+$AK$49</f>
        <v>2.14514</v>
      </c>
    </row>
    <row r="34" spans="2:38">
      <c r="B34" s="42"/>
      <c r="C34" s="91" t="s">
        <v>17</v>
      </c>
      <c r="D34" s="60">
        <f>D11*1.07</f>
        <v>2.3539999999999998E-2</v>
      </c>
      <c r="E34" s="68" t="s">
        <v>16</v>
      </c>
      <c r="F34" s="121" t="s">
        <v>131</v>
      </c>
      <c r="G34" s="82" t="s">
        <v>95</v>
      </c>
      <c r="H34" s="53" t="s">
        <v>90</v>
      </c>
      <c r="I34" s="53"/>
      <c r="J34" s="53"/>
      <c r="K34" s="53"/>
      <c r="L34" s="63"/>
      <c r="M34" s="53"/>
      <c r="N34" s="53"/>
      <c r="O34" s="53"/>
      <c r="P34" s="53"/>
      <c r="Q34" s="53"/>
      <c r="R34" s="53"/>
      <c r="S34" s="53"/>
      <c r="T34" s="53"/>
      <c r="U34" s="53"/>
      <c r="V34" s="53"/>
      <c r="W34" s="53"/>
      <c r="X34" s="53"/>
      <c r="Y34" s="53"/>
      <c r="Z34" s="53"/>
      <c r="AA34" s="53"/>
      <c r="AB34" s="53"/>
      <c r="AC34" s="53"/>
      <c r="AD34" s="54"/>
      <c r="AE34" s="43"/>
      <c r="AH34" s="56">
        <f t="shared" si="3"/>
        <v>2</v>
      </c>
      <c r="AI34" s="33">
        <v>60</v>
      </c>
      <c r="AJ34" s="55">
        <f t="shared" si="0"/>
        <v>58</v>
      </c>
      <c r="AK34" s="112">
        <f t="shared" si="1"/>
        <v>2.1830960000000004</v>
      </c>
      <c r="AL34" s="76">
        <f t="shared" ref="AL34:AL47" si="4">AL33+$AK$49</f>
        <v>2.18588</v>
      </c>
    </row>
    <row r="35" spans="2:38">
      <c r="B35" s="42"/>
      <c r="C35" s="92" t="s">
        <v>8</v>
      </c>
      <c r="D35" s="114">
        <f>0.0046/2.7</f>
        <v>1.7037037037037036E-3</v>
      </c>
      <c r="E35" s="66" t="s">
        <v>16</v>
      </c>
      <c r="F35" s="122"/>
      <c r="G35" s="83" t="s">
        <v>96</v>
      </c>
      <c r="H35" s="33" t="s">
        <v>93</v>
      </c>
      <c r="L35" s="62"/>
      <c r="AD35" s="55"/>
      <c r="AE35" s="43"/>
      <c r="AH35" s="33">
        <f t="shared" si="3"/>
        <v>3</v>
      </c>
      <c r="AI35" s="33">
        <v>60</v>
      </c>
      <c r="AJ35" s="33">
        <f t="shared" si="0"/>
        <v>57</v>
      </c>
      <c r="AK35" s="112">
        <f t="shared" si="1"/>
        <v>2.2238359999999995</v>
      </c>
      <c r="AL35" s="112">
        <f t="shared" si="4"/>
        <v>2.22662</v>
      </c>
    </row>
    <row r="36" spans="2:38">
      <c r="B36" s="42"/>
      <c r="C36" s="90"/>
      <c r="E36" s="66"/>
      <c r="F36" s="122"/>
      <c r="G36" s="83" t="s">
        <v>96</v>
      </c>
      <c r="H36" s="33" t="s">
        <v>98</v>
      </c>
      <c r="L36" s="62"/>
      <c r="AD36" s="55"/>
      <c r="AE36" s="43"/>
      <c r="AH36" s="56">
        <f t="shared" si="3"/>
        <v>4</v>
      </c>
      <c r="AI36" s="33">
        <v>60</v>
      </c>
      <c r="AJ36" s="55">
        <f t="shared" si="0"/>
        <v>56</v>
      </c>
      <c r="AK36" s="112">
        <f t="shared" si="1"/>
        <v>2.2655039999999995</v>
      </c>
      <c r="AL36" s="76">
        <f t="shared" si="4"/>
        <v>2.26736</v>
      </c>
    </row>
    <row r="37" spans="2:38">
      <c r="B37" s="42"/>
      <c r="C37" s="90"/>
      <c r="E37" s="66"/>
      <c r="F37" s="122"/>
      <c r="G37" s="79"/>
      <c r="L37" s="62"/>
      <c r="AD37" s="55"/>
      <c r="AE37" s="43"/>
      <c r="AH37" s="56">
        <f t="shared" si="3"/>
        <v>5</v>
      </c>
      <c r="AI37" s="33">
        <v>60</v>
      </c>
      <c r="AJ37" s="55">
        <f t="shared" si="0"/>
        <v>55</v>
      </c>
      <c r="AK37" s="112">
        <f t="shared" si="1"/>
        <v>2.3080999999999996</v>
      </c>
      <c r="AL37" s="76">
        <f t="shared" si="4"/>
        <v>2.3081</v>
      </c>
    </row>
    <row r="38" spans="2:38">
      <c r="B38" s="42"/>
      <c r="C38" s="90"/>
      <c r="E38" s="66"/>
      <c r="F38" s="122"/>
      <c r="G38" s="65"/>
      <c r="L38" s="62"/>
      <c r="AD38" s="55"/>
      <c r="AE38" s="43"/>
      <c r="AH38" s="56">
        <f t="shared" si="3"/>
        <v>6</v>
      </c>
      <c r="AI38" s="33">
        <v>60</v>
      </c>
      <c r="AJ38" s="55">
        <f t="shared" si="0"/>
        <v>54</v>
      </c>
      <c r="AK38" s="112">
        <f t="shared" si="1"/>
        <v>2.3516239999999997</v>
      </c>
      <c r="AL38" s="76">
        <f t="shared" si="4"/>
        <v>2.34884</v>
      </c>
    </row>
    <row r="39" spans="2:38">
      <c r="B39" s="42"/>
      <c r="C39" s="90"/>
      <c r="E39" s="66"/>
      <c r="F39" s="122"/>
      <c r="G39" s="65"/>
      <c r="L39" s="62"/>
      <c r="AD39" s="55"/>
      <c r="AE39" s="43"/>
      <c r="AH39" s="56">
        <f t="shared" si="3"/>
        <v>7</v>
      </c>
      <c r="AI39" s="33">
        <v>60</v>
      </c>
      <c r="AJ39" s="55">
        <f t="shared" si="0"/>
        <v>53</v>
      </c>
      <c r="AK39" s="112">
        <f t="shared" si="1"/>
        <v>2.3960759999999999</v>
      </c>
      <c r="AL39" s="76">
        <f t="shared" si="4"/>
        <v>2.38958</v>
      </c>
    </row>
    <row r="40" spans="2:38">
      <c r="B40" s="42"/>
      <c r="C40" s="90"/>
      <c r="E40" s="66"/>
      <c r="F40" s="122"/>
      <c r="G40" s="65"/>
      <c r="L40" s="62"/>
      <c r="AD40" s="55"/>
      <c r="AE40" s="43"/>
      <c r="AH40" s="56">
        <f t="shared" si="3"/>
        <v>8</v>
      </c>
      <c r="AI40" s="33">
        <v>60</v>
      </c>
      <c r="AJ40" s="55">
        <f t="shared" si="0"/>
        <v>52</v>
      </c>
      <c r="AK40" s="112">
        <f t="shared" si="1"/>
        <v>2.4414559999999996</v>
      </c>
      <c r="AL40" s="76">
        <f t="shared" si="4"/>
        <v>2.43032</v>
      </c>
    </row>
    <row r="41" spans="2:38" ht="16" customHeight="1">
      <c r="B41" s="42"/>
      <c r="C41" s="90"/>
      <c r="E41" s="66"/>
      <c r="F41" s="122"/>
      <c r="G41" s="65"/>
      <c r="L41" s="62"/>
      <c r="AD41" s="55"/>
      <c r="AE41" s="43"/>
      <c r="AH41" s="56">
        <f t="shared" si="3"/>
        <v>9</v>
      </c>
      <c r="AI41" s="33">
        <v>60</v>
      </c>
      <c r="AJ41" s="55">
        <f t="shared" si="0"/>
        <v>51</v>
      </c>
      <c r="AK41" s="112">
        <f t="shared" si="1"/>
        <v>2.4877639999999999</v>
      </c>
      <c r="AL41" s="76">
        <f t="shared" si="4"/>
        <v>2.47106</v>
      </c>
    </row>
    <row r="42" spans="2:38">
      <c r="B42" s="42"/>
      <c r="C42" s="90"/>
      <c r="E42" s="66"/>
      <c r="F42" s="122"/>
      <c r="G42" s="65"/>
      <c r="L42" s="62"/>
      <c r="AD42" s="55"/>
      <c r="AE42" s="43"/>
      <c r="AH42" s="56">
        <f t="shared" si="3"/>
        <v>10</v>
      </c>
      <c r="AI42" s="33">
        <v>60</v>
      </c>
      <c r="AJ42" s="55">
        <f t="shared" si="0"/>
        <v>50</v>
      </c>
      <c r="AK42" s="112">
        <f t="shared" si="1"/>
        <v>2.5350000000000001</v>
      </c>
      <c r="AL42" s="76">
        <f t="shared" si="4"/>
        <v>2.5118</v>
      </c>
    </row>
    <row r="43" spans="2:38">
      <c r="B43" s="42"/>
      <c r="C43" s="90"/>
      <c r="E43" s="66"/>
      <c r="F43" s="122"/>
      <c r="G43" s="65"/>
      <c r="L43" s="62"/>
      <c r="AD43" s="55"/>
      <c r="AE43" s="43"/>
      <c r="AH43" s="56">
        <f t="shared" si="3"/>
        <v>11</v>
      </c>
      <c r="AI43" s="33">
        <v>60</v>
      </c>
      <c r="AJ43" s="55">
        <f t="shared" si="0"/>
        <v>49</v>
      </c>
      <c r="AK43" s="112">
        <f t="shared" si="1"/>
        <v>2.583164</v>
      </c>
      <c r="AL43" s="76">
        <f t="shared" si="4"/>
        <v>2.55254</v>
      </c>
    </row>
    <row r="44" spans="2:38">
      <c r="B44" s="42"/>
      <c r="C44" s="90"/>
      <c r="E44" s="66"/>
      <c r="F44" s="122"/>
      <c r="G44" s="65"/>
      <c r="L44" s="62"/>
      <c r="AD44" s="55"/>
      <c r="AE44" s="43"/>
      <c r="AH44" s="56">
        <f t="shared" si="3"/>
        <v>12</v>
      </c>
      <c r="AI44" s="33">
        <v>60</v>
      </c>
      <c r="AJ44" s="55">
        <f t="shared" si="0"/>
        <v>48</v>
      </c>
      <c r="AK44" s="112">
        <f t="shared" si="1"/>
        <v>2.6322559999999999</v>
      </c>
      <c r="AL44" s="76">
        <f t="shared" si="4"/>
        <v>2.59328</v>
      </c>
    </row>
    <row r="45" spans="2:38">
      <c r="B45" s="42"/>
      <c r="C45" s="90"/>
      <c r="E45" s="66"/>
      <c r="F45" s="122"/>
      <c r="G45" s="65"/>
      <c r="L45" s="62"/>
      <c r="AD45" s="55"/>
      <c r="AE45" s="43"/>
      <c r="AH45" s="56">
        <f t="shared" si="3"/>
        <v>13</v>
      </c>
      <c r="AI45" s="33">
        <v>60</v>
      </c>
      <c r="AJ45" s="55">
        <f t="shared" si="0"/>
        <v>47</v>
      </c>
      <c r="AK45" s="112">
        <f t="shared" si="1"/>
        <v>2.6822760000000003</v>
      </c>
      <c r="AL45" s="76">
        <f t="shared" si="4"/>
        <v>2.63402</v>
      </c>
    </row>
    <row r="46" spans="2:38">
      <c r="B46" s="42"/>
      <c r="C46" s="90"/>
      <c r="E46" s="66"/>
      <c r="F46" s="122"/>
      <c r="G46" s="65"/>
      <c r="L46" s="62"/>
      <c r="AD46" s="55"/>
      <c r="AE46" s="43"/>
      <c r="AH46" s="56">
        <f t="shared" si="3"/>
        <v>14</v>
      </c>
      <c r="AI46" s="33">
        <v>60</v>
      </c>
      <c r="AJ46" s="55">
        <f t="shared" si="0"/>
        <v>46</v>
      </c>
      <c r="AK46" s="112">
        <f t="shared" si="1"/>
        <v>2.7332240000000003</v>
      </c>
      <c r="AL46" s="76">
        <f t="shared" si="4"/>
        <v>2.67476</v>
      </c>
    </row>
    <row r="47" spans="2:38" ht="17" customHeight="1">
      <c r="B47" s="42"/>
      <c r="C47" s="93"/>
      <c r="D47" s="58"/>
      <c r="E47" s="67"/>
      <c r="F47" s="123"/>
      <c r="G47" s="61"/>
      <c r="H47" s="58"/>
      <c r="I47" s="58"/>
      <c r="J47" s="58"/>
      <c r="K47" s="58"/>
      <c r="L47" s="64"/>
      <c r="M47" s="58"/>
      <c r="N47" s="58"/>
      <c r="O47" s="58"/>
      <c r="P47" s="58"/>
      <c r="Q47" s="58"/>
      <c r="R47" s="58"/>
      <c r="S47" s="58"/>
      <c r="T47" s="58"/>
      <c r="U47" s="58"/>
      <c r="V47" s="58"/>
      <c r="W47" s="58"/>
      <c r="X47" s="58"/>
      <c r="Y47" s="58"/>
      <c r="Z47" s="58"/>
      <c r="AA47" s="58"/>
      <c r="AB47" s="58"/>
      <c r="AC47" s="58"/>
      <c r="AD47" s="59"/>
      <c r="AE47" s="43"/>
      <c r="AH47" s="57">
        <f t="shared" si="3"/>
        <v>15</v>
      </c>
      <c r="AI47" s="58">
        <v>60</v>
      </c>
      <c r="AJ47" s="59">
        <f t="shared" si="0"/>
        <v>45</v>
      </c>
      <c r="AK47" s="81">
        <f t="shared" si="1"/>
        <v>2.7851000000000004</v>
      </c>
      <c r="AL47" s="78">
        <f t="shared" si="4"/>
        <v>2.7155</v>
      </c>
    </row>
    <row r="48" spans="2:38" ht="17" thickBot="1">
      <c r="B48" s="4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45"/>
    </row>
    <row r="49" spans="34:37">
      <c r="AH49" s="70" t="s">
        <v>79</v>
      </c>
      <c r="AI49" s="71"/>
      <c r="AJ49" s="71"/>
      <c r="AK49" s="75">
        <f>(AK47-AK22)/(AH47-AH22)</f>
        <v>4.0740000000000033E-2</v>
      </c>
    </row>
  </sheetData>
  <mergeCells count="3">
    <mergeCell ref="F19:F32"/>
    <mergeCell ref="F34:F47"/>
    <mergeCell ref="F11:F1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6ea20d7-b07c-4b8c-910d-061b36a62ee7">
      <Terms xmlns="http://schemas.microsoft.com/office/infopath/2007/PartnerControls"/>
    </lcf76f155ced4ddcb4097134ff3c332f>
    <TaxCatchAll xmlns="8ea8976e-b461-4dc7-a1f6-93425136281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76FF306601E54A9190474F965DF301" ma:contentTypeVersion="16" ma:contentTypeDescription="Een nieuw document maken." ma:contentTypeScope="" ma:versionID="2d5b1a079c3a4d9b8052884479b86ae9">
  <xsd:schema xmlns:xsd="http://www.w3.org/2001/XMLSchema" xmlns:xs="http://www.w3.org/2001/XMLSchema" xmlns:p="http://schemas.microsoft.com/office/2006/metadata/properties" xmlns:ns2="26ea20d7-b07c-4b8c-910d-061b36a62ee7" xmlns:ns3="8ea8976e-b461-4dc7-a1f6-93425136281f" targetNamespace="http://schemas.microsoft.com/office/2006/metadata/properties" ma:root="true" ma:fieldsID="6ec65de6216680c9b2572ace3498044f" ns2:_="" ns3:_="">
    <xsd:import namespace="26ea20d7-b07c-4b8c-910d-061b36a62ee7"/>
    <xsd:import namespace="8ea8976e-b461-4dc7-a1f6-93425136281f"/>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ea20d7-b07c-4b8c-910d-061b36a62e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11aa8d75-97ee-4a6e-a682-6298985b5c9e"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a8976e-b461-4dc7-a1f6-93425136281f"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63fa1f66-9166-4d51-a9dc-77dbf5e90cce}" ma:internalName="TaxCatchAll" ma:showField="CatchAllData" ma:web="8ea8976e-b461-4dc7-a1f6-9342513628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242B6A-2C4B-4142-B2E7-3634092A4249}">
  <ds:schemaRefs>
    <ds:schemaRef ds:uri="http://schemas.microsoft.com/sharepoint/v3/contenttype/forms"/>
  </ds:schemaRefs>
</ds:datastoreItem>
</file>

<file path=customXml/itemProps2.xml><?xml version="1.0" encoding="utf-8"?>
<ds:datastoreItem xmlns:ds="http://schemas.openxmlformats.org/officeDocument/2006/customXml" ds:itemID="{3431F30F-4767-42F3-B6CA-CBBB67480D65}">
  <ds:schemaRefs>
    <ds:schemaRef ds:uri="http://schemas.microsoft.com/office/2006/documentManagement/types"/>
    <ds:schemaRef ds:uri="http://purl.org/dc/terms/"/>
    <ds:schemaRef ds:uri="http://www.w3.org/XML/1998/namespace"/>
    <ds:schemaRef ds:uri="http://schemas.openxmlformats.org/package/2006/metadata/core-properties"/>
    <ds:schemaRef ds:uri="26ea20d7-b07c-4b8c-910d-061b36a62ee7"/>
    <ds:schemaRef ds:uri="http://schemas.microsoft.com/office/2006/metadata/properties"/>
    <ds:schemaRef ds:uri="http://purl.org/dc/dcmitype/"/>
    <ds:schemaRef ds:uri="http://purl.org/dc/elements/1.1/"/>
    <ds:schemaRef ds:uri="http://schemas.microsoft.com/office/infopath/2007/PartnerControls"/>
    <ds:schemaRef ds:uri="8ea8976e-b461-4dc7-a1f6-93425136281f"/>
  </ds:schemaRefs>
</ds:datastoreItem>
</file>

<file path=customXml/itemProps3.xml><?xml version="1.0" encoding="utf-8"?>
<ds:datastoreItem xmlns:ds="http://schemas.openxmlformats.org/officeDocument/2006/customXml" ds:itemID="{FE91C03B-412C-4CC7-8549-ADF6EEB7C4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ea20d7-b07c-4b8c-910d-061b36a62ee7"/>
    <ds:schemaRef ds:uri="8ea8976e-b461-4dc7-a1f6-9342513628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Dashboard</vt:lpstr>
      <vt:lpstr>Sources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Mathijs Bijkerk</dc:creator>
  <cp:lastModifiedBy>Jort Wolda</cp:lastModifiedBy>
  <dcterms:created xsi:type="dcterms:W3CDTF">2026-08-13T16:00:32Z</dcterms:created>
  <dcterms:modified xsi:type="dcterms:W3CDTF">2026-08-19T13:59:17Z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0x010100FB76FF306601E54A9190474F965DF301</vt:lpwstr>
  </property>
  <property fmtid="{D5CDD505-2E9C-101B-9397-08002B2CF9AE}" pid="3" name="MediaServiceImageTags">
    <vt:lpwstr/>
  </property>
</Properties>
</file>