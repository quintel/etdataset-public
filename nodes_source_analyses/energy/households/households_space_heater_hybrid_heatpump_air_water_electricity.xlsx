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ortwolda/Desktop/Quintel/etdataset/nodes_source_analyses/energy/households/"/>
    </mc:Choice>
  </mc:AlternateContent>
  <xr:revisionPtr revIDLastSave="0" documentId="13_ncr:1_{C919F2D3-B991-754B-B0FA-FF719D5D464A}" xr6:coauthVersionLast="47" xr6:coauthVersionMax="47" xr10:uidLastSave="{00000000-0000-0000-0000-000000000000}"/>
  <bookViews>
    <workbookView xWindow="3520" yWindow="-16200" windowWidth="22200" windowHeight="15300" xr2:uid="{A1272A0A-2295-F242-B379-D968EB1AC513}"/>
  </bookViews>
  <sheets>
    <sheet name="Dashboard" sheetId="1" r:id="rId1"/>
    <sheet name="Sources" sheetId="4" r:id="rId2"/>
    <sheet name="Analysis" sheetId="9" r:id="rId3"/>
  </sheets>
  <externalReferences>
    <externalReference r:id="rId4"/>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5" i="1" l="1"/>
  <c r="D8" i="9"/>
  <c r="D85" i="9"/>
  <c r="D33" i="9"/>
  <c r="D34" i="9"/>
  <c r="D7" i="9"/>
  <c r="D6" i="9"/>
  <c r="D5" i="9" s="1"/>
  <c r="F76" i="9"/>
  <c r="D66" i="9" s="1"/>
  <c r="E19" i="1" s="1"/>
  <c r="F71" i="9"/>
  <c r="F74" i="9"/>
  <c r="E15" i="1"/>
  <c r="E18" i="1"/>
  <c r="D4" i="9"/>
  <c r="D48" i="9"/>
  <c r="E28" i="1" s="1"/>
  <c r="E32" i="1"/>
  <c r="AT20" i="9"/>
  <c r="AN20" i="9"/>
  <c r="AH20" i="9"/>
  <c r="AV19" i="9"/>
  <c r="AW19" i="9" s="1"/>
  <c r="AP19" i="9"/>
  <c r="AQ19" i="9" s="1"/>
  <c r="AJ19" i="9"/>
  <c r="AK19" i="9" s="1"/>
  <c r="E12" i="1" l="1"/>
  <c r="E17" i="1"/>
  <c r="E10" i="1"/>
  <c r="E11" i="1"/>
  <c r="AT21" i="9"/>
  <c r="AV20" i="9"/>
  <c r="AW20" i="9" s="1"/>
  <c r="AN21" i="9"/>
  <c r="AP20" i="9"/>
  <c r="AQ20" i="9" s="1"/>
  <c r="AH21" i="9"/>
  <c r="AJ20" i="9"/>
  <c r="AK20" i="9" s="1"/>
  <c r="AV21" i="9" l="1"/>
  <c r="AW21" i="9" s="1"/>
  <c r="AT22" i="9"/>
  <c r="AP21" i="9"/>
  <c r="AQ21" i="9" s="1"/>
  <c r="AN22" i="9"/>
  <c r="AJ21" i="9"/>
  <c r="AK21" i="9" s="1"/>
  <c r="AH22" i="9"/>
  <c r="AV22" i="9" l="1"/>
  <c r="AW22" i="9" s="1"/>
  <c r="AT23" i="9"/>
  <c r="AP22" i="9"/>
  <c r="AQ22" i="9" s="1"/>
  <c r="AN23" i="9"/>
  <c r="AJ22" i="9"/>
  <c r="AK22" i="9" s="1"/>
  <c r="AH23" i="9"/>
  <c r="AV23" i="9" l="1"/>
  <c r="AW23" i="9" s="1"/>
  <c r="AT24" i="9"/>
  <c r="AP23" i="9"/>
  <c r="AQ23" i="9" s="1"/>
  <c r="AN24" i="9"/>
  <c r="AJ23" i="9"/>
  <c r="AK23" i="9" s="1"/>
  <c r="AH24" i="9"/>
  <c r="AV24" i="9" l="1"/>
  <c r="AW24" i="9" s="1"/>
  <c r="AT25" i="9"/>
  <c r="AP24" i="9"/>
  <c r="AQ24" i="9" s="1"/>
  <c r="AN25" i="9"/>
  <c r="AJ24" i="9"/>
  <c r="AK24" i="9" s="1"/>
  <c r="AH25" i="9"/>
  <c r="AV25" i="9" l="1"/>
  <c r="AW25" i="9" s="1"/>
  <c r="AT26" i="9"/>
  <c r="AP25" i="9"/>
  <c r="AQ25" i="9" s="1"/>
  <c r="AN26" i="9"/>
  <c r="AH26" i="9"/>
  <c r="AJ25" i="9"/>
  <c r="AK25" i="9" s="1"/>
  <c r="AV26" i="9" l="1"/>
  <c r="AW26" i="9" s="1"/>
  <c r="AT27" i="9"/>
  <c r="AP26" i="9"/>
  <c r="AQ26" i="9" s="1"/>
  <c r="AN27" i="9"/>
  <c r="AJ26" i="9"/>
  <c r="AK26" i="9" s="1"/>
  <c r="AH27" i="9"/>
  <c r="AV27" i="9" l="1"/>
  <c r="AW27" i="9" s="1"/>
  <c r="AT28" i="9"/>
  <c r="AN28" i="9"/>
  <c r="AP27" i="9"/>
  <c r="AQ27" i="9" s="1"/>
  <c r="AH28" i="9"/>
  <c r="AJ27" i="9"/>
  <c r="AK27" i="9" s="1"/>
  <c r="AT29" i="9" l="1"/>
  <c r="AV28" i="9"/>
  <c r="AW28" i="9" s="1"/>
  <c r="AN29" i="9"/>
  <c r="AP28" i="9"/>
  <c r="AQ28" i="9" s="1"/>
  <c r="AJ28" i="9"/>
  <c r="AK28" i="9" s="1"/>
  <c r="AH29" i="9"/>
  <c r="AV29" i="9" l="1"/>
  <c r="AW29" i="9" s="1"/>
  <c r="AX29" i="9" s="1"/>
  <c r="AT30" i="9"/>
  <c r="AP29" i="9"/>
  <c r="AQ29" i="9" s="1"/>
  <c r="AN30" i="9"/>
  <c r="AH30" i="9"/>
  <c r="AJ29" i="9"/>
  <c r="AK29" i="9" s="1"/>
  <c r="AL29" i="9" s="1"/>
  <c r="AR29" i="9" l="1"/>
  <c r="D17" i="9"/>
  <c r="E16" i="1" s="1"/>
  <c r="AV30" i="9"/>
  <c r="AW30" i="9" s="1"/>
  <c r="AT31" i="9"/>
  <c r="AN31" i="9"/>
  <c r="AP30" i="9"/>
  <c r="AQ30" i="9" s="1"/>
  <c r="AH31" i="9"/>
  <c r="AJ30" i="9"/>
  <c r="AK30" i="9" s="1"/>
  <c r="AT32" i="9" l="1"/>
  <c r="AV31" i="9"/>
  <c r="AW31" i="9" s="1"/>
  <c r="AN32" i="9"/>
  <c r="AP31" i="9"/>
  <c r="AQ31" i="9" s="1"/>
  <c r="AJ31" i="9"/>
  <c r="AK31" i="9" s="1"/>
  <c r="AH32" i="9"/>
  <c r="AT33" i="9" l="1"/>
  <c r="AV32" i="9"/>
  <c r="AW32" i="9" s="1"/>
  <c r="AN33" i="9"/>
  <c r="AP32" i="9"/>
  <c r="AQ32" i="9" s="1"/>
  <c r="AJ32" i="9"/>
  <c r="AK32" i="9" s="1"/>
  <c r="AH33" i="9"/>
  <c r="AT34" i="9" l="1"/>
  <c r="AV33" i="9"/>
  <c r="AW33" i="9" s="1"/>
  <c r="AP33" i="9"/>
  <c r="AQ33" i="9" s="1"/>
  <c r="AN34" i="9"/>
  <c r="AJ33" i="9"/>
  <c r="AK33" i="9" s="1"/>
  <c r="AH34" i="9"/>
  <c r="AV34" i="9" l="1"/>
  <c r="AW34" i="9" s="1"/>
  <c r="AT35" i="9"/>
  <c r="AP34" i="9"/>
  <c r="AQ34" i="9" s="1"/>
  <c r="AN35" i="9"/>
  <c r="AJ34" i="9"/>
  <c r="AK34" i="9" s="1"/>
  <c r="AH35" i="9"/>
  <c r="AT36" i="9" l="1"/>
  <c r="AV35" i="9"/>
  <c r="AW35" i="9" s="1"/>
  <c r="AP35" i="9"/>
  <c r="AQ35" i="9" s="1"/>
  <c r="AN36" i="9"/>
  <c r="AJ35" i="9"/>
  <c r="AK35" i="9" s="1"/>
  <c r="AH36" i="9"/>
  <c r="AT37" i="9" l="1"/>
  <c r="AV36" i="9"/>
  <c r="AW36" i="9" s="1"/>
  <c r="AP36" i="9"/>
  <c r="AQ36" i="9" s="1"/>
  <c r="AN37" i="9"/>
  <c r="AJ36" i="9"/>
  <c r="AK36" i="9" s="1"/>
  <c r="AH37" i="9"/>
  <c r="AV37" i="9" l="1"/>
  <c r="AW37" i="9" s="1"/>
  <c r="AT38" i="9"/>
  <c r="AP37" i="9"/>
  <c r="AQ37" i="9" s="1"/>
  <c r="AN38" i="9"/>
  <c r="AJ37" i="9"/>
  <c r="AK37" i="9" s="1"/>
  <c r="AH38" i="9"/>
  <c r="AV38" i="9" l="1"/>
  <c r="AW38" i="9" s="1"/>
  <c r="AT39" i="9"/>
  <c r="AP38" i="9"/>
  <c r="AQ38" i="9" s="1"/>
  <c r="AN39" i="9"/>
  <c r="AH39" i="9"/>
  <c r="AJ38" i="9"/>
  <c r="AK38" i="9" s="1"/>
  <c r="AV39" i="9" l="1"/>
  <c r="AW39" i="9" s="1"/>
  <c r="AT40" i="9"/>
  <c r="AP39" i="9"/>
  <c r="AQ39" i="9" s="1"/>
  <c r="AN40" i="9"/>
  <c r="AJ39" i="9"/>
  <c r="AK39" i="9" s="1"/>
  <c r="AH40" i="9"/>
  <c r="AV40" i="9" l="1"/>
  <c r="AW40" i="9" s="1"/>
  <c r="AT41" i="9"/>
  <c r="AP40" i="9"/>
  <c r="AQ40" i="9" s="1"/>
  <c r="AN41" i="9"/>
  <c r="AJ40" i="9"/>
  <c r="AK40" i="9" s="1"/>
  <c r="AH41" i="9"/>
  <c r="AV41" i="9" l="1"/>
  <c r="AW41" i="9" s="1"/>
  <c r="AT42" i="9"/>
  <c r="AP41" i="9"/>
  <c r="AQ41" i="9" s="1"/>
  <c r="AN42" i="9"/>
  <c r="AJ41" i="9"/>
  <c r="AK41" i="9" s="1"/>
  <c r="AH42" i="9"/>
  <c r="AV42" i="9" l="1"/>
  <c r="AW42" i="9" s="1"/>
  <c r="AT43" i="9"/>
  <c r="AP42" i="9"/>
  <c r="AQ42" i="9" s="1"/>
  <c r="AN43" i="9"/>
  <c r="AJ42" i="9"/>
  <c r="AK42" i="9" s="1"/>
  <c r="AH43" i="9"/>
  <c r="AV43" i="9" l="1"/>
  <c r="AW43" i="9" s="1"/>
  <c r="AT44" i="9"/>
  <c r="AV44" i="9" s="1"/>
  <c r="AW44" i="9" s="1"/>
  <c r="AW46" i="9" s="1"/>
  <c r="AP43" i="9"/>
  <c r="AQ43" i="9" s="1"/>
  <c r="AN44" i="9"/>
  <c r="AP44" i="9" s="1"/>
  <c r="AQ44" i="9" s="1"/>
  <c r="AJ43" i="9"/>
  <c r="AK43" i="9" s="1"/>
  <c r="AH44" i="9"/>
  <c r="AJ44" i="9" s="1"/>
  <c r="AK44" i="9" s="1"/>
  <c r="AK46" i="9" s="1"/>
  <c r="AQ46" i="9" l="1"/>
  <c r="AX28" i="9"/>
  <c r="AX27" i="9" s="1"/>
  <c r="AX26" i="9" s="1"/>
  <c r="AX25" i="9" s="1"/>
  <c r="AX24" i="9" s="1"/>
  <c r="AX23" i="9" s="1"/>
  <c r="AX22" i="9" s="1"/>
  <c r="AX21" i="9" s="1"/>
  <c r="AX20" i="9" s="1"/>
  <c r="AX19" i="9" s="1"/>
  <c r="AX30" i="9"/>
  <c r="AX31" i="9" s="1"/>
  <c r="AX32" i="9" s="1"/>
  <c r="AX33" i="9" s="1"/>
  <c r="AX34" i="9" s="1"/>
  <c r="AX35" i="9" s="1"/>
  <c r="AX36" i="9" s="1"/>
  <c r="AX37" i="9" s="1"/>
  <c r="AX38" i="9" s="1"/>
  <c r="AX39" i="9" s="1"/>
  <c r="AX40" i="9" s="1"/>
  <c r="AX41" i="9" s="1"/>
  <c r="AX42" i="9" s="1"/>
  <c r="AX43" i="9" s="1"/>
  <c r="AX44" i="9" s="1"/>
  <c r="AL28" i="9"/>
  <c r="AL27" i="9" s="1"/>
  <c r="AL26" i="9" s="1"/>
  <c r="AL25" i="9" s="1"/>
  <c r="AL24" i="9" s="1"/>
  <c r="AL23" i="9" s="1"/>
  <c r="AL22" i="9" s="1"/>
  <c r="AL21" i="9" s="1"/>
  <c r="AL20" i="9" s="1"/>
  <c r="AL19" i="9" s="1"/>
  <c r="AL30" i="9"/>
  <c r="AL31" i="9" s="1"/>
  <c r="AL32" i="9" s="1"/>
  <c r="AL33" i="9" s="1"/>
  <c r="AL34" i="9" s="1"/>
  <c r="AL35" i="9" s="1"/>
  <c r="AL36" i="9" s="1"/>
  <c r="AL37" i="9" s="1"/>
  <c r="AL38" i="9" s="1"/>
  <c r="AL39" i="9" s="1"/>
  <c r="AL40" i="9" s="1"/>
  <c r="AL41" i="9" s="1"/>
  <c r="AL42" i="9" s="1"/>
  <c r="AL43" i="9" s="1"/>
  <c r="AL44" i="9" s="1"/>
  <c r="D18" i="9" l="1"/>
  <c r="E20" i="1" s="1"/>
  <c r="AR28" i="9"/>
  <c r="AR27" i="9" s="1"/>
  <c r="AR26" i="9" s="1"/>
  <c r="AR25" i="9" s="1"/>
  <c r="AR24" i="9" s="1"/>
  <c r="AR23" i="9" s="1"/>
  <c r="AR22" i="9" s="1"/>
  <c r="AR21" i="9" s="1"/>
  <c r="AR20" i="9" s="1"/>
  <c r="AR19" i="9" s="1"/>
  <c r="AR30" i="9"/>
  <c r="AR31" i="9" s="1"/>
  <c r="AR32" i="9" s="1"/>
  <c r="AR33" i="9" s="1"/>
  <c r="AR34" i="9" s="1"/>
  <c r="AR35" i="9" s="1"/>
  <c r="AR36" i="9" s="1"/>
  <c r="AR37" i="9" s="1"/>
  <c r="AR38" i="9" s="1"/>
  <c r="AR39" i="9" s="1"/>
  <c r="AR40" i="9" s="1"/>
  <c r="AR41" i="9" s="1"/>
  <c r="AR42" i="9" s="1"/>
  <c r="AR43" i="9" s="1"/>
  <c r="AR44" i="9" s="1"/>
</calcChain>
</file>

<file path=xl/sharedStrings.xml><?xml version="1.0" encoding="utf-8"?>
<sst xmlns="http://schemas.openxmlformats.org/spreadsheetml/2006/main" count="252" uniqueCount="155">
  <si>
    <t>Attribute</t>
  </si>
  <si>
    <t>Unit</t>
  </si>
  <si>
    <t>Value</t>
  </si>
  <si>
    <t>Definition</t>
  </si>
  <si>
    <t>Source</t>
  </si>
  <si>
    <t>Technical</t>
  </si>
  <si>
    <t>input.ambient_heat</t>
  </si>
  <si>
    <t>-</t>
  </si>
  <si>
    <t>input.electricity</t>
  </si>
  <si>
    <t>output.useable_heat</t>
  </si>
  <si>
    <t>fever.base_cop</t>
  </si>
  <si>
    <t>fever.capacity.electricity</t>
  </si>
  <si>
    <t>fever.cop_per_degree</t>
  </si>
  <si>
    <t>storage.volume</t>
  </si>
  <si>
    <t>MWh</t>
  </si>
  <si>
    <t>storage.cost_per_mwh</t>
  </si>
  <si>
    <t>availability</t>
  </si>
  <si>
    <t>full_load_hours</t>
  </si>
  <si>
    <t>households_supplied_per_unit</t>
  </si>
  <si>
    <t>MW</t>
  </si>
  <si>
    <t>heat_output_capacity</t>
  </si>
  <si>
    <t>Heat output capacity</t>
  </si>
  <si>
    <t>Cost</t>
  </si>
  <si>
    <t>initial_investment</t>
  </si>
  <si>
    <t>euro</t>
  </si>
  <si>
    <t>Initial investment costs</t>
  </si>
  <si>
    <t>ccs_investment</t>
  </si>
  <si>
    <t>Investment cost with ccs</t>
  </si>
  <si>
    <t>cost_of_installing</t>
  </si>
  <si>
    <t>Installation cost</t>
  </si>
  <si>
    <t>decommissioning_costs</t>
  </si>
  <si>
    <t>fixed_operation_and_maintenance_costs_per_year</t>
  </si>
  <si>
    <t>euro/year</t>
  </si>
  <si>
    <t>Fixed operational and maintenance costs per year</t>
  </si>
  <si>
    <t>variable_operation_and_maintenance_costs_per_full_load_hour</t>
  </si>
  <si>
    <t>euro/FLH</t>
  </si>
  <si>
    <t>Variable operational and maintenance costs</t>
  </si>
  <si>
    <t>variable_operation_and_maintenance_costs_for_ccs_per_full_load_hour</t>
  </si>
  <si>
    <t>Variable operational and maintenance costs for ccs</t>
  </si>
  <si>
    <t>wacc</t>
  </si>
  <si>
    <t>%</t>
  </si>
  <si>
    <t>Weighted average cost of capita</t>
  </si>
  <si>
    <t>takes_part_in_ets</t>
  </si>
  <si>
    <t>yes=1, no=0</t>
  </si>
  <si>
    <t>eur0/MWh</t>
  </si>
  <si>
    <t>Other</t>
  </si>
  <si>
    <t>construction_time</t>
  </si>
  <si>
    <t>years</t>
  </si>
  <si>
    <t xml:space="preserve">Construction time of the plant </t>
  </si>
  <si>
    <t>technical_lifetime</t>
  </si>
  <si>
    <t>Technical lifetime of the plant</t>
  </si>
  <si>
    <t>free_co2_factor</t>
  </si>
  <si>
    <t xml:space="preserve">Decommissioning cost </t>
  </si>
  <si>
    <t>Author</t>
  </si>
  <si>
    <t>Node</t>
  </si>
  <si>
    <t>Organisation</t>
  </si>
  <si>
    <t>Quintel</t>
  </si>
  <si>
    <t>Description</t>
  </si>
  <si>
    <t>Published year</t>
  </si>
  <si>
    <t>Subject year</t>
  </si>
  <si>
    <t>Retreived year</t>
  </si>
  <si>
    <t>Link</t>
  </si>
  <si>
    <t>Subject country</t>
  </si>
  <si>
    <t>NL</t>
  </si>
  <si>
    <t>Title</t>
  </si>
  <si>
    <t>Author / organisation</t>
  </si>
  <si>
    <t>Variables</t>
  </si>
  <si>
    <t>value</t>
  </si>
  <si>
    <t>variable</t>
  </si>
  <si>
    <t>unit</t>
  </si>
  <si>
    <t>comment</t>
  </si>
  <si>
    <t>source</t>
  </si>
  <si>
    <t>Quintel assumption, see https://docs.energytransitionmodel.com/main/cost-wacc/</t>
  </si>
  <si>
    <t>Quintel assumption</t>
  </si>
  <si>
    <t>Note: "published year" might deviate from "subject year". For example, a study can be published in 2024 about costs parameters in 2020.</t>
  </si>
  <si>
    <r>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r>
    <r>
      <rPr>
        <i/>
        <sz val="12"/>
        <color rgb="FF000000"/>
        <rFont val="Aptos Narrow"/>
        <scheme val="minor"/>
      </rPr>
      <t>Note: in the final dashboard values, use ROUND to avoid long floats.</t>
    </r>
    <r>
      <rPr>
        <sz val="12"/>
        <color rgb="FF000000"/>
        <rFont val="Aptos Narrow"/>
        <scheme val="minor"/>
      </rPr>
      <t xml:space="preserve">
</t>
    </r>
  </si>
  <si>
    <t>DE</t>
  </si>
  <si>
    <t>Franhofer ISE</t>
  </si>
  <si>
    <t>https://pdf.sciencedirectassets.com/271429/1-s2.0-S0306261924X00148/1-s2.0-S0306261924010304/main.pdf?X-Amz-Security-Token=IQoJb3JpZ2luX2VjEDcaCXVzLWVhc3QtMSJHMEUCIDayx60tWfHNKXVVv8qS6t7aPyy1YM%2BiBAF7FCuifT67AiEAuYqhuC5gy%2FAawde7fGCHiyLrCKGdXwEYRSiojbmpQdMqvAUI%2F%2F%2F%2F%2F%2F%2F%2F%2F%2F%2F%2FARAFGgwwNTkwMDM1NDY4NjUiDOxvvumY1HhRiHczdCqQBRl5ICXGeg74c%2B%2BGt6IdqbTCtLh0Cu69IR5DEAACTsA%2FYwbWrgDr%2BzXwqBDPa6GZ8rgoLiR9YP9HwXG8g%2FsR0yi1Kld1R%2B%2FWY4sYSSMxxVoJmr9SAtWFnzKuv3LwQ0U2Adpceq1YsXSRwmaVFGy7fk389lcW%2Fx0PaB8USbARFUz8p03pCT3wcy8uXWXyCUsRNl6eN2pTmmamMv3RKEWuw3extsuoc3KfxXjb1TvnEDTIgZx1P8BYBcpoGfOuxdPLkVGa8bhbYyZ3HVNKrf7pzMaq17fTLj4PtFdLFyyhuxiXNV3Vv%2BnsdmEbZhPvp99m3lYJsMRX7bHAtXdbw661dYT3M%2BPCe%2B2kJQwMikZxWfs%2FihlZaEbdIlQpMbfX7xST6xM%2BeeEEIvV%2ByABbJ5kxzBBjHzbJtSk%2FN4YhVLoyXDdq1LEenN5CVcFf0YztFQk8SMQoMi%2BAhVpoSV3LUK5DFisHXeXWMHsc3QUDM9XFp26Y1GovhZJ%2FijGUhgTn%2FTC00qogUqGKkhG8ws4pnu94DzqgWxmVjyWX%2FqX30i6fDPpUxSHKujCyTj8siOS1lTNWWz3UoZDFmz3frOI2ztMm%2FVfWe5OVeVblN87IRAYyyxJ5uKCv5C66BGzW4YUiIVBSFkFdv872uvoP5J61SJVs9v20T6SbGfxJM5LLK4KqvQHWYs4YCMzA%2BVEwwXF4hhZ8CVD4PK9cTnxzsdFLLFOkBdrcoYL4uEIaufqbnZthK%2FbpUrMgMYWi2jgW8wG4s9ipCWTg6R5bvu2Ds6Q3UmUo7CglQ%2FJD5ASTEHmqR%2BCGYqUNRAeH4YlHSwliIoR6X77fyWpfWOBygE8rtJa%2FtVr82LfTpIljxYkK79XYmiKV0ls9MPfA%2FNMGOrEBYjfBchqkKUY1si0EA8Zq2hP92hHujyBIqLntJvfEzpLLYb0g37kv5ohpd%2F6qPuxSJ3%2BhVhPJfzDptMtbBx3zUZ4IhdZMgyeZOemV8w1F17hV0fBa03MzuejvBr2JtTLZICTYLwr%2BH0yS3XH9QU13P7vE%2BPpZc5gSh9J9CBi%2FtIddCYJZ1A8g073sJV7VbQyodWrsmfyWIvppurgch2bZZGxtV3uCtxOjTIPHblTrWVX7&amp;X-Amz-Algorithm=AWS4-HMAC-SHA256&amp;X-Amz-Date=20260814T142629Z&amp;X-Amz-SignedHeaders=host&amp;X-Amz-Expires=300&amp;X-Amz-Credential=ASIAQ3PHCVTYQ7GBCDX4%2F20260814%2Fus-east-1%2Fs3%2Faws4_request&amp;X-Amz-Signature=f5505e1ab0c3d216f958b3dd2da6d768b974147a086a958ae13c8ff067f3f793&amp;hash=700ab74877321dbaa56e45a1d6afdbe3b6e32748e211e8ec3c9cab8c75cadcf4&amp;host=68042c943591013ac2b2430a89b270f6af2c76d8dfd086a07176afe7c76c2c61&amp;pii=S0306261924010304&amp;tid=spdf-df67c04d-858b-4d71-8345-3792de26f625&amp;sid=71107c3f109b914cd36b34220ded9018ec04gxrqb&amp;type=client&amp;tsoh=d3d3LnNjaWVuY2VkaXJlY3QuY29t&amp;rh=d3d3LnNjaWVuY2VkaXJlY3QuY29t&amp;ua=140a0653005505515b5757&amp;rr=a2b0a2864a59feb4&amp;cc=nl</t>
  </si>
  <si>
    <t xml:space="preserve">Impact of temperature dependent coefficient of performance of heat pumps on heating systems in national and regional energy systems modelling </t>
  </si>
  <si>
    <t>Bogdanov, Stymov, Breyer (LUT University)</t>
  </si>
  <si>
    <t>delta T</t>
  </si>
  <si>
    <t>COP</t>
  </si>
  <si>
    <r>
      <t>Test formule</t>
    </r>
    <r>
      <rPr>
        <sz val="12"/>
        <color theme="1"/>
        <rFont val="Aptos Narrow"/>
        <scheme val="minor"/>
      </rPr>
      <t xml:space="preserve"> (ASHP)</t>
    </r>
  </si>
  <si>
    <t>Base COP</t>
  </si>
  <si>
    <t>Average COP per degree</t>
  </si>
  <si>
    <t>COP (lineair aproximation)</t>
  </si>
  <si>
    <t>Outside temp</t>
  </si>
  <si>
    <t>Sink temp</t>
  </si>
  <si>
    <t>https://www.nature.com/articles/s41597-019-0199-y</t>
  </si>
  <si>
    <t xml:space="preserve">Ruhnau, O., Hirth, L. &amp; Praktiknjo, A. </t>
  </si>
  <si>
    <t>Time series of heat demand and heat pump efficiency for energy system modeling (When2Heat)</t>
  </si>
  <si>
    <t>CE Delft</t>
  </si>
  <si>
    <t>https://ce.nl/wp-content/uploads/2023/03/CE_Delft_210348_Update_kentallen_installaties_Vesta_MAIS_Def.pdf</t>
  </si>
  <si>
    <t>Jort Wolda</t>
  </si>
  <si>
    <t>20 jahre wärmepumpen-monitoring am Fraunhofer ISE</t>
  </si>
  <si>
    <t>https://www.ise.fraunhofer.de/en/research-projects/wp-qs-im-bestand.html</t>
  </si>
  <si>
    <t>2023 - 2024</t>
  </si>
  <si>
    <t>Update kentallen installaties Vesta MAIS</t>
  </si>
  <si>
    <t xml:space="preserve">https://kennisdelen.rvo.nl/file/download/a29e1ec4-ad00-4a5b-ba62-287ca7602ddf/Installatiemonitor_3_eindrapportage_v1.02.pdf </t>
  </si>
  <si>
    <t>BDH</t>
  </si>
  <si>
    <t>Installatiemonitor 3.0</t>
  </si>
  <si>
    <t>Installatiemonitor 3.0 - De warmtepomp in de gebouwde omgeving</t>
  </si>
  <si>
    <t>Screenshots</t>
  </si>
  <si>
    <t>Bogdanov et al. (2024)</t>
  </si>
  <si>
    <t>Ruhnau et al. (2019)</t>
  </si>
  <si>
    <t>Main source:</t>
  </si>
  <si>
    <t>Supporting source:</t>
  </si>
  <si>
    <t xml:space="preserve">https://www.sinclair-solutions.com/files/product-fiche/sinclair-prfi-shp-140ica-shp-140eca2.pdf </t>
  </si>
  <si>
    <t>Sinclair</t>
  </si>
  <si>
    <t>Sinclair SHP-140ICA + SHP-140ECA product fiche</t>
  </si>
  <si>
    <t>Update kengetallen Vesta Mais</t>
  </si>
  <si>
    <t>Average between min and max</t>
  </si>
  <si>
    <t>Directly from source</t>
  </si>
  <si>
    <t>€ / year</t>
  </si>
  <si>
    <t>€ / #</t>
  </si>
  <si>
    <t>Installatiemonitor 3.0 &amp; Bofdanov et al. (2024)</t>
  </si>
  <si>
    <t>https://ce.nl/wp-content/uploads/2021/04/04_Factsheet-Luchtwarmtepomp_DEF.pdf</t>
  </si>
  <si>
    <t>Factsheet Luchtwarmtepomp</t>
  </si>
  <si>
    <t>Factsheet warmtepompen</t>
  </si>
  <si>
    <t>Factsheet luchtwarmtepomp</t>
  </si>
  <si>
    <t>input.ambient_heat, input.electricity, heat_output_capacity, fever.capacity.electricity</t>
  </si>
  <si>
    <t>input.ambient_heat, input.electricity</t>
  </si>
  <si>
    <t>fever.base_cop, fever.cop_per_degree, heat_output_capacity, fever.capacity.electricity</t>
  </si>
  <si>
    <t>fever.base_cop, fever.cop_per_degree</t>
  </si>
  <si>
    <t>initial_investment, fixed_operation_and_maintenance_costs_per_year</t>
  </si>
  <si>
    <t>input.network_gas</t>
  </si>
  <si>
    <t>Condensation (LHV/HHV correction)</t>
  </si>
  <si>
    <t>Dataset specific, should be excluded when exporting</t>
  </si>
  <si>
    <t>output.useable_heat.ambient_heat</t>
  </si>
  <si>
    <t>output.useable_heat.electricity</t>
  </si>
  <si>
    <t>output.useable_heat.network_gas</t>
  </si>
  <si>
    <t>fever.capacity.network_gas</t>
  </si>
  <si>
    <t>fever.cop_cutoff</t>
  </si>
  <si>
    <t>https://opendata.cbs.nl/#/CBS/nl/dataset/85592NED/table</t>
  </si>
  <si>
    <t>CBS</t>
  </si>
  <si>
    <t>Gemiddelde energietarieven voor consumenten</t>
  </si>
  <si>
    <t>Based on HR-107 condensing boiler - From households_space_heater_combined_network_gas - Vesta is used as source</t>
  </si>
  <si>
    <t>Covered more extensively there</t>
  </si>
  <si>
    <t>In general, capacity for central heating boilers are mostly related to the peak demand caused by tap water. So it makes sense to have the same value for here as tap water is coverd by the gas boiler.</t>
  </si>
  <si>
    <t>Quintel assumption (using several sources)</t>
  </si>
  <si>
    <t>Same assumptions as used in households_space_heater_combined_network_gas.converter.ad</t>
  </si>
  <si>
    <t>The output is more than one since the lower heating value is used to calculate the efficiency.</t>
  </si>
  <si>
    <t>Gas price: 81.4 euro /m3</t>
  </si>
  <si>
    <t>LHV gas: 31.65 GJ / m3</t>
  </si>
  <si>
    <t>Efficiency gas boiler: 1.07</t>
  </si>
  <si>
    <t>Electricity price: 22.50 euro / kWh</t>
  </si>
  <si>
    <t>Threshold COP:</t>
  </si>
  <si>
    <t>Energy prices originate from older version of this node source analysis. The prices are outdated and should be updated. This update cannot, however, be isolated to this node. Interdependancies must be checked.</t>
  </si>
  <si>
    <t>Bogdanov et al. (2024) give COP formulas as a function of delta T for air, ground and water source heat pumps. The formulas originate from Ruhnau et al. (2019), which used 2016 manufacturer data, but Bogdanov et al. updated the coefficients. The changes are small but the fact they're revised in 2024 improves credibility. While the formula has a quadratic term, the curve is nearly linear in the relevant range (see chart).
These attributes should reproduce a SCOP broadly in line with the static value under typical conditions. Identical to the all_electric version, a sink temperature of 40 °C is assumed. Combined with an heat-demand-weighted average outside temperature of ~7 °C, this formula finds a COP of 3.5. The COP per degree is derived from the average step between −10 and 15 °C outside temperature.
Since the difference in performance between hybrid and all-electric is related to how and where it's used, these values are identical to the all-electric values.</t>
  </si>
  <si>
    <t>heat.output_capacity (heat pump only)</t>
  </si>
  <si>
    <r>
      <t xml:space="preserve">The average bivalence capacity* of hybrid heat pumps  in the </t>
    </r>
    <r>
      <rPr>
        <i/>
        <sz val="12"/>
        <color theme="1"/>
        <rFont val="Aptos Narrow (Hoofdtekst)"/>
      </rPr>
      <t>Installatiemonitor</t>
    </r>
    <r>
      <rPr>
        <sz val="12"/>
        <color theme="1"/>
        <rFont val="Aptos Narrow (Hoofdtekst)"/>
      </rPr>
      <t xml:space="preserve"> research was 4.6 kW. 
The heat.output_capacity is calculated here but not used, see row 85.
The COP at bivalence capacity according to Bogdanov et al. (2024) is 2.7. Which is used to find the electrical capacity.
</t>
    </r>
    <r>
      <rPr>
        <i/>
        <sz val="12"/>
        <color theme="1"/>
        <rFont val="Aptos Narrow (Hoofdtekst)"/>
      </rPr>
      <t xml:space="preserve">*The capacity of the heat pump at the lowest outdoor temperature point at which the heat pump is declared to have a capacity able to meet 100 % of the heating load without supplementary heater
This temperature is often around -7 °C as for the Sinclair SHP-140ICA + SHP-140ECA
</t>
    </r>
  </si>
  <si>
    <t>In practice either the gas boiler or the heat pump runs, not both at the same time. Therefore the heat_output_capacity is calculated based on the highest capacity of the two is used.</t>
  </si>
  <si>
    <r>
      <t xml:space="preserve">The Installatiemonitor tracks smart meter data from households with heat pumps, collected between 01-2023 and 01-2026, and therefore reflects real-world performance. The sample covers 200–250 all-electric and 1,955 hybrid heat pumps with a complete dataset. The average SCOP for space heating with all-electric heat pumps is 3.5, for hybrid it is 3.4.
The lower value is surprising on first notice since hybrid heat pumps can switch to gas when the outdoor temperature is lowest and the heat pumps performance is at its weakest (resulting in a </t>
    </r>
    <r>
      <rPr>
        <sz val="12"/>
        <color theme="1"/>
        <rFont val="Aptos Narrow"/>
        <scheme val="minor"/>
      </rPr>
      <t>'dekkingsgraad' of 78%)</t>
    </r>
    <r>
      <rPr>
        <sz val="12"/>
        <color theme="1"/>
        <rFont val="Aptos Narrow"/>
        <family val="2"/>
        <scheme val="minor"/>
      </rPr>
      <t xml:space="preserve">. However, precisely for this reason the insulation and delivery system is on average more modern in residences with all-electric households.
Since the difference is marginal and related to how and where the technology is used, the same SCOP of 3.5 is assumed for hybrids. 
The 'dekkingsgraad'  shows that 22% of the heat is provided by natural gas, with an efficiency of 107% (due to LHV). Of this 22% of heat, 0.07/1.07 is condensation heat, the rest comes from network gas. Because we need inputs that count up to 1, we correct for the condensation to at least keep the ratio between ambient, electricity and gas correct.
Hard coded values in calculation: 0.78 = share of heat provided by heatpump (dekkingsgraad), 0.22 = share of heat provided by gas boiler, 3.5 = COP, 1.07 = efficiency gas boiler, 0.07 part of efficiency above 1 (due to condensation).
</t>
    </r>
  </si>
  <si>
    <t>households_space_heater_hybrid_heatpump_air_water_electricity.ad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</si>
</sst>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
    <numFmt numFmtId="166" formatCode="0.000"/>
    <numFmt numFmtId="167" formatCode="0.00000"/>
    <numFmt numFmtId="168" formatCode="0.0000000"/>
    <numFmt numFmtId="169" formatCode="0.000000"/>
  </numFmts>
  <fonts count="15">
    <font>
      <sz val="12"/>
      <color theme="1"/>
      <name val="Aptos Narrow"/>
      <family val="2"/>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4"/>
      <color theme="1"/>
      <name val="Aptos Narrow"/>
      <scheme val="minor"/>
    </font>
    <font>
      <u/>
      <sz val="12"/>
      <color theme="10"/>
      <name val="Aptos Narrow"/>
      <family val="2"/>
      <scheme val="minor"/>
    </font>
    <font>
      <i/>
      <sz val="12"/>
      <color theme="1"/>
      <name val="Aptos Narrow"/>
      <scheme val="minor"/>
    </font>
    <font>
      <i/>
      <sz val="12"/>
      <color rgb="FF000000"/>
      <name val="Aptos Narrow"/>
      <scheme val="minor"/>
    </font>
    <font>
      <sz val="12"/>
      <color theme="1"/>
      <name val="Lettertype hoofdtekst"/>
      <family val="2"/>
    </font>
    <font>
      <sz val="12"/>
      <color theme="1"/>
      <name val="Aptos Narrow (Hoofdtekst)"/>
    </font>
    <font>
      <i/>
      <sz val="12"/>
      <color rgb="FFFF0000"/>
      <name val="Aptos Narrow"/>
      <scheme val="minor"/>
    </font>
    <font>
      <i/>
      <sz val="12"/>
      <color theme="1"/>
      <name val="Aptos Narrow (Hoofdtekst)"/>
    </font>
    <font>
      <sz val="12"/>
      <color theme="1"/>
      <name val="Aptos Narrow"/>
      <family val="2"/>
      <scheme val="minor"/>
    </font>
    <font>
      <sz val="12"/>
      <color rgb="FF00000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42">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thin">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top/>
      <bottom style="thin">
        <color auto="1"/>
      </bottom>
      <diagonal/>
    </border>
    <border>
      <left/>
      <right style="hair">
        <color indexed="64"/>
      </right>
      <top/>
      <bottom style="thin">
        <color auto="1"/>
      </bottom>
      <diagonal/>
    </border>
    <border>
      <left/>
      <right style="hair">
        <color indexed="64"/>
      </right>
      <top/>
      <bottom/>
      <diagonal/>
    </border>
    <border>
      <left/>
      <right style="hair">
        <color indexed="64"/>
      </right>
      <top style="thin">
        <color indexed="64"/>
      </top>
      <bottom/>
      <diagonal/>
    </border>
    <border>
      <left style="hair">
        <color indexed="64"/>
      </left>
      <right style="hair">
        <color indexed="64"/>
      </right>
      <top/>
      <bottom style="thin">
        <color auto="1"/>
      </bottom>
      <diagonal/>
    </border>
    <border>
      <left style="hair">
        <color indexed="64"/>
      </left>
      <right/>
      <top/>
      <bottom/>
      <diagonal/>
    </border>
    <border>
      <left style="hair">
        <color indexed="64"/>
      </left>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bottom/>
      <diagonal/>
    </border>
    <border>
      <left style="dotted">
        <color indexed="64"/>
      </left>
      <right style="hair">
        <color indexed="64"/>
      </right>
      <top/>
      <bottom/>
      <diagonal/>
    </border>
    <border>
      <left style="dotted">
        <color indexed="64"/>
      </left>
      <right style="dotted">
        <color indexed="64"/>
      </right>
      <top style="thin">
        <color auto="1"/>
      </top>
      <bottom/>
      <diagonal/>
    </border>
  </borders>
  <cellStyleXfs count="3">
    <xf numFmtId="0" fontId="0" fillId="0" borderId="0"/>
    <xf numFmtId="0" fontId="6" fillId="0" borderId="0" applyNumberFormat="0" applyFill="0" applyBorder="0" applyAlignment="0" applyProtection="0"/>
    <xf numFmtId="0" fontId="9" fillId="0" borderId="0"/>
  </cellStyleXfs>
  <cellXfs count="145">
    <xf numFmtId="0" fontId="0" fillId="0" borderId="0" xfId="0"/>
    <xf numFmtId="0" fontId="2" fillId="2" borderId="0" xfId="0" applyFont="1" applyFill="1"/>
    <xf numFmtId="0" fontId="2" fillId="2" borderId="2" xfId="0" applyFont="1" applyFill="1" applyBorder="1"/>
    <xf numFmtId="0" fontId="3" fillId="2" borderId="3" xfId="0" applyFont="1" applyFill="1" applyBorder="1"/>
    <xf numFmtId="0" fontId="2" fillId="2" borderId="9" xfId="0" applyFont="1" applyFill="1" applyBorder="1"/>
    <xf numFmtId="0" fontId="3" fillId="2" borderId="4" xfId="0" applyFont="1" applyFill="1" applyBorder="1"/>
    <xf numFmtId="0" fontId="3" fillId="2" borderId="1" xfId="0" applyFont="1" applyFill="1" applyBorder="1"/>
    <xf numFmtId="0" fontId="4" fillId="2" borderId="1" xfId="0" applyFont="1" applyFill="1" applyBorder="1"/>
    <xf numFmtId="0" fontId="5" fillId="2" borderId="10" xfId="0" applyFont="1" applyFill="1" applyBorder="1"/>
    <xf numFmtId="0" fontId="3" fillId="2" borderId="5" xfId="0" applyFont="1" applyFill="1" applyBorder="1"/>
    <xf numFmtId="0" fontId="3" fillId="2" borderId="0" xfId="0" applyFont="1" applyFill="1"/>
    <xf numFmtId="0" fontId="4" fillId="4" borderId="0" xfId="0" applyFont="1" applyFill="1"/>
    <xf numFmtId="0" fontId="5" fillId="2" borderId="11" xfId="0" applyFont="1" applyFill="1" applyBorder="1"/>
    <xf numFmtId="0" fontId="4" fillId="0" borderId="0" xfId="0" applyFont="1"/>
    <xf numFmtId="164" fontId="2" fillId="2" borderId="6" xfId="0" applyNumberFormat="1" applyFont="1" applyFill="1" applyBorder="1"/>
    <xf numFmtId="0" fontId="5" fillId="2" borderId="0" xfId="0" applyFont="1" applyFill="1"/>
    <xf numFmtId="0" fontId="2" fillId="0" borderId="0" xfId="0" applyFont="1"/>
    <xf numFmtId="0" fontId="3" fillId="0" borderId="0" xfId="0" applyFont="1"/>
    <xf numFmtId="0" fontId="2" fillId="2" borderId="6" xfId="0" applyFont="1" applyFill="1" applyBorder="1"/>
    <xf numFmtId="165" fontId="2" fillId="2" borderId="6" xfId="0" applyNumberFormat="1" applyFont="1" applyFill="1" applyBorder="1"/>
    <xf numFmtId="49" fontId="2" fillId="2" borderId="0" xfId="0" applyNumberFormat="1" applyFont="1" applyFill="1"/>
    <xf numFmtId="166" fontId="2" fillId="2" borderId="6" xfId="0" applyNumberFormat="1" applyFont="1" applyFill="1" applyBorder="1"/>
    <xf numFmtId="0" fontId="1" fillId="0" borderId="0" xfId="0" applyFont="1"/>
    <xf numFmtId="0" fontId="2" fillId="2" borderId="5" xfId="0" applyFont="1" applyFill="1" applyBorder="1"/>
    <xf numFmtId="0" fontId="2" fillId="2" borderId="11" xfId="0" applyFont="1" applyFill="1" applyBorder="1"/>
    <xf numFmtId="0" fontId="1" fillId="2" borderId="0" xfId="0" applyFont="1" applyFill="1"/>
    <xf numFmtId="2" fontId="2" fillId="2" borderId="0" xfId="0" applyNumberFormat="1" applyFont="1" applyFill="1"/>
    <xf numFmtId="2" fontId="2" fillId="0" borderId="6" xfId="0" applyNumberFormat="1" applyFont="1" applyBorder="1"/>
    <xf numFmtId="0" fontId="2" fillId="2" borderId="7" xfId="0" applyFont="1" applyFill="1" applyBorder="1"/>
    <xf numFmtId="0" fontId="2" fillId="2" borderId="8" xfId="0" applyFont="1" applyFill="1" applyBorder="1"/>
    <xf numFmtId="0" fontId="2" fillId="2" borderId="12" xfId="0" applyFont="1" applyFill="1" applyBorder="1"/>
    <xf numFmtId="0" fontId="3" fillId="2" borderId="2" xfId="0" applyFont="1" applyFill="1" applyBorder="1"/>
    <xf numFmtId="0" fontId="2" fillId="2" borderId="3" xfId="0" applyFont="1" applyFill="1" applyBorder="1"/>
    <xf numFmtId="0" fontId="0" fillId="2" borderId="0" xfId="0" applyFill="1"/>
    <xf numFmtId="0" fontId="0" fillId="2" borderId="8" xfId="0" applyFill="1" applyBorder="1"/>
    <xf numFmtId="0" fontId="3" fillId="2" borderId="7" xfId="0" applyFont="1" applyFill="1" applyBorder="1" applyAlignment="1">
      <alignment vertical="top"/>
    </xf>
    <xf numFmtId="0" fontId="2" fillId="2" borderId="8" xfId="0" applyFont="1" applyFill="1" applyBorder="1" applyAlignment="1">
      <alignment vertical="top"/>
    </xf>
    <xf numFmtId="0" fontId="0" fillId="2" borderId="2" xfId="0" applyFill="1" applyBorder="1"/>
    <xf numFmtId="0" fontId="0" fillId="2" borderId="3" xfId="0" applyFill="1" applyBorder="1"/>
    <xf numFmtId="0" fontId="0" fillId="2" borderId="9" xfId="0" applyFill="1" applyBorder="1"/>
    <xf numFmtId="0" fontId="0" fillId="2" borderId="4" xfId="0" applyFill="1" applyBorder="1"/>
    <xf numFmtId="0" fontId="0" fillId="2" borderId="10" xfId="0" applyFill="1" applyBorder="1"/>
    <xf numFmtId="0" fontId="0" fillId="2" borderId="5" xfId="0" applyFill="1" applyBorder="1"/>
    <xf numFmtId="0" fontId="0" fillId="2" borderId="11" xfId="0" applyFill="1" applyBorder="1"/>
    <xf numFmtId="0" fontId="0" fillId="2" borderId="7" xfId="0" applyFill="1" applyBorder="1"/>
    <xf numFmtId="0" fontId="0" fillId="2" borderId="12" xfId="0" applyFill="1" applyBorder="1"/>
    <xf numFmtId="0" fontId="0" fillId="2" borderId="0" xfId="0" applyFill="1" applyAlignment="1">
      <alignment horizontal="center"/>
    </xf>
    <xf numFmtId="0" fontId="0" fillId="2" borderId="3" xfId="0" applyFill="1" applyBorder="1" applyAlignment="1">
      <alignment horizontal="center"/>
    </xf>
    <xf numFmtId="0" fontId="3" fillId="2" borderId="1" xfId="0" applyFont="1" applyFill="1" applyBorder="1" applyAlignment="1">
      <alignment horizontal="center" wrapText="1"/>
    </xf>
    <xf numFmtId="0" fontId="0" fillId="2" borderId="8" xfId="0" applyFill="1" applyBorder="1" applyAlignment="1">
      <alignment horizontal="center"/>
    </xf>
    <xf numFmtId="0" fontId="6" fillId="2" borderId="0" xfId="1" applyFill="1" applyBorder="1"/>
    <xf numFmtId="0" fontId="7" fillId="2" borderId="0" xfId="0" applyFont="1" applyFill="1"/>
    <xf numFmtId="2" fontId="0" fillId="2" borderId="15" xfId="0" applyNumberFormat="1" applyFill="1" applyBorder="1"/>
    <xf numFmtId="0" fontId="0" fillId="2" borderId="15" xfId="0" applyFill="1" applyBorder="1"/>
    <xf numFmtId="0" fontId="0" fillId="2" borderId="16" xfId="0" applyFill="1" applyBorder="1"/>
    <xf numFmtId="0" fontId="0" fillId="2" borderId="18" xfId="0" applyFill="1" applyBorder="1"/>
    <xf numFmtId="0" fontId="0" fillId="2" borderId="17" xfId="0" applyFill="1" applyBorder="1"/>
    <xf numFmtId="0" fontId="0" fillId="2" borderId="19" xfId="0" applyFill="1" applyBorder="1"/>
    <xf numFmtId="0" fontId="0" fillId="2" borderId="1" xfId="0" applyFill="1" applyBorder="1"/>
    <xf numFmtId="0" fontId="0" fillId="2" borderId="20" xfId="0" applyFill="1" applyBorder="1"/>
    <xf numFmtId="164" fontId="0" fillId="2" borderId="15" xfId="0" applyNumberFormat="1" applyFill="1" applyBorder="1"/>
    <xf numFmtId="0" fontId="0" fillId="2" borderId="27" xfId="0" applyFill="1" applyBorder="1"/>
    <xf numFmtId="0" fontId="0" fillId="2" borderId="29" xfId="0" applyFill="1" applyBorder="1"/>
    <xf numFmtId="0" fontId="0" fillId="2" borderId="30" xfId="0" applyFill="1" applyBorder="1"/>
    <xf numFmtId="0" fontId="0" fillId="2" borderId="28" xfId="0" applyFill="1" applyBorder="1"/>
    <xf numFmtId="0" fontId="0" fillId="2" borderId="32" xfId="0" applyFill="1" applyBorder="1"/>
    <xf numFmtId="0" fontId="0" fillId="2" borderId="34" xfId="0" applyFill="1" applyBorder="1"/>
    <xf numFmtId="0" fontId="0" fillId="2" borderId="31" xfId="0" applyFill="1" applyBorder="1"/>
    <xf numFmtId="0" fontId="0" fillId="2" borderId="35" xfId="0" applyFill="1" applyBorder="1"/>
    <xf numFmtId="0" fontId="0" fillId="2" borderId="33" xfId="0" applyFill="1" applyBorder="1"/>
    <xf numFmtId="0" fontId="0" fillId="2" borderId="14" xfId="0" applyFill="1" applyBorder="1"/>
    <xf numFmtId="165" fontId="0" fillId="2" borderId="18" xfId="0" applyNumberFormat="1" applyFill="1" applyBorder="1"/>
    <xf numFmtId="165" fontId="0" fillId="2" borderId="20" xfId="0" applyNumberFormat="1" applyFill="1" applyBorder="1"/>
    <xf numFmtId="0" fontId="0" fillId="2" borderId="36" xfId="0" applyFill="1" applyBorder="1"/>
    <xf numFmtId="0" fontId="0" fillId="2" borderId="37" xfId="0" applyFill="1" applyBorder="1"/>
    <xf numFmtId="0" fontId="0" fillId="2" borderId="38" xfId="0" applyFill="1" applyBorder="1"/>
    <xf numFmtId="0" fontId="11" fillId="2" borderId="0" xfId="0" applyFont="1" applyFill="1"/>
    <xf numFmtId="0" fontId="0" fillId="2" borderId="21" xfId="0" applyFill="1" applyBorder="1"/>
    <xf numFmtId="0" fontId="0" fillId="2" borderId="13" xfId="0" applyFill="1" applyBorder="1"/>
    <xf numFmtId="165" fontId="0" fillId="2" borderId="22" xfId="0" applyNumberFormat="1" applyFill="1" applyBorder="1"/>
    <xf numFmtId="165" fontId="0" fillId="2" borderId="21" xfId="0" applyNumberFormat="1" applyFill="1" applyBorder="1"/>
    <xf numFmtId="165" fontId="0" fillId="2" borderId="23" xfId="0" applyNumberFormat="1" applyFill="1" applyBorder="1"/>
    <xf numFmtId="165" fontId="0" fillId="2" borderId="16" xfId="0" applyNumberFormat="1" applyFill="1" applyBorder="1"/>
    <xf numFmtId="0" fontId="10" fillId="2" borderId="32" xfId="1" applyFont="1" applyFill="1" applyBorder="1"/>
    <xf numFmtId="165" fontId="0" fillId="2" borderId="15" xfId="0" applyNumberFormat="1" applyFill="1" applyBorder="1"/>
    <xf numFmtId="165" fontId="0" fillId="2" borderId="0" xfId="0" applyNumberFormat="1" applyFill="1"/>
    <xf numFmtId="165" fontId="0" fillId="2" borderId="1" xfId="0" applyNumberFormat="1" applyFill="1" applyBorder="1"/>
    <xf numFmtId="0" fontId="2" fillId="2" borderId="18" xfId="0" applyFont="1" applyFill="1" applyBorder="1" applyAlignment="1">
      <alignment vertical="top"/>
    </xf>
    <xf numFmtId="0" fontId="2" fillId="2" borderId="1" xfId="0" applyFont="1" applyFill="1" applyBorder="1" applyAlignment="1">
      <alignment vertical="top"/>
    </xf>
    <xf numFmtId="0" fontId="2" fillId="2" borderId="20" xfId="0" applyFont="1" applyFill="1" applyBorder="1" applyAlignment="1">
      <alignment vertical="top"/>
    </xf>
    <xf numFmtId="0" fontId="7" fillId="2" borderId="33" xfId="0" applyFont="1" applyFill="1" applyBorder="1" applyAlignment="1">
      <alignment vertical="top"/>
    </xf>
    <xf numFmtId="0" fontId="7" fillId="2" borderId="32" xfId="0" applyFont="1" applyFill="1" applyBorder="1"/>
    <xf numFmtId="0" fontId="11" fillId="2" borderId="17" xfId="0" applyFont="1" applyFill="1" applyBorder="1"/>
    <xf numFmtId="0" fontId="11" fillId="2" borderId="18" xfId="0" applyFont="1" applyFill="1" applyBorder="1"/>
    <xf numFmtId="165" fontId="11" fillId="2" borderId="18" xfId="0" applyNumberFormat="1" applyFont="1" applyFill="1" applyBorder="1"/>
    <xf numFmtId="165" fontId="11" fillId="2" borderId="22" xfId="0" applyNumberFormat="1" applyFont="1" applyFill="1" applyBorder="1"/>
    <xf numFmtId="165" fontId="11" fillId="2" borderId="0" xfId="0" applyNumberFormat="1" applyFont="1" applyFill="1"/>
    <xf numFmtId="0" fontId="10" fillId="2" borderId="35" xfId="0" applyFont="1" applyFill="1" applyBorder="1" applyAlignment="1">
      <alignment vertical="top" wrapText="1"/>
    </xf>
    <xf numFmtId="0" fontId="10" fillId="2" borderId="34" xfId="0" applyFont="1" applyFill="1" applyBorder="1" applyAlignment="1">
      <alignment vertical="top" wrapText="1"/>
    </xf>
    <xf numFmtId="0" fontId="10" fillId="2" borderId="31" xfId="0" applyFont="1" applyFill="1" applyBorder="1" applyAlignment="1">
      <alignment vertical="top" wrapText="1"/>
    </xf>
    <xf numFmtId="0" fontId="0" fillId="2" borderId="25" xfId="0" applyFill="1" applyBorder="1"/>
    <xf numFmtId="0" fontId="2" fillId="2" borderId="24" xfId="0" applyFont="1" applyFill="1" applyBorder="1" applyAlignment="1">
      <alignment vertical="top"/>
    </xf>
    <xf numFmtId="0" fontId="2" fillId="2" borderId="25" xfId="0" applyFont="1" applyFill="1" applyBorder="1" applyAlignment="1">
      <alignment vertical="top"/>
    </xf>
    <xf numFmtId="0" fontId="2" fillId="2" borderId="25" xfId="0" applyFont="1" applyFill="1" applyBorder="1"/>
    <xf numFmtId="0" fontId="0" fillId="2" borderId="26" xfId="0" applyFill="1" applyBorder="1"/>
    <xf numFmtId="0" fontId="2" fillId="2" borderId="0" xfId="0" applyFont="1" applyFill="1" applyAlignment="1">
      <alignment vertical="top"/>
    </xf>
    <xf numFmtId="0" fontId="0" fillId="2" borderId="39" xfId="0" applyFill="1" applyBorder="1"/>
    <xf numFmtId="0" fontId="3" fillId="2" borderId="39" xfId="0" applyFont="1" applyFill="1" applyBorder="1"/>
    <xf numFmtId="0" fontId="0" fillId="2" borderId="40" xfId="0" applyFill="1" applyBorder="1"/>
    <xf numFmtId="0" fontId="0" fillId="2" borderId="41" xfId="0" applyFill="1" applyBorder="1"/>
    <xf numFmtId="0" fontId="0" fillId="2" borderId="41" xfId="0" applyFill="1" applyBorder="1" applyAlignment="1">
      <alignment horizontal="center"/>
    </xf>
    <xf numFmtId="0" fontId="0" fillId="2" borderId="39" xfId="0" applyFill="1" applyBorder="1" applyAlignment="1">
      <alignment horizontal="center"/>
    </xf>
    <xf numFmtId="0" fontId="0" fillId="2" borderId="37" xfId="0" applyFill="1" applyBorder="1" applyAlignment="1">
      <alignment horizontal="left" vertical="top" wrapText="1"/>
    </xf>
    <xf numFmtId="0" fontId="7" fillId="0" borderId="0" xfId="0" applyFont="1"/>
    <xf numFmtId="0" fontId="14" fillId="0" borderId="0" xfId="0" applyFont="1"/>
    <xf numFmtId="167" fontId="13" fillId="2" borderId="6" xfId="0" applyNumberFormat="1" applyFont="1" applyFill="1" applyBorder="1"/>
    <xf numFmtId="0" fontId="13" fillId="2" borderId="0" xfId="0" applyFont="1" applyFill="1"/>
    <xf numFmtId="0" fontId="6" fillId="2" borderId="0" xfId="1" applyFill="1"/>
    <xf numFmtId="0" fontId="0" fillId="2" borderId="29" xfId="0" applyFill="1" applyBorder="1" applyAlignment="1">
      <alignment wrapText="1"/>
    </xf>
    <xf numFmtId="168" fontId="0" fillId="2" borderId="29" xfId="0" applyNumberFormat="1" applyFill="1" applyBorder="1"/>
    <xf numFmtId="164" fontId="0" fillId="2" borderId="28" xfId="0" applyNumberFormat="1" applyFill="1" applyBorder="1"/>
    <xf numFmtId="167" fontId="2" fillId="2" borderId="6" xfId="0" applyNumberFormat="1" applyFont="1" applyFill="1" applyBorder="1"/>
    <xf numFmtId="0" fontId="2" fillId="0" borderId="6" xfId="0" applyFont="1" applyBorder="1"/>
    <xf numFmtId="0" fontId="0" fillId="2" borderId="28" xfId="0" applyFill="1" applyBorder="1" applyAlignment="1">
      <alignment wrapText="1"/>
    </xf>
    <xf numFmtId="2" fontId="0" fillId="2" borderId="29" xfId="0" applyNumberFormat="1" applyFill="1" applyBorder="1" applyAlignment="1">
      <alignment horizontal="center"/>
    </xf>
    <xf numFmtId="166" fontId="0" fillId="2" borderId="15" xfId="0" applyNumberFormat="1" applyFill="1" applyBorder="1"/>
    <xf numFmtId="169" fontId="2" fillId="2" borderId="6" xfId="0" applyNumberFormat="1" applyFont="1" applyFill="1" applyBorder="1"/>
    <xf numFmtId="2" fontId="0" fillId="2" borderId="0" xfId="0" applyNumberFormat="1" applyFill="1"/>
    <xf numFmtId="167" fontId="0" fillId="2" borderId="0" xfId="0" applyNumberFormat="1" applyFill="1"/>
    <xf numFmtId="164" fontId="0" fillId="2" borderId="0" xfId="0" applyNumberFormat="1" applyFill="1"/>
    <xf numFmtId="0" fontId="10" fillId="2" borderId="0" xfId="0" applyFont="1" applyFill="1" applyAlignment="1">
      <alignment vertical="top" wrapText="1"/>
    </xf>
    <xf numFmtId="166" fontId="0" fillId="2" borderId="8" xfId="0" applyNumberFormat="1" applyFill="1" applyBorder="1"/>
    <xf numFmtId="0" fontId="10" fillId="2" borderId="8" xfId="0" applyFont="1" applyFill="1" applyBorder="1" applyAlignment="1">
      <alignment horizontal="left" vertical="top" wrapText="1"/>
    </xf>
    <xf numFmtId="0" fontId="7" fillId="2" borderId="8" xfId="0" applyFont="1" applyFill="1" applyBorder="1" applyAlignment="1">
      <alignment vertical="top"/>
    </xf>
    <xf numFmtId="0" fontId="1" fillId="3" borderId="3"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0" xfId="0" applyFont="1" applyFill="1" applyAlignment="1">
      <alignment horizontal="left" vertical="top" wrapText="1"/>
    </xf>
    <xf numFmtId="0" fontId="1" fillId="3" borderId="1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2" xfId="0" applyFont="1" applyFill="1" applyBorder="1" applyAlignment="1">
      <alignment horizontal="left" vertical="top" wrapText="1"/>
    </xf>
    <xf numFmtId="0" fontId="10" fillId="2" borderId="35" xfId="0" applyFont="1" applyFill="1" applyBorder="1" applyAlignment="1">
      <alignment horizontal="left" vertical="top" wrapText="1"/>
    </xf>
    <xf numFmtId="0" fontId="10" fillId="2" borderId="34" xfId="0" applyFont="1" applyFill="1" applyBorder="1" applyAlignment="1">
      <alignment horizontal="left" vertical="top" wrapText="1"/>
    </xf>
    <xf numFmtId="0" fontId="10" fillId="2" borderId="31" xfId="0" applyFont="1" applyFill="1" applyBorder="1" applyAlignment="1">
      <alignment horizontal="left" vertical="top" wrapText="1"/>
    </xf>
    <xf numFmtId="0" fontId="0" fillId="2" borderId="35" xfId="0" applyFill="1" applyBorder="1" applyAlignment="1">
      <alignment horizontal="left" vertical="top" wrapText="1"/>
    </xf>
    <xf numFmtId="0" fontId="0" fillId="2" borderId="34" xfId="0" applyFill="1" applyBorder="1" applyAlignment="1">
      <alignment horizontal="left" vertical="top" wrapText="1"/>
    </xf>
  </cellXfs>
  <cellStyles count="3">
    <cellStyle name="Hyperlink" xfId="1" builtinId="8"/>
    <cellStyle name="Standaard" xfId="0" builtinId="0"/>
    <cellStyle name="Standaard 2" xfId="2" xr:uid="{0BFE01EF-3352-E84A-B0B8-B4DC3F55C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nl-NL"/>
              <a:t>Temperature</a:t>
            </a:r>
            <a:r>
              <a:rPr lang="nl-NL" baseline="0"/>
              <a:t> dependant COP with 40 °C sink temperature</a:t>
            </a:r>
            <a:endParaRPr lang="nl-NL"/>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8.8275755843644735E-2"/>
          <c:y val="6.4105623306730489E-2"/>
          <c:w val="0.75023001518012344"/>
          <c:h val="0.67240099191635894"/>
        </c:manualLayout>
      </c:layout>
      <c:lineChart>
        <c:grouping val="standard"/>
        <c:varyColors val="0"/>
        <c:ser>
          <c:idx val="0"/>
          <c:order val="0"/>
          <c:tx>
            <c:strRef>
              <c:f>Analysis!$AQ$18</c:f>
              <c:strCache>
                <c:ptCount val="1"/>
                <c:pt idx="0">
                  <c:v>COP</c:v>
                </c:pt>
              </c:strCache>
            </c:strRef>
          </c:tx>
          <c:spPr>
            <a:ln w="28575" cap="rnd">
              <a:solidFill>
                <a:schemeClr val="accent1"/>
              </a:solidFill>
              <a:round/>
            </a:ln>
            <a:effectLst/>
          </c:spPr>
          <c:marker>
            <c:symbol val="none"/>
          </c:marker>
          <c:cat>
            <c:numRef>
              <c:f>Analysis!$AH$19:$AH$44</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Analysis!$AQ$19:$AQ$44</c:f>
              <c:numCache>
                <c:formatCode>0.0</c:formatCode>
                <c:ptCount val="26"/>
                <c:pt idx="0">
                  <c:v>2.5350000000000001</c:v>
                </c:pt>
                <c:pt idx="1">
                  <c:v>2.583164</c:v>
                </c:pt>
                <c:pt idx="2">
                  <c:v>2.6322559999999999</c:v>
                </c:pt>
                <c:pt idx="3">
                  <c:v>2.6822760000000003</c:v>
                </c:pt>
                <c:pt idx="4">
                  <c:v>2.7332240000000003</c:v>
                </c:pt>
                <c:pt idx="5">
                  <c:v>2.7851000000000004</c:v>
                </c:pt>
                <c:pt idx="6">
                  <c:v>2.8379039999999995</c:v>
                </c:pt>
                <c:pt idx="7">
                  <c:v>2.8916359999999997</c:v>
                </c:pt>
                <c:pt idx="8">
                  <c:v>2.9462960000000002</c:v>
                </c:pt>
                <c:pt idx="9">
                  <c:v>3.0018839999999996</c:v>
                </c:pt>
                <c:pt idx="10">
                  <c:v>3.0583999999999998</c:v>
                </c:pt>
                <c:pt idx="11">
                  <c:v>3.1158440000000001</c:v>
                </c:pt>
                <c:pt idx="12">
                  <c:v>3.1742159999999999</c:v>
                </c:pt>
                <c:pt idx="13">
                  <c:v>3.2335159999999998</c:v>
                </c:pt>
                <c:pt idx="14">
                  <c:v>3.2937440000000002</c:v>
                </c:pt>
                <c:pt idx="15">
                  <c:v>3.3548999999999998</c:v>
                </c:pt>
                <c:pt idx="16">
                  <c:v>3.4169839999999998</c:v>
                </c:pt>
                <c:pt idx="17">
                  <c:v>3.4799959999999999</c:v>
                </c:pt>
                <c:pt idx="18">
                  <c:v>3.543936</c:v>
                </c:pt>
                <c:pt idx="19">
                  <c:v>3.6088040000000001</c:v>
                </c:pt>
                <c:pt idx="20">
                  <c:v>3.6746000000000003</c:v>
                </c:pt>
                <c:pt idx="21">
                  <c:v>3.7413240000000001</c:v>
                </c:pt>
                <c:pt idx="22">
                  <c:v>3.8089759999999999</c:v>
                </c:pt>
                <c:pt idx="23">
                  <c:v>3.8775559999999998</c:v>
                </c:pt>
                <c:pt idx="24">
                  <c:v>3.9470640000000001</c:v>
                </c:pt>
                <c:pt idx="25">
                  <c:v>4.0175000000000001</c:v>
                </c:pt>
              </c:numCache>
            </c:numRef>
          </c:val>
          <c:smooth val="0"/>
          <c:extLst>
            <c:ext xmlns:c16="http://schemas.microsoft.com/office/drawing/2014/chart" uri="{C3380CC4-5D6E-409C-BE32-E72D297353CC}">
              <c16:uniqueId val="{00000000-B918-DC41-BA89-F6E981ADBA7C}"/>
            </c:ext>
          </c:extLst>
        </c:ser>
        <c:ser>
          <c:idx val="1"/>
          <c:order val="1"/>
          <c:tx>
            <c:strRef>
              <c:f>Analysis!$AR$18</c:f>
              <c:strCache>
                <c:ptCount val="1"/>
                <c:pt idx="0">
                  <c:v>COP (lineair aproximation)</c:v>
                </c:pt>
              </c:strCache>
            </c:strRef>
          </c:tx>
          <c:spPr>
            <a:ln w="28575" cap="rnd">
              <a:solidFill>
                <a:schemeClr val="accent2"/>
              </a:solidFill>
              <a:round/>
            </a:ln>
            <a:effectLst/>
          </c:spPr>
          <c:marker>
            <c:symbol val="none"/>
          </c:marker>
          <c:cat>
            <c:numRef>
              <c:f>Analysis!$AH$19:$AH$44</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Analysis!$AR$19:$AR$44</c:f>
              <c:numCache>
                <c:formatCode>0.0</c:formatCode>
                <c:ptCount val="26"/>
                <c:pt idx="0">
                  <c:v>2.4654000000000007</c:v>
                </c:pt>
                <c:pt idx="1">
                  <c:v>2.5247000000000006</c:v>
                </c:pt>
                <c:pt idx="2">
                  <c:v>2.5840000000000005</c:v>
                </c:pt>
                <c:pt idx="3">
                  <c:v>2.6433000000000004</c:v>
                </c:pt>
                <c:pt idx="4">
                  <c:v>2.7026000000000003</c:v>
                </c:pt>
                <c:pt idx="5">
                  <c:v>2.7619000000000002</c:v>
                </c:pt>
                <c:pt idx="6">
                  <c:v>2.8212000000000002</c:v>
                </c:pt>
                <c:pt idx="7">
                  <c:v>2.8805000000000001</c:v>
                </c:pt>
                <c:pt idx="8">
                  <c:v>2.9398</c:v>
                </c:pt>
                <c:pt idx="9">
                  <c:v>2.9990999999999999</c:v>
                </c:pt>
                <c:pt idx="10">
                  <c:v>3.0583999999999998</c:v>
                </c:pt>
                <c:pt idx="11">
                  <c:v>3.1176999999999997</c:v>
                </c:pt>
                <c:pt idx="12">
                  <c:v>3.1769999999999996</c:v>
                </c:pt>
                <c:pt idx="13">
                  <c:v>3.2362999999999995</c:v>
                </c:pt>
                <c:pt idx="14">
                  <c:v>3.2955999999999994</c:v>
                </c:pt>
                <c:pt idx="15">
                  <c:v>3.3548999999999993</c:v>
                </c:pt>
                <c:pt idx="16">
                  <c:v>3.4141999999999992</c:v>
                </c:pt>
                <c:pt idx="17">
                  <c:v>3.4734999999999991</c:v>
                </c:pt>
                <c:pt idx="18">
                  <c:v>3.5327999999999991</c:v>
                </c:pt>
                <c:pt idx="19">
                  <c:v>3.592099999999999</c:v>
                </c:pt>
                <c:pt idx="20">
                  <c:v>3.6513999999999989</c:v>
                </c:pt>
                <c:pt idx="21">
                  <c:v>3.7106999999999988</c:v>
                </c:pt>
                <c:pt idx="22">
                  <c:v>3.7699999999999987</c:v>
                </c:pt>
                <c:pt idx="23">
                  <c:v>3.8292999999999986</c:v>
                </c:pt>
                <c:pt idx="24">
                  <c:v>3.8885999999999985</c:v>
                </c:pt>
                <c:pt idx="25">
                  <c:v>3.9478999999999984</c:v>
                </c:pt>
              </c:numCache>
            </c:numRef>
          </c:val>
          <c:smooth val="0"/>
          <c:extLst>
            <c:ext xmlns:c16="http://schemas.microsoft.com/office/drawing/2014/chart" uri="{C3380CC4-5D6E-409C-BE32-E72D297353CC}">
              <c16:uniqueId val="{00000001-B918-DC41-BA89-F6E981ADBA7C}"/>
            </c:ext>
          </c:extLst>
        </c:ser>
        <c:dLbls>
          <c:showLegendKey val="0"/>
          <c:showVal val="0"/>
          <c:showCatName val="0"/>
          <c:showSerName val="0"/>
          <c:showPercent val="0"/>
          <c:showBubbleSize val="0"/>
        </c:dLbls>
        <c:smooth val="0"/>
        <c:axId val="2107110527"/>
        <c:axId val="2107111871"/>
      </c:lineChart>
      <c:catAx>
        <c:axId val="210711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Outdoor temperature</a:t>
                </a:r>
                <a:r>
                  <a:rPr lang="nl-NL" baseline="0"/>
                  <a:t>  °C</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1871"/>
        <c:crosses val="autoZero"/>
        <c:auto val="1"/>
        <c:lblAlgn val="ctr"/>
        <c:lblOffset val="100"/>
        <c:tickLblSkip val="1"/>
        <c:noMultiLvlLbl val="0"/>
      </c:catAx>
      <c:valAx>
        <c:axId val="210711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COP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0527"/>
        <c:crosses val="autoZero"/>
        <c:crossBetween val="between"/>
      </c:valAx>
      <c:spPr>
        <a:noFill/>
        <a:ln>
          <a:noFill/>
        </a:ln>
        <a:effectLst/>
      </c:spPr>
    </c:plotArea>
    <c:legend>
      <c:legendPos val="r"/>
      <c:layout>
        <c:manualLayout>
          <c:xMode val="edge"/>
          <c:yMode val="edge"/>
          <c:x val="0.84780301095873722"/>
          <c:y val="0.40165545774260103"/>
          <c:w val="0.14104030111929983"/>
          <c:h val="0.14657596344652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304661</xdr:colOff>
      <xdr:row>19</xdr:row>
      <xdr:rowOff>92807</xdr:rowOff>
    </xdr:from>
    <xdr:to>
      <xdr:col>17</xdr:col>
      <xdr:colOff>495160</xdr:colOff>
      <xdr:row>24</xdr:row>
      <xdr:rowOff>149750</xdr:rowOff>
    </xdr:to>
    <xdr:pic>
      <xdr:nvPicPr>
        <xdr:cNvPr id="4" name="Afbeelding 3">
          <a:extLst>
            <a:ext uri="{FF2B5EF4-FFF2-40B4-BE49-F238E27FC236}">
              <a16:creationId xmlns:a16="http://schemas.microsoft.com/office/drawing/2014/main" id="{43BBF300-3F94-FC4C-9572-13B3A8E84507}"/>
            </a:ext>
          </a:extLst>
        </xdr:cNvPr>
        <xdr:cNvPicPr>
          <a:picLocks noChangeAspect="1"/>
        </xdr:cNvPicPr>
      </xdr:nvPicPr>
      <xdr:blipFill>
        <a:blip xmlns:r="http://schemas.openxmlformats.org/officeDocument/2006/relationships" r:embed="rId1"/>
        <a:stretch>
          <a:fillRect/>
        </a:stretch>
      </xdr:blipFill>
      <xdr:spPr>
        <a:xfrm>
          <a:off x="16828617" y="3860939"/>
          <a:ext cx="4307532" cy="1103644"/>
        </a:xfrm>
        <a:prstGeom prst="rect">
          <a:avLst/>
        </a:prstGeom>
        <a:ln>
          <a:solidFill>
            <a:schemeClr val="tx1"/>
          </a:solidFill>
        </a:ln>
      </xdr:spPr>
    </xdr:pic>
    <xdr:clientData/>
  </xdr:twoCellAnchor>
  <xdr:twoCellAnchor>
    <xdr:from>
      <xdr:col>18</xdr:col>
      <xdr:colOff>97261</xdr:colOff>
      <xdr:row>16</xdr:row>
      <xdr:rowOff>104933</xdr:rowOff>
    </xdr:from>
    <xdr:to>
      <xdr:col>27</xdr:col>
      <xdr:colOff>42426</xdr:colOff>
      <xdr:row>28</xdr:row>
      <xdr:rowOff>157896</xdr:rowOff>
    </xdr:to>
    <xdr:graphicFrame macro="">
      <xdr:nvGraphicFramePr>
        <xdr:cNvPr id="5" name="Grafiek 4">
          <a:extLst>
            <a:ext uri="{FF2B5EF4-FFF2-40B4-BE49-F238E27FC236}">
              <a16:creationId xmlns:a16="http://schemas.microsoft.com/office/drawing/2014/main" id="{87E1308C-4FE8-2D4F-BFA3-35C24ED4D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322317</xdr:colOff>
      <xdr:row>4</xdr:row>
      <xdr:rowOff>140043</xdr:rowOff>
    </xdr:from>
    <xdr:to>
      <xdr:col>18</xdr:col>
      <xdr:colOff>386151</xdr:colOff>
      <xdr:row>11</xdr:row>
      <xdr:rowOff>282314</xdr:rowOff>
    </xdr:to>
    <xdr:pic>
      <xdr:nvPicPr>
        <xdr:cNvPr id="6" name="Afbeelding 5">
          <a:extLst>
            <a:ext uri="{FF2B5EF4-FFF2-40B4-BE49-F238E27FC236}">
              <a16:creationId xmlns:a16="http://schemas.microsoft.com/office/drawing/2014/main" id="{0D5BB3B5-8486-3C63-8082-DA587DA268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6893277" y="963003"/>
          <a:ext cx="5001594" cy="1563605"/>
        </a:xfrm>
        <a:prstGeom prst="rect">
          <a:avLst/>
        </a:prstGeom>
        <a:ln>
          <a:solidFill>
            <a:schemeClr val="tx1"/>
          </a:solidFill>
        </a:ln>
      </xdr:spPr>
    </xdr:pic>
    <xdr:clientData/>
  </xdr:twoCellAnchor>
  <xdr:twoCellAnchor editAs="oneCell">
    <xdr:from>
      <xdr:col>12</xdr:col>
      <xdr:colOff>303695</xdr:colOff>
      <xdr:row>32</xdr:row>
      <xdr:rowOff>149743</xdr:rowOff>
    </xdr:from>
    <xdr:to>
      <xdr:col>19</xdr:col>
      <xdr:colOff>427935</xdr:colOff>
      <xdr:row>45</xdr:row>
      <xdr:rowOff>13676</xdr:rowOff>
    </xdr:to>
    <xdr:pic>
      <xdr:nvPicPr>
        <xdr:cNvPr id="13" name="Afbeelding 12">
          <a:extLst>
            <a:ext uri="{FF2B5EF4-FFF2-40B4-BE49-F238E27FC236}">
              <a16:creationId xmlns:a16="http://schemas.microsoft.com/office/drawing/2014/main" id="{601C49DC-4169-91A8-C09E-3F9EA0EA3C45}"/>
            </a:ext>
          </a:extLst>
        </xdr:cNvPr>
        <xdr:cNvPicPr>
          <a:picLocks noChangeAspect="1"/>
        </xdr:cNvPicPr>
      </xdr:nvPicPr>
      <xdr:blipFill>
        <a:blip xmlns:r="http://schemas.openxmlformats.org/officeDocument/2006/relationships" r:embed="rId4"/>
        <a:stretch>
          <a:fillRect/>
        </a:stretch>
      </xdr:blipFill>
      <xdr:spPr>
        <a:xfrm>
          <a:off x="14991521" y="6375504"/>
          <a:ext cx="5922066" cy="2555782"/>
        </a:xfrm>
        <a:prstGeom prst="rect">
          <a:avLst/>
        </a:prstGeom>
        <a:ln>
          <a:solidFill>
            <a:schemeClr val="tx1"/>
          </a:solidFill>
        </a:ln>
      </xdr:spPr>
    </xdr:pic>
    <xdr:clientData/>
  </xdr:twoCellAnchor>
  <xdr:twoCellAnchor editAs="oneCell">
    <xdr:from>
      <xdr:col>12</xdr:col>
      <xdr:colOff>381719</xdr:colOff>
      <xdr:row>49</xdr:row>
      <xdr:rowOff>167229</xdr:rowOff>
    </xdr:from>
    <xdr:to>
      <xdr:col>21</xdr:col>
      <xdr:colOff>724619</xdr:colOff>
      <xdr:row>52</xdr:row>
      <xdr:rowOff>120727</xdr:rowOff>
    </xdr:to>
    <xdr:pic>
      <xdr:nvPicPr>
        <xdr:cNvPr id="15" name="Afbeelding 14">
          <a:extLst>
            <a:ext uri="{FF2B5EF4-FFF2-40B4-BE49-F238E27FC236}">
              <a16:creationId xmlns:a16="http://schemas.microsoft.com/office/drawing/2014/main" id="{84DA635C-6510-F2FE-E6A9-FD9CE5EDB11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6939644" y="10183455"/>
          <a:ext cx="7783183" cy="564535"/>
        </a:xfrm>
        <a:prstGeom prst="rect">
          <a:avLst/>
        </a:prstGeom>
        <a:ln>
          <a:solidFill>
            <a:schemeClr val="tx1"/>
          </a:solidFill>
        </a:ln>
      </xdr:spPr>
    </xdr:pic>
    <xdr:clientData/>
  </xdr:twoCellAnchor>
  <xdr:twoCellAnchor editAs="oneCell">
    <xdr:from>
      <xdr:col>12</xdr:col>
      <xdr:colOff>393700</xdr:colOff>
      <xdr:row>53</xdr:row>
      <xdr:rowOff>139700</xdr:rowOff>
    </xdr:from>
    <xdr:to>
      <xdr:col>21</xdr:col>
      <xdr:colOff>736600</xdr:colOff>
      <xdr:row>55</xdr:row>
      <xdr:rowOff>33063</xdr:rowOff>
    </xdr:to>
    <xdr:pic>
      <xdr:nvPicPr>
        <xdr:cNvPr id="16" name="Afbeelding 15">
          <a:extLst>
            <a:ext uri="{FF2B5EF4-FFF2-40B4-BE49-F238E27FC236}">
              <a16:creationId xmlns:a16="http://schemas.microsoft.com/office/drawing/2014/main" id="{839C4359-3949-8420-B2AC-A284655BA8F0}"/>
            </a:ext>
          </a:extLst>
        </xdr:cNvPr>
        <xdr:cNvPicPr>
          <a:picLocks noChangeAspect="1"/>
        </xdr:cNvPicPr>
      </xdr:nvPicPr>
      <xdr:blipFill>
        <a:blip xmlns:r="http://schemas.openxmlformats.org/officeDocument/2006/relationships" r:embed="rId6"/>
        <a:stretch>
          <a:fillRect/>
        </a:stretch>
      </xdr:blipFill>
      <xdr:spPr>
        <a:xfrm>
          <a:off x="15125700" y="10528300"/>
          <a:ext cx="7772400" cy="300479"/>
        </a:xfrm>
        <a:prstGeom prst="rect">
          <a:avLst/>
        </a:prstGeom>
        <a:ln>
          <a:solidFill>
            <a:schemeClr val="tx1"/>
          </a:solidFill>
        </a:ln>
      </xdr:spPr>
    </xdr:pic>
    <xdr:clientData/>
  </xdr:twoCellAnchor>
  <xdr:twoCellAnchor editAs="oneCell">
    <xdr:from>
      <xdr:col>12</xdr:col>
      <xdr:colOff>587074</xdr:colOff>
      <xdr:row>59</xdr:row>
      <xdr:rowOff>75482</xdr:rowOff>
    </xdr:from>
    <xdr:to>
      <xdr:col>15</xdr:col>
      <xdr:colOff>440425</xdr:colOff>
      <xdr:row>63</xdr:row>
      <xdr:rowOff>143767</xdr:rowOff>
    </xdr:to>
    <xdr:pic>
      <xdr:nvPicPr>
        <xdr:cNvPr id="17" name="Afbeelding 16">
          <a:extLst>
            <a:ext uri="{FF2B5EF4-FFF2-40B4-BE49-F238E27FC236}">
              <a16:creationId xmlns:a16="http://schemas.microsoft.com/office/drawing/2014/main" id="{2C0B3021-5A00-BE45-423D-63526E9D6422}"/>
            </a:ext>
          </a:extLst>
        </xdr:cNvPr>
        <xdr:cNvPicPr>
          <a:picLocks noChangeAspect="1"/>
        </xdr:cNvPicPr>
      </xdr:nvPicPr>
      <xdr:blipFill>
        <a:blip xmlns:r="http://schemas.openxmlformats.org/officeDocument/2006/relationships" r:embed="rId7"/>
        <a:stretch>
          <a:fillRect/>
        </a:stretch>
      </xdr:blipFill>
      <xdr:spPr>
        <a:xfrm>
          <a:off x="17144999" y="12140482"/>
          <a:ext cx="2333445" cy="883002"/>
        </a:xfrm>
        <a:prstGeom prst="rect">
          <a:avLst/>
        </a:prstGeom>
        <a:ln>
          <a:solidFill>
            <a:schemeClr val="tx1"/>
          </a:solidFill>
        </a:ln>
      </xdr:spPr>
    </xdr:pic>
    <xdr:clientData/>
  </xdr:twoCellAnchor>
  <xdr:twoCellAnchor editAs="oneCell">
    <xdr:from>
      <xdr:col>19</xdr:col>
      <xdr:colOff>373529</xdr:colOff>
      <xdr:row>3</xdr:row>
      <xdr:rowOff>168088</xdr:rowOff>
    </xdr:from>
    <xdr:to>
      <xdr:col>25</xdr:col>
      <xdr:colOff>437363</xdr:colOff>
      <xdr:row>12</xdr:row>
      <xdr:rowOff>37567</xdr:rowOff>
    </xdr:to>
    <xdr:pic>
      <xdr:nvPicPr>
        <xdr:cNvPr id="3" name="Afbeelding 2">
          <a:extLst>
            <a:ext uri="{FF2B5EF4-FFF2-40B4-BE49-F238E27FC236}">
              <a16:creationId xmlns:a16="http://schemas.microsoft.com/office/drawing/2014/main" id="{1DE49B91-08A9-FE4C-B74E-45FE0AC1A050}"/>
            </a:ext>
          </a:extLst>
        </xdr:cNvPr>
        <xdr:cNvPicPr>
          <a:picLocks noChangeAspect="1"/>
        </xdr:cNvPicPr>
      </xdr:nvPicPr>
      <xdr:blipFill>
        <a:blip xmlns:r="http://schemas.openxmlformats.org/officeDocument/2006/relationships" r:embed="rId8"/>
        <a:stretch>
          <a:fillRect/>
        </a:stretch>
      </xdr:blipFill>
      <xdr:spPr>
        <a:xfrm>
          <a:off x="22663897" y="793750"/>
          <a:ext cx="4994422" cy="1959415"/>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quintel.sharepoint.com/Users/dorinevandervlies/Projects/etdataset/nodes_source_analyses/households/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sinclair-solutions.com/files/product-fiche/sinclair-prfi-shp-140ica-shp-140eca2.pdf" TargetMode="External"/><Relationship Id="rId7" Type="http://schemas.openxmlformats.org/officeDocument/2006/relationships/hyperlink" Target="https://opendata.cbs.nl/" TargetMode="External"/><Relationship Id="rId2" Type="http://schemas.openxmlformats.org/officeDocument/2006/relationships/hyperlink" Target="https://www.ise.fraunhofer.de/en/research-projects/wp-qs-im-bestand.html" TargetMode="External"/><Relationship Id="rId1" Type="http://schemas.openxmlformats.org/officeDocument/2006/relationships/hyperlink" Target="https://kennisdelen.rvo.nl/file/download/a29e1ec4-ad00-4a5b-ba62-287ca7602ddf/Installatiemonitor_3_eindrapportage_v1.02.pdf" TargetMode="External"/><Relationship Id="rId6" Type="http://schemas.openxmlformats.org/officeDocument/2006/relationships/hyperlink" Target="https://ce.nl/wp-content/uploads/2021/04/04_Factsheet-Luchtwarmtepomp_DEF.pdf" TargetMode="External"/><Relationship Id="rId5" Type="http://schemas.openxmlformats.org/officeDocument/2006/relationships/hyperlink" Target="https://ce.nl/wp-content/uploads/2023/03/CE_Delft_210348_Update_kentallen_installaties_Vesta_MAIS_Def.pdf" TargetMode="External"/><Relationship Id="rId4" Type="http://schemas.openxmlformats.org/officeDocument/2006/relationships/hyperlink" Target="https://www.nature.com/articles/s41597-019-0199-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3B62-CE5D-4342-B744-D64F77AEDC7B}">
  <dimension ref="B1:J43"/>
  <sheetViews>
    <sheetView tabSelected="1" workbookViewId="0">
      <selection activeCell="B15" sqref="B15"/>
    </sheetView>
  </sheetViews>
  <sheetFormatPr baseColWidth="10" defaultRowHeight="16"/>
  <cols>
    <col min="1" max="1" width="5.83203125" style="1" customWidth="1"/>
    <col min="2" max="2" width="11.83203125" style="1" customWidth="1"/>
    <col min="3" max="3" width="64.33203125" style="1" customWidth="1"/>
    <col min="4" max="4" width="15.5" style="1" customWidth="1"/>
    <col min="5" max="5" width="17.33203125" style="1" customWidth="1"/>
    <col min="6" max="6" width="5.33203125" style="1" customWidth="1"/>
    <col min="7" max="7" width="45.83203125" style="1" customWidth="1"/>
    <col min="8" max="8" width="4.83203125" style="1" customWidth="1"/>
    <col min="9" max="9" width="38.33203125" style="1" customWidth="1"/>
    <col min="10" max="10" width="5" style="1" customWidth="1"/>
    <col min="11" max="16384" width="10.83203125" style="1"/>
  </cols>
  <sheetData>
    <row r="1" spans="2:10" ht="17" thickBot="1"/>
    <row r="2" spans="2:10" ht="16" customHeight="1">
      <c r="B2" s="31" t="s">
        <v>54</v>
      </c>
      <c r="C2" s="32" t="s">
        <v>154</v>
      </c>
      <c r="D2" s="32"/>
      <c r="E2" s="3" t="s">
        <v>57</v>
      </c>
      <c r="F2" s="134" t="s">
        <v>75</v>
      </c>
      <c r="G2" s="134"/>
      <c r="H2" s="134"/>
      <c r="I2" s="134"/>
      <c r="J2" s="135"/>
    </row>
    <row r="3" spans="2:10">
      <c r="B3" s="9" t="s">
        <v>53</v>
      </c>
      <c r="C3" s="1" t="s">
        <v>94</v>
      </c>
      <c r="E3" s="33"/>
      <c r="F3" s="136"/>
      <c r="G3" s="136"/>
      <c r="H3" s="136"/>
      <c r="I3" s="136"/>
      <c r="J3" s="137"/>
    </row>
    <row r="4" spans="2:10" ht="37" customHeight="1" thickBot="1">
      <c r="B4" s="35" t="s">
        <v>55</v>
      </c>
      <c r="C4" s="36" t="s">
        <v>56</v>
      </c>
      <c r="D4" s="29"/>
      <c r="E4" s="34"/>
      <c r="F4" s="138"/>
      <c r="G4" s="138"/>
      <c r="H4" s="138"/>
      <c r="I4" s="138"/>
      <c r="J4" s="139"/>
    </row>
    <row r="5" spans="2:10" ht="17" thickBot="1"/>
    <row r="6" spans="2:10">
      <c r="B6" s="2"/>
      <c r="C6" s="3"/>
      <c r="D6" s="3"/>
      <c r="E6" s="3"/>
      <c r="F6" s="3"/>
      <c r="G6" s="3"/>
      <c r="H6" s="3"/>
      <c r="I6" s="3"/>
      <c r="J6" s="4"/>
    </row>
    <row r="7" spans="2:10" ht="19">
      <c r="B7" s="5"/>
      <c r="C7" s="6" t="s">
        <v>0</v>
      </c>
      <c r="D7" s="7" t="s">
        <v>1</v>
      </c>
      <c r="E7" s="6" t="s">
        <v>2</v>
      </c>
      <c r="F7" s="6"/>
      <c r="G7" s="6" t="s">
        <v>3</v>
      </c>
      <c r="H7" s="6"/>
      <c r="I7" s="6" t="s">
        <v>4</v>
      </c>
      <c r="J7" s="8"/>
    </row>
    <row r="8" spans="2:10" ht="19">
      <c r="B8" s="9"/>
      <c r="C8" s="10"/>
      <c r="D8" s="11"/>
      <c r="E8" s="10"/>
      <c r="F8" s="10"/>
      <c r="G8" s="10"/>
      <c r="H8" s="10"/>
      <c r="I8" s="10"/>
      <c r="J8" s="12"/>
    </row>
    <row r="9" spans="2:10" ht="20" thickBot="1">
      <c r="B9" s="9"/>
      <c r="C9" s="10" t="s">
        <v>5</v>
      </c>
      <c r="D9" s="11"/>
      <c r="E9" s="10"/>
      <c r="F9" s="10"/>
      <c r="G9" s="10"/>
      <c r="H9" s="10"/>
      <c r="I9" s="10"/>
      <c r="J9" s="12"/>
    </row>
    <row r="10" spans="2:10" ht="20" thickBot="1">
      <c r="B10" s="9"/>
      <c r="C10" s="1" t="s">
        <v>6</v>
      </c>
      <c r="D10" s="13" t="s">
        <v>7</v>
      </c>
      <c r="E10" s="126">
        <f>ROUND(Analysis!$D$5,6)</f>
        <v>0.56197699999999995</v>
      </c>
      <c r="F10" s="15"/>
      <c r="G10" s="113" t="s">
        <v>128</v>
      </c>
      <c r="H10" s="17"/>
      <c r="I10" s="18" t="s">
        <v>101</v>
      </c>
      <c r="J10" s="12"/>
    </row>
    <row r="11" spans="2:10" ht="20" thickBot="1">
      <c r="B11" s="9"/>
      <c r="C11" s="1" t="s">
        <v>8</v>
      </c>
      <c r="D11" s="13" t="s">
        <v>7</v>
      </c>
      <c r="E11" s="126">
        <f>ROUND(Analysis!$D$6,6)</f>
        <v>0.22611100000000001</v>
      </c>
      <c r="F11" s="15"/>
      <c r="G11" s="113" t="s">
        <v>128</v>
      </c>
      <c r="H11" s="17"/>
      <c r="I11" s="18" t="s">
        <v>101</v>
      </c>
      <c r="J11" s="12"/>
    </row>
    <row r="12" spans="2:10" ht="20" thickBot="1">
      <c r="B12" s="9"/>
      <c r="C12" s="1" t="s">
        <v>126</v>
      </c>
      <c r="D12" s="13"/>
      <c r="E12" s="126">
        <f>ROUND(Analysis!D7,6)</f>
        <v>0.20860999999999999</v>
      </c>
      <c r="F12" s="15"/>
      <c r="G12" s="113" t="s">
        <v>128</v>
      </c>
      <c r="H12" s="17"/>
      <c r="I12" s="18" t="s">
        <v>101</v>
      </c>
      <c r="J12" s="12"/>
    </row>
    <row r="13" spans="2:10" ht="20" thickBot="1">
      <c r="B13" s="9"/>
      <c r="C13" s="116" t="s">
        <v>129</v>
      </c>
      <c r="D13" s="114" t="s">
        <v>7</v>
      </c>
      <c r="E13" s="115">
        <v>1</v>
      </c>
      <c r="F13" s="15"/>
      <c r="G13" s="113"/>
      <c r="H13" s="17"/>
      <c r="I13" s="122" t="s">
        <v>73</v>
      </c>
      <c r="J13" s="12"/>
    </row>
    <row r="14" spans="2:10" ht="20" thickBot="1">
      <c r="B14" s="9"/>
      <c r="C14" s="116" t="s">
        <v>130</v>
      </c>
      <c r="D14" s="114" t="s">
        <v>7</v>
      </c>
      <c r="E14" s="115">
        <v>1</v>
      </c>
      <c r="F14" s="15"/>
      <c r="G14" s="113"/>
      <c r="H14" s="17"/>
      <c r="I14" s="122" t="s">
        <v>73</v>
      </c>
      <c r="J14" s="12"/>
    </row>
    <row r="15" spans="2:10" ht="20" thickBot="1">
      <c r="B15" s="9"/>
      <c r="C15" s="116" t="s">
        <v>131</v>
      </c>
      <c r="D15" s="114" t="s">
        <v>7</v>
      </c>
      <c r="E15" s="115">
        <f>Analysis!D80</f>
        <v>1.07</v>
      </c>
      <c r="F15" s="15"/>
      <c r="G15" s="113"/>
      <c r="H15" s="17"/>
      <c r="I15" s="122" t="s">
        <v>137</v>
      </c>
      <c r="J15" s="12"/>
    </row>
    <row r="16" spans="2:10" ht="20" thickBot="1">
      <c r="B16" s="9"/>
      <c r="C16" s="20" t="s">
        <v>10</v>
      </c>
      <c r="D16" s="13" t="s">
        <v>7</v>
      </c>
      <c r="E16" s="21">
        <f>ROUND(Analysis!$D$17,6)</f>
        <v>3.0583999999999998</v>
      </c>
      <c r="F16" s="15"/>
      <c r="G16" s="16"/>
      <c r="H16" s="17"/>
      <c r="I16" s="18" t="s">
        <v>104</v>
      </c>
      <c r="J16" s="12"/>
    </row>
    <row r="17" spans="2:10" ht="20" thickBot="1">
      <c r="B17" s="9"/>
      <c r="C17" s="20" t="s">
        <v>11</v>
      </c>
      <c r="D17" s="22" t="s">
        <v>19</v>
      </c>
      <c r="E17" s="14">
        <f>ROUND(Analysis!D34,6)</f>
        <v>1.704E-3</v>
      </c>
      <c r="F17" s="15"/>
      <c r="G17" s="16"/>
      <c r="H17" s="17"/>
      <c r="I17" s="18" t="s">
        <v>116</v>
      </c>
      <c r="J17" s="12"/>
    </row>
    <row r="18" spans="2:10" ht="20" thickBot="1">
      <c r="B18" s="9"/>
      <c r="C18" s="20" t="s">
        <v>132</v>
      </c>
      <c r="D18" s="22" t="s">
        <v>19</v>
      </c>
      <c r="E18" s="14">
        <f>ROUND(Analysis!D79,6)</f>
        <v>2.1999999999999999E-2</v>
      </c>
      <c r="F18" s="15"/>
      <c r="G18" s="16"/>
      <c r="H18" s="17"/>
      <c r="I18" s="18" t="s">
        <v>137</v>
      </c>
      <c r="J18" s="12"/>
    </row>
    <row r="19" spans="2:10" ht="20" thickBot="1">
      <c r="B19" s="9"/>
      <c r="C19" s="20" t="s">
        <v>133</v>
      </c>
      <c r="D19" s="13" t="s">
        <v>7</v>
      </c>
      <c r="E19" s="21">
        <f>ROUND(Analysis!D66, 6)</f>
        <v>2.600238</v>
      </c>
      <c r="F19" s="15"/>
      <c r="G19" s="16"/>
      <c r="H19" s="17"/>
      <c r="I19" s="18" t="s">
        <v>140</v>
      </c>
      <c r="J19" s="12"/>
    </row>
    <row r="20" spans="2:10" ht="20" thickBot="1">
      <c r="B20" s="9"/>
      <c r="C20" s="20" t="s">
        <v>12</v>
      </c>
      <c r="D20" s="13" t="s">
        <v>7</v>
      </c>
      <c r="E20" s="21">
        <f>ROUND(Analysis!$D$18,6)</f>
        <v>5.9299999999999999E-2</v>
      </c>
      <c r="F20" s="15"/>
      <c r="G20" s="16"/>
      <c r="H20" s="17"/>
      <c r="I20" s="18" t="s">
        <v>104</v>
      </c>
      <c r="J20" s="12"/>
    </row>
    <row r="21" spans="2:10" ht="20" thickBot="1">
      <c r="B21" s="9"/>
      <c r="C21" s="20" t="s">
        <v>13</v>
      </c>
      <c r="D21" s="22" t="s">
        <v>14</v>
      </c>
      <c r="E21" s="19">
        <v>0</v>
      </c>
      <c r="F21" s="15"/>
      <c r="G21" s="16"/>
      <c r="H21" s="17"/>
      <c r="I21" s="18" t="s">
        <v>73</v>
      </c>
      <c r="J21" s="12"/>
    </row>
    <row r="22" spans="2:10" ht="17" thickBot="1">
      <c r="B22" s="23"/>
      <c r="C22" s="1" t="s">
        <v>16</v>
      </c>
      <c r="D22" s="22" t="s">
        <v>7</v>
      </c>
      <c r="E22" s="19">
        <v>0</v>
      </c>
      <c r="G22" s="16"/>
      <c r="H22" s="16"/>
      <c r="I22" s="18" t="s">
        <v>73</v>
      </c>
      <c r="J22" s="24"/>
    </row>
    <row r="23" spans="2:10" ht="17" thickBot="1">
      <c r="B23" s="23"/>
      <c r="C23" s="1" t="s">
        <v>17</v>
      </c>
      <c r="D23" s="22" t="s">
        <v>7</v>
      </c>
      <c r="E23" s="19">
        <v>0</v>
      </c>
      <c r="G23" s="16"/>
      <c r="H23" s="16"/>
      <c r="I23" s="18" t="s">
        <v>73</v>
      </c>
      <c r="J23" s="24"/>
    </row>
    <row r="24" spans="2:10" ht="17" thickBot="1">
      <c r="B24" s="23"/>
      <c r="C24" s="1" t="s">
        <v>18</v>
      </c>
      <c r="D24" s="22" t="s">
        <v>7</v>
      </c>
      <c r="E24" s="19">
        <v>1</v>
      </c>
      <c r="G24" s="16"/>
      <c r="H24" s="16"/>
      <c r="I24" s="18" t="s">
        <v>73</v>
      </c>
      <c r="J24" s="24"/>
    </row>
    <row r="25" spans="2:10" ht="17" thickBot="1">
      <c r="B25" s="23"/>
      <c r="C25" s="1" t="s">
        <v>20</v>
      </c>
      <c r="D25" s="22" t="s">
        <v>19</v>
      </c>
      <c r="E25" s="121">
        <f>ROUND(Analysis!D85,6)</f>
        <v>2.3539999999999998E-2</v>
      </c>
      <c r="G25" s="16" t="s">
        <v>21</v>
      </c>
      <c r="H25" s="16"/>
      <c r="I25" s="18" t="s">
        <v>101</v>
      </c>
      <c r="J25" s="24"/>
    </row>
    <row r="26" spans="2:10">
      <c r="B26" s="23"/>
      <c r="D26" s="25"/>
      <c r="E26" s="26"/>
      <c r="J26" s="24"/>
    </row>
    <row r="27" spans="2:10" ht="17" thickBot="1">
      <c r="B27" s="23"/>
      <c r="C27" s="10" t="s">
        <v>22</v>
      </c>
      <c r="D27" s="25"/>
      <c r="J27" s="24"/>
    </row>
    <row r="28" spans="2:10" ht="17" thickBot="1">
      <c r="B28" s="23"/>
      <c r="C28" s="1" t="s">
        <v>23</v>
      </c>
      <c r="D28" s="22" t="s">
        <v>24</v>
      </c>
      <c r="E28" s="27">
        <f>Analysis!D48</f>
        <v>6931.5</v>
      </c>
      <c r="G28" s="16" t="s">
        <v>25</v>
      </c>
      <c r="H28" s="16"/>
      <c r="I28" s="18" t="s">
        <v>98</v>
      </c>
      <c r="J28" s="24"/>
    </row>
    <row r="29" spans="2:10" ht="17" thickBot="1">
      <c r="B29" s="23"/>
      <c r="C29" s="1" t="s">
        <v>26</v>
      </c>
      <c r="D29" s="22" t="s">
        <v>24</v>
      </c>
      <c r="E29" s="27">
        <v>0</v>
      </c>
      <c r="G29" s="16" t="s">
        <v>27</v>
      </c>
      <c r="H29" s="16"/>
      <c r="I29" s="18" t="s">
        <v>73</v>
      </c>
      <c r="J29" s="24"/>
    </row>
    <row r="30" spans="2:10" ht="17" thickBot="1">
      <c r="B30" s="23"/>
      <c r="C30" s="1" t="s">
        <v>28</v>
      </c>
      <c r="D30" s="22" t="s">
        <v>24</v>
      </c>
      <c r="E30" s="27">
        <v>0</v>
      </c>
      <c r="G30" s="16" t="s">
        <v>29</v>
      </c>
      <c r="H30" s="16"/>
      <c r="I30" s="18" t="s">
        <v>73</v>
      </c>
      <c r="J30" s="24"/>
    </row>
    <row r="31" spans="2:10" ht="17" thickBot="1">
      <c r="B31" s="23"/>
      <c r="C31" s="1" t="s">
        <v>30</v>
      </c>
      <c r="D31" s="22" t="s">
        <v>24</v>
      </c>
      <c r="E31" s="27">
        <v>0</v>
      </c>
      <c r="G31" s="16" t="s">
        <v>52</v>
      </c>
      <c r="H31" s="16"/>
      <c r="I31" s="18" t="s">
        <v>73</v>
      </c>
      <c r="J31" s="24"/>
    </row>
    <row r="32" spans="2:10" ht="17" thickBot="1">
      <c r="B32" s="23"/>
      <c r="C32" s="1" t="s">
        <v>31</v>
      </c>
      <c r="D32" s="22" t="s">
        <v>32</v>
      </c>
      <c r="E32" s="27">
        <f>Analysis!D49</f>
        <v>50</v>
      </c>
      <c r="G32" s="16" t="s">
        <v>33</v>
      </c>
      <c r="H32" s="16"/>
      <c r="I32" s="18" t="s">
        <v>98</v>
      </c>
      <c r="J32" s="24"/>
    </row>
    <row r="33" spans="2:10" ht="17" thickBot="1">
      <c r="B33" s="23"/>
      <c r="C33" s="1" t="s">
        <v>34</v>
      </c>
      <c r="D33" s="22" t="s">
        <v>35</v>
      </c>
      <c r="E33" s="27">
        <v>0</v>
      </c>
      <c r="G33" s="16" t="s">
        <v>36</v>
      </c>
      <c r="H33" s="16"/>
      <c r="I33" s="18" t="s">
        <v>73</v>
      </c>
      <c r="J33" s="24"/>
    </row>
    <row r="34" spans="2:10" ht="17" thickBot="1">
      <c r="B34" s="23"/>
      <c r="C34" s="1" t="s">
        <v>37</v>
      </c>
      <c r="D34" s="22" t="s">
        <v>35</v>
      </c>
      <c r="E34" s="27">
        <v>0</v>
      </c>
      <c r="G34" s="16" t="s">
        <v>38</v>
      </c>
      <c r="H34" s="16"/>
      <c r="I34" s="18" t="s">
        <v>73</v>
      </c>
      <c r="J34" s="24"/>
    </row>
    <row r="35" spans="2:10" ht="17" thickBot="1">
      <c r="B35" s="23"/>
      <c r="C35" s="1" t="s">
        <v>39</v>
      </c>
      <c r="D35" s="22" t="s">
        <v>40</v>
      </c>
      <c r="E35" s="27">
        <v>0.02</v>
      </c>
      <c r="G35" s="16" t="s">
        <v>41</v>
      </c>
      <c r="H35" s="16"/>
      <c r="I35" s="18" t="s">
        <v>72</v>
      </c>
      <c r="J35" s="24"/>
    </row>
    <row r="36" spans="2:10" ht="17" thickBot="1">
      <c r="B36" s="23"/>
      <c r="C36" s="1" t="s">
        <v>42</v>
      </c>
      <c r="D36" s="22" t="s">
        <v>43</v>
      </c>
      <c r="E36" s="27">
        <v>0</v>
      </c>
      <c r="G36" s="16"/>
      <c r="H36" s="16"/>
      <c r="I36" s="18" t="s">
        <v>73</v>
      </c>
      <c r="J36" s="24"/>
    </row>
    <row r="37" spans="2:10" ht="20" thickBot="1">
      <c r="B37" s="9"/>
      <c r="C37" s="1" t="s">
        <v>15</v>
      </c>
      <c r="D37" s="22" t="s">
        <v>44</v>
      </c>
      <c r="E37" s="27">
        <v>0</v>
      </c>
      <c r="F37" s="15"/>
      <c r="G37" s="16"/>
      <c r="H37" s="17"/>
      <c r="I37" s="18" t="s">
        <v>73</v>
      </c>
      <c r="J37" s="12"/>
    </row>
    <row r="38" spans="2:10">
      <c r="B38" s="23"/>
      <c r="D38" s="22"/>
      <c r="E38" s="16"/>
      <c r="G38" s="16"/>
      <c r="H38" s="16"/>
      <c r="J38" s="24"/>
    </row>
    <row r="39" spans="2:10" ht="17" thickBot="1">
      <c r="B39" s="23"/>
      <c r="C39" s="10" t="s">
        <v>45</v>
      </c>
      <c r="D39" s="25"/>
      <c r="J39" s="24"/>
    </row>
    <row r="40" spans="2:10" ht="17" thickBot="1">
      <c r="B40" s="23"/>
      <c r="C40" s="1" t="s">
        <v>46</v>
      </c>
      <c r="D40" s="22" t="s">
        <v>47</v>
      </c>
      <c r="E40" s="27">
        <v>0</v>
      </c>
      <c r="G40" s="16" t="s">
        <v>48</v>
      </c>
      <c r="H40" s="16"/>
      <c r="I40" s="18" t="s">
        <v>73</v>
      </c>
      <c r="J40" s="24"/>
    </row>
    <row r="41" spans="2:10" ht="17" thickBot="1">
      <c r="B41" s="23"/>
      <c r="C41" s="1" t="s">
        <v>49</v>
      </c>
      <c r="D41" s="22" t="s">
        <v>47</v>
      </c>
      <c r="E41" s="27">
        <v>15</v>
      </c>
      <c r="G41" s="16" t="s">
        <v>50</v>
      </c>
      <c r="H41" s="16"/>
      <c r="I41" s="18" t="s">
        <v>120</v>
      </c>
      <c r="J41" s="24"/>
    </row>
    <row r="42" spans="2:10" ht="17" thickBot="1">
      <c r="B42" s="23"/>
      <c r="C42" s="1" t="s">
        <v>51</v>
      </c>
      <c r="D42" s="22" t="s">
        <v>7</v>
      </c>
      <c r="E42" s="27">
        <v>0</v>
      </c>
      <c r="G42" s="16"/>
      <c r="H42" s="16"/>
      <c r="I42" s="18" t="s">
        <v>73</v>
      </c>
      <c r="J42" s="24"/>
    </row>
    <row r="43" spans="2:10" ht="17" thickBot="1">
      <c r="B43" s="28"/>
      <c r="C43" s="29"/>
      <c r="D43" s="29"/>
      <c r="E43" s="29"/>
      <c r="F43" s="29"/>
      <c r="G43" s="29"/>
      <c r="H43" s="29"/>
      <c r="I43" s="29"/>
      <c r="J43" s="30"/>
    </row>
  </sheetData>
  <mergeCells count="1">
    <mergeCell ref="F2: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EDC0-AC59-664A-BB9B-BC4ECA4036D4}">
  <dimension ref="B1:K32"/>
  <sheetViews>
    <sheetView topLeftCell="B1" zoomScale="173" workbookViewId="0">
      <selection activeCell="C12" sqref="C12"/>
    </sheetView>
  </sheetViews>
  <sheetFormatPr baseColWidth="10" defaultRowHeight="16"/>
  <cols>
    <col min="1" max="2" width="4.6640625" style="33" customWidth="1"/>
    <col min="3" max="3" width="69.6640625" style="33" customWidth="1"/>
    <col min="4" max="4" width="114.83203125" style="33" customWidth="1"/>
    <col min="5" max="5" width="35.33203125" style="33" bestFit="1" customWidth="1"/>
    <col min="6" max="9" width="10.5" style="46" customWidth="1"/>
    <col min="10" max="10" width="107.1640625" style="33" customWidth="1"/>
    <col min="11" max="11" width="6.33203125" style="33" customWidth="1"/>
    <col min="12" max="16384" width="10.83203125" style="33"/>
  </cols>
  <sheetData>
    <row r="1" spans="2:11" ht="17" thickBot="1"/>
    <row r="2" spans="2:11">
      <c r="B2" s="37"/>
      <c r="C2" s="38"/>
      <c r="D2" s="38"/>
      <c r="E2" s="38"/>
      <c r="F2" s="47"/>
      <c r="G2" s="47"/>
      <c r="H2" s="47"/>
      <c r="I2" s="47"/>
      <c r="J2" s="38"/>
      <c r="K2" s="39"/>
    </row>
    <row r="3" spans="2:11" ht="34">
      <c r="B3" s="40"/>
      <c r="C3" s="6" t="s">
        <v>66</v>
      </c>
      <c r="D3" s="6" t="s">
        <v>64</v>
      </c>
      <c r="E3" s="6" t="s">
        <v>65</v>
      </c>
      <c r="F3" s="48" t="s">
        <v>62</v>
      </c>
      <c r="G3" s="48" t="s">
        <v>58</v>
      </c>
      <c r="H3" s="48" t="s">
        <v>59</v>
      </c>
      <c r="I3" s="48" t="s">
        <v>60</v>
      </c>
      <c r="J3" s="6" t="s">
        <v>61</v>
      </c>
      <c r="K3" s="41"/>
    </row>
    <row r="4" spans="2:11">
      <c r="B4" s="42"/>
      <c r="C4" s="33" t="s">
        <v>121</v>
      </c>
      <c r="D4" s="109" t="s">
        <v>102</v>
      </c>
      <c r="E4" s="33" t="s">
        <v>100</v>
      </c>
      <c r="F4" s="110" t="s">
        <v>63</v>
      </c>
      <c r="G4" s="46">
        <v>2026</v>
      </c>
      <c r="H4" s="110"/>
      <c r="I4" s="110">
        <v>2026</v>
      </c>
      <c r="J4" s="50" t="s">
        <v>99</v>
      </c>
      <c r="K4" s="43"/>
    </row>
    <row r="5" spans="2:11">
      <c r="B5" s="42"/>
      <c r="C5" s="33" t="s">
        <v>122</v>
      </c>
      <c r="D5" s="106" t="s">
        <v>95</v>
      </c>
      <c r="E5" s="33" t="s">
        <v>77</v>
      </c>
      <c r="F5" s="111" t="s">
        <v>76</v>
      </c>
      <c r="G5" s="46">
        <v>2025</v>
      </c>
      <c r="H5" s="111" t="s">
        <v>97</v>
      </c>
      <c r="I5" s="111">
        <v>2026</v>
      </c>
      <c r="J5" s="50" t="s">
        <v>96</v>
      </c>
      <c r="K5" s="43"/>
    </row>
    <row r="6" spans="2:11">
      <c r="B6" s="42"/>
      <c r="C6" s="33" t="s">
        <v>123</v>
      </c>
      <c r="D6" s="106" t="s">
        <v>79</v>
      </c>
      <c r="E6" s="33" t="s">
        <v>80</v>
      </c>
      <c r="F6" s="111" t="s">
        <v>7</v>
      </c>
      <c r="G6" s="46">
        <v>2024</v>
      </c>
      <c r="H6" s="111"/>
      <c r="I6" s="111">
        <v>2026</v>
      </c>
      <c r="J6" s="33" t="s">
        <v>78</v>
      </c>
      <c r="K6" s="43"/>
    </row>
    <row r="7" spans="2:11">
      <c r="B7" s="42"/>
      <c r="C7" s="33" t="s">
        <v>124</v>
      </c>
      <c r="D7" s="106" t="s">
        <v>91</v>
      </c>
      <c r="E7" s="33" t="s">
        <v>90</v>
      </c>
      <c r="F7" s="111" t="s">
        <v>7</v>
      </c>
      <c r="G7" s="46">
        <v>2019</v>
      </c>
      <c r="H7" s="111">
        <v>2016</v>
      </c>
      <c r="I7" s="111">
        <v>2026</v>
      </c>
      <c r="J7" s="50" t="s">
        <v>89</v>
      </c>
      <c r="K7" s="43"/>
    </row>
    <row r="8" spans="2:11">
      <c r="B8" s="42"/>
      <c r="C8" s="105" t="s">
        <v>11</v>
      </c>
      <c r="D8" s="106" t="s">
        <v>110</v>
      </c>
      <c r="E8" s="33" t="s">
        <v>109</v>
      </c>
      <c r="F8" s="111" t="s">
        <v>7</v>
      </c>
      <c r="G8" s="46" t="s">
        <v>7</v>
      </c>
      <c r="H8" s="111" t="s">
        <v>7</v>
      </c>
      <c r="I8" s="111" t="s">
        <v>7</v>
      </c>
      <c r="J8" s="50" t="s">
        <v>108</v>
      </c>
      <c r="K8" s="43"/>
    </row>
    <row r="9" spans="2:11">
      <c r="B9" s="42"/>
      <c r="C9" s="33" t="s">
        <v>125</v>
      </c>
      <c r="D9" s="106" t="s">
        <v>98</v>
      </c>
      <c r="E9" s="33" t="s">
        <v>92</v>
      </c>
      <c r="F9" s="111" t="s">
        <v>63</v>
      </c>
      <c r="G9" s="46">
        <v>2023</v>
      </c>
      <c r="H9" s="111"/>
      <c r="I9" s="111">
        <v>2026</v>
      </c>
      <c r="J9" s="50" t="s">
        <v>93</v>
      </c>
      <c r="K9" s="43"/>
    </row>
    <row r="10" spans="2:11">
      <c r="B10" s="42"/>
      <c r="C10" s="105" t="s">
        <v>49</v>
      </c>
      <c r="D10" s="106" t="s">
        <v>118</v>
      </c>
      <c r="E10" s="33" t="s">
        <v>92</v>
      </c>
      <c r="F10" s="111" t="s">
        <v>63</v>
      </c>
      <c r="G10" s="46">
        <v>2021</v>
      </c>
      <c r="H10" s="111"/>
      <c r="I10" s="111">
        <v>2026</v>
      </c>
      <c r="J10" s="50" t="s">
        <v>117</v>
      </c>
      <c r="K10" s="43"/>
    </row>
    <row r="11" spans="2:11">
      <c r="B11" s="42"/>
      <c r="C11" s="33" t="s">
        <v>133</v>
      </c>
      <c r="D11" s="106" t="s">
        <v>136</v>
      </c>
      <c r="E11" s="33" t="s">
        <v>135</v>
      </c>
      <c r="F11" s="111" t="s">
        <v>63</v>
      </c>
      <c r="G11" s="46">
        <v>2026</v>
      </c>
      <c r="H11" s="111">
        <v>2025</v>
      </c>
      <c r="I11" s="111">
        <v>2026</v>
      </c>
      <c r="J11" s="117" t="s">
        <v>134</v>
      </c>
      <c r="K11" s="43"/>
    </row>
    <row r="12" spans="2:11">
      <c r="B12" s="42"/>
      <c r="D12" s="106"/>
      <c r="F12" s="111"/>
      <c r="H12" s="111"/>
      <c r="I12" s="111"/>
      <c r="K12" s="43"/>
    </row>
    <row r="13" spans="2:11">
      <c r="B13" s="42"/>
      <c r="D13" s="107"/>
      <c r="F13" s="111"/>
      <c r="H13" s="111"/>
      <c r="I13" s="111"/>
      <c r="K13" s="43"/>
    </row>
    <row r="14" spans="2:11">
      <c r="B14" s="42"/>
      <c r="D14" s="106"/>
      <c r="F14" s="111"/>
      <c r="H14" s="111"/>
      <c r="I14" s="111"/>
      <c r="K14" s="43"/>
    </row>
    <row r="15" spans="2:11">
      <c r="B15" s="42"/>
      <c r="D15" s="106"/>
      <c r="F15" s="111"/>
      <c r="H15" s="111"/>
      <c r="I15" s="111"/>
      <c r="K15" s="43"/>
    </row>
    <row r="16" spans="2:11">
      <c r="B16" s="42"/>
      <c r="C16" s="51"/>
      <c r="D16" s="108"/>
      <c r="F16" s="111"/>
      <c r="H16" s="111"/>
      <c r="I16" s="111"/>
      <c r="K16" s="43"/>
    </row>
    <row r="17" spans="2:11">
      <c r="B17" s="42"/>
      <c r="D17" s="10"/>
      <c r="K17" s="43"/>
    </row>
    <row r="18" spans="2:11">
      <c r="B18" s="42"/>
      <c r="K18" s="43"/>
    </row>
    <row r="19" spans="2:11">
      <c r="B19" s="42"/>
      <c r="K19" s="43"/>
    </row>
    <row r="20" spans="2:11">
      <c r="B20" s="42"/>
      <c r="C20" s="51"/>
      <c r="K20" s="43"/>
    </row>
    <row r="21" spans="2:11">
      <c r="B21" s="42"/>
      <c r="K21" s="43"/>
    </row>
    <row r="22" spans="2:11">
      <c r="B22" s="42"/>
      <c r="K22" s="43"/>
    </row>
    <row r="23" spans="2:11">
      <c r="B23" s="42"/>
      <c r="K23" s="43"/>
    </row>
    <row r="24" spans="2:11">
      <c r="B24" s="42"/>
      <c r="K24" s="43"/>
    </row>
    <row r="25" spans="2:11">
      <c r="B25" s="42"/>
      <c r="K25" s="43"/>
    </row>
    <row r="26" spans="2:11">
      <c r="B26" s="42"/>
      <c r="K26" s="43"/>
    </row>
    <row r="27" spans="2:11">
      <c r="B27" s="42"/>
      <c r="C27" s="51"/>
      <c r="K27" s="43"/>
    </row>
    <row r="28" spans="2:11">
      <c r="B28" s="42"/>
      <c r="K28" s="43"/>
    </row>
    <row r="29" spans="2:11">
      <c r="B29" s="42"/>
      <c r="K29" s="43"/>
    </row>
    <row r="30" spans="2:11">
      <c r="B30" s="42"/>
      <c r="C30" s="51"/>
      <c r="K30" s="43"/>
    </row>
    <row r="31" spans="2:11">
      <c r="B31" s="42"/>
      <c r="C31" s="51" t="s">
        <v>74</v>
      </c>
      <c r="K31" s="43"/>
    </row>
    <row r="32" spans="2:11" ht="17" thickBot="1">
      <c r="B32" s="44"/>
      <c r="C32" s="34"/>
      <c r="D32" s="34"/>
      <c r="E32" s="34"/>
      <c r="F32" s="49"/>
      <c r="G32" s="49"/>
      <c r="H32" s="49"/>
      <c r="I32" s="49"/>
      <c r="J32" s="34"/>
      <c r="K32" s="45"/>
    </row>
  </sheetData>
  <hyperlinks>
    <hyperlink ref="J4" r:id="rId1" xr:uid="{DDA6119B-4C9C-B84B-A475-A5D2B73919A0}"/>
    <hyperlink ref="J5" r:id="rId2" xr:uid="{A26B612A-7A2F-AE45-8EAA-3BC3D1FDF567}"/>
    <hyperlink ref="J8" r:id="rId3" xr:uid="{52DCC7FB-CCAA-6642-A617-FF186252A6AA}"/>
    <hyperlink ref="J7" r:id="rId4" xr:uid="{9810E27D-3612-6744-9CAA-30BA6362A054}"/>
    <hyperlink ref="J9" r:id="rId5" xr:uid="{D299A270-E5A7-DA44-863C-E544B8742D33}"/>
    <hyperlink ref="J10" r:id="rId6" xr:uid="{ED1CDA47-A6F6-AB40-B87C-F019BE027446}"/>
    <hyperlink ref="J11" r:id="rId7" location="/CBS/nl/dataset/85592NED/table" xr:uid="{A2DEEB6D-6207-6848-BD30-A9EA6B49ED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5F35-E6A2-4947-B6EF-DDB70CF5DBF6}">
  <dimension ref="B1:AX88"/>
  <sheetViews>
    <sheetView zoomScale="106" workbookViewId="0">
      <selection activeCell="F16" sqref="F16"/>
    </sheetView>
  </sheetViews>
  <sheetFormatPr baseColWidth="10" defaultRowHeight="16"/>
  <cols>
    <col min="1" max="2" width="5" style="33" customWidth="1"/>
    <col min="3" max="3" width="43" style="33" bestFit="1" customWidth="1"/>
    <col min="4" max="4" width="10.6640625" style="33" bestFit="1" customWidth="1"/>
    <col min="5" max="5" width="8.5" style="33" customWidth="1"/>
    <col min="6" max="6" width="68.33203125" style="33" customWidth="1"/>
    <col min="7" max="7" width="17" style="33" customWidth="1"/>
    <col min="8" max="11" width="10.83203125" style="33"/>
    <col min="12" max="12" width="16.33203125" style="33" customWidth="1"/>
    <col min="13" max="30" width="10.83203125" style="33"/>
    <col min="31" max="31" width="3.5" style="33" customWidth="1"/>
    <col min="32" max="32" width="3.33203125" style="33" customWidth="1"/>
    <col min="33" max="37" width="10.83203125" style="33"/>
    <col min="38" max="38" width="23" style="33" bestFit="1" customWidth="1"/>
    <col min="39" max="16384" width="10.83203125" style="33"/>
  </cols>
  <sheetData>
    <row r="1" spans="2:31" ht="17" thickBot="1"/>
    <row r="2" spans="2:31">
      <c r="B2" s="37"/>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9"/>
    </row>
    <row r="3" spans="2:31">
      <c r="B3" s="42"/>
      <c r="C3" s="10" t="s">
        <v>68</v>
      </c>
      <c r="D3" s="10" t="s">
        <v>67</v>
      </c>
      <c r="E3" s="10" t="s">
        <v>69</v>
      </c>
      <c r="F3" s="10" t="s">
        <v>70</v>
      </c>
      <c r="G3" s="10" t="s">
        <v>71</v>
      </c>
      <c r="M3" s="10" t="s">
        <v>103</v>
      </c>
      <c r="AE3" s="43"/>
    </row>
    <row r="4" spans="2:31" ht="16" customHeight="1">
      <c r="B4" s="42"/>
      <c r="C4" s="101" t="s">
        <v>9</v>
      </c>
      <c r="D4" s="52">
        <f xml:space="preserve"> 1</f>
        <v>1</v>
      </c>
      <c r="E4" s="68"/>
      <c r="F4" s="143" t="s">
        <v>153</v>
      </c>
      <c r="G4" s="90" t="s">
        <v>106</v>
      </c>
      <c r="H4" s="53" t="s">
        <v>101</v>
      </c>
      <c r="I4" s="53"/>
      <c r="J4" s="53"/>
      <c r="K4" s="53"/>
      <c r="L4" s="53"/>
      <c r="M4" s="69"/>
      <c r="N4" s="53"/>
      <c r="O4" s="53"/>
      <c r="P4" s="53"/>
      <c r="Q4" s="53"/>
      <c r="R4" s="53"/>
      <c r="S4" s="53"/>
      <c r="T4" s="53"/>
      <c r="U4" s="53"/>
      <c r="V4" s="53"/>
      <c r="W4" s="53"/>
      <c r="X4" s="53"/>
      <c r="Y4" s="53"/>
      <c r="Z4" s="53"/>
      <c r="AA4" s="53"/>
      <c r="AB4" s="53"/>
      <c r="AC4" s="53"/>
      <c r="AD4" s="54"/>
      <c r="AE4" s="43"/>
    </row>
    <row r="5" spans="2:31">
      <c r="B5" s="42"/>
      <c r="C5" s="102" t="s">
        <v>6</v>
      </c>
      <c r="D5" s="127">
        <f>(0.78-D6)*(1/(1-$D$8))</f>
        <v>0.56197680703641584</v>
      </c>
      <c r="E5" s="66"/>
      <c r="F5" s="144"/>
      <c r="G5" s="91"/>
      <c r="M5" s="65"/>
      <c r="AD5" s="55"/>
      <c r="AE5" s="43"/>
    </row>
    <row r="6" spans="2:31">
      <c r="B6" s="42"/>
      <c r="C6" s="102" t="s">
        <v>8</v>
      </c>
      <c r="D6" s="127">
        <f>0.78/3.5*(1/(1-$D$8))</f>
        <v>0.22611145728915499</v>
      </c>
      <c r="E6" s="66"/>
      <c r="F6" s="144"/>
      <c r="G6" s="65"/>
      <c r="M6" s="65"/>
      <c r="AD6" s="55"/>
      <c r="AE6" s="43"/>
    </row>
    <row r="7" spans="2:31">
      <c r="B7" s="42"/>
      <c r="C7" s="103" t="s">
        <v>126</v>
      </c>
      <c r="D7" s="127">
        <f>0.22 / 1.07*(1/(1-$D$8))</f>
        <v>0.2086098994879575</v>
      </c>
      <c r="E7" s="66"/>
      <c r="F7" s="144"/>
      <c r="G7" s="65"/>
      <c r="M7" s="65"/>
      <c r="AD7" s="55"/>
      <c r="AE7" s="43"/>
    </row>
    <row r="8" spans="2:31">
      <c r="B8" s="42"/>
      <c r="C8" s="100" t="s">
        <v>127</v>
      </c>
      <c r="D8" s="127">
        <f>0.07*0.22/1.07</f>
        <v>1.4392523364485982E-2</v>
      </c>
      <c r="E8" s="66"/>
      <c r="F8" s="144"/>
      <c r="G8" s="65"/>
      <c r="M8" s="65"/>
      <c r="AD8" s="55"/>
      <c r="AE8" s="43"/>
    </row>
    <row r="9" spans="2:31">
      <c r="B9" s="42"/>
      <c r="C9" s="100"/>
      <c r="D9" s="128"/>
      <c r="E9" s="66"/>
      <c r="F9" s="144"/>
      <c r="G9" s="65"/>
      <c r="M9" s="65"/>
      <c r="AD9" s="55"/>
      <c r="AE9" s="43"/>
    </row>
    <row r="10" spans="2:31">
      <c r="B10" s="42"/>
      <c r="C10" s="100"/>
      <c r="E10" s="66"/>
      <c r="F10" s="144"/>
      <c r="G10" s="65"/>
      <c r="M10" s="65"/>
      <c r="AD10" s="55"/>
      <c r="AE10" s="43"/>
    </row>
    <row r="11" spans="2:31">
      <c r="B11" s="42"/>
      <c r="C11" s="100"/>
      <c r="E11" s="66"/>
      <c r="F11" s="144"/>
      <c r="G11" s="65"/>
      <c r="M11" s="65"/>
      <c r="AD11" s="55"/>
      <c r="AE11" s="43"/>
    </row>
    <row r="12" spans="2:31" ht="35" customHeight="1">
      <c r="B12" s="42"/>
      <c r="C12" s="100"/>
      <c r="E12" s="66"/>
      <c r="F12" s="144"/>
      <c r="G12" s="65"/>
      <c r="H12" s="105"/>
      <c r="I12" s="105"/>
      <c r="J12" s="105"/>
      <c r="K12" s="105"/>
      <c r="M12" s="65"/>
      <c r="N12" s="105"/>
      <c r="O12" s="105"/>
      <c r="P12" s="105"/>
      <c r="Q12" s="105"/>
      <c r="R12" s="105"/>
      <c r="S12" s="105"/>
      <c r="T12" s="105"/>
      <c r="U12" s="105"/>
      <c r="V12" s="105"/>
      <c r="W12" s="105"/>
      <c r="X12" s="105"/>
      <c r="Y12" s="105"/>
      <c r="Z12" s="105"/>
      <c r="AA12" s="105"/>
      <c r="AB12" s="105"/>
      <c r="AC12" s="105"/>
      <c r="AD12" s="87"/>
      <c r="AE12" s="43"/>
    </row>
    <row r="13" spans="2:31" ht="28" customHeight="1">
      <c r="B13" s="42"/>
      <c r="C13" s="100"/>
      <c r="E13" s="66"/>
      <c r="F13" s="144"/>
      <c r="G13" s="65"/>
      <c r="H13" s="105"/>
      <c r="I13" s="105"/>
      <c r="J13" s="105"/>
      <c r="K13" s="105"/>
      <c r="M13" s="65"/>
      <c r="N13" s="105"/>
      <c r="O13" s="105"/>
      <c r="P13" s="105"/>
      <c r="Q13" s="105"/>
      <c r="R13" s="105"/>
      <c r="S13" s="105"/>
      <c r="T13" s="105"/>
      <c r="U13" s="105"/>
      <c r="V13" s="105"/>
      <c r="W13" s="105"/>
      <c r="X13" s="105"/>
      <c r="Y13" s="105"/>
      <c r="Z13" s="105"/>
      <c r="AA13" s="105"/>
      <c r="AB13" s="105"/>
      <c r="AC13" s="105"/>
      <c r="AD13" s="87"/>
      <c r="AE13" s="43"/>
    </row>
    <row r="14" spans="2:31" ht="29" customHeight="1">
      <c r="B14" s="42"/>
      <c r="C14" s="100"/>
      <c r="E14" s="66"/>
      <c r="F14" s="144"/>
      <c r="G14" s="65"/>
      <c r="H14" s="105"/>
      <c r="I14" s="105"/>
      <c r="J14" s="105"/>
      <c r="K14" s="105"/>
      <c r="M14" s="65"/>
      <c r="N14" s="105"/>
      <c r="O14" s="105"/>
      <c r="P14" s="105"/>
      <c r="Q14" s="105"/>
      <c r="R14" s="105"/>
      <c r="S14" s="105"/>
      <c r="T14" s="105"/>
      <c r="U14" s="105"/>
      <c r="V14" s="105"/>
      <c r="W14" s="105"/>
      <c r="X14" s="105"/>
      <c r="Y14" s="105"/>
      <c r="Z14" s="105"/>
      <c r="AA14" s="105"/>
      <c r="AB14" s="105"/>
      <c r="AC14" s="105"/>
      <c r="AD14" s="87"/>
      <c r="AE14" s="43"/>
    </row>
    <row r="15" spans="2:31" ht="122" customHeight="1">
      <c r="B15" s="42"/>
      <c r="C15" s="104"/>
      <c r="D15" s="58"/>
      <c r="E15" s="67"/>
      <c r="F15" s="144"/>
      <c r="G15" s="61"/>
      <c r="H15" s="88"/>
      <c r="I15" s="88"/>
      <c r="J15" s="88"/>
      <c r="K15" s="88"/>
      <c r="L15" s="58"/>
      <c r="M15" s="61"/>
      <c r="N15" s="88"/>
      <c r="O15" s="88"/>
      <c r="P15" s="88"/>
      <c r="Q15" s="88"/>
      <c r="R15" s="88"/>
      <c r="S15" s="88"/>
      <c r="T15" s="88"/>
      <c r="U15" s="88"/>
      <c r="V15" s="88"/>
      <c r="W15" s="88"/>
      <c r="X15" s="88"/>
      <c r="Y15" s="88"/>
      <c r="Z15" s="88"/>
      <c r="AA15" s="88"/>
      <c r="AB15" s="88"/>
      <c r="AC15" s="88"/>
      <c r="AD15" s="89"/>
      <c r="AE15" s="43"/>
    </row>
    <row r="16" spans="2:31">
      <c r="B16" s="42"/>
      <c r="F16" s="112"/>
      <c r="H16" s="105"/>
      <c r="I16" s="105"/>
      <c r="J16" s="105"/>
      <c r="K16" s="105"/>
      <c r="N16" s="105"/>
      <c r="O16" s="105"/>
      <c r="P16" s="105"/>
      <c r="Q16" s="105"/>
      <c r="R16" s="105"/>
      <c r="S16" s="105"/>
      <c r="T16" s="105"/>
      <c r="U16" s="105"/>
      <c r="V16" s="105"/>
      <c r="W16" s="105"/>
      <c r="X16" s="105"/>
      <c r="Y16" s="105"/>
      <c r="Z16" s="105"/>
      <c r="AA16" s="105"/>
      <c r="AB16" s="105"/>
      <c r="AC16" s="105"/>
      <c r="AD16" s="105"/>
      <c r="AE16" s="43"/>
    </row>
    <row r="17" spans="2:50" ht="16" customHeight="1">
      <c r="B17" s="42"/>
      <c r="C17" s="101" t="s">
        <v>10</v>
      </c>
      <c r="D17" s="52">
        <f>AQ29</f>
        <v>3.0583999999999998</v>
      </c>
      <c r="E17" s="68"/>
      <c r="F17" s="140" t="s">
        <v>149</v>
      </c>
      <c r="G17" s="90" t="s">
        <v>106</v>
      </c>
      <c r="H17" s="53" t="s">
        <v>104</v>
      </c>
      <c r="I17" s="53"/>
      <c r="J17" s="53"/>
      <c r="K17" s="53"/>
      <c r="L17" s="63"/>
      <c r="M17" s="53"/>
      <c r="N17" s="53"/>
      <c r="O17" s="53"/>
      <c r="P17" s="53"/>
      <c r="Q17" s="53"/>
      <c r="R17" s="53"/>
      <c r="S17" s="53"/>
      <c r="T17" s="53"/>
      <c r="U17" s="53"/>
      <c r="V17" s="53"/>
      <c r="W17" s="53"/>
      <c r="X17" s="53"/>
      <c r="Y17" s="53"/>
      <c r="Z17" s="53"/>
      <c r="AA17" s="53"/>
      <c r="AB17" s="53"/>
      <c r="AC17" s="53"/>
      <c r="AD17" s="54"/>
      <c r="AE17" s="43"/>
      <c r="AH17" s="10" t="s">
        <v>83</v>
      </c>
      <c r="AN17" s="10" t="s">
        <v>83</v>
      </c>
      <c r="AT17" s="10" t="s">
        <v>83</v>
      </c>
    </row>
    <row r="18" spans="2:50">
      <c r="B18" s="42"/>
      <c r="C18" s="102" t="s">
        <v>12</v>
      </c>
      <c r="D18" s="127">
        <f>AQ46</f>
        <v>5.9299999999999999E-2</v>
      </c>
      <c r="E18" s="66"/>
      <c r="F18" s="141"/>
      <c r="G18" s="91" t="s">
        <v>107</v>
      </c>
      <c r="H18" s="33" t="s">
        <v>105</v>
      </c>
      <c r="L18" s="62"/>
      <c r="AD18" s="55"/>
      <c r="AE18" s="43"/>
      <c r="AH18" s="73" t="s">
        <v>87</v>
      </c>
      <c r="AI18" s="74" t="s">
        <v>88</v>
      </c>
      <c r="AJ18" s="75" t="s">
        <v>81</v>
      </c>
      <c r="AK18" s="75" t="s">
        <v>82</v>
      </c>
      <c r="AL18" s="78" t="s">
        <v>86</v>
      </c>
      <c r="AN18" s="73" t="s">
        <v>87</v>
      </c>
      <c r="AO18" s="74" t="s">
        <v>88</v>
      </c>
      <c r="AP18" s="75" t="s">
        <v>81</v>
      </c>
      <c r="AQ18" s="75" t="s">
        <v>82</v>
      </c>
      <c r="AR18" s="78" t="s">
        <v>86</v>
      </c>
      <c r="AT18" s="73" t="s">
        <v>87</v>
      </c>
      <c r="AU18" s="53" t="s">
        <v>88</v>
      </c>
      <c r="AV18" s="75" t="s">
        <v>81</v>
      </c>
      <c r="AW18" s="75" t="s">
        <v>82</v>
      </c>
      <c r="AX18" s="77" t="s">
        <v>86</v>
      </c>
    </row>
    <row r="19" spans="2:50">
      <c r="B19" s="42"/>
      <c r="C19" s="100"/>
      <c r="E19" s="66"/>
      <c r="F19" s="141"/>
      <c r="G19" s="65"/>
      <c r="L19" s="62"/>
      <c r="AD19" s="55"/>
      <c r="AE19" s="43"/>
      <c r="AH19" s="70">
        <v>-10</v>
      </c>
      <c r="AI19" s="53">
        <v>35</v>
      </c>
      <c r="AJ19" s="54">
        <f>AI19-AH19</f>
        <v>45</v>
      </c>
      <c r="AK19" s="82">
        <f>6.08 - 0.0941 * AJ19 + 0.000464 * AJ19^2</f>
        <v>2.7851000000000004</v>
      </c>
      <c r="AL19" s="80">
        <f t="shared" ref="AL19:AL28" si="0">AL20-$AK$46</f>
        <v>2.7154999999999987</v>
      </c>
      <c r="AN19" s="70">
        <v>-10</v>
      </c>
      <c r="AO19" s="53">
        <v>40</v>
      </c>
      <c r="AP19" s="54">
        <f>AO19-AN19</f>
        <v>50</v>
      </c>
      <c r="AQ19" s="82">
        <f>6.08 - 0.0941 * AP19 + 0.000464 * AP19^2</f>
        <v>2.5350000000000001</v>
      </c>
      <c r="AR19" s="80">
        <f t="shared" ref="AR19:AR28" si="1">AR20-$AQ$46</f>
        <v>2.4654000000000007</v>
      </c>
      <c r="AT19" s="70">
        <v>-10</v>
      </c>
      <c r="AU19" s="33">
        <v>45</v>
      </c>
      <c r="AV19" s="54">
        <f>AU19-AT19</f>
        <v>55</v>
      </c>
      <c r="AW19" s="84">
        <f>6.08 - 0.0941 * AV19 + 0.000464 * AV19^2</f>
        <v>2.3080999999999996</v>
      </c>
      <c r="AX19" s="80">
        <f t="shared" ref="AX19:AX28" si="2">AX20-$AW$46</f>
        <v>2.2384999999999988</v>
      </c>
    </row>
    <row r="20" spans="2:50">
      <c r="B20" s="42"/>
      <c r="C20" s="100"/>
      <c r="E20" s="66"/>
      <c r="F20" s="141"/>
      <c r="G20" s="83"/>
      <c r="L20" s="62"/>
      <c r="AD20" s="55"/>
      <c r="AE20" s="43"/>
      <c r="AH20" s="56">
        <f>AH19+1</f>
        <v>-9</v>
      </c>
      <c r="AI20" s="33">
        <v>35</v>
      </c>
      <c r="AJ20" s="55">
        <f t="shared" ref="AJ20:AJ44" si="3">AI20-AH20</f>
        <v>44</v>
      </c>
      <c r="AK20" s="71">
        <f t="shared" ref="AK20:AK44" si="4">6.08 - 0.0941 * AJ20 + 0.000464 * AJ20^2</f>
        <v>2.8379039999999995</v>
      </c>
      <c r="AL20" s="79">
        <f t="shared" si="0"/>
        <v>2.7794399999999988</v>
      </c>
      <c r="AN20" s="56">
        <f>AN19+1</f>
        <v>-9</v>
      </c>
      <c r="AO20" s="33">
        <v>40</v>
      </c>
      <c r="AP20" s="55">
        <f t="shared" ref="AP20:AP44" si="5">AO20-AN20</f>
        <v>49</v>
      </c>
      <c r="AQ20" s="71">
        <f t="shared" ref="AQ20:AQ44" si="6">6.08 - 0.0941 * AP20 + 0.000464 * AP20^2</f>
        <v>2.583164</v>
      </c>
      <c r="AR20" s="79">
        <f t="shared" si="1"/>
        <v>2.5247000000000006</v>
      </c>
      <c r="AT20" s="56">
        <f>AT19+1</f>
        <v>-9</v>
      </c>
      <c r="AU20" s="33">
        <v>45</v>
      </c>
      <c r="AV20" s="55">
        <f t="shared" ref="AV20:AV44" si="7">AU20-AT20</f>
        <v>54</v>
      </c>
      <c r="AW20" s="85">
        <f t="shared" ref="AW20:AW44" si="8">6.08 - 0.0941 * AV20 + 0.000464 * AV20^2</f>
        <v>2.3516239999999997</v>
      </c>
      <c r="AX20" s="79">
        <f t="shared" si="2"/>
        <v>2.293159999999999</v>
      </c>
    </row>
    <row r="21" spans="2:50">
      <c r="B21" s="42"/>
      <c r="C21" s="100"/>
      <c r="E21" s="66"/>
      <c r="F21" s="141"/>
      <c r="G21" s="65"/>
      <c r="L21" s="62"/>
      <c r="AD21" s="55"/>
      <c r="AE21" s="43"/>
      <c r="AH21" s="56">
        <f t="shared" ref="AH21:AH44" si="9">AH20+1</f>
        <v>-8</v>
      </c>
      <c r="AI21" s="33">
        <v>35</v>
      </c>
      <c r="AJ21" s="55">
        <f t="shared" si="3"/>
        <v>43</v>
      </c>
      <c r="AK21" s="71">
        <f t="shared" si="4"/>
        <v>2.8916359999999997</v>
      </c>
      <c r="AL21" s="79">
        <f t="shared" si="0"/>
        <v>2.8433799999999989</v>
      </c>
      <c r="AN21" s="56">
        <f t="shared" ref="AN21:AN44" si="10">AN20+1</f>
        <v>-8</v>
      </c>
      <c r="AO21" s="33">
        <v>40</v>
      </c>
      <c r="AP21" s="55">
        <f t="shared" si="5"/>
        <v>48</v>
      </c>
      <c r="AQ21" s="71">
        <f t="shared" si="6"/>
        <v>2.6322559999999999</v>
      </c>
      <c r="AR21" s="79">
        <f t="shared" si="1"/>
        <v>2.5840000000000005</v>
      </c>
      <c r="AT21" s="56">
        <f t="shared" ref="AT21:AT44" si="11">AT20+1</f>
        <v>-8</v>
      </c>
      <c r="AU21" s="33">
        <v>45</v>
      </c>
      <c r="AV21" s="55">
        <f t="shared" si="7"/>
        <v>53</v>
      </c>
      <c r="AW21" s="85">
        <f t="shared" si="8"/>
        <v>2.3960759999999999</v>
      </c>
      <c r="AX21" s="79">
        <f t="shared" si="2"/>
        <v>2.3478199999999991</v>
      </c>
    </row>
    <row r="22" spans="2:50">
      <c r="B22" s="42"/>
      <c r="C22" s="100"/>
      <c r="E22" s="66"/>
      <c r="F22" s="141"/>
      <c r="G22" s="65"/>
      <c r="L22" s="62"/>
      <c r="AD22" s="55"/>
      <c r="AE22" s="43"/>
      <c r="AH22" s="56">
        <f t="shared" si="9"/>
        <v>-7</v>
      </c>
      <c r="AI22" s="33">
        <v>35</v>
      </c>
      <c r="AJ22" s="55">
        <f t="shared" si="3"/>
        <v>42</v>
      </c>
      <c r="AK22" s="71">
        <f t="shared" si="4"/>
        <v>2.9462960000000002</v>
      </c>
      <c r="AL22" s="79">
        <f t="shared" si="0"/>
        <v>2.907319999999999</v>
      </c>
      <c r="AN22" s="56">
        <f t="shared" si="10"/>
        <v>-7</v>
      </c>
      <c r="AO22" s="33">
        <v>40</v>
      </c>
      <c r="AP22" s="55">
        <f t="shared" si="5"/>
        <v>47</v>
      </c>
      <c r="AQ22" s="71">
        <f t="shared" si="6"/>
        <v>2.6822760000000003</v>
      </c>
      <c r="AR22" s="79">
        <f t="shared" si="1"/>
        <v>2.6433000000000004</v>
      </c>
      <c r="AT22" s="56">
        <f t="shared" si="11"/>
        <v>-7</v>
      </c>
      <c r="AU22" s="33">
        <v>45</v>
      </c>
      <c r="AV22" s="55">
        <f t="shared" si="7"/>
        <v>52</v>
      </c>
      <c r="AW22" s="85">
        <f t="shared" si="8"/>
        <v>2.4414559999999996</v>
      </c>
      <c r="AX22" s="79">
        <f t="shared" si="2"/>
        <v>2.4024799999999993</v>
      </c>
    </row>
    <row r="23" spans="2:50">
      <c r="B23" s="42"/>
      <c r="C23" s="100"/>
      <c r="E23" s="66"/>
      <c r="F23" s="141"/>
      <c r="G23" s="65"/>
      <c r="L23" s="62"/>
      <c r="AD23" s="55"/>
      <c r="AE23" s="43"/>
      <c r="AH23" s="56">
        <f t="shared" si="9"/>
        <v>-6</v>
      </c>
      <c r="AI23" s="33">
        <v>35</v>
      </c>
      <c r="AJ23" s="55">
        <f t="shared" si="3"/>
        <v>41</v>
      </c>
      <c r="AK23" s="71">
        <f t="shared" si="4"/>
        <v>3.0018839999999996</v>
      </c>
      <c r="AL23" s="79">
        <f t="shared" si="0"/>
        <v>2.9712599999999991</v>
      </c>
      <c r="AN23" s="56">
        <f t="shared" si="10"/>
        <v>-6</v>
      </c>
      <c r="AO23" s="33">
        <v>40</v>
      </c>
      <c r="AP23" s="55">
        <f t="shared" si="5"/>
        <v>46</v>
      </c>
      <c r="AQ23" s="71">
        <f t="shared" si="6"/>
        <v>2.7332240000000003</v>
      </c>
      <c r="AR23" s="79">
        <f t="shared" si="1"/>
        <v>2.7026000000000003</v>
      </c>
      <c r="AT23" s="56">
        <f t="shared" si="11"/>
        <v>-6</v>
      </c>
      <c r="AU23" s="33">
        <v>45</v>
      </c>
      <c r="AV23" s="55">
        <f t="shared" si="7"/>
        <v>51</v>
      </c>
      <c r="AW23" s="85">
        <f t="shared" si="8"/>
        <v>2.4877639999999999</v>
      </c>
      <c r="AX23" s="79">
        <f t="shared" si="2"/>
        <v>2.4571399999999994</v>
      </c>
    </row>
    <row r="24" spans="2:50">
      <c r="B24" s="42"/>
      <c r="C24" s="100"/>
      <c r="E24" s="66"/>
      <c r="F24" s="141"/>
      <c r="G24" s="65"/>
      <c r="L24" s="62"/>
      <c r="AD24" s="55"/>
      <c r="AE24" s="43"/>
      <c r="AH24" s="56">
        <f t="shared" si="9"/>
        <v>-5</v>
      </c>
      <c r="AI24" s="33">
        <v>35</v>
      </c>
      <c r="AJ24" s="55">
        <f t="shared" si="3"/>
        <v>40</v>
      </c>
      <c r="AK24" s="71">
        <f t="shared" si="4"/>
        <v>3.0583999999999998</v>
      </c>
      <c r="AL24" s="79">
        <f t="shared" si="0"/>
        <v>3.0351999999999992</v>
      </c>
      <c r="AN24" s="56">
        <f t="shared" si="10"/>
        <v>-5</v>
      </c>
      <c r="AO24" s="33">
        <v>40</v>
      </c>
      <c r="AP24" s="55">
        <f t="shared" si="5"/>
        <v>45</v>
      </c>
      <c r="AQ24" s="71">
        <f t="shared" si="6"/>
        <v>2.7851000000000004</v>
      </c>
      <c r="AR24" s="79">
        <f t="shared" si="1"/>
        <v>2.7619000000000002</v>
      </c>
      <c r="AT24" s="56">
        <f t="shared" si="11"/>
        <v>-5</v>
      </c>
      <c r="AU24" s="33">
        <v>45</v>
      </c>
      <c r="AV24" s="55">
        <f t="shared" si="7"/>
        <v>50</v>
      </c>
      <c r="AW24" s="85">
        <f t="shared" si="8"/>
        <v>2.5350000000000001</v>
      </c>
      <c r="AX24" s="79">
        <f t="shared" si="2"/>
        <v>2.5117999999999996</v>
      </c>
    </row>
    <row r="25" spans="2:50">
      <c r="B25" s="42"/>
      <c r="C25" s="100"/>
      <c r="E25" s="66"/>
      <c r="F25" s="141"/>
      <c r="G25" s="65"/>
      <c r="L25" s="62"/>
      <c r="AD25" s="55"/>
      <c r="AE25" s="43"/>
      <c r="AH25" s="56">
        <f t="shared" si="9"/>
        <v>-4</v>
      </c>
      <c r="AI25" s="33">
        <v>35</v>
      </c>
      <c r="AJ25" s="55">
        <f t="shared" si="3"/>
        <v>39</v>
      </c>
      <c r="AK25" s="71">
        <f t="shared" si="4"/>
        <v>3.1158440000000001</v>
      </c>
      <c r="AL25" s="79">
        <f t="shared" si="0"/>
        <v>3.0991399999999993</v>
      </c>
      <c r="AN25" s="56">
        <f t="shared" si="10"/>
        <v>-4</v>
      </c>
      <c r="AO25" s="33">
        <v>40</v>
      </c>
      <c r="AP25" s="55">
        <f t="shared" si="5"/>
        <v>44</v>
      </c>
      <c r="AQ25" s="71">
        <f t="shared" si="6"/>
        <v>2.8379039999999995</v>
      </c>
      <c r="AR25" s="79">
        <f t="shared" si="1"/>
        <v>2.8212000000000002</v>
      </c>
      <c r="AT25" s="56">
        <f t="shared" si="11"/>
        <v>-4</v>
      </c>
      <c r="AU25" s="33">
        <v>45</v>
      </c>
      <c r="AV25" s="55">
        <f t="shared" si="7"/>
        <v>49</v>
      </c>
      <c r="AW25" s="85">
        <f t="shared" si="8"/>
        <v>2.583164</v>
      </c>
      <c r="AX25" s="79">
        <f t="shared" si="2"/>
        <v>2.5664599999999997</v>
      </c>
    </row>
    <row r="26" spans="2:50">
      <c r="B26" s="42"/>
      <c r="C26" s="100"/>
      <c r="E26" s="66"/>
      <c r="F26" s="141"/>
      <c r="G26" s="65"/>
      <c r="L26" s="62"/>
      <c r="AD26" s="55"/>
      <c r="AE26" s="43"/>
      <c r="AH26" s="56">
        <f t="shared" si="9"/>
        <v>-3</v>
      </c>
      <c r="AI26" s="33">
        <v>35</v>
      </c>
      <c r="AJ26" s="55">
        <f t="shared" si="3"/>
        <v>38</v>
      </c>
      <c r="AK26" s="71">
        <f t="shared" si="4"/>
        <v>3.1742159999999999</v>
      </c>
      <c r="AL26" s="79">
        <f t="shared" si="0"/>
        <v>3.1630799999999994</v>
      </c>
      <c r="AN26" s="56">
        <f t="shared" si="10"/>
        <v>-3</v>
      </c>
      <c r="AO26" s="33">
        <v>40</v>
      </c>
      <c r="AP26" s="55">
        <f t="shared" si="5"/>
        <v>43</v>
      </c>
      <c r="AQ26" s="71">
        <f t="shared" si="6"/>
        <v>2.8916359999999997</v>
      </c>
      <c r="AR26" s="79">
        <f t="shared" si="1"/>
        <v>2.8805000000000001</v>
      </c>
      <c r="AT26" s="56">
        <f t="shared" si="11"/>
        <v>-3</v>
      </c>
      <c r="AU26" s="33">
        <v>45</v>
      </c>
      <c r="AV26" s="55">
        <f t="shared" si="7"/>
        <v>48</v>
      </c>
      <c r="AW26" s="85">
        <f t="shared" si="8"/>
        <v>2.6322559999999999</v>
      </c>
      <c r="AX26" s="79">
        <f t="shared" si="2"/>
        <v>2.6211199999999999</v>
      </c>
    </row>
    <row r="27" spans="2:50">
      <c r="B27" s="42"/>
      <c r="C27" s="100"/>
      <c r="E27" s="66"/>
      <c r="F27" s="141"/>
      <c r="G27" s="65"/>
      <c r="L27" s="62"/>
      <c r="AD27" s="55"/>
      <c r="AE27" s="43"/>
      <c r="AH27" s="56">
        <f t="shared" si="9"/>
        <v>-2</v>
      </c>
      <c r="AI27" s="33">
        <v>35</v>
      </c>
      <c r="AJ27" s="55">
        <f t="shared" si="3"/>
        <v>37</v>
      </c>
      <c r="AK27" s="71">
        <f t="shared" si="4"/>
        <v>3.2335159999999998</v>
      </c>
      <c r="AL27" s="79">
        <f t="shared" si="0"/>
        <v>3.2270199999999996</v>
      </c>
      <c r="AN27" s="56">
        <f t="shared" si="10"/>
        <v>-2</v>
      </c>
      <c r="AO27" s="33">
        <v>40</v>
      </c>
      <c r="AP27" s="55">
        <f t="shared" si="5"/>
        <v>42</v>
      </c>
      <c r="AQ27" s="71">
        <f t="shared" si="6"/>
        <v>2.9462960000000002</v>
      </c>
      <c r="AR27" s="79">
        <f t="shared" si="1"/>
        <v>2.9398</v>
      </c>
      <c r="AT27" s="56">
        <f t="shared" si="11"/>
        <v>-2</v>
      </c>
      <c r="AU27" s="33">
        <v>45</v>
      </c>
      <c r="AV27" s="55">
        <f t="shared" si="7"/>
        <v>47</v>
      </c>
      <c r="AW27" s="85">
        <f t="shared" si="8"/>
        <v>2.6822760000000003</v>
      </c>
      <c r="AX27" s="79">
        <f t="shared" si="2"/>
        <v>2.67578</v>
      </c>
    </row>
    <row r="28" spans="2:50">
      <c r="B28" s="42"/>
      <c r="C28" s="100"/>
      <c r="E28" s="66"/>
      <c r="F28" s="141"/>
      <c r="G28" s="65"/>
      <c r="L28" s="62"/>
      <c r="AD28" s="55"/>
      <c r="AE28" s="43"/>
      <c r="AH28" s="56">
        <f t="shared" si="9"/>
        <v>-1</v>
      </c>
      <c r="AI28" s="33">
        <v>35</v>
      </c>
      <c r="AJ28" s="55">
        <f t="shared" si="3"/>
        <v>36</v>
      </c>
      <c r="AK28" s="71">
        <f t="shared" si="4"/>
        <v>3.2937440000000002</v>
      </c>
      <c r="AL28" s="79">
        <f t="shared" si="0"/>
        <v>3.2909599999999997</v>
      </c>
      <c r="AN28" s="56">
        <f t="shared" si="10"/>
        <v>-1</v>
      </c>
      <c r="AO28" s="33">
        <v>40</v>
      </c>
      <c r="AP28" s="55">
        <f t="shared" si="5"/>
        <v>41</v>
      </c>
      <c r="AQ28" s="71">
        <f t="shared" si="6"/>
        <v>3.0018839999999996</v>
      </c>
      <c r="AR28" s="79">
        <f t="shared" si="1"/>
        <v>2.9990999999999999</v>
      </c>
      <c r="AT28" s="56">
        <f t="shared" si="11"/>
        <v>-1</v>
      </c>
      <c r="AU28" s="33">
        <v>45</v>
      </c>
      <c r="AV28" s="55">
        <f t="shared" si="7"/>
        <v>46</v>
      </c>
      <c r="AW28" s="85">
        <f t="shared" si="8"/>
        <v>2.7332240000000003</v>
      </c>
      <c r="AX28" s="79">
        <f t="shared" si="2"/>
        <v>2.7304400000000002</v>
      </c>
    </row>
    <row r="29" spans="2:50">
      <c r="B29" s="42"/>
      <c r="C29" s="100"/>
      <c r="E29" s="66"/>
      <c r="F29" s="141"/>
      <c r="G29" s="65"/>
      <c r="L29" s="62"/>
      <c r="AD29" s="55"/>
      <c r="AE29" s="43"/>
      <c r="AG29" s="76" t="s">
        <v>84</v>
      </c>
      <c r="AH29" s="92">
        <f t="shared" si="9"/>
        <v>0</v>
      </c>
      <c r="AI29" s="76">
        <v>35</v>
      </c>
      <c r="AJ29" s="93">
        <f t="shared" si="3"/>
        <v>35</v>
      </c>
      <c r="AK29" s="94">
        <f t="shared" si="4"/>
        <v>3.3548999999999998</v>
      </c>
      <c r="AL29" s="95">
        <f>AK29</f>
        <v>3.3548999999999998</v>
      </c>
      <c r="AM29" s="51"/>
      <c r="AN29" s="92">
        <f t="shared" si="10"/>
        <v>0</v>
      </c>
      <c r="AO29" s="76">
        <v>40</v>
      </c>
      <c r="AP29" s="93">
        <f t="shared" si="5"/>
        <v>40</v>
      </c>
      <c r="AQ29" s="94">
        <f t="shared" si="6"/>
        <v>3.0583999999999998</v>
      </c>
      <c r="AR29" s="95">
        <f>AQ29</f>
        <v>3.0583999999999998</v>
      </c>
      <c r="AS29" s="51"/>
      <c r="AT29" s="92">
        <f t="shared" si="11"/>
        <v>0</v>
      </c>
      <c r="AU29" s="76">
        <v>45</v>
      </c>
      <c r="AV29" s="93">
        <f t="shared" si="7"/>
        <v>45</v>
      </c>
      <c r="AW29" s="96">
        <f t="shared" si="8"/>
        <v>2.7851000000000004</v>
      </c>
      <c r="AX29" s="95">
        <f>AW29</f>
        <v>2.7851000000000004</v>
      </c>
    </row>
    <row r="30" spans="2:50">
      <c r="B30" s="42"/>
      <c r="C30" s="100"/>
      <c r="E30" s="66"/>
      <c r="F30" s="141"/>
      <c r="G30" s="65"/>
      <c r="L30" s="62"/>
      <c r="AD30" s="55"/>
      <c r="AE30" s="43"/>
      <c r="AH30" s="56">
        <f t="shared" si="9"/>
        <v>1</v>
      </c>
      <c r="AI30" s="33">
        <v>35</v>
      </c>
      <c r="AJ30" s="55">
        <f t="shared" si="3"/>
        <v>34</v>
      </c>
      <c r="AK30" s="71">
        <f t="shared" si="4"/>
        <v>3.4169839999999998</v>
      </c>
      <c r="AL30" s="79">
        <f t="shared" ref="AL30:AL44" si="12">AL29+$AK$46</f>
        <v>3.4188399999999999</v>
      </c>
      <c r="AN30" s="56">
        <f t="shared" si="10"/>
        <v>1</v>
      </c>
      <c r="AO30" s="33">
        <v>40</v>
      </c>
      <c r="AP30" s="55">
        <f t="shared" si="5"/>
        <v>39</v>
      </c>
      <c r="AQ30" s="71">
        <f t="shared" si="6"/>
        <v>3.1158440000000001</v>
      </c>
      <c r="AR30" s="79">
        <f t="shared" ref="AR30:AR44" si="13">AR29+$AQ$46</f>
        <v>3.1176999999999997</v>
      </c>
      <c r="AT30" s="56">
        <f t="shared" si="11"/>
        <v>1</v>
      </c>
      <c r="AU30" s="33">
        <v>45</v>
      </c>
      <c r="AV30" s="55">
        <f t="shared" si="7"/>
        <v>44</v>
      </c>
      <c r="AW30" s="85">
        <f t="shared" si="8"/>
        <v>2.8379039999999995</v>
      </c>
      <c r="AX30" s="79">
        <f t="shared" ref="AX30:AX44" si="14">AX29+$AW$46</f>
        <v>2.8397600000000005</v>
      </c>
    </row>
    <row r="31" spans="2:50">
      <c r="B31" s="42"/>
      <c r="C31" s="104"/>
      <c r="D31" s="58"/>
      <c r="E31" s="67"/>
      <c r="F31" s="142"/>
      <c r="G31" s="61"/>
      <c r="H31" s="58"/>
      <c r="I31" s="58"/>
      <c r="J31" s="58"/>
      <c r="K31" s="58"/>
      <c r="L31" s="64"/>
      <c r="M31" s="58"/>
      <c r="N31" s="58"/>
      <c r="O31" s="58"/>
      <c r="P31" s="58"/>
      <c r="Q31" s="58"/>
      <c r="R31" s="58"/>
      <c r="S31" s="58"/>
      <c r="T31" s="58"/>
      <c r="U31" s="58"/>
      <c r="V31" s="58"/>
      <c r="W31" s="58"/>
      <c r="X31" s="58"/>
      <c r="Y31" s="58"/>
      <c r="Z31" s="58"/>
      <c r="AA31" s="58"/>
      <c r="AB31" s="58"/>
      <c r="AC31" s="58"/>
      <c r="AD31" s="59"/>
      <c r="AE31" s="43"/>
      <c r="AH31" s="56">
        <f>AH30+1</f>
        <v>2</v>
      </c>
      <c r="AI31" s="33">
        <v>35</v>
      </c>
      <c r="AJ31" s="55">
        <f t="shared" si="3"/>
        <v>33</v>
      </c>
      <c r="AK31" s="71">
        <f t="shared" si="4"/>
        <v>3.4799959999999999</v>
      </c>
      <c r="AL31" s="79">
        <f t="shared" si="12"/>
        <v>3.48278</v>
      </c>
      <c r="AN31" s="56">
        <f>AN30+1</f>
        <v>2</v>
      </c>
      <c r="AO31" s="33">
        <v>40</v>
      </c>
      <c r="AP31" s="55">
        <f t="shared" si="5"/>
        <v>38</v>
      </c>
      <c r="AQ31" s="71">
        <f t="shared" si="6"/>
        <v>3.1742159999999999</v>
      </c>
      <c r="AR31" s="79">
        <f t="shared" si="13"/>
        <v>3.1769999999999996</v>
      </c>
      <c r="AT31" s="56">
        <f>AT30+1</f>
        <v>2</v>
      </c>
      <c r="AU31" s="33">
        <v>45</v>
      </c>
      <c r="AV31" s="55">
        <f t="shared" si="7"/>
        <v>43</v>
      </c>
      <c r="AW31" s="85">
        <f t="shared" si="8"/>
        <v>2.8916359999999997</v>
      </c>
      <c r="AX31" s="79">
        <f t="shared" si="14"/>
        <v>2.8944200000000007</v>
      </c>
    </row>
    <row r="32" spans="2:50">
      <c r="B32" s="42"/>
      <c r="AE32" s="43"/>
      <c r="AH32" s="56">
        <f t="shared" si="9"/>
        <v>3</v>
      </c>
      <c r="AI32" s="33">
        <v>35</v>
      </c>
      <c r="AJ32" s="55">
        <f t="shared" si="3"/>
        <v>32</v>
      </c>
      <c r="AK32" s="71">
        <f t="shared" si="4"/>
        <v>3.543936</v>
      </c>
      <c r="AL32" s="79">
        <f t="shared" si="12"/>
        <v>3.5467200000000001</v>
      </c>
      <c r="AN32" s="56">
        <f t="shared" si="10"/>
        <v>3</v>
      </c>
      <c r="AO32" s="33">
        <v>40</v>
      </c>
      <c r="AP32" s="55">
        <f t="shared" si="5"/>
        <v>37</v>
      </c>
      <c r="AQ32" s="71">
        <f t="shared" si="6"/>
        <v>3.2335159999999998</v>
      </c>
      <c r="AR32" s="79">
        <f t="shared" si="13"/>
        <v>3.2362999999999995</v>
      </c>
      <c r="AT32" s="56">
        <f t="shared" si="11"/>
        <v>3</v>
      </c>
      <c r="AU32" s="33">
        <v>45</v>
      </c>
      <c r="AV32" s="55">
        <f t="shared" si="7"/>
        <v>42</v>
      </c>
      <c r="AW32" s="85">
        <f t="shared" si="8"/>
        <v>2.9462960000000002</v>
      </c>
      <c r="AX32" s="79">
        <f t="shared" si="14"/>
        <v>2.9490800000000008</v>
      </c>
    </row>
    <row r="33" spans="2:50">
      <c r="B33" s="42"/>
      <c r="C33" s="101" t="s">
        <v>150</v>
      </c>
      <c r="D33" s="60">
        <f>4.6/10^3</f>
        <v>4.5999999999999999E-3</v>
      </c>
      <c r="E33" s="68" t="s">
        <v>19</v>
      </c>
      <c r="F33" s="140" t="s">
        <v>151</v>
      </c>
      <c r="G33" s="90" t="s">
        <v>106</v>
      </c>
      <c r="H33" s="53" t="s">
        <v>101</v>
      </c>
      <c r="I33" s="53"/>
      <c r="J33" s="53"/>
      <c r="K33" s="53"/>
      <c r="L33" s="63"/>
      <c r="M33" s="53"/>
      <c r="N33" s="53"/>
      <c r="O33" s="53"/>
      <c r="P33" s="53"/>
      <c r="Q33" s="53"/>
      <c r="R33" s="53"/>
      <c r="S33" s="53"/>
      <c r="T33" s="53"/>
      <c r="U33" s="53"/>
      <c r="V33" s="53"/>
      <c r="W33" s="53"/>
      <c r="X33" s="53"/>
      <c r="Y33" s="53"/>
      <c r="Z33" s="53"/>
      <c r="AA33" s="53"/>
      <c r="AB33" s="53"/>
      <c r="AC33" s="53"/>
      <c r="AD33" s="54"/>
      <c r="AE33" s="43"/>
      <c r="AH33" s="56">
        <f t="shared" si="9"/>
        <v>4</v>
      </c>
      <c r="AI33" s="33">
        <v>35</v>
      </c>
      <c r="AJ33" s="55">
        <f t="shared" si="3"/>
        <v>31</v>
      </c>
      <c r="AK33" s="71">
        <f t="shared" si="4"/>
        <v>3.6088040000000001</v>
      </c>
      <c r="AL33" s="79">
        <f t="shared" si="12"/>
        <v>3.6106600000000002</v>
      </c>
      <c r="AN33" s="56">
        <f t="shared" si="10"/>
        <v>4</v>
      </c>
      <c r="AO33" s="33">
        <v>40</v>
      </c>
      <c r="AP33" s="55">
        <f t="shared" si="5"/>
        <v>36</v>
      </c>
      <c r="AQ33" s="71">
        <f t="shared" si="6"/>
        <v>3.2937440000000002</v>
      </c>
      <c r="AR33" s="79">
        <f t="shared" si="13"/>
        <v>3.2955999999999994</v>
      </c>
      <c r="AT33" s="56">
        <f t="shared" si="11"/>
        <v>4</v>
      </c>
      <c r="AU33" s="33">
        <v>45</v>
      </c>
      <c r="AV33" s="55">
        <f t="shared" si="7"/>
        <v>41</v>
      </c>
      <c r="AW33" s="85">
        <f t="shared" si="8"/>
        <v>3.0018839999999996</v>
      </c>
      <c r="AX33" s="79">
        <f t="shared" si="14"/>
        <v>3.003740000000001</v>
      </c>
    </row>
    <row r="34" spans="2:50">
      <c r="B34" s="42"/>
      <c r="C34" s="102" t="s">
        <v>11</v>
      </c>
      <c r="D34" s="129">
        <f>0.0046/2.7</f>
        <v>1.7037037037037036E-3</v>
      </c>
      <c r="E34" s="66" t="s">
        <v>19</v>
      </c>
      <c r="F34" s="141"/>
      <c r="G34" s="91" t="s">
        <v>107</v>
      </c>
      <c r="H34" s="33" t="s">
        <v>104</v>
      </c>
      <c r="L34" s="62"/>
      <c r="AD34" s="55"/>
      <c r="AE34" s="43"/>
      <c r="AH34" s="56">
        <f t="shared" si="9"/>
        <v>5</v>
      </c>
      <c r="AI34" s="33">
        <v>35</v>
      </c>
      <c r="AJ34" s="55">
        <f t="shared" si="3"/>
        <v>30</v>
      </c>
      <c r="AK34" s="71">
        <f t="shared" si="4"/>
        <v>3.6746000000000003</v>
      </c>
      <c r="AL34" s="79">
        <f t="shared" si="12"/>
        <v>3.6746000000000003</v>
      </c>
      <c r="AN34" s="56">
        <f t="shared" si="10"/>
        <v>5</v>
      </c>
      <c r="AO34" s="33">
        <v>40</v>
      </c>
      <c r="AP34" s="55">
        <f t="shared" si="5"/>
        <v>35</v>
      </c>
      <c r="AQ34" s="71">
        <f t="shared" si="6"/>
        <v>3.3548999999999998</v>
      </c>
      <c r="AR34" s="79">
        <f t="shared" si="13"/>
        <v>3.3548999999999993</v>
      </c>
      <c r="AT34" s="56">
        <f t="shared" si="11"/>
        <v>5</v>
      </c>
      <c r="AU34" s="33">
        <v>45</v>
      </c>
      <c r="AV34" s="55">
        <f t="shared" si="7"/>
        <v>40</v>
      </c>
      <c r="AW34" s="85">
        <f t="shared" si="8"/>
        <v>3.0583999999999998</v>
      </c>
      <c r="AX34" s="79">
        <f t="shared" si="14"/>
        <v>3.0584000000000011</v>
      </c>
    </row>
    <row r="35" spans="2:50">
      <c r="B35" s="42"/>
      <c r="C35" s="100"/>
      <c r="E35" s="66"/>
      <c r="F35" s="141"/>
      <c r="G35" s="91" t="s">
        <v>107</v>
      </c>
      <c r="H35" s="33" t="s">
        <v>109</v>
      </c>
      <c r="L35" s="62"/>
      <c r="AD35" s="55"/>
      <c r="AE35" s="43"/>
      <c r="AH35" s="56">
        <f t="shared" si="9"/>
        <v>6</v>
      </c>
      <c r="AI35" s="33">
        <v>35</v>
      </c>
      <c r="AJ35" s="55">
        <f t="shared" si="3"/>
        <v>29</v>
      </c>
      <c r="AK35" s="71">
        <f t="shared" si="4"/>
        <v>3.7413240000000001</v>
      </c>
      <c r="AL35" s="79">
        <f t="shared" si="12"/>
        <v>3.7385400000000004</v>
      </c>
      <c r="AN35" s="56">
        <f t="shared" si="10"/>
        <v>6</v>
      </c>
      <c r="AO35" s="33">
        <v>40</v>
      </c>
      <c r="AP35" s="55">
        <f t="shared" si="5"/>
        <v>34</v>
      </c>
      <c r="AQ35" s="71">
        <f t="shared" si="6"/>
        <v>3.4169839999999998</v>
      </c>
      <c r="AR35" s="79">
        <f t="shared" si="13"/>
        <v>3.4141999999999992</v>
      </c>
      <c r="AT35" s="56">
        <f t="shared" si="11"/>
        <v>6</v>
      </c>
      <c r="AU35" s="33">
        <v>45</v>
      </c>
      <c r="AV35" s="55">
        <f t="shared" si="7"/>
        <v>39</v>
      </c>
      <c r="AW35" s="85">
        <f t="shared" si="8"/>
        <v>3.1158440000000001</v>
      </c>
      <c r="AX35" s="79">
        <f t="shared" si="14"/>
        <v>3.1130600000000013</v>
      </c>
    </row>
    <row r="36" spans="2:50">
      <c r="B36" s="42"/>
      <c r="C36" s="100"/>
      <c r="E36" s="66"/>
      <c r="F36" s="141"/>
      <c r="G36" s="83"/>
      <c r="L36" s="62"/>
      <c r="AD36" s="55"/>
      <c r="AE36" s="43"/>
      <c r="AH36" s="56">
        <f t="shared" si="9"/>
        <v>7</v>
      </c>
      <c r="AI36" s="33">
        <v>35</v>
      </c>
      <c r="AJ36" s="55">
        <f t="shared" si="3"/>
        <v>28</v>
      </c>
      <c r="AK36" s="71">
        <f t="shared" si="4"/>
        <v>3.8089759999999999</v>
      </c>
      <c r="AL36" s="79">
        <f t="shared" si="12"/>
        <v>3.8024800000000005</v>
      </c>
      <c r="AN36" s="56">
        <f t="shared" si="10"/>
        <v>7</v>
      </c>
      <c r="AO36" s="33">
        <v>40</v>
      </c>
      <c r="AP36" s="55">
        <f t="shared" si="5"/>
        <v>33</v>
      </c>
      <c r="AQ36" s="71">
        <f t="shared" si="6"/>
        <v>3.4799959999999999</v>
      </c>
      <c r="AR36" s="79">
        <f t="shared" si="13"/>
        <v>3.4734999999999991</v>
      </c>
      <c r="AT36" s="56">
        <f t="shared" si="11"/>
        <v>7</v>
      </c>
      <c r="AU36" s="33">
        <v>45</v>
      </c>
      <c r="AV36" s="55">
        <f t="shared" si="7"/>
        <v>38</v>
      </c>
      <c r="AW36" s="85">
        <f t="shared" si="8"/>
        <v>3.1742159999999999</v>
      </c>
      <c r="AX36" s="79">
        <f t="shared" si="14"/>
        <v>3.1677200000000014</v>
      </c>
    </row>
    <row r="37" spans="2:50">
      <c r="B37" s="42"/>
      <c r="C37" s="100"/>
      <c r="E37" s="66"/>
      <c r="F37" s="141"/>
      <c r="G37" s="65"/>
      <c r="L37" s="62"/>
      <c r="AD37" s="55"/>
      <c r="AE37" s="43"/>
      <c r="AH37" s="56">
        <f t="shared" si="9"/>
        <v>8</v>
      </c>
      <c r="AI37" s="33">
        <v>35</v>
      </c>
      <c r="AJ37" s="55">
        <f t="shared" si="3"/>
        <v>27</v>
      </c>
      <c r="AK37" s="71">
        <f t="shared" si="4"/>
        <v>3.8775559999999998</v>
      </c>
      <c r="AL37" s="79">
        <f t="shared" si="12"/>
        <v>3.8664200000000006</v>
      </c>
      <c r="AN37" s="56">
        <f t="shared" si="10"/>
        <v>8</v>
      </c>
      <c r="AO37" s="33">
        <v>40</v>
      </c>
      <c r="AP37" s="55">
        <f t="shared" si="5"/>
        <v>32</v>
      </c>
      <c r="AQ37" s="71">
        <f t="shared" si="6"/>
        <v>3.543936</v>
      </c>
      <c r="AR37" s="79">
        <f t="shared" si="13"/>
        <v>3.5327999999999991</v>
      </c>
      <c r="AT37" s="56">
        <f t="shared" si="11"/>
        <v>8</v>
      </c>
      <c r="AU37" s="33">
        <v>45</v>
      </c>
      <c r="AV37" s="55">
        <f t="shared" si="7"/>
        <v>37</v>
      </c>
      <c r="AW37" s="85">
        <f t="shared" si="8"/>
        <v>3.2335159999999998</v>
      </c>
      <c r="AX37" s="79">
        <f t="shared" si="14"/>
        <v>3.2223800000000016</v>
      </c>
    </row>
    <row r="38" spans="2:50">
      <c r="B38" s="42"/>
      <c r="C38" s="100"/>
      <c r="E38" s="66"/>
      <c r="F38" s="141"/>
      <c r="G38" s="65"/>
      <c r="L38" s="62"/>
      <c r="AD38" s="55"/>
      <c r="AE38" s="43"/>
      <c r="AH38" s="56">
        <f t="shared" si="9"/>
        <v>9</v>
      </c>
      <c r="AI38" s="33">
        <v>35</v>
      </c>
      <c r="AJ38" s="55">
        <f t="shared" si="3"/>
        <v>26</v>
      </c>
      <c r="AK38" s="71">
        <f t="shared" si="4"/>
        <v>3.9470640000000001</v>
      </c>
      <c r="AL38" s="79">
        <f t="shared" si="12"/>
        <v>3.9303600000000007</v>
      </c>
      <c r="AN38" s="56">
        <f t="shared" si="10"/>
        <v>9</v>
      </c>
      <c r="AO38" s="33">
        <v>40</v>
      </c>
      <c r="AP38" s="55">
        <f t="shared" si="5"/>
        <v>31</v>
      </c>
      <c r="AQ38" s="71">
        <f t="shared" si="6"/>
        <v>3.6088040000000001</v>
      </c>
      <c r="AR38" s="79">
        <f t="shared" si="13"/>
        <v>3.592099999999999</v>
      </c>
      <c r="AT38" s="56">
        <f t="shared" si="11"/>
        <v>9</v>
      </c>
      <c r="AU38" s="33">
        <v>45</v>
      </c>
      <c r="AV38" s="55">
        <f t="shared" si="7"/>
        <v>36</v>
      </c>
      <c r="AW38" s="85">
        <f t="shared" si="8"/>
        <v>3.2937440000000002</v>
      </c>
      <c r="AX38" s="79">
        <f t="shared" si="14"/>
        <v>3.2770400000000017</v>
      </c>
    </row>
    <row r="39" spans="2:50">
      <c r="B39" s="42"/>
      <c r="C39" s="100"/>
      <c r="E39" s="66"/>
      <c r="F39" s="141"/>
      <c r="G39" s="65"/>
      <c r="L39" s="62"/>
      <c r="AD39" s="55"/>
      <c r="AE39" s="43"/>
      <c r="AH39" s="56">
        <f t="shared" si="9"/>
        <v>10</v>
      </c>
      <c r="AI39" s="33">
        <v>35</v>
      </c>
      <c r="AJ39" s="55">
        <f t="shared" si="3"/>
        <v>25</v>
      </c>
      <c r="AK39" s="71">
        <f t="shared" si="4"/>
        <v>4.0175000000000001</v>
      </c>
      <c r="AL39" s="79">
        <f t="shared" si="12"/>
        <v>3.9943000000000008</v>
      </c>
      <c r="AN39" s="56">
        <f t="shared" si="10"/>
        <v>10</v>
      </c>
      <c r="AO39" s="33">
        <v>40</v>
      </c>
      <c r="AP39" s="55">
        <f t="shared" si="5"/>
        <v>30</v>
      </c>
      <c r="AQ39" s="71">
        <f t="shared" si="6"/>
        <v>3.6746000000000003</v>
      </c>
      <c r="AR39" s="79">
        <f t="shared" si="13"/>
        <v>3.6513999999999989</v>
      </c>
      <c r="AT39" s="56">
        <f t="shared" si="11"/>
        <v>10</v>
      </c>
      <c r="AU39" s="33">
        <v>45</v>
      </c>
      <c r="AV39" s="55">
        <f t="shared" si="7"/>
        <v>35</v>
      </c>
      <c r="AW39" s="85">
        <f t="shared" si="8"/>
        <v>3.3548999999999998</v>
      </c>
      <c r="AX39" s="79">
        <f t="shared" si="14"/>
        <v>3.3317000000000019</v>
      </c>
    </row>
    <row r="40" spans="2:50">
      <c r="B40" s="42"/>
      <c r="C40" s="100"/>
      <c r="E40" s="66"/>
      <c r="F40" s="141"/>
      <c r="G40" s="65"/>
      <c r="L40" s="62"/>
      <c r="AD40" s="55"/>
      <c r="AE40" s="43"/>
      <c r="AH40" s="56">
        <f t="shared" si="9"/>
        <v>11</v>
      </c>
      <c r="AI40" s="33">
        <v>35</v>
      </c>
      <c r="AJ40" s="55">
        <f t="shared" si="3"/>
        <v>24</v>
      </c>
      <c r="AK40" s="71">
        <f t="shared" si="4"/>
        <v>4.0888640000000001</v>
      </c>
      <c r="AL40" s="79">
        <f t="shared" si="12"/>
        <v>4.0582400000000005</v>
      </c>
      <c r="AN40" s="56">
        <f t="shared" si="10"/>
        <v>11</v>
      </c>
      <c r="AO40" s="33">
        <v>40</v>
      </c>
      <c r="AP40" s="55">
        <f t="shared" si="5"/>
        <v>29</v>
      </c>
      <c r="AQ40" s="71">
        <f t="shared" si="6"/>
        <v>3.7413240000000001</v>
      </c>
      <c r="AR40" s="79">
        <f t="shared" si="13"/>
        <v>3.7106999999999988</v>
      </c>
      <c r="AT40" s="56">
        <f t="shared" si="11"/>
        <v>11</v>
      </c>
      <c r="AU40" s="33">
        <v>45</v>
      </c>
      <c r="AV40" s="55">
        <f t="shared" si="7"/>
        <v>34</v>
      </c>
      <c r="AW40" s="85">
        <f t="shared" si="8"/>
        <v>3.4169839999999998</v>
      </c>
      <c r="AX40" s="79">
        <f t="shared" si="14"/>
        <v>3.386360000000002</v>
      </c>
    </row>
    <row r="41" spans="2:50">
      <c r="B41" s="42"/>
      <c r="C41" s="100"/>
      <c r="E41" s="66"/>
      <c r="F41" s="141"/>
      <c r="G41" s="65"/>
      <c r="L41" s="62"/>
      <c r="AD41" s="55"/>
      <c r="AE41" s="43"/>
      <c r="AH41" s="56">
        <f t="shared" si="9"/>
        <v>12</v>
      </c>
      <c r="AI41" s="33">
        <v>35</v>
      </c>
      <c r="AJ41" s="55">
        <f t="shared" si="3"/>
        <v>23</v>
      </c>
      <c r="AK41" s="71">
        <f t="shared" si="4"/>
        <v>4.1611560000000001</v>
      </c>
      <c r="AL41" s="79">
        <f t="shared" si="12"/>
        <v>4.1221800000000002</v>
      </c>
      <c r="AN41" s="56">
        <f t="shared" si="10"/>
        <v>12</v>
      </c>
      <c r="AO41" s="33">
        <v>40</v>
      </c>
      <c r="AP41" s="55">
        <f t="shared" si="5"/>
        <v>28</v>
      </c>
      <c r="AQ41" s="71">
        <f t="shared" si="6"/>
        <v>3.8089759999999999</v>
      </c>
      <c r="AR41" s="79">
        <f t="shared" si="13"/>
        <v>3.7699999999999987</v>
      </c>
      <c r="AT41" s="56">
        <f t="shared" si="11"/>
        <v>12</v>
      </c>
      <c r="AU41" s="33">
        <v>45</v>
      </c>
      <c r="AV41" s="55">
        <f t="shared" si="7"/>
        <v>33</v>
      </c>
      <c r="AW41" s="85">
        <f t="shared" si="8"/>
        <v>3.4799959999999999</v>
      </c>
      <c r="AX41" s="79">
        <f t="shared" si="14"/>
        <v>3.4410200000000022</v>
      </c>
    </row>
    <row r="42" spans="2:50">
      <c r="B42" s="42"/>
      <c r="C42" s="100"/>
      <c r="E42" s="66"/>
      <c r="F42" s="141"/>
      <c r="G42" s="65"/>
      <c r="L42" s="62"/>
      <c r="AD42" s="55"/>
      <c r="AE42" s="43"/>
      <c r="AH42" s="56">
        <f t="shared" si="9"/>
        <v>13</v>
      </c>
      <c r="AI42" s="33">
        <v>35</v>
      </c>
      <c r="AJ42" s="55">
        <f t="shared" si="3"/>
        <v>22</v>
      </c>
      <c r="AK42" s="71">
        <f t="shared" si="4"/>
        <v>4.2343760000000001</v>
      </c>
      <c r="AL42" s="79">
        <f t="shared" si="12"/>
        <v>4.1861199999999998</v>
      </c>
      <c r="AN42" s="56">
        <f t="shared" si="10"/>
        <v>13</v>
      </c>
      <c r="AO42" s="33">
        <v>40</v>
      </c>
      <c r="AP42" s="55">
        <f t="shared" si="5"/>
        <v>27</v>
      </c>
      <c r="AQ42" s="71">
        <f t="shared" si="6"/>
        <v>3.8775559999999998</v>
      </c>
      <c r="AR42" s="79">
        <f t="shared" si="13"/>
        <v>3.8292999999999986</v>
      </c>
      <c r="AT42" s="56">
        <f t="shared" si="11"/>
        <v>13</v>
      </c>
      <c r="AU42" s="33">
        <v>45</v>
      </c>
      <c r="AV42" s="55">
        <f t="shared" si="7"/>
        <v>32</v>
      </c>
      <c r="AW42" s="85">
        <f t="shared" si="8"/>
        <v>3.543936</v>
      </c>
      <c r="AX42" s="79">
        <f t="shared" si="14"/>
        <v>3.4956800000000023</v>
      </c>
    </row>
    <row r="43" spans="2:50">
      <c r="B43" s="42"/>
      <c r="C43" s="100"/>
      <c r="E43" s="66"/>
      <c r="F43" s="141"/>
      <c r="G43" s="65"/>
      <c r="L43" s="62"/>
      <c r="AD43" s="55"/>
      <c r="AE43" s="43"/>
      <c r="AH43" s="56">
        <f t="shared" si="9"/>
        <v>14</v>
      </c>
      <c r="AI43" s="33">
        <v>35</v>
      </c>
      <c r="AJ43" s="55">
        <f t="shared" si="3"/>
        <v>21</v>
      </c>
      <c r="AK43" s="71">
        <f t="shared" si="4"/>
        <v>4.3085240000000002</v>
      </c>
      <c r="AL43" s="79">
        <f t="shared" si="12"/>
        <v>4.2500599999999995</v>
      </c>
      <c r="AN43" s="56">
        <f t="shared" si="10"/>
        <v>14</v>
      </c>
      <c r="AO43" s="33">
        <v>40</v>
      </c>
      <c r="AP43" s="55">
        <f t="shared" si="5"/>
        <v>26</v>
      </c>
      <c r="AQ43" s="71">
        <f t="shared" si="6"/>
        <v>3.9470640000000001</v>
      </c>
      <c r="AR43" s="79">
        <f t="shared" si="13"/>
        <v>3.8885999999999985</v>
      </c>
      <c r="AT43" s="56">
        <f t="shared" si="11"/>
        <v>14</v>
      </c>
      <c r="AU43" s="33">
        <v>45</v>
      </c>
      <c r="AV43" s="55">
        <f t="shared" si="7"/>
        <v>31</v>
      </c>
      <c r="AW43" s="85">
        <f t="shared" si="8"/>
        <v>3.6088040000000001</v>
      </c>
      <c r="AX43" s="79">
        <f t="shared" si="14"/>
        <v>3.5503400000000025</v>
      </c>
    </row>
    <row r="44" spans="2:50">
      <c r="B44" s="42"/>
      <c r="C44" s="100"/>
      <c r="E44" s="66"/>
      <c r="F44" s="141"/>
      <c r="G44" s="65"/>
      <c r="L44" s="62"/>
      <c r="AD44" s="55"/>
      <c r="AE44" s="43"/>
      <c r="AH44" s="57">
        <f t="shared" si="9"/>
        <v>15</v>
      </c>
      <c r="AI44" s="58">
        <v>35</v>
      </c>
      <c r="AJ44" s="59">
        <f t="shared" si="3"/>
        <v>20</v>
      </c>
      <c r="AK44" s="72">
        <f t="shared" si="4"/>
        <v>4.3836000000000004</v>
      </c>
      <c r="AL44" s="81">
        <f t="shared" si="12"/>
        <v>4.3139999999999992</v>
      </c>
      <c r="AN44" s="57">
        <f t="shared" si="10"/>
        <v>15</v>
      </c>
      <c r="AO44" s="58">
        <v>40</v>
      </c>
      <c r="AP44" s="59">
        <f t="shared" si="5"/>
        <v>25</v>
      </c>
      <c r="AQ44" s="72">
        <f t="shared" si="6"/>
        <v>4.0175000000000001</v>
      </c>
      <c r="AR44" s="81">
        <f t="shared" si="13"/>
        <v>3.9478999999999984</v>
      </c>
      <c r="AT44" s="57">
        <f t="shared" si="11"/>
        <v>15</v>
      </c>
      <c r="AU44" s="58">
        <v>45</v>
      </c>
      <c r="AV44" s="59">
        <f t="shared" si="7"/>
        <v>30</v>
      </c>
      <c r="AW44" s="86">
        <f t="shared" si="8"/>
        <v>3.6746000000000003</v>
      </c>
      <c r="AX44" s="81">
        <f t="shared" si="14"/>
        <v>3.6050000000000026</v>
      </c>
    </row>
    <row r="45" spans="2:50">
      <c r="B45" s="42"/>
      <c r="C45" s="100"/>
      <c r="E45" s="66"/>
      <c r="F45" s="141"/>
      <c r="G45" s="65"/>
      <c r="L45" s="62"/>
      <c r="AD45" s="55"/>
      <c r="AE45" s="43"/>
    </row>
    <row r="46" spans="2:50">
      <c r="B46" s="42"/>
      <c r="C46" s="104"/>
      <c r="D46" s="58"/>
      <c r="E46" s="67"/>
      <c r="F46" s="142"/>
      <c r="G46" s="61"/>
      <c r="H46" s="58"/>
      <c r="I46" s="58"/>
      <c r="J46" s="58"/>
      <c r="K46" s="58"/>
      <c r="L46" s="64"/>
      <c r="M46" s="58"/>
      <c r="N46" s="58"/>
      <c r="O46" s="58"/>
      <c r="P46" s="58"/>
      <c r="Q46" s="58"/>
      <c r="R46" s="58"/>
      <c r="S46" s="58"/>
      <c r="T46" s="58"/>
      <c r="U46" s="58"/>
      <c r="V46" s="58"/>
      <c r="W46" s="58"/>
      <c r="X46" s="58"/>
      <c r="Y46" s="58"/>
      <c r="Z46" s="58"/>
      <c r="AA46" s="58"/>
      <c r="AB46" s="58"/>
      <c r="AC46" s="58"/>
      <c r="AD46" s="59"/>
      <c r="AE46" s="43"/>
      <c r="AH46" s="73" t="s">
        <v>85</v>
      </c>
      <c r="AI46" s="74"/>
      <c r="AJ46" s="74"/>
      <c r="AK46" s="78">
        <f>(AK44-AK19)/(AH44-AH19)</f>
        <v>6.3939999999999997E-2</v>
      </c>
      <c r="AN46" s="73" t="s">
        <v>85</v>
      </c>
      <c r="AO46" s="74"/>
      <c r="AP46" s="74"/>
      <c r="AQ46" s="78">
        <f>(AQ44-AQ19)/(AN44-AN19)</f>
        <v>5.9299999999999999E-2</v>
      </c>
      <c r="AT46" s="73" t="s">
        <v>85</v>
      </c>
      <c r="AU46" s="74"/>
      <c r="AV46" s="74"/>
      <c r="AW46" s="78">
        <f>(AW44-AW19)/(AT44-AT19)</f>
        <v>5.4660000000000028E-2</v>
      </c>
    </row>
    <row r="47" spans="2:50" ht="16" customHeight="1">
      <c r="B47" s="42"/>
      <c r="AE47" s="43"/>
    </row>
    <row r="48" spans="2:50" ht="17">
      <c r="B48" s="42"/>
      <c r="C48" s="101" t="s">
        <v>23</v>
      </c>
      <c r="D48" s="52">
        <f xml:space="preserve"> AVERAGE(8512, 5351)</f>
        <v>6931.5</v>
      </c>
      <c r="E48" s="68" t="s">
        <v>115</v>
      </c>
      <c r="F48" s="97" t="s">
        <v>112</v>
      </c>
      <c r="G48" s="90" t="s">
        <v>106</v>
      </c>
      <c r="H48" s="53" t="s">
        <v>111</v>
      </c>
      <c r="I48" s="53"/>
      <c r="J48" s="53"/>
      <c r="K48" s="53"/>
      <c r="L48" s="63"/>
      <c r="M48" s="53"/>
      <c r="N48" s="53"/>
      <c r="O48" s="53"/>
      <c r="P48" s="53"/>
      <c r="Q48" s="53"/>
      <c r="R48" s="53"/>
      <c r="S48" s="53"/>
      <c r="T48" s="53"/>
      <c r="U48" s="53"/>
      <c r="V48" s="53"/>
      <c r="W48" s="53"/>
      <c r="X48" s="53"/>
      <c r="Y48" s="53"/>
      <c r="Z48" s="53"/>
      <c r="AA48" s="53"/>
      <c r="AB48" s="53"/>
      <c r="AC48" s="53"/>
      <c r="AD48" s="54"/>
      <c r="AE48" s="43"/>
    </row>
    <row r="49" spans="2:31" ht="17">
      <c r="B49" s="42"/>
      <c r="C49" s="102" t="s">
        <v>31</v>
      </c>
      <c r="D49" s="127">
        <v>50</v>
      </c>
      <c r="E49" s="66" t="s">
        <v>114</v>
      </c>
      <c r="F49" s="98" t="s">
        <v>113</v>
      </c>
      <c r="G49" s="91"/>
      <c r="L49" s="62"/>
      <c r="AD49" s="55"/>
      <c r="AE49" s="43"/>
    </row>
    <row r="50" spans="2:31">
      <c r="B50" s="42"/>
      <c r="C50" s="100"/>
      <c r="E50" s="66"/>
      <c r="F50" s="98"/>
      <c r="G50" s="91"/>
      <c r="L50" s="62"/>
      <c r="AD50" s="55"/>
      <c r="AE50" s="43"/>
    </row>
    <row r="51" spans="2:31">
      <c r="B51" s="42"/>
      <c r="C51" s="100"/>
      <c r="E51" s="66"/>
      <c r="F51" s="98"/>
      <c r="G51" s="83"/>
      <c r="L51" s="62"/>
      <c r="AD51" s="55"/>
      <c r="AE51" s="43"/>
    </row>
    <row r="52" spans="2:31">
      <c r="B52" s="42"/>
      <c r="C52" s="56"/>
      <c r="D52" s="108"/>
      <c r="E52" s="66"/>
      <c r="F52" s="98"/>
      <c r="G52" s="65"/>
      <c r="L52" s="62"/>
      <c r="AD52" s="55"/>
      <c r="AE52" s="43"/>
    </row>
    <row r="53" spans="2:31" ht="17" customHeight="1">
      <c r="B53" s="42"/>
      <c r="C53" s="100"/>
      <c r="E53" s="66"/>
      <c r="F53" s="98"/>
      <c r="G53" s="65"/>
      <c r="L53" s="62"/>
      <c r="AD53" s="55"/>
      <c r="AE53" s="43"/>
    </row>
    <row r="54" spans="2:31">
      <c r="B54" s="42"/>
      <c r="C54" s="100"/>
      <c r="E54" s="66"/>
      <c r="F54" s="98"/>
      <c r="G54" s="65"/>
      <c r="L54" s="62"/>
      <c r="AD54" s="55"/>
      <c r="AE54" s="43"/>
    </row>
    <row r="55" spans="2:31">
      <c r="B55" s="42"/>
      <c r="C55" s="100"/>
      <c r="E55" s="66"/>
      <c r="F55" s="98"/>
      <c r="G55" s="65"/>
      <c r="L55" s="62"/>
      <c r="AD55" s="55"/>
      <c r="AE55" s="43"/>
    </row>
    <row r="56" spans="2:31">
      <c r="B56" s="42"/>
      <c r="C56" s="100"/>
      <c r="E56" s="66"/>
      <c r="F56" s="98"/>
      <c r="G56" s="65"/>
      <c r="L56" s="62"/>
      <c r="AD56" s="55"/>
      <c r="AE56" s="43"/>
    </row>
    <row r="57" spans="2:31">
      <c r="B57" s="42"/>
      <c r="C57" s="100"/>
      <c r="E57" s="66"/>
      <c r="F57" s="98"/>
      <c r="G57" s="65"/>
      <c r="L57" s="62"/>
      <c r="AD57" s="55"/>
      <c r="AE57" s="43"/>
    </row>
    <row r="58" spans="2:31">
      <c r="B58" s="42"/>
      <c r="C58" s="104"/>
      <c r="D58" s="58"/>
      <c r="E58" s="67"/>
      <c r="F58" s="99"/>
      <c r="G58" s="61"/>
      <c r="H58" s="58"/>
      <c r="I58" s="58"/>
      <c r="J58" s="58"/>
      <c r="K58" s="58"/>
      <c r="L58" s="64"/>
      <c r="M58" s="58"/>
      <c r="N58" s="58"/>
      <c r="O58" s="58"/>
      <c r="P58" s="58"/>
      <c r="Q58" s="58"/>
      <c r="R58" s="58"/>
      <c r="S58" s="58"/>
      <c r="T58" s="58"/>
      <c r="U58" s="58"/>
      <c r="V58" s="58"/>
      <c r="W58" s="58"/>
      <c r="X58" s="58"/>
      <c r="Y58" s="58"/>
      <c r="Z58" s="58"/>
      <c r="AA58" s="58"/>
      <c r="AB58" s="58"/>
      <c r="AC58" s="58"/>
      <c r="AD58" s="59"/>
      <c r="AE58" s="43"/>
    </row>
    <row r="59" spans="2:31">
      <c r="B59" s="42"/>
      <c r="AE59" s="43"/>
    </row>
    <row r="60" spans="2:31">
      <c r="B60" s="42"/>
      <c r="C60" s="101" t="s">
        <v>49</v>
      </c>
      <c r="D60" s="52">
        <v>15</v>
      </c>
      <c r="E60" s="68" t="s">
        <v>47</v>
      </c>
      <c r="F60" s="97"/>
      <c r="G60" s="90" t="s">
        <v>106</v>
      </c>
      <c r="H60" s="53" t="s">
        <v>119</v>
      </c>
      <c r="I60" s="53"/>
      <c r="J60" s="53"/>
      <c r="K60" s="53"/>
      <c r="L60" s="63"/>
      <c r="M60" s="53"/>
      <c r="N60" s="53"/>
      <c r="O60" s="53"/>
      <c r="P60" s="53"/>
      <c r="Q60" s="53"/>
      <c r="R60" s="53"/>
      <c r="S60" s="53"/>
      <c r="T60" s="53"/>
      <c r="U60" s="53"/>
      <c r="V60" s="53"/>
      <c r="W60" s="53"/>
      <c r="X60" s="53"/>
      <c r="Y60" s="53"/>
      <c r="Z60" s="53"/>
      <c r="AA60" s="53"/>
      <c r="AB60" s="53"/>
      <c r="AC60" s="53"/>
      <c r="AD60" s="54"/>
      <c r="AE60" s="43"/>
    </row>
    <row r="61" spans="2:31">
      <c r="B61" s="42"/>
      <c r="C61" s="102"/>
      <c r="D61" s="127"/>
      <c r="E61" s="66"/>
      <c r="F61" s="98"/>
      <c r="G61" s="91"/>
      <c r="L61" s="62"/>
      <c r="AD61" s="55"/>
      <c r="AE61" s="43"/>
    </row>
    <row r="62" spans="2:31">
      <c r="B62" s="42"/>
      <c r="C62" s="100"/>
      <c r="E62" s="66"/>
      <c r="F62" s="98"/>
      <c r="G62" s="91"/>
      <c r="L62" s="62"/>
      <c r="AD62" s="55"/>
      <c r="AE62" s="43"/>
    </row>
    <row r="63" spans="2:31">
      <c r="B63" s="42"/>
      <c r="C63" s="100"/>
      <c r="E63" s="66"/>
      <c r="F63" s="98"/>
      <c r="G63" s="83"/>
      <c r="L63" s="62"/>
      <c r="AD63" s="55"/>
      <c r="AE63" s="43"/>
    </row>
    <row r="64" spans="2:31">
      <c r="B64" s="42"/>
      <c r="C64" s="104"/>
      <c r="D64" s="58"/>
      <c r="E64" s="67"/>
      <c r="F64" s="99"/>
      <c r="G64" s="61"/>
      <c r="H64" s="58"/>
      <c r="I64" s="58"/>
      <c r="J64" s="58"/>
      <c r="K64" s="58"/>
      <c r="L64" s="64"/>
      <c r="M64" s="58"/>
      <c r="N64" s="58"/>
      <c r="O64" s="58"/>
      <c r="P64" s="58"/>
      <c r="Q64" s="58"/>
      <c r="R64" s="58"/>
      <c r="S64" s="58"/>
      <c r="T64" s="58"/>
      <c r="U64" s="58"/>
      <c r="V64" s="58"/>
      <c r="W64" s="58"/>
      <c r="X64" s="58"/>
      <c r="Y64" s="58"/>
      <c r="Z64" s="58"/>
      <c r="AA64" s="58"/>
      <c r="AB64" s="58"/>
      <c r="AC64" s="58"/>
      <c r="AD64" s="59"/>
      <c r="AE64" s="43"/>
    </row>
    <row r="65" spans="2:31">
      <c r="B65" s="42"/>
      <c r="F65" s="130"/>
      <c r="AE65" s="43"/>
    </row>
    <row r="66" spans="2:31" ht="51">
      <c r="B66" s="42"/>
      <c r="C66" s="101" t="s">
        <v>133</v>
      </c>
      <c r="D66" s="52">
        <f>F76</f>
        <v>2.6002380221130181</v>
      </c>
      <c r="E66" s="68"/>
      <c r="F66" s="97" t="s">
        <v>148</v>
      </c>
      <c r="G66" s="90"/>
      <c r="H66" s="53"/>
      <c r="I66" s="53"/>
      <c r="J66" s="53"/>
      <c r="K66" s="53"/>
      <c r="L66" s="63"/>
      <c r="M66" s="53"/>
      <c r="N66" s="53"/>
      <c r="O66" s="53"/>
      <c r="P66" s="53"/>
      <c r="Q66" s="53"/>
      <c r="R66" s="53"/>
      <c r="S66" s="53"/>
      <c r="T66" s="53"/>
      <c r="U66" s="53"/>
      <c r="V66" s="53"/>
      <c r="W66" s="53"/>
      <c r="X66" s="53"/>
      <c r="Y66" s="53"/>
      <c r="Z66" s="53"/>
      <c r="AA66" s="53"/>
      <c r="AB66" s="53"/>
      <c r="AC66" s="53"/>
      <c r="AD66" s="54"/>
      <c r="AE66" s="43"/>
    </row>
    <row r="67" spans="2:31">
      <c r="B67" s="42"/>
      <c r="C67" s="100"/>
      <c r="D67" s="66"/>
      <c r="E67" s="62"/>
      <c r="F67" s="62"/>
      <c r="L67" s="62"/>
      <c r="AD67" s="55"/>
      <c r="AE67" s="43"/>
    </row>
    <row r="68" spans="2:31" ht="17">
      <c r="B68" s="42"/>
      <c r="C68" s="100"/>
      <c r="D68" s="66"/>
      <c r="E68" s="62"/>
      <c r="F68" s="118" t="s">
        <v>143</v>
      </c>
      <c r="L68" s="62"/>
      <c r="AD68" s="55"/>
      <c r="AE68" s="43"/>
    </row>
    <row r="69" spans="2:31">
      <c r="B69" s="42"/>
      <c r="C69" s="100"/>
      <c r="D69" s="66"/>
      <c r="E69" s="62"/>
      <c r="F69" s="62" t="s">
        <v>144</v>
      </c>
      <c r="L69" s="62"/>
      <c r="AD69" s="55"/>
      <c r="AE69" s="43"/>
    </row>
    <row r="70" spans="2:31" ht="17">
      <c r="B70" s="42"/>
      <c r="C70" s="100"/>
      <c r="D70" s="66"/>
      <c r="E70" s="62"/>
      <c r="F70" s="118" t="s">
        <v>145</v>
      </c>
      <c r="L70" s="62"/>
      <c r="AD70" s="55"/>
      <c r="AE70" s="43"/>
    </row>
    <row r="71" spans="2:31">
      <c r="B71" s="42"/>
      <c r="C71" s="100"/>
      <c r="D71" s="66"/>
      <c r="E71" s="62"/>
      <c r="F71" s="62" t="str">
        <f>"Costs heat from gas: " &amp; 81.4 /31.65 / 1.07 &amp; " euro/MJ heat"</f>
        <v>Costs heat from gas: 2.40362610916715 euro/MJ heat</v>
      </c>
      <c r="L71" s="62"/>
      <c r="AD71" s="55"/>
      <c r="AE71" s="43"/>
    </row>
    <row r="72" spans="2:31">
      <c r="B72" s="42"/>
      <c r="C72" s="100"/>
      <c r="D72" s="66"/>
      <c r="E72" s="62"/>
      <c r="F72" s="119"/>
      <c r="L72" s="62"/>
      <c r="AD72" s="55"/>
      <c r="AE72" s="43"/>
    </row>
    <row r="73" spans="2:31">
      <c r="B73" s="42"/>
      <c r="C73" s="100"/>
      <c r="D73" s="66"/>
      <c r="E73" s="62"/>
      <c r="F73" s="119" t="s">
        <v>146</v>
      </c>
      <c r="L73" s="62"/>
      <c r="AD73" s="55"/>
      <c r="AE73" s="43"/>
    </row>
    <row r="74" spans="2:31">
      <c r="B74" s="42"/>
      <c r="C74" s="100"/>
      <c r="D74" s="66"/>
      <c r="E74" s="62"/>
      <c r="F74" s="62" t="str">
        <f>"Costs heat from electricity (for COP 1): " &amp; 22.5 / 3.6 &amp;" euro/MJ heat"</f>
        <v>Costs heat from electricity (for COP 1): 6.25 euro/MJ heat</v>
      </c>
      <c r="L74" s="62"/>
      <c r="AD74" s="55"/>
      <c r="AE74" s="43"/>
    </row>
    <row r="75" spans="2:31">
      <c r="B75" s="42"/>
      <c r="C75" s="100"/>
      <c r="D75" s="66"/>
      <c r="E75" s="62"/>
      <c r="F75" s="62" t="s">
        <v>147</v>
      </c>
      <c r="L75" s="62"/>
      <c r="AD75" s="55"/>
      <c r="AE75" s="43"/>
    </row>
    <row r="76" spans="2:31">
      <c r="B76" s="42"/>
      <c r="C76" s="100"/>
      <c r="D76" s="66"/>
      <c r="E76" s="62"/>
      <c r="F76" s="124">
        <f>6.25/2.40362610916715</f>
        <v>2.6002380221130181</v>
      </c>
      <c r="L76" s="62"/>
      <c r="AD76" s="55"/>
      <c r="AE76" s="43"/>
    </row>
    <row r="77" spans="2:31">
      <c r="B77" s="42"/>
      <c r="C77" s="104"/>
      <c r="D77" s="67"/>
      <c r="E77" s="64"/>
      <c r="F77" s="120"/>
      <c r="G77" s="58"/>
      <c r="H77" s="58"/>
      <c r="I77" s="58"/>
      <c r="J77" s="58"/>
      <c r="K77" s="58"/>
      <c r="L77" s="64"/>
      <c r="N77" s="58"/>
      <c r="O77" s="58"/>
      <c r="P77" s="58"/>
      <c r="Q77" s="58"/>
      <c r="R77" s="58"/>
      <c r="S77" s="58"/>
      <c r="T77" s="58"/>
      <c r="U77" s="58"/>
      <c r="V77" s="58"/>
      <c r="W77" s="58"/>
      <c r="X77" s="58"/>
      <c r="Y77" s="58"/>
      <c r="Z77" s="58"/>
      <c r="AA77" s="58"/>
      <c r="AB77" s="58"/>
      <c r="AC77" s="58"/>
      <c r="AD77" s="59"/>
      <c r="AE77" s="43"/>
    </row>
    <row r="78" spans="2:31">
      <c r="B78" s="42"/>
      <c r="M78" s="53"/>
      <c r="AE78" s="43"/>
    </row>
    <row r="79" spans="2:31">
      <c r="B79" s="42"/>
      <c r="C79" s="101" t="s">
        <v>132</v>
      </c>
      <c r="D79" s="125">
        <v>2.1999999999999999E-2</v>
      </c>
      <c r="E79" s="68" t="s">
        <v>19</v>
      </c>
      <c r="F79" s="140" t="s">
        <v>141</v>
      </c>
      <c r="G79" s="90"/>
      <c r="H79" s="53"/>
      <c r="I79" s="53"/>
      <c r="J79" s="53"/>
      <c r="K79" s="53"/>
      <c r="L79" s="63"/>
      <c r="M79" s="53"/>
      <c r="N79" s="53"/>
      <c r="O79" s="53"/>
      <c r="P79" s="53"/>
      <c r="Q79" s="53"/>
      <c r="R79" s="53"/>
      <c r="S79" s="53"/>
      <c r="T79" s="53"/>
      <c r="U79" s="53"/>
      <c r="V79" s="53"/>
      <c r="W79" s="53"/>
      <c r="X79" s="53"/>
      <c r="Y79" s="53"/>
      <c r="Z79" s="53"/>
      <c r="AA79" s="53"/>
      <c r="AB79" s="53"/>
      <c r="AC79" s="53"/>
      <c r="AD79" s="54"/>
      <c r="AE79" s="43"/>
    </row>
    <row r="80" spans="2:31">
      <c r="B80" s="42"/>
      <c r="C80" s="100" t="s">
        <v>131</v>
      </c>
      <c r="D80" s="66">
        <v>1.07</v>
      </c>
      <c r="E80" s="62"/>
      <c r="F80" s="141"/>
      <c r="L80" s="62"/>
      <c r="AD80" s="55"/>
      <c r="AE80" s="43"/>
    </row>
    <row r="81" spans="2:31">
      <c r="B81" s="42"/>
      <c r="C81" s="100"/>
      <c r="D81" s="66"/>
      <c r="E81" s="62"/>
      <c r="F81" s="62" t="s">
        <v>138</v>
      </c>
      <c r="L81" s="62"/>
      <c r="AD81" s="55"/>
      <c r="AE81" s="43"/>
    </row>
    <row r="82" spans="2:31" ht="51">
      <c r="B82" s="42"/>
      <c r="C82" s="100"/>
      <c r="D82" s="66"/>
      <c r="E82" s="62"/>
      <c r="F82" s="118" t="s">
        <v>139</v>
      </c>
      <c r="L82" s="62"/>
      <c r="AD82" s="55"/>
      <c r="AE82" s="43"/>
    </row>
    <row r="83" spans="2:31" ht="34">
      <c r="B83" s="42"/>
      <c r="C83" s="104"/>
      <c r="D83" s="67"/>
      <c r="E83" s="64"/>
      <c r="F83" s="123" t="s">
        <v>142</v>
      </c>
      <c r="G83" s="58"/>
      <c r="H83" s="58"/>
      <c r="I83" s="58"/>
      <c r="J83" s="58"/>
      <c r="K83" s="58"/>
      <c r="L83" s="64"/>
      <c r="M83" s="58"/>
      <c r="N83" s="58"/>
      <c r="O83" s="58"/>
      <c r="P83" s="58"/>
      <c r="Q83" s="58"/>
      <c r="R83" s="58"/>
      <c r="S83" s="58"/>
      <c r="T83" s="58"/>
      <c r="U83" s="58"/>
      <c r="V83" s="58"/>
      <c r="W83" s="58"/>
      <c r="X83" s="58"/>
      <c r="Y83" s="58"/>
      <c r="Z83" s="58"/>
      <c r="AA83" s="58"/>
      <c r="AB83" s="58"/>
      <c r="AC83" s="58"/>
      <c r="AD83" s="59"/>
      <c r="AE83" s="43"/>
    </row>
    <row r="84" spans="2:31">
      <c r="B84" s="42"/>
      <c r="AE84" s="43"/>
    </row>
    <row r="85" spans="2:31" ht="16" customHeight="1">
      <c r="B85" s="42"/>
      <c r="C85" s="101" t="s">
        <v>20</v>
      </c>
      <c r="D85" s="125">
        <f>MAX(D80*D79,D33)</f>
        <v>2.3539999999999998E-2</v>
      </c>
      <c r="E85" s="68" t="s">
        <v>19</v>
      </c>
      <c r="F85" s="140" t="s">
        <v>152</v>
      </c>
      <c r="G85" s="90"/>
      <c r="H85" s="53"/>
      <c r="I85" s="53"/>
      <c r="J85" s="53"/>
      <c r="K85" s="53"/>
      <c r="L85" s="63"/>
      <c r="M85" s="53"/>
      <c r="N85" s="53"/>
      <c r="O85" s="53"/>
      <c r="P85" s="53"/>
      <c r="Q85" s="53"/>
      <c r="R85" s="53"/>
      <c r="S85" s="53"/>
      <c r="T85" s="53"/>
      <c r="U85" s="53"/>
      <c r="V85" s="53"/>
      <c r="W85" s="53"/>
      <c r="X85" s="53"/>
      <c r="Y85" s="53"/>
      <c r="Z85" s="53"/>
      <c r="AA85" s="53"/>
      <c r="AB85" s="53"/>
      <c r="AC85" s="53"/>
      <c r="AD85" s="54"/>
      <c r="AE85" s="43"/>
    </row>
    <row r="86" spans="2:31">
      <c r="B86" s="42"/>
      <c r="C86" s="100"/>
      <c r="D86" s="66"/>
      <c r="E86" s="62"/>
      <c r="F86" s="141"/>
      <c r="L86" s="62"/>
      <c r="AD86" s="55"/>
      <c r="AE86" s="43"/>
    </row>
    <row r="87" spans="2:31">
      <c r="B87" s="42"/>
      <c r="C87" s="104"/>
      <c r="D87" s="67"/>
      <c r="E87" s="64"/>
      <c r="F87" s="142"/>
      <c r="G87" s="58"/>
      <c r="H87" s="58"/>
      <c r="I87" s="58"/>
      <c r="J87" s="58"/>
      <c r="K87" s="58"/>
      <c r="L87" s="64"/>
      <c r="M87" s="58"/>
      <c r="N87" s="58"/>
      <c r="O87" s="58"/>
      <c r="P87" s="58"/>
      <c r="Q87" s="58"/>
      <c r="R87" s="58"/>
      <c r="S87" s="58"/>
      <c r="T87" s="58"/>
      <c r="U87" s="58"/>
      <c r="V87" s="58"/>
      <c r="W87" s="58"/>
      <c r="X87" s="58"/>
      <c r="Y87" s="58"/>
      <c r="Z87" s="58"/>
      <c r="AA87" s="58"/>
      <c r="AB87" s="58"/>
      <c r="AC87" s="58"/>
      <c r="AD87" s="59"/>
      <c r="AE87" s="43"/>
    </row>
    <row r="88" spans="2:31" ht="17" thickBot="1">
      <c r="B88" s="44"/>
      <c r="C88" s="36"/>
      <c r="D88" s="131"/>
      <c r="E88" s="34"/>
      <c r="F88" s="132"/>
      <c r="G88" s="133"/>
      <c r="H88" s="34"/>
      <c r="I88" s="34"/>
      <c r="J88" s="34"/>
      <c r="K88" s="34"/>
      <c r="L88" s="34"/>
      <c r="M88" s="34"/>
      <c r="N88" s="34"/>
      <c r="O88" s="34"/>
      <c r="P88" s="34"/>
      <c r="Q88" s="34"/>
      <c r="R88" s="34"/>
      <c r="S88" s="34"/>
      <c r="T88" s="34"/>
      <c r="U88" s="34"/>
      <c r="V88" s="34"/>
      <c r="W88" s="34"/>
      <c r="X88" s="34"/>
      <c r="Y88" s="34"/>
      <c r="Z88" s="34"/>
      <c r="AA88" s="34"/>
      <c r="AB88" s="34"/>
      <c r="AC88" s="34"/>
      <c r="AD88" s="34"/>
      <c r="AE88" s="45"/>
    </row>
  </sheetData>
  <mergeCells count="5">
    <mergeCell ref="F79:F80"/>
    <mergeCell ref="F33:F46"/>
    <mergeCell ref="F4:F15"/>
    <mergeCell ref="F17:F31"/>
    <mergeCell ref="F85:F8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6ea20d7-b07c-4b8c-910d-061b36a62ee7">
      <Terms xmlns="http://schemas.microsoft.com/office/infopath/2007/PartnerControls"/>
    </lcf76f155ced4ddcb4097134ff3c332f>
    <TaxCatchAll xmlns="8ea8976e-b461-4dc7-a1f6-9342513628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76FF306601E54A9190474F965DF301" ma:contentTypeVersion="16" ma:contentTypeDescription="Een nieuw document maken." ma:contentTypeScope="" ma:versionID="2d5b1a079c3a4d9b8052884479b86ae9">
  <xsd:schema xmlns:xsd="http://www.w3.org/2001/XMLSchema" xmlns:xs="http://www.w3.org/2001/XMLSchema" xmlns:p="http://schemas.microsoft.com/office/2006/metadata/properties" xmlns:ns2="26ea20d7-b07c-4b8c-910d-061b36a62ee7" xmlns:ns3="8ea8976e-b461-4dc7-a1f6-93425136281f" targetNamespace="http://schemas.microsoft.com/office/2006/metadata/properties" ma:root="true" ma:fieldsID="6ec65de6216680c9b2572ace3498044f" ns2:_="" ns3:_="">
    <xsd:import namespace="26ea20d7-b07c-4b8c-910d-061b36a62ee7"/>
    <xsd:import namespace="8ea8976e-b461-4dc7-a1f6-93425136281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a20d7-b07c-4b8c-910d-061b36a62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11aa8d75-97ee-4a6e-a682-6298985b5c9e"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a8976e-b461-4dc7-a1f6-93425136281f"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63fa1f66-9166-4d51-a9dc-77dbf5e90cce}" ma:internalName="TaxCatchAll" ma:showField="CatchAllData" ma:web="8ea8976e-b461-4dc7-a1f6-9342513628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31F30F-4767-42F3-B6CA-CBBB67480D65}">
  <ds:schemaRefs>
    <ds:schemaRef ds:uri="http://purl.org/dc/terms/"/>
    <ds:schemaRef ds:uri="http://purl.org/dc/dcmitype/"/>
    <ds:schemaRef ds:uri="http://purl.org/dc/elements/1.1/"/>
    <ds:schemaRef ds:uri="http://www.w3.org/XML/1998/namespace"/>
    <ds:schemaRef ds:uri="26ea20d7-b07c-4b8c-910d-061b36a62ee7"/>
    <ds:schemaRef ds:uri="http://schemas.microsoft.com/office/2006/documentManagement/types"/>
    <ds:schemaRef ds:uri="http://schemas.microsoft.com/office/infopath/2007/PartnerControls"/>
    <ds:schemaRef ds:uri="http://schemas.openxmlformats.org/package/2006/metadata/core-properties"/>
    <ds:schemaRef ds:uri="8ea8976e-b461-4dc7-a1f6-93425136281f"/>
    <ds:schemaRef ds:uri="http://schemas.microsoft.com/office/2006/metadata/properties"/>
  </ds:schemaRefs>
</ds:datastoreItem>
</file>

<file path=customXml/itemProps2.xml><?xml version="1.0" encoding="utf-8"?>
<ds:datastoreItem xmlns:ds="http://schemas.openxmlformats.org/officeDocument/2006/customXml" ds:itemID="{D3242B6A-2C4B-4142-B2E7-3634092A4249}">
  <ds:schemaRefs>
    <ds:schemaRef ds:uri="http://schemas.microsoft.com/sharepoint/v3/contenttype/forms"/>
  </ds:schemaRefs>
</ds:datastoreItem>
</file>

<file path=customXml/itemProps3.xml><?xml version="1.0" encoding="utf-8"?>
<ds:datastoreItem xmlns:ds="http://schemas.openxmlformats.org/officeDocument/2006/customXml" ds:itemID="{FE91C03B-412C-4CC7-8549-ADF6EEB7C4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a20d7-b07c-4b8c-910d-061b36a62ee7"/>
    <ds:schemaRef ds:uri="8ea8976e-b461-4dc7-a1f6-9342513628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Sources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Mathijs Bijkerk</dc:creator>
  <cp:lastModifiedBy>Jort Wolda</cp:lastModifiedBy>
  <dcterms:created xsi:type="dcterms:W3CDTF">2026-08-13T16:00:32Z</dcterms:created>
  <dcterms:modified xsi:type="dcterms:W3CDTF">2026-08-20T08:18:21Z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0x010100FB76FF306601E54A9190474F965DF301</vt:lpwstr>
  </property>
  <property fmtid="{D5CDD505-2E9C-101B-9397-08002B2CF9AE}" pid="3" name="MediaServiceImageTags">
    <vt:lpwstr/>
  </property>
</Properties>
</file>