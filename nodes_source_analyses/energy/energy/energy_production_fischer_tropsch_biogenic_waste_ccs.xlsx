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D1716BEE-7D41-E547-A931-09631201E407}" xr6:coauthVersionLast="47" xr6:coauthVersionMax="47" xr10:uidLastSave="{00000000-0000-0000-0000-000000000000}"/>
  <bookViews>
    <workbookView xWindow="1460" yWindow="500" windowWidth="28800" windowHeight="15820" tabRatio="762" activeTab="3"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5" i="12" l="1"/>
  <c r="M79" i="20"/>
  <c r="L79" i="20"/>
  <c r="K79" i="20"/>
  <c r="M81" i="20"/>
  <c r="L81" i="20"/>
  <c r="K81" i="20"/>
  <c r="G80" i="20" l="1"/>
  <c r="D10" i="20" l="1"/>
  <c r="E18" i="12" s="1"/>
  <c r="D37" i="20"/>
  <c r="E37" i="20" s="1"/>
  <c r="D33" i="20"/>
  <c r="D25" i="20"/>
  <c r="E25" i="12" s="1"/>
  <c r="D79" i="20" l="1"/>
  <c r="D81" i="20" s="1"/>
  <c r="G79" i="20" s="1"/>
  <c r="G81" i="20" s="1"/>
  <c r="G86" i="20" s="1"/>
  <c r="D96" i="20" s="1"/>
  <c r="D21" i="20"/>
  <c r="E13" i="12" s="1"/>
  <c r="D47" i="20"/>
  <c r="G85" i="20" l="1"/>
  <c r="G84" i="20"/>
  <c r="D42" i="20"/>
  <c r="D94" i="20" l="1"/>
  <c r="E34" i="12" s="1"/>
  <c r="D7" i="20"/>
  <c r="E17" i="12" s="1"/>
  <c r="D51" i="20"/>
  <c r="D52" i="20" s="1"/>
  <c r="D14" i="20" s="1"/>
  <c r="E24" i="12" s="1"/>
  <c r="D50" i="20"/>
  <c r="D13" i="20" s="1"/>
  <c r="E23" i="12" s="1"/>
  <c r="D49" i="20"/>
  <c r="D12" i="20" s="1"/>
  <c r="E21" i="12" s="1"/>
  <c r="D43" i="20"/>
  <c r="D46" i="20"/>
  <c r="D9" i="20" s="1"/>
  <c r="E33" i="12" s="1"/>
  <c r="D45" i="20"/>
  <c r="D8" i="20" s="1"/>
  <c r="E32" i="12" s="1"/>
  <c r="P19" i="20"/>
  <c r="Q18" i="20"/>
  <c r="O18" i="20"/>
  <c r="D31" i="20" s="1"/>
  <c r="Q17" i="20"/>
  <c r="O17" i="20"/>
  <c r="D30" i="20" s="1"/>
  <c r="Q16" i="20"/>
  <c r="O16" i="20"/>
  <c r="D32" i="20" s="1"/>
  <c r="E32" i="20" l="1"/>
  <c r="D19" i="20"/>
  <c r="E16" i="12" s="1"/>
  <c r="D34" i="20"/>
  <c r="E30" i="20"/>
  <c r="D17" i="20"/>
  <c r="E14" i="12" s="1"/>
  <c r="D35" i="20"/>
  <c r="E31" i="20"/>
  <c r="D18" i="20"/>
  <c r="E15" i="12" s="1"/>
  <c r="P18" i="20"/>
  <c r="P16" i="20"/>
  <c r="P17" i="20"/>
  <c r="E34" i="20" l="1"/>
  <c r="E35" i="20" s="1"/>
  <c r="D20" i="20" l="1"/>
  <c r="D6" i="20"/>
  <c r="E12" i="12" l="1"/>
  <c r="D64" i="20"/>
  <c r="D24" i="20" s="1"/>
  <c r="E22" i="12" s="1"/>
</calcChain>
</file>

<file path=xl/sharedStrings.xml><?xml version="1.0" encoding="utf-8"?>
<sst xmlns="http://schemas.openxmlformats.org/spreadsheetml/2006/main" count="330" uniqueCount="217">
  <si>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</si>
  <si>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</si>
  <si>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</si>
  <si>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</si>
  <si>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</si>
  <si>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</si>
  <si>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</si>
  <si>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</si>
  <si>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</si>
  <si>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</si>
  <si>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</si>
  <si>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</si>
  <si>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</si>
  <si>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</si>
  <si>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</si>
  <si>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</si>
  <si>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</si>
  <si>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</si>
  <si>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</si>
  <si>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</si>
  <si>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</si>
  <si>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</si>
  <si>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</si>
  <si>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</si>
  <si>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</si>
  <si>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</si>
  <si>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</si>
  <si>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</si>
  <si>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</si>
  <si>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</si>
  <si>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</si>
  <si>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</si>
  <si>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</si>
  <si>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</si>
  <si>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</si>
  <si>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</si>
  <si>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</si>
  <si>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</si>
  <si>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</si>
  <si>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</si>
  <si>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</si>
  <si>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</si>
  <si>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</si>
  <si>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</si>
  <si>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</si>
  <si>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</si>
  <si>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</si>
  <si>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</si>
  <si>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</si>
  <si>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</si>
  <si>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</si>
  <si>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</si>
  <si>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</si>
  <si>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</si>
  <si>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</si>
  <si>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</si>
  <si>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</si>
  <si>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</si>
  <si>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</si>
  <si>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</si>
  <si>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</si>
  <si>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</si>
  <si>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</si>
  <si>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</si>
  <si>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</si>
  <si>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</si>
  <si>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t>
  </si>
  <si>
    <t>Subject</t>
  </si>
  <si>
    <t>Investment</t>
  </si>
  <si>
    <t>DK</t>
  </si>
  <si>
    <t>electricity</t>
  </si>
  <si>
    <t>Full load hours</t>
  </si>
  <si>
    <t>Technical lifetime</t>
  </si>
  <si>
    <t>MW</t>
  </si>
  <si>
    <t>hours</t>
  </si>
  <si>
    <t>total</t>
  </si>
  <si>
    <t>All specs</t>
  </si>
  <si>
    <t>loss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</si>
  <si>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</si>
  <si>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</si>
  <si>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</si>
  <si>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</si>
  <si>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</si>
  <si>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</si>
  <si>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</si>
  <si>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</si>
  <si>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</si>
  <si>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</si>
  <si>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</si>
  <si>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</si>
  <si>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</si>
  <si>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</si>
  <si>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</si>
  <si>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Typical total plant size [1,000 t FT Liquids/year]</t>
  </si>
  <si>
    <t>A, B</t>
  </si>
  <si>
    <t>1, 6</t>
  </si>
  <si>
    <t>Typical total plant size [MW]</t>
  </si>
  <si>
    <t>A, A1, B</t>
  </si>
  <si>
    <t>Feedstock Consumption [MWh/MWh Total Input]</t>
  </si>
  <si>
    <t>C</t>
  </si>
  <si>
    <t>Naphta Output [MWh/MWh Total Input]</t>
  </si>
  <si>
    <t>D</t>
  </si>
  <si>
    <t>Jet Fuel Output [MWh/MWh Total Input]</t>
  </si>
  <si>
    <t>Diesel Output [MWh/MWh Total Input]</t>
  </si>
  <si>
    <t>Electricity Output [MWh/MWh Total Input]</t>
  </si>
  <si>
    <t>Forced outage [%]</t>
  </si>
  <si>
    <t>Planned outage [weeks per year]</t>
  </si>
  <si>
    <t>Technical lifetime [years]</t>
  </si>
  <si>
    <t>Construction time [years]</t>
  </si>
  <si>
    <t>Financial data</t>
  </si>
  <si>
    <t>Specific investment [M€/MW Liquids/year]</t>
  </si>
  <si>
    <t>E, L</t>
  </si>
  <si>
    <t>1, 6, 7, 8, 9</t>
  </si>
  <si>
    <t xml:space="preserve"> - equipment [%]</t>
  </si>
  <si>
    <t xml:space="preserve"> - installation [%]</t>
  </si>
  <si>
    <t>Fixed O&amp;M [M€/MW/year FT Liquids/year]</t>
  </si>
  <si>
    <t>L</t>
  </si>
  <si>
    <t>Variable O&amp;M [€/MWh FT Liquids/year]</t>
  </si>
  <si>
    <t>Start up [M€/1,000 t FT Liquids/year]</t>
  </si>
  <si>
    <t>F</t>
  </si>
  <si>
    <t>Technology-specific data</t>
  </si>
  <si>
    <t>Specific energy content [GJ/ton] FT Diesel</t>
  </si>
  <si>
    <t>Specific density  [kg/l] or [ton/m3]</t>
  </si>
  <si>
    <t>Specific investment [M€/1,000 t FT Liquids/year]</t>
  </si>
  <si>
    <t>Fixed O&amp;M [M€/1,000 t FT Liquids/year]</t>
  </si>
  <si>
    <t>Variable O&amp;M [M€/1,000 t FT Liquids/year]</t>
  </si>
  <si>
    <t>Notes:</t>
  </si>
  <si>
    <t>A1. This value is the hourly rating and has been calculated as if the unit produces at capacity and was in operations 8,000 h/year</t>
  </si>
  <si>
    <t>E.     There is a wide range of reported capital costs for the existing plants and a wide range in the cost of future plants.</t>
  </si>
  <si>
    <t>F.     Start-up costs are included in the operating costs.</t>
  </si>
  <si>
    <t>M €/k tonne is million euro per 1,000 tonnes</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</si>
  <si>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</si>
  <si>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</si>
  <si>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</si>
  <si>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</si>
  <si>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t>Plant size</t>
  </si>
  <si>
    <t>Plant specs</t>
  </si>
  <si>
    <t>Construction time</t>
  </si>
  <si>
    <t>Based on DEA data, year 2030 is taken</t>
  </si>
  <si>
    <t>y</t>
  </si>
  <si>
    <t>Fixed O&amp;M</t>
  </si>
  <si>
    <t>Variable O&amp;M</t>
  </si>
  <si>
    <t>€/y</t>
  </si>
  <si>
    <t>h</t>
  </si>
  <si>
    <t>€/flh</t>
  </si>
  <si>
    <t>Overview</t>
  </si>
  <si>
    <t>Construciton period</t>
  </si>
  <si>
    <t>euro/y</t>
  </si>
  <si>
    <t>Input/output</t>
  </si>
  <si>
    <t>Biomass gassification &amp; Fischer Tropsch</t>
  </si>
  <si>
    <t>Plant size (production output)</t>
  </si>
  <si>
    <t>t FT liquids/y</t>
  </si>
  <si>
    <t>Input capacity</t>
  </si>
  <si>
    <t>output.bionaphtha</t>
  </si>
  <si>
    <t>output.biodiesel</t>
  </si>
  <si>
    <t>output.bio_kerosene</t>
  </si>
  <si>
    <t>See https://docs.energytransitionmodel.com/main/cost-wacc/</t>
  </si>
  <si>
    <t>Kyra de Haan</t>
  </si>
  <si>
    <t>CCS</t>
  </si>
  <si>
    <t>ccs_investment</t>
  </si>
  <si>
    <t>taken from energy_hydrogen_biomass_gasification_ccs</t>
  </si>
  <si>
    <t>availability</t>
  </si>
  <si>
    <t>The biomass gassification process emits CO2 which is assumed to be captured</t>
  </si>
  <si>
    <t>energy_production_fischer_tropsch_biogenic_waste_ccs</t>
  </si>
  <si>
    <t>input.biogenic_waste</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</si>
  <si>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</si>
  <si>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</si>
  <si>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</si>
  <si>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</si>
  <si>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</si>
  <si>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</si>
  <si>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</si>
  <si>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Feedstock in- and output</t>
  </si>
  <si>
    <t>Jet fuel from biomass gasification, table from DEA:</t>
  </si>
  <si>
    <t>biokerosene</t>
  </si>
  <si>
    <t>biodiesel</t>
  </si>
  <si>
    <t>bionaphtha</t>
  </si>
  <si>
    <t>feedstock</t>
  </si>
  <si>
    <t>MJ/MJ</t>
  </si>
  <si>
    <t>corrected</t>
  </si>
  <si>
    <t>assumption: very low electricity output is ignored and considered as loss</t>
  </si>
  <si>
    <t>Quintel assumption</t>
  </si>
  <si>
    <t>ccs_capture_rate</t>
  </si>
  <si>
    <t>No data available, assumed to be part of initial investment</t>
  </si>
  <si>
    <t>Carbon in- and output</t>
  </si>
  <si>
    <t>biogenic waste</t>
  </si>
  <si>
    <t>syngas</t>
  </si>
  <si>
    <t>co2</t>
  </si>
  <si>
    <t>- emitted</t>
  </si>
  <si>
    <t>- captured</t>
  </si>
  <si>
    <t>Biogenic waste</t>
  </si>
  <si>
    <t>CO2 stream</t>
  </si>
  <si>
    <t>Total</t>
  </si>
  <si>
    <t>Biokerosene</t>
  </si>
  <si>
    <t>Biodiesel</t>
  </si>
  <si>
    <t>Bionaphtha</t>
  </si>
  <si>
    <t>Energy input</t>
  </si>
  <si>
    <t>MJ</t>
  </si>
  <si>
    <t>Carbon input</t>
  </si>
  <si>
    <t>kg CO2</t>
  </si>
  <si>
    <t>Energy output</t>
  </si>
  <si>
    <t>Emission factor</t>
  </si>
  <si>
    <t>kg CO2/MJ</t>
  </si>
  <si>
    <t>Carbon output</t>
  </si>
  <si>
    <t>CO2 total</t>
  </si>
  <si>
    <t>CO2 captured</t>
  </si>
  <si>
    <t>CO2 emitted</t>
  </si>
  <si>
    <t>CO2 capture rate</t>
  </si>
  <si>
    <t>Emission factors taken from ETSource</t>
  </si>
  <si>
    <t>Carbon difference</t>
  </si>
  <si>
    <t>Calculated using carbon balance</t>
  </si>
  <si>
    <t>from_energy.conversion.biogenic_waste</t>
  </si>
  <si>
    <t>This is what goes to the molecule graph</t>
  </si>
  <si>
    <t>Share of CO2 captured in sum of (CO2 emitted, CO2 captured, CO2 in products)</t>
  </si>
  <si>
    <t>Quintel</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</si>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</sst>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59">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u/>
      <sz val="12"/>
      <name val="Calibri"/>
      <family val="2"/>
      <scheme val="minor"/>
    </font>
    <font>
      <sz val="12"/>
      <color rgb="FF3F3F76"/>
      <name val="Calibri"/>
      <family val="2"/>
      <scheme val="minor"/>
    </font>
    <font>
      <b/>
      <sz val="12"/>
      <color rgb="FF3F3F3F"/>
      <name val="Calibri"/>
      <family val="2"/>
      <scheme val="minor"/>
    </font>
    <font>
      <sz val="12"/>
      <name val="Calibri"/>
      <family val="2"/>
    </font>
    <font>
      <b/>
      <sz val="12"/>
      <name val="Calibri"/>
      <family val="2"/>
    </font>
    <font>
      <sz val="12"/>
      <color theme="1"/>
      <name val="Calibri"/>
      <family val="2"/>
    </font>
    <font>
      <b/>
      <sz val="12"/>
      <color theme="1"/>
      <name val="Calibri"/>
      <family val="2"/>
    </font>
    <font>
      <u/>
      <sz val="12"/>
      <color theme="1"/>
      <name val="Calibri (Body)"/>
    </font>
    <font>
      <u/>
      <sz val="12"/>
      <name val="Calibri (Body)"/>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6"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43" fontId="39" fillId="0" borderId="0" applyFont="0" applyFill="0" applyBorder="0" applyAlignment="0" applyProtection="0"/>
    <xf numFmtId="9" fontId="39" fillId="0" borderId="0" applyFont="0" applyFill="0" applyBorder="0" applyAlignment="0" applyProtection="0"/>
    <xf numFmtId="0" fontId="24" fillId="0" borderId="0" applyNumberFormat="0" applyFill="0" applyBorder="0" applyAlignment="0" applyProtection="0"/>
    <xf numFmtId="0" fontId="51" fillId="14" borderId="20" applyNumberFormat="0" applyAlignment="0" applyProtection="0"/>
    <xf numFmtId="0" fontId="52" fillId="15" borderId="21" applyNumberFormat="0" applyAlignment="0" applyProtection="0"/>
  </cellStyleXfs>
  <cellXfs count="207">
    <xf numFmtId="0" fontId="0" fillId="0" borderId="0" xfId="0"/>
    <xf numFmtId="0" fontId="27" fillId="3" borderId="7" xfId="0" applyFont="1" applyFill="1" applyBorder="1"/>
    <xf numFmtId="0" fontId="28" fillId="3" borderId="17" xfId="0" applyFont="1" applyFill="1" applyBorder="1"/>
    <xf numFmtId="0" fontId="29" fillId="3" borderId="7" xfId="0" applyFont="1" applyFill="1" applyBorder="1" applyAlignment="1">
      <alignment vertical="center"/>
    </xf>
    <xf numFmtId="0" fontId="29" fillId="3" borderId="1" xfId="0" applyFont="1" applyFill="1" applyBorder="1" applyAlignment="1">
      <alignment vertical="center"/>
    </xf>
    <xf numFmtId="0" fontId="27" fillId="3" borderId="0" xfId="0" applyFont="1" applyFill="1"/>
    <xf numFmtId="0" fontId="26" fillId="2" borderId="0" xfId="0" applyFont="1" applyFill="1"/>
    <xf numFmtId="0" fontId="26" fillId="2" borderId="5" xfId="0" applyFont="1" applyFill="1" applyBorder="1"/>
    <xf numFmtId="0" fontId="26" fillId="2" borderId="9" xfId="0" applyFont="1" applyFill="1" applyBorder="1"/>
    <xf numFmtId="0" fontId="26" fillId="0" borderId="9" xfId="0" applyFont="1" applyBorder="1"/>
    <xf numFmtId="0" fontId="28" fillId="0" borderId="9" xfId="0" applyFont="1" applyBorder="1"/>
    <xf numFmtId="49" fontId="26" fillId="2" borderId="0" xfId="0" applyNumberFormat="1" applyFont="1" applyFill="1"/>
    <xf numFmtId="49" fontId="26" fillId="2" borderId="9" xfId="0" applyNumberFormat="1" applyFont="1" applyFill="1" applyBorder="1"/>
    <xf numFmtId="0" fontId="26" fillId="2" borderId="4" xfId="0" applyFont="1" applyFill="1" applyBorder="1"/>
    <xf numFmtId="0" fontId="23" fillId="2" borderId="0" xfId="0" applyFont="1" applyFill="1"/>
    <xf numFmtId="0" fontId="27" fillId="0" borderId="0" xfId="0" applyFont="1"/>
    <xf numFmtId="0" fontId="26" fillId="0" borderId="16" xfId="0" applyFont="1" applyBorder="1"/>
    <xf numFmtId="0" fontId="26" fillId="2" borderId="6" xfId="0" applyFont="1" applyFill="1" applyBorder="1"/>
    <xf numFmtId="0" fontId="27" fillId="3" borderId="17" xfId="0" applyFont="1" applyFill="1" applyBorder="1"/>
    <xf numFmtId="0" fontId="27" fillId="3" borderId="2" xfId="0" applyFont="1" applyFill="1" applyBorder="1"/>
    <xf numFmtId="0" fontId="23" fillId="2" borderId="2" xfId="0" applyFont="1" applyFill="1" applyBorder="1"/>
    <xf numFmtId="0" fontId="30" fillId="3" borderId="0" xfId="0" applyFont="1" applyFill="1"/>
    <xf numFmtId="0" fontId="23" fillId="2" borderId="7" xfId="0" applyFont="1" applyFill="1" applyBorder="1"/>
    <xf numFmtId="0" fontId="28" fillId="3" borderId="0" xfId="0" applyFont="1" applyFill="1"/>
    <xf numFmtId="0" fontId="22" fillId="2" borderId="0" xfId="0" applyFont="1" applyFill="1"/>
    <xf numFmtId="0" fontId="22" fillId="2" borderId="3" xfId="0" applyFont="1" applyFill="1" applyBorder="1"/>
    <xf numFmtId="0" fontId="22" fillId="2" borderId="15" xfId="0" applyFont="1" applyFill="1" applyBorder="1"/>
    <xf numFmtId="0" fontId="22" fillId="0" borderId="0" xfId="0" applyFont="1"/>
    <xf numFmtId="0" fontId="22" fillId="2" borderId="6" xfId="0" applyFont="1" applyFill="1" applyBorder="1"/>
    <xf numFmtId="164" fontId="22" fillId="2" borderId="18" xfId="0" applyNumberFormat="1" applyFont="1" applyFill="1" applyBorder="1"/>
    <xf numFmtId="0" fontId="21" fillId="2" borderId="0" xfId="0" applyFont="1" applyFill="1"/>
    <xf numFmtId="0" fontId="21" fillId="2" borderId="3" xfId="0" applyFont="1" applyFill="1" applyBorder="1"/>
    <xf numFmtId="0" fontId="21" fillId="2" borderId="4" xfId="0" applyFont="1" applyFill="1" applyBorder="1"/>
    <xf numFmtId="0" fontId="21" fillId="2" borderId="6" xfId="0" applyFont="1" applyFill="1" applyBorder="1"/>
    <xf numFmtId="49" fontId="21" fillId="2" borderId="0" xfId="0" applyNumberFormat="1" applyFont="1" applyFill="1"/>
    <xf numFmtId="49" fontId="21" fillId="2" borderId="4" xfId="0" applyNumberFormat="1" applyFont="1" applyFill="1" applyBorder="1"/>
    <xf numFmtId="0" fontId="21" fillId="2" borderId="16" xfId="0" applyFont="1" applyFill="1" applyBorder="1"/>
    <xf numFmtId="0" fontId="31" fillId="2" borderId="0" xfId="0" applyFont="1" applyFill="1"/>
    <xf numFmtId="0" fontId="31" fillId="2" borderId="3" xfId="0" applyFont="1" applyFill="1" applyBorder="1"/>
    <xf numFmtId="0" fontId="31" fillId="2" borderId="4" xfId="0" applyFont="1" applyFill="1" applyBorder="1"/>
    <xf numFmtId="0" fontId="31" fillId="2" borderId="15" xfId="0" applyFont="1" applyFill="1" applyBorder="1"/>
    <xf numFmtId="0" fontId="32" fillId="2" borderId="0" xfId="0" applyFont="1" applyFill="1"/>
    <xf numFmtId="0" fontId="31" fillId="2" borderId="9" xfId="0" applyFont="1" applyFill="1" applyBorder="1"/>
    <xf numFmtId="0" fontId="32" fillId="2" borderId="9" xfId="0" applyFont="1" applyFill="1" applyBorder="1"/>
    <xf numFmtId="0" fontId="26" fillId="2" borderId="17" xfId="0" applyFont="1" applyFill="1" applyBorder="1"/>
    <xf numFmtId="0" fontId="20" fillId="2" borderId="2" xfId="0" applyFont="1" applyFill="1" applyBorder="1"/>
    <xf numFmtId="0" fontId="26" fillId="2" borderId="7" xfId="0" applyFont="1" applyFill="1" applyBorder="1"/>
    <xf numFmtId="0" fontId="20" fillId="2" borderId="18" xfId="0" applyFont="1" applyFill="1" applyBorder="1"/>
    <xf numFmtId="0" fontId="20" fillId="2" borderId="7" xfId="0" applyFont="1" applyFill="1" applyBorder="1"/>
    <xf numFmtId="0" fontId="26" fillId="2" borderId="19" xfId="0" applyFont="1" applyFill="1" applyBorder="1"/>
    <xf numFmtId="0" fontId="22" fillId="2" borderId="5" xfId="0" applyFont="1" applyFill="1" applyBorder="1"/>
    <xf numFmtId="0" fontId="27" fillId="2" borderId="0" xfId="0" applyFont="1" applyFill="1"/>
    <xf numFmtId="0" fontId="32" fillId="2" borderId="16" xfId="0" applyFont="1" applyFill="1" applyBorder="1"/>
    <xf numFmtId="0" fontId="31" fillId="2" borderId="19" xfId="0" applyFont="1" applyFill="1" applyBorder="1"/>
    <xf numFmtId="0" fontId="19" fillId="0" borderId="0" xfId="0" applyFont="1"/>
    <xf numFmtId="0" fontId="19" fillId="2" borderId="0" xfId="0" applyFont="1" applyFill="1"/>
    <xf numFmtId="0" fontId="19" fillId="2" borderId="6" xfId="0" applyFont="1" applyFill="1" applyBorder="1"/>
    <xf numFmtId="0" fontId="19" fillId="2" borderId="5" xfId="0" applyFont="1" applyFill="1" applyBorder="1"/>
    <xf numFmtId="164" fontId="19" fillId="2" borderId="18" xfId="0" applyNumberFormat="1" applyFont="1" applyFill="1" applyBorder="1"/>
    <xf numFmtId="164" fontId="19" fillId="2" borderId="0" xfId="0" applyNumberFormat="1" applyFont="1" applyFill="1"/>
    <xf numFmtId="0" fontId="19" fillId="2" borderId="10" xfId="0" applyFont="1" applyFill="1" applyBorder="1"/>
    <xf numFmtId="0" fontId="19" fillId="2" borderId="11" xfId="0" applyFont="1" applyFill="1" applyBorder="1"/>
    <xf numFmtId="0" fontId="19" fillId="2" borderId="12" xfId="0" applyFont="1" applyFill="1" applyBorder="1"/>
    <xf numFmtId="1" fontId="31" fillId="2" borderId="0" xfId="0" applyNumberFormat="1" applyFont="1" applyFill="1"/>
    <xf numFmtId="166" fontId="22" fillId="2" borderId="6" xfId="0" applyNumberFormat="1" applyFont="1" applyFill="1" applyBorder="1"/>
    <xf numFmtId="166" fontId="19" fillId="0" borderId="0" xfId="0" applyNumberFormat="1" applyFont="1"/>
    <xf numFmtId="166" fontId="27" fillId="0" borderId="0" xfId="0" applyNumberFormat="1" applyFont="1"/>
    <xf numFmtId="166" fontId="22" fillId="0" borderId="0" xfId="0" applyNumberFormat="1" applyFont="1"/>
    <xf numFmtId="166" fontId="22" fillId="2" borderId="5" xfId="0" applyNumberFormat="1" applyFont="1" applyFill="1" applyBorder="1"/>
    <xf numFmtId="166" fontId="18" fillId="0" borderId="0" xfId="0" applyNumberFormat="1" applyFont="1"/>
    <xf numFmtId="0" fontId="18" fillId="0" borderId="0" xfId="0" applyFont="1"/>
    <xf numFmtId="166" fontId="17" fillId="0" borderId="0" xfId="0" applyNumberFormat="1" applyFont="1"/>
    <xf numFmtId="0" fontId="16" fillId="0" borderId="0" xfId="0" applyFont="1"/>
    <xf numFmtId="0" fontId="34" fillId="12" borderId="18" xfId="0" applyFont="1" applyFill="1" applyBorder="1"/>
    <xf numFmtId="0" fontId="15" fillId="2" borderId="0" xfId="0" applyFont="1" applyFill="1" applyAlignment="1">
      <alignment vertical="center"/>
    </xf>
    <xf numFmtId="0" fontId="15" fillId="2" borderId="6" xfId="0" applyFont="1" applyFill="1" applyBorder="1" applyAlignment="1">
      <alignment vertical="center"/>
    </xf>
    <xf numFmtId="0" fontId="15" fillId="0" borderId="0" xfId="0" applyFont="1" applyAlignment="1">
      <alignment vertical="center"/>
    </xf>
    <xf numFmtId="0" fontId="27" fillId="0" borderId="0" xfId="0" applyFont="1" applyAlignment="1">
      <alignment vertical="center"/>
    </xf>
    <xf numFmtId="0" fontId="15" fillId="2" borderId="5" xfId="0" applyFont="1" applyFill="1" applyBorder="1" applyAlignment="1">
      <alignment vertical="center"/>
    </xf>
    <xf numFmtId="164" fontId="15" fillId="2" borderId="18" xfId="0" applyNumberFormat="1" applyFont="1" applyFill="1" applyBorder="1"/>
    <xf numFmtId="0" fontId="37" fillId="2" borderId="0" xfId="0" applyFont="1" applyFill="1" applyAlignment="1">
      <alignment vertical="center"/>
    </xf>
    <xf numFmtId="0" fontId="26" fillId="2" borderId="6" xfId="0" applyFont="1" applyFill="1" applyBorder="1" applyAlignment="1">
      <alignment vertical="center"/>
    </xf>
    <xf numFmtId="2" fontId="15" fillId="2" borderId="18" xfId="0" applyNumberFormat="1" applyFont="1" applyFill="1" applyBorder="1" applyAlignment="1">
      <alignment vertical="center"/>
    </xf>
    <xf numFmtId="0" fontId="26" fillId="0" borderId="0" xfId="0" applyFont="1" applyAlignment="1">
      <alignment vertical="center"/>
    </xf>
    <xf numFmtId="0" fontId="37" fillId="2" borderId="5" xfId="0" applyFont="1" applyFill="1" applyBorder="1" applyAlignment="1">
      <alignment vertical="center"/>
    </xf>
    <xf numFmtId="0" fontId="32" fillId="2" borderId="6" xfId="0" applyFont="1" applyFill="1" applyBorder="1"/>
    <xf numFmtId="2" fontId="31" fillId="2" borderId="0" xfId="0" applyNumberFormat="1" applyFont="1" applyFill="1"/>
    <xf numFmtId="0" fontId="32" fillId="2" borderId="7" xfId="0" applyFont="1" applyFill="1" applyBorder="1"/>
    <xf numFmtId="165" fontId="31" fillId="2" borderId="0" xfId="0" applyNumberFormat="1" applyFont="1" applyFill="1"/>
    <xf numFmtId="2" fontId="19" fillId="2" borderId="18" xfId="0" applyNumberFormat="1" applyFont="1" applyFill="1" applyBorder="1"/>
    <xf numFmtId="167" fontId="14" fillId="2" borderId="0" xfId="0" applyNumberFormat="1" applyFont="1" applyFill="1"/>
    <xf numFmtId="0" fontId="38" fillId="2" borderId="0" xfId="0" applyFont="1" applyFill="1"/>
    <xf numFmtId="0" fontId="13" fillId="2" borderId="0" xfId="0" applyFont="1" applyFill="1"/>
    <xf numFmtId="0" fontId="24" fillId="2" borderId="0" xfId="498" applyFill="1"/>
    <xf numFmtId="49" fontId="24" fillId="2" borderId="0" xfId="498" applyNumberFormat="1" applyFill="1"/>
    <xf numFmtId="0" fontId="40" fillId="13" borderId="2" xfId="0" applyFont="1" applyFill="1" applyBorder="1" applyAlignment="1">
      <alignment horizontal="left" vertical="top"/>
    </xf>
    <xf numFmtId="0" fontId="41" fillId="13" borderId="2" xfId="0" applyFont="1" applyFill="1" applyBorder="1" applyAlignment="1">
      <alignment horizontal="left" vertical="top"/>
    </xf>
    <xf numFmtId="0" fontId="41" fillId="13" borderId="0" xfId="0" applyFont="1" applyFill="1" applyAlignment="1">
      <alignment horizontal="left" vertical="top"/>
    </xf>
    <xf numFmtId="0" fontId="43" fillId="13" borderId="0" xfId="0" applyFont="1" applyFill="1" applyAlignment="1">
      <alignment horizontal="right" vertical="top"/>
    </xf>
    <xf numFmtId="0" fontId="42" fillId="13" borderId="0" xfId="0" applyFont="1" applyFill="1" applyAlignment="1">
      <alignment horizontal="right" vertical="top"/>
    </xf>
    <xf numFmtId="0" fontId="44" fillId="13" borderId="0" xfId="0" applyFont="1" applyFill="1" applyAlignment="1">
      <alignment horizontal="right" vertical="top"/>
    </xf>
    <xf numFmtId="0" fontId="43" fillId="13" borderId="0" xfId="0" applyFont="1" applyFill="1" applyAlignment="1">
      <alignment horizontal="center" vertical="top"/>
    </xf>
    <xf numFmtId="0" fontId="40" fillId="13" borderId="11" xfId="0" applyFont="1" applyFill="1" applyBorder="1" applyAlignment="1">
      <alignment horizontal="left" vertical="top"/>
    </xf>
    <xf numFmtId="0" fontId="41" fillId="13" borderId="11" xfId="0" applyFont="1" applyFill="1" applyBorder="1" applyAlignment="1">
      <alignment horizontal="left" vertical="top"/>
    </xf>
    <xf numFmtId="0" fontId="44" fillId="13" borderId="11" xfId="0" applyFont="1" applyFill="1" applyBorder="1" applyAlignment="1">
      <alignment horizontal="right" vertical="top"/>
    </xf>
    <xf numFmtId="0" fontId="45" fillId="13" borderId="11" xfId="0" applyFont="1" applyFill="1" applyBorder="1" applyAlignment="1">
      <alignment horizontal="right" vertical="top"/>
    </xf>
    <xf numFmtId="0" fontId="42" fillId="13" borderId="11" xfId="0" applyFont="1" applyFill="1" applyBorder="1" applyAlignment="1">
      <alignment horizontal="right" vertical="top"/>
    </xf>
    <xf numFmtId="0" fontId="43" fillId="13" borderId="11" xfId="0" applyFont="1" applyFill="1" applyBorder="1" applyAlignment="1">
      <alignment horizontal="center" vertical="top"/>
    </xf>
    <xf numFmtId="0" fontId="42" fillId="0" borderId="0" xfId="0" applyFont="1" applyAlignment="1">
      <alignment horizontal="right" vertical="top"/>
    </xf>
    <xf numFmtId="0" fontId="43" fillId="0" borderId="0" xfId="0" applyFont="1" applyAlignment="1">
      <alignment horizontal="right" vertical="top"/>
    </xf>
    <xf numFmtId="0" fontId="43" fillId="0" borderId="0" xfId="0" applyFont="1" applyAlignment="1">
      <alignment horizontal="center" vertical="top"/>
    </xf>
    <xf numFmtId="0" fontId="47" fillId="0" borderId="0" xfId="0" applyFont="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9" fontId="43" fillId="0" borderId="0" xfId="497" applyFont="1" applyBorder="1" applyAlignment="1">
      <alignment horizontal="right" vertical="top"/>
    </xf>
    <xf numFmtId="0" fontId="43" fillId="2" borderId="0" xfId="0" applyFont="1" applyFill="1" applyAlignment="1">
      <alignment horizontal="left" vertical="top"/>
    </xf>
    <xf numFmtId="1" fontId="43" fillId="0" borderId="0" xfId="0" applyNumberFormat="1" applyFont="1" applyAlignment="1">
      <alignment horizontal="right" vertical="top"/>
    </xf>
    <xf numFmtId="1" fontId="42" fillId="0" borderId="0" xfId="0" applyNumberFormat="1" applyFont="1" applyAlignment="1">
      <alignment horizontal="right" vertical="top"/>
    </xf>
    <xf numFmtId="9" fontId="43" fillId="0" borderId="0" xfId="0" applyNumberFormat="1" applyFont="1" applyAlignment="1">
      <alignment horizontal="right" vertical="top"/>
    </xf>
    <xf numFmtId="165" fontId="43" fillId="0" borderId="0" xfId="0" applyNumberFormat="1" applyFont="1" applyAlignment="1">
      <alignment horizontal="right" vertical="top"/>
    </xf>
    <xf numFmtId="165" fontId="42" fillId="0" borderId="0" xfId="0" applyNumberFormat="1" applyFont="1" applyAlignment="1">
      <alignment horizontal="right" vertical="top"/>
    </xf>
    <xf numFmtId="2" fontId="43" fillId="0" borderId="0" xfId="0" applyNumberFormat="1" applyFont="1" applyAlignment="1">
      <alignment horizontal="right" vertical="top"/>
    </xf>
    <xf numFmtId="2" fontId="42" fillId="0" borderId="0" xfId="0" applyNumberFormat="1" applyFont="1" applyAlignment="1">
      <alignment horizontal="right" vertical="top"/>
    </xf>
    <xf numFmtId="0" fontId="46" fillId="0" borderId="0" xfId="0" applyFont="1"/>
    <xf numFmtId="0" fontId="47" fillId="0" borderId="11" xfId="0" applyFont="1" applyBorder="1" applyAlignment="1">
      <alignment horizontal="left" vertical="top"/>
    </xf>
    <xf numFmtId="0" fontId="43" fillId="0" borderId="11" xfId="0" applyFont="1" applyBorder="1" applyAlignment="1">
      <alignment horizontal="left" vertical="top"/>
    </xf>
    <xf numFmtId="0" fontId="43" fillId="0" borderId="11" xfId="0" applyFont="1" applyBorder="1" applyAlignment="1">
      <alignment horizontal="right" vertical="top"/>
    </xf>
    <xf numFmtId="0" fontId="42" fillId="0" borderId="11" xfId="0" applyFont="1" applyBorder="1" applyAlignment="1">
      <alignment horizontal="right" vertical="top"/>
    </xf>
    <xf numFmtId="0" fontId="43" fillId="0" borderId="11" xfId="0" applyFont="1" applyBorder="1" applyAlignment="1">
      <alignment horizontal="center" vertical="top"/>
    </xf>
    <xf numFmtId="0" fontId="43" fillId="0" borderId="0" xfId="0" applyFont="1"/>
    <xf numFmtId="0" fontId="43" fillId="0" borderId="0" xfId="0" applyFont="1" applyAlignment="1">
      <alignment horizontal="right"/>
    </xf>
    <xf numFmtId="0" fontId="42" fillId="0" borderId="0" xfId="0" applyFont="1"/>
    <xf numFmtId="0" fontId="43" fillId="0" borderId="0" xfId="0" applyFont="1" applyAlignment="1">
      <alignment horizontal="center"/>
    </xf>
    <xf numFmtId="0" fontId="42" fillId="0" borderId="0" xfId="0" applyFont="1" applyAlignment="1">
      <alignment horizontal="left" vertical="center"/>
    </xf>
    <xf numFmtId="0" fontId="47" fillId="0" borderId="0" xfId="0" applyFont="1"/>
    <xf numFmtId="0" fontId="43" fillId="0" borderId="0" xfId="0" applyFont="1" applyAlignment="1">
      <alignment horizontal="left" vertical="center"/>
    </xf>
    <xf numFmtId="43" fontId="31" fillId="2" borderId="0" xfId="496" applyFont="1" applyFill="1"/>
    <xf numFmtId="168" fontId="31" fillId="2" borderId="0" xfId="496" applyNumberFormat="1" applyFont="1" applyFill="1"/>
    <xf numFmtId="168" fontId="31" fillId="2" borderId="0" xfId="0" applyNumberFormat="1" applyFont="1" applyFill="1"/>
    <xf numFmtId="0" fontId="13" fillId="2" borderId="18" xfId="0" applyFont="1" applyFill="1" applyBorder="1"/>
    <xf numFmtId="0" fontId="12" fillId="0" borderId="0" xfId="0" applyFont="1"/>
    <xf numFmtId="0" fontId="11" fillId="2" borderId="0" xfId="0" applyFont="1" applyFill="1"/>
    <xf numFmtId="0" fontId="10" fillId="0" borderId="0" xfId="0" applyFont="1" applyAlignment="1">
      <alignment vertical="center"/>
    </xf>
    <xf numFmtId="0" fontId="9" fillId="0" borderId="0" xfId="0" applyFont="1"/>
    <xf numFmtId="0" fontId="50" fillId="2" borderId="0" xfId="0" applyFont="1" applyFill="1"/>
    <xf numFmtId="0" fontId="8" fillId="2" borderId="0" xfId="0" applyFont="1" applyFill="1"/>
    <xf numFmtId="0" fontId="7" fillId="0" borderId="0" xfId="0" applyFont="1" applyAlignment="1">
      <alignment vertical="center"/>
    </xf>
    <xf numFmtId="164" fontId="31" fillId="2" borderId="0" xfId="0" applyNumberFormat="1" applyFont="1" applyFill="1"/>
    <xf numFmtId="166" fontId="31" fillId="2" borderId="0" xfId="0" applyNumberFormat="1" applyFont="1" applyFill="1"/>
    <xf numFmtId="0" fontId="6" fillId="2" borderId="0" xfId="0" applyFont="1" applyFill="1"/>
    <xf numFmtId="167" fontId="6" fillId="2" borderId="0" xfId="0" applyNumberFormat="1" applyFont="1" applyFill="1"/>
    <xf numFmtId="49" fontId="6" fillId="2" borderId="0" xfId="0" applyNumberFormat="1" applyFont="1" applyFill="1"/>
    <xf numFmtId="0" fontId="5" fillId="0" borderId="0" xfId="0" applyFont="1"/>
    <xf numFmtId="0" fontId="5" fillId="2" borderId="18" xfId="0" applyFont="1" applyFill="1" applyBorder="1" applyAlignment="1">
      <alignment vertical="center"/>
    </xf>
    <xf numFmtId="0" fontId="5" fillId="2" borderId="18" xfId="0" applyFont="1" applyFill="1" applyBorder="1"/>
    <xf numFmtId="0" fontId="4" fillId="0" borderId="0" xfId="0" applyFont="1"/>
    <xf numFmtId="166" fontId="3" fillId="2" borderId="18" xfId="0" applyNumberFormat="1" applyFont="1" applyFill="1" applyBorder="1"/>
    <xf numFmtId="0" fontId="51" fillId="14" borderId="20" xfId="499"/>
    <xf numFmtId="165" fontId="52" fillId="15" borderId="21" xfId="500" applyNumberFormat="1"/>
    <xf numFmtId="165" fontId="52" fillId="15" borderId="22" xfId="500" applyNumberFormat="1" applyBorder="1"/>
    <xf numFmtId="0" fontId="52" fillId="15" borderId="21" xfId="500"/>
    <xf numFmtId="9" fontId="51" fillId="14" borderId="20" xfId="499" applyNumberFormat="1"/>
    <xf numFmtId="2" fontId="51" fillId="14" borderId="20" xfId="499" applyNumberFormat="1"/>
    <xf numFmtId="0" fontId="53" fillId="2" borderId="0" xfId="0" applyFont="1" applyFill="1"/>
    <xf numFmtId="0" fontId="54" fillId="2" borderId="0" xfId="0" applyFont="1" applyFill="1"/>
    <xf numFmtId="0" fontId="55" fillId="2" borderId="0" xfId="0" applyFont="1" applyFill="1"/>
    <xf numFmtId="0" fontId="55" fillId="2" borderId="0" xfId="0" applyFont="1" applyFill="1" applyAlignment="1">
      <alignment horizontal="center"/>
    </xf>
    <xf numFmtId="0" fontId="55" fillId="2" borderId="0" xfId="0" quotePrefix="1" applyFont="1" applyFill="1"/>
    <xf numFmtId="0" fontId="56" fillId="2" borderId="0" xfId="0" applyFont="1" applyFill="1"/>
    <xf numFmtId="0" fontId="55" fillId="2" borderId="9" xfId="0" applyFont="1" applyFill="1" applyBorder="1"/>
    <xf numFmtId="165" fontId="55" fillId="2" borderId="0" xfId="0" applyNumberFormat="1" applyFont="1" applyFill="1"/>
    <xf numFmtId="165" fontId="51" fillId="14" borderId="20" xfId="499" applyNumberFormat="1"/>
    <xf numFmtId="0" fontId="57" fillId="2" borderId="0" xfId="0" applyFont="1" applyFill="1"/>
    <xf numFmtId="0" fontId="58" fillId="2" borderId="0" xfId="0" applyFont="1" applyFill="1"/>
    <xf numFmtId="169" fontId="53" fillId="2" borderId="0" xfId="0" applyNumberFormat="1" applyFont="1" applyFill="1"/>
    <xf numFmtId="0" fontId="2" fillId="0" borderId="0" xfId="0" applyFont="1"/>
    <xf numFmtId="166" fontId="52" fillId="15" borderId="21" xfId="500" applyNumberFormat="1"/>
    <xf numFmtId="49" fontId="27" fillId="2" borderId="0" xfId="0" applyNumberFormat="1" applyFont="1" applyFill="1" applyAlignment="1">
      <alignment horizontal="left"/>
    </xf>
    <xf numFmtId="0" fontId="27" fillId="3" borderId="9" xfId="0" applyFont="1" applyFill="1" applyBorder="1"/>
    <xf numFmtId="0" fontId="23" fillId="2" borderId="13" xfId="0" applyFont="1" applyFill="1" applyBorder="1"/>
    <xf numFmtId="0" fontId="23" fillId="2" borderId="8" xfId="0" applyFont="1" applyFill="1" applyBorder="1"/>
    <xf numFmtId="0" fontId="23" fillId="2" borderId="14" xfId="0" applyFont="1" applyFill="1" applyBorder="1"/>
    <xf numFmtId="0" fontId="20" fillId="2" borderId="0" xfId="0" applyFont="1" applyFill="1"/>
    <xf numFmtId="0" fontId="33" fillId="2" borderId="0" xfId="0" applyFont="1" applyFill="1"/>
    <xf numFmtId="0" fontId="20" fillId="4" borderId="0" xfId="0" applyFont="1" applyFill="1"/>
    <xf numFmtId="0" fontId="20" fillId="5" borderId="0" xfId="0" applyFont="1" applyFill="1"/>
    <xf numFmtId="0" fontId="20" fillId="6" borderId="0" xfId="0" applyFont="1" applyFill="1"/>
    <xf numFmtId="0" fontId="20" fillId="7" borderId="0" xfId="0" applyFont="1" applyFill="1"/>
    <xf numFmtId="0" fontId="20" fillId="8" borderId="0" xfId="0" applyFont="1" applyFill="1"/>
    <xf numFmtId="0" fontId="20" fillId="9" borderId="0" xfId="0" applyFont="1" applyFill="1"/>
    <xf numFmtId="0" fontId="20" fillId="10" borderId="0" xfId="0" applyFont="1" applyFill="1"/>
    <xf numFmtId="0" fontId="20" fillId="11" borderId="0" xfId="0" applyFont="1" applyFill="1"/>
    <xf numFmtId="0" fontId="23" fillId="2" borderId="1" xfId="0" applyFont="1" applyFill="1" applyBorder="1"/>
    <xf numFmtId="0" fontId="23" fillId="2" borderId="9" xfId="0" applyFont="1" applyFill="1" applyBorder="1"/>
    <xf numFmtId="0" fontId="34" fillId="12" borderId="17" xfId="0" applyFont="1" applyFill="1" applyBorder="1" applyAlignment="1">
      <alignment horizontal="left" vertical="top" wrapText="1"/>
    </xf>
    <xf numFmtId="0" fontId="34" fillId="12" borderId="2" xfId="0" applyFont="1" applyFill="1" applyBorder="1" applyAlignment="1">
      <alignment horizontal="left" vertical="top" wrapText="1"/>
    </xf>
    <xf numFmtId="0" fontId="34" fillId="12" borderId="13" xfId="0" applyFont="1" applyFill="1" applyBorder="1" applyAlignment="1">
      <alignment horizontal="left" vertical="top" wrapText="1"/>
    </xf>
    <xf numFmtId="0" fontId="34" fillId="12" borderId="7" xfId="0" applyFont="1" applyFill="1" applyBorder="1" applyAlignment="1">
      <alignment horizontal="left" vertical="top" wrapText="1"/>
    </xf>
    <xf numFmtId="0" fontId="34" fillId="12" borderId="0" xfId="0" applyFont="1" applyFill="1" applyAlignment="1">
      <alignment horizontal="left" vertical="top" wrapText="1"/>
    </xf>
    <xf numFmtId="0" fontId="34" fillId="12" borderId="8" xfId="0" applyFont="1" applyFill="1" applyBorder="1" applyAlignment="1">
      <alignment horizontal="left" vertical="top" wrapText="1"/>
    </xf>
    <xf numFmtId="0" fontId="34" fillId="12" borderId="1" xfId="0" applyFont="1" applyFill="1" applyBorder="1" applyAlignment="1">
      <alignment horizontal="left" vertical="top" wrapText="1"/>
    </xf>
    <xf numFmtId="0" fontId="34" fillId="12" borderId="9" xfId="0" applyFont="1" applyFill="1" applyBorder="1" applyAlignment="1">
      <alignment horizontal="left" vertical="top" wrapText="1"/>
    </xf>
    <xf numFmtId="0" fontId="34" fillId="12" borderId="14" xfId="0" applyFont="1" applyFill="1" applyBorder="1" applyAlignment="1">
      <alignment horizontal="left" vertical="top" wrapText="1"/>
    </xf>
    <xf numFmtId="0" fontId="42" fillId="13" borderId="2" xfId="498" applyFont="1" applyFill="1" applyBorder="1" applyAlignment="1" applyProtection="1">
      <alignment horizontal="center" vertical="top" wrapText="1"/>
    </xf>
    <xf numFmtId="0" fontId="42" fillId="13" borderId="2" xfId="0" applyFont="1" applyFill="1" applyBorder="1" applyAlignment="1">
      <alignment horizontal="center" vertical="top" wrapText="1"/>
    </xf>
    <xf numFmtId="0" fontId="55" fillId="2" borderId="0" xfId="0" applyFont="1" applyFill="1" applyAlignment="1">
      <alignment horizontal="center"/>
    </xf>
    <xf numFmtId="0" fontId="53" fillId="12" borderId="0" xfId="0" applyFont="1" applyFill="1"/>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513763</xdr:colOff>
      <xdr:row>68</xdr:row>
      <xdr:rowOff>68089</xdr:rowOff>
    </xdr:from>
    <xdr:to>
      <xdr:col>4</xdr:col>
      <xdr:colOff>1035211</xdr:colOff>
      <xdr:row>72</xdr:row>
      <xdr:rowOff>169689</xdr:rowOff>
    </xdr:to>
    <xdr:sp macro="" textlink="">
      <xdr:nvSpPr>
        <xdr:cNvPr id="14" name="Rounded Rectangle 13">
          <a:extLst>
            <a:ext uri="{FF2B5EF4-FFF2-40B4-BE49-F238E27FC236}">
              <a16:creationId xmlns:a16="http://schemas.microsoft.com/office/drawing/2014/main" id="{235232A2-0E23-B24B-820C-C7DFBB6A26D2}"/>
            </a:ext>
          </a:extLst>
        </xdr:cNvPr>
        <xdr:cNvSpPr/>
      </xdr:nvSpPr>
      <xdr:spPr>
        <a:xfrm>
          <a:off x="3843511" y="14571702"/>
          <a:ext cx="1652708"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Biogenic waste gasification + CCS</a:t>
          </a:r>
        </a:p>
      </xdr:txBody>
    </xdr:sp>
    <xdr:clientData/>
  </xdr:twoCellAnchor>
  <xdr:twoCellAnchor>
    <xdr:from>
      <xdr:col>5</xdr:col>
      <xdr:colOff>657093</xdr:colOff>
      <xdr:row>68</xdr:row>
      <xdr:rowOff>89433</xdr:rowOff>
    </xdr:from>
    <xdr:to>
      <xdr:col>6</xdr:col>
      <xdr:colOff>537883</xdr:colOff>
      <xdr:row>72</xdr:row>
      <xdr:rowOff>191033</xdr:rowOff>
    </xdr:to>
    <xdr:sp macro="" textlink="">
      <xdr:nvSpPr>
        <xdr:cNvPr id="15" name="Rounded Rectangle 14">
          <a:extLst>
            <a:ext uri="{FF2B5EF4-FFF2-40B4-BE49-F238E27FC236}">
              <a16:creationId xmlns:a16="http://schemas.microsoft.com/office/drawing/2014/main" id="{DEE7293B-6918-FE48-A969-D37BBF2B7B76}"/>
            </a:ext>
          </a:extLst>
        </xdr:cNvPr>
        <xdr:cNvSpPr/>
      </xdr:nvSpPr>
      <xdr:spPr>
        <a:xfrm>
          <a:off x="7145832" y="14593046"/>
          <a:ext cx="1545664"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Fischer-Tropsch</a:t>
          </a:r>
        </a:p>
      </xdr:txBody>
    </xdr:sp>
    <xdr:clientData/>
  </xdr:twoCellAnchor>
  <xdr:twoCellAnchor>
    <xdr:from>
      <xdr:col>4</xdr:col>
      <xdr:colOff>1035211</xdr:colOff>
      <xdr:row>70</xdr:row>
      <xdr:rowOff>118889</xdr:rowOff>
    </xdr:from>
    <xdr:to>
      <xdr:col>5</xdr:col>
      <xdr:colOff>657093</xdr:colOff>
      <xdr:row>70</xdr:row>
      <xdr:rowOff>140233</xdr:rowOff>
    </xdr:to>
    <xdr:cxnSp macro="">
      <xdr:nvCxnSpPr>
        <xdr:cNvPr id="16" name="Straight Arrow Connector 15">
          <a:extLst>
            <a:ext uri="{FF2B5EF4-FFF2-40B4-BE49-F238E27FC236}">
              <a16:creationId xmlns:a16="http://schemas.microsoft.com/office/drawing/2014/main" id="{F3A7F6B0-69F2-D544-B4A8-28666532F85D}"/>
            </a:ext>
          </a:extLst>
        </xdr:cNvPr>
        <xdr:cNvCxnSpPr>
          <a:stCxn id="14" idx="3"/>
          <a:endCxn id="15" idx="1"/>
        </xdr:cNvCxnSpPr>
      </xdr:nvCxnSpPr>
      <xdr:spPr>
        <a:xfrm>
          <a:off x="5496219" y="15049393"/>
          <a:ext cx="1649613" cy="21344"/>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537883</xdr:colOff>
      <xdr:row>70</xdr:row>
      <xdr:rowOff>140233</xdr:rowOff>
    </xdr:from>
    <xdr:to>
      <xdr:col>7</xdr:col>
      <xdr:colOff>525183</xdr:colOff>
      <xdr:row>70</xdr:row>
      <xdr:rowOff>140233</xdr:rowOff>
    </xdr:to>
    <xdr:cxnSp macro="">
      <xdr:nvCxnSpPr>
        <xdr:cNvPr id="17" name="Straight Arrow Connector 16">
          <a:extLst>
            <a:ext uri="{FF2B5EF4-FFF2-40B4-BE49-F238E27FC236}">
              <a16:creationId xmlns:a16="http://schemas.microsoft.com/office/drawing/2014/main" id="{D3AC123C-8CA4-C342-AAE9-CB40F368BED6}"/>
            </a:ext>
          </a:extLst>
        </xdr:cNvPr>
        <xdr:cNvCxnSpPr>
          <a:stCxn id="15" idx="3"/>
        </xdr:cNvCxnSpPr>
      </xdr:nvCxnSpPr>
      <xdr:spPr>
        <a:xfrm>
          <a:off x="8691496" y="15070737"/>
          <a:ext cx="80906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1035211</xdr:colOff>
      <xdr:row>70</xdr:row>
      <xdr:rowOff>118889</xdr:rowOff>
    </xdr:from>
    <xdr:to>
      <xdr:col>4</xdr:col>
      <xdr:colOff>1728908</xdr:colOff>
      <xdr:row>72</xdr:row>
      <xdr:rowOff>42689</xdr:rowOff>
    </xdr:to>
    <xdr:cxnSp macro="">
      <xdr:nvCxnSpPr>
        <xdr:cNvPr id="19" name="Straight Arrow Connector 18">
          <a:extLst>
            <a:ext uri="{FF2B5EF4-FFF2-40B4-BE49-F238E27FC236}">
              <a16:creationId xmlns:a16="http://schemas.microsoft.com/office/drawing/2014/main" id="{5DB37ED2-18D2-9F4D-803D-7DD91A31435D}"/>
            </a:ext>
          </a:extLst>
        </xdr:cNvPr>
        <xdr:cNvCxnSpPr>
          <a:stCxn id="14" idx="3"/>
        </xdr:cNvCxnSpPr>
      </xdr:nvCxnSpPr>
      <xdr:spPr>
        <a:xfrm>
          <a:off x="5496219" y="15049393"/>
          <a:ext cx="693697" cy="3506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2379916</xdr:colOff>
      <xdr:row>70</xdr:row>
      <xdr:rowOff>100532</xdr:rowOff>
    </xdr:from>
    <xdr:to>
      <xdr:col>3</xdr:col>
      <xdr:colOff>496154</xdr:colOff>
      <xdr:row>70</xdr:row>
      <xdr:rowOff>106723</xdr:rowOff>
    </xdr:to>
    <xdr:cxnSp macro="">
      <xdr:nvCxnSpPr>
        <xdr:cNvPr id="28" name="Straight Arrow Connector 27">
          <a:extLst>
            <a:ext uri="{FF2B5EF4-FFF2-40B4-BE49-F238E27FC236}">
              <a16:creationId xmlns:a16="http://schemas.microsoft.com/office/drawing/2014/main" id="{87B22F49-F84D-DE4E-A163-55387CF54353}"/>
            </a:ext>
          </a:extLst>
        </xdr:cNvPr>
        <xdr:cNvCxnSpPr/>
      </xdr:nvCxnSpPr>
      <xdr:spPr>
        <a:xfrm flipV="1">
          <a:off x="2913529" y="15031036"/>
          <a:ext cx="912373" cy="61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4" sqref="C4"/>
    </sheetView>
  </sheetViews>
  <sheetFormatPr baseColWidth="10" defaultColWidth="10.83203125" defaultRowHeight="16"/>
  <cols>
    <col min="1" max="1" width="3.5" style="22" customWidth="1"/>
    <col min="2" max="2" width="11.5" style="14" customWidth="1"/>
    <col min="3" max="3" width="38.5" style="14" customWidth="1"/>
    <col min="4" max="16384" width="10.83203125" style="14"/>
  </cols>
  <sheetData>
    <row r="1" spans="1:4" s="20" customFormat="1">
      <c r="A1" s="18"/>
      <c r="B1" s="19"/>
      <c r="C1" s="19"/>
    </row>
    <row r="2" spans="1:4" ht="21">
      <c r="A2" s="1"/>
      <c r="B2" s="21" t="s">
        <v>9</v>
      </c>
      <c r="C2" s="21"/>
    </row>
    <row r="3" spans="1:4">
      <c r="A3" s="1"/>
      <c r="B3" s="5"/>
      <c r="C3" s="5"/>
    </row>
    <row r="4" spans="1:4">
      <c r="A4" s="1"/>
      <c r="B4" s="2" t="s">
        <v>10</v>
      </c>
      <c r="C4" s="19" t="s">
        <v>163</v>
      </c>
      <c r="D4" s="179"/>
    </row>
    <row r="5" spans="1:4">
      <c r="A5" s="1"/>
      <c r="B5" s="3" t="s">
        <v>39</v>
      </c>
      <c r="C5" s="177" t="s">
        <v>157</v>
      </c>
      <c r="D5" s="180"/>
    </row>
    <row r="6" spans="1:4">
      <c r="A6" s="1"/>
      <c r="B6" s="4" t="s">
        <v>12</v>
      </c>
      <c r="C6" s="178" t="s">
        <v>214</v>
      </c>
      <c r="D6" s="181"/>
    </row>
    <row r="7" spans="1:4">
      <c r="A7" s="1"/>
      <c r="B7" s="5"/>
      <c r="C7" s="5"/>
    </row>
    <row r="8" spans="1:4">
      <c r="A8" s="1"/>
      <c r="B8" s="5"/>
      <c r="C8" s="5"/>
    </row>
    <row r="9" spans="1:4">
      <c r="A9" s="1"/>
      <c r="B9" s="44" t="s">
        <v>24</v>
      </c>
      <c r="C9" s="45"/>
      <c r="D9" s="179"/>
    </row>
    <row r="10" spans="1:4">
      <c r="A10" s="1"/>
      <c r="B10" s="46"/>
      <c r="C10" s="182"/>
      <c r="D10" s="180"/>
    </row>
    <row r="11" spans="1:4">
      <c r="A11" s="1"/>
      <c r="B11" s="46" t="s">
        <v>25</v>
      </c>
      <c r="C11" s="183" t="s">
        <v>26</v>
      </c>
      <c r="D11" s="180"/>
    </row>
    <row r="12" spans="1:4" ht="17" thickBot="1">
      <c r="A12" s="1"/>
      <c r="B12" s="46"/>
      <c r="C12" s="6" t="s">
        <v>27</v>
      </c>
      <c r="D12" s="180"/>
    </row>
    <row r="13" spans="1:4" ht="17" thickBot="1">
      <c r="A13" s="1"/>
      <c r="B13" s="46"/>
      <c r="C13" s="47" t="s">
        <v>28</v>
      </c>
      <c r="D13" s="180"/>
    </row>
    <row r="14" spans="1:4">
      <c r="A14" s="1"/>
      <c r="B14" s="46"/>
      <c r="C14" s="182" t="s">
        <v>29</v>
      </c>
      <c r="D14" s="180"/>
    </row>
    <row r="15" spans="1:4">
      <c r="A15" s="1"/>
      <c r="B15" s="46"/>
      <c r="C15" s="182"/>
      <c r="D15" s="180"/>
    </row>
    <row r="16" spans="1:4">
      <c r="A16" s="1"/>
      <c r="B16" s="46" t="s">
        <v>30</v>
      </c>
      <c r="C16" s="184" t="s">
        <v>31</v>
      </c>
      <c r="D16" s="180"/>
    </row>
    <row r="17" spans="1:4">
      <c r="A17" s="1"/>
      <c r="B17" s="46"/>
      <c r="C17" s="185" t="s">
        <v>32</v>
      </c>
      <c r="D17" s="180"/>
    </row>
    <row r="18" spans="1:4">
      <c r="A18" s="1"/>
      <c r="B18" s="46"/>
      <c r="C18" s="186" t="s">
        <v>33</v>
      </c>
      <c r="D18" s="180"/>
    </row>
    <row r="19" spans="1:4">
      <c r="A19" s="1"/>
      <c r="B19" s="46"/>
      <c r="C19" s="187" t="s">
        <v>34</v>
      </c>
      <c r="D19" s="180"/>
    </row>
    <row r="20" spans="1:4">
      <c r="A20" s="1"/>
      <c r="B20" s="48"/>
      <c r="C20" s="188" t="s">
        <v>35</v>
      </c>
      <c r="D20" s="180"/>
    </row>
    <row r="21" spans="1:4">
      <c r="A21" s="1"/>
      <c r="B21" s="48"/>
      <c r="C21" s="189" t="s">
        <v>36</v>
      </c>
      <c r="D21" s="180"/>
    </row>
    <row r="22" spans="1:4">
      <c r="A22" s="1"/>
      <c r="B22" s="48"/>
      <c r="C22" s="190" t="s">
        <v>37</v>
      </c>
      <c r="D22" s="180"/>
    </row>
    <row r="23" spans="1:4">
      <c r="B23" s="48"/>
      <c r="C23" s="191" t="s">
        <v>38</v>
      </c>
      <c r="D23" s="180"/>
    </row>
    <row r="24" spans="1:4">
      <c r="B24" s="192"/>
      <c r="C24" s="193"/>
      <c r="D24" s="181"/>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6"/>
  <sheetViews>
    <sheetView topLeftCell="A16" zoomScaleNormal="100" workbookViewId="0">
      <selection activeCell="I35" sqref="I35"/>
    </sheetView>
  </sheetViews>
  <sheetFormatPr baseColWidth="10" defaultColWidth="10.83203125" defaultRowHeight="16"/>
  <cols>
    <col min="1" max="2" width="3.5" style="24" customWidth="1"/>
    <col min="3" max="3" width="51.5" style="24" customWidth="1"/>
    <col min="4" max="5" width="14.6640625" style="24" customWidth="1"/>
    <col min="6" max="6" width="4.5" style="24" customWidth="1"/>
    <col min="7" max="7" width="49.5" style="24" customWidth="1"/>
    <col min="8" max="8" width="20.83203125" style="24" customWidth="1"/>
    <col min="9" max="9" width="42.5" style="24" customWidth="1"/>
    <col min="10" max="10" width="5.5" style="24" customWidth="1"/>
    <col min="11" max="16384" width="10.83203125" style="24"/>
  </cols>
  <sheetData>
    <row r="2" spans="1:10">
      <c r="B2" s="194" t="s">
        <v>64</v>
      </c>
      <c r="C2" s="195"/>
      <c r="D2" s="195"/>
      <c r="E2" s="196"/>
    </row>
    <row r="3" spans="1:10">
      <c r="B3" s="197"/>
      <c r="C3" s="198"/>
      <c r="D3" s="198"/>
      <c r="E3" s="199"/>
    </row>
    <row r="4" spans="1:10">
      <c r="B4" s="197"/>
      <c r="C4" s="198"/>
      <c r="D4" s="198"/>
      <c r="E4" s="199"/>
    </row>
    <row r="5" spans="1:10">
      <c r="B5" s="200"/>
      <c r="C5" s="201"/>
      <c r="D5" s="201"/>
      <c r="E5" s="202"/>
    </row>
    <row r="7" spans="1:10" ht="17" thickBot="1"/>
    <row r="8" spans="1:10">
      <c r="B8" s="25"/>
      <c r="C8" s="13"/>
      <c r="D8" s="13"/>
      <c r="E8" s="13"/>
      <c r="F8" s="13"/>
      <c r="G8" s="13"/>
      <c r="H8" s="13"/>
      <c r="I8" s="13"/>
      <c r="J8" s="26"/>
    </row>
    <row r="9" spans="1:10" s="6" customFormat="1">
      <c r="B9" s="16"/>
      <c r="C9" s="9" t="s">
        <v>17</v>
      </c>
      <c r="D9" s="10" t="s">
        <v>7</v>
      </c>
      <c r="E9" s="8" t="s">
        <v>3</v>
      </c>
      <c r="F9" s="9"/>
      <c r="G9" s="9" t="s">
        <v>6</v>
      </c>
      <c r="H9" s="9"/>
      <c r="I9" s="9" t="s">
        <v>0</v>
      </c>
      <c r="J9" s="49"/>
    </row>
    <row r="10" spans="1:10" s="6" customFormat="1">
      <c r="B10" s="17"/>
      <c r="D10" s="23"/>
      <c r="J10" s="7"/>
    </row>
    <row r="11" spans="1:10" s="6" customFormat="1" ht="17" thickBot="1">
      <c r="B11" s="17"/>
      <c r="C11" s="6" t="s">
        <v>41</v>
      </c>
      <c r="D11" s="23"/>
      <c r="J11" s="7"/>
    </row>
    <row r="12" spans="1:10" s="80" customFormat="1" ht="16" customHeight="1" thickBot="1">
      <c r="B12" s="81"/>
      <c r="C12" s="76" t="s">
        <v>63</v>
      </c>
      <c r="D12" s="77" t="s">
        <v>73</v>
      </c>
      <c r="E12" s="82">
        <f>ROUND(Notes!D6,3)</f>
        <v>370.70800000000003</v>
      </c>
      <c r="F12" s="76"/>
      <c r="G12" s="83"/>
      <c r="I12" s="153" t="s">
        <v>80</v>
      </c>
      <c r="J12" s="84"/>
    </row>
    <row r="13" spans="1:10" s="80" customFormat="1" ht="16" customHeight="1" thickBot="1">
      <c r="B13" s="81"/>
      <c r="C13" s="146" t="s">
        <v>164</v>
      </c>
      <c r="D13" s="77" t="s">
        <v>2</v>
      </c>
      <c r="E13" s="82">
        <f>ROUND(Notes!D21,5)</f>
        <v>1</v>
      </c>
      <c r="F13" s="76"/>
      <c r="G13" s="83"/>
      <c r="I13" s="153" t="s">
        <v>80</v>
      </c>
      <c r="J13" s="84"/>
    </row>
    <row r="14" spans="1:10" ht="17" thickBot="1">
      <c r="A14" s="55"/>
      <c r="B14" s="56"/>
      <c r="C14" s="143" t="s">
        <v>155</v>
      </c>
      <c r="D14" s="15" t="s">
        <v>2</v>
      </c>
      <c r="E14" s="82">
        <f>ROUND(Notes!D17,5)</f>
        <v>0.15473999999999999</v>
      </c>
      <c r="F14" s="54"/>
      <c r="G14" s="72"/>
      <c r="H14" s="54"/>
      <c r="I14" s="153" t="s">
        <v>80</v>
      </c>
      <c r="J14" s="57"/>
    </row>
    <row r="15" spans="1:10" ht="17" thickBot="1">
      <c r="A15" s="55"/>
      <c r="B15" s="56"/>
      <c r="C15" s="143" t="s">
        <v>154</v>
      </c>
      <c r="D15" s="15" t="s">
        <v>2</v>
      </c>
      <c r="E15" s="82">
        <f>ROUND(Notes!D18,5)</f>
        <v>0.10505</v>
      </c>
      <c r="F15" s="54"/>
      <c r="G15" s="72"/>
      <c r="H15" s="54"/>
      <c r="I15" s="153" t="s">
        <v>80</v>
      </c>
      <c r="J15" s="57"/>
    </row>
    <row r="16" spans="1:10" ht="17" thickBot="1">
      <c r="A16" s="55"/>
      <c r="B16" s="56"/>
      <c r="C16" s="143" t="s">
        <v>153</v>
      </c>
      <c r="D16" s="15" t="s">
        <v>2</v>
      </c>
      <c r="E16" s="82">
        <f>ROUND(Notes!D19,5)</f>
        <v>0.14484</v>
      </c>
      <c r="F16" s="54"/>
      <c r="G16" s="72"/>
      <c r="H16" s="54"/>
      <c r="I16" s="153" t="s">
        <v>80</v>
      </c>
      <c r="J16" s="57"/>
    </row>
    <row r="17" spans="1:10" s="74" customFormat="1" ht="16" customHeight="1" thickBot="1">
      <c r="B17" s="75"/>
      <c r="C17" s="76" t="s">
        <v>55</v>
      </c>
      <c r="D17" s="77" t="s">
        <v>143</v>
      </c>
      <c r="E17" s="82">
        <f>Notes!D7</f>
        <v>8000</v>
      </c>
      <c r="F17" s="76"/>
      <c r="G17" s="76"/>
      <c r="I17" s="153" t="s">
        <v>80</v>
      </c>
      <c r="J17" s="78"/>
    </row>
    <row r="18" spans="1:10" s="74" customFormat="1" ht="16" customHeight="1" thickBot="1">
      <c r="B18" s="75"/>
      <c r="C18" s="142" t="s">
        <v>161</v>
      </c>
      <c r="D18" s="77" t="s">
        <v>2</v>
      </c>
      <c r="E18" s="82">
        <f>ROUND(Notes!D10,3)</f>
        <v>0.96199999999999997</v>
      </c>
      <c r="F18" s="76"/>
      <c r="G18" s="76"/>
      <c r="J18" s="78"/>
    </row>
    <row r="19" spans="1:10">
      <c r="B19" s="28"/>
      <c r="J19" s="50"/>
    </row>
    <row r="20" spans="1:10" ht="17" thickBot="1">
      <c r="B20" s="28"/>
      <c r="C20" s="6" t="s">
        <v>40</v>
      </c>
      <c r="J20" s="50"/>
    </row>
    <row r="21" spans="1:10" ht="17" thickBot="1">
      <c r="B21" s="28"/>
      <c r="C21" s="27" t="s">
        <v>20</v>
      </c>
      <c r="D21" s="15" t="s">
        <v>18</v>
      </c>
      <c r="E21" s="79">
        <f>ROUND(Notes!D12,0)</f>
        <v>584415584</v>
      </c>
      <c r="F21" s="27"/>
      <c r="G21" s="27" t="s">
        <v>5</v>
      </c>
      <c r="H21" s="27"/>
      <c r="I21" s="153" t="s">
        <v>80</v>
      </c>
      <c r="J21" s="50"/>
    </row>
    <row r="22" spans="1:10" ht="17" thickBot="1">
      <c r="B22" s="28"/>
      <c r="C22" s="140" t="s">
        <v>159</v>
      </c>
      <c r="D22" s="15" t="s">
        <v>18</v>
      </c>
      <c r="E22" s="79">
        <f>ROUND(Notes!D24,0)</f>
        <v>67820558</v>
      </c>
      <c r="F22" s="27"/>
      <c r="G22" s="27"/>
      <c r="H22" s="27"/>
      <c r="I22" s="73" t="s">
        <v>160</v>
      </c>
      <c r="J22" s="50"/>
    </row>
    <row r="23" spans="1:10" ht="15" customHeight="1" thickBot="1">
      <c r="B23" s="28"/>
      <c r="C23" s="27" t="s">
        <v>21</v>
      </c>
      <c r="D23" s="15" t="s">
        <v>43</v>
      </c>
      <c r="E23" s="79">
        <f>ROUND(Notes!D13,0)</f>
        <v>15584416</v>
      </c>
      <c r="F23" s="27"/>
      <c r="G23" s="70" t="s">
        <v>61</v>
      </c>
      <c r="H23" s="27"/>
      <c r="I23" s="153" t="s">
        <v>80</v>
      </c>
      <c r="J23" s="50"/>
    </row>
    <row r="24" spans="1:10" ht="17" thickBot="1">
      <c r="B24" s="64"/>
      <c r="C24" s="69" t="s">
        <v>57</v>
      </c>
      <c r="D24" s="66" t="s">
        <v>53</v>
      </c>
      <c r="E24" s="79">
        <f>ROUND(Notes!D14,2)</f>
        <v>162.34</v>
      </c>
      <c r="F24" s="67"/>
      <c r="G24" s="65" t="s">
        <v>54</v>
      </c>
      <c r="H24" s="67"/>
      <c r="I24" s="153" t="s">
        <v>80</v>
      </c>
      <c r="J24" s="68"/>
    </row>
    <row r="25" spans="1:10" ht="17" thickBot="1">
      <c r="B25" s="64"/>
      <c r="C25" s="69" t="s">
        <v>58</v>
      </c>
      <c r="D25" s="66" t="s">
        <v>53</v>
      </c>
      <c r="E25" s="79">
        <f>Notes!D25</f>
        <v>0</v>
      </c>
      <c r="F25" s="67"/>
      <c r="G25" s="65"/>
      <c r="H25" s="67"/>
      <c r="I25" s="73" t="s">
        <v>160</v>
      </c>
      <c r="J25" s="68"/>
    </row>
    <row r="26" spans="1:10" ht="17" thickBot="1">
      <c r="B26" s="64"/>
      <c r="C26" s="69" t="s">
        <v>56</v>
      </c>
      <c r="D26" s="15" t="s">
        <v>18</v>
      </c>
      <c r="E26" s="79">
        <v>0</v>
      </c>
      <c r="F26" s="67"/>
      <c r="G26" s="69" t="s">
        <v>59</v>
      </c>
      <c r="H26" s="67"/>
      <c r="I26" s="156" t="s">
        <v>183</v>
      </c>
      <c r="J26" s="68"/>
    </row>
    <row r="27" spans="1:10" ht="17" thickBot="1">
      <c r="B27" s="64"/>
      <c r="C27" s="71" t="s">
        <v>62</v>
      </c>
      <c r="D27" s="15" t="s">
        <v>18</v>
      </c>
      <c r="E27" s="29">
        <v>0</v>
      </c>
      <c r="F27" s="67"/>
      <c r="G27" s="69" t="s">
        <v>60</v>
      </c>
      <c r="H27" s="67"/>
      <c r="I27" s="156" t="s">
        <v>183</v>
      </c>
      <c r="J27" s="68"/>
    </row>
    <row r="28" spans="1:10" ht="17" thickBot="1">
      <c r="A28" s="55"/>
      <c r="B28" s="56"/>
      <c r="C28" s="54" t="s">
        <v>45</v>
      </c>
      <c r="D28" s="15" t="s">
        <v>46</v>
      </c>
      <c r="E28" s="89">
        <v>7.0000000000000007E-2</v>
      </c>
      <c r="F28" s="54"/>
      <c r="G28" s="54" t="s">
        <v>47</v>
      </c>
      <c r="H28" s="54"/>
      <c r="I28" s="139" t="s">
        <v>156</v>
      </c>
      <c r="J28" s="57"/>
    </row>
    <row r="29" spans="1:10" ht="17" thickBot="1">
      <c r="A29" s="55"/>
      <c r="B29" s="56"/>
      <c r="C29" s="54" t="s">
        <v>48</v>
      </c>
      <c r="D29" s="15" t="s">
        <v>49</v>
      </c>
      <c r="E29" s="58">
        <v>1</v>
      </c>
      <c r="F29" s="54"/>
      <c r="G29" s="54"/>
      <c r="H29" s="54"/>
      <c r="I29" s="154" t="s">
        <v>181</v>
      </c>
      <c r="J29" s="57"/>
    </row>
    <row r="30" spans="1:10">
      <c r="A30" s="55"/>
      <c r="B30" s="56"/>
      <c r="C30" s="54"/>
      <c r="D30" s="15"/>
      <c r="E30" s="59"/>
      <c r="F30" s="54"/>
      <c r="G30" s="54"/>
      <c r="H30" s="54"/>
      <c r="I30" s="55"/>
      <c r="J30" s="57"/>
    </row>
    <row r="31" spans="1:10" ht="17" thickBot="1">
      <c r="A31" s="55"/>
      <c r="B31" s="56"/>
      <c r="C31" s="6" t="s">
        <v>4</v>
      </c>
      <c r="D31" s="51"/>
      <c r="E31" s="59"/>
      <c r="F31" s="55"/>
      <c r="H31" s="55"/>
      <c r="I31" s="55"/>
      <c r="J31" s="57"/>
    </row>
    <row r="32" spans="1:10" ht="17" thickBot="1">
      <c r="A32" s="55"/>
      <c r="B32" s="56"/>
      <c r="C32" s="54" t="s">
        <v>22</v>
      </c>
      <c r="D32" s="15" t="s">
        <v>1</v>
      </c>
      <c r="E32" s="58">
        <f>Notes!D8</f>
        <v>25</v>
      </c>
      <c r="F32" s="54"/>
      <c r="G32" s="54" t="s">
        <v>52</v>
      </c>
      <c r="H32" s="54"/>
      <c r="I32" s="153" t="s">
        <v>80</v>
      </c>
      <c r="J32" s="57"/>
    </row>
    <row r="33" spans="1:10" ht="17" thickBot="1">
      <c r="A33" s="55"/>
      <c r="B33" s="56"/>
      <c r="C33" s="54" t="s">
        <v>50</v>
      </c>
      <c r="D33" s="15" t="s">
        <v>1</v>
      </c>
      <c r="E33" s="58">
        <f>Notes!D9</f>
        <v>2</v>
      </c>
      <c r="F33" s="54"/>
      <c r="G33" s="54" t="s">
        <v>51</v>
      </c>
      <c r="H33" s="54"/>
      <c r="I33" s="153" t="s">
        <v>80</v>
      </c>
      <c r="J33" s="57"/>
    </row>
    <row r="34" spans="1:10" ht="17" thickBot="1">
      <c r="A34" s="55"/>
      <c r="B34" s="56"/>
      <c r="C34" s="54" t="s">
        <v>19</v>
      </c>
      <c r="D34" s="15" t="s">
        <v>2</v>
      </c>
      <c r="E34" s="58">
        <f>Notes!D94</f>
        <v>0.63278100000000004</v>
      </c>
      <c r="F34" s="54"/>
      <c r="G34" s="152"/>
      <c r="H34" s="54"/>
      <c r="I34" s="73" t="s">
        <v>210</v>
      </c>
      <c r="J34" s="57"/>
    </row>
    <row r="35" spans="1:10" ht="17" thickBot="1">
      <c r="A35" s="55"/>
      <c r="B35" s="56"/>
      <c r="C35" s="155" t="s">
        <v>182</v>
      </c>
      <c r="D35" s="15" t="s">
        <v>2</v>
      </c>
      <c r="E35" s="58">
        <f>Notes!D95</f>
        <v>0.9</v>
      </c>
      <c r="F35" s="54"/>
      <c r="G35" s="152"/>
      <c r="H35" s="54"/>
      <c r="I35" s="73" t="s">
        <v>216</v>
      </c>
      <c r="J35" s="57"/>
    </row>
    <row r="36" spans="1:10" ht="17" thickBot="1">
      <c r="A36" s="55"/>
      <c r="B36" s="60"/>
      <c r="C36" s="61"/>
      <c r="D36" s="61"/>
      <c r="E36" s="61"/>
      <c r="F36" s="61"/>
      <c r="G36" s="61"/>
      <c r="H36" s="61"/>
      <c r="I36" s="61"/>
      <c r="J36" s="62"/>
    </row>
    <row r="37" spans="1:10">
      <c r="A37" s="55"/>
      <c r="B37" s="55"/>
      <c r="C37" s="55"/>
      <c r="D37" s="55"/>
      <c r="E37" s="55"/>
      <c r="F37" s="55"/>
      <c r="G37" s="55"/>
      <c r="H37" s="55"/>
      <c r="I37" s="55"/>
      <c r="J37" s="55"/>
    </row>
    <row r="38" spans="1:10">
      <c r="A38" s="55"/>
      <c r="B38" s="55"/>
      <c r="C38" s="55"/>
      <c r="D38" s="55"/>
      <c r="E38" s="55"/>
      <c r="F38" s="55"/>
      <c r="G38" s="55"/>
      <c r="H38" s="55"/>
      <c r="I38" s="55"/>
      <c r="J38" s="55"/>
    </row>
    <row r="39" spans="1:10">
      <c r="A39" s="55"/>
      <c r="B39" s="55"/>
      <c r="C39" s="55"/>
      <c r="D39" s="55"/>
      <c r="E39" s="55"/>
      <c r="F39" s="55"/>
      <c r="G39" s="55"/>
      <c r="H39" s="55"/>
      <c r="I39" s="55"/>
      <c r="J39" s="55"/>
    </row>
    <row r="40" spans="1:10">
      <c r="A40" s="55"/>
      <c r="B40" s="55"/>
      <c r="E40" s="55"/>
      <c r="F40" s="55"/>
      <c r="G40" s="55"/>
      <c r="H40" s="55"/>
      <c r="I40" s="55"/>
      <c r="J40" s="55"/>
    </row>
    <row r="41" spans="1:10">
      <c r="A41" s="55"/>
      <c r="B41" s="55"/>
      <c r="C41" s="55"/>
      <c r="D41" s="55"/>
      <c r="E41" s="55"/>
      <c r="F41" s="55"/>
      <c r="G41" s="55"/>
      <c r="H41" s="55"/>
      <c r="I41" s="55"/>
      <c r="J41" s="55"/>
    </row>
    <row r="42" spans="1:10">
      <c r="A42" s="55"/>
      <c r="B42" s="55"/>
      <c r="C42" s="55"/>
      <c r="D42" s="55"/>
      <c r="E42" s="55"/>
      <c r="F42" s="55"/>
      <c r="G42" s="55"/>
      <c r="H42" s="55"/>
      <c r="I42" s="55"/>
      <c r="J42" s="55"/>
    </row>
    <row r="43" spans="1:10">
      <c r="A43" s="55"/>
      <c r="B43" s="55"/>
      <c r="C43" s="55"/>
      <c r="D43" s="55"/>
      <c r="E43" s="55"/>
      <c r="F43" s="55"/>
      <c r="G43" s="55"/>
      <c r="H43" s="55"/>
      <c r="I43" s="55"/>
      <c r="J43" s="55"/>
    </row>
    <row r="44" spans="1:10">
      <c r="A44" s="55"/>
      <c r="B44" s="55"/>
      <c r="C44" s="55"/>
      <c r="D44" s="55"/>
      <c r="E44" s="55"/>
      <c r="F44" s="55"/>
      <c r="G44" s="55"/>
      <c r="H44" s="55"/>
      <c r="I44" s="55"/>
      <c r="J44" s="55"/>
    </row>
    <row r="45" spans="1:10">
      <c r="A45" s="55"/>
    </row>
    <row r="46" spans="1:10">
      <c r="A46" s="55"/>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4"/>
  <sheetViews>
    <sheetView zoomScale="125" workbookViewId="0">
      <selection activeCell="B7" sqref="B7"/>
    </sheetView>
  </sheetViews>
  <sheetFormatPr baseColWidth="10" defaultColWidth="33.1640625" defaultRowHeight="16"/>
  <cols>
    <col min="1" max="1" width="3.5" style="30" customWidth="1"/>
    <col min="2" max="2" width="37.33203125" style="30" customWidth="1"/>
    <col min="3" max="3" width="24.5" style="30" customWidth="1"/>
    <col min="4" max="4" width="32.83203125" style="30" customWidth="1"/>
    <col min="5" max="5" width="6.1640625" style="30" customWidth="1"/>
    <col min="6" max="6" width="16.33203125" style="30" customWidth="1"/>
    <col min="7" max="7" width="78" style="30" customWidth="1"/>
    <col min="8" max="8" width="12.5" style="34" customWidth="1"/>
    <col min="9" max="9" width="31.5" style="34" customWidth="1"/>
    <col min="10" max="10" width="98.5" style="30" customWidth="1"/>
    <col min="11" max="16384" width="33.1640625" style="30"/>
  </cols>
  <sheetData>
    <row r="1" spans="2:10" ht="17" thickBot="1"/>
    <row r="2" spans="2:10">
      <c r="B2" s="31"/>
      <c r="C2" s="32"/>
      <c r="D2" s="32"/>
      <c r="E2" s="32"/>
      <c r="F2" s="32"/>
      <c r="G2" s="32"/>
      <c r="H2" s="35"/>
      <c r="I2" s="35"/>
      <c r="J2" s="32"/>
    </row>
    <row r="3" spans="2:10">
      <c r="B3" s="33"/>
      <c r="C3" s="6" t="s">
        <v>13</v>
      </c>
      <c r="D3" s="6"/>
      <c r="E3" s="6"/>
      <c r="F3" s="6"/>
      <c r="G3" s="6"/>
      <c r="H3" s="11"/>
      <c r="I3" s="11"/>
    </row>
    <row r="4" spans="2:10">
      <c r="B4" s="33"/>
    </row>
    <row r="5" spans="2:10">
      <c r="B5" s="36"/>
      <c r="C5" s="8" t="s">
        <v>14</v>
      </c>
      <c r="D5" s="8" t="s">
        <v>0</v>
      </c>
      <c r="E5" s="8" t="s">
        <v>11</v>
      </c>
      <c r="F5" s="8" t="s">
        <v>15</v>
      </c>
      <c r="G5" s="8" t="s">
        <v>67</v>
      </c>
      <c r="H5" s="12" t="s">
        <v>16</v>
      </c>
      <c r="I5" s="12" t="s">
        <v>42</v>
      </c>
      <c r="J5" s="8" t="s">
        <v>8</v>
      </c>
    </row>
    <row r="7" spans="2:10">
      <c r="B7" s="92" t="s">
        <v>149</v>
      </c>
      <c r="C7" s="92" t="s">
        <v>76</v>
      </c>
      <c r="D7" s="92" t="s">
        <v>80</v>
      </c>
      <c r="E7" s="92" t="s">
        <v>69</v>
      </c>
      <c r="F7" s="30">
        <v>2025</v>
      </c>
      <c r="G7" s="92" t="s">
        <v>81</v>
      </c>
      <c r="H7" s="90">
        <v>45887</v>
      </c>
      <c r="I7" s="94" t="s">
        <v>82</v>
      </c>
    </row>
    <row r="8" spans="2:10">
      <c r="C8" s="92" t="s">
        <v>76</v>
      </c>
      <c r="D8" s="92" t="s">
        <v>80</v>
      </c>
      <c r="E8" s="92" t="s">
        <v>69</v>
      </c>
      <c r="F8" s="30">
        <v>2025</v>
      </c>
      <c r="G8" s="92" t="s">
        <v>83</v>
      </c>
      <c r="H8" s="90">
        <v>45887</v>
      </c>
      <c r="I8" s="94" t="s">
        <v>84</v>
      </c>
    </row>
    <row r="10" spans="2:10">
      <c r="B10" s="145"/>
      <c r="C10" s="145"/>
      <c r="D10" s="141"/>
      <c r="G10" s="141"/>
      <c r="H10" s="90"/>
      <c r="J10" s="93"/>
    </row>
    <row r="12" spans="2:10">
      <c r="C12" s="145"/>
      <c r="D12" s="145"/>
      <c r="G12" s="145"/>
      <c r="H12" s="90"/>
      <c r="J12" s="93"/>
    </row>
    <row r="14" spans="2:10">
      <c r="B14" s="149"/>
      <c r="C14" s="149"/>
      <c r="D14" s="149"/>
      <c r="E14" s="149"/>
      <c r="F14" s="149"/>
      <c r="G14" s="149"/>
      <c r="H14" s="150"/>
      <c r="I14" s="151"/>
      <c r="J14" s="93"/>
    </row>
  </sheetData>
  <phoneticPr fontId="35" type="noConversion"/>
  <hyperlinks>
    <hyperlink ref="I7" r:id="rId1" xr:uid="{FA8C3BBC-A8FF-6D40-80B4-3BA63BE6F28C}"/>
    <hyperlink ref="I8" r:id="rId2" xr:uid="{11A83299-D918-9A46-B33A-E5DE288689BA}"/>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W106"/>
  <sheetViews>
    <sheetView tabSelected="1" topLeftCell="A70" zoomScaleNormal="100" workbookViewId="0">
      <selection activeCell="D95" sqref="D95"/>
    </sheetView>
  </sheetViews>
  <sheetFormatPr baseColWidth="10" defaultColWidth="10.83203125" defaultRowHeight="16"/>
  <cols>
    <col min="1" max="2" width="3.5" style="37" customWidth="1"/>
    <col min="3" max="3" width="36.6640625" style="37" customWidth="1"/>
    <col min="4" max="4" width="14.83203125" style="37" customWidth="1"/>
    <col min="5" max="5" width="26.6640625" style="37" customWidth="1"/>
    <col min="6" max="6" width="21.83203125" style="37" bestFit="1" customWidth="1"/>
    <col min="7" max="11" width="10.83203125" style="37"/>
    <col min="12" max="12" width="25.1640625" style="37" customWidth="1"/>
    <col min="13" max="13" width="10.83203125" style="37"/>
    <col min="14" max="14" width="28.1640625" style="37" customWidth="1"/>
    <col min="15" max="15" width="10.83203125" style="37"/>
    <col min="16" max="16" width="12.1640625" style="37" customWidth="1"/>
    <col min="17" max="16384" width="10.83203125" style="37"/>
  </cols>
  <sheetData>
    <row r="1" spans="1:23" ht="17" thickBot="1"/>
    <row r="2" spans="1:23">
      <c r="B2" s="38"/>
      <c r="C2" s="39"/>
      <c r="D2" s="39"/>
      <c r="E2" s="39"/>
      <c r="F2" s="39"/>
      <c r="G2" s="39"/>
      <c r="H2" s="39"/>
      <c r="I2" s="39"/>
      <c r="J2" s="39"/>
      <c r="K2" s="39"/>
      <c r="L2" s="39"/>
      <c r="M2" s="39"/>
      <c r="N2" s="40"/>
    </row>
    <row r="3" spans="1:23" ht="17" customHeight="1">
      <c r="A3" s="41"/>
      <c r="B3" s="52"/>
      <c r="C3" s="43" t="s">
        <v>0</v>
      </c>
      <c r="D3" s="43" t="s">
        <v>44</v>
      </c>
      <c r="E3" s="43" t="s">
        <v>23</v>
      </c>
      <c r="F3" s="43"/>
      <c r="G3" s="43"/>
      <c r="H3" s="42"/>
      <c r="I3" s="42"/>
      <c r="J3" s="42"/>
      <c r="K3" s="42"/>
      <c r="L3" s="42"/>
      <c r="M3" s="42"/>
      <c r="N3" s="53"/>
    </row>
    <row r="4" spans="1:23" ht="17" customHeight="1">
      <c r="A4" s="41"/>
      <c r="B4" s="85"/>
      <c r="C4" s="41"/>
      <c r="D4" s="41"/>
      <c r="E4" s="41"/>
      <c r="F4" s="41"/>
      <c r="G4" s="41"/>
    </row>
    <row r="5" spans="1:23" ht="17" customHeight="1">
      <c r="A5" s="41"/>
      <c r="B5" s="85"/>
      <c r="C5" s="41" t="s">
        <v>145</v>
      </c>
      <c r="D5" s="41"/>
      <c r="E5" s="41"/>
      <c r="F5" s="41"/>
      <c r="G5" s="41"/>
      <c r="K5" s="37" t="s">
        <v>173</v>
      </c>
    </row>
    <row r="6" spans="1:23" ht="17" customHeight="1">
      <c r="A6" s="41"/>
      <c r="B6" s="85"/>
      <c r="C6" s="37" t="s">
        <v>152</v>
      </c>
      <c r="D6" s="86">
        <f>D43/(1-E34)</f>
        <v>370.70759625390218</v>
      </c>
      <c r="E6" s="37" t="s">
        <v>73</v>
      </c>
      <c r="F6" s="91"/>
      <c r="G6" s="41"/>
    </row>
    <row r="7" spans="1:23" ht="17" customHeight="1">
      <c r="A7" s="41"/>
      <c r="B7" s="85"/>
      <c r="C7" s="37" t="s">
        <v>71</v>
      </c>
      <c r="D7" s="63">
        <f>D44</f>
        <v>8000</v>
      </c>
      <c r="E7" s="37" t="s">
        <v>74</v>
      </c>
      <c r="F7" s="91"/>
      <c r="G7" s="41"/>
      <c r="K7" s="95"/>
      <c r="L7" s="96"/>
      <c r="M7" s="203"/>
      <c r="N7" s="204"/>
      <c r="O7" s="204"/>
      <c r="P7" s="204"/>
      <c r="Q7" s="204"/>
      <c r="R7" s="204"/>
      <c r="S7" s="204"/>
      <c r="T7" s="204"/>
      <c r="U7" s="204"/>
      <c r="V7" s="204"/>
      <c r="W7" s="204"/>
    </row>
    <row r="8" spans="1:23" ht="17" customHeight="1">
      <c r="A8" s="41"/>
      <c r="B8" s="85"/>
      <c r="C8" s="37" t="s">
        <v>72</v>
      </c>
      <c r="D8" s="63">
        <f>D45</f>
        <v>25</v>
      </c>
      <c r="E8" s="37" t="s">
        <v>139</v>
      </c>
      <c r="F8" s="91"/>
      <c r="G8" s="41"/>
      <c r="K8" s="97" t="s">
        <v>85</v>
      </c>
      <c r="L8" s="97"/>
      <c r="M8" s="98">
        <v>2015</v>
      </c>
      <c r="N8" s="98">
        <v>2020</v>
      </c>
      <c r="O8" s="99">
        <v>2030</v>
      </c>
      <c r="P8" s="98">
        <v>2040</v>
      </c>
      <c r="Q8" s="98">
        <v>2050</v>
      </c>
      <c r="R8" s="100">
        <v>2020</v>
      </c>
      <c r="S8" s="100">
        <v>2020</v>
      </c>
      <c r="T8" s="100">
        <v>2050</v>
      </c>
      <c r="U8" s="100">
        <v>2050</v>
      </c>
      <c r="V8" s="101" t="s">
        <v>86</v>
      </c>
      <c r="W8" s="101" t="s">
        <v>87</v>
      </c>
    </row>
    <row r="9" spans="1:23" ht="17" customHeight="1" thickBot="1">
      <c r="A9" s="41"/>
      <c r="B9" s="85"/>
      <c r="C9" s="37" t="s">
        <v>146</v>
      </c>
      <c r="D9" s="63">
        <f>D46</f>
        <v>2</v>
      </c>
      <c r="E9" s="37" t="s">
        <v>139</v>
      </c>
      <c r="F9" s="91"/>
      <c r="G9" s="41"/>
      <c r="K9" s="102" t="s">
        <v>88</v>
      </c>
      <c r="L9" s="103"/>
      <c r="M9" s="104" t="s">
        <v>89</v>
      </c>
      <c r="N9" s="105" t="s">
        <v>89</v>
      </c>
      <c r="O9" s="104" t="s">
        <v>89</v>
      </c>
      <c r="P9" s="104" t="s">
        <v>89</v>
      </c>
      <c r="Q9" s="106" t="s">
        <v>89</v>
      </c>
      <c r="R9" s="104" t="s">
        <v>90</v>
      </c>
      <c r="S9" s="104" t="s">
        <v>91</v>
      </c>
      <c r="T9" s="104" t="s">
        <v>90</v>
      </c>
      <c r="U9" s="104" t="s">
        <v>91</v>
      </c>
      <c r="V9" s="107" t="s">
        <v>2</v>
      </c>
      <c r="W9" s="107" t="s">
        <v>2</v>
      </c>
    </row>
    <row r="10" spans="1:23" ht="17" customHeight="1">
      <c r="A10" s="41"/>
      <c r="B10" s="85"/>
      <c r="C10" s="37" t="s">
        <v>161</v>
      </c>
      <c r="D10" s="148">
        <f>1-(N21/52)</f>
        <v>0.96153846153846156</v>
      </c>
      <c r="F10" s="91"/>
      <c r="G10" s="41"/>
      <c r="K10" s="111" t="s">
        <v>92</v>
      </c>
      <c r="L10" s="112"/>
      <c r="M10" s="109"/>
      <c r="N10" s="109"/>
      <c r="O10" s="108"/>
      <c r="P10" s="109"/>
      <c r="Q10" s="109"/>
      <c r="R10" s="109"/>
      <c r="S10" s="109"/>
      <c r="T10" s="109"/>
      <c r="U10" s="109"/>
      <c r="V10" s="110"/>
      <c r="W10" s="110"/>
    </row>
    <row r="11" spans="1:23" ht="17" customHeight="1">
      <c r="A11" s="41"/>
      <c r="B11" s="85"/>
      <c r="F11" s="41"/>
      <c r="G11" s="41"/>
      <c r="K11" s="111"/>
      <c r="L11" s="113" t="s">
        <v>93</v>
      </c>
      <c r="M11" s="109">
        <v>50</v>
      </c>
      <c r="N11" s="109">
        <v>50</v>
      </c>
      <c r="O11" s="108">
        <v>100</v>
      </c>
      <c r="P11" s="109">
        <v>125</v>
      </c>
      <c r="Q11" s="109">
        <v>150</v>
      </c>
      <c r="R11" s="114">
        <v>1</v>
      </c>
      <c r="S11" s="114">
        <v>1.5</v>
      </c>
      <c r="T11" s="114">
        <v>0.5</v>
      </c>
      <c r="U11" s="114">
        <v>1.5</v>
      </c>
      <c r="V11" s="110" t="s">
        <v>94</v>
      </c>
      <c r="W11" s="110" t="s">
        <v>95</v>
      </c>
    </row>
    <row r="12" spans="1:23" ht="17" customHeight="1">
      <c r="A12" s="41"/>
      <c r="B12" s="85"/>
      <c r="C12" s="37" t="s">
        <v>68</v>
      </c>
      <c r="D12" s="136">
        <f>D49</f>
        <v>584415584.41558433</v>
      </c>
      <c r="E12" s="37" t="s">
        <v>18</v>
      </c>
      <c r="F12" s="41"/>
      <c r="G12" s="41"/>
      <c r="K12" s="111"/>
      <c r="L12" s="113" t="s">
        <v>96</v>
      </c>
      <c r="M12" s="109">
        <v>75</v>
      </c>
      <c r="N12" s="109">
        <v>75</v>
      </c>
      <c r="O12" s="108">
        <v>150</v>
      </c>
      <c r="P12" s="109">
        <v>190</v>
      </c>
      <c r="Q12" s="109">
        <v>225</v>
      </c>
      <c r="R12" s="114">
        <v>1</v>
      </c>
      <c r="S12" s="114">
        <v>1.5</v>
      </c>
      <c r="T12" s="114">
        <v>0.5</v>
      </c>
      <c r="U12" s="114">
        <v>1.5</v>
      </c>
      <c r="V12" s="110" t="s">
        <v>97</v>
      </c>
      <c r="W12" s="110" t="s">
        <v>95</v>
      </c>
    </row>
    <row r="13" spans="1:23" ht="17" customHeight="1">
      <c r="A13" s="41"/>
      <c r="B13" s="85"/>
      <c r="C13" s="37" t="s">
        <v>140</v>
      </c>
      <c r="D13" s="138">
        <f>D50</f>
        <v>15584415.584415585</v>
      </c>
      <c r="E13" s="37" t="s">
        <v>147</v>
      </c>
      <c r="F13" s="41"/>
      <c r="G13" s="41"/>
      <c r="K13" s="111"/>
      <c r="L13" s="112" t="s">
        <v>79</v>
      </c>
      <c r="M13" s="109"/>
      <c r="N13" s="109"/>
      <c r="O13" s="108"/>
      <c r="P13" s="109"/>
      <c r="Q13" s="109"/>
      <c r="R13" s="109"/>
      <c r="S13" s="109"/>
      <c r="T13" s="109"/>
      <c r="U13" s="109"/>
      <c r="V13" s="110"/>
      <c r="W13" s="110"/>
    </row>
    <row r="14" spans="1:23" ht="17" customHeight="1">
      <c r="A14" s="41"/>
      <c r="B14" s="85"/>
      <c r="C14" s="37" t="s">
        <v>141</v>
      </c>
      <c r="D14" s="86">
        <f>D52</f>
        <v>162.33766233766232</v>
      </c>
      <c r="E14" s="37" t="s">
        <v>53</v>
      </c>
      <c r="F14" s="41"/>
      <c r="G14" s="41"/>
      <c r="K14" s="111"/>
      <c r="L14" s="115" t="s">
        <v>98</v>
      </c>
      <c r="M14" s="116">
        <v>1</v>
      </c>
      <c r="N14" s="116">
        <v>1</v>
      </c>
      <c r="O14" s="117">
        <v>1</v>
      </c>
      <c r="P14" s="116">
        <v>1</v>
      </c>
      <c r="Q14" s="116">
        <v>1</v>
      </c>
      <c r="R14" s="118">
        <v>0.8</v>
      </c>
      <c r="S14" s="118">
        <v>1</v>
      </c>
      <c r="T14" s="118">
        <v>0.8</v>
      </c>
      <c r="U14" s="118">
        <v>1</v>
      </c>
      <c r="V14" s="110" t="s">
        <v>99</v>
      </c>
      <c r="W14" s="110">
        <v>1</v>
      </c>
    </row>
    <row r="15" spans="1:23" ht="17" customHeight="1">
      <c r="A15" s="41"/>
      <c r="B15" s="87"/>
      <c r="D15" s="88"/>
      <c r="G15" s="41"/>
      <c r="K15" s="111"/>
      <c r="L15" s="112" t="s">
        <v>78</v>
      </c>
      <c r="M15" s="109"/>
      <c r="N15" s="109"/>
      <c r="O15" s="108"/>
      <c r="P15" s="109"/>
      <c r="Q15" s="109"/>
      <c r="R15" s="118"/>
      <c r="S15" s="118"/>
      <c r="T15" s="118"/>
      <c r="U15" s="118"/>
      <c r="V15" s="110"/>
      <c r="W15" s="110"/>
    </row>
    <row r="16" spans="1:23" ht="17" customHeight="1">
      <c r="A16" s="41"/>
      <c r="B16" s="85"/>
      <c r="C16" s="41" t="s">
        <v>148</v>
      </c>
      <c r="D16" s="86"/>
      <c r="G16" s="41"/>
      <c r="K16" s="111"/>
      <c r="L16" s="113" t="s">
        <v>100</v>
      </c>
      <c r="M16" s="119">
        <v>0.1376</v>
      </c>
      <c r="N16" s="119">
        <v>0.1376</v>
      </c>
      <c r="O16" s="120">
        <f>N16*0.4/0.38</f>
        <v>0.14484210526315791</v>
      </c>
      <c r="P16" s="119">
        <f>(O16+Q16)/2</f>
        <v>0.15389473684210528</v>
      </c>
      <c r="Q16" s="119">
        <f>N16*0.45/0.38</f>
        <v>0.16294736842105265</v>
      </c>
      <c r="R16" s="118">
        <v>0.8</v>
      </c>
      <c r="S16" s="118">
        <v>1.1000000000000001</v>
      </c>
      <c r="T16" s="118">
        <v>0.8</v>
      </c>
      <c r="U16" s="118">
        <v>1.1000000000000001</v>
      </c>
      <c r="V16" s="110" t="s">
        <v>101</v>
      </c>
      <c r="W16" s="110">
        <v>1</v>
      </c>
    </row>
    <row r="17" spans="1:23" ht="17" customHeight="1">
      <c r="A17" s="41"/>
      <c r="B17" s="85"/>
      <c r="C17" s="37" t="s">
        <v>155</v>
      </c>
      <c r="D17" s="86">
        <f>D30</f>
        <v>0.15473684210526314</v>
      </c>
      <c r="G17" s="41"/>
      <c r="K17" s="111"/>
      <c r="L17" s="113" t="s">
        <v>102</v>
      </c>
      <c r="M17" s="119">
        <v>1.47E-2</v>
      </c>
      <c r="N17" s="119">
        <v>0.14699999999999999</v>
      </c>
      <c r="O17" s="120">
        <f t="shared" ref="O17:O18" si="0">N17*0.4/0.38</f>
        <v>0.15473684210526314</v>
      </c>
      <c r="P17" s="119">
        <f t="shared" ref="P17:P19" si="1">(O17+Q17)/2</f>
        <v>0.16440789473684209</v>
      </c>
      <c r="Q17" s="119">
        <f t="shared" ref="Q17:Q18" si="2">N17*0.45/0.38</f>
        <v>0.17407894736842106</v>
      </c>
      <c r="R17" s="118">
        <v>0.8</v>
      </c>
      <c r="S17" s="118">
        <v>1.1000000000000001</v>
      </c>
      <c r="T17" s="118">
        <v>0.8</v>
      </c>
      <c r="U17" s="118">
        <v>1.1000000000000001</v>
      </c>
      <c r="V17" s="110" t="s">
        <v>101</v>
      </c>
      <c r="W17" s="110">
        <v>1</v>
      </c>
    </row>
    <row r="18" spans="1:23" ht="17" customHeight="1">
      <c r="A18" s="41"/>
      <c r="B18" s="85"/>
      <c r="C18" s="37" t="s">
        <v>154</v>
      </c>
      <c r="D18" s="86">
        <f t="shared" ref="D18:D19" si="3">D31</f>
        <v>0.10505263157894738</v>
      </c>
      <c r="G18" s="41"/>
      <c r="K18" s="111"/>
      <c r="L18" s="113" t="s">
        <v>103</v>
      </c>
      <c r="M18" s="119">
        <v>9.98E-2</v>
      </c>
      <c r="N18" s="119">
        <v>9.98E-2</v>
      </c>
      <c r="O18" s="120">
        <f t="shared" si="0"/>
        <v>0.10505263157894738</v>
      </c>
      <c r="P18" s="119">
        <f t="shared" si="1"/>
        <v>0.11161842105263159</v>
      </c>
      <c r="Q18" s="119">
        <f t="shared" si="2"/>
        <v>0.11818421052631578</v>
      </c>
      <c r="R18" s="118">
        <v>0.8</v>
      </c>
      <c r="S18" s="118">
        <v>1.1000000000000001</v>
      </c>
      <c r="T18" s="118">
        <v>0.8</v>
      </c>
      <c r="U18" s="118">
        <v>1.1000000000000001</v>
      </c>
      <c r="V18" s="110" t="s">
        <v>101</v>
      </c>
      <c r="W18" s="110">
        <v>1</v>
      </c>
    </row>
    <row r="19" spans="1:23" ht="17" customHeight="1">
      <c r="A19" s="41"/>
      <c r="B19" s="85"/>
      <c r="C19" s="37" t="s">
        <v>153</v>
      </c>
      <c r="D19" s="86">
        <f t="shared" si="3"/>
        <v>0.14484210526315791</v>
      </c>
      <c r="G19" s="41"/>
      <c r="K19" s="111"/>
      <c r="L19" s="113" t="s">
        <v>104</v>
      </c>
      <c r="M19" s="119">
        <v>1.17E-2</v>
      </c>
      <c r="N19" s="119">
        <v>1.17E-2</v>
      </c>
      <c r="O19" s="120">
        <v>1.6E-2</v>
      </c>
      <c r="P19" s="119">
        <f t="shared" si="1"/>
        <v>1.8000000000000002E-2</v>
      </c>
      <c r="Q19" s="119">
        <v>0.02</v>
      </c>
      <c r="R19" s="118">
        <v>0.8</v>
      </c>
      <c r="S19" s="118">
        <v>1.1000000000000001</v>
      </c>
      <c r="T19" s="118">
        <v>0.8</v>
      </c>
      <c r="U19" s="118">
        <v>1.1000000000000001</v>
      </c>
      <c r="V19" s="110" t="s">
        <v>101</v>
      </c>
      <c r="W19" s="110">
        <v>1</v>
      </c>
    </row>
    <row r="20" spans="1:23" ht="17" customHeight="1">
      <c r="A20" s="41"/>
      <c r="B20" s="85"/>
      <c r="C20" s="37" t="s">
        <v>65</v>
      </c>
      <c r="D20" s="86">
        <f>E34</f>
        <v>0.59536842105263155</v>
      </c>
      <c r="F20" s="41"/>
      <c r="G20" s="41"/>
      <c r="K20" s="111"/>
      <c r="L20" s="113" t="s">
        <v>105</v>
      </c>
      <c r="M20" s="109">
        <v>4</v>
      </c>
      <c r="N20" s="109">
        <v>4</v>
      </c>
      <c r="O20" s="108">
        <v>0</v>
      </c>
      <c r="P20" s="109">
        <v>0</v>
      </c>
      <c r="Q20" s="109">
        <v>0</v>
      </c>
      <c r="R20" s="118"/>
      <c r="S20" s="118"/>
      <c r="T20" s="118"/>
      <c r="U20" s="118"/>
      <c r="V20" s="110"/>
      <c r="W20" s="110"/>
    </row>
    <row r="21" spans="1:23" ht="17" customHeight="1">
      <c r="A21" s="41"/>
      <c r="B21" s="85"/>
      <c r="C21" s="37" t="s">
        <v>164</v>
      </c>
      <c r="D21" s="86">
        <f>E37</f>
        <v>1</v>
      </c>
      <c r="E21" s="41"/>
      <c r="F21" s="41"/>
      <c r="G21" s="41"/>
      <c r="K21" s="111"/>
      <c r="L21" s="113" t="s">
        <v>106</v>
      </c>
      <c r="M21" s="109">
        <v>2</v>
      </c>
      <c r="N21" s="109">
        <v>2</v>
      </c>
      <c r="O21" s="108">
        <v>2</v>
      </c>
      <c r="P21" s="109">
        <v>2</v>
      </c>
      <c r="Q21" s="109">
        <v>2</v>
      </c>
      <c r="R21" s="118"/>
      <c r="S21" s="118"/>
      <c r="T21" s="118"/>
      <c r="U21" s="118"/>
      <c r="V21" s="110"/>
      <c r="W21" s="110"/>
    </row>
    <row r="22" spans="1:23" ht="17" customHeight="1">
      <c r="A22" s="41"/>
      <c r="B22" s="85"/>
      <c r="C22" s="41"/>
      <c r="D22" s="41"/>
      <c r="E22" s="41"/>
      <c r="F22" s="41"/>
      <c r="G22" s="41"/>
      <c r="K22" s="111"/>
      <c r="L22" s="113" t="s">
        <v>107</v>
      </c>
      <c r="M22" s="109">
        <v>20</v>
      </c>
      <c r="N22" s="109">
        <v>25</v>
      </c>
      <c r="O22" s="108">
        <v>25</v>
      </c>
      <c r="P22" s="109">
        <v>25</v>
      </c>
      <c r="Q22" s="109">
        <v>25</v>
      </c>
      <c r="R22" s="109"/>
      <c r="S22" s="109"/>
      <c r="T22" s="109"/>
      <c r="U22" s="109"/>
      <c r="V22" s="110"/>
      <c r="W22" s="110"/>
    </row>
    <row r="23" spans="1:23" ht="17" customHeight="1">
      <c r="A23" s="41"/>
      <c r="B23" s="85"/>
      <c r="C23" s="41" t="s">
        <v>158</v>
      </c>
      <c r="D23" s="41"/>
      <c r="E23" s="41"/>
      <c r="F23" s="41"/>
      <c r="G23" s="41"/>
      <c r="K23" s="111"/>
      <c r="L23" s="113" t="s">
        <v>108</v>
      </c>
      <c r="M23" s="109">
        <v>2</v>
      </c>
      <c r="N23" s="109">
        <v>2</v>
      </c>
      <c r="O23" s="108">
        <v>2</v>
      </c>
      <c r="P23" s="109">
        <v>2</v>
      </c>
      <c r="Q23" s="109">
        <v>2</v>
      </c>
      <c r="R23" s="109"/>
      <c r="S23" s="109"/>
      <c r="T23" s="109"/>
      <c r="U23" s="109"/>
      <c r="V23" s="110"/>
      <c r="W23" s="110"/>
    </row>
    <row r="24" spans="1:23" ht="17" customHeight="1">
      <c r="A24" s="41"/>
      <c r="B24" s="85"/>
      <c r="C24" s="37" t="s">
        <v>159</v>
      </c>
      <c r="D24" s="147">
        <f>D64</f>
        <v>67820558.068348154</v>
      </c>
      <c r="E24" s="37" t="s">
        <v>66</v>
      </c>
      <c r="G24" s="41"/>
      <c r="K24" s="111" t="s">
        <v>109</v>
      </c>
      <c r="L24" s="112"/>
      <c r="M24" s="109"/>
      <c r="N24" s="109"/>
      <c r="O24" s="108"/>
      <c r="P24" s="109"/>
      <c r="Q24" s="109"/>
      <c r="R24" s="109"/>
      <c r="S24" s="109"/>
      <c r="T24" s="109"/>
      <c r="U24" s="109"/>
      <c r="V24" s="110"/>
      <c r="W24" s="110"/>
    </row>
    <row r="25" spans="1:23" ht="17" customHeight="1">
      <c r="A25" s="41"/>
      <c r="B25" s="85"/>
      <c r="C25" s="37" t="s">
        <v>58</v>
      </c>
      <c r="D25" s="86">
        <f>D63</f>
        <v>0</v>
      </c>
      <c r="E25" s="37" t="s">
        <v>144</v>
      </c>
      <c r="G25" s="41"/>
      <c r="K25" s="111"/>
      <c r="L25" s="113" t="s">
        <v>110</v>
      </c>
      <c r="M25" s="121">
        <v>4.6034632034632033</v>
      </c>
      <c r="N25" s="121">
        <v>4.6034632034632033</v>
      </c>
      <c r="O25" s="122">
        <v>4.1431168831168819</v>
      </c>
      <c r="P25" s="121">
        <v>3.8478289473684204</v>
      </c>
      <c r="Q25" s="121">
        <v>3.6827705627705623</v>
      </c>
      <c r="R25" s="114">
        <v>0.75</v>
      </c>
      <c r="S25" s="114">
        <v>1.2</v>
      </c>
      <c r="T25" s="114">
        <v>0.75</v>
      </c>
      <c r="U25" s="114">
        <v>1.2</v>
      </c>
      <c r="V25" s="110" t="s">
        <v>111</v>
      </c>
      <c r="W25" s="110" t="s">
        <v>112</v>
      </c>
    </row>
    <row r="26" spans="1:23" ht="17" customHeight="1">
      <c r="A26" s="41"/>
      <c r="B26" s="85"/>
      <c r="F26" s="41"/>
      <c r="G26" s="41"/>
      <c r="K26" s="111"/>
      <c r="L26" s="113" t="s">
        <v>113</v>
      </c>
      <c r="M26" s="109">
        <v>75</v>
      </c>
      <c r="N26" s="109">
        <v>75</v>
      </c>
      <c r="O26" s="108">
        <v>75</v>
      </c>
      <c r="P26" s="109">
        <v>75</v>
      </c>
      <c r="Q26" s="109">
        <v>75</v>
      </c>
      <c r="R26" s="109"/>
      <c r="S26" s="109"/>
      <c r="T26" s="109"/>
      <c r="U26" s="109"/>
      <c r="V26" s="110"/>
      <c r="W26" s="110"/>
    </row>
    <row r="27" spans="1:23" ht="17" customHeight="1">
      <c r="A27" s="41"/>
      <c r="B27" s="85"/>
      <c r="C27" s="41"/>
      <c r="D27" s="41"/>
      <c r="E27" s="41"/>
      <c r="K27" s="111"/>
      <c r="L27" s="113" t="s">
        <v>114</v>
      </c>
      <c r="M27" s="109">
        <v>25</v>
      </c>
      <c r="N27" s="109">
        <v>25</v>
      </c>
      <c r="O27" s="108">
        <v>25</v>
      </c>
      <c r="P27" s="109">
        <v>25</v>
      </c>
      <c r="Q27" s="109">
        <v>25</v>
      </c>
      <c r="R27" s="109"/>
      <c r="S27" s="109"/>
      <c r="T27" s="109"/>
      <c r="U27" s="109"/>
      <c r="V27" s="110"/>
      <c r="W27" s="110"/>
    </row>
    <row r="28" spans="1:23" ht="17" customHeight="1">
      <c r="A28" s="41"/>
      <c r="B28" s="85"/>
      <c r="C28" s="41" t="s">
        <v>172</v>
      </c>
      <c r="D28" s="41"/>
      <c r="E28" s="41"/>
      <c r="K28" s="111"/>
      <c r="L28" s="113" t="s">
        <v>115</v>
      </c>
      <c r="M28" s="119">
        <v>0.11048311688311686</v>
      </c>
      <c r="N28" s="119">
        <v>0.11048311688311686</v>
      </c>
      <c r="O28" s="120">
        <v>0.11048311688311686</v>
      </c>
      <c r="P28" s="119">
        <v>0.10913842105263157</v>
      </c>
      <c r="Q28" s="119">
        <v>0.11048311688311686</v>
      </c>
      <c r="R28" s="114">
        <v>0.75</v>
      </c>
      <c r="S28" s="114">
        <v>1.2</v>
      </c>
      <c r="T28" s="114">
        <v>0.75</v>
      </c>
      <c r="U28" s="114">
        <v>1.2</v>
      </c>
      <c r="V28" s="110" t="s">
        <v>116</v>
      </c>
      <c r="W28" s="110">
        <v>1</v>
      </c>
    </row>
    <row r="29" spans="1:23" ht="17" customHeight="1">
      <c r="A29" s="41"/>
      <c r="B29" s="85"/>
      <c r="C29" s="144" t="s">
        <v>78</v>
      </c>
      <c r="D29" s="37" t="s">
        <v>178</v>
      </c>
      <c r="E29" s="41" t="s">
        <v>179</v>
      </c>
      <c r="F29" s="41"/>
      <c r="K29" s="111"/>
      <c r="L29" s="113" t="s">
        <v>117</v>
      </c>
      <c r="M29" s="119">
        <v>1.1299409681227861</v>
      </c>
      <c r="N29" s="119">
        <v>1.1299409681227861</v>
      </c>
      <c r="O29" s="120">
        <v>1.1299409681227861</v>
      </c>
      <c r="P29" s="119">
        <v>1.131070909090909</v>
      </c>
      <c r="Q29" s="119">
        <v>1.1299409681227861</v>
      </c>
      <c r="R29" s="114">
        <v>0.75</v>
      </c>
      <c r="S29" s="114">
        <v>1.2</v>
      </c>
      <c r="T29" s="114">
        <v>0.75</v>
      </c>
      <c r="U29" s="114">
        <v>1.2</v>
      </c>
      <c r="V29" s="110" t="s">
        <v>116</v>
      </c>
      <c r="W29" s="110">
        <v>1</v>
      </c>
    </row>
    <row r="30" spans="1:23" ht="17" customHeight="1">
      <c r="A30" s="41"/>
      <c r="B30" s="85"/>
      <c r="C30" s="37" t="s">
        <v>174</v>
      </c>
      <c r="D30" s="88">
        <f>O17</f>
        <v>0.15473684210526314</v>
      </c>
      <c r="E30" s="88">
        <f>D30</f>
        <v>0.15473684210526314</v>
      </c>
      <c r="F30" s="41"/>
      <c r="K30" s="111"/>
      <c r="L30" s="113" t="s">
        <v>118</v>
      </c>
      <c r="M30" s="109">
        <v>0</v>
      </c>
      <c r="N30" s="109">
        <v>0</v>
      </c>
      <c r="O30" s="108">
        <v>0</v>
      </c>
      <c r="P30" s="109">
        <v>0</v>
      </c>
      <c r="Q30" s="109">
        <v>0</v>
      </c>
      <c r="R30" s="109"/>
      <c r="S30" s="109"/>
      <c r="T30" s="109"/>
      <c r="U30" s="109"/>
      <c r="V30" s="110" t="s">
        <v>119</v>
      </c>
      <c r="W30" s="110"/>
    </row>
    <row r="31" spans="1:23" ht="17" customHeight="1">
      <c r="A31" s="41"/>
      <c r="B31" s="85"/>
      <c r="C31" s="37" t="s">
        <v>175</v>
      </c>
      <c r="D31" s="88">
        <f>O18</f>
        <v>0.10505263157894738</v>
      </c>
      <c r="E31" s="88">
        <f t="shared" ref="E31:E32" si="4">D31</f>
        <v>0.10505263157894738</v>
      </c>
      <c r="F31" s="41"/>
      <c r="K31" s="112" t="s">
        <v>120</v>
      </c>
      <c r="L31" s="123"/>
      <c r="M31" s="109"/>
      <c r="N31" s="109"/>
      <c r="O31" s="108"/>
      <c r="P31" s="109"/>
      <c r="Q31" s="109"/>
      <c r="R31" s="118"/>
      <c r="S31" s="118"/>
      <c r="T31" s="118"/>
      <c r="U31" s="118"/>
      <c r="V31" s="110"/>
      <c r="W31" s="110"/>
    </row>
    <row r="32" spans="1:23" ht="17" customHeight="1">
      <c r="B32" s="85"/>
      <c r="C32" s="37" t="s">
        <v>176</v>
      </c>
      <c r="D32" s="88">
        <f>O16</f>
        <v>0.14484210526315791</v>
      </c>
      <c r="E32" s="88">
        <f t="shared" si="4"/>
        <v>0.14484210526315791</v>
      </c>
      <c r="G32" s="41"/>
      <c r="K32" s="111"/>
      <c r="L32" s="113" t="s">
        <v>121</v>
      </c>
      <c r="M32" s="109">
        <v>44</v>
      </c>
      <c r="N32" s="109">
        <v>44</v>
      </c>
      <c r="O32" s="108">
        <v>44</v>
      </c>
      <c r="P32" s="109">
        <v>44</v>
      </c>
      <c r="Q32" s="109">
        <v>44</v>
      </c>
      <c r="R32" s="118"/>
      <c r="S32" s="118"/>
      <c r="T32" s="118"/>
      <c r="U32" s="118"/>
      <c r="V32" s="110"/>
      <c r="W32" s="110"/>
    </row>
    <row r="33" spans="1:23" ht="17" customHeight="1">
      <c r="A33" s="41"/>
      <c r="B33" s="85"/>
      <c r="C33" s="37" t="s">
        <v>70</v>
      </c>
      <c r="D33" s="88">
        <f>O19</f>
        <v>1.6E-2</v>
      </c>
      <c r="E33" s="37">
        <v>0</v>
      </c>
      <c r="F33" s="37" t="s">
        <v>180</v>
      </c>
      <c r="K33" s="111"/>
      <c r="L33" s="113" t="s">
        <v>122</v>
      </c>
      <c r="M33" s="109">
        <v>0.77</v>
      </c>
      <c r="N33" s="109">
        <v>0.77</v>
      </c>
      <c r="O33" s="108">
        <v>0.77</v>
      </c>
      <c r="P33" s="109">
        <v>0.77</v>
      </c>
      <c r="Q33" s="109">
        <v>0.77</v>
      </c>
      <c r="R33" s="118"/>
      <c r="S33" s="118"/>
      <c r="T33" s="118"/>
      <c r="U33" s="118"/>
      <c r="V33" s="110"/>
      <c r="W33" s="110"/>
    </row>
    <row r="34" spans="1:23" ht="17" customHeight="1">
      <c r="A34" s="41"/>
      <c r="B34" s="85"/>
      <c r="C34" s="37" t="s">
        <v>77</v>
      </c>
      <c r="D34" s="88">
        <f>1-SUM(D30:D33)</f>
        <v>0.57936842105263153</v>
      </c>
      <c r="E34" s="88">
        <f>1-SUM(E30:E33)</f>
        <v>0.59536842105263155</v>
      </c>
      <c r="F34" s="86"/>
      <c r="G34" s="41"/>
      <c r="K34" s="111"/>
      <c r="L34" s="113" t="s">
        <v>123</v>
      </c>
      <c r="M34" s="121">
        <v>6.4935064935064934</v>
      </c>
      <c r="N34" s="121">
        <v>6.4935064935064934</v>
      </c>
      <c r="O34" s="122">
        <v>5.8441558441558437</v>
      </c>
      <c r="P34" s="121">
        <v>5.5</v>
      </c>
      <c r="Q34" s="121">
        <v>5.1948051948051948</v>
      </c>
      <c r="R34" s="114">
        <v>0.75</v>
      </c>
      <c r="S34" s="114">
        <v>1.2</v>
      </c>
      <c r="T34" s="114">
        <v>0.75</v>
      </c>
      <c r="U34" s="114">
        <v>1.2</v>
      </c>
      <c r="V34" s="110" t="s">
        <v>111</v>
      </c>
      <c r="W34" s="110" t="s">
        <v>112</v>
      </c>
    </row>
    <row r="35" spans="1:23" ht="17" customHeight="1">
      <c r="A35" s="41"/>
      <c r="B35" s="85"/>
      <c r="C35" s="37" t="s">
        <v>75</v>
      </c>
      <c r="D35" s="88">
        <f>SUM(D30:D34)</f>
        <v>1</v>
      </c>
      <c r="E35" s="88">
        <f>SUM(E30:E34)</f>
        <v>1</v>
      </c>
      <c r="F35" s="86"/>
      <c r="G35" s="41"/>
      <c r="K35" s="111"/>
      <c r="L35" s="113" t="s">
        <v>113</v>
      </c>
      <c r="M35" s="109">
        <v>75</v>
      </c>
      <c r="N35" s="109">
        <v>75</v>
      </c>
      <c r="O35" s="108">
        <v>75</v>
      </c>
      <c r="P35" s="109">
        <v>75</v>
      </c>
      <c r="Q35" s="109">
        <v>75</v>
      </c>
      <c r="R35" s="109"/>
      <c r="S35" s="109"/>
      <c r="T35" s="109"/>
      <c r="U35" s="109"/>
      <c r="V35" s="110"/>
      <c r="W35" s="110"/>
    </row>
    <row r="36" spans="1:23" ht="17" customHeight="1">
      <c r="A36" s="41"/>
      <c r="B36" s="85"/>
      <c r="C36" s="144" t="s">
        <v>79</v>
      </c>
      <c r="E36" s="86"/>
      <c r="F36" s="86"/>
      <c r="K36" s="111"/>
      <c r="L36" s="113" t="s">
        <v>114</v>
      </c>
      <c r="M36" s="109">
        <v>25</v>
      </c>
      <c r="N36" s="109">
        <v>25</v>
      </c>
      <c r="O36" s="108">
        <v>25</v>
      </c>
      <c r="P36" s="109">
        <v>25</v>
      </c>
      <c r="Q36" s="109">
        <v>25</v>
      </c>
      <c r="R36" s="109"/>
      <c r="S36" s="109"/>
      <c r="T36" s="109"/>
      <c r="U36" s="109"/>
      <c r="V36" s="110"/>
      <c r="W36" s="110"/>
    </row>
    <row r="37" spans="1:23" ht="17" customHeight="1">
      <c r="A37" s="41"/>
      <c r="B37" s="85"/>
      <c r="C37" s="37" t="s">
        <v>177</v>
      </c>
      <c r="D37" s="63">
        <f>M14</f>
        <v>1</v>
      </c>
      <c r="E37" s="86">
        <f>D37</f>
        <v>1</v>
      </c>
      <c r="K37" s="111"/>
      <c r="L37" s="113" t="s">
        <v>124</v>
      </c>
      <c r="M37" s="119">
        <v>0.15584415584415584</v>
      </c>
      <c r="N37" s="119">
        <v>0.15584415584415584</v>
      </c>
      <c r="O37" s="120">
        <v>0.15584415584415584</v>
      </c>
      <c r="P37" s="119">
        <v>0.156</v>
      </c>
      <c r="Q37" s="119">
        <v>0.15584415584415584</v>
      </c>
      <c r="R37" s="114">
        <v>0.75</v>
      </c>
      <c r="S37" s="114">
        <v>1.2</v>
      </c>
      <c r="T37" s="114">
        <v>0.75</v>
      </c>
      <c r="U37" s="114">
        <v>1.2</v>
      </c>
      <c r="V37" s="110" t="s">
        <v>116</v>
      </c>
      <c r="W37" s="110">
        <v>1</v>
      </c>
    </row>
    <row r="38" spans="1:23" ht="17" customHeight="1">
      <c r="A38" s="41"/>
      <c r="B38" s="85"/>
      <c r="E38" s="86"/>
      <c r="F38" s="86"/>
      <c r="G38" s="41"/>
      <c r="K38" s="111"/>
      <c r="L38" s="113" t="s">
        <v>125</v>
      </c>
      <c r="M38" s="119">
        <v>1.2987012987012986E-2</v>
      </c>
      <c r="N38" s="119">
        <v>1.2987012987012986E-2</v>
      </c>
      <c r="O38" s="120">
        <v>1.2987012987012986E-2</v>
      </c>
      <c r="P38" s="119">
        <v>1.2999999999999999E-2</v>
      </c>
      <c r="Q38" s="119">
        <v>1.2987012987012986E-2</v>
      </c>
      <c r="R38" s="114">
        <v>0.75</v>
      </c>
      <c r="S38" s="114">
        <v>1.2</v>
      </c>
      <c r="T38" s="114">
        <v>0.75</v>
      </c>
      <c r="U38" s="114">
        <v>1.2</v>
      </c>
      <c r="V38" s="110" t="s">
        <v>116</v>
      </c>
      <c r="W38" s="110">
        <v>1</v>
      </c>
    </row>
    <row r="39" spans="1:23" ht="17" customHeight="1" thickBot="1">
      <c r="A39" s="41"/>
      <c r="B39" s="85"/>
      <c r="G39" s="41"/>
      <c r="K39" s="124"/>
      <c r="L39" s="125" t="s">
        <v>118</v>
      </c>
      <c r="M39" s="126">
        <v>0</v>
      </c>
      <c r="N39" s="126">
        <v>0</v>
      </c>
      <c r="O39" s="127">
        <v>0</v>
      </c>
      <c r="P39" s="126">
        <v>0</v>
      </c>
      <c r="Q39" s="126">
        <v>0</v>
      </c>
      <c r="R39" s="126"/>
      <c r="S39" s="126"/>
      <c r="T39" s="126"/>
      <c r="U39" s="126"/>
      <c r="V39" s="128" t="s">
        <v>119</v>
      </c>
      <c r="W39" s="128"/>
    </row>
    <row r="40" spans="1:23" ht="17" customHeight="1">
      <c r="A40" s="41"/>
      <c r="B40" s="85"/>
      <c r="C40" s="41" t="s">
        <v>136</v>
      </c>
      <c r="G40" s="41"/>
      <c r="K40" s="123"/>
      <c r="L40" s="129"/>
      <c r="M40" s="130"/>
      <c r="N40" s="131"/>
      <c r="O40" s="129"/>
      <c r="P40" s="129"/>
      <c r="Q40" s="129"/>
      <c r="R40" s="129"/>
      <c r="S40" s="129"/>
      <c r="T40" s="129"/>
      <c r="U40" s="129"/>
      <c r="V40" s="132"/>
      <c r="W40" s="132"/>
    </row>
    <row r="41" spans="1:23" ht="17" customHeight="1">
      <c r="A41" s="41"/>
      <c r="B41" s="85"/>
      <c r="C41" s="37" t="s">
        <v>138</v>
      </c>
      <c r="G41" s="41"/>
      <c r="K41" s="133" t="s">
        <v>126</v>
      </c>
      <c r="L41" s="123"/>
      <c r="M41" s="123"/>
      <c r="N41" s="134"/>
      <c r="O41" s="123"/>
      <c r="P41" s="123"/>
      <c r="Q41" s="123"/>
      <c r="R41" s="123"/>
      <c r="S41" s="123"/>
      <c r="T41" s="123"/>
      <c r="U41" s="123"/>
      <c r="V41" s="123"/>
      <c r="W41" s="123"/>
    </row>
    <row r="42" spans="1:23" ht="17" customHeight="1">
      <c r="A42" s="41"/>
      <c r="B42" s="85"/>
      <c r="C42" s="37" t="s">
        <v>135</v>
      </c>
      <c r="D42" s="37">
        <f>O11*10^3</f>
        <v>100000</v>
      </c>
      <c r="E42" s="37" t="s">
        <v>151</v>
      </c>
      <c r="G42" s="41"/>
      <c r="K42" s="129"/>
      <c r="L42" s="135" t="s">
        <v>131</v>
      </c>
      <c r="M42" s="123"/>
      <c r="N42" s="134"/>
      <c r="O42" s="123"/>
      <c r="P42" s="123"/>
      <c r="Q42" s="123"/>
      <c r="R42" s="123"/>
      <c r="S42" s="123"/>
      <c r="T42" s="123"/>
      <c r="U42" s="123"/>
      <c r="V42" s="123"/>
      <c r="W42" s="123"/>
    </row>
    <row r="43" spans="1:23" ht="17" customHeight="1">
      <c r="A43" s="41"/>
      <c r="B43" s="85"/>
      <c r="C43" s="37" t="s">
        <v>150</v>
      </c>
      <c r="D43" s="37">
        <f>O12</f>
        <v>150</v>
      </c>
      <c r="E43" s="37" t="s">
        <v>73</v>
      </c>
      <c r="G43" s="41"/>
      <c r="K43" s="129"/>
      <c r="L43" s="135" t="s">
        <v>127</v>
      </c>
      <c r="M43" s="123"/>
      <c r="N43" s="134"/>
      <c r="O43" s="123"/>
      <c r="P43" s="123"/>
      <c r="Q43" s="123"/>
      <c r="R43" s="123"/>
      <c r="S43" s="123"/>
      <c r="T43" s="123"/>
      <c r="U43" s="123"/>
      <c r="V43" s="123"/>
      <c r="W43" s="123"/>
    </row>
    <row r="44" spans="1:23" ht="17" customHeight="1">
      <c r="A44" s="41"/>
      <c r="B44" s="85"/>
      <c r="C44" s="37" t="s">
        <v>71</v>
      </c>
      <c r="D44" s="37">
        <v>8000</v>
      </c>
      <c r="E44" s="37" t="s">
        <v>143</v>
      </c>
      <c r="G44" s="41"/>
      <c r="K44" s="129"/>
      <c r="L44" s="135" t="s">
        <v>132</v>
      </c>
      <c r="M44" s="123"/>
      <c r="N44" s="134"/>
      <c r="O44" s="123"/>
      <c r="P44" s="123"/>
      <c r="Q44" s="123"/>
      <c r="R44" s="123"/>
      <c r="S44" s="123"/>
      <c r="T44" s="123"/>
      <c r="U44" s="123"/>
      <c r="V44" s="123"/>
      <c r="W44" s="123"/>
    </row>
    <row r="45" spans="1:23" ht="17" customHeight="1">
      <c r="A45" s="41"/>
      <c r="B45" s="85"/>
      <c r="C45" s="37" t="s">
        <v>72</v>
      </c>
      <c r="D45" s="37">
        <f>O22</f>
        <v>25</v>
      </c>
      <c r="E45" s="37" t="s">
        <v>139</v>
      </c>
      <c r="G45" s="41"/>
      <c r="K45" s="129"/>
      <c r="L45" s="135" t="s">
        <v>133</v>
      </c>
      <c r="M45" s="123"/>
      <c r="N45" s="134"/>
      <c r="O45" s="123"/>
      <c r="P45" s="123"/>
      <c r="Q45" s="123"/>
      <c r="R45" s="123"/>
      <c r="S45" s="123"/>
      <c r="T45" s="123"/>
      <c r="U45" s="123"/>
      <c r="V45" s="123"/>
      <c r="W45" s="123"/>
    </row>
    <row r="46" spans="1:23" ht="17" customHeight="1">
      <c r="A46" s="41"/>
      <c r="B46" s="85"/>
      <c r="C46" s="37" t="s">
        <v>137</v>
      </c>
      <c r="D46" s="63">
        <f>O23</f>
        <v>2</v>
      </c>
      <c r="E46" s="37" t="s">
        <v>139</v>
      </c>
      <c r="G46" s="41"/>
      <c r="K46" s="129"/>
      <c r="L46" s="135" t="s">
        <v>134</v>
      </c>
      <c r="M46" s="123"/>
      <c r="N46" s="134"/>
      <c r="O46" s="123"/>
      <c r="P46" s="123"/>
      <c r="Q46" s="123"/>
      <c r="R46" s="123"/>
      <c r="S46" s="123"/>
      <c r="T46" s="123"/>
      <c r="U46" s="123"/>
      <c r="V46" s="123"/>
      <c r="W46" s="123"/>
    </row>
    <row r="47" spans="1:23" ht="17" customHeight="1">
      <c r="A47" s="41"/>
      <c r="B47" s="85"/>
      <c r="C47" s="37" t="s">
        <v>161</v>
      </c>
      <c r="D47" s="86">
        <f>1-O21/52</f>
        <v>0.96153846153846156</v>
      </c>
      <c r="G47" s="41"/>
      <c r="K47" s="129"/>
      <c r="L47" s="135" t="s">
        <v>128</v>
      </c>
      <c r="M47" s="123"/>
      <c r="N47" s="134"/>
      <c r="O47" s="123"/>
      <c r="P47" s="123"/>
      <c r="Q47" s="123"/>
      <c r="R47" s="123"/>
      <c r="S47" s="123"/>
      <c r="T47" s="123"/>
      <c r="U47" s="123"/>
      <c r="V47" s="123"/>
      <c r="W47" s="123"/>
    </row>
    <row r="48" spans="1:23" ht="17" customHeight="1">
      <c r="A48" s="41"/>
      <c r="B48" s="85"/>
      <c r="G48" s="41"/>
      <c r="K48" s="129"/>
      <c r="L48" s="135" t="s">
        <v>129</v>
      </c>
      <c r="M48" s="123"/>
      <c r="N48" s="134"/>
      <c r="O48" s="123"/>
      <c r="P48" s="123"/>
      <c r="Q48" s="123"/>
      <c r="R48" s="123"/>
      <c r="S48" s="123"/>
      <c r="T48" s="123"/>
      <c r="U48" s="123"/>
      <c r="V48" s="123"/>
      <c r="W48" s="123"/>
    </row>
    <row r="49" spans="1:23" ht="17" customHeight="1">
      <c r="A49" s="41"/>
      <c r="B49" s="85"/>
      <c r="C49" s="37" t="s">
        <v>68</v>
      </c>
      <c r="D49" s="137">
        <f>O34*O11*10^6</f>
        <v>584415584.41558433</v>
      </c>
      <c r="E49" s="37" t="s">
        <v>66</v>
      </c>
      <c r="G49" s="41"/>
      <c r="K49" s="129"/>
      <c r="L49" s="135" t="s">
        <v>130</v>
      </c>
      <c r="M49" s="123"/>
      <c r="N49" s="134"/>
      <c r="O49" s="123"/>
      <c r="P49" s="123"/>
      <c r="Q49" s="123"/>
      <c r="R49" s="123"/>
      <c r="S49" s="123"/>
      <c r="T49" s="123"/>
      <c r="U49" s="123"/>
      <c r="V49" s="123"/>
      <c r="W49" s="123"/>
    </row>
    <row r="50" spans="1:23" ht="17" customHeight="1">
      <c r="A50" s="41"/>
      <c r="B50" s="85"/>
      <c r="C50" s="37" t="s">
        <v>140</v>
      </c>
      <c r="D50" s="137">
        <f>O37*O11*10^6</f>
        <v>15584415.584415585</v>
      </c>
      <c r="E50" s="37" t="s">
        <v>142</v>
      </c>
      <c r="G50" s="41"/>
    </row>
    <row r="51" spans="1:23" ht="17" customHeight="1">
      <c r="A51" s="41"/>
      <c r="B51" s="85"/>
      <c r="C51" s="37" t="s">
        <v>141</v>
      </c>
      <c r="D51" s="137">
        <f>O38*O11*10^6</f>
        <v>1298701.2987012987</v>
      </c>
      <c r="E51" s="37" t="s">
        <v>142</v>
      </c>
      <c r="G51" s="41"/>
    </row>
    <row r="52" spans="1:23" ht="17" customHeight="1">
      <c r="A52" s="41"/>
      <c r="B52" s="85"/>
      <c r="C52" s="37" t="s">
        <v>141</v>
      </c>
      <c r="D52" s="86">
        <f>D51/D44</f>
        <v>162.33766233766232</v>
      </c>
      <c r="E52" s="37" t="s">
        <v>144</v>
      </c>
      <c r="G52" s="41"/>
    </row>
    <row r="53" spans="1:23" ht="17" customHeight="1">
      <c r="A53" s="41"/>
      <c r="B53" s="85"/>
      <c r="G53" s="41"/>
    </row>
    <row r="54" spans="1:23" ht="17" customHeight="1">
      <c r="A54" s="41"/>
      <c r="B54" s="85"/>
      <c r="C54" s="41" t="s">
        <v>158</v>
      </c>
      <c r="G54" s="41"/>
    </row>
    <row r="55" spans="1:23" ht="17" customHeight="1">
      <c r="A55" s="41"/>
      <c r="B55" s="85"/>
      <c r="C55" s="37" t="s">
        <v>162</v>
      </c>
      <c r="G55" s="41"/>
    </row>
    <row r="56" spans="1:23" ht="17" customHeight="1">
      <c r="A56" s="41"/>
      <c r="B56" s="85"/>
      <c r="G56" s="41"/>
    </row>
    <row r="57" spans="1:23" ht="17" customHeight="1">
      <c r="A57" s="41"/>
      <c r="B57" s="85"/>
      <c r="C57" s="144" t="s">
        <v>165</v>
      </c>
      <c r="G57" s="41"/>
    </row>
    <row r="58" spans="1:23" ht="17" customHeight="1">
      <c r="A58" s="41"/>
      <c r="B58" s="85"/>
      <c r="C58" s="37" t="s">
        <v>166</v>
      </c>
      <c r="G58" s="41"/>
    </row>
    <row r="59" spans="1:23" ht="17" customHeight="1">
      <c r="A59" s="41"/>
      <c r="B59" s="85"/>
      <c r="C59" s="37" t="s">
        <v>167</v>
      </c>
      <c r="G59" s="41"/>
    </row>
    <row r="60" spans="1:23" ht="17" customHeight="1">
      <c r="A60" s="41"/>
      <c r="B60" s="85"/>
      <c r="G60" s="41"/>
    </row>
    <row r="61" spans="1:23" ht="17" customHeight="1">
      <c r="A61" s="41"/>
      <c r="B61" s="85"/>
      <c r="C61" s="37" t="s">
        <v>168</v>
      </c>
      <c r="D61" s="86">
        <v>481.66345279431198</v>
      </c>
      <c r="E61" s="37" t="s">
        <v>73</v>
      </c>
      <c r="F61" s="37" t="s">
        <v>169</v>
      </c>
      <c r="G61" s="41"/>
    </row>
    <row r="62" spans="1:23" ht="17" customHeight="1">
      <c r="A62" s="41"/>
      <c r="B62" s="85"/>
      <c r="C62" s="37" t="s">
        <v>159</v>
      </c>
      <c r="D62" s="37">
        <v>88119813.296903402</v>
      </c>
      <c r="E62" s="37" t="s">
        <v>66</v>
      </c>
      <c r="F62" s="37" t="s">
        <v>169</v>
      </c>
      <c r="G62" s="41"/>
    </row>
    <row r="63" spans="1:23" ht="17" customHeight="1">
      <c r="A63" s="41"/>
      <c r="B63" s="85"/>
      <c r="C63" s="37" t="s">
        <v>58</v>
      </c>
      <c r="D63" s="86">
        <v>0</v>
      </c>
      <c r="E63" s="37" t="s">
        <v>144</v>
      </c>
      <c r="F63" s="37" t="s">
        <v>169</v>
      </c>
      <c r="G63" s="41"/>
    </row>
    <row r="64" spans="1:23" ht="17" customHeight="1">
      <c r="A64" s="41"/>
      <c r="B64" s="85"/>
      <c r="C64" s="37" t="s">
        <v>170</v>
      </c>
      <c r="D64" s="147">
        <f>D62/D61*$D$6</f>
        <v>67820558.068348154</v>
      </c>
      <c r="E64" s="37" t="s">
        <v>66</v>
      </c>
      <c r="F64" s="37" t="s">
        <v>171</v>
      </c>
      <c r="G64" s="41"/>
    </row>
    <row r="65" spans="1:17" ht="17" customHeight="1">
      <c r="A65" s="41"/>
      <c r="B65" s="85"/>
      <c r="D65" s="88"/>
      <c r="G65" s="41"/>
    </row>
    <row r="66" spans="1:17" ht="17" customHeight="1">
      <c r="A66" s="41"/>
      <c r="B66" s="85"/>
      <c r="C66" s="163"/>
      <c r="D66" s="163"/>
      <c r="E66" s="163"/>
      <c r="F66" s="163"/>
      <c r="G66" s="164"/>
      <c r="H66" s="163"/>
      <c r="I66" s="163"/>
      <c r="J66" s="163"/>
      <c r="K66" s="163"/>
      <c r="L66" s="163"/>
      <c r="M66" s="163"/>
      <c r="N66" s="163"/>
      <c r="O66" s="163"/>
      <c r="P66" s="163"/>
      <c r="Q66" s="163"/>
    </row>
    <row r="67" spans="1:17" ht="17" customHeight="1">
      <c r="A67" s="41"/>
      <c r="B67" s="85"/>
      <c r="C67" s="164" t="s">
        <v>184</v>
      </c>
      <c r="D67" s="163"/>
      <c r="E67" s="163"/>
      <c r="F67" s="163"/>
      <c r="G67" s="164"/>
      <c r="H67" s="163"/>
      <c r="I67" s="163"/>
      <c r="J67" s="163"/>
      <c r="K67" s="163"/>
      <c r="L67" s="163"/>
      <c r="M67" s="163"/>
      <c r="N67" s="163"/>
      <c r="O67" s="163"/>
      <c r="P67" s="163"/>
      <c r="Q67" s="163"/>
    </row>
    <row r="68" spans="1:17" ht="17" customHeight="1">
      <c r="A68" s="41"/>
      <c r="B68" s="85"/>
      <c r="C68" s="165"/>
      <c r="D68" s="165"/>
      <c r="E68" s="165"/>
      <c r="F68" s="165"/>
      <c r="G68" s="165"/>
      <c r="H68" s="165"/>
      <c r="I68" s="165"/>
      <c r="J68" s="165"/>
      <c r="K68" s="165"/>
      <c r="L68" s="165"/>
      <c r="M68" s="165"/>
      <c r="N68" s="165"/>
      <c r="O68" s="165"/>
      <c r="P68" s="163"/>
      <c r="Q68" s="163"/>
    </row>
    <row r="69" spans="1:17" ht="17" customHeight="1">
      <c r="A69" s="41"/>
      <c r="B69" s="85"/>
      <c r="C69" s="165"/>
      <c r="D69" s="165"/>
      <c r="E69" s="165"/>
      <c r="F69" s="165"/>
      <c r="G69" s="165"/>
      <c r="H69" s="165"/>
      <c r="I69" s="165"/>
      <c r="J69" s="165"/>
      <c r="K69" s="165"/>
      <c r="L69" s="165"/>
      <c r="M69" s="165"/>
      <c r="N69" s="165"/>
      <c r="O69" s="165"/>
      <c r="P69" s="163"/>
      <c r="Q69" s="163"/>
    </row>
    <row r="70" spans="1:17" ht="17" customHeight="1">
      <c r="A70" s="41"/>
      <c r="B70" s="85"/>
      <c r="C70" s="165"/>
      <c r="D70" s="163"/>
      <c r="E70" s="205" t="s">
        <v>186</v>
      </c>
      <c r="F70" s="205"/>
      <c r="G70" s="165"/>
      <c r="I70" s="165" t="s">
        <v>174</v>
      </c>
      <c r="J70" s="165"/>
      <c r="K70" s="165"/>
      <c r="L70" s="165"/>
      <c r="N70" s="165"/>
      <c r="O70" s="165"/>
      <c r="P70" s="163"/>
      <c r="Q70" s="163"/>
    </row>
    <row r="71" spans="1:17" ht="17" customHeight="1">
      <c r="A71" s="41"/>
      <c r="B71" s="85"/>
      <c r="C71" s="166" t="s">
        <v>185</v>
      </c>
      <c r="E71" s="165"/>
      <c r="F71" s="165"/>
      <c r="G71" s="165"/>
      <c r="H71" s="165"/>
      <c r="I71" s="165" t="s">
        <v>175</v>
      </c>
      <c r="J71" s="165"/>
      <c r="K71" s="165"/>
      <c r="L71" s="165"/>
      <c r="N71" s="165"/>
      <c r="O71" s="165"/>
      <c r="P71" s="163"/>
      <c r="Q71" s="163"/>
    </row>
    <row r="72" spans="1:17" ht="17" customHeight="1">
      <c r="A72" s="41"/>
      <c r="B72" s="85"/>
      <c r="C72" s="165"/>
      <c r="D72" s="165"/>
      <c r="E72" s="165"/>
      <c r="F72" s="165"/>
      <c r="G72" s="165"/>
      <c r="H72" s="165"/>
      <c r="I72" s="165" t="s">
        <v>176</v>
      </c>
      <c r="J72" s="165"/>
      <c r="K72" s="165"/>
      <c r="L72" s="165"/>
      <c r="N72" s="165"/>
      <c r="O72" s="165"/>
      <c r="P72" s="163"/>
      <c r="Q72" s="163"/>
    </row>
    <row r="73" spans="1:17" ht="17" customHeight="1">
      <c r="A73" s="41"/>
      <c r="B73" s="85"/>
      <c r="C73" s="165"/>
      <c r="D73" s="165"/>
      <c r="E73" s="165"/>
      <c r="F73" s="165" t="s">
        <v>187</v>
      </c>
      <c r="G73" s="165"/>
      <c r="H73" s="165"/>
      <c r="I73" s="165"/>
      <c r="J73" s="165"/>
      <c r="K73" s="165"/>
      <c r="L73" s="165"/>
      <c r="M73" s="165"/>
      <c r="N73" s="165"/>
      <c r="O73" s="165"/>
      <c r="P73" s="163"/>
      <c r="Q73" s="163"/>
    </row>
    <row r="74" spans="1:17" ht="17" customHeight="1">
      <c r="A74" s="41"/>
      <c r="B74" s="85"/>
      <c r="C74" s="165"/>
      <c r="D74" s="165"/>
      <c r="E74" s="165"/>
      <c r="F74" s="167" t="s">
        <v>188</v>
      </c>
      <c r="G74" s="165"/>
      <c r="H74" s="165"/>
      <c r="I74" s="167"/>
      <c r="J74" s="165"/>
      <c r="K74" s="165"/>
      <c r="L74" s="165"/>
      <c r="M74" s="165"/>
      <c r="N74" s="165"/>
      <c r="O74" s="165"/>
      <c r="P74" s="163"/>
      <c r="Q74" s="163"/>
    </row>
    <row r="75" spans="1:17">
      <c r="C75" s="165"/>
      <c r="D75" s="165"/>
      <c r="E75" s="165"/>
      <c r="F75" s="167" t="s">
        <v>189</v>
      </c>
      <c r="G75" s="165"/>
      <c r="H75" s="165"/>
      <c r="I75" s="167"/>
      <c r="J75" s="165"/>
      <c r="K75" s="165"/>
      <c r="L75" s="165"/>
      <c r="M75" s="165"/>
      <c r="N75" s="165"/>
      <c r="O75" s="165"/>
      <c r="P75" s="163"/>
      <c r="Q75" s="163"/>
    </row>
    <row r="76" spans="1:17">
      <c r="C76" s="165"/>
      <c r="D76" s="165"/>
      <c r="E76" s="165"/>
      <c r="F76" s="165"/>
      <c r="G76" s="165"/>
      <c r="H76" s="165"/>
      <c r="I76" s="165"/>
      <c r="J76" s="165"/>
      <c r="K76" s="165"/>
      <c r="L76" s="165"/>
      <c r="M76" s="165"/>
      <c r="N76" s="165"/>
      <c r="O76" s="165"/>
      <c r="P76" s="163"/>
      <c r="Q76" s="163"/>
    </row>
    <row r="77" spans="1:17">
      <c r="C77" s="165"/>
      <c r="D77" s="165"/>
      <c r="E77" s="165"/>
      <c r="F77" s="165"/>
      <c r="G77" s="165"/>
      <c r="H77" s="165"/>
      <c r="I77" s="165"/>
      <c r="J77" s="165"/>
      <c r="K77" s="165"/>
      <c r="L77" s="165"/>
      <c r="M77" s="165"/>
      <c r="N77" s="165"/>
      <c r="O77" s="165"/>
      <c r="P77" s="163"/>
      <c r="Q77" s="163"/>
    </row>
    <row r="78" spans="1:17">
      <c r="C78" s="172" t="s">
        <v>79</v>
      </c>
      <c r="D78" s="172" t="s">
        <v>190</v>
      </c>
      <c r="E78" s="172" t="s">
        <v>7</v>
      </c>
      <c r="F78" s="172" t="s">
        <v>191</v>
      </c>
      <c r="G78" s="172" t="s">
        <v>192</v>
      </c>
      <c r="H78" s="172" t="s">
        <v>7</v>
      </c>
      <c r="I78" s="173"/>
      <c r="J78" s="172" t="s">
        <v>78</v>
      </c>
      <c r="K78" s="172" t="s">
        <v>193</v>
      </c>
      <c r="L78" s="172" t="s">
        <v>194</v>
      </c>
      <c r="M78" s="172" t="s">
        <v>195</v>
      </c>
      <c r="N78" s="172" t="s">
        <v>7</v>
      </c>
      <c r="P78" s="163"/>
      <c r="Q78" s="163"/>
    </row>
    <row r="79" spans="1:17">
      <c r="C79" s="165" t="s">
        <v>196</v>
      </c>
      <c r="D79" s="162">
        <f>E37</f>
        <v>1</v>
      </c>
      <c r="E79" s="165" t="s">
        <v>197</v>
      </c>
      <c r="F79" s="165" t="s">
        <v>198</v>
      </c>
      <c r="G79" s="158">
        <f>D81</f>
        <v>0.1</v>
      </c>
      <c r="H79" s="165" t="s">
        <v>199</v>
      </c>
      <c r="J79" s="165" t="s">
        <v>200</v>
      </c>
      <c r="K79" s="171">
        <f>E30</f>
        <v>0.15473684210526314</v>
      </c>
      <c r="L79" s="171">
        <f>E31</f>
        <v>0.10505263157894738</v>
      </c>
      <c r="M79" s="171">
        <f>E32</f>
        <v>0.14484210526315791</v>
      </c>
      <c r="N79" s="165" t="s">
        <v>197</v>
      </c>
      <c r="P79" s="163"/>
      <c r="Q79" s="163"/>
    </row>
    <row r="80" spans="1:17">
      <c r="C80" s="165" t="s">
        <v>201</v>
      </c>
      <c r="D80" s="157">
        <v>0.1</v>
      </c>
      <c r="E80" s="165" t="s">
        <v>202</v>
      </c>
      <c r="F80" s="169" t="s">
        <v>203</v>
      </c>
      <c r="G80" s="158">
        <f>SUM(K81:M81)</f>
        <v>2.9690947368421053E-2</v>
      </c>
      <c r="H80" s="169" t="s">
        <v>199</v>
      </c>
      <c r="I80" s="165" t="s">
        <v>2</v>
      </c>
      <c r="J80" s="165" t="s">
        <v>201</v>
      </c>
      <c r="K80" s="157">
        <v>7.9600000000000004E-2</v>
      </c>
      <c r="L80" s="157">
        <v>7.0800000000000002E-2</v>
      </c>
      <c r="M80" s="157">
        <v>6.8599999999999994E-2</v>
      </c>
      <c r="N80" s="165" t="s">
        <v>202</v>
      </c>
      <c r="P80" s="163"/>
      <c r="Q80" s="163"/>
    </row>
    <row r="81" spans="3:17">
      <c r="C81" s="165" t="s">
        <v>198</v>
      </c>
      <c r="D81" s="160">
        <f>D80*D79</f>
        <v>0.1</v>
      </c>
      <c r="E81" s="165" t="s">
        <v>199</v>
      </c>
      <c r="F81" s="165" t="s">
        <v>209</v>
      </c>
      <c r="G81" s="158">
        <f>G79-G80</f>
        <v>7.0309052631578953E-2</v>
      </c>
      <c r="H81" s="165" t="s">
        <v>199</v>
      </c>
      <c r="J81" s="165" t="s">
        <v>203</v>
      </c>
      <c r="K81" s="176">
        <f>K80*K79</f>
        <v>1.2317052631578947E-2</v>
      </c>
      <c r="L81" s="176">
        <f t="shared" ref="L81:M81" si="5">L80*L79</f>
        <v>7.4377263157894748E-3</v>
      </c>
      <c r="M81" s="176">
        <f t="shared" si="5"/>
        <v>9.9361684210526324E-3</v>
      </c>
      <c r="N81" s="165" t="s">
        <v>199</v>
      </c>
      <c r="P81" s="163"/>
      <c r="Q81" s="163"/>
    </row>
    <row r="82" spans="3:17">
      <c r="C82" s="165"/>
      <c r="D82" s="165"/>
      <c r="E82" s="165"/>
      <c r="F82" s="165"/>
      <c r="G82" s="170"/>
      <c r="H82" s="165"/>
      <c r="J82" s="165"/>
      <c r="K82" s="165"/>
      <c r="L82" s="165"/>
      <c r="M82" s="165"/>
      <c r="N82" s="165"/>
      <c r="O82" s="165"/>
      <c r="P82" s="163"/>
      <c r="Q82" s="163"/>
    </row>
    <row r="83" spans="3:17">
      <c r="C83" s="165" t="s">
        <v>208</v>
      </c>
      <c r="D83" s="165"/>
      <c r="E83" s="165"/>
      <c r="F83" s="165"/>
      <c r="G83" s="165"/>
      <c r="H83" s="165"/>
      <c r="J83" s="165"/>
      <c r="K83" s="165"/>
      <c r="L83" s="165"/>
      <c r="M83" s="165"/>
      <c r="N83" s="165"/>
      <c r="O83" s="165"/>
      <c r="P83" s="163"/>
      <c r="Q83" s="163"/>
    </row>
    <row r="84" spans="3:17">
      <c r="C84" s="168"/>
      <c r="D84" s="165"/>
      <c r="E84" s="165"/>
      <c r="F84" s="165" t="s">
        <v>205</v>
      </c>
      <c r="G84" s="158">
        <f>G81*G88</f>
        <v>6.3278147368421064E-2</v>
      </c>
      <c r="H84" s="165" t="s">
        <v>199</v>
      </c>
      <c r="J84" s="165"/>
      <c r="K84" s="165"/>
      <c r="L84" s="165"/>
      <c r="M84" s="165"/>
      <c r="N84" s="165"/>
      <c r="O84" s="165"/>
      <c r="P84" s="163"/>
      <c r="Q84" s="163"/>
    </row>
    <row r="85" spans="3:17">
      <c r="C85" s="165"/>
      <c r="D85" s="165"/>
      <c r="E85" s="165"/>
      <c r="F85" s="169" t="s">
        <v>206</v>
      </c>
      <c r="G85" s="159">
        <f>G81*(1-G88)</f>
        <v>7.0309052631578935E-3</v>
      </c>
      <c r="H85" s="169" t="s">
        <v>199</v>
      </c>
      <c r="J85" s="165"/>
      <c r="K85" s="165"/>
      <c r="L85" s="165"/>
      <c r="M85" s="165"/>
      <c r="N85" s="165"/>
      <c r="O85" s="165"/>
      <c r="P85" s="163"/>
      <c r="Q85" s="163"/>
    </row>
    <row r="86" spans="3:17">
      <c r="C86" s="165"/>
      <c r="D86" s="165"/>
      <c r="E86" s="165"/>
      <c r="F86" s="165" t="s">
        <v>204</v>
      </c>
      <c r="G86" s="158">
        <f>G81</f>
        <v>7.0309052631578953E-2</v>
      </c>
      <c r="H86" s="165" t="s">
        <v>199</v>
      </c>
      <c r="J86" s="165"/>
      <c r="K86" s="165"/>
      <c r="L86" s="165"/>
      <c r="M86" s="165"/>
      <c r="N86" s="165"/>
      <c r="O86" s="165"/>
      <c r="P86" s="163"/>
      <c r="Q86" s="163"/>
    </row>
    <row r="87" spans="3:17">
      <c r="C87" s="165"/>
      <c r="D87" s="165"/>
      <c r="E87" s="165"/>
      <c r="F87" s="165"/>
      <c r="G87" s="165"/>
      <c r="H87" s="165"/>
      <c r="J87" s="165"/>
      <c r="K87" s="165"/>
      <c r="L87" s="165"/>
      <c r="M87" s="165"/>
      <c r="N87" s="165"/>
      <c r="O87" s="165"/>
      <c r="P87" s="163"/>
      <c r="Q87" s="163"/>
    </row>
    <row r="88" spans="3:17">
      <c r="C88" s="165"/>
      <c r="D88" s="165"/>
      <c r="E88" s="165"/>
      <c r="F88" s="165" t="s">
        <v>207</v>
      </c>
      <c r="G88" s="161">
        <v>0.9</v>
      </c>
      <c r="H88" s="165" t="s">
        <v>160</v>
      </c>
      <c r="J88" s="165"/>
      <c r="K88" s="165"/>
      <c r="L88" s="165"/>
      <c r="M88" s="165"/>
      <c r="N88" s="165"/>
      <c r="O88" s="165"/>
      <c r="P88" s="163"/>
      <c r="Q88" s="163"/>
    </row>
    <row r="89" spans="3:17">
      <c r="C89" s="165"/>
      <c r="D89" s="165"/>
      <c r="E89" s="165"/>
      <c r="F89" s="165"/>
      <c r="G89" s="165"/>
      <c r="H89" s="165"/>
      <c r="I89" s="165"/>
      <c r="J89" s="165"/>
      <c r="K89" s="165"/>
      <c r="L89" s="165"/>
      <c r="M89" s="165"/>
      <c r="N89" s="165"/>
      <c r="O89" s="165"/>
      <c r="P89" s="163"/>
      <c r="Q89" s="163"/>
    </row>
    <row r="90" spans="3:17">
      <c r="F90" s="163"/>
      <c r="G90" s="163"/>
      <c r="H90" s="163"/>
      <c r="I90" s="163"/>
      <c r="J90" s="163"/>
      <c r="K90" s="163"/>
      <c r="L90" s="163"/>
      <c r="M90" s="163"/>
      <c r="N90" s="163"/>
      <c r="O90" s="163"/>
      <c r="P90" s="163"/>
      <c r="Q90" s="163"/>
    </row>
    <row r="91" spans="3:17">
      <c r="F91" s="163"/>
      <c r="G91" s="163"/>
      <c r="H91" s="163"/>
      <c r="I91" s="163"/>
      <c r="J91" s="163"/>
      <c r="K91" s="163"/>
      <c r="L91" s="163"/>
      <c r="M91" s="163"/>
      <c r="N91" s="163"/>
      <c r="O91" s="163"/>
      <c r="P91" s="163"/>
      <c r="Q91" s="163"/>
    </row>
    <row r="92" spans="3:17">
      <c r="F92" s="163"/>
      <c r="G92" s="163"/>
      <c r="H92" s="163"/>
      <c r="I92" s="163"/>
      <c r="J92" s="163"/>
      <c r="K92" s="163"/>
      <c r="L92" s="163"/>
      <c r="M92" s="163"/>
      <c r="N92" s="163"/>
      <c r="O92" s="163"/>
      <c r="P92" s="163"/>
      <c r="Q92" s="163"/>
    </row>
    <row r="93" spans="3:17">
      <c r="D93" s="163"/>
      <c r="E93" s="163"/>
      <c r="F93" s="163"/>
      <c r="G93" s="163"/>
      <c r="H93" s="163"/>
      <c r="I93" s="163"/>
      <c r="J93" s="163"/>
      <c r="K93" s="163"/>
      <c r="L93" s="163"/>
      <c r="M93" s="163"/>
      <c r="N93" s="163"/>
      <c r="O93" s="163"/>
      <c r="P93" s="163"/>
      <c r="Q93" s="163"/>
    </row>
    <row r="94" spans="3:17">
      <c r="C94" s="163" t="s">
        <v>19</v>
      </c>
      <c r="D94" s="174">
        <f>ROUND(G84/D81,6)</f>
        <v>0.63278100000000004</v>
      </c>
      <c r="E94" s="163" t="s">
        <v>2</v>
      </c>
      <c r="F94" s="163" t="s">
        <v>213</v>
      </c>
      <c r="G94" s="163"/>
      <c r="H94" s="163"/>
      <c r="I94" s="163"/>
      <c r="J94" s="163"/>
      <c r="K94" s="163"/>
      <c r="L94" s="163"/>
      <c r="M94" s="163"/>
      <c r="N94" s="163"/>
      <c r="O94" s="163"/>
      <c r="P94" s="163"/>
      <c r="Q94" s="163"/>
    </row>
    <row r="95" spans="3:17">
      <c r="C95" s="163" t="s">
        <v>182</v>
      </c>
      <c r="D95" s="147">
        <v>0.9</v>
      </c>
      <c r="E95" s="37" t="s">
        <v>2</v>
      </c>
      <c r="F95" s="206" t="s">
        <v>215</v>
      </c>
      <c r="G95" s="163"/>
      <c r="H95" s="163"/>
      <c r="I95" s="163"/>
      <c r="J95" s="163"/>
      <c r="K95" s="163"/>
      <c r="L95" s="163"/>
      <c r="M95" s="163"/>
      <c r="N95" s="163"/>
      <c r="O95" s="163"/>
      <c r="P95" s="163"/>
      <c r="Q95" s="163"/>
    </row>
    <row r="96" spans="3:17">
      <c r="C96" s="175" t="s">
        <v>211</v>
      </c>
      <c r="D96" s="174">
        <f>ROUND(G86,6)</f>
        <v>7.0308999999999996E-2</v>
      </c>
      <c r="E96" s="163" t="s">
        <v>202</v>
      </c>
      <c r="F96" s="37" t="s">
        <v>212</v>
      </c>
    </row>
    <row r="102" spans="3:4">
      <c r="D102" s="88"/>
    </row>
    <row r="104" spans="3:4">
      <c r="C104" s="144"/>
    </row>
    <row r="106" spans="3:4">
      <c r="D106" s="148"/>
    </row>
  </sheetData>
  <mergeCells count="2">
    <mergeCell ref="M7:W7"/>
    <mergeCell ref="E70:F70"/>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2026-05-21T09:28:39Z</dcterms:modified>
</cp:coreProperties>
</file>