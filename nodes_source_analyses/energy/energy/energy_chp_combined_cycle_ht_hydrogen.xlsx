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energy/"/>
    </mc:Choice>
  </mc:AlternateContent>
  <xr:revisionPtr revIDLastSave="0" documentId="13_ncr:1_{491738F8-2090-7545-A55A-8177C170D690}" xr6:coauthVersionLast="47" xr6:coauthVersionMax="47" xr10:uidLastSave="{00000000-0000-0000-0000-000000000000}"/>
  <bookViews>
    <workbookView xWindow="0" yWindow="500" windowWidth="28800" windowHeight="18000" tabRatio="762" activeTab="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G17" i="13" l="1"/>
  <c r="D46" i="16"/>
  <c r="D116" i="16" l="1"/>
  <c r="K18" i="13" s="1"/>
  <c r="I18" i="13"/>
  <c r="K7" i="13"/>
  <c r="G7" i="13" s="1"/>
  <c r="K6" i="13"/>
  <c r="G6" i="13" s="1"/>
  <c r="D28" i="16"/>
  <c r="I9" i="13" s="1"/>
  <c r="G9" i="13" s="1"/>
  <c r="G8" i="13" l="1"/>
  <c r="E11" i="12" s="1"/>
  <c r="G18" i="13"/>
  <c r="D101" i="16"/>
  <c r="I10" i="13" s="1"/>
  <c r="G10" i="13" s="1"/>
  <c r="I24" i="13"/>
  <c r="K24" i="13"/>
  <c r="M13" i="13"/>
  <c r="M14" i="13"/>
  <c r="I19" i="13"/>
  <c r="G14" i="13"/>
  <c r="E26" i="12" s="1"/>
  <c r="G13" i="13"/>
  <c r="E25" i="12" s="1"/>
  <c r="G26" i="13" l="1"/>
  <c r="G23" i="13" s="1"/>
  <c r="G22" i="13" s="1"/>
  <c r="E14" i="12"/>
  <c r="G20" i="13"/>
  <c r="E18" i="12" s="1"/>
  <c r="E19" i="12" l="1"/>
  <c r="G19" i="13"/>
</calcChain>
</file>

<file path=xl/sharedStrings.xml><?xml version="1.0" encoding="utf-8"?>
<sst xmlns="http://schemas.openxmlformats.org/spreadsheetml/2006/main" count="211" uniqueCount="160">
  <si>
    <t>Source</t>
  </si>
  <si>
    <t>Construction time</t>
  </si>
  <si>
    <t>years</t>
  </si>
  <si>
    <t>%</t>
  </si>
  <si>
    <t>-</t>
  </si>
  <si>
    <t>Technical lifetime</t>
  </si>
  <si>
    <t>Value</t>
  </si>
  <si>
    <t>Other</t>
  </si>
  <si>
    <t>Initial investment costs</t>
  </si>
  <si>
    <t>NL</t>
  </si>
  <si>
    <t>yes=1, no=0</t>
  </si>
  <si>
    <t>cost_of_installing</t>
  </si>
  <si>
    <t>Definition</t>
  </si>
  <si>
    <t>Unit</t>
  </si>
  <si>
    <t>Link</t>
  </si>
  <si>
    <t>Cover Sheet</t>
  </si>
  <si>
    <t>Document</t>
  </si>
  <si>
    <t>Country</t>
  </si>
  <si>
    <t>Organization</t>
  </si>
  <si>
    <t>Quintel Intelligence</t>
  </si>
  <si>
    <t>Definition on the sources</t>
  </si>
  <si>
    <t>Weighted average cost of capita</t>
  </si>
  <si>
    <t>Installation cost</t>
  </si>
  <si>
    <t>Technical lifetime of the plant</t>
  </si>
  <si>
    <t xml:space="preserve">Construction time of the plant </t>
  </si>
  <si>
    <t xml:space="preserve">Decmmmissioning cost </t>
  </si>
  <si>
    <t>Type</t>
  </si>
  <si>
    <t>Date published</t>
  </si>
  <si>
    <t>Attribute</t>
  </si>
  <si>
    <t>euro</t>
  </si>
  <si>
    <t>availability</t>
  </si>
  <si>
    <t>free_co2_factor</t>
  </si>
  <si>
    <t>takes_part_in_ets</t>
  </si>
  <si>
    <t>electricity_output_capacity</t>
  </si>
  <si>
    <t>heat_output_capacity</t>
  </si>
  <si>
    <t>initial_investment</t>
  </si>
  <si>
    <t>ccs_investment</t>
  </si>
  <si>
    <t>decommissioning_costs</t>
  </si>
  <si>
    <t>fixed_operation_and_maintenance_costs_per_year</t>
  </si>
  <si>
    <t>variable_operation_and_maintenance_costs_per_full_load_hour</t>
  </si>
  <si>
    <t>variable_operation_and_maintenance_costs_for_ccs_per_full_load_hour</t>
  </si>
  <si>
    <t>construction_time</t>
  </si>
  <si>
    <t>technical_lifetime</t>
  </si>
  <si>
    <t>wacc</t>
  </si>
  <si>
    <t>euro/FLH</t>
  </si>
  <si>
    <t>euro/year</t>
  </si>
  <si>
    <t>quintel/etsource@0277ad226491f5aae44c874b298cbcf694d2f6cb</t>
  </si>
  <si>
    <t>Investment cost with ccs</t>
  </si>
  <si>
    <t>Fixed operational and maintenance costs per year</t>
  </si>
  <si>
    <t>Variable operational and maintenance costs</t>
  </si>
  <si>
    <t>Variable operational and maintenance costs for ccs</t>
  </si>
  <si>
    <t>FLH</t>
  </si>
  <si>
    <t>Date retrived</t>
  </si>
  <si>
    <t>output.steam_hot_water</t>
  </si>
  <si>
    <t>MW</t>
  </si>
  <si>
    <t>EU</t>
  </si>
  <si>
    <t>Moerdijk</t>
  </si>
  <si>
    <t xml:space="preserve">         Technical lifetime</t>
  </si>
  <si>
    <t xml:space="preserve">        Total operational and maintenance cost</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</si>
  <si>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</si>
  <si>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</si>
  <si>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</si>
  <si>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</si>
  <si>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</si>
  <si>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</si>
  <si>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</si>
  <si>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</si>
  <si>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</si>
  <si>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</si>
  <si>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</si>
  <si>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</si>
  <si>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</si>
  <si>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</si>
  <si>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</si>
  <si>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</si>
  <si>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Cost</t>
  </si>
  <si>
    <t xml:space="preserve">Technical </t>
  </si>
  <si>
    <t>Parameter</t>
  </si>
  <si>
    <r>
      <t>euro/M</t>
    </r>
    <r>
      <rPr>
        <sz val="12"/>
        <color theme="1"/>
        <rFont val="Calibri"/>
        <family val="2"/>
        <scheme val="minor"/>
      </rPr>
      <t>W</t>
    </r>
    <r>
      <rPr>
        <sz val="12"/>
        <color theme="1"/>
        <rFont val="Calibri"/>
        <family val="2"/>
        <scheme val="minor"/>
      </rPr>
      <t>h</t>
    </r>
  </si>
  <si>
    <r>
      <t>euro/</t>
    </r>
    <r>
      <rPr>
        <sz val="12"/>
        <color theme="1"/>
        <rFont val="Calibri"/>
        <family val="2"/>
        <scheme val="minor"/>
      </rPr>
      <t>KW</t>
    </r>
    <r>
      <rPr>
        <sz val="12"/>
        <color theme="1"/>
        <rFont val="Calibri"/>
        <family val="2"/>
        <scheme val="minor"/>
      </rPr>
      <t>/year</t>
    </r>
  </si>
  <si>
    <t>Costs</t>
  </si>
  <si>
    <t xml:space="preserve">         Initial investment costs </t>
  </si>
  <si>
    <r>
      <t xml:space="preserve">        </t>
    </r>
    <r>
      <rPr>
        <sz val="12"/>
        <color theme="1"/>
        <rFont val="Calibri"/>
        <family val="2"/>
        <scheme val="minor"/>
      </rPr>
      <t>Total f</t>
    </r>
    <r>
      <rPr>
        <sz val="12"/>
        <color theme="1"/>
        <rFont val="Calibri"/>
        <family val="2"/>
        <scheme val="minor"/>
      </rPr>
      <t>ixed operational and maintenance costs</t>
    </r>
  </si>
  <si>
    <t xml:space="preserve">        Fixed operational and maintenance costs </t>
  </si>
  <si>
    <t xml:space="preserve">        Fixed operational and maintenance costs</t>
  </si>
  <si>
    <t xml:space="preserve">        Variable operational and maintenance costs</t>
  </si>
  <si>
    <r>
      <t xml:space="preserve">        </t>
    </r>
    <r>
      <rPr>
        <sz val="12"/>
        <color theme="1"/>
        <rFont val="Calibri"/>
        <family val="2"/>
        <scheme val="minor"/>
      </rPr>
      <t>Full load hours</t>
    </r>
  </si>
  <si>
    <r>
      <t>M</t>
    </r>
    <r>
      <rPr>
        <sz val="12"/>
        <color theme="1"/>
        <rFont val="Calibri"/>
        <family val="2"/>
        <scheme val="minor"/>
      </rPr>
      <t>W</t>
    </r>
    <r>
      <rPr>
        <sz val="12"/>
        <color theme="1"/>
        <rFont val="Calibri"/>
        <family val="2"/>
        <scheme val="minor"/>
      </rPr>
      <t>h/year</t>
    </r>
  </si>
  <si>
    <r>
      <t>output</t>
    </r>
    <r>
      <rPr>
        <sz val="12"/>
        <color theme="1"/>
        <rFont val="Calibri"/>
        <family val="2"/>
        <scheme val="minor"/>
      </rPr>
      <t>.electricity</t>
    </r>
  </si>
  <si>
    <t>2012</t>
  </si>
  <si>
    <t>GitHub</t>
  </si>
  <si>
    <t>https://github.com/quintel/etsource/issues/272#issuecomment-17880519</t>
  </si>
  <si>
    <t>Energymatters</t>
  </si>
  <si>
    <r>
      <t xml:space="preserve">        Production Elect</t>
    </r>
    <r>
      <rPr>
        <sz val="12"/>
        <color theme="1"/>
        <rFont val="Calibri"/>
        <family val="2"/>
        <scheme val="minor"/>
      </rPr>
      <t>r</t>
    </r>
    <r>
      <rPr>
        <sz val="12"/>
        <color theme="1"/>
        <rFont val="Calibri"/>
        <family val="2"/>
        <scheme val="minor"/>
      </rPr>
      <t>icity yearly</t>
    </r>
  </si>
  <si>
    <t>Comments</t>
  </si>
  <si>
    <t>iea-etsap</t>
  </si>
  <si>
    <t>http://www.iea-etsap.org/web/e-techds/pdf/e02-gas_fired_power-gs-ad-gct.pdf</t>
  </si>
  <si>
    <t>The calculations for fixed and variable operating and maintenance costs are described in detail in:</t>
  </si>
  <si>
    <t>GitHub Ticket</t>
  </si>
  <si>
    <t>Technical</t>
  </si>
  <si>
    <t xml:space="preserve"> Investment cost</t>
  </si>
  <si>
    <t>Notes</t>
  </si>
  <si>
    <t>p.1</t>
  </si>
  <si>
    <t>p.5</t>
  </si>
  <si>
    <t>euro/KW</t>
  </si>
  <si>
    <t>eur</t>
  </si>
  <si>
    <t>euro/yr</t>
  </si>
  <si>
    <t>The fixed O&amp;M cost : 1/3 of the total operational and maintenance costs</t>
  </si>
  <si>
    <t>The variable O&amp;M cost : 2/3 of the total operational and maintenance costs</t>
  </si>
  <si>
    <t xml:space="preserve">The ratio of fixed and variable O&amp;M costs is recommended by an expert from Energymatters. </t>
  </si>
  <si>
    <t>The total O&amp;M cost is slighty higher than the Energymatters report.</t>
  </si>
  <si>
    <t>Subject year</t>
  </si>
  <si>
    <t>p.4</t>
  </si>
  <si>
    <t>yr</t>
  </si>
  <si>
    <t>months</t>
  </si>
  <si>
    <t xml:space="preserve"> iea-etsap</t>
  </si>
  <si>
    <t>Ecofys</t>
  </si>
  <si>
    <t>p.17</t>
  </si>
  <si>
    <t>euro/MWh</t>
  </si>
  <si>
    <t>Investment cost</t>
  </si>
  <si>
    <t>http://www.ecofys.com/files/files/ecofys-eci-2014-flexibility-options-in-electricity-systems.pdf</t>
  </si>
  <si>
    <t>Vriable O&amp;M</t>
  </si>
  <si>
    <t>ETM Library URL</t>
  </si>
  <si>
    <t>The ratio of fixed and variable O&amp;M costs is close to 1/3 for fixed and 2/3 for variable O&amp;M cost in order to be consistent with the "energy_power_combined_cycle_gas" plant.</t>
  </si>
  <si>
    <t>It is assumed 3 euro/MWh for variable O&amp;M cost and the rest is allocated for fixed O&amp;M cost.</t>
  </si>
  <si>
    <t>Variable O&amp;M</t>
  </si>
  <si>
    <t>http://refman.et-model.com/publications/1937</t>
  </si>
  <si>
    <t>http://refman.et-model.com/publications/1960</t>
  </si>
  <si>
    <t>http://refman.et-model.com/publications/1943</t>
  </si>
  <si>
    <t>The  variable O&amp;M cost for "energy_chp_combined_cycle_gas" plant are slightly higher than the "energy_power_combined_cycle_gas" plant, the fixed O&amp;M has remaines the same</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</si>
  <si>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</si>
  <si>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See https://github.com/quintel/documentation/blob/master/general/cost_calculations.md#weighted-average-cost-of-capital</t>
  </si>
  <si>
    <t>Efficiency CCGT CHP</t>
  </si>
  <si>
    <t>output.electricity</t>
  </si>
  <si>
    <t>typical_input_capacity</t>
  </si>
  <si>
    <t>Input capacity</t>
  </si>
  <si>
    <t>Duplicate of</t>
  </si>
  <si>
    <t>energy_chp_combined_cycle_mt_network_gas.ad</t>
  </si>
  <si>
    <t>Robin de Smit</t>
  </si>
  <si>
    <t>energy_chp_combined_cycle_mt_hydrogen.ad</t>
  </si>
  <si>
    <t xml:space="preserve">hydrogen compared </t>
  </si>
  <si>
    <t>to network gas</t>
  </si>
  <si>
    <t>Öberg, S., Odenberger, M., &amp; Johnsson, F. (2022)</t>
  </si>
  <si>
    <t>US</t>
  </si>
  <si>
    <t>Ratio investment cost hydrogen to network gas</t>
  </si>
  <si>
    <t xml:space="preserve">ratio investment cost </t>
  </si>
  <si>
    <t>initial investment cost per KW</t>
  </si>
  <si>
    <t>Energymatters, Öberg (2022)</t>
  </si>
  <si>
    <t>Initial investment for network gas</t>
  </si>
  <si>
    <t>Initial investment for hydrogen</t>
  </si>
  <si>
    <t>Data from Energymatters report is used with correction of the ratio hydrogen to network gas as described in Öberg (2022).</t>
  </si>
  <si>
    <t xml:space="preserve">As hydrogen-fired CCGT CHP is still an emerging technology, detailed technological and financial specifications are not yet available. </t>
  </si>
  <si>
    <t>https://www.sciencedirect.com/science/article/pii/S0360319921039768</t>
  </si>
  <si>
    <t>Therefore, the same technological specs are used for the hydrogen-fired variant with exeption of the investment costs.</t>
  </si>
  <si>
    <t xml:space="preserve">Based on expert consultation from BlueTerra, the technological specifications from the hydrogen-fired variant will not deviate significantly from the gas variant. </t>
  </si>
  <si>
    <r>
      <t>euro/</t>
    </r>
    <r>
      <rPr>
        <sz val="12"/>
        <color theme="1"/>
        <rFont val="Calibri"/>
        <family val="2"/>
        <scheme val="minor"/>
      </rPr>
      <t>Kwe</t>
    </r>
  </si>
  <si>
    <t>KWe</t>
  </si>
  <si>
    <t>MWe</t>
  </si>
  <si>
    <t>euro/KWe</t>
  </si>
  <si>
    <t>Initial investment costs per Kwe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</si>
</sst>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2">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u/>
      <sz val="12"/>
      <color theme="10"/>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247">
    <xf numFmtId="0" fontId="0" fillId="0" borderId="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cellStyleXfs>
  <cellXfs count="164">
    <xf numFmtId="0" fontId="0" fillId="0" borderId="0" xfId="0"/>
    <xf numFmtId="0" fontId="22" fillId="3" borderId="7" xfId="0" applyFont="1" applyFill="1" applyBorder="1"/>
    <xf numFmtId="0" fontId="23" fillId="3" borderId="17" xfId="0" applyFont="1" applyFill="1" applyBorder="1"/>
    <xf numFmtId="0" fontId="22" fillId="3" borderId="13" xfId="0" applyFont="1" applyFill="1" applyBorder="1"/>
    <xf numFmtId="0" fontId="24" fillId="3" borderId="7" xfId="0" applyFont="1" applyFill="1" applyBorder="1" applyAlignment="1">
      <alignment vertical="center"/>
    </xf>
    <xf numFmtId="2" fontId="22" fillId="3" borderId="8" xfId="0" applyNumberFormat="1" applyFont="1" applyFill="1" applyBorder="1" applyAlignment="1">
      <alignment horizontal="left"/>
    </xf>
    <xf numFmtId="0" fontId="24" fillId="3" borderId="1" xfId="0" applyFont="1" applyFill="1" applyBorder="1" applyAlignment="1">
      <alignment vertical="center"/>
    </xf>
    <xf numFmtId="0" fontId="22" fillId="3" borderId="14" xfId="0" applyFont="1" applyFill="1" applyBorder="1"/>
    <xf numFmtId="0" fontId="22" fillId="3" borderId="0" xfId="0" applyFont="1" applyFill="1"/>
    <xf numFmtId="0" fontId="21" fillId="2" borderId="0" xfId="0" applyFont="1" applyFill="1" applyAlignment="1">
      <alignment vertical="center"/>
    </xf>
    <xf numFmtId="1" fontId="21" fillId="2" borderId="0" xfId="0" applyNumberFormat="1" applyFont="1" applyFill="1" applyAlignment="1">
      <alignment vertical="center"/>
    </xf>
    <xf numFmtId="1" fontId="21" fillId="2" borderId="0" xfId="0" applyNumberFormat="1" applyFont="1" applyFill="1" applyAlignment="1">
      <alignment horizontal="right" vertical="center"/>
    </xf>
    <xf numFmtId="2" fontId="21" fillId="2" borderId="0" xfId="0" applyNumberFormat="1" applyFont="1" applyFill="1" applyAlignment="1">
      <alignment horizontal="right" vertical="center"/>
    </xf>
    <xf numFmtId="0" fontId="21" fillId="0" borderId="0" xfId="0" applyFont="1" applyAlignment="1">
      <alignment horizontal="left" vertical="center"/>
    </xf>
    <xf numFmtId="0" fontId="21" fillId="2" borderId="0" xfId="0" applyFont="1" applyFill="1"/>
    <xf numFmtId="0" fontId="21" fillId="2" borderId="9" xfId="0" applyFont="1" applyFill="1" applyBorder="1"/>
    <xf numFmtId="0" fontId="21" fillId="2" borderId="4" xfId="0" applyFont="1" applyFill="1" applyBorder="1"/>
    <xf numFmtId="0" fontId="18" fillId="2" borderId="0" xfId="0" applyFont="1" applyFill="1"/>
    <xf numFmtId="0" fontId="22" fillId="0" borderId="0" xfId="0" applyFont="1"/>
    <xf numFmtId="0" fontId="21" fillId="2" borderId="6" xfId="0" applyFont="1" applyFill="1" applyBorder="1"/>
    <xf numFmtId="0" fontId="22" fillId="3" borderId="17" xfId="0" applyFont="1" applyFill="1" applyBorder="1"/>
    <xf numFmtId="0" fontId="22" fillId="3" borderId="2" xfId="0" applyFont="1" applyFill="1" applyBorder="1"/>
    <xf numFmtId="0" fontId="18" fillId="2" borderId="2" xfId="0" applyFont="1" applyFill="1" applyBorder="1"/>
    <xf numFmtId="0" fontId="25" fillId="3" borderId="0" xfId="0" applyFont="1" applyFill="1"/>
    <xf numFmtId="0" fontId="18" fillId="2" borderId="7" xfId="0" applyFont="1" applyFill="1" applyBorder="1"/>
    <xf numFmtId="0" fontId="23" fillId="3" borderId="0" xfId="0" applyFont="1" applyFill="1"/>
    <xf numFmtId="0" fontId="21" fillId="2" borderId="0" xfId="0" applyFont="1" applyFill="1" applyAlignment="1">
      <alignment horizontal="left" vertical="center"/>
    </xf>
    <xf numFmtId="0" fontId="26" fillId="0" borderId="0" xfId="177" applyFont="1" applyFill="1" applyBorder="1" applyAlignment="1" applyProtection="1"/>
    <xf numFmtId="0" fontId="17" fillId="2" borderId="18" xfId="0" applyFont="1" applyFill="1" applyBorder="1"/>
    <xf numFmtId="0" fontId="17" fillId="2" borderId="0" xfId="0" applyFont="1" applyFill="1"/>
    <xf numFmtId="0" fontId="17" fillId="0" borderId="0" xfId="0" applyFont="1"/>
    <xf numFmtId="0" fontId="17" fillId="2" borderId="3" xfId="0" applyFont="1" applyFill="1" applyBorder="1"/>
    <xf numFmtId="0" fontId="17" fillId="2" borderId="15" xfId="0" applyFont="1" applyFill="1" applyBorder="1"/>
    <xf numFmtId="0" fontId="17" fillId="2" borderId="6" xfId="0" applyFont="1" applyFill="1" applyBorder="1"/>
    <xf numFmtId="0" fontId="17" fillId="2" borderId="10" xfId="0" applyFont="1" applyFill="1" applyBorder="1"/>
    <xf numFmtId="0" fontId="17" fillId="2" borderId="11" xfId="0" applyFont="1" applyFill="1" applyBorder="1"/>
    <xf numFmtId="0" fontId="17" fillId="2" borderId="12" xfId="0" applyFont="1" applyFill="1" applyBorder="1"/>
    <xf numFmtId="0" fontId="27" fillId="2" borderId="0" xfId="0" applyFont="1" applyFill="1"/>
    <xf numFmtId="0" fontId="27" fillId="2" borderId="5" xfId="0" applyFont="1" applyFill="1" applyBorder="1"/>
    <xf numFmtId="2" fontId="17" fillId="2" borderId="18" xfId="0" applyNumberFormat="1" applyFont="1" applyFill="1" applyBorder="1"/>
    <xf numFmtId="164" fontId="17" fillId="2" borderId="18" xfId="0" applyNumberFormat="1" applyFont="1" applyFill="1" applyBorder="1"/>
    <xf numFmtId="0" fontId="28" fillId="2" borderId="0" xfId="0" applyFont="1" applyFill="1"/>
    <xf numFmtId="49" fontId="28" fillId="2" borderId="0" xfId="0" applyNumberFormat="1" applyFont="1" applyFill="1"/>
    <xf numFmtId="0" fontId="28" fillId="2" borderId="3" xfId="0" applyFont="1" applyFill="1" applyBorder="1"/>
    <xf numFmtId="0" fontId="28" fillId="2" borderId="4" xfId="0" applyFont="1" applyFill="1" applyBorder="1"/>
    <xf numFmtId="49" fontId="28" fillId="2" borderId="4" xfId="0" applyNumberFormat="1" applyFont="1" applyFill="1" applyBorder="1"/>
    <xf numFmtId="0" fontId="28" fillId="2" borderId="6" xfId="0" applyFont="1" applyFill="1" applyBorder="1"/>
    <xf numFmtId="0" fontId="29" fillId="2" borderId="0" xfId="0" applyFont="1" applyFill="1"/>
    <xf numFmtId="49" fontId="29" fillId="2" borderId="0" xfId="0" applyNumberFormat="1" applyFont="1" applyFill="1"/>
    <xf numFmtId="0" fontId="28" fillId="2" borderId="16" xfId="0" applyFont="1" applyFill="1" applyBorder="1"/>
    <xf numFmtId="0" fontId="29" fillId="2" borderId="9" xfId="0" applyFont="1" applyFill="1" applyBorder="1"/>
    <xf numFmtId="49" fontId="29" fillId="2" borderId="9" xfId="0" applyNumberFormat="1" applyFont="1" applyFill="1" applyBorder="1"/>
    <xf numFmtId="0" fontId="28" fillId="2" borderId="0" xfId="0" applyFont="1" applyFill="1" applyAlignment="1">
      <alignment vertical="top"/>
    </xf>
    <xf numFmtId="0" fontId="28" fillId="2" borderId="0" xfId="0" applyFont="1" applyFill="1" applyAlignment="1">
      <alignment horizontal="left" vertical="center" indent="2"/>
    </xf>
    <xf numFmtId="0" fontId="28" fillId="2" borderId="0" xfId="0" applyFont="1" applyFill="1" applyAlignment="1">
      <alignment vertical="top" wrapText="1"/>
    </xf>
    <xf numFmtId="49" fontId="28" fillId="2" borderId="0" xfId="0" applyNumberFormat="1" applyFont="1" applyFill="1" applyAlignment="1">
      <alignment vertical="top" wrapText="1"/>
    </xf>
    <xf numFmtId="0" fontId="28" fillId="2" borderId="0" xfId="177" applyFont="1" applyFill="1" applyBorder="1" applyAlignment="1" applyProtection="1">
      <alignment vertical="top"/>
    </xf>
    <xf numFmtId="164" fontId="28" fillId="2" borderId="0" xfId="0" applyNumberFormat="1" applyFont="1" applyFill="1" applyAlignment="1">
      <alignment horizontal="left" vertical="center" indent="2"/>
    </xf>
    <xf numFmtId="49" fontId="28" fillId="2" borderId="0" xfId="0" applyNumberFormat="1" applyFont="1" applyFill="1" applyAlignment="1">
      <alignment vertical="top"/>
    </xf>
    <xf numFmtId="2" fontId="21" fillId="2" borderId="9" xfId="0" applyNumberFormat="1" applyFont="1" applyFill="1" applyBorder="1" applyAlignment="1">
      <alignment vertical="center"/>
    </xf>
    <xf numFmtId="0" fontId="28" fillId="2" borderId="0" xfId="0" applyFont="1" applyFill="1" applyAlignment="1">
      <alignment horizontal="left"/>
    </xf>
    <xf numFmtId="0" fontId="28" fillId="2" borderId="0" xfId="0" applyFont="1" applyFill="1" applyAlignment="1">
      <alignment horizontal="left" vertical="top"/>
    </xf>
    <xf numFmtId="0" fontId="16" fillId="0" borderId="0" xfId="0" applyFont="1"/>
    <xf numFmtId="0" fontId="30" fillId="0" borderId="0" xfId="0" applyFont="1"/>
    <xf numFmtId="0" fontId="16" fillId="2" borderId="0" xfId="0" applyFont="1" applyFill="1"/>
    <xf numFmtId="2" fontId="16" fillId="2" borderId="0" xfId="0" applyNumberFormat="1" applyFont="1" applyFill="1"/>
    <xf numFmtId="0" fontId="16" fillId="2" borderId="3" xfId="0" applyFont="1" applyFill="1" applyBorder="1"/>
    <xf numFmtId="0" fontId="16" fillId="2" borderId="4" xfId="0" applyFont="1" applyFill="1" applyBorder="1"/>
    <xf numFmtId="2" fontId="16" fillId="2" borderId="4" xfId="0" applyNumberFormat="1" applyFont="1" applyFill="1" applyBorder="1"/>
    <xf numFmtId="0" fontId="16" fillId="2" borderId="6" xfId="0" applyFont="1" applyFill="1" applyBorder="1"/>
    <xf numFmtId="0" fontId="16" fillId="2" borderId="0" xfId="0" applyFont="1" applyFill="1" applyAlignment="1">
      <alignment horizontal="left" vertical="center"/>
    </xf>
    <xf numFmtId="1" fontId="16" fillId="2" borderId="0" xfId="0" applyNumberFormat="1" applyFont="1" applyFill="1" applyAlignment="1">
      <alignment vertical="center"/>
    </xf>
    <xf numFmtId="0" fontId="16" fillId="0" borderId="0" xfId="0" applyFont="1" applyAlignment="1">
      <alignment horizontal="left" vertical="center"/>
    </xf>
    <xf numFmtId="165" fontId="16" fillId="0" borderId="0" xfId="0" applyNumberFormat="1" applyFont="1" applyAlignment="1">
      <alignment vertical="center"/>
    </xf>
    <xf numFmtId="164" fontId="16" fillId="2" borderId="18" xfId="0" applyNumberFormat="1" applyFont="1" applyFill="1" applyBorder="1" applyAlignment="1">
      <alignment vertical="center"/>
    </xf>
    <xf numFmtId="165" fontId="16" fillId="2" borderId="0" xfId="0" applyNumberFormat="1" applyFont="1" applyFill="1" applyAlignment="1">
      <alignment vertical="center"/>
    </xf>
    <xf numFmtId="1" fontId="16" fillId="2" borderId="18" xfId="0" applyNumberFormat="1" applyFont="1" applyFill="1" applyBorder="1" applyAlignment="1">
      <alignment vertical="center"/>
    </xf>
    <xf numFmtId="2" fontId="16" fillId="2" borderId="0" xfId="0" applyNumberFormat="1" applyFont="1" applyFill="1" applyAlignment="1">
      <alignment horizontal="right" vertical="center"/>
    </xf>
    <xf numFmtId="1" fontId="16" fillId="2" borderId="0" xfId="0" applyNumberFormat="1" applyFont="1" applyFill="1" applyAlignment="1">
      <alignment horizontal="right" vertical="center"/>
    </xf>
    <xf numFmtId="10" fontId="16" fillId="2" borderId="0" xfId="0" applyNumberFormat="1" applyFont="1" applyFill="1" applyAlignment="1">
      <alignment horizontal="left" vertical="center" indent="2"/>
    </xf>
    <xf numFmtId="164" fontId="16" fillId="0" borderId="0" xfId="0" applyNumberFormat="1" applyFont="1" applyAlignment="1">
      <alignment horizontal="left" vertical="center" indent="2"/>
    </xf>
    <xf numFmtId="164" fontId="16" fillId="2" borderId="18" xfId="0" applyNumberFormat="1" applyFont="1" applyFill="1" applyBorder="1" applyAlignment="1">
      <alignment horizontal="right" vertical="center"/>
    </xf>
    <xf numFmtId="164" fontId="16" fillId="2" borderId="0" xfId="0" applyNumberFormat="1" applyFont="1" applyFill="1" applyAlignment="1">
      <alignment horizontal="right" vertical="center"/>
    </xf>
    <xf numFmtId="0" fontId="16" fillId="0" borderId="0" xfId="0" applyFont="1" applyAlignment="1">
      <alignment horizontal="left" vertical="center" indent="2"/>
    </xf>
    <xf numFmtId="1" fontId="16" fillId="2" borderId="21" xfId="0" applyNumberFormat="1" applyFont="1" applyFill="1" applyBorder="1" applyAlignment="1">
      <alignment horizontal="right" vertical="center"/>
    </xf>
    <xf numFmtId="3" fontId="16" fillId="0" borderId="0" xfId="0" applyNumberFormat="1" applyFont="1" applyAlignment="1">
      <alignment horizontal="left" vertical="center" indent="2"/>
    </xf>
    <xf numFmtId="164" fontId="16" fillId="2" borderId="20" xfId="0" applyNumberFormat="1" applyFont="1" applyFill="1" applyBorder="1" applyAlignment="1">
      <alignment horizontal="right" vertical="center"/>
    </xf>
    <xf numFmtId="3" fontId="16" fillId="0" borderId="0" xfId="0" applyNumberFormat="1" applyFont="1" applyAlignment="1">
      <alignment horizontal="left" vertical="center" indent="3"/>
    </xf>
    <xf numFmtId="3" fontId="16" fillId="0" borderId="11" xfId="0" applyNumberFormat="1" applyFont="1" applyBorder="1" applyAlignment="1">
      <alignment horizontal="left" vertical="center" indent="3"/>
    </xf>
    <xf numFmtId="2" fontId="16" fillId="2" borderId="18" xfId="0" applyNumberFormat="1" applyFont="1" applyFill="1" applyBorder="1" applyAlignment="1">
      <alignment horizontal="right" vertical="center"/>
    </xf>
    <xf numFmtId="1" fontId="16" fillId="2" borderId="18" xfId="0" applyNumberFormat="1" applyFont="1" applyFill="1" applyBorder="1"/>
    <xf numFmtId="0" fontId="15" fillId="2" borderId="0" xfId="0" applyFont="1" applyFill="1" applyAlignment="1">
      <alignment horizontal="left" vertical="center"/>
    </xf>
    <xf numFmtId="2" fontId="15" fillId="2" borderId="18" xfId="0" applyNumberFormat="1" applyFont="1" applyFill="1" applyBorder="1" applyAlignment="1">
      <alignment horizontal="right" vertical="center"/>
    </xf>
    <xf numFmtId="0" fontId="14" fillId="2" borderId="18" xfId="0" applyFont="1" applyFill="1" applyBorder="1"/>
    <xf numFmtId="0" fontId="21" fillId="2" borderId="17" xfId="0" applyFont="1" applyFill="1" applyBorder="1"/>
    <xf numFmtId="0" fontId="13" fillId="2" borderId="2" xfId="0" applyFont="1" applyFill="1" applyBorder="1"/>
    <xf numFmtId="0" fontId="21" fillId="2" borderId="7" xfId="0" applyFont="1" applyFill="1" applyBorder="1"/>
    <xf numFmtId="0" fontId="13" fillId="2" borderId="0" xfId="0" applyFont="1" applyFill="1"/>
    <xf numFmtId="0" fontId="31" fillId="2" borderId="0" xfId="0" applyFont="1" applyFill="1"/>
    <xf numFmtId="0" fontId="13" fillId="2" borderId="18" xfId="0" applyFont="1" applyFill="1" applyBorder="1"/>
    <xf numFmtId="0" fontId="13" fillId="5" borderId="0" xfId="0" applyFont="1" applyFill="1"/>
    <xf numFmtId="0" fontId="13" fillId="6" borderId="0" xfId="0" applyFont="1" applyFill="1"/>
    <xf numFmtId="0" fontId="13" fillId="7" borderId="0" xfId="0" applyFont="1" applyFill="1"/>
    <xf numFmtId="0" fontId="13" fillId="8" borderId="0" xfId="0" applyFont="1" applyFill="1"/>
    <xf numFmtId="0" fontId="13" fillId="2" borderId="7" xfId="0" applyFont="1" applyFill="1" applyBorder="1"/>
    <xf numFmtId="0" fontId="13" fillId="9" borderId="0" xfId="0" applyFont="1" applyFill="1"/>
    <xf numFmtId="0" fontId="13" fillId="10" borderId="0" xfId="0" applyFont="1" applyFill="1"/>
    <xf numFmtId="0" fontId="13" fillId="11" borderId="0" xfId="0" applyFont="1" applyFill="1"/>
    <xf numFmtId="0" fontId="13" fillId="12" borderId="0" xfId="0" applyFont="1" applyFill="1"/>
    <xf numFmtId="0" fontId="21" fillId="2" borderId="16" xfId="0" applyFont="1" applyFill="1" applyBorder="1"/>
    <xf numFmtId="0" fontId="23" fillId="2" borderId="9" xfId="0" applyFont="1" applyFill="1" applyBorder="1"/>
    <xf numFmtId="164" fontId="17" fillId="2" borderId="21" xfId="0" applyNumberFormat="1" applyFont="1" applyFill="1" applyBorder="1"/>
    <xf numFmtId="0" fontId="22" fillId="2" borderId="0" xfId="0" applyFont="1" applyFill="1"/>
    <xf numFmtId="2" fontId="17" fillId="2" borderId="0" xfId="0" applyNumberFormat="1" applyFont="1" applyFill="1"/>
    <xf numFmtId="164" fontId="17" fillId="2" borderId="20" xfId="0" applyNumberFormat="1" applyFont="1" applyFill="1" applyBorder="1"/>
    <xf numFmtId="164" fontId="17" fillId="2" borderId="0" xfId="0" applyNumberFormat="1" applyFont="1" applyFill="1"/>
    <xf numFmtId="0" fontId="27" fillId="2" borderId="19" xfId="0" applyFont="1" applyFill="1" applyBorder="1"/>
    <xf numFmtId="0" fontId="17" fillId="2" borderId="5" xfId="0" applyFont="1" applyFill="1" applyBorder="1"/>
    <xf numFmtId="0" fontId="13" fillId="0" borderId="0" xfId="0" applyFont="1" applyAlignment="1">
      <alignment horizontal="left" vertical="center"/>
    </xf>
    <xf numFmtId="165" fontId="13" fillId="0" borderId="0" xfId="0" applyNumberFormat="1" applyFont="1" applyAlignment="1">
      <alignment vertical="center"/>
    </xf>
    <xf numFmtId="0" fontId="13" fillId="2" borderId="0" xfId="0" applyFont="1" applyFill="1" applyAlignment="1">
      <alignment horizontal="left" vertical="center"/>
    </xf>
    <xf numFmtId="1" fontId="21" fillId="2" borderId="0" xfId="0" applyNumberFormat="1" applyFont="1" applyFill="1" applyAlignment="1">
      <alignment horizontal="left" vertical="center"/>
    </xf>
    <xf numFmtId="2" fontId="21" fillId="2" borderId="0" xfId="0" applyNumberFormat="1" applyFont="1" applyFill="1" applyAlignment="1">
      <alignment horizontal="left" vertical="center"/>
    </xf>
    <xf numFmtId="2" fontId="21" fillId="2" borderId="0" xfId="0" applyNumberFormat="1" applyFont="1" applyFill="1" applyAlignment="1">
      <alignment vertical="center"/>
    </xf>
    <xf numFmtId="0" fontId="13" fillId="0" borderId="0" xfId="0" applyFont="1"/>
    <xf numFmtId="0" fontId="21" fillId="2" borderId="9" xfId="0" applyFont="1" applyFill="1" applyBorder="1" applyAlignment="1">
      <alignment vertical="center"/>
    </xf>
    <xf numFmtId="0" fontId="12" fillId="2" borderId="20" xfId="0" applyFont="1" applyFill="1" applyBorder="1"/>
    <xf numFmtId="0" fontId="12" fillId="0" borderId="0" xfId="0" applyFont="1" applyAlignment="1">
      <alignment horizontal="left" vertical="center"/>
    </xf>
    <xf numFmtId="0" fontId="11" fillId="0" borderId="0" xfId="0" applyFont="1"/>
    <xf numFmtId="0" fontId="10" fillId="2" borderId="0" xfId="0" applyFont="1" applyFill="1"/>
    <xf numFmtId="0" fontId="10" fillId="0" borderId="0" xfId="0" applyFont="1"/>
    <xf numFmtId="2" fontId="16" fillId="2" borderId="20" xfId="0" applyNumberFormat="1" applyFont="1" applyFill="1" applyBorder="1" applyAlignment="1">
      <alignment horizontal="right" vertical="center"/>
    </xf>
    <xf numFmtId="0" fontId="10" fillId="2" borderId="21" xfId="0" applyFont="1" applyFill="1" applyBorder="1"/>
    <xf numFmtId="0" fontId="10" fillId="2" borderId="18" xfId="0" applyFont="1" applyFill="1" applyBorder="1"/>
    <xf numFmtId="0" fontId="10" fillId="2" borderId="3" xfId="0" applyFont="1" applyFill="1" applyBorder="1"/>
    <xf numFmtId="0" fontId="10" fillId="2" borderId="4" xfId="0" applyFont="1" applyFill="1" applyBorder="1"/>
    <xf numFmtId="0" fontId="10" fillId="2" borderId="15" xfId="0" applyFont="1" applyFill="1" applyBorder="1"/>
    <xf numFmtId="0" fontId="10" fillId="2" borderId="6" xfId="0" applyFont="1" applyFill="1" applyBorder="1"/>
    <xf numFmtId="0" fontId="10" fillId="2" borderId="5" xfId="0" applyFont="1" applyFill="1" applyBorder="1"/>
    <xf numFmtId="0" fontId="21" fillId="2" borderId="19" xfId="0" applyFont="1" applyFill="1" applyBorder="1"/>
    <xf numFmtId="1" fontId="16" fillId="2" borderId="0" xfId="0" applyNumberFormat="1" applyFont="1" applyFill="1"/>
    <xf numFmtId="0" fontId="9" fillId="2" borderId="0" xfId="0" applyFont="1" applyFill="1"/>
    <xf numFmtId="0" fontId="8" fillId="0" borderId="0" xfId="0" applyFont="1"/>
    <xf numFmtId="0" fontId="8" fillId="2" borderId="0" xfId="0" applyFont="1" applyFill="1"/>
    <xf numFmtId="0" fontId="7" fillId="0" borderId="0" xfId="0" applyFont="1"/>
    <xf numFmtId="0" fontId="6" fillId="2" borderId="18" xfId="0" applyFont="1" applyFill="1" applyBorder="1"/>
    <xf numFmtId="0" fontId="5" fillId="2" borderId="0" xfId="0" applyFont="1" applyFill="1"/>
    <xf numFmtId="0" fontId="5" fillId="2" borderId="18" xfId="0" applyFont="1" applyFill="1" applyBorder="1"/>
    <xf numFmtId="0" fontId="5" fillId="2" borderId="0" xfId="0" applyFont="1" applyFill="1" applyAlignment="1">
      <alignment horizontal="left" vertical="center"/>
    </xf>
    <xf numFmtId="2" fontId="16" fillId="2" borderId="18" xfId="0" applyNumberFormat="1" applyFont="1" applyFill="1" applyBorder="1" applyAlignment="1">
      <alignment vertical="center"/>
    </xf>
    <xf numFmtId="0" fontId="4" fillId="0" borderId="0" xfId="0" applyFont="1"/>
    <xf numFmtId="2" fontId="16" fillId="2" borderId="0" xfId="0" applyNumberFormat="1" applyFont="1" applyFill="1" applyAlignment="1">
      <alignment vertical="center"/>
    </xf>
    <xf numFmtId="0" fontId="23" fillId="3" borderId="7" xfId="0" applyFont="1" applyFill="1" applyBorder="1"/>
    <xf numFmtId="0" fontId="22" fillId="3" borderId="8" xfId="0" applyFont="1" applyFill="1" applyBorder="1"/>
    <xf numFmtId="0" fontId="3" fillId="2" borderId="0" xfId="0" applyFont="1" applyFill="1"/>
    <xf numFmtId="0" fontId="3" fillId="0" borderId="0" xfId="0" applyFont="1"/>
    <xf numFmtId="0" fontId="3" fillId="2" borderId="18" xfId="0" applyFont="1" applyFill="1" applyBorder="1"/>
    <xf numFmtId="0" fontId="21" fillId="2" borderId="5" xfId="0" applyFont="1" applyFill="1" applyBorder="1"/>
    <xf numFmtId="0" fontId="21" fillId="0" borderId="0" xfId="0" applyFont="1"/>
    <xf numFmtId="165" fontId="2" fillId="0" borderId="0" xfId="0" applyNumberFormat="1" applyFont="1" applyAlignment="1">
      <alignment vertical="center"/>
    </xf>
    <xf numFmtId="0" fontId="2" fillId="2" borderId="0" xfId="0" applyFont="1" applyFill="1"/>
    <xf numFmtId="3" fontId="2" fillId="0" borderId="0" xfId="0" applyNumberFormat="1" applyFont="1" applyAlignment="1">
      <alignment horizontal="left" vertical="center" indent="2"/>
    </xf>
    <xf numFmtId="0" fontId="30" fillId="4" borderId="7" xfId="0" applyFont="1" applyFill="1" applyBorder="1" applyAlignment="1">
      <alignment horizontal="left" vertical="top" wrapText="1"/>
    </xf>
    <xf numFmtId="0" fontId="30" fillId="4" borderId="0" xfId="0" applyFont="1" applyFill="1" applyAlignment="1">
      <alignment horizontal="left" vertical="top" wrapText="1"/>
    </xf>
  </cellXfs>
  <cellStyles count="24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647700</xdr:colOff>
      <xdr:row>11</xdr:row>
      <xdr:rowOff>82558</xdr:rowOff>
    </xdr:from>
    <xdr:to>
      <xdr:col>14</xdr:col>
      <xdr:colOff>0</xdr:colOff>
      <xdr:row>30</xdr:row>
      <xdr:rowOff>190500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1997"/>
        <a:stretch/>
      </xdr:blipFill>
      <xdr:spPr>
        <a:xfrm>
          <a:off x="3708400" y="654058"/>
          <a:ext cx="9969500" cy="3740142"/>
        </a:xfrm>
        <a:prstGeom prst="rect">
          <a:avLst/>
        </a:prstGeom>
      </xdr:spPr>
    </xdr:pic>
    <xdr:clientData/>
  </xdr:twoCellAnchor>
  <xdr:twoCellAnchor editAs="oneCell">
    <xdr:from>
      <xdr:col>4</xdr:col>
      <xdr:colOff>723900</xdr:colOff>
      <xdr:row>53</xdr:row>
      <xdr:rowOff>0</xdr:rowOff>
    </xdr:from>
    <xdr:to>
      <xdr:col>14</xdr:col>
      <xdr:colOff>571500</xdr:colOff>
      <xdr:row>79</xdr:row>
      <xdr:rowOff>38100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432300" y="4394200"/>
          <a:ext cx="10642600" cy="4991100"/>
        </a:xfrm>
        <a:prstGeom prst="rect">
          <a:avLst/>
        </a:prstGeom>
      </xdr:spPr>
    </xdr:pic>
    <xdr:clientData/>
  </xdr:twoCellAnchor>
  <xdr:twoCellAnchor editAs="oneCell">
    <xdr:from>
      <xdr:col>4</xdr:col>
      <xdr:colOff>646684</xdr:colOff>
      <xdr:row>75</xdr:row>
      <xdr:rowOff>50800</xdr:rowOff>
    </xdr:from>
    <xdr:to>
      <xdr:col>12</xdr:col>
      <xdr:colOff>215900</xdr:colOff>
      <xdr:row>89</xdr:row>
      <xdr:rowOff>127000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3707384" y="8636000"/>
          <a:ext cx="8205216" cy="2743200"/>
        </a:xfrm>
        <a:prstGeom prst="rect">
          <a:avLst/>
        </a:prstGeom>
      </xdr:spPr>
    </xdr:pic>
    <xdr:clientData/>
  </xdr:twoCellAnchor>
  <xdr:twoCellAnchor editAs="oneCell">
    <xdr:from>
      <xdr:col>4</xdr:col>
      <xdr:colOff>977900</xdr:colOff>
      <xdr:row>94</xdr:row>
      <xdr:rowOff>12700</xdr:rowOff>
    </xdr:from>
    <xdr:to>
      <xdr:col>12</xdr:col>
      <xdr:colOff>342900</xdr:colOff>
      <xdr:row>121</xdr:row>
      <xdr:rowOff>38100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4"/>
        <a:srcRect t="2230" b="1"/>
        <a:stretch/>
      </xdr:blipFill>
      <xdr:spPr>
        <a:xfrm>
          <a:off x="4686300" y="12217400"/>
          <a:ext cx="8001000" cy="5168900"/>
        </a:xfrm>
        <a:prstGeom prst="rect">
          <a:avLst/>
        </a:prstGeom>
      </xdr:spPr>
    </xdr:pic>
    <xdr:clientData/>
  </xdr:twoCellAnchor>
  <xdr:twoCellAnchor editAs="oneCell">
    <xdr:from>
      <xdr:col>5</xdr:col>
      <xdr:colOff>482600</xdr:colOff>
      <xdr:row>34</xdr:row>
      <xdr:rowOff>160552</xdr:rowOff>
    </xdr:from>
    <xdr:to>
      <xdr:col>14</xdr:col>
      <xdr:colOff>520700</xdr:colOff>
      <xdr:row>51</xdr:row>
      <xdr:rowOff>191594</xdr:rowOff>
    </xdr:to>
    <xdr:pic>
      <xdr:nvPicPr>
        <xdr:cNvPr id="6" name="Picture 5">
          <a:extLst>
            <a:ext uri="{FF2B5EF4-FFF2-40B4-BE49-F238E27FC236}">
              <a16:creationId xmlns:a16="http://schemas.microsoft.com/office/drawing/2014/main" id="{F9D41228-C28E-337C-4870-1F3CE4641E9A}"/>
            </a:ext>
          </a:extLst>
        </xdr:cNvPr>
        <xdr:cNvPicPr>
          <a:picLocks noChangeAspect="1"/>
        </xdr:cNvPicPr>
      </xdr:nvPicPr>
      <xdr:blipFill>
        <a:blip xmlns:r="http://schemas.openxmlformats.org/officeDocument/2006/relationships" r:embed="rId5"/>
        <a:stretch>
          <a:fillRect/>
        </a:stretch>
      </xdr:blipFill>
      <xdr:spPr>
        <a:xfrm>
          <a:off x="4749800" y="5685052"/>
          <a:ext cx="7353300" cy="3485442"/>
        </a:xfrm>
        <a:prstGeom prst="rect">
          <a:avLst/>
        </a:prstGeom>
      </xdr:spPr>
    </xdr:pic>
    <xdr:clientData/>
  </xdr:twoCellAnchor>
  <xdr:twoCellAnchor>
    <xdr:from>
      <xdr:col>5</xdr:col>
      <xdr:colOff>546100</xdr:colOff>
      <xdr:row>50</xdr:row>
      <xdr:rowOff>76200</xdr:rowOff>
    </xdr:from>
    <xdr:to>
      <xdr:col>12</xdr:col>
      <xdr:colOff>76200</xdr:colOff>
      <xdr:row>51</xdr:row>
      <xdr:rowOff>190500</xdr:rowOff>
    </xdr:to>
    <xdr:sp macro="" textlink="">
      <xdr:nvSpPr>
        <xdr:cNvPr id="7" name="Rectangle 6">
          <a:extLst>
            <a:ext uri="{FF2B5EF4-FFF2-40B4-BE49-F238E27FC236}">
              <a16:creationId xmlns:a16="http://schemas.microsoft.com/office/drawing/2014/main" id="{29F648AF-3E7E-880F-98E7-D39989F5B986}"/>
            </a:ext>
          </a:extLst>
        </xdr:cNvPr>
        <xdr:cNvSpPr/>
      </xdr:nvSpPr>
      <xdr:spPr>
        <a:xfrm>
          <a:off x="4813300" y="8851900"/>
          <a:ext cx="5219700" cy="317500"/>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energy/6_residences_analysis.xlsx" TargetMode="External"/><Relationship Id="rId1" Type="http://schemas.openxmlformats.org/officeDocument/2006/relationships/externalLinkPath" Target="/Users/dorinevandervlies/Projects/etdataset/nodes_source_analyses/energy/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github.com/quintel/etsource/issues/27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4"/>
  <sheetViews>
    <sheetView workbookViewId="0">
      <selection activeCell="C5" sqref="C5"/>
    </sheetView>
  </sheetViews>
  <sheetFormatPr baseColWidth="10" defaultColWidth="10.6640625" defaultRowHeight="16"/>
  <cols>
    <col min="1" max="1" width="3.5" style="24" customWidth="1"/>
    <col min="2" max="2" width="14.83203125" style="17" bestFit="1" customWidth="1"/>
    <col min="3" max="3" width="44.1640625" style="17" customWidth="1"/>
    <col min="4" max="16384" width="10.6640625" style="17"/>
  </cols>
  <sheetData>
    <row r="1" spans="1:3" s="22" customFormat="1">
      <c r="A1" s="20"/>
      <c r="B1" s="21"/>
      <c r="C1" s="21"/>
    </row>
    <row r="2" spans="1:3" ht="21">
      <c r="A2" s="1"/>
      <c r="B2" s="23" t="s">
        <v>15</v>
      </c>
      <c r="C2" s="23"/>
    </row>
    <row r="3" spans="1:3">
      <c r="A3" s="1"/>
      <c r="B3" s="8"/>
      <c r="C3" s="8"/>
    </row>
    <row r="4" spans="1:3">
      <c r="A4" s="1"/>
      <c r="B4" s="2" t="s">
        <v>16</v>
      </c>
      <c r="C4" s="3" t="s">
        <v>139</v>
      </c>
    </row>
    <row r="5" spans="1:3">
      <c r="A5" s="1"/>
      <c r="B5" s="152" t="s">
        <v>136</v>
      </c>
      <c r="C5" s="153" t="s">
        <v>137</v>
      </c>
    </row>
    <row r="6" spans="1:3">
      <c r="A6" s="1"/>
      <c r="B6" s="4" t="s">
        <v>59</v>
      </c>
      <c r="C6" s="5" t="s">
        <v>138</v>
      </c>
    </row>
    <row r="7" spans="1:3">
      <c r="A7" s="1"/>
      <c r="B7" s="6" t="s">
        <v>18</v>
      </c>
      <c r="C7" s="7" t="s">
        <v>19</v>
      </c>
    </row>
    <row r="8" spans="1:3">
      <c r="A8" s="1"/>
      <c r="B8" s="8"/>
      <c r="C8" s="8"/>
    </row>
    <row r="9" spans="1:3">
      <c r="A9" s="1"/>
      <c r="B9" s="8"/>
      <c r="C9" s="8"/>
    </row>
    <row r="10" spans="1:3">
      <c r="A10" s="1"/>
      <c r="B10" s="94" t="s">
        <v>60</v>
      </c>
      <c r="C10" s="95"/>
    </row>
    <row r="11" spans="1:3">
      <c r="A11" s="1"/>
      <c r="B11" s="96"/>
      <c r="C11" s="97"/>
    </row>
    <row r="12" spans="1:3">
      <c r="A12" s="1"/>
      <c r="B12" s="96" t="s">
        <v>61</v>
      </c>
      <c r="C12" s="98" t="s">
        <v>62</v>
      </c>
    </row>
    <row r="13" spans="1:3" ht="17" thickBot="1">
      <c r="A13" s="1"/>
      <c r="B13" s="96"/>
      <c r="C13" s="14" t="s">
        <v>63</v>
      </c>
    </row>
    <row r="14" spans="1:3" ht="17" thickBot="1">
      <c r="A14" s="1"/>
      <c r="B14" s="96"/>
      <c r="C14" s="99" t="s">
        <v>64</v>
      </c>
    </row>
    <row r="15" spans="1:3">
      <c r="A15" s="1"/>
      <c r="B15" s="96"/>
      <c r="C15" s="97" t="s">
        <v>65</v>
      </c>
    </row>
    <row r="16" spans="1:3">
      <c r="A16" s="1"/>
      <c r="B16" s="96"/>
      <c r="C16" s="97"/>
    </row>
    <row r="17" spans="1:3">
      <c r="A17" s="1"/>
      <c r="B17" s="96" t="s">
        <v>66</v>
      </c>
      <c r="C17" s="100" t="s">
        <v>67</v>
      </c>
    </row>
    <row r="18" spans="1:3">
      <c r="A18" s="1"/>
      <c r="B18" s="96"/>
      <c r="C18" s="101" t="s">
        <v>68</v>
      </c>
    </row>
    <row r="19" spans="1:3">
      <c r="A19" s="1"/>
      <c r="B19" s="96"/>
      <c r="C19" s="102" t="s">
        <v>69</v>
      </c>
    </row>
    <row r="20" spans="1:3">
      <c r="A20" s="1"/>
      <c r="B20" s="96"/>
      <c r="C20" s="103" t="s">
        <v>70</v>
      </c>
    </row>
    <row r="21" spans="1:3">
      <c r="A21" s="1"/>
      <c r="B21" s="104"/>
      <c r="C21" s="105" t="s">
        <v>71</v>
      </c>
    </row>
    <row r="22" spans="1:3">
      <c r="A22" s="1"/>
      <c r="B22" s="104"/>
      <c r="C22" s="106" t="s">
        <v>72</v>
      </c>
    </row>
    <row r="23" spans="1:3">
      <c r="A23" s="1"/>
      <c r="B23" s="104"/>
      <c r="C23" s="107" t="s">
        <v>73</v>
      </c>
    </row>
    <row r="24" spans="1:3">
      <c r="B24" s="104"/>
      <c r="C24" s="108" t="s">
        <v>74</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28"/>
  <sheetViews>
    <sheetView workbookViewId="0">
      <selection activeCell="E21" sqref="E21"/>
    </sheetView>
  </sheetViews>
  <sheetFormatPr baseColWidth="10" defaultColWidth="10.6640625" defaultRowHeight="16"/>
  <cols>
    <col min="1" max="1" width="3.33203125" style="29" customWidth="1"/>
    <col min="2" max="2" width="3.6640625" style="29" customWidth="1"/>
    <col min="3" max="3" width="46" style="29" customWidth="1"/>
    <col min="4" max="4" width="12.6640625" style="29" customWidth="1"/>
    <col min="5" max="5" width="17.5" style="29" customWidth="1"/>
    <col min="6" max="6" width="4.5" style="29" customWidth="1"/>
    <col min="7" max="7" width="45" style="29" customWidth="1"/>
    <col min="8" max="8" width="5.1640625" style="29" customWidth="1"/>
    <col min="9" max="9" width="60.1640625" style="29" customWidth="1"/>
    <col min="10" max="10" width="5.5" style="29" customWidth="1"/>
    <col min="11" max="16384" width="10.6640625" style="29"/>
  </cols>
  <sheetData>
    <row r="2" spans="2:10" ht="16" customHeight="1">
      <c r="B2" s="162" t="s">
        <v>130</v>
      </c>
      <c r="C2" s="163"/>
      <c r="D2" s="163"/>
      <c r="E2" s="163"/>
      <c r="F2" s="163"/>
      <c r="G2" s="163"/>
    </row>
    <row r="3" spans="2:10">
      <c r="B3" s="162"/>
      <c r="C3" s="163"/>
      <c r="D3" s="163"/>
      <c r="E3" s="163"/>
      <c r="F3" s="163"/>
      <c r="G3" s="163"/>
    </row>
    <row r="4" spans="2:10">
      <c r="B4" s="162"/>
      <c r="C4" s="163"/>
      <c r="D4" s="163"/>
      <c r="E4" s="163"/>
      <c r="F4" s="163"/>
      <c r="G4" s="163"/>
    </row>
    <row r="5" spans="2:10" ht="17" thickBot="1"/>
    <row r="6" spans="2:10">
      <c r="B6" s="31"/>
      <c r="C6" s="16"/>
      <c r="D6" s="16"/>
      <c r="E6" s="16"/>
      <c r="F6" s="16"/>
      <c r="G6" s="16"/>
      <c r="H6" s="16"/>
      <c r="I6" s="16"/>
      <c r="J6" s="32"/>
    </row>
    <row r="7" spans="2:10" s="37" customFormat="1" ht="19">
      <c r="B7" s="109"/>
      <c r="C7" s="15" t="s">
        <v>28</v>
      </c>
      <c r="D7" s="110" t="s">
        <v>13</v>
      </c>
      <c r="E7" s="15" t="s">
        <v>6</v>
      </c>
      <c r="F7" s="15"/>
      <c r="G7" s="15" t="s">
        <v>12</v>
      </c>
      <c r="H7" s="15"/>
      <c r="I7" s="15" t="s">
        <v>0</v>
      </c>
      <c r="J7" s="116"/>
    </row>
    <row r="8" spans="2:10" s="37" customFormat="1" ht="19">
      <c r="B8" s="19"/>
      <c r="C8" s="14"/>
      <c r="D8" s="25"/>
      <c r="E8" s="14"/>
      <c r="F8" s="14"/>
      <c r="G8" s="14"/>
      <c r="H8" s="14"/>
      <c r="I8" s="14"/>
      <c r="J8" s="38"/>
    </row>
    <row r="9" spans="2:10" s="37" customFormat="1" ht="20" thickBot="1">
      <c r="B9" s="19"/>
      <c r="C9" s="14" t="s">
        <v>99</v>
      </c>
      <c r="D9" s="25"/>
      <c r="E9" s="14"/>
      <c r="F9" s="14"/>
      <c r="G9" s="14"/>
      <c r="H9" s="14"/>
      <c r="I9" s="14"/>
      <c r="J9" s="38"/>
    </row>
    <row r="10" spans="2:10" ht="17" thickBot="1">
      <c r="B10" s="33"/>
      <c r="C10" s="30" t="s">
        <v>30</v>
      </c>
      <c r="D10" s="18" t="s">
        <v>4</v>
      </c>
      <c r="E10" s="39">
        <v>0.9</v>
      </c>
      <c r="F10" s="30"/>
      <c r="G10" s="30"/>
      <c r="H10" s="30"/>
      <c r="I10" s="28" t="s">
        <v>46</v>
      </c>
      <c r="J10" s="117"/>
    </row>
    <row r="11" spans="2:10" ht="17" thickBot="1">
      <c r="B11" s="33"/>
      <c r="C11" s="150" t="s">
        <v>134</v>
      </c>
      <c r="D11" s="18" t="s">
        <v>54</v>
      </c>
      <c r="E11" s="40">
        <f>'Research data'!G8</f>
        <v>260.89999999999998</v>
      </c>
      <c r="F11" s="30"/>
      <c r="G11" s="150" t="s">
        <v>135</v>
      </c>
      <c r="H11" s="30"/>
      <c r="I11" s="147" t="s">
        <v>92</v>
      </c>
      <c r="J11" s="117"/>
    </row>
    <row r="12" spans="2:10">
      <c r="B12" s="33"/>
      <c r="C12" s="64"/>
      <c r="D12" s="112"/>
      <c r="E12" s="113"/>
      <c r="G12" s="64"/>
      <c r="J12" s="117"/>
    </row>
    <row r="13" spans="2:10" ht="17" thickBot="1">
      <c r="B13" s="33"/>
      <c r="C13" s="14" t="s">
        <v>75</v>
      </c>
      <c r="D13" s="112"/>
      <c r="E13" s="113"/>
      <c r="G13" s="64"/>
      <c r="J13" s="117"/>
    </row>
    <row r="14" spans="2:10" ht="17" thickBot="1">
      <c r="B14" s="33"/>
      <c r="C14" s="30" t="s">
        <v>35</v>
      </c>
      <c r="D14" s="18" t="s">
        <v>29</v>
      </c>
      <c r="E14" s="40">
        <f>'Research data'!G17</f>
        <v>144900000</v>
      </c>
      <c r="F14" s="30"/>
      <c r="G14" s="30" t="s">
        <v>8</v>
      </c>
      <c r="H14" s="30"/>
      <c r="I14" s="156" t="s">
        <v>147</v>
      </c>
      <c r="J14" s="117"/>
    </row>
    <row r="15" spans="2:10" ht="17" thickBot="1">
      <c r="B15" s="33"/>
      <c r="C15" s="30" t="s">
        <v>36</v>
      </c>
      <c r="D15" s="18" t="s">
        <v>29</v>
      </c>
      <c r="E15" s="40">
        <v>0</v>
      </c>
      <c r="F15" s="30"/>
      <c r="G15" s="30" t="s">
        <v>47</v>
      </c>
      <c r="H15" s="30"/>
      <c r="I15" s="28" t="s">
        <v>46</v>
      </c>
      <c r="J15" s="117"/>
    </row>
    <row r="16" spans="2:10" ht="17" thickBot="1">
      <c r="B16" s="33"/>
      <c r="C16" s="30" t="s">
        <v>11</v>
      </c>
      <c r="D16" s="18" t="s">
        <v>29</v>
      </c>
      <c r="E16" s="40">
        <v>0</v>
      </c>
      <c r="F16" s="30"/>
      <c r="G16" s="30" t="s">
        <v>22</v>
      </c>
      <c r="H16" s="30"/>
      <c r="I16" s="28" t="s">
        <v>46</v>
      </c>
      <c r="J16" s="117"/>
    </row>
    <row r="17" spans="2:10" ht="17" thickBot="1">
      <c r="B17" s="33"/>
      <c r="C17" s="30" t="s">
        <v>37</v>
      </c>
      <c r="D17" s="18" t="s">
        <v>105</v>
      </c>
      <c r="E17" s="40">
        <v>0</v>
      </c>
      <c r="F17" s="30"/>
      <c r="G17" s="30" t="s">
        <v>25</v>
      </c>
      <c r="H17" s="30"/>
      <c r="I17" s="28" t="s">
        <v>46</v>
      </c>
      <c r="J17" s="117"/>
    </row>
    <row r="18" spans="2:10" ht="17" thickBot="1">
      <c r="B18" s="33"/>
      <c r="C18" s="30" t="s">
        <v>38</v>
      </c>
      <c r="D18" s="18" t="s">
        <v>45</v>
      </c>
      <c r="E18" s="111">
        <f>'Research data'!G20</f>
        <v>1095652.17</v>
      </c>
      <c r="F18" s="30"/>
      <c r="G18" s="30" t="s">
        <v>48</v>
      </c>
      <c r="H18" s="30"/>
      <c r="I18" s="93" t="s">
        <v>91</v>
      </c>
      <c r="J18" s="117"/>
    </row>
    <row r="19" spans="2:10" ht="17" thickBot="1">
      <c r="B19" s="33"/>
      <c r="C19" s="30" t="s">
        <v>39</v>
      </c>
      <c r="D19" s="18" t="s">
        <v>44</v>
      </c>
      <c r="E19" s="39">
        <f>'Research data'!G23</f>
        <v>328.7</v>
      </c>
      <c r="F19" s="30"/>
      <c r="G19" s="30" t="s">
        <v>49</v>
      </c>
      <c r="H19" s="30"/>
      <c r="I19" s="93" t="s">
        <v>91</v>
      </c>
      <c r="J19" s="117"/>
    </row>
    <row r="20" spans="2:10" ht="17" thickBot="1">
      <c r="B20" s="33"/>
      <c r="C20" s="30" t="s">
        <v>40</v>
      </c>
      <c r="D20" s="18" t="s">
        <v>44</v>
      </c>
      <c r="E20" s="114">
        <v>0</v>
      </c>
      <c r="F20" s="30"/>
      <c r="G20" s="30" t="s">
        <v>50</v>
      </c>
      <c r="H20" s="30"/>
      <c r="I20" s="126" t="s">
        <v>46</v>
      </c>
      <c r="J20" s="117"/>
    </row>
    <row r="21" spans="2:10" ht="17" thickBot="1">
      <c r="B21" s="33"/>
      <c r="C21" s="30" t="s">
        <v>43</v>
      </c>
      <c r="D21" s="18" t="s">
        <v>3</v>
      </c>
      <c r="E21" s="39">
        <v>7.0000000000000007E-2</v>
      </c>
      <c r="F21" s="30"/>
      <c r="G21" s="30" t="s">
        <v>21</v>
      </c>
      <c r="H21" s="30"/>
      <c r="I21" s="145" t="s">
        <v>131</v>
      </c>
      <c r="J21" s="117"/>
    </row>
    <row r="22" spans="2:10" ht="17" thickBot="1">
      <c r="B22" s="33"/>
      <c r="C22" s="30" t="s">
        <v>32</v>
      </c>
      <c r="D22" s="18" t="s">
        <v>10</v>
      </c>
      <c r="E22" s="40">
        <v>1</v>
      </c>
      <c r="F22" s="30"/>
      <c r="G22" s="30"/>
      <c r="H22" s="30"/>
      <c r="I22" s="28" t="s">
        <v>46</v>
      </c>
      <c r="J22" s="117"/>
    </row>
    <row r="23" spans="2:10">
      <c r="B23" s="33"/>
      <c r="C23" s="30"/>
      <c r="D23" s="18"/>
      <c r="E23" s="115"/>
      <c r="F23" s="30"/>
      <c r="G23" s="30"/>
      <c r="H23" s="30"/>
      <c r="J23" s="117"/>
    </row>
    <row r="24" spans="2:10" ht="17" thickBot="1">
      <c r="B24" s="33"/>
      <c r="C24" s="14" t="s">
        <v>7</v>
      </c>
      <c r="D24" s="112"/>
      <c r="E24" s="115"/>
      <c r="J24" s="117"/>
    </row>
    <row r="25" spans="2:10" ht="17" thickBot="1">
      <c r="B25" s="33"/>
      <c r="C25" s="30" t="s">
        <v>41</v>
      </c>
      <c r="D25" s="18" t="s">
        <v>2</v>
      </c>
      <c r="E25" s="40">
        <f>'Research data'!G13</f>
        <v>2.5</v>
      </c>
      <c r="F25" s="30"/>
      <c r="G25" s="30" t="s">
        <v>24</v>
      </c>
      <c r="H25" s="30"/>
      <c r="I25" s="132" t="s">
        <v>115</v>
      </c>
      <c r="J25" s="117"/>
    </row>
    <row r="26" spans="2:10" ht="17" thickBot="1">
      <c r="B26" s="33"/>
      <c r="C26" s="30" t="s">
        <v>42</v>
      </c>
      <c r="D26" s="18" t="s">
        <v>2</v>
      </c>
      <c r="E26" s="40">
        <f>'Research data'!G14</f>
        <v>30</v>
      </c>
      <c r="F26" s="30"/>
      <c r="G26" s="30" t="s">
        <v>23</v>
      </c>
      <c r="H26" s="30"/>
      <c r="I26" s="133" t="s">
        <v>115</v>
      </c>
      <c r="J26" s="117"/>
    </row>
    <row r="27" spans="2:10" ht="17" thickBot="1">
      <c r="B27" s="33"/>
      <c r="C27" s="30" t="s">
        <v>31</v>
      </c>
      <c r="D27" s="18" t="s">
        <v>4</v>
      </c>
      <c r="E27" s="40">
        <v>0</v>
      </c>
      <c r="F27" s="30"/>
      <c r="G27" s="30"/>
      <c r="H27" s="30"/>
      <c r="I27" s="28" t="s">
        <v>46</v>
      </c>
      <c r="J27" s="117"/>
    </row>
    <row r="28" spans="2:10" ht="20" customHeight="1" thickBot="1">
      <c r="B28" s="34"/>
      <c r="C28" s="35"/>
      <c r="D28" s="35"/>
      <c r="E28" s="35"/>
      <c r="F28" s="35"/>
      <c r="G28" s="35"/>
      <c r="H28" s="35"/>
      <c r="I28" s="35"/>
      <c r="J28" s="36"/>
    </row>
  </sheetData>
  <mergeCells count="1">
    <mergeCell ref="B2:G4"/>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1:Q28"/>
  <sheetViews>
    <sheetView tabSelected="1" workbookViewId="0">
      <selection activeCell="I15" sqref="I15"/>
    </sheetView>
  </sheetViews>
  <sheetFormatPr baseColWidth="10" defaultColWidth="10.6640625" defaultRowHeight="16"/>
  <cols>
    <col min="1" max="2" width="3.5" style="64" customWidth="1"/>
    <col min="3" max="3" width="35.83203125" style="64" customWidth="1"/>
    <col min="4" max="4" width="16.5" style="64" hidden="1" customWidth="1"/>
    <col min="5" max="5" width="13.83203125" style="64" hidden="1" customWidth="1"/>
    <col min="6" max="6" width="12.5" style="64" customWidth="1"/>
    <col min="7" max="7" width="17.83203125" style="64" customWidth="1"/>
    <col min="8" max="8" width="4.6640625" style="64" customWidth="1"/>
    <col min="9" max="9" width="10.1640625" style="65" customWidth="1"/>
    <col min="10" max="10" width="2.83203125" style="65" customWidth="1"/>
    <col min="11" max="11" width="9" style="65" customWidth="1"/>
    <col min="12" max="12" width="2.83203125" style="65" customWidth="1"/>
    <col min="13" max="13" width="9.1640625" style="65" customWidth="1"/>
    <col min="14" max="14" width="3.33203125" style="65" customWidth="1"/>
    <col min="15" max="15" width="8.5" style="65" customWidth="1"/>
    <col min="16" max="16" width="7.33203125" style="65" customWidth="1"/>
    <col min="17" max="17" width="114" style="64" customWidth="1"/>
    <col min="18" max="16384" width="10.6640625" style="64"/>
  </cols>
  <sheetData>
    <row r="1" spans="2:17" ht="17" thickBot="1"/>
    <row r="2" spans="2:17">
      <c r="B2" s="66"/>
      <c r="C2" s="67"/>
      <c r="D2" s="67"/>
      <c r="E2" s="67"/>
      <c r="F2" s="67"/>
      <c r="G2" s="67"/>
      <c r="H2" s="67"/>
      <c r="I2" s="68"/>
      <c r="J2" s="68"/>
      <c r="K2" s="68"/>
      <c r="L2" s="68"/>
      <c r="M2" s="68"/>
      <c r="N2" s="68"/>
      <c r="O2" s="68"/>
      <c r="P2" s="68"/>
      <c r="Q2" s="67"/>
    </row>
    <row r="3" spans="2:17" s="14" customFormat="1">
      <c r="B3" s="19"/>
      <c r="C3" s="125" t="s">
        <v>77</v>
      </c>
      <c r="D3" s="9"/>
      <c r="E3" s="9"/>
      <c r="F3" s="125" t="s">
        <v>13</v>
      </c>
      <c r="G3" s="125" t="s">
        <v>71</v>
      </c>
      <c r="H3" s="125"/>
      <c r="I3" s="59" t="s">
        <v>92</v>
      </c>
      <c r="J3" s="59"/>
      <c r="K3" s="59" t="s">
        <v>116</v>
      </c>
      <c r="L3" s="59"/>
      <c r="M3" s="59" t="s">
        <v>95</v>
      </c>
      <c r="N3" s="59"/>
      <c r="O3" s="59" t="s">
        <v>56</v>
      </c>
      <c r="P3" s="59"/>
      <c r="Q3" s="125" t="s">
        <v>94</v>
      </c>
    </row>
    <row r="4" spans="2:17">
      <c r="B4" s="69"/>
      <c r="C4" s="70"/>
      <c r="D4" s="70"/>
      <c r="E4" s="70"/>
      <c r="F4" s="70"/>
      <c r="G4" s="71"/>
      <c r="H4" s="71"/>
      <c r="I4" s="122"/>
      <c r="J4" s="122"/>
      <c r="K4" s="122"/>
      <c r="L4" s="122"/>
      <c r="M4" s="122"/>
      <c r="N4" s="122"/>
      <c r="O4" s="121"/>
      <c r="P4" s="123"/>
      <c r="Q4" s="9"/>
    </row>
    <row r="5" spans="2:17" ht="17" thickBot="1">
      <c r="B5" s="69"/>
      <c r="C5" s="26" t="s">
        <v>76</v>
      </c>
      <c r="D5" s="26"/>
      <c r="E5" s="26"/>
      <c r="F5" s="26"/>
      <c r="G5" s="10"/>
      <c r="H5" s="10"/>
      <c r="I5" s="10"/>
      <c r="J5" s="10"/>
      <c r="K5" s="10"/>
      <c r="L5" s="10"/>
      <c r="M5" s="10"/>
      <c r="N5" s="10"/>
      <c r="O5" s="10"/>
      <c r="P5" s="10"/>
      <c r="Q5" s="62"/>
    </row>
    <row r="6" spans="2:17" ht="17" thickBot="1">
      <c r="B6" s="69"/>
      <c r="C6" s="63" t="s">
        <v>133</v>
      </c>
      <c r="D6" s="26"/>
      <c r="E6" s="26"/>
      <c r="F6" s="26"/>
      <c r="G6" s="149">
        <f>K6</f>
        <v>0.46</v>
      </c>
      <c r="H6" s="10"/>
      <c r="I6" s="10"/>
      <c r="J6" s="10"/>
      <c r="K6" s="149">
        <f>Notes!D98</f>
        <v>0.46</v>
      </c>
      <c r="L6" s="10"/>
      <c r="M6" s="10"/>
      <c r="N6" s="10"/>
      <c r="O6" s="10"/>
      <c r="P6" s="10"/>
      <c r="Q6" s="62"/>
    </row>
    <row r="7" spans="2:17" ht="17" thickBot="1">
      <c r="B7" s="69"/>
      <c r="C7" s="63" t="s">
        <v>53</v>
      </c>
      <c r="D7" s="26"/>
      <c r="E7" s="26"/>
      <c r="F7" s="26"/>
      <c r="G7" s="149">
        <f>K7</f>
        <v>0.42</v>
      </c>
      <c r="H7" s="10"/>
      <c r="I7" s="10"/>
      <c r="J7" s="10"/>
      <c r="K7" s="149">
        <f>Notes!D99</f>
        <v>0.42</v>
      </c>
      <c r="L7" s="10"/>
      <c r="M7" s="10"/>
      <c r="N7" s="10"/>
      <c r="O7" s="10"/>
      <c r="P7" s="10"/>
      <c r="Q7" s="62"/>
    </row>
    <row r="8" spans="2:17" ht="17" thickBot="1">
      <c r="B8" s="69"/>
      <c r="C8" s="63" t="s">
        <v>134</v>
      </c>
      <c r="D8" s="26"/>
      <c r="E8" s="26"/>
      <c r="F8" s="26"/>
      <c r="G8" s="149">
        <f>ROUND(G9/K6,1)</f>
        <v>260.89999999999998</v>
      </c>
      <c r="H8" s="10"/>
      <c r="I8" s="10"/>
      <c r="J8" s="10"/>
      <c r="K8" s="151"/>
      <c r="L8" s="10"/>
      <c r="M8" s="10"/>
      <c r="N8" s="10"/>
      <c r="O8" s="10"/>
      <c r="P8" s="10"/>
      <c r="Q8" s="62"/>
    </row>
    <row r="9" spans="2:17" ht="17" thickBot="1">
      <c r="B9" s="69"/>
      <c r="C9" s="30" t="s">
        <v>33</v>
      </c>
      <c r="D9" s="26"/>
      <c r="E9" s="26"/>
      <c r="F9" s="148" t="s">
        <v>54</v>
      </c>
      <c r="G9" s="76">
        <f>I9</f>
        <v>120</v>
      </c>
      <c r="H9" s="10"/>
      <c r="I9" s="76">
        <f>Notes!D28</f>
        <v>120</v>
      </c>
      <c r="J9" s="10"/>
      <c r="K9" s="10"/>
      <c r="L9" s="10"/>
      <c r="M9" s="10"/>
      <c r="N9" s="10"/>
      <c r="O9" s="10"/>
      <c r="P9" s="10"/>
      <c r="Q9" s="62"/>
    </row>
    <row r="10" spans="2:17" ht="17" thickBot="1">
      <c r="B10" s="69"/>
      <c r="C10" s="30" t="s">
        <v>34</v>
      </c>
      <c r="D10" s="72"/>
      <c r="E10" s="72"/>
      <c r="F10" s="73" t="s">
        <v>54</v>
      </c>
      <c r="G10" s="76">
        <f>I10</f>
        <v>109.56521739130434</v>
      </c>
      <c r="H10" s="75"/>
      <c r="I10" s="76">
        <f>Notes!D101</f>
        <v>109.56521739130434</v>
      </c>
      <c r="J10" s="71"/>
      <c r="K10" s="71"/>
      <c r="L10" s="71"/>
      <c r="M10" s="71"/>
      <c r="N10" s="71"/>
      <c r="Q10" s="62"/>
    </row>
    <row r="11" spans="2:17">
      <c r="B11" s="69"/>
      <c r="C11" s="79"/>
      <c r="D11" s="79"/>
      <c r="E11" s="79"/>
      <c r="G11" s="77"/>
      <c r="H11" s="77"/>
      <c r="I11" s="77"/>
      <c r="J11" s="77"/>
      <c r="K11" s="77"/>
      <c r="L11" s="77"/>
      <c r="M11" s="77"/>
      <c r="N11" s="77"/>
      <c r="Q11" s="62"/>
    </row>
    <row r="12" spans="2:17" ht="17" thickBot="1">
      <c r="B12" s="69"/>
      <c r="C12" s="26" t="s">
        <v>7</v>
      </c>
      <c r="D12" s="26"/>
      <c r="E12" s="26"/>
      <c r="F12" s="26"/>
      <c r="G12" s="11"/>
      <c r="H12" s="11"/>
      <c r="I12" s="12"/>
      <c r="J12" s="12"/>
      <c r="K12" s="12"/>
      <c r="L12" s="12"/>
      <c r="M12" s="12"/>
      <c r="N12" s="12"/>
      <c r="Q12" s="27"/>
    </row>
    <row r="13" spans="2:17" ht="17" thickBot="1">
      <c r="B13" s="69"/>
      <c r="C13" s="80" t="s">
        <v>1</v>
      </c>
      <c r="D13" s="80"/>
      <c r="E13" s="80"/>
      <c r="F13" s="73" t="s">
        <v>2</v>
      </c>
      <c r="G13" s="81">
        <f>ROUND(2.5,1)</f>
        <v>2.5</v>
      </c>
      <c r="H13" s="77"/>
      <c r="I13" s="78"/>
      <c r="J13" s="78"/>
      <c r="K13" s="78"/>
      <c r="L13" s="78"/>
      <c r="M13" s="74">
        <f>Notes!D84/12</f>
        <v>2.5</v>
      </c>
      <c r="N13" s="78"/>
      <c r="O13" s="78"/>
      <c r="P13" s="71"/>
      <c r="Q13" s="27"/>
    </row>
    <row r="14" spans="2:17" ht="17" thickBot="1">
      <c r="B14" s="69"/>
      <c r="C14" s="83" t="s">
        <v>5</v>
      </c>
      <c r="D14" s="83"/>
      <c r="E14" s="83"/>
      <c r="F14" s="73" t="s">
        <v>2</v>
      </c>
      <c r="G14" s="84">
        <f>ROUND(30,0)</f>
        <v>30</v>
      </c>
      <c r="H14" s="77"/>
      <c r="I14" s="78"/>
      <c r="J14" s="78"/>
      <c r="K14" s="78"/>
      <c r="L14" s="78"/>
      <c r="M14" s="76">
        <f>Notes!D85</f>
        <v>30</v>
      </c>
      <c r="N14" s="78"/>
      <c r="O14" s="71"/>
      <c r="P14" s="71"/>
      <c r="Q14" s="62"/>
    </row>
    <row r="15" spans="2:17">
      <c r="B15" s="69"/>
      <c r="C15" s="26"/>
      <c r="D15" s="26"/>
      <c r="E15" s="26"/>
      <c r="F15" s="26"/>
      <c r="G15" s="12"/>
      <c r="H15" s="12"/>
      <c r="I15" s="78"/>
      <c r="J15" s="78"/>
      <c r="K15" s="78"/>
      <c r="L15" s="78"/>
      <c r="M15" s="78"/>
      <c r="N15" s="78"/>
      <c r="Q15" s="62"/>
    </row>
    <row r="16" spans="2:17" ht="17" thickBot="1">
      <c r="B16" s="69"/>
      <c r="C16" s="13" t="s">
        <v>80</v>
      </c>
      <c r="D16" s="13"/>
      <c r="E16" s="13"/>
      <c r="F16" s="13"/>
      <c r="G16" s="12"/>
      <c r="H16" s="12"/>
      <c r="I16" s="12"/>
      <c r="J16" s="12"/>
      <c r="K16" s="12"/>
      <c r="L16" s="12"/>
      <c r="M16" s="12"/>
      <c r="N16" s="12"/>
      <c r="Q16" s="62"/>
    </row>
    <row r="17" spans="2:17" ht="17" thickBot="1">
      <c r="B17" s="69"/>
      <c r="C17" s="118" t="s">
        <v>81</v>
      </c>
      <c r="D17" s="13"/>
      <c r="E17" s="13"/>
      <c r="F17" s="118" t="s">
        <v>29</v>
      </c>
      <c r="G17" s="81">
        <f>ROUND(G18*G9*1000,2)</f>
        <v>144900000</v>
      </c>
      <c r="H17" s="12"/>
      <c r="I17" s="77"/>
      <c r="J17" s="77"/>
      <c r="K17" s="77"/>
      <c r="L17" s="77"/>
      <c r="M17" s="77"/>
      <c r="N17" s="77"/>
      <c r="Q17" s="62"/>
    </row>
    <row r="18" spans="2:17" ht="17" thickBot="1">
      <c r="B18" s="69"/>
      <c r="C18" s="161" t="s">
        <v>159</v>
      </c>
      <c r="D18" s="85"/>
      <c r="E18" s="85"/>
      <c r="F18" s="159" t="s">
        <v>155</v>
      </c>
      <c r="G18" s="81">
        <f>ROUND(Notes!D46,6)</f>
        <v>1207.5</v>
      </c>
      <c r="H18" s="77"/>
      <c r="I18" s="89">
        <f>Notes!D46</f>
        <v>1207.5</v>
      </c>
      <c r="J18" s="77"/>
      <c r="K18" s="89">
        <f>Notes!D116</f>
        <v>1150</v>
      </c>
      <c r="L18" s="77"/>
      <c r="M18" s="77"/>
      <c r="N18" s="77"/>
      <c r="Q18" s="63" t="s">
        <v>150</v>
      </c>
    </row>
    <row r="19" spans="2:17" ht="17" thickBot="1">
      <c r="B19" s="69"/>
      <c r="C19" s="127" t="s">
        <v>82</v>
      </c>
      <c r="D19" s="26"/>
      <c r="E19" s="26"/>
      <c r="F19" s="91" t="s">
        <v>29</v>
      </c>
      <c r="G19" s="92">
        <f>G20+G22</f>
        <v>2574802.17</v>
      </c>
      <c r="H19" s="12"/>
      <c r="I19" s="89">
        <f>Notes!$D$71</f>
        <v>2520000</v>
      </c>
      <c r="J19" s="77"/>
      <c r="K19" s="77"/>
      <c r="L19" s="77"/>
      <c r="M19" s="77"/>
      <c r="N19" s="77"/>
      <c r="Q19" s="63"/>
    </row>
    <row r="20" spans="2:17" ht="17" thickBot="1">
      <c r="B20" s="69"/>
      <c r="C20" s="127" t="s">
        <v>83</v>
      </c>
      <c r="D20" s="26"/>
      <c r="E20" s="26"/>
      <c r="F20" s="91" t="s">
        <v>29</v>
      </c>
      <c r="G20" s="86">
        <f>ROUND(G21*G10*1000,2)</f>
        <v>1095652.17</v>
      </c>
      <c r="H20" s="12"/>
      <c r="I20" s="77"/>
      <c r="J20" s="77"/>
      <c r="K20" s="77"/>
      <c r="L20" s="77"/>
      <c r="M20" s="77"/>
      <c r="N20" s="77"/>
      <c r="O20" s="82"/>
      <c r="P20" s="77"/>
      <c r="Q20" s="63" t="s">
        <v>97</v>
      </c>
    </row>
    <row r="21" spans="2:17" ht="17" thickBot="1">
      <c r="B21" s="69"/>
      <c r="C21" s="118" t="s">
        <v>84</v>
      </c>
      <c r="D21" s="26"/>
      <c r="E21" s="26"/>
      <c r="F21" s="120" t="s">
        <v>79</v>
      </c>
      <c r="G21" s="131">
        <v>10</v>
      </c>
      <c r="H21" s="12"/>
      <c r="I21" s="77"/>
      <c r="J21" s="77"/>
      <c r="K21" s="77"/>
      <c r="L21" s="77"/>
      <c r="M21" s="77"/>
      <c r="N21" s="77"/>
      <c r="O21" s="82"/>
      <c r="P21" s="77"/>
      <c r="Q21" s="27" t="s">
        <v>98</v>
      </c>
    </row>
    <row r="22" spans="2:17" ht="17" thickBot="1">
      <c r="B22" s="69"/>
      <c r="C22" s="118" t="s">
        <v>85</v>
      </c>
      <c r="D22" s="26"/>
      <c r="E22" s="26"/>
      <c r="F22" s="91" t="s">
        <v>29</v>
      </c>
      <c r="G22" s="86">
        <f>G23*G25</f>
        <v>1479150</v>
      </c>
      <c r="H22" s="12"/>
      <c r="I22" s="77"/>
      <c r="J22" s="77"/>
      <c r="K22" s="77"/>
      <c r="L22" s="77"/>
      <c r="M22" s="77"/>
      <c r="N22" s="77"/>
      <c r="O22" s="82"/>
      <c r="P22" s="77"/>
      <c r="Q22" s="63" t="s">
        <v>107</v>
      </c>
    </row>
    <row r="23" spans="2:17" ht="17" thickBot="1">
      <c r="B23" s="69"/>
      <c r="C23" s="127" t="s">
        <v>85</v>
      </c>
      <c r="D23" s="88"/>
      <c r="E23" s="88"/>
      <c r="F23" s="73" t="s">
        <v>44</v>
      </c>
      <c r="G23" s="81">
        <f>ROUND(G24*G26/G25,2)</f>
        <v>328.7</v>
      </c>
      <c r="H23" s="77"/>
      <c r="I23" s="77"/>
      <c r="J23" s="77"/>
      <c r="K23" s="77"/>
      <c r="L23" s="77"/>
      <c r="M23" s="77"/>
      <c r="N23" s="77"/>
      <c r="O23" s="82"/>
      <c r="P23" s="77"/>
      <c r="Q23" s="63" t="s">
        <v>108</v>
      </c>
    </row>
    <row r="24" spans="2:17" ht="17" thickBot="1">
      <c r="B24" s="69"/>
      <c r="C24" s="118" t="s">
        <v>85</v>
      </c>
      <c r="D24" s="87"/>
      <c r="E24" s="87"/>
      <c r="F24" s="119" t="s">
        <v>78</v>
      </c>
      <c r="G24" s="89">
        <v>3</v>
      </c>
      <c r="H24" s="77"/>
      <c r="I24" s="89">
        <f>Notes!D72</f>
        <v>3.5</v>
      </c>
      <c r="J24" s="77"/>
      <c r="K24" s="89">
        <f>Notes!D110</f>
        <v>3</v>
      </c>
      <c r="L24" s="77"/>
      <c r="M24" s="77"/>
      <c r="N24" s="77"/>
      <c r="O24" s="77"/>
      <c r="P24" s="77"/>
      <c r="Q24" s="63" t="s">
        <v>109</v>
      </c>
    </row>
    <row r="25" spans="2:17" ht="17" thickBot="1">
      <c r="B25" s="69"/>
      <c r="C25" s="124" t="s">
        <v>86</v>
      </c>
      <c r="D25" s="62"/>
      <c r="E25" s="62"/>
      <c r="F25" s="62" t="s">
        <v>51</v>
      </c>
      <c r="G25" s="90">
        <v>4500</v>
      </c>
      <c r="Q25" s="144" t="s">
        <v>129</v>
      </c>
    </row>
    <row r="26" spans="2:17" ht="17" thickBot="1">
      <c r="B26" s="69"/>
      <c r="C26" s="128" t="s">
        <v>93</v>
      </c>
      <c r="D26" s="62"/>
      <c r="E26" s="62"/>
      <c r="F26" s="124" t="s">
        <v>87</v>
      </c>
      <c r="G26" s="90">
        <f>G25*G10</f>
        <v>493043.47826086957</v>
      </c>
      <c r="Q26" s="130" t="s">
        <v>110</v>
      </c>
    </row>
    <row r="27" spans="2:17">
      <c r="B27" s="69"/>
      <c r="C27" s="128"/>
      <c r="D27" s="62"/>
      <c r="E27" s="62"/>
      <c r="F27" s="124"/>
      <c r="G27" s="140"/>
      <c r="Q27" s="142" t="s">
        <v>124</v>
      </c>
    </row>
    <row r="28" spans="2:17">
      <c r="B28" s="69"/>
      <c r="C28" s="128"/>
      <c r="D28" s="62"/>
      <c r="E28" s="62"/>
      <c r="F28" s="124"/>
      <c r="G28" s="140"/>
      <c r="Q28" s="142" t="s">
        <v>123</v>
      </c>
    </row>
  </sheetData>
  <hyperlinks>
    <hyperlink ref="Q21" r:id="rId1" location="issuecomment-17880519" xr:uid="{00000000-0004-0000-0200-00000100000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K23"/>
  <sheetViews>
    <sheetView workbookViewId="0">
      <selection activeCell="J19" sqref="J19"/>
    </sheetView>
  </sheetViews>
  <sheetFormatPr baseColWidth="10" defaultColWidth="33.1640625" defaultRowHeight="16"/>
  <cols>
    <col min="1" max="1" width="3.33203125" style="41" customWidth="1"/>
    <col min="2" max="2" width="3.5" style="41" customWidth="1"/>
    <col min="3" max="3" width="28.6640625" style="41" customWidth="1"/>
    <col min="4" max="4" width="3.1640625" style="41" customWidth="1"/>
    <col min="5" max="5" width="16.1640625" style="41" customWidth="1"/>
    <col min="6" max="6" width="10.33203125" style="41" customWidth="1"/>
    <col min="7" max="9" width="12.1640625" style="41" customWidth="1"/>
    <col min="10" max="10" width="32" style="42" customWidth="1"/>
    <col min="11" max="11" width="130.33203125" style="41" customWidth="1"/>
    <col min="12" max="16384" width="33.1640625" style="41"/>
  </cols>
  <sheetData>
    <row r="1" spans="2:11" ht="17" thickBot="1"/>
    <row r="2" spans="2:11">
      <c r="B2" s="43"/>
      <c r="C2" s="44"/>
      <c r="D2" s="44"/>
      <c r="E2" s="44"/>
      <c r="F2" s="44"/>
      <c r="G2" s="44"/>
      <c r="H2" s="44"/>
      <c r="I2" s="44"/>
      <c r="J2" s="45"/>
      <c r="K2" s="44"/>
    </row>
    <row r="3" spans="2:11">
      <c r="B3" s="46"/>
      <c r="C3" s="47" t="s">
        <v>20</v>
      </c>
      <c r="D3" s="47"/>
      <c r="E3" s="47"/>
      <c r="F3" s="47"/>
      <c r="G3" s="47"/>
      <c r="H3" s="47"/>
      <c r="I3" s="47"/>
      <c r="J3" s="48"/>
    </row>
    <row r="4" spans="2:11">
      <c r="B4" s="46"/>
    </row>
    <row r="5" spans="2:11">
      <c r="B5" s="49"/>
      <c r="C5" s="50" t="s">
        <v>26</v>
      </c>
      <c r="D5" s="50"/>
      <c r="E5" s="50" t="s">
        <v>0</v>
      </c>
      <c r="F5" s="50" t="s">
        <v>17</v>
      </c>
      <c r="G5" s="50" t="s">
        <v>27</v>
      </c>
      <c r="H5" s="50" t="s">
        <v>111</v>
      </c>
      <c r="I5" s="50" t="s">
        <v>52</v>
      </c>
      <c r="J5" s="51" t="s">
        <v>122</v>
      </c>
      <c r="K5" s="50" t="s">
        <v>14</v>
      </c>
    </row>
    <row r="6" spans="2:11">
      <c r="B6" s="46"/>
      <c r="C6" s="47"/>
      <c r="D6" s="47"/>
      <c r="E6" s="47"/>
      <c r="F6" s="47"/>
      <c r="G6" s="47"/>
      <c r="H6" s="47"/>
      <c r="I6" s="47"/>
      <c r="J6" s="48"/>
      <c r="K6" s="47"/>
    </row>
    <row r="7" spans="2:11" ht="34">
      <c r="B7" s="46"/>
      <c r="C7" s="52"/>
      <c r="D7" s="57"/>
      <c r="E7" s="52" t="s">
        <v>92</v>
      </c>
      <c r="F7" s="54" t="s">
        <v>9</v>
      </c>
      <c r="G7" s="55" t="s">
        <v>89</v>
      </c>
      <c r="H7" s="55" t="s">
        <v>89</v>
      </c>
      <c r="I7" s="55"/>
      <c r="J7" s="55" t="s">
        <v>126</v>
      </c>
      <c r="K7" s="52"/>
    </row>
    <row r="8" spans="2:11">
      <c r="B8" s="46"/>
      <c r="C8" s="57" t="s">
        <v>100</v>
      </c>
      <c r="D8" s="57"/>
      <c r="E8" s="52"/>
      <c r="F8" s="54"/>
      <c r="G8" s="55"/>
      <c r="H8" s="55"/>
      <c r="I8" s="55"/>
      <c r="J8" s="55"/>
      <c r="K8" s="52"/>
    </row>
    <row r="9" spans="2:11">
      <c r="B9" s="46"/>
      <c r="C9" s="52" t="s">
        <v>58</v>
      </c>
      <c r="D9" s="57"/>
      <c r="E9" s="52"/>
      <c r="F9" s="54"/>
      <c r="G9" s="55"/>
      <c r="H9" s="55"/>
      <c r="I9" s="55"/>
      <c r="J9" s="55"/>
      <c r="K9" s="52"/>
    </row>
    <row r="10" spans="2:11">
      <c r="B10" s="46"/>
      <c r="C10" s="52"/>
      <c r="D10" s="57"/>
      <c r="E10" s="52"/>
      <c r="F10" s="54"/>
      <c r="G10" s="55"/>
      <c r="H10" s="55"/>
      <c r="I10" s="55"/>
      <c r="J10" s="55"/>
      <c r="K10" s="52"/>
    </row>
    <row r="11" spans="2:11">
      <c r="B11" s="46"/>
      <c r="C11" s="52"/>
      <c r="D11" s="52"/>
      <c r="E11" s="52" t="s">
        <v>95</v>
      </c>
      <c r="F11" s="41" t="s">
        <v>55</v>
      </c>
      <c r="G11" s="60">
        <v>2010</v>
      </c>
      <c r="H11" s="60">
        <v>2009</v>
      </c>
      <c r="J11" s="42" t="s">
        <v>127</v>
      </c>
      <c r="K11" s="56" t="s">
        <v>96</v>
      </c>
    </row>
    <row r="12" spans="2:11">
      <c r="B12" s="46"/>
      <c r="C12" s="53" t="s">
        <v>1</v>
      </c>
      <c r="D12" s="52"/>
      <c r="E12" s="52"/>
      <c r="G12" s="60"/>
      <c r="H12" s="60"/>
      <c r="K12" s="56"/>
    </row>
    <row r="13" spans="2:11">
      <c r="B13" s="46"/>
      <c r="C13" s="52" t="s">
        <v>57</v>
      </c>
      <c r="D13" s="52"/>
      <c r="E13" s="52"/>
      <c r="G13" s="60"/>
      <c r="H13" s="60"/>
      <c r="K13" s="56"/>
    </row>
    <row r="14" spans="2:11">
      <c r="B14" s="46"/>
      <c r="C14" s="52"/>
      <c r="D14" s="52"/>
      <c r="E14" s="52"/>
      <c r="G14" s="60"/>
      <c r="H14" s="60"/>
      <c r="K14" s="56"/>
    </row>
    <row r="15" spans="2:11">
      <c r="B15" s="46"/>
      <c r="C15" s="52"/>
      <c r="D15" s="52"/>
      <c r="E15" s="52" t="s">
        <v>116</v>
      </c>
      <c r="F15" s="41" t="s">
        <v>55</v>
      </c>
      <c r="G15" s="60">
        <v>2014</v>
      </c>
      <c r="H15" s="60">
        <v>2014</v>
      </c>
      <c r="J15" s="42" t="s">
        <v>128</v>
      </c>
      <c r="K15" s="56" t="s">
        <v>120</v>
      </c>
    </row>
    <row r="16" spans="2:11">
      <c r="B16" s="46"/>
      <c r="C16" s="57" t="s">
        <v>119</v>
      </c>
      <c r="D16" s="52"/>
      <c r="E16" s="52"/>
      <c r="G16" s="60"/>
      <c r="H16" s="60"/>
      <c r="K16" s="56"/>
    </row>
    <row r="17" spans="2:11">
      <c r="B17" s="46"/>
      <c r="C17" s="57" t="s">
        <v>49</v>
      </c>
      <c r="D17" s="52"/>
      <c r="E17" s="52"/>
      <c r="G17" s="60"/>
      <c r="H17" s="60"/>
      <c r="K17" s="56"/>
    </row>
    <row r="18" spans="2:11">
      <c r="B18" s="46"/>
      <c r="E18" s="155" t="s">
        <v>142</v>
      </c>
    </row>
    <row r="19" spans="2:11">
      <c r="B19" s="46"/>
      <c r="C19" s="41" t="s">
        <v>144</v>
      </c>
      <c r="F19" s="41" t="s">
        <v>143</v>
      </c>
      <c r="G19" s="41">
        <v>2022</v>
      </c>
      <c r="I19" s="41">
        <v>2026</v>
      </c>
      <c r="J19" s="42" t="s">
        <v>152</v>
      </c>
    </row>
    <row r="20" spans="2:11">
      <c r="B20" s="46"/>
      <c r="C20" s="52"/>
      <c r="D20" s="52"/>
      <c r="F20" s="52"/>
      <c r="G20" s="61"/>
      <c r="H20" s="61"/>
      <c r="I20" s="52"/>
      <c r="J20" s="58"/>
      <c r="K20" s="56"/>
    </row>
    <row r="21" spans="2:11">
      <c r="B21" s="46"/>
      <c r="C21" s="52"/>
      <c r="D21" s="52"/>
      <c r="E21" s="41" t="s">
        <v>90</v>
      </c>
      <c r="F21" s="52"/>
      <c r="G21" s="61">
        <v>2013</v>
      </c>
      <c r="H21" s="61"/>
      <c r="I21" s="52"/>
      <c r="J21" s="58"/>
      <c r="K21" s="56" t="s">
        <v>91</v>
      </c>
    </row>
    <row r="22" spans="2:11">
      <c r="B22" s="46"/>
      <c r="C22" s="52" t="s">
        <v>84</v>
      </c>
      <c r="D22" s="52"/>
      <c r="F22" s="52"/>
      <c r="G22" s="61"/>
      <c r="H22" s="61"/>
      <c r="I22" s="52"/>
      <c r="J22" s="58"/>
      <c r="K22" s="56"/>
    </row>
    <row r="23" spans="2:11">
      <c r="C23" s="57" t="s">
        <v>49</v>
      </c>
      <c r="D23" s="52"/>
      <c r="F23" s="52"/>
      <c r="G23" s="61"/>
      <c r="H23" s="61"/>
      <c r="I23" s="52"/>
      <c r="J23" s="58"/>
      <c r="K23" s="56"/>
    </row>
  </sheetData>
  <pageMargins left="0.75" right="0.75" top="1" bottom="1" header="0.5" footer="0.5"/>
  <pageSetup paperSize="9" orientation="portrait" horizontalDpi="4294967292" verticalDpi="4294967292"/>
  <ignoredErrors>
    <ignoredError sqref="G7:H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122"/>
  <sheetViews>
    <sheetView topLeftCell="A16" workbookViewId="0">
      <selection activeCell="D29" sqref="D29"/>
    </sheetView>
  </sheetViews>
  <sheetFormatPr baseColWidth="10" defaultColWidth="10.6640625" defaultRowHeight="16"/>
  <cols>
    <col min="1" max="1" width="4.83203125" style="129" customWidth="1"/>
    <col min="2" max="2" width="4" style="129" customWidth="1"/>
    <col min="3" max="3" width="28.33203125" style="129" customWidth="1"/>
    <col min="4" max="16384" width="10.6640625" style="129"/>
  </cols>
  <sheetData>
    <row r="1" spans="2:15" ht="17" thickBot="1"/>
    <row r="2" spans="2:15">
      <c r="B2" s="134"/>
      <c r="C2" s="135"/>
      <c r="D2" s="135"/>
      <c r="E2" s="135"/>
      <c r="F2" s="135"/>
      <c r="G2" s="135"/>
      <c r="H2" s="135"/>
      <c r="I2" s="135"/>
      <c r="J2" s="135"/>
      <c r="K2" s="135"/>
      <c r="L2" s="135"/>
      <c r="M2" s="135"/>
      <c r="N2" s="135"/>
      <c r="O2" s="136"/>
    </row>
    <row r="3" spans="2:15" s="14" customFormat="1">
      <c r="B3" s="109"/>
      <c r="C3" s="15" t="s">
        <v>0</v>
      </c>
      <c r="D3" s="15" t="s">
        <v>101</v>
      </c>
      <c r="E3" s="15"/>
      <c r="F3" s="15"/>
      <c r="G3" s="15"/>
      <c r="H3" s="15"/>
      <c r="I3" s="15"/>
      <c r="J3" s="15"/>
      <c r="K3" s="15"/>
      <c r="L3" s="15"/>
      <c r="M3" s="15"/>
      <c r="N3" s="15"/>
      <c r="O3" s="139"/>
    </row>
    <row r="4" spans="2:15" s="14" customFormat="1">
      <c r="B4" s="19"/>
      <c r="O4" s="157"/>
    </row>
    <row r="5" spans="2:15" s="14" customFormat="1">
      <c r="B5" s="19"/>
      <c r="C5" s="158" t="s">
        <v>151</v>
      </c>
      <c r="O5" s="157"/>
    </row>
    <row r="6" spans="2:15" s="14" customFormat="1">
      <c r="B6" s="19"/>
      <c r="C6" s="158" t="s">
        <v>154</v>
      </c>
      <c r="O6" s="157"/>
    </row>
    <row r="7" spans="2:15" s="14" customFormat="1">
      <c r="B7" s="19"/>
      <c r="C7" s="14" t="s">
        <v>153</v>
      </c>
      <c r="O7" s="157"/>
    </row>
    <row r="8" spans="2:15" s="14" customFormat="1">
      <c r="B8" s="19"/>
      <c r="O8" s="157"/>
    </row>
    <row r="9" spans="2:15" s="14" customFormat="1">
      <c r="B9" s="19"/>
      <c r="O9" s="157"/>
    </row>
    <row r="10" spans="2:15" s="14" customFormat="1">
      <c r="B10" s="19"/>
      <c r="O10" s="157"/>
    </row>
    <row r="11" spans="2:15">
      <c r="B11" s="137"/>
      <c r="O11" s="138"/>
    </row>
    <row r="12" spans="2:15">
      <c r="B12" s="137"/>
      <c r="C12" s="129" t="s">
        <v>92</v>
      </c>
      <c r="O12" s="138"/>
    </row>
    <row r="13" spans="2:15">
      <c r="B13" s="137"/>
      <c r="C13" s="129" t="s">
        <v>102</v>
      </c>
      <c r="O13" s="138"/>
    </row>
    <row r="14" spans="2:15">
      <c r="B14" s="137"/>
      <c r="O14" s="138"/>
    </row>
    <row r="15" spans="2:15">
      <c r="B15" s="137"/>
      <c r="O15" s="138"/>
    </row>
    <row r="16" spans="2:15">
      <c r="B16" s="137"/>
      <c r="O16" s="138"/>
    </row>
    <row r="17" spans="2:15">
      <c r="B17" s="137"/>
      <c r="O17" s="138"/>
    </row>
    <row r="18" spans="2:15">
      <c r="B18" s="137"/>
      <c r="O18" s="138"/>
    </row>
    <row r="19" spans="2:15">
      <c r="B19" s="137"/>
      <c r="O19" s="138"/>
    </row>
    <row r="20" spans="2:15">
      <c r="B20" s="137"/>
      <c r="O20" s="138"/>
    </row>
    <row r="21" spans="2:15">
      <c r="B21" s="137"/>
      <c r="O21" s="138"/>
    </row>
    <row r="22" spans="2:15">
      <c r="B22" s="137"/>
      <c r="O22" s="138"/>
    </row>
    <row r="23" spans="2:15">
      <c r="B23" s="137"/>
      <c r="O23" s="138"/>
    </row>
    <row r="24" spans="2:15">
      <c r="B24" s="137"/>
      <c r="O24" s="138"/>
    </row>
    <row r="25" spans="2:15">
      <c r="B25" s="137"/>
      <c r="O25" s="138"/>
    </row>
    <row r="26" spans="2:15">
      <c r="B26" s="137"/>
      <c r="O26" s="138"/>
    </row>
    <row r="27" spans="2:15" ht="17" customHeight="1">
      <c r="B27" s="137"/>
      <c r="C27" s="30" t="s">
        <v>33</v>
      </c>
      <c r="D27" s="129">
        <v>120000</v>
      </c>
      <c r="E27" s="160" t="s">
        <v>156</v>
      </c>
      <c r="O27" s="138"/>
    </row>
    <row r="28" spans="2:15" ht="17" customHeight="1">
      <c r="B28" s="137"/>
      <c r="D28" s="129">
        <f>D27/1000</f>
        <v>120</v>
      </c>
      <c r="E28" s="160" t="s">
        <v>157</v>
      </c>
      <c r="O28" s="138"/>
    </row>
    <row r="29" spans="2:15">
      <c r="B29" s="137"/>
      <c r="D29" s="129">
        <v>1050</v>
      </c>
      <c r="E29" s="160" t="s">
        <v>158</v>
      </c>
      <c r="O29" s="138"/>
    </row>
    <row r="30" spans="2:15">
      <c r="B30" s="137"/>
      <c r="O30" s="138"/>
    </row>
    <row r="31" spans="2:15">
      <c r="B31" s="137"/>
      <c r="O31" s="138"/>
    </row>
    <row r="32" spans="2:15">
      <c r="B32" s="137"/>
      <c r="O32" s="138"/>
    </row>
    <row r="33" spans="2:15">
      <c r="B33" s="137"/>
      <c r="O33" s="138"/>
    </row>
    <row r="34" spans="2:15">
      <c r="B34" s="137"/>
      <c r="O34" s="138"/>
    </row>
    <row r="35" spans="2:15">
      <c r="B35" s="137"/>
      <c r="O35" s="138"/>
    </row>
    <row r="36" spans="2:15">
      <c r="B36" s="137"/>
      <c r="O36" s="138"/>
    </row>
    <row r="37" spans="2:15">
      <c r="B37" s="137"/>
      <c r="O37" s="138"/>
    </row>
    <row r="38" spans="2:15">
      <c r="B38" s="137"/>
      <c r="O38" s="138"/>
    </row>
    <row r="39" spans="2:15">
      <c r="B39" s="137"/>
      <c r="O39" s="138"/>
    </row>
    <row r="40" spans="2:15">
      <c r="B40" s="137"/>
      <c r="O40" s="138"/>
    </row>
    <row r="41" spans="2:15">
      <c r="B41" s="137"/>
      <c r="O41" s="138"/>
    </row>
    <row r="42" spans="2:15">
      <c r="B42" s="137"/>
      <c r="C42" s="154" t="s">
        <v>145</v>
      </c>
      <c r="D42" s="129">
        <v>1.1499999999999999</v>
      </c>
      <c r="E42" s="154" t="s">
        <v>140</v>
      </c>
      <c r="O42" s="138"/>
    </row>
    <row r="43" spans="2:15">
      <c r="B43" s="137"/>
      <c r="E43" s="129" t="s">
        <v>141</v>
      </c>
      <c r="O43" s="138"/>
    </row>
    <row r="44" spans="2:15">
      <c r="B44" s="137"/>
      <c r="O44" s="138"/>
    </row>
    <row r="45" spans="2:15">
      <c r="B45" s="137"/>
      <c r="O45" s="138"/>
    </row>
    <row r="46" spans="2:15">
      <c r="B46" s="137"/>
      <c r="C46" s="154" t="s">
        <v>146</v>
      </c>
      <c r="D46" s="129">
        <f>D29*D42</f>
        <v>1207.5</v>
      </c>
      <c r="E46" s="154" t="s">
        <v>104</v>
      </c>
      <c r="O46" s="138"/>
    </row>
    <row r="47" spans="2:15">
      <c r="B47" s="137"/>
      <c r="O47" s="138"/>
    </row>
    <row r="48" spans="2:15">
      <c r="B48" s="137"/>
      <c r="O48" s="138"/>
    </row>
    <row r="49" spans="2:15">
      <c r="B49" s="137"/>
      <c r="O49" s="138"/>
    </row>
    <row r="50" spans="2:15">
      <c r="B50" s="137"/>
      <c r="O50" s="138"/>
    </row>
    <row r="51" spans="2:15">
      <c r="B51" s="137"/>
      <c r="O51" s="138"/>
    </row>
    <row r="52" spans="2:15">
      <c r="B52" s="137"/>
      <c r="O52" s="138"/>
    </row>
    <row r="53" spans="2:15">
      <c r="B53" s="137"/>
      <c r="O53" s="138"/>
    </row>
    <row r="54" spans="2:15">
      <c r="B54" s="137"/>
      <c r="O54" s="138"/>
    </row>
    <row r="55" spans="2:15">
      <c r="B55" s="137"/>
      <c r="C55" s="129" t="s">
        <v>103</v>
      </c>
      <c r="O55" s="138"/>
    </row>
    <row r="56" spans="2:15">
      <c r="B56" s="137"/>
      <c r="O56" s="138"/>
    </row>
    <row r="57" spans="2:15">
      <c r="B57" s="137"/>
      <c r="O57" s="138"/>
    </row>
    <row r="58" spans="2:15">
      <c r="B58" s="137"/>
      <c r="O58" s="138"/>
    </row>
    <row r="59" spans="2:15">
      <c r="B59" s="137"/>
      <c r="O59" s="138"/>
    </row>
    <row r="60" spans="2:15">
      <c r="B60" s="137"/>
      <c r="O60" s="138"/>
    </row>
    <row r="61" spans="2:15">
      <c r="B61" s="137"/>
      <c r="O61" s="138"/>
    </row>
    <row r="62" spans="2:15">
      <c r="B62" s="137"/>
      <c r="O62" s="138"/>
    </row>
    <row r="63" spans="2:15">
      <c r="B63" s="137"/>
      <c r="O63" s="138"/>
    </row>
    <row r="64" spans="2:15">
      <c r="B64" s="137"/>
      <c r="O64" s="138"/>
    </row>
    <row r="65" spans="2:15">
      <c r="B65" s="137"/>
      <c r="O65" s="138"/>
    </row>
    <row r="66" spans="2:15">
      <c r="B66" s="137"/>
      <c r="O66" s="138"/>
    </row>
    <row r="67" spans="2:15">
      <c r="B67" s="137"/>
      <c r="O67" s="138"/>
    </row>
    <row r="68" spans="2:15">
      <c r="B68" s="137"/>
      <c r="O68" s="138"/>
    </row>
    <row r="69" spans="2:15">
      <c r="B69" s="137"/>
      <c r="O69" s="138"/>
    </row>
    <row r="70" spans="2:15">
      <c r="B70" s="137"/>
      <c r="O70" s="138"/>
    </row>
    <row r="71" spans="2:15">
      <c r="B71" s="137"/>
      <c r="D71" s="129">
        <v>2520000</v>
      </c>
      <c r="E71" s="129" t="s">
        <v>106</v>
      </c>
      <c r="O71" s="138"/>
    </row>
    <row r="72" spans="2:15">
      <c r="B72" s="137"/>
      <c r="C72" s="143" t="s">
        <v>125</v>
      </c>
      <c r="D72" s="129">
        <v>3.5</v>
      </c>
      <c r="E72" s="143" t="s">
        <v>118</v>
      </c>
      <c r="O72" s="138"/>
    </row>
    <row r="73" spans="2:15">
      <c r="B73" s="137"/>
      <c r="O73" s="138"/>
    </row>
    <row r="74" spans="2:15">
      <c r="B74" s="137"/>
      <c r="O74" s="138"/>
    </row>
    <row r="75" spans="2:15">
      <c r="B75" s="137"/>
      <c r="O75" s="138"/>
    </row>
    <row r="76" spans="2:15">
      <c r="B76" s="137"/>
      <c r="O76" s="138"/>
    </row>
    <row r="77" spans="2:15">
      <c r="B77" s="137"/>
      <c r="C77" s="129" t="s">
        <v>95</v>
      </c>
      <c r="O77" s="138"/>
    </row>
    <row r="78" spans="2:15">
      <c r="B78" s="137"/>
      <c r="C78" s="129" t="s">
        <v>112</v>
      </c>
      <c r="O78" s="138"/>
    </row>
    <row r="79" spans="2:15">
      <c r="B79" s="137"/>
      <c r="O79" s="138"/>
    </row>
    <row r="80" spans="2:15">
      <c r="B80" s="137"/>
      <c r="O80" s="138"/>
    </row>
    <row r="81" spans="2:15">
      <c r="B81" s="137"/>
      <c r="O81" s="138"/>
    </row>
    <row r="82" spans="2:15">
      <c r="B82" s="137"/>
      <c r="O82" s="138"/>
    </row>
    <row r="83" spans="2:15">
      <c r="B83" s="137"/>
      <c r="O83" s="138"/>
    </row>
    <row r="84" spans="2:15">
      <c r="B84" s="137"/>
      <c r="D84" s="129">
        <v>30</v>
      </c>
      <c r="E84" s="129" t="s">
        <v>114</v>
      </c>
      <c r="O84" s="138"/>
    </row>
    <row r="85" spans="2:15">
      <c r="B85" s="137"/>
      <c r="D85" s="129">
        <v>30</v>
      </c>
      <c r="E85" s="129" t="s">
        <v>113</v>
      </c>
      <c r="O85" s="138"/>
    </row>
    <row r="86" spans="2:15">
      <c r="B86" s="137"/>
      <c r="O86" s="138"/>
    </row>
    <row r="87" spans="2:15">
      <c r="B87" s="137"/>
      <c r="O87" s="138"/>
    </row>
    <row r="88" spans="2:15">
      <c r="B88" s="137"/>
      <c r="O88" s="138"/>
    </row>
    <row r="89" spans="2:15">
      <c r="B89" s="137"/>
      <c r="O89" s="138"/>
    </row>
    <row r="90" spans="2:15">
      <c r="B90" s="137"/>
      <c r="O90" s="138"/>
    </row>
    <row r="91" spans="2:15">
      <c r="B91" s="137"/>
      <c r="O91" s="138"/>
    </row>
    <row r="92" spans="2:15">
      <c r="B92" s="137"/>
      <c r="O92" s="138"/>
    </row>
    <row r="93" spans="2:15">
      <c r="B93" s="137"/>
      <c r="C93" s="141" t="s">
        <v>116</v>
      </c>
      <c r="O93" s="138"/>
    </row>
    <row r="94" spans="2:15">
      <c r="B94" s="137"/>
      <c r="C94" s="141" t="s">
        <v>117</v>
      </c>
      <c r="O94" s="138"/>
    </row>
    <row r="95" spans="2:15">
      <c r="B95" s="137"/>
      <c r="O95" s="138"/>
    </row>
    <row r="96" spans="2:15">
      <c r="B96" s="137"/>
      <c r="O96" s="138"/>
    </row>
    <row r="97" spans="2:15">
      <c r="B97" s="137"/>
      <c r="C97" s="146" t="s">
        <v>132</v>
      </c>
      <c r="O97" s="138"/>
    </row>
    <row r="98" spans="2:15">
      <c r="B98" s="137"/>
      <c r="C98" s="129" t="s">
        <v>88</v>
      </c>
      <c r="D98" s="129">
        <v>0.46</v>
      </c>
      <c r="O98" s="138"/>
    </row>
    <row r="99" spans="2:15">
      <c r="B99" s="137"/>
      <c r="C99" s="129" t="s">
        <v>53</v>
      </c>
      <c r="D99" s="129">
        <v>0.42</v>
      </c>
      <c r="O99" s="138"/>
    </row>
    <row r="100" spans="2:15">
      <c r="B100" s="137"/>
      <c r="O100" s="138"/>
    </row>
    <row r="101" spans="2:15">
      <c r="B101" s="137"/>
      <c r="C101" s="146" t="s">
        <v>34</v>
      </c>
      <c r="D101" s="129">
        <f>(D28/D98)*D99</f>
        <v>109.56521739130434</v>
      </c>
      <c r="E101" s="146" t="s">
        <v>54</v>
      </c>
      <c r="O101" s="138"/>
    </row>
    <row r="102" spans="2:15">
      <c r="B102" s="137"/>
      <c r="O102" s="138"/>
    </row>
    <row r="103" spans="2:15">
      <c r="B103" s="137"/>
      <c r="O103" s="138"/>
    </row>
    <row r="104" spans="2:15">
      <c r="B104" s="137"/>
      <c r="O104" s="138"/>
    </row>
    <row r="105" spans="2:15">
      <c r="B105" s="137"/>
      <c r="O105" s="138"/>
    </row>
    <row r="106" spans="2:15">
      <c r="B106" s="137"/>
      <c r="O106" s="138"/>
    </row>
    <row r="107" spans="2:15">
      <c r="B107" s="137"/>
      <c r="O107" s="138"/>
    </row>
    <row r="108" spans="2:15">
      <c r="B108" s="137"/>
      <c r="O108" s="138"/>
    </row>
    <row r="109" spans="2:15">
      <c r="B109" s="137"/>
      <c r="C109" s="154" t="s">
        <v>148</v>
      </c>
      <c r="D109" s="129">
        <v>1000</v>
      </c>
      <c r="E109" s="141" t="s">
        <v>104</v>
      </c>
      <c r="O109" s="138"/>
    </row>
    <row r="110" spans="2:15">
      <c r="B110" s="137"/>
      <c r="C110" s="141" t="s">
        <v>121</v>
      </c>
      <c r="D110" s="141">
        <v>3</v>
      </c>
      <c r="E110" s="141" t="s">
        <v>118</v>
      </c>
      <c r="O110" s="138"/>
    </row>
    <row r="111" spans="2:15">
      <c r="B111" s="137"/>
      <c r="O111" s="138"/>
    </row>
    <row r="112" spans="2:15">
      <c r="B112" s="137"/>
      <c r="O112" s="138"/>
    </row>
    <row r="113" spans="2:15">
      <c r="B113" s="137"/>
      <c r="O113" s="138"/>
    </row>
    <row r="114" spans="2:15">
      <c r="B114" s="137"/>
      <c r="O114" s="138"/>
    </row>
    <row r="115" spans="2:15">
      <c r="B115" s="137"/>
      <c r="O115" s="138"/>
    </row>
    <row r="116" spans="2:15">
      <c r="B116" s="137"/>
      <c r="C116" s="154" t="s">
        <v>149</v>
      </c>
      <c r="D116" s="129">
        <f>D109*D42</f>
        <v>1150</v>
      </c>
      <c r="E116" s="154" t="s">
        <v>104</v>
      </c>
      <c r="O116" s="138"/>
    </row>
    <row r="117" spans="2:15">
      <c r="B117" s="137"/>
      <c r="O117" s="138"/>
    </row>
    <row r="118" spans="2:15">
      <c r="B118" s="137"/>
      <c r="O118" s="138"/>
    </row>
    <row r="119" spans="2:15">
      <c r="B119" s="137"/>
      <c r="O119" s="138"/>
    </row>
    <row r="120" spans="2:15">
      <c r="B120" s="137"/>
      <c r="O120" s="138"/>
    </row>
    <row r="121" spans="2:15">
      <c r="B121" s="137"/>
      <c r="O121" s="138"/>
    </row>
    <row r="122" spans="2:15">
      <c r="B122" s="137"/>
      <c r="O122" s="138"/>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dcterms:created xsi:type="dcterms:W3CDTF">2011-10-26T09:05:09Z</dcterms:created>
  <dcterms:modified xsi:type="dcterms:W3CDTF">2026-09-03T07:36:34Z</dcterms:modified>
</cp:coreProperties>
</file>