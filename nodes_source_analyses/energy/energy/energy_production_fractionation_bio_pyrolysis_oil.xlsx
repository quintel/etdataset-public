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10928"/>
  <workbookPr showInkAnnotation="0" codeName="ThisWorkbook" autoCompressPictures="0"/>
  <mc:AlternateContent xmlns:mc="http://schemas.openxmlformats.org/markup-compatibility/2006">
    <mc:Choice Requires="x15">
      <x15ac:absPath xmlns:x15ac="http://schemas.microsoft.com/office/spreadsheetml/2010/11/ac" url="/Users/kyradehaan/github/etdataset/nodes_source_analyses/energy/energy/"/>
    </mc:Choice>
  </mc:AlternateContent>
  <xr:revisionPtr revIDLastSave="0" documentId="13_ncr:1_{385AC0D3-34E7-DB4A-8059-27459D2AA2A2}" xr6:coauthVersionLast="47" xr6:coauthVersionMax="47" xr10:uidLastSave="{00000000-0000-0000-0000-000000000000}"/>
  <bookViews>
    <workbookView xWindow="-5740" yWindow="-21600" windowWidth="38400" windowHeight="21600" tabRatio="762" activeTab="1" xr2:uid="{00000000-000D-0000-FFFF-FFFF00000000}"/>
  </bookViews>
  <sheets>
    <sheet name="Cover sheet" sheetId="14" r:id="rId1"/>
    <sheet name="Dashboard" sheetId="12" r:id="rId2"/>
    <sheet name="Research data" sheetId="13" r:id="rId3"/>
    <sheet name="Sources" sheetId="15" r:id="rId4"/>
    <sheet name="Notes" sheetId="20" r:id="rId5"/>
  </sheets>
  <externalReferences>
    <externalReference r:id="rId6"/>
    <externalReference r:id="rId7"/>
  </externalReferences>
  <definedNames>
    <definedName name="exchange_rate_2011_2010">#REF!</definedName>
    <definedName name="Final_demand_residences">'[1]Fuel aggregation'!$L$11</definedName>
    <definedName name="hours_a_year">#REF!</definedName>
    <definedName name="km2_to_m2">#REF!</definedName>
    <definedName name="kW_to_MW">#REF!</definedName>
    <definedName name="kW_to_W">#REF!</definedName>
    <definedName name="kWp_to_MWp">#REF!</definedName>
    <definedName name="labor_cost">Notes!#REF!</definedName>
    <definedName name="licensing">Notes!#REF!</definedName>
    <definedName name="m2_to_km2">#REF!</definedName>
    <definedName name="overhead_GA">Notes!#REF!</definedName>
    <definedName name="sensitivity_07">'[2]Tornado Charts'!$I$48</definedName>
    <definedName name="STC">#REF!</definedName>
    <definedName name="STC_insolation">#REF!</definedName>
    <definedName name="tax_insurance">Notes!#REF!</definedName>
    <definedName name="W_to_MW">#REF!</definedName>
    <definedName name="Wp_to_kWp">#REF!</definedName>
    <definedName name="WP_to_MWp">#REF!</definedName>
  </definedNames>
  <calcPr calcId="191029"/>
  <extLst>
    <ext xmlns:x14="http://schemas.microsoft.com/office/spreadsheetml/2009/9/main" uri="{79F54976-1DA5-4618-B147-4CDE4B953A38}">
      <x14:workbookPr defaultImageDpi="32767"/>
    </ex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 xmlns:mx="http://schemas.microsoft.com/office/mac/excel/2008/main" uri="{7523E5D3-25F3-A5E0-1632-64F254C22452}">
      <mx:ArchID Flags="2"/>
    </ext>
  </extLst>
</workbook>
</file>

<file path=xl/calcChain.xml><?xml version="1.0" encoding="utf-8"?>
<calcChain xmlns="http://schemas.openxmlformats.org/spreadsheetml/2006/main">
  <c r="H25" i="13" l="1"/>
  <c r="J10" i="13"/>
  <c r="J9" i="13"/>
  <c r="J8" i="13"/>
  <c r="H21" i="20"/>
  <c r="E21" i="20"/>
  <c r="E19" i="20"/>
  <c r="E18" i="20"/>
  <c r="E17" i="20"/>
  <c r="H10" i="13" l="1"/>
  <c r="E15" i="12" s="1"/>
  <c r="D22" i="20"/>
  <c r="D8" i="20" l="1"/>
  <c r="D60" i="20"/>
  <c r="E50" i="20" s="1"/>
  <c r="D61" i="20"/>
  <c r="E51" i="20" s="1"/>
  <c r="D37" i="20"/>
  <c r="E30" i="20" l="1"/>
  <c r="D17" i="20" s="1"/>
  <c r="J11" i="13" s="1"/>
  <c r="E36" i="20"/>
  <c r="E35" i="20"/>
  <c r="E34" i="20"/>
  <c r="E37" i="20" s="1"/>
  <c r="D62" i="20"/>
  <c r="E52" i="20" s="1"/>
  <c r="E31" i="20"/>
  <c r="D21" i="20"/>
  <c r="H9" i="13" s="1"/>
  <c r="E14" i="12" s="1"/>
  <c r="D9" i="20"/>
  <c r="D10" i="20"/>
  <c r="J15" i="13" s="1"/>
  <c r="D20" i="20" l="1"/>
  <c r="D63" i="20"/>
  <c r="E53" i="20" s="1"/>
  <c r="E32" i="20"/>
  <c r="D6" i="20" s="1"/>
  <c r="D18" i="20"/>
  <c r="J12" i="13" s="1"/>
  <c r="D19" i="20" l="1"/>
  <c r="J13" i="13" s="1"/>
  <c r="D51" i="20" l="1"/>
  <c r="F51" i="20" s="1"/>
  <c r="D13" i="20" s="1"/>
  <c r="D50" i="20"/>
  <c r="D52" i="20" l="1"/>
  <c r="F50" i="20"/>
  <c r="D12" i="20" s="1"/>
  <c r="H15" i="13"/>
  <c r="E19" i="12" s="1"/>
  <c r="H19" i="13"/>
  <c r="E23" i="12" s="1"/>
  <c r="D53" i="20" l="1"/>
  <c r="F53" i="20" s="1"/>
  <c r="D14" i="20" s="1"/>
  <c r="F52" i="20"/>
  <c r="E35" i="12"/>
  <c r="E26" i="12"/>
  <c r="D7" i="20" l="1"/>
  <c r="J14" i="13" s="1"/>
  <c r="H14" i="13" s="1"/>
  <c r="J21" i="13"/>
  <c r="H21" i="13" s="1"/>
  <c r="J20" i="13"/>
  <c r="H20" i="13" s="1"/>
  <c r="J29" i="13"/>
  <c r="H29" i="13" s="1"/>
  <c r="E34" i="12" s="1"/>
  <c r="J28" i="13"/>
  <c r="J18" i="13" l="1"/>
  <c r="H18" i="13" s="1"/>
  <c r="H23" i="13"/>
  <c r="E27" i="12" s="1"/>
  <c r="H24" i="13"/>
  <c r="E28" i="12" s="1"/>
  <c r="H22" i="13"/>
  <c r="H28" i="13" l="1"/>
  <c r="E33" i="12" s="1"/>
  <c r="E18" i="12"/>
  <c r="E22" i="13"/>
  <c r="E24" i="13"/>
  <c r="H11" i="13" l="1"/>
  <c r="E16" i="12" s="1"/>
  <c r="H12" i="13"/>
  <c r="E17" i="12" s="1"/>
  <c r="E23" i="13"/>
  <c r="E25" i="12"/>
  <c r="H8" i="13" l="1"/>
  <c r="E13" i="12" s="1"/>
  <c r="H13" i="13"/>
  <c r="J7" i="13" l="1"/>
  <c r="E21" i="13"/>
  <c r="E22" i="12"/>
  <c r="E24" i="12"/>
  <c r="H7" i="13" l="1"/>
  <c r="E12" i="12" s="1"/>
</calcChain>
</file>

<file path=xl/sharedStrings.xml><?xml version="1.0" encoding="utf-8"?>
<sst xmlns="http://schemas.openxmlformats.org/spreadsheetml/2006/main" count="333" uniqueCount="208">
  <si>
    <t>Source</t>
  </si>
  <si>
    <t>years</t>
  </si>
  <si>
    <t>-</t>
  </si>
  <si>
    <t>Value</t>
  </si>
  <si>
    <t>Other</t>
  </si>
  <si>
    <t>Initial investment costs</t>
  </si>
  <si>
    <t>Definition</t>
  </si>
  <si>
    <t>Unit</t>
  </si>
  <si>
    <t>Link</t>
  </si>
  <si>
    <t>Cover Sheet</t>
  </si>
  <si>
    <t>Document</t>
  </si>
  <si>
    <t>Country</t>
  </si>
  <si>
    <t>Organization</t>
  </si>
  <si>
    <t>Quintel Intelligence</t>
  </si>
  <si>
    <t>Definition on the sources</t>
  </si>
  <si>
    <t>Type</t>
  </si>
  <si>
    <t>Date published</t>
  </si>
  <si>
    <t>Date retrieved</t>
  </si>
  <si>
    <t>Attribute</t>
  </si>
  <si>
    <t>euro</t>
  </si>
  <si>
    <t>free_co2_factor</t>
  </si>
  <si>
    <t>initial_investment</t>
  </si>
  <si>
    <t>fixed_operation_and_maintenance_costs_per_year</t>
  </si>
  <si>
    <t>technical_lifetime</t>
  </si>
  <si>
    <t>Notes</t>
  </si>
  <si>
    <t>Legend</t>
  </si>
  <si>
    <t>Cells</t>
  </si>
  <si>
    <t>Intermediate (calculation)</t>
  </si>
  <si>
    <t>Result</t>
  </si>
  <si>
    <t>Manual input</t>
  </si>
  <si>
    <t>Reference to manual input or data input</t>
  </si>
  <si>
    <t>Tabs</t>
  </si>
  <si>
    <t>Introductory</t>
  </si>
  <si>
    <t>Dashboard</t>
  </si>
  <si>
    <t>Research data</t>
  </si>
  <si>
    <t>Sources</t>
  </si>
  <si>
    <t>Results</t>
  </si>
  <si>
    <t>Main calculations</t>
  </si>
  <si>
    <t>Additional calculations</t>
  </si>
  <si>
    <t>Output to csv</t>
  </si>
  <si>
    <t>Author</t>
  </si>
  <si>
    <t>Cost</t>
  </si>
  <si>
    <t>Technical</t>
  </si>
  <si>
    <t>Comments</t>
  </si>
  <si>
    <t>ETM Library URL</t>
  </si>
  <si>
    <t>Values</t>
  </si>
  <si>
    <t>euro/yr</t>
  </si>
  <si>
    <t>Page</t>
  </si>
  <si>
    <t>wacc</t>
  </si>
  <si>
    <t>%</t>
  </si>
  <si>
    <t>Weighted average cost of capita</t>
  </si>
  <si>
    <t>takes_part_in_ets</t>
  </si>
  <si>
    <t>yes=1, no=0</t>
  </si>
  <si>
    <t>construction_time</t>
  </si>
  <si>
    <t xml:space="preserve">Construction time of the plant </t>
  </si>
  <si>
    <t>Technical lifetime of the plant</t>
  </si>
  <si>
    <t>euro/flh</t>
  </si>
  <si>
    <r>
      <t xml:space="preserve">Variable operation and maintenance costs per </t>
    </r>
    <r>
      <rPr>
        <sz val="12"/>
        <color theme="1"/>
        <rFont val="Calibri"/>
        <family val="2"/>
        <scheme val="minor"/>
      </rPr>
      <t>flh</t>
    </r>
  </si>
  <si>
    <t>full_load_hours</t>
  </si>
  <si>
    <t>hrs/yr</t>
  </si>
  <si>
    <t>cost_of_installing</t>
  </si>
  <si>
    <r>
      <t>variable_operation_and_maintenance_costs_per_</t>
    </r>
    <r>
      <rPr>
        <sz val="12"/>
        <color theme="1"/>
        <rFont val="Calibri"/>
        <family val="2"/>
        <scheme val="minor"/>
      </rPr>
      <t>full_load_hour</t>
    </r>
  </si>
  <si>
    <t>variable_operation_and_maintenance_costs_for_ccs_per_full_load_hour</t>
  </si>
  <si>
    <t>Installation costs</t>
  </si>
  <si>
    <t>Decommissioning costs</t>
  </si>
  <si>
    <r>
      <t>Fixed operational and maintenance costs per year</t>
    </r>
    <r>
      <rPr>
        <sz val="12"/>
        <color theme="1"/>
        <rFont val="Calibri"/>
        <family val="2"/>
        <scheme val="minor"/>
      </rPr>
      <t xml:space="preserve"> (incl. ccs)</t>
    </r>
  </si>
  <si>
    <r>
      <t>decommis</t>
    </r>
    <r>
      <rPr>
        <sz val="12"/>
        <color theme="1"/>
        <rFont val="Calibri"/>
        <family val="2"/>
        <scheme val="minor"/>
      </rPr>
      <t>s</t>
    </r>
    <r>
      <rPr>
        <sz val="12"/>
        <color theme="1"/>
        <rFont val="Calibri"/>
        <family val="2"/>
        <scheme val="minor"/>
      </rPr>
      <t>ioning_costs</t>
    </r>
  </si>
  <si>
    <t>typical_input_capacity</t>
  </si>
  <si>
    <t xml:space="preserve">This sheet summarizes all node attributes formatted in the way they are used by the Energy Transition Model. Use the Excel formulas to find the original data and sources for these numbers. You can also use this document to update the attribute value. Once you have finished updating, save this document and run rake import:node NODE="nodename" to update the node attributes on ETSource. 
</t>
  </si>
  <si>
    <t>output.loss</t>
  </si>
  <si>
    <t>MWe</t>
  </si>
  <si>
    <t>€</t>
  </si>
  <si>
    <t>Subject</t>
  </si>
  <si>
    <t>Investment</t>
  </si>
  <si>
    <t>Full load hours</t>
  </si>
  <si>
    <t>Technical lifetime</t>
  </si>
  <si>
    <t>MW</t>
  </si>
  <si>
    <t>hours</t>
  </si>
  <si>
    <t>All specs</t>
  </si>
  <si>
    <t>NL</t>
  </si>
  <si>
    <t>TNO - Energy.nl</t>
  </si>
  <si>
    <t>Original</t>
  </si>
  <si>
    <t>loss</t>
  </si>
  <si>
    <t>Converted to output for 1 PJ input</t>
  </si>
  <si>
    <t>Output</t>
  </si>
  <si>
    <t>Input</t>
  </si>
  <si>
    <t>Plant specs</t>
  </si>
  <si>
    <t>y</t>
  </si>
  <si>
    <t>Fixed O&amp;M</t>
  </si>
  <si>
    <t>Variable O&amp;M</t>
  </si>
  <si>
    <t>€/y</t>
  </si>
  <si>
    <t>h</t>
  </si>
  <si>
    <t>€/flh</t>
  </si>
  <si>
    <t>Overview</t>
  </si>
  <si>
    <t>euro/y</t>
  </si>
  <si>
    <t>Input/output</t>
  </si>
  <si>
    <t>Input capacity</t>
  </si>
  <si>
    <t>DEA &amp; TNO</t>
  </si>
  <si>
    <t>output.biodiesel</t>
  </si>
  <si>
    <t>See https://docs.energytransitionmodel.com/main/cost-wacc/</t>
  </si>
  <si>
    <t>Kyra de Haan</t>
  </si>
  <si>
    <t>ccs_investment</t>
  </si>
  <si>
    <t>taken from energy_hydrogen_biomass_gasification_ccs</t>
  </si>
  <si>
    <t>availability</t>
  </si>
  <si>
    <t>Based on specs from energy.nl</t>
  </si>
  <si>
    <t>Pyrolysis oil production</t>
  </si>
  <si>
    <t>Production of pyrolysis bio-oil from solid biomass via fast pyrolysis</t>
  </si>
  <si>
    <t>https://energy.nl/data/production-of-pyrolysis-bio-oil-from-solid-biomass-via-fast-pyrolysis/</t>
  </si>
  <si>
    <t>Pyrolysis oil upgrade</t>
  </si>
  <si>
    <t>Upgrade of pyrolysis bio-oil from fast pyrolysis to biofuels</t>
  </si>
  <si>
    <t>https://energy.nl/data/upgrade-of-pyrolysis-bio-oil-from-fast-pyrolysis-to-biofuels/</t>
  </si>
  <si>
    <t>Pyrolysis oil production from energy.nl:</t>
  </si>
  <si>
    <t>steam</t>
  </si>
  <si>
    <t>MWth</t>
  </si>
  <si>
    <t>values for 'current' are taken, lower costs in 2030 are expected to be insignificant compared to inflation effect from 2015 unitl now</t>
  </si>
  <si>
    <t>In-and output fractions pyrolysis oil upgrade</t>
  </si>
  <si>
    <t>biodiesel</t>
  </si>
  <si>
    <t>pyrolysis oil</t>
  </si>
  <si>
    <t>hydrogen</t>
  </si>
  <si>
    <t>Plant size (output)</t>
  </si>
  <si>
    <t>Technology</t>
  </si>
  <si>
    <t>Fast Pyrolysis Bio Oil</t>
  </si>
  <si>
    <t>year</t>
  </si>
  <si>
    <t>Note</t>
  </si>
  <si>
    <t>Ref</t>
  </si>
  <si>
    <t>est</t>
  </si>
  <si>
    <t>ctrl</t>
  </si>
  <si>
    <t>Lower</t>
  </si>
  <si>
    <t>Upper</t>
  </si>
  <si>
    <t>cat</t>
  </si>
  <si>
    <t>par</t>
  </si>
  <si>
    <t>Energy/technical data</t>
  </si>
  <si>
    <t>Typical total plant size [1,000 t Bio Oil/year]</t>
  </si>
  <si>
    <t>A, B</t>
  </si>
  <si>
    <t>1, 6</t>
  </si>
  <si>
    <t>Typical total plant size [MW]</t>
  </si>
  <si>
    <t>A, A1, B</t>
  </si>
  <si>
    <t>Feedstock Consumption [MWh/MWh Total Input]</t>
  </si>
  <si>
    <t>E</t>
  </si>
  <si>
    <t>Bio Oil Output [MWh/MWh Total Input]</t>
  </si>
  <si>
    <t>Steam Output [MWh/MWh Total Input]</t>
  </si>
  <si>
    <t>Power Output [MWh/MWh Total Input]</t>
  </si>
  <si>
    <t>Forced outage [%]</t>
  </si>
  <si>
    <t>n.a.</t>
  </si>
  <si>
    <t>Planned outage [weeks per year]</t>
  </si>
  <si>
    <t>C</t>
  </si>
  <si>
    <t>Technical lifetime [years]</t>
  </si>
  <si>
    <t>Construction time [years]</t>
  </si>
  <si>
    <t>Financial data</t>
  </si>
  <si>
    <t>Specific investment [M€/MW Bio Oil]</t>
  </si>
  <si>
    <t>D, G</t>
  </si>
  <si>
    <t>6, 8</t>
  </si>
  <si>
    <t xml:space="preserve"> - equipment [%]</t>
  </si>
  <si>
    <t xml:space="preserve"> - installation [%]</t>
  </si>
  <si>
    <t>Fixed O&amp;M [M€/MW/year Bio Oil]</t>
  </si>
  <si>
    <t>F, G</t>
  </si>
  <si>
    <t>Variable O&amp;M [€/MWh Bio Oil]</t>
  </si>
  <si>
    <t>Start up [M€/1,000 t Bio Oil]</t>
  </si>
  <si>
    <t>Technology-specific data</t>
  </si>
  <si>
    <t>Specific energy content [GJ/ton] bio-oil]</t>
  </si>
  <si>
    <t>Specific density  [kg/l] or [ton/m3]</t>
  </si>
  <si>
    <t>Specific investment [M€/1,000 t Bio Oil]</t>
  </si>
  <si>
    <t>Fixed O&amp;M [M€/1,000 t Bio Oil]</t>
  </si>
  <si>
    <t>Variable O&amp;M [M€/1,000 t Bio Oil]</t>
  </si>
  <si>
    <t>Notes:</t>
  </si>
  <si>
    <r>
      <t>A.</t>
    </r>
    <r>
      <rPr>
        <sz val="8"/>
        <color rgb="FF000000"/>
        <rFont val="Calibri"/>
        <family val="2"/>
      </rPr>
      <t>     The plant size range is likely limited by the feedstock availability.</t>
    </r>
  </si>
  <si>
    <t>A1. This value is the hourly rating and has been calculated as if the unit produces at capacity and was in operations 8,000 h/year.</t>
  </si>
  <si>
    <r>
      <t>B.</t>
    </r>
    <r>
      <rPr>
        <sz val="8"/>
        <color rgb="FF000000"/>
        <rFont val="Calibri"/>
        <family val="2"/>
      </rPr>
      <t>     The plant size range is typical of the range found in the literature. It is highly uncertain given that the commercial demonstration plants in operation are much smaller.</t>
    </r>
  </si>
  <si>
    <r>
      <t>C.</t>
    </r>
    <r>
      <rPr>
        <sz val="8"/>
        <color rgb="FF000000"/>
        <rFont val="Calibri"/>
        <family val="2"/>
      </rPr>
      <t>     This is twice the time normally found in process operations.</t>
    </r>
  </si>
  <si>
    <r>
      <t>D.</t>
    </r>
    <r>
      <rPr>
        <sz val="8"/>
        <color rgb="FF000000"/>
        <rFont val="Calibri"/>
        <family val="2"/>
      </rPr>
      <t>     Capital costs for n</t>
    </r>
    <r>
      <rPr>
        <vertAlign val="superscript"/>
        <sz val="8"/>
        <color rgb="FF000000"/>
        <rFont val="Calibri"/>
        <family val="2"/>
      </rPr>
      <t>th</t>
    </r>
    <r>
      <rPr>
        <sz val="8"/>
        <color rgb="FF000000"/>
        <rFont val="Calibri"/>
        <family val="2"/>
      </rPr>
      <t xml:space="preserve"> plant are used for 2050 and earlier costs are estimates.</t>
    </r>
  </si>
  <si>
    <r>
      <t>E.</t>
    </r>
    <r>
      <rPr>
        <sz val="8"/>
        <color rgb="FF000000"/>
        <rFont val="Calibri"/>
        <family val="2"/>
      </rPr>
      <t>     These are based on the commercial demonstration plant results.</t>
    </r>
  </si>
  <si>
    <r>
      <t>F.</t>
    </r>
    <r>
      <rPr>
        <sz val="8"/>
        <color rgb="FF000000"/>
        <rFont val="Calibri"/>
        <family val="2"/>
      </rPr>
      <t>     N</t>
    </r>
    <r>
      <rPr>
        <vertAlign val="superscript"/>
        <sz val="8"/>
        <color rgb="FF000000"/>
        <rFont val="Calibri"/>
        <family val="2"/>
      </rPr>
      <t>th</t>
    </r>
    <r>
      <rPr>
        <sz val="8"/>
        <color rgb="FF000000"/>
        <rFont val="Calibri"/>
        <family val="2"/>
      </rPr>
      <t xml:space="preserve"> plant estimates.</t>
    </r>
  </si>
  <si>
    <r>
      <t>G.</t>
    </r>
    <r>
      <rPr>
        <sz val="8"/>
        <color rgb="FF000000"/>
        <rFont val="Calibri"/>
        <family val="2"/>
      </rPr>
      <t>    M €/k tonne is million euro per 1,000 tonnes</t>
    </r>
  </si>
  <si>
    <t>Pyrolysis oil production:</t>
  </si>
  <si>
    <t>Construction period</t>
  </si>
  <si>
    <t>Danish Energy Agency</t>
  </si>
  <si>
    <t>Biomass gassification &amp; Fischer Tropsch</t>
  </si>
  <si>
    <t>DK</t>
  </si>
  <si>
    <t xml:space="preserve">Renewable fuels: Technology descriptions and projections for long-term energy system planning </t>
  </si>
  <si>
    <t>https://refman.energytransitionmodel.com/publications/2218</t>
  </si>
  <si>
    <t>Data Sheets for energy carrier generation and conversion</t>
  </si>
  <si>
    <t>https://refman.energytransitionmodel.com/publications/2219</t>
  </si>
  <si>
    <t>Pyrolysis oil fractionation</t>
  </si>
  <si>
    <t>Pyrolysis oil fractionation, from energy.nl:</t>
  </si>
  <si>
    <t>based on energy.nl</t>
  </si>
  <si>
    <t>Costs</t>
  </si>
  <si>
    <t xml:space="preserve">Note that costs include both pyrolysis and hydrotreating system to final products. </t>
  </si>
  <si>
    <t>pyrolysis + fractionation</t>
  </si>
  <si>
    <t>pyrolysis</t>
  </si>
  <si>
    <t>fractionation</t>
  </si>
  <si>
    <t>Costs for pyrolysis process are deducted from this, also found in factsheet of energy.nl, see below</t>
  </si>
  <si>
    <t>Plant specs for pyrolysis only</t>
  </si>
  <si>
    <t>Plant size</t>
  </si>
  <si>
    <t>assume similar as pyrolysis plant</t>
  </si>
  <si>
    <t>input.pyrolysis_oil</t>
  </si>
  <si>
    <t>input.hydrogen</t>
  </si>
  <si>
    <t>energy_production_pyrolysis_oil_fractionation_bio_pyrolysis_oil</t>
  </si>
  <si>
    <t>input.bio_pyrolysis_oil</t>
  </si>
  <si>
    <t>total incl steam</t>
  </si>
  <si>
    <t>input.steam_hot_water</t>
  </si>
  <si>
    <t>input values slightly tweaked to get the same ratio pyrolysis oil / steam hot water as pyrolysis process</t>
  </si>
  <si>
    <t>ratio</t>
  </si>
  <si>
    <t>bioethanol</t>
  </si>
  <si>
    <t xml:space="preserve">Quintel assumption: biogasoline not modelled in the ETM. ETM assumes biogasoline from energy balance to be bioethanol. </t>
  </si>
  <si>
    <t>Therefore, the output of biogasoline is assumed to be bioethanol</t>
  </si>
  <si>
    <t>output.bioethanol</t>
  </si>
  <si>
    <t>corrected value</t>
  </si>
  <si>
    <t>output.bio_ethanol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</si>
</sst>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43" formatCode="_ * #,##0.00_ ;_ * \-#,##0.00_ ;_ * &quot;-&quot;??_ ;_ @_ "/>
    <numFmt numFmtId="164" formatCode="0.0"/>
    <numFmt numFmtId="165" formatCode="0.000"/>
    <numFmt numFmtId="166" formatCode="0.0000"/>
    <numFmt numFmtId="167" formatCode="[$-413]mmm\-yy;@"/>
    <numFmt numFmtId="168" formatCode="_ * #,##0_ ;_ * \-#,##0_ ;_ * &quot;-&quot;??_ ;_ @_ "/>
  </numFmts>
  <fonts count="55">
    <font>
      <sz val="12"/>
      <color theme="1"/>
      <name val="Lettertype hoofdtekst"/>
      <family val="2"/>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u/>
      <sz val="12"/>
      <color theme="10"/>
      <name val="Lettertype hoofdtekst"/>
      <family val="2"/>
    </font>
    <font>
      <u/>
      <sz val="12"/>
      <color theme="11"/>
      <name val="Lettertype hoofdtekst"/>
      <family val="2"/>
    </font>
    <font>
      <b/>
      <sz val="12"/>
      <color theme="1"/>
      <name val="Calibri"/>
      <family val="2"/>
      <scheme val="minor"/>
    </font>
    <font>
      <sz val="12"/>
      <color rgb="FF000000"/>
      <name val="Calibri"/>
      <family val="2"/>
      <scheme val="minor"/>
    </font>
    <font>
      <b/>
      <sz val="12"/>
      <color rgb="FF000000"/>
      <name val="Calibri"/>
      <family val="2"/>
      <scheme val="minor"/>
    </font>
    <font>
      <b/>
      <sz val="11"/>
      <color rgb="FF000000"/>
      <name val="Calibri"/>
      <family val="2"/>
      <scheme val="minor"/>
    </font>
    <font>
      <b/>
      <sz val="16"/>
      <color rgb="FF1F497D"/>
      <name val="Calibri"/>
      <family val="2"/>
      <scheme val="minor"/>
    </font>
    <font>
      <sz val="12"/>
      <name val="Calibri"/>
      <family val="2"/>
      <scheme val="minor"/>
    </font>
    <font>
      <b/>
      <sz val="12"/>
      <name val="Calibri"/>
      <family val="2"/>
      <scheme val="minor"/>
    </font>
    <font>
      <i/>
      <sz val="12"/>
      <color theme="1"/>
      <name val="Calibri"/>
      <family val="2"/>
      <scheme val="minor"/>
    </font>
    <font>
      <sz val="12"/>
      <color rgb="FF000000"/>
      <name val="Calibri"/>
      <family val="2"/>
    </font>
    <font>
      <sz val="8"/>
      <name val="Lettertype hoofdtekst"/>
      <family val="2"/>
    </font>
    <font>
      <sz val="10"/>
      <name val="Arial"/>
      <family val="2"/>
    </font>
    <font>
      <b/>
      <sz val="14"/>
      <color theme="1"/>
      <name val="Calibri"/>
      <family val="2"/>
      <scheme val="minor"/>
    </font>
    <font>
      <b/>
      <sz val="12"/>
      <color rgb="FFFF0000"/>
      <name val="Calibri"/>
      <family val="2"/>
      <scheme val="minor"/>
    </font>
    <font>
      <sz val="12"/>
      <color theme="1"/>
      <name val="Lettertype hoofdtekst"/>
      <family val="2"/>
    </font>
    <font>
      <i/>
      <sz val="12"/>
      <name val="Calibri"/>
      <family val="2"/>
      <scheme val="minor"/>
    </font>
    <font>
      <b/>
      <sz val="8"/>
      <color rgb="FF969696"/>
      <name val="Calibri"/>
      <family val="2"/>
      <scheme val="minor"/>
    </font>
    <font>
      <sz val="8"/>
      <color rgb="FF969696"/>
      <name val="Calibri"/>
      <family val="2"/>
      <scheme val="minor"/>
    </font>
    <font>
      <b/>
      <sz val="8"/>
      <color theme="1"/>
      <name val="Calibri"/>
      <family val="2"/>
    </font>
    <font>
      <b/>
      <sz val="8"/>
      <color theme="1"/>
      <name val="Calibri"/>
      <family val="2"/>
      <scheme val="minor"/>
    </font>
    <font>
      <b/>
      <sz val="8"/>
      <name val="Calibri"/>
      <family val="2"/>
    </font>
    <font>
      <b/>
      <sz val="8"/>
      <name val="Calibri"/>
      <family val="2"/>
      <scheme val="minor"/>
    </font>
    <font>
      <sz val="8"/>
      <color theme="1"/>
      <name val="Calibri"/>
      <family val="2"/>
      <scheme val="minor"/>
    </font>
    <font>
      <sz val="8"/>
      <color theme="1"/>
      <name val="Calibri"/>
      <family val="2"/>
    </font>
    <font>
      <sz val="8"/>
      <color rgb="FF000000"/>
      <name val="Calibri"/>
      <family val="2"/>
    </font>
    <font>
      <vertAlign val="superscript"/>
      <sz val="8"/>
      <color rgb="FF000000"/>
      <name val="Calibri"/>
      <family val="2"/>
    </font>
    <font>
      <u/>
      <sz val="12"/>
      <name val="Calibri"/>
      <family val="2"/>
      <scheme val="minor"/>
    </font>
  </fonts>
  <fills count="14">
    <fill>
      <patternFill patternType="none"/>
    </fill>
    <fill>
      <patternFill patternType="gray125"/>
    </fill>
    <fill>
      <patternFill patternType="solid">
        <fgColor theme="0"/>
        <bgColor indexed="64"/>
      </patternFill>
    </fill>
    <fill>
      <patternFill patternType="solid">
        <fgColor theme="0"/>
        <bgColor rgb="FF000000"/>
      </patternFill>
    </fill>
    <fill>
      <patternFill patternType="solid">
        <fgColor theme="2"/>
        <bgColor indexed="64"/>
      </patternFill>
    </fill>
    <fill>
      <patternFill patternType="solid">
        <fgColor rgb="FFFFFF00"/>
        <bgColor indexed="64"/>
      </patternFill>
    </fill>
    <fill>
      <patternFill patternType="solid">
        <fgColor theme="6" tint="0.39997558519241921"/>
        <bgColor indexed="64"/>
      </patternFill>
    </fill>
    <fill>
      <patternFill patternType="solid">
        <fgColor theme="6" tint="0.79998168889431442"/>
        <bgColor indexed="64"/>
      </patternFill>
    </fill>
    <fill>
      <patternFill patternType="solid">
        <fgColor theme="5" tint="0.39997558519241921"/>
        <bgColor indexed="64"/>
      </patternFill>
    </fill>
    <fill>
      <patternFill patternType="solid">
        <fgColor theme="8" tint="0.39997558519241921"/>
        <bgColor indexed="64"/>
      </patternFill>
    </fill>
    <fill>
      <patternFill patternType="solid">
        <fgColor theme="8" tint="0.79998168889431442"/>
        <bgColor indexed="64"/>
      </patternFill>
    </fill>
    <fill>
      <patternFill patternType="solid">
        <fgColor theme="7" tint="0.39997558519241921"/>
        <bgColor indexed="64"/>
      </patternFill>
    </fill>
    <fill>
      <patternFill patternType="solid">
        <fgColor rgb="FFFFFFFF"/>
        <bgColor rgb="FF000000"/>
      </patternFill>
    </fill>
    <fill>
      <patternFill patternType="solid">
        <fgColor rgb="FFF2F2F2"/>
        <bgColor indexed="64"/>
      </patternFill>
    </fill>
  </fills>
  <borders count="22">
    <border>
      <left/>
      <right/>
      <top/>
      <bottom/>
      <diagonal/>
    </border>
    <border>
      <left style="thin">
        <color auto="1"/>
      </left>
      <right/>
      <top/>
      <bottom style="thin">
        <color auto="1"/>
      </bottom>
      <diagonal/>
    </border>
    <border>
      <left/>
      <right/>
      <top style="thin">
        <color auto="1"/>
      </top>
      <bottom/>
      <diagonal/>
    </border>
    <border>
      <left style="medium">
        <color auto="1"/>
      </left>
      <right/>
      <top style="medium">
        <color auto="1"/>
      </top>
      <bottom/>
      <diagonal/>
    </border>
    <border>
      <left/>
      <right/>
      <top style="medium">
        <color auto="1"/>
      </top>
      <bottom/>
      <diagonal/>
    </border>
    <border>
      <left/>
      <right style="medium">
        <color auto="1"/>
      </right>
      <top/>
      <bottom/>
      <diagonal/>
    </border>
    <border>
      <left style="medium">
        <color auto="1"/>
      </left>
      <right/>
      <top/>
      <bottom/>
      <diagonal/>
    </border>
    <border>
      <left style="thin">
        <color auto="1"/>
      </left>
      <right/>
      <top/>
      <bottom/>
      <diagonal/>
    </border>
    <border>
      <left/>
      <right style="thin">
        <color auto="1"/>
      </right>
      <top/>
      <bottom/>
      <diagonal/>
    </border>
    <border>
      <left/>
      <right/>
      <top/>
      <bottom style="thin">
        <color auto="1"/>
      </bottom>
      <diagonal/>
    </border>
    <border>
      <left style="medium">
        <color auto="1"/>
      </left>
      <right/>
      <top/>
      <bottom style="medium">
        <color auto="1"/>
      </bottom>
      <diagonal/>
    </border>
    <border>
      <left/>
      <right/>
      <top/>
      <bottom style="medium">
        <color auto="1"/>
      </bottom>
      <diagonal/>
    </border>
    <border>
      <left/>
      <right style="medium">
        <color auto="1"/>
      </right>
      <top/>
      <bottom style="medium">
        <color auto="1"/>
      </bottom>
      <diagonal/>
    </border>
    <border>
      <left/>
      <right style="thin">
        <color auto="1"/>
      </right>
      <top style="thin">
        <color auto="1"/>
      </top>
      <bottom/>
      <diagonal/>
    </border>
    <border>
      <left/>
      <right style="thin">
        <color auto="1"/>
      </right>
      <top/>
      <bottom style="thin">
        <color auto="1"/>
      </bottom>
      <diagonal/>
    </border>
    <border>
      <left/>
      <right style="medium">
        <color auto="1"/>
      </right>
      <top style="medium">
        <color auto="1"/>
      </top>
      <bottom/>
      <diagonal/>
    </border>
    <border>
      <left style="medium">
        <color auto="1"/>
      </left>
      <right/>
      <top/>
      <bottom style="thin">
        <color auto="1"/>
      </bottom>
      <diagonal/>
    </border>
    <border>
      <left style="thin">
        <color auto="1"/>
      </left>
      <right/>
      <top style="thin">
        <color auto="1"/>
      </top>
      <bottom/>
      <diagonal/>
    </border>
    <border>
      <left style="medium">
        <color auto="1"/>
      </left>
      <right style="medium">
        <color auto="1"/>
      </right>
      <top style="medium">
        <color auto="1"/>
      </top>
      <bottom style="medium">
        <color auto="1"/>
      </bottom>
      <diagonal/>
    </border>
    <border>
      <left/>
      <right style="medium">
        <color auto="1"/>
      </right>
      <top/>
      <bottom style="thin">
        <color auto="1"/>
      </bottom>
      <diagonal/>
    </border>
    <border>
      <left style="medium">
        <color auto="1"/>
      </left>
      <right style="medium">
        <color auto="1"/>
      </right>
      <top style="medium">
        <color auto="1"/>
      </top>
      <bottom/>
      <diagonal/>
    </border>
    <border>
      <left style="medium">
        <color auto="1"/>
      </left>
      <right style="medium">
        <color auto="1"/>
      </right>
      <top/>
      <bottom style="medium">
        <color auto="1"/>
      </bottom>
      <diagonal/>
    </border>
  </borders>
  <cellStyleXfs count="499">
    <xf numFmtId="0" fontId="0" fillId="0" borderId="0"/>
    <xf numFmtId="0" fontId="27" fillId="0" borderId="0" applyNumberFormat="0" applyFill="0" applyBorder="0" applyAlignment="0" applyProtection="0"/>
    <xf numFmtId="0" fontId="28" fillId="0" borderId="0" applyNumberFormat="0" applyFill="0" applyBorder="0" applyAlignment="0" applyProtection="0"/>
    <xf numFmtId="0" fontId="27" fillId="0" borderId="0" applyNumberFormat="0" applyFill="0" applyBorder="0" applyAlignment="0" applyProtection="0"/>
    <xf numFmtId="0" fontId="28" fillId="0" borderId="0" applyNumberFormat="0" applyFill="0" applyBorder="0" applyAlignment="0" applyProtection="0"/>
    <xf numFmtId="0" fontId="27" fillId="0" borderId="0" applyNumberFormat="0" applyFill="0" applyBorder="0" applyAlignment="0" applyProtection="0"/>
    <xf numFmtId="0" fontId="28" fillId="0" borderId="0" applyNumberFormat="0" applyFill="0" applyBorder="0" applyAlignment="0" applyProtection="0"/>
    <xf numFmtId="0" fontId="27" fillId="0" borderId="0" applyNumberFormat="0" applyFill="0" applyBorder="0" applyAlignment="0" applyProtection="0"/>
    <xf numFmtId="0" fontId="28" fillId="0" borderId="0" applyNumberFormat="0" applyFill="0" applyBorder="0" applyAlignment="0" applyProtection="0"/>
    <xf numFmtId="0" fontId="27" fillId="0" borderId="0" applyNumberFormat="0" applyFill="0" applyBorder="0" applyAlignment="0" applyProtection="0"/>
    <xf numFmtId="0" fontId="28" fillId="0" borderId="0" applyNumberFormat="0" applyFill="0" applyBorder="0" applyAlignment="0" applyProtection="0"/>
    <xf numFmtId="0" fontId="27" fillId="0" borderId="0" applyNumberFormat="0" applyFill="0" applyBorder="0" applyAlignment="0" applyProtection="0"/>
    <xf numFmtId="0" fontId="28" fillId="0" borderId="0" applyNumberFormat="0" applyFill="0" applyBorder="0" applyAlignment="0" applyProtection="0"/>
    <xf numFmtId="0" fontId="27" fillId="0" borderId="0" applyNumberFormat="0" applyFill="0" applyBorder="0" applyAlignment="0" applyProtection="0"/>
    <xf numFmtId="0" fontId="28" fillId="0" borderId="0" applyNumberFormat="0" applyFill="0" applyBorder="0" applyAlignment="0" applyProtection="0"/>
    <xf numFmtId="0" fontId="27" fillId="0" borderId="0" applyNumberFormat="0" applyFill="0" applyBorder="0" applyAlignment="0" applyProtection="0"/>
    <xf numFmtId="0" fontId="28" fillId="0" borderId="0" applyNumberFormat="0" applyFill="0" applyBorder="0" applyAlignment="0" applyProtection="0"/>
    <xf numFmtId="0" fontId="27" fillId="0" borderId="0" applyNumberFormat="0" applyFill="0" applyBorder="0" applyAlignment="0" applyProtection="0"/>
    <xf numFmtId="0" fontId="28" fillId="0" borderId="0" applyNumberFormat="0" applyFill="0" applyBorder="0" applyAlignment="0" applyProtection="0"/>
    <xf numFmtId="0" fontId="27" fillId="0" borderId="0" applyNumberFormat="0" applyFill="0" applyBorder="0" applyAlignment="0" applyProtection="0"/>
    <xf numFmtId="0" fontId="28" fillId="0" borderId="0" applyNumberFormat="0" applyFill="0" applyBorder="0" applyAlignment="0" applyProtection="0"/>
    <xf numFmtId="0" fontId="27" fillId="0" borderId="0" applyNumberFormat="0" applyFill="0" applyBorder="0" applyAlignment="0" applyProtection="0"/>
    <xf numFmtId="0" fontId="28" fillId="0" borderId="0" applyNumberFormat="0" applyFill="0" applyBorder="0" applyAlignment="0" applyProtection="0"/>
    <xf numFmtId="0" fontId="27" fillId="0" borderId="0" applyNumberFormat="0" applyFill="0" applyBorder="0" applyAlignment="0" applyProtection="0"/>
    <xf numFmtId="0" fontId="28" fillId="0" borderId="0" applyNumberFormat="0" applyFill="0" applyBorder="0" applyAlignment="0" applyProtection="0"/>
    <xf numFmtId="0" fontId="27" fillId="0" borderId="0" applyNumberFormat="0" applyFill="0" applyBorder="0" applyAlignment="0" applyProtection="0"/>
    <xf numFmtId="0" fontId="28" fillId="0" borderId="0" applyNumberFormat="0" applyFill="0" applyBorder="0" applyAlignment="0" applyProtection="0"/>
    <xf numFmtId="0" fontId="27" fillId="0" borderId="0" applyNumberFormat="0" applyFill="0" applyBorder="0" applyAlignment="0" applyProtection="0"/>
    <xf numFmtId="0" fontId="28" fillId="0" borderId="0" applyNumberFormat="0" applyFill="0" applyBorder="0" applyAlignment="0" applyProtection="0"/>
    <xf numFmtId="0" fontId="27" fillId="0" borderId="0" applyNumberFormat="0" applyFill="0" applyBorder="0" applyAlignment="0" applyProtection="0"/>
    <xf numFmtId="0" fontId="28" fillId="0" borderId="0" applyNumberFormat="0" applyFill="0" applyBorder="0" applyAlignment="0" applyProtection="0"/>
    <xf numFmtId="0" fontId="27" fillId="0" borderId="0" applyNumberFormat="0" applyFill="0" applyBorder="0" applyAlignment="0" applyProtection="0"/>
    <xf numFmtId="0" fontId="28" fillId="0" borderId="0" applyNumberFormat="0" applyFill="0" applyBorder="0" applyAlignment="0" applyProtection="0"/>
    <xf numFmtId="0" fontId="27" fillId="0" borderId="0" applyNumberFormat="0" applyFill="0" applyBorder="0" applyAlignment="0" applyProtection="0"/>
    <xf numFmtId="0" fontId="28" fillId="0" borderId="0" applyNumberFormat="0" applyFill="0" applyBorder="0" applyAlignment="0" applyProtection="0"/>
    <xf numFmtId="0" fontId="27" fillId="0" borderId="0" applyNumberFormat="0" applyFill="0" applyBorder="0" applyAlignment="0" applyProtection="0"/>
    <xf numFmtId="0" fontId="28" fillId="0" borderId="0" applyNumberFormat="0" applyFill="0" applyBorder="0" applyAlignment="0" applyProtection="0"/>
    <xf numFmtId="0" fontId="27" fillId="0" borderId="0" applyNumberFormat="0" applyFill="0" applyBorder="0" applyAlignment="0" applyProtection="0"/>
    <xf numFmtId="0" fontId="28" fillId="0" borderId="0" applyNumberFormat="0" applyFill="0" applyBorder="0" applyAlignment="0" applyProtection="0"/>
    <xf numFmtId="0" fontId="27" fillId="0" borderId="0" applyNumberFormat="0" applyFill="0" applyBorder="0" applyAlignment="0" applyProtection="0"/>
    <xf numFmtId="0" fontId="28" fillId="0" borderId="0" applyNumberFormat="0" applyFill="0" applyBorder="0" applyAlignment="0" applyProtection="0"/>
    <xf numFmtId="0" fontId="27" fillId="0" borderId="0" applyNumberFormat="0" applyFill="0" applyBorder="0" applyAlignment="0" applyProtection="0"/>
    <xf numFmtId="0" fontId="28" fillId="0" borderId="0" applyNumberFormat="0" applyFill="0" applyBorder="0" applyAlignment="0" applyProtection="0"/>
    <xf numFmtId="0" fontId="27" fillId="0" borderId="0" applyNumberFormat="0" applyFill="0" applyBorder="0" applyAlignment="0" applyProtection="0"/>
    <xf numFmtId="0" fontId="28" fillId="0" borderId="0" applyNumberFormat="0" applyFill="0" applyBorder="0" applyAlignment="0" applyProtection="0"/>
    <xf numFmtId="0" fontId="27" fillId="0" borderId="0" applyNumberFormat="0" applyFill="0" applyBorder="0" applyAlignment="0" applyProtection="0"/>
    <xf numFmtId="0" fontId="28" fillId="0" borderId="0" applyNumberFormat="0" applyFill="0" applyBorder="0" applyAlignment="0" applyProtection="0"/>
    <xf numFmtId="0" fontId="27" fillId="0" borderId="0" applyNumberFormat="0" applyFill="0" applyBorder="0" applyAlignment="0" applyProtection="0"/>
    <xf numFmtId="0" fontId="28" fillId="0" borderId="0" applyNumberFormat="0" applyFill="0" applyBorder="0" applyAlignment="0" applyProtection="0"/>
    <xf numFmtId="0" fontId="27" fillId="0" borderId="0" applyNumberFormat="0" applyFill="0" applyBorder="0" applyAlignment="0" applyProtection="0"/>
    <xf numFmtId="0" fontId="28" fillId="0" borderId="0" applyNumberFormat="0" applyFill="0" applyBorder="0" applyAlignment="0" applyProtection="0"/>
    <xf numFmtId="0" fontId="27" fillId="0" borderId="0" applyNumberFormat="0" applyFill="0" applyBorder="0" applyAlignment="0" applyProtection="0"/>
    <xf numFmtId="0" fontId="28" fillId="0" borderId="0" applyNumberFormat="0" applyFill="0" applyBorder="0" applyAlignment="0" applyProtection="0"/>
    <xf numFmtId="0" fontId="27" fillId="0" borderId="0" applyNumberFormat="0" applyFill="0" applyBorder="0" applyAlignment="0" applyProtection="0"/>
    <xf numFmtId="0" fontId="28" fillId="0" borderId="0" applyNumberFormat="0" applyFill="0" applyBorder="0" applyAlignment="0" applyProtection="0"/>
    <xf numFmtId="0" fontId="27" fillId="0" borderId="0" applyNumberFormat="0" applyFill="0" applyBorder="0" applyAlignment="0" applyProtection="0"/>
    <xf numFmtId="0" fontId="28" fillId="0" borderId="0" applyNumberFormat="0" applyFill="0" applyBorder="0" applyAlignment="0" applyProtection="0"/>
    <xf numFmtId="0" fontId="27" fillId="0" borderId="0" applyNumberFormat="0" applyFill="0" applyBorder="0" applyAlignment="0" applyProtection="0"/>
    <xf numFmtId="0" fontId="28" fillId="0" borderId="0" applyNumberFormat="0" applyFill="0" applyBorder="0" applyAlignment="0" applyProtection="0"/>
    <xf numFmtId="0" fontId="27" fillId="0" borderId="0" applyNumberFormat="0" applyFill="0" applyBorder="0" applyAlignment="0" applyProtection="0"/>
    <xf numFmtId="0" fontId="28" fillId="0" borderId="0" applyNumberFormat="0" applyFill="0" applyBorder="0" applyAlignment="0" applyProtection="0"/>
    <xf numFmtId="0" fontId="27" fillId="0" borderId="0" applyNumberFormat="0" applyFill="0" applyBorder="0" applyAlignment="0" applyProtection="0"/>
    <xf numFmtId="0" fontId="28" fillId="0" borderId="0" applyNumberFormat="0" applyFill="0" applyBorder="0" applyAlignment="0" applyProtection="0"/>
    <xf numFmtId="0" fontId="27" fillId="0" borderId="0" applyNumberFormat="0" applyFill="0" applyBorder="0" applyAlignment="0" applyProtection="0"/>
    <xf numFmtId="0" fontId="28" fillId="0" borderId="0" applyNumberFormat="0" applyFill="0" applyBorder="0" applyAlignment="0" applyProtection="0"/>
    <xf numFmtId="0" fontId="27" fillId="0" borderId="0" applyNumberFormat="0" applyFill="0" applyBorder="0" applyAlignment="0" applyProtection="0"/>
    <xf numFmtId="0" fontId="28" fillId="0" borderId="0" applyNumberFormat="0" applyFill="0" applyBorder="0" applyAlignment="0" applyProtection="0"/>
    <xf numFmtId="0" fontId="27" fillId="0" borderId="0" applyNumberFormat="0" applyFill="0" applyBorder="0" applyAlignment="0" applyProtection="0"/>
    <xf numFmtId="0" fontId="28" fillId="0" borderId="0" applyNumberFormat="0" applyFill="0" applyBorder="0" applyAlignment="0" applyProtection="0"/>
    <xf numFmtId="0" fontId="27" fillId="0" borderId="0" applyNumberFormat="0" applyFill="0" applyBorder="0" applyAlignment="0" applyProtection="0"/>
    <xf numFmtId="0" fontId="28" fillId="0" borderId="0" applyNumberFormat="0" applyFill="0" applyBorder="0" applyAlignment="0" applyProtection="0"/>
    <xf numFmtId="0" fontId="27" fillId="0" borderId="0" applyNumberFormat="0" applyFill="0" applyBorder="0" applyAlignment="0" applyProtection="0"/>
    <xf numFmtId="0" fontId="28" fillId="0" borderId="0" applyNumberFormat="0" applyFill="0" applyBorder="0" applyAlignment="0" applyProtection="0"/>
    <xf numFmtId="0" fontId="27" fillId="0" borderId="0" applyNumberFormat="0" applyFill="0" applyBorder="0" applyAlignment="0" applyProtection="0"/>
    <xf numFmtId="0" fontId="28" fillId="0" borderId="0" applyNumberFormat="0" applyFill="0" applyBorder="0" applyAlignment="0" applyProtection="0"/>
    <xf numFmtId="0" fontId="27" fillId="0" borderId="0" applyNumberFormat="0" applyFill="0" applyBorder="0" applyAlignment="0" applyProtection="0"/>
    <xf numFmtId="0" fontId="28" fillId="0" borderId="0" applyNumberFormat="0" applyFill="0" applyBorder="0" applyAlignment="0" applyProtection="0"/>
    <xf numFmtId="0" fontId="27" fillId="0" borderId="0" applyNumberFormat="0" applyFill="0" applyBorder="0" applyAlignment="0" applyProtection="0"/>
    <xf numFmtId="0" fontId="28" fillId="0" borderId="0" applyNumberFormat="0" applyFill="0" applyBorder="0" applyAlignment="0" applyProtection="0"/>
    <xf numFmtId="0" fontId="27" fillId="0" borderId="0" applyNumberFormat="0" applyFill="0" applyBorder="0" applyAlignment="0" applyProtection="0"/>
    <xf numFmtId="0" fontId="28" fillId="0" borderId="0" applyNumberFormat="0" applyFill="0" applyBorder="0" applyAlignment="0" applyProtection="0"/>
    <xf numFmtId="0" fontId="27" fillId="0" borderId="0" applyNumberFormat="0" applyFill="0" applyBorder="0" applyAlignment="0" applyProtection="0"/>
    <xf numFmtId="0" fontId="28" fillId="0" borderId="0" applyNumberFormat="0" applyFill="0" applyBorder="0" applyAlignment="0" applyProtection="0"/>
    <xf numFmtId="0" fontId="27" fillId="0" borderId="0" applyNumberFormat="0" applyFill="0" applyBorder="0" applyAlignment="0" applyProtection="0"/>
    <xf numFmtId="0" fontId="28" fillId="0" borderId="0" applyNumberFormat="0" applyFill="0" applyBorder="0" applyAlignment="0" applyProtection="0"/>
    <xf numFmtId="0" fontId="27" fillId="0" borderId="0" applyNumberFormat="0" applyFill="0" applyBorder="0" applyAlignment="0" applyProtection="0"/>
    <xf numFmtId="0" fontId="28" fillId="0" borderId="0" applyNumberFormat="0" applyFill="0" applyBorder="0" applyAlignment="0" applyProtection="0"/>
    <xf numFmtId="0" fontId="27" fillId="0" borderId="0" applyNumberFormat="0" applyFill="0" applyBorder="0" applyAlignment="0" applyProtection="0"/>
    <xf numFmtId="0" fontId="28" fillId="0" borderId="0" applyNumberFormat="0" applyFill="0" applyBorder="0" applyAlignment="0" applyProtection="0"/>
    <xf numFmtId="0" fontId="27" fillId="0" borderId="0" applyNumberFormat="0" applyFill="0" applyBorder="0" applyAlignment="0" applyProtection="0"/>
    <xf numFmtId="0" fontId="28" fillId="0" borderId="0" applyNumberFormat="0" applyFill="0" applyBorder="0" applyAlignment="0" applyProtection="0"/>
    <xf numFmtId="0" fontId="27" fillId="0" borderId="0" applyNumberFormat="0" applyFill="0" applyBorder="0" applyAlignment="0" applyProtection="0"/>
    <xf numFmtId="0" fontId="28" fillId="0" borderId="0" applyNumberFormat="0" applyFill="0" applyBorder="0" applyAlignment="0" applyProtection="0"/>
    <xf numFmtId="0" fontId="27" fillId="0" borderId="0" applyNumberFormat="0" applyFill="0" applyBorder="0" applyAlignment="0" applyProtection="0"/>
    <xf numFmtId="0" fontId="28" fillId="0" borderId="0" applyNumberFormat="0" applyFill="0" applyBorder="0" applyAlignment="0" applyProtection="0"/>
    <xf numFmtId="0" fontId="27" fillId="0" borderId="0" applyNumberFormat="0" applyFill="0" applyBorder="0" applyAlignment="0" applyProtection="0"/>
    <xf numFmtId="0" fontId="28" fillId="0" borderId="0" applyNumberFormat="0" applyFill="0" applyBorder="0" applyAlignment="0" applyProtection="0"/>
    <xf numFmtId="0" fontId="27" fillId="0" borderId="0" applyNumberFormat="0" applyFill="0" applyBorder="0" applyAlignment="0" applyProtection="0"/>
    <xf numFmtId="0" fontId="28" fillId="0" borderId="0" applyNumberFormat="0" applyFill="0" applyBorder="0" applyAlignment="0" applyProtection="0"/>
    <xf numFmtId="0" fontId="27" fillId="0" borderId="0" applyNumberFormat="0" applyFill="0" applyBorder="0" applyAlignment="0" applyProtection="0"/>
    <xf numFmtId="0" fontId="28" fillId="0" borderId="0" applyNumberFormat="0" applyFill="0" applyBorder="0" applyAlignment="0" applyProtection="0"/>
    <xf numFmtId="0" fontId="27" fillId="0" borderId="0" applyNumberFormat="0" applyFill="0" applyBorder="0" applyAlignment="0" applyProtection="0"/>
    <xf numFmtId="0" fontId="28" fillId="0" borderId="0" applyNumberFormat="0" applyFill="0" applyBorder="0" applyAlignment="0" applyProtection="0"/>
    <xf numFmtId="0" fontId="27" fillId="0" borderId="0" applyNumberFormat="0" applyFill="0" applyBorder="0" applyAlignment="0" applyProtection="0"/>
    <xf numFmtId="0" fontId="28" fillId="0" borderId="0" applyNumberFormat="0" applyFill="0" applyBorder="0" applyAlignment="0" applyProtection="0"/>
    <xf numFmtId="0" fontId="27" fillId="0" borderId="0" applyNumberFormat="0" applyFill="0" applyBorder="0" applyAlignment="0" applyProtection="0"/>
    <xf numFmtId="0" fontId="28" fillId="0" borderId="0" applyNumberFormat="0" applyFill="0" applyBorder="0" applyAlignment="0" applyProtection="0"/>
    <xf numFmtId="0" fontId="27" fillId="0" borderId="0" applyNumberFormat="0" applyFill="0" applyBorder="0" applyAlignment="0" applyProtection="0"/>
    <xf numFmtId="0" fontId="28" fillId="0" borderId="0" applyNumberFormat="0" applyFill="0" applyBorder="0" applyAlignment="0" applyProtection="0"/>
    <xf numFmtId="0" fontId="27" fillId="0" borderId="0" applyNumberFormat="0" applyFill="0" applyBorder="0" applyAlignment="0" applyProtection="0"/>
    <xf numFmtId="0" fontId="28" fillId="0" borderId="0" applyNumberFormat="0" applyFill="0" applyBorder="0" applyAlignment="0" applyProtection="0"/>
    <xf numFmtId="0" fontId="27" fillId="0" borderId="0" applyNumberFormat="0" applyFill="0" applyBorder="0" applyAlignment="0" applyProtection="0"/>
    <xf numFmtId="0" fontId="28" fillId="0" borderId="0" applyNumberFormat="0" applyFill="0" applyBorder="0" applyAlignment="0" applyProtection="0"/>
    <xf numFmtId="0" fontId="27" fillId="0" borderId="0" applyNumberFormat="0" applyFill="0" applyBorder="0" applyAlignment="0" applyProtection="0"/>
    <xf numFmtId="0" fontId="28" fillId="0" borderId="0" applyNumberFormat="0" applyFill="0" applyBorder="0" applyAlignment="0" applyProtection="0"/>
    <xf numFmtId="0" fontId="27" fillId="0" borderId="0" applyNumberFormat="0" applyFill="0" applyBorder="0" applyAlignment="0" applyProtection="0"/>
    <xf numFmtId="0" fontId="28" fillId="0" borderId="0" applyNumberFormat="0" applyFill="0" applyBorder="0" applyAlignment="0" applyProtection="0"/>
    <xf numFmtId="0" fontId="27" fillId="0" borderId="0" applyNumberFormat="0" applyFill="0" applyBorder="0" applyAlignment="0" applyProtection="0"/>
    <xf numFmtId="0" fontId="28" fillId="0" borderId="0" applyNumberFormat="0" applyFill="0" applyBorder="0" applyAlignment="0" applyProtection="0"/>
    <xf numFmtId="0" fontId="27" fillId="0" borderId="0" applyNumberFormat="0" applyFill="0" applyBorder="0" applyAlignment="0" applyProtection="0"/>
    <xf numFmtId="0" fontId="28" fillId="0" borderId="0" applyNumberFormat="0" applyFill="0" applyBorder="0" applyAlignment="0" applyProtection="0"/>
    <xf numFmtId="0" fontId="27" fillId="0" borderId="0" applyNumberFormat="0" applyFill="0" applyBorder="0" applyAlignment="0" applyProtection="0"/>
    <xf numFmtId="0" fontId="28" fillId="0" borderId="0" applyNumberFormat="0" applyFill="0" applyBorder="0" applyAlignment="0" applyProtection="0"/>
    <xf numFmtId="0" fontId="27" fillId="0" borderId="0" applyNumberFormat="0" applyFill="0" applyBorder="0" applyAlignment="0" applyProtection="0"/>
    <xf numFmtId="0" fontId="28" fillId="0" borderId="0" applyNumberFormat="0" applyFill="0" applyBorder="0" applyAlignment="0" applyProtection="0"/>
    <xf numFmtId="0" fontId="27" fillId="0" borderId="0" applyNumberFormat="0" applyFill="0" applyBorder="0" applyAlignment="0" applyProtection="0"/>
    <xf numFmtId="0" fontId="28" fillId="0" borderId="0" applyNumberFormat="0" applyFill="0" applyBorder="0" applyAlignment="0" applyProtection="0"/>
    <xf numFmtId="0" fontId="27" fillId="0" borderId="0" applyNumberFormat="0" applyFill="0" applyBorder="0" applyAlignment="0" applyProtection="0"/>
    <xf numFmtId="0" fontId="28" fillId="0" borderId="0" applyNumberFormat="0" applyFill="0" applyBorder="0" applyAlignment="0" applyProtection="0"/>
    <xf numFmtId="0" fontId="27" fillId="0" borderId="0" applyNumberFormat="0" applyFill="0" applyBorder="0" applyAlignment="0" applyProtection="0"/>
    <xf numFmtId="0" fontId="28" fillId="0" borderId="0" applyNumberFormat="0" applyFill="0" applyBorder="0" applyAlignment="0" applyProtection="0"/>
    <xf numFmtId="0" fontId="27" fillId="0" borderId="0" applyNumberFormat="0" applyFill="0" applyBorder="0" applyAlignment="0" applyProtection="0"/>
    <xf numFmtId="0" fontId="28" fillId="0" borderId="0" applyNumberFormat="0" applyFill="0" applyBorder="0" applyAlignment="0" applyProtection="0"/>
    <xf numFmtId="0" fontId="27" fillId="0" borderId="0" applyNumberFormat="0" applyFill="0" applyBorder="0" applyAlignment="0" applyProtection="0"/>
    <xf numFmtId="0" fontId="28" fillId="0" borderId="0" applyNumberFormat="0" applyFill="0" applyBorder="0" applyAlignment="0" applyProtection="0"/>
    <xf numFmtId="0" fontId="27" fillId="0" borderId="0" applyNumberFormat="0" applyFill="0" applyBorder="0" applyAlignment="0" applyProtection="0"/>
    <xf numFmtId="0" fontId="28" fillId="0" borderId="0" applyNumberFormat="0" applyFill="0" applyBorder="0" applyAlignment="0" applyProtection="0"/>
    <xf numFmtId="0" fontId="27" fillId="0" borderId="0" applyNumberFormat="0" applyFill="0" applyBorder="0" applyAlignment="0" applyProtection="0"/>
    <xf numFmtId="0" fontId="28" fillId="0" borderId="0" applyNumberFormat="0" applyFill="0" applyBorder="0" applyAlignment="0" applyProtection="0"/>
    <xf numFmtId="0" fontId="27" fillId="0" borderId="0" applyNumberFormat="0" applyFill="0" applyBorder="0" applyAlignment="0" applyProtection="0"/>
    <xf numFmtId="0" fontId="28" fillId="0" borderId="0" applyNumberFormat="0" applyFill="0" applyBorder="0" applyAlignment="0" applyProtection="0"/>
    <xf numFmtId="0" fontId="27" fillId="0" borderId="0" applyNumberFormat="0" applyFill="0" applyBorder="0" applyAlignment="0" applyProtection="0"/>
    <xf numFmtId="0" fontId="28" fillId="0" borderId="0" applyNumberFormat="0" applyFill="0" applyBorder="0" applyAlignment="0" applyProtection="0"/>
    <xf numFmtId="0" fontId="27" fillId="0" borderId="0" applyNumberFormat="0" applyFill="0" applyBorder="0" applyAlignment="0" applyProtection="0"/>
    <xf numFmtId="0" fontId="28" fillId="0" borderId="0" applyNumberFormat="0" applyFill="0" applyBorder="0" applyAlignment="0" applyProtection="0"/>
    <xf numFmtId="0" fontId="27" fillId="0" borderId="0" applyNumberFormat="0" applyFill="0" applyBorder="0" applyAlignment="0" applyProtection="0"/>
    <xf numFmtId="0" fontId="28" fillId="0" borderId="0" applyNumberFormat="0" applyFill="0" applyBorder="0" applyAlignment="0" applyProtection="0"/>
    <xf numFmtId="0" fontId="27" fillId="0" borderId="0" applyNumberFormat="0" applyFill="0" applyBorder="0" applyAlignment="0" applyProtection="0"/>
    <xf numFmtId="0" fontId="28" fillId="0" borderId="0" applyNumberFormat="0" applyFill="0" applyBorder="0" applyAlignment="0" applyProtection="0"/>
    <xf numFmtId="0" fontId="27" fillId="0" borderId="0" applyNumberFormat="0" applyFill="0" applyBorder="0" applyAlignment="0" applyProtection="0"/>
    <xf numFmtId="0" fontId="28" fillId="0" borderId="0" applyNumberFormat="0" applyFill="0" applyBorder="0" applyAlignment="0" applyProtection="0"/>
    <xf numFmtId="0" fontId="27" fillId="0" borderId="0" applyNumberFormat="0" applyFill="0" applyBorder="0" applyAlignment="0" applyProtection="0"/>
    <xf numFmtId="0" fontId="28" fillId="0" borderId="0" applyNumberFormat="0" applyFill="0" applyBorder="0" applyAlignment="0" applyProtection="0"/>
    <xf numFmtId="0" fontId="27" fillId="0" borderId="0" applyNumberFormat="0" applyFill="0" applyBorder="0" applyAlignment="0" applyProtection="0"/>
    <xf numFmtId="0" fontId="28" fillId="0" borderId="0" applyNumberFormat="0" applyFill="0" applyBorder="0" applyAlignment="0" applyProtection="0"/>
    <xf numFmtId="0" fontId="27" fillId="0" borderId="0" applyNumberFormat="0" applyFill="0" applyBorder="0" applyAlignment="0" applyProtection="0"/>
    <xf numFmtId="0" fontId="28" fillId="0" borderId="0" applyNumberFormat="0" applyFill="0" applyBorder="0" applyAlignment="0" applyProtection="0"/>
    <xf numFmtId="0" fontId="27" fillId="0" borderId="0" applyNumberFormat="0" applyFill="0" applyBorder="0" applyAlignment="0" applyProtection="0"/>
    <xf numFmtId="0" fontId="28" fillId="0" borderId="0" applyNumberFormat="0" applyFill="0" applyBorder="0" applyAlignment="0" applyProtection="0"/>
    <xf numFmtId="0" fontId="27" fillId="0" borderId="0" applyNumberFormat="0" applyFill="0" applyBorder="0" applyAlignment="0" applyProtection="0"/>
    <xf numFmtId="0" fontId="28" fillId="0" borderId="0" applyNumberFormat="0" applyFill="0" applyBorder="0" applyAlignment="0" applyProtection="0"/>
    <xf numFmtId="0" fontId="27" fillId="0" borderId="0" applyNumberFormat="0" applyFill="0" applyBorder="0" applyAlignment="0" applyProtection="0"/>
    <xf numFmtId="0" fontId="28" fillId="0" borderId="0" applyNumberFormat="0" applyFill="0" applyBorder="0" applyAlignment="0" applyProtection="0"/>
    <xf numFmtId="0" fontId="27" fillId="0" borderId="0" applyNumberFormat="0" applyFill="0" applyBorder="0" applyAlignment="0" applyProtection="0"/>
    <xf numFmtId="0" fontId="28" fillId="0" borderId="0" applyNumberFormat="0" applyFill="0" applyBorder="0" applyAlignment="0" applyProtection="0"/>
    <xf numFmtId="0" fontId="27" fillId="0" borderId="0" applyNumberFormat="0" applyFill="0" applyBorder="0" applyAlignment="0" applyProtection="0"/>
    <xf numFmtId="0" fontId="28" fillId="0" borderId="0" applyNumberFormat="0" applyFill="0" applyBorder="0" applyAlignment="0" applyProtection="0"/>
    <xf numFmtId="0" fontId="27" fillId="0" borderId="0" applyNumberFormat="0" applyFill="0" applyBorder="0" applyAlignment="0" applyProtection="0"/>
    <xf numFmtId="0" fontId="28" fillId="0" borderId="0" applyNumberFormat="0" applyFill="0" applyBorder="0" applyAlignment="0" applyProtection="0"/>
    <xf numFmtId="0" fontId="27" fillId="0" borderId="0" applyNumberFormat="0" applyFill="0" applyBorder="0" applyAlignment="0" applyProtection="0"/>
    <xf numFmtId="0" fontId="28" fillId="0" borderId="0" applyNumberFormat="0" applyFill="0" applyBorder="0" applyAlignment="0" applyProtection="0"/>
    <xf numFmtId="0" fontId="27" fillId="0" borderId="0" applyNumberFormat="0" applyFill="0" applyBorder="0" applyAlignment="0" applyProtection="0"/>
    <xf numFmtId="0" fontId="28" fillId="0" borderId="0" applyNumberFormat="0" applyFill="0" applyBorder="0" applyAlignment="0" applyProtection="0"/>
    <xf numFmtId="0" fontId="27" fillId="0" borderId="0" applyNumberFormat="0" applyFill="0" applyBorder="0" applyAlignment="0" applyProtection="0"/>
    <xf numFmtId="0" fontId="28" fillId="0" borderId="0" applyNumberFormat="0" applyFill="0" applyBorder="0" applyAlignment="0" applyProtection="0"/>
    <xf numFmtId="0" fontId="27" fillId="0" borderId="0" applyNumberFormat="0" applyFill="0" applyBorder="0" applyAlignment="0" applyProtection="0"/>
    <xf numFmtId="0" fontId="28" fillId="0" borderId="0" applyNumberFormat="0" applyFill="0" applyBorder="0" applyAlignment="0" applyProtection="0"/>
    <xf numFmtId="0" fontId="28" fillId="0" borderId="0" applyNumberFormat="0" applyFill="0" applyBorder="0" applyAlignment="0" applyProtection="0"/>
    <xf numFmtId="0" fontId="28" fillId="0" borderId="0" applyNumberFormat="0" applyFill="0" applyBorder="0" applyAlignment="0" applyProtection="0"/>
    <xf numFmtId="0" fontId="28" fillId="0" borderId="0" applyNumberFormat="0" applyFill="0" applyBorder="0" applyAlignment="0" applyProtection="0"/>
    <xf numFmtId="0" fontId="28" fillId="0" borderId="0" applyNumberFormat="0" applyFill="0" applyBorder="0" applyAlignment="0" applyProtection="0"/>
    <xf numFmtId="0" fontId="28" fillId="0" borderId="0" applyNumberFormat="0" applyFill="0" applyBorder="0" applyAlignment="0" applyProtection="0"/>
    <xf numFmtId="0" fontId="28" fillId="0" borderId="0" applyNumberFormat="0" applyFill="0" applyBorder="0" applyAlignment="0" applyProtection="0"/>
    <xf numFmtId="0" fontId="28" fillId="0" borderId="0" applyNumberFormat="0" applyFill="0" applyBorder="0" applyAlignment="0" applyProtection="0"/>
    <xf numFmtId="0" fontId="28" fillId="0" borderId="0" applyNumberFormat="0" applyFill="0" applyBorder="0" applyAlignment="0" applyProtection="0"/>
    <xf numFmtId="0" fontId="28" fillId="0" borderId="0" applyNumberFormat="0" applyFill="0" applyBorder="0" applyAlignment="0" applyProtection="0"/>
    <xf numFmtId="0" fontId="28" fillId="0" borderId="0" applyNumberFormat="0" applyFill="0" applyBorder="0" applyAlignment="0" applyProtection="0"/>
    <xf numFmtId="0" fontId="28" fillId="0" borderId="0" applyNumberFormat="0" applyFill="0" applyBorder="0" applyAlignment="0" applyProtection="0"/>
    <xf numFmtId="0" fontId="28" fillId="0" borderId="0" applyNumberFormat="0" applyFill="0" applyBorder="0" applyAlignment="0" applyProtection="0"/>
    <xf numFmtId="0" fontId="28" fillId="0" borderId="0" applyNumberFormat="0" applyFill="0" applyBorder="0" applyAlignment="0" applyProtection="0"/>
    <xf numFmtId="0" fontId="28" fillId="0" borderId="0" applyNumberFormat="0" applyFill="0" applyBorder="0" applyAlignment="0" applyProtection="0"/>
    <xf numFmtId="0" fontId="28" fillId="0" borderId="0" applyNumberFormat="0" applyFill="0" applyBorder="0" applyAlignment="0" applyProtection="0"/>
    <xf numFmtId="0" fontId="28" fillId="0" borderId="0" applyNumberFormat="0" applyFill="0" applyBorder="0" applyAlignment="0" applyProtection="0"/>
    <xf numFmtId="0" fontId="28" fillId="0" borderId="0" applyNumberFormat="0" applyFill="0" applyBorder="0" applyAlignment="0" applyProtection="0"/>
    <xf numFmtId="0" fontId="28" fillId="0" borderId="0" applyNumberFormat="0" applyFill="0" applyBorder="0" applyAlignment="0" applyProtection="0"/>
    <xf numFmtId="0" fontId="28" fillId="0" borderId="0" applyNumberFormat="0" applyFill="0" applyBorder="0" applyAlignment="0" applyProtection="0"/>
    <xf numFmtId="0" fontId="28" fillId="0" borderId="0" applyNumberFormat="0" applyFill="0" applyBorder="0" applyAlignment="0" applyProtection="0"/>
    <xf numFmtId="0" fontId="28" fillId="0" borderId="0" applyNumberFormat="0" applyFill="0" applyBorder="0" applyAlignment="0" applyProtection="0"/>
    <xf numFmtId="0" fontId="28" fillId="0" borderId="0" applyNumberFormat="0" applyFill="0" applyBorder="0" applyAlignment="0" applyProtection="0"/>
    <xf numFmtId="0" fontId="28" fillId="0" borderId="0" applyNumberFormat="0" applyFill="0" applyBorder="0" applyAlignment="0" applyProtection="0"/>
    <xf numFmtId="0" fontId="28" fillId="0" borderId="0" applyNumberFormat="0" applyFill="0" applyBorder="0" applyAlignment="0" applyProtection="0"/>
    <xf numFmtId="0" fontId="28" fillId="0" borderId="0" applyNumberFormat="0" applyFill="0" applyBorder="0" applyAlignment="0" applyProtection="0"/>
    <xf numFmtId="0" fontId="28" fillId="0" borderId="0" applyNumberFormat="0" applyFill="0" applyBorder="0" applyAlignment="0" applyProtection="0"/>
    <xf numFmtId="0" fontId="28" fillId="0" borderId="0" applyNumberFormat="0" applyFill="0" applyBorder="0" applyAlignment="0" applyProtection="0"/>
    <xf numFmtId="0" fontId="28" fillId="0" borderId="0" applyNumberFormat="0" applyFill="0" applyBorder="0" applyAlignment="0" applyProtection="0"/>
    <xf numFmtId="0" fontId="28" fillId="0" borderId="0" applyNumberFormat="0" applyFill="0" applyBorder="0" applyAlignment="0" applyProtection="0"/>
    <xf numFmtId="0" fontId="28" fillId="0" borderId="0" applyNumberFormat="0" applyFill="0" applyBorder="0" applyAlignment="0" applyProtection="0"/>
    <xf numFmtId="0" fontId="28" fillId="0" borderId="0" applyNumberFormat="0" applyFill="0" applyBorder="0" applyAlignment="0" applyProtection="0"/>
    <xf numFmtId="0" fontId="28" fillId="0" borderId="0" applyNumberFormat="0" applyFill="0" applyBorder="0" applyAlignment="0" applyProtection="0"/>
    <xf numFmtId="0" fontId="28" fillId="0" borderId="0" applyNumberFormat="0" applyFill="0" applyBorder="0" applyAlignment="0" applyProtection="0"/>
    <xf numFmtId="0" fontId="28" fillId="0" borderId="0" applyNumberFormat="0" applyFill="0" applyBorder="0" applyAlignment="0" applyProtection="0"/>
    <xf numFmtId="0" fontId="28" fillId="0" borderId="0" applyNumberFormat="0" applyFill="0" applyBorder="0" applyAlignment="0" applyProtection="0"/>
    <xf numFmtId="0" fontId="28" fillId="0" borderId="0" applyNumberFormat="0" applyFill="0" applyBorder="0" applyAlignment="0" applyProtection="0"/>
    <xf numFmtId="0" fontId="28" fillId="0" borderId="0" applyNumberFormat="0" applyFill="0" applyBorder="0" applyAlignment="0" applyProtection="0"/>
    <xf numFmtId="0" fontId="28" fillId="0" borderId="0" applyNumberFormat="0" applyFill="0" applyBorder="0" applyAlignment="0" applyProtection="0"/>
    <xf numFmtId="0" fontId="28" fillId="0" borderId="0" applyNumberFormat="0" applyFill="0" applyBorder="0" applyAlignment="0" applyProtection="0"/>
    <xf numFmtId="0" fontId="28" fillId="0" borderId="0" applyNumberFormat="0" applyFill="0" applyBorder="0" applyAlignment="0" applyProtection="0"/>
    <xf numFmtId="0" fontId="28" fillId="0" borderId="0" applyNumberFormat="0" applyFill="0" applyBorder="0" applyAlignment="0" applyProtection="0"/>
    <xf numFmtId="0" fontId="28" fillId="0" borderId="0" applyNumberFormat="0" applyFill="0" applyBorder="0" applyAlignment="0" applyProtection="0"/>
    <xf numFmtId="0" fontId="28" fillId="0" borderId="0" applyNumberFormat="0" applyFill="0" applyBorder="0" applyAlignment="0" applyProtection="0"/>
    <xf numFmtId="0" fontId="28" fillId="0" borderId="0" applyNumberFormat="0" applyFill="0" applyBorder="0" applyAlignment="0" applyProtection="0"/>
    <xf numFmtId="0" fontId="28" fillId="0" borderId="0" applyNumberFormat="0" applyFill="0" applyBorder="0" applyAlignment="0" applyProtection="0"/>
    <xf numFmtId="0" fontId="28" fillId="0" borderId="0" applyNumberFormat="0" applyFill="0" applyBorder="0" applyAlignment="0" applyProtection="0"/>
    <xf numFmtId="0" fontId="28" fillId="0" borderId="0" applyNumberFormat="0" applyFill="0" applyBorder="0" applyAlignment="0" applyProtection="0"/>
    <xf numFmtId="0" fontId="28" fillId="0" borderId="0" applyNumberFormat="0" applyFill="0" applyBorder="0" applyAlignment="0" applyProtection="0"/>
    <xf numFmtId="0" fontId="28" fillId="0" borderId="0" applyNumberFormat="0" applyFill="0" applyBorder="0" applyAlignment="0" applyProtection="0"/>
    <xf numFmtId="0" fontId="28" fillId="0" borderId="0" applyNumberFormat="0" applyFill="0" applyBorder="0" applyAlignment="0" applyProtection="0"/>
    <xf numFmtId="0" fontId="28" fillId="0" borderId="0" applyNumberFormat="0" applyFill="0" applyBorder="0" applyAlignment="0" applyProtection="0"/>
    <xf numFmtId="0" fontId="28" fillId="0" borderId="0" applyNumberFormat="0" applyFill="0" applyBorder="0" applyAlignment="0" applyProtection="0"/>
    <xf numFmtId="0" fontId="28" fillId="0" borderId="0" applyNumberFormat="0" applyFill="0" applyBorder="0" applyAlignment="0" applyProtection="0"/>
    <xf numFmtId="0" fontId="28" fillId="0" borderId="0" applyNumberFormat="0" applyFill="0" applyBorder="0" applyAlignment="0" applyProtection="0"/>
    <xf numFmtId="0" fontId="28" fillId="0" borderId="0" applyNumberFormat="0" applyFill="0" applyBorder="0" applyAlignment="0" applyProtection="0"/>
    <xf numFmtId="0" fontId="28" fillId="0" borderId="0" applyNumberFormat="0" applyFill="0" applyBorder="0" applyAlignment="0" applyProtection="0"/>
    <xf numFmtId="0" fontId="28" fillId="0" borderId="0" applyNumberFormat="0" applyFill="0" applyBorder="0" applyAlignment="0" applyProtection="0"/>
    <xf numFmtId="0" fontId="28" fillId="0" borderId="0" applyNumberFormat="0" applyFill="0" applyBorder="0" applyAlignment="0" applyProtection="0"/>
    <xf numFmtId="0" fontId="28" fillId="0" borderId="0" applyNumberFormat="0" applyFill="0" applyBorder="0" applyAlignment="0" applyProtection="0"/>
    <xf numFmtId="0" fontId="28" fillId="0" borderId="0" applyNumberFormat="0" applyFill="0" applyBorder="0" applyAlignment="0" applyProtection="0"/>
    <xf numFmtId="0" fontId="28" fillId="0" borderId="0" applyNumberFormat="0" applyFill="0" applyBorder="0" applyAlignment="0" applyProtection="0"/>
    <xf numFmtId="0" fontId="28" fillId="0" borderId="0" applyNumberFormat="0" applyFill="0" applyBorder="0" applyAlignment="0" applyProtection="0"/>
    <xf numFmtId="0" fontId="28" fillId="0" borderId="0" applyNumberFormat="0" applyFill="0" applyBorder="0" applyAlignment="0" applyProtection="0"/>
    <xf numFmtId="0" fontId="28" fillId="0" borderId="0" applyNumberFormat="0" applyFill="0" applyBorder="0" applyAlignment="0" applyProtection="0"/>
    <xf numFmtId="0" fontId="28" fillId="0" borderId="0" applyNumberFormat="0" applyFill="0" applyBorder="0" applyAlignment="0" applyProtection="0"/>
    <xf numFmtId="0" fontId="28" fillId="0" borderId="0" applyNumberFormat="0" applyFill="0" applyBorder="0" applyAlignment="0" applyProtection="0"/>
    <xf numFmtId="0" fontId="28" fillId="0" borderId="0" applyNumberFormat="0" applyFill="0" applyBorder="0" applyAlignment="0" applyProtection="0"/>
    <xf numFmtId="0" fontId="28" fillId="0" borderId="0" applyNumberFormat="0" applyFill="0" applyBorder="0" applyAlignment="0" applyProtection="0"/>
    <xf numFmtId="0" fontId="28" fillId="0" borderId="0" applyNumberFormat="0" applyFill="0" applyBorder="0" applyAlignment="0" applyProtection="0"/>
    <xf numFmtId="0" fontId="28" fillId="0" borderId="0" applyNumberFormat="0" applyFill="0" applyBorder="0" applyAlignment="0" applyProtection="0"/>
    <xf numFmtId="0" fontId="28" fillId="0" borderId="0" applyNumberFormat="0" applyFill="0" applyBorder="0" applyAlignment="0" applyProtection="0"/>
    <xf numFmtId="0" fontId="28" fillId="0" borderId="0" applyNumberFormat="0" applyFill="0" applyBorder="0" applyAlignment="0" applyProtection="0"/>
    <xf numFmtId="0" fontId="28" fillId="0" borderId="0" applyNumberFormat="0" applyFill="0" applyBorder="0" applyAlignment="0" applyProtection="0"/>
    <xf numFmtId="0" fontId="28" fillId="0" borderId="0" applyNumberFormat="0" applyFill="0" applyBorder="0" applyAlignment="0" applyProtection="0"/>
    <xf numFmtId="0" fontId="28" fillId="0" borderId="0" applyNumberFormat="0" applyFill="0" applyBorder="0" applyAlignment="0" applyProtection="0"/>
    <xf numFmtId="0" fontId="28" fillId="0" borderId="0" applyNumberFormat="0" applyFill="0" applyBorder="0" applyAlignment="0" applyProtection="0"/>
    <xf numFmtId="0" fontId="28" fillId="0" borderId="0" applyNumberFormat="0" applyFill="0" applyBorder="0" applyAlignment="0" applyProtection="0"/>
    <xf numFmtId="0" fontId="28" fillId="0" borderId="0" applyNumberFormat="0" applyFill="0" applyBorder="0" applyAlignment="0" applyProtection="0"/>
    <xf numFmtId="0" fontId="28" fillId="0" borderId="0" applyNumberFormat="0" applyFill="0" applyBorder="0" applyAlignment="0" applyProtection="0"/>
    <xf numFmtId="0" fontId="28" fillId="0" borderId="0" applyNumberFormat="0" applyFill="0" applyBorder="0" applyAlignment="0" applyProtection="0"/>
    <xf numFmtId="0" fontId="28" fillId="0" borderId="0" applyNumberFormat="0" applyFill="0" applyBorder="0" applyAlignment="0" applyProtection="0"/>
    <xf numFmtId="0" fontId="28" fillId="0" borderId="0" applyNumberFormat="0" applyFill="0" applyBorder="0" applyAlignment="0" applyProtection="0"/>
    <xf numFmtId="0" fontId="28" fillId="0" borderId="0" applyNumberFormat="0" applyFill="0" applyBorder="0" applyAlignment="0" applyProtection="0"/>
    <xf numFmtId="0" fontId="28" fillId="0" borderId="0" applyNumberFormat="0" applyFill="0" applyBorder="0" applyAlignment="0" applyProtection="0"/>
    <xf numFmtId="0" fontId="28" fillId="0" borderId="0" applyNumberFormat="0" applyFill="0" applyBorder="0" applyAlignment="0" applyProtection="0"/>
    <xf numFmtId="0" fontId="28" fillId="0" borderId="0" applyNumberFormat="0" applyFill="0" applyBorder="0" applyAlignment="0" applyProtection="0"/>
    <xf numFmtId="0" fontId="28" fillId="0" borderId="0" applyNumberFormat="0" applyFill="0" applyBorder="0" applyAlignment="0" applyProtection="0"/>
    <xf numFmtId="0" fontId="28" fillId="0" borderId="0" applyNumberFormat="0" applyFill="0" applyBorder="0" applyAlignment="0" applyProtection="0"/>
    <xf numFmtId="0" fontId="28" fillId="0" borderId="0" applyNumberFormat="0" applyFill="0" applyBorder="0" applyAlignment="0" applyProtection="0"/>
    <xf numFmtId="0" fontId="28" fillId="0" borderId="0" applyNumberFormat="0" applyFill="0" applyBorder="0" applyAlignment="0" applyProtection="0"/>
    <xf numFmtId="0" fontId="28" fillId="0" borderId="0" applyNumberFormat="0" applyFill="0" applyBorder="0" applyAlignment="0" applyProtection="0"/>
    <xf numFmtId="0" fontId="28" fillId="0" borderId="0" applyNumberFormat="0" applyFill="0" applyBorder="0" applyAlignment="0" applyProtection="0"/>
    <xf numFmtId="0" fontId="28" fillId="0" borderId="0" applyNumberFormat="0" applyFill="0" applyBorder="0" applyAlignment="0" applyProtection="0"/>
    <xf numFmtId="0" fontId="28" fillId="0" borderId="0" applyNumberFormat="0" applyFill="0" applyBorder="0" applyAlignment="0" applyProtection="0"/>
    <xf numFmtId="0" fontId="28" fillId="0" borderId="0" applyNumberFormat="0" applyFill="0" applyBorder="0" applyAlignment="0" applyProtection="0"/>
    <xf numFmtId="0" fontId="28" fillId="0" borderId="0" applyNumberFormat="0" applyFill="0" applyBorder="0" applyAlignment="0" applyProtection="0"/>
    <xf numFmtId="0" fontId="28" fillId="0" borderId="0" applyNumberFormat="0" applyFill="0" applyBorder="0" applyAlignment="0" applyProtection="0"/>
    <xf numFmtId="0" fontId="39" fillId="0" borderId="0"/>
    <xf numFmtId="0" fontId="28" fillId="0" borderId="0" applyNumberFormat="0" applyFill="0" applyBorder="0" applyAlignment="0" applyProtection="0"/>
    <xf numFmtId="0" fontId="28" fillId="0" borderId="0" applyNumberFormat="0" applyFill="0" applyBorder="0" applyAlignment="0" applyProtection="0"/>
    <xf numFmtId="0" fontId="28" fillId="0" borderId="0" applyNumberFormat="0" applyFill="0" applyBorder="0" applyAlignment="0" applyProtection="0"/>
    <xf numFmtId="0" fontId="28" fillId="0" borderId="0" applyNumberFormat="0" applyFill="0" applyBorder="0" applyAlignment="0" applyProtection="0"/>
    <xf numFmtId="0" fontId="28" fillId="0" borderId="0" applyNumberFormat="0" applyFill="0" applyBorder="0" applyAlignment="0" applyProtection="0"/>
    <xf numFmtId="0" fontId="28" fillId="0" borderId="0" applyNumberFormat="0" applyFill="0" applyBorder="0" applyAlignment="0" applyProtection="0"/>
    <xf numFmtId="0" fontId="28" fillId="0" borderId="0" applyNumberFormat="0" applyFill="0" applyBorder="0" applyAlignment="0" applyProtection="0"/>
    <xf numFmtId="0" fontId="28" fillId="0" borderId="0" applyNumberFormat="0" applyFill="0" applyBorder="0" applyAlignment="0" applyProtection="0"/>
    <xf numFmtId="0" fontId="28" fillId="0" borderId="0" applyNumberFormat="0" applyFill="0" applyBorder="0" applyAlignment="0" applyProtection="0"/>
    <xf numFmtId="0" fontId="28" fillId="0" borderId="0" applyNumberFormat="0" applyFill="0" applyBorder="0" applyAlignment="0" applyProtection="0"/>
    <xf numFmtId="0" fontId="28" fillId="0" borderId="0" applyNumberFormat="0" applyFill="0" applyBorder="0" applyAlignment="0" applyProtection="0"/>
    <xf numFmtId="0" fontId="28" fillId="0" borderId="0" applyNumberFormat="0" applyFill="0" applyBorder="0" applyAlignment="0" applyProtection="0"/>
    <xf numFmtId="0" fontId="28" fillId="0" borderId="0" applyNumberFormat="0" applyFill="0" applyBorder="0" applyAlignment="0" applyProtection="0"/>
    <xf numFmtId="0" fontId="28" fillId="0" borderId="0" applyNumberFormat="0" applyFill="0" applyBorder="0" applyAlignment="0" applyProtection="0"/>
    <xf numFmtId="0" fontId="28" fillId="0" borderId="0" applyNumberFormat="0" applyFill="0" applyBorder="0" applyAlignment="0" applyProtection="0"/>
    <xf numFmtId="0" fontId="28" fillId="0" borderId="0" applyNumberFormat="0" applyFill="0" applyBorder="0" applyAlignment="0" applyProtection="0"/>
    <xf numFmtId="0" fontId="28" fillId="0" borderId="0" applyNumberFormat="0" applyFill="0" applyBorder="0" applyAlignment="0" applyProtection="0"/>
    <xf numFmtId="0" fontId="28" fillId="0" borderId="0" applyNumberFormat="0" applyFill="0" applyBorder="0" applyAlignment="0" applyProtection="0"/>
    <xf numFmtId="0" fontId="28" fillId="0" borderId="0" applyNumberFormat="0" applyFill="0" applyBorder="0" applyAlignment="0" applyProtection="0"/>
    <xf numFmtId="0" fontId="28" fillId="0" borderId="0" applyNumberFormat="0" applyFill="0" applyBorder="0" applyAlignment="0" applyProtection="0"/>
    <xf numFmtId="0" fontId="28" fillId="0" borderId="0" applyNumberFormat="0" applyFill="0" applyBorder="0" applyAlignment="0" applyProtection="0"/>
    <xf numFmtId="0" fontId="28" fillId="0" borderId="0" applyNumberFormat="0" applyFill="0" applyBorder="0" applyAlignment="0" applyProtection="0"/>
    <xf numFmtId="0" fontId="28" fillId="0" borderId="0" applyNumberFormat="0" applyFill="0" applyBorder="0" applyAlignment="0" applyProtection="0"/>
    <xf numFmtId="0" fontId="28" fillId="0" borderId="0" applyNumberFormat="0" applyFill="0" applyBorder="0" applyAlignment="0" applyProtection="0"/>
    <xf numFmtId="0" fontId="28" fillId="0" borderId="0" applyNumberFormat="0" applyFill="0" applyBorder="0" applyAlignment="0" applyProtection="0"/>
    <xf numFmtId="0" fontId="28" fillId="0" borderId="0" applyNumberFormat="0" applyFill="0" applyBorder="0" applyAlignment="0" applyProtection="0"/>
    <xf numFmtId="0" fontId="28" fillId="0" borderId="0" applyNumberFormat="0" applyFill="0" applyBorder="0" applyAlignment="0" applyProtection="0"/>
    <xf numFmtId="0" fontId="28" fillId="0" borderId="0" applyNumberFormat="0" applyFill="0" applyBorder="0" applyAlignment="0" applyProtection="0"/>
    <xf numFmtId="0" fontId="28" fillId="0" borderId="0" applyNumberFormat="0" applyFill="0" applyBorder="0" applyAlignment="0" applyProtection="0"/>
    <xf numFmtId="0" fontId="28" fillId="0" borderId="0" applyNumberFormat="0" applyFill="0" applyBorder="0" applyAlignment="0" applyProtection="0"/>
    <xf numFmtId="0" fontId="28" fillId="0" borderId="0" applyNumberFormat="0" applyFill="0" applyBorder="0" applyAlignment="0" applyProtection="0"/>
    <xf numFmtId="0" fontId="28" fillId="0" borderId="0" applyNumberFormat="0" applyFill="0" applyBorder="0" applyAlignment="0" applyProtection="0"/>
    <xf numFmtId="0" fontId="28" fillId="0" borderId="0" applyNumberFormat="0" applyFill="0" applyBorder="0" applyAlignment="0" applyProtection="0"/>
    <xf numFmtId="0" fontId="28" fillId="0" borderId="0" applyNumberFormat="0" applyFill="0" applyBorder="0" applyAlignment="0" applyProtection="0"/>
    <xf numFmtId="0" fontId="28" fillId="0" borderId="0" applyNumberFormat="0" applyFill="0" applyBorder="0" applyAlignment="0" applyProtection="0"/>
    <xf numFmtId="0" fontId="28" fillId="0" borderId="0" applyNumberFormat="0" applyFill="0" applyBorder="0" applyAlignment="0" applyProtection="0"/>
    <xf numFmtId="0" fontId="28" fillId="0" borderId="0" applyNumberFormat="0" applyFill="0" applyBorder="0" applyAlignment="0" applyProtection="0"/>
    <xf numFmtId="0" fontId="28" fillId="0" borderId="0" applyNumberFormat="0" applyFill="0" applyBorder="0" applyAlignment="0" applyProtection="0"/>
    <xf numFmtId="0" fontId="28" fillId="0" borderId="0" applyNumberFormat="0" applyFill="0" applyBorder="0" applyAlignment="0" applyProtection="0"/>
    <xf numFmtId="0" fontId="28" fillId="0" borderId="0" applyNumberFormat="0" applyFill="0" applyBorder="0" applyAlignment="0" applyProtection="0"/>
    <xf numFmtId="0" fontId="28" fillId="0" borderId="0" applyNumberFormat="0" applyFill="0" applyBorder="0" applyAlignment="0" applyProtection="0"/>
    <xf numFmtId="0" fontId="28" fillId="0" borderId="0" applyNumberFormat="0" applyFill="0" applyBorder="0" applyAlignment="0" applyProtection="0"/>
    <xf numFmtId="0" fontId="28" fillId="0" borderId="0" applyNumberFormat="0" applyFill="0" applyBorder="0" applyAlignment="0" applyProtection="0"/>
    <xf numFmtId="0" fontId="28" fillId="0" borderId="0" applyNumberFormat="0" applyFill="0" applyBorder="0" applyAlignment="0" applyProtection="0"/>
    <xf numFmtId="0" fontId="28" fillId="0" borderId="0" applyNumberFormat="0" applyFill="0" applyBorder="0" applyAlignment="0" applyProtection="0"/>
    <xf numFmtId="0" fontId="28" fillId="0" borderId="0" applyNumberFormat="0" applyFill="0" applyBorder="0" applyAlignment="0" applyProtection="0"/>
    <xf numFmtId="0" fontId="28" fillId="0" borderId="0" applyNumberFormat="0" applyFill="0" applyBorder="0" applyAlignment="0" applyProtection="0"/>
    <xf numFmtId="0" fontId="28" fillId="0" borderId="0" applyNumberFormat="0" applyFill="0" applyBorder="0" applyAlignment="0" applyProtection="0"/>
    <xf numFmtId="0" fontId="28" fillId="0" borderId="0" applyNumberFormat="0" applyFill="0" applyBorder="0" applyAlignment="0" applyProtection="0"/>
    <xf numFmtId="0" fontId="28" fillId="0" borderId="0" applyNumberFormat="0" applyFill="0" applyBorder="0" applyAlignment="0" applyProtection="0"/>
    <xf numFmtId="0" fontId="28" fillId="0" borderId="0" applyNumberFormat="0" applyFill="0" applyBorder="0" applyAlignment="0" applyProtection="0"/>
    <xf numFmtId="0" fontId="28" fillId="0" borderId="0" applyNumberFormat="0" applyFill="0" applyBorder="0" applyAlignment="0" applyProtection="0"/>
    <xf numFmtId="0" fontId="28" fillId="0" borderId="0" applyNumberFormat="0" applyFill="0" applyBorder="0" applyAlignment="0" applyProtection="0"/>
    <xf numFmtId="0" fontId="28" fillId="0" borderId="0" applyNumberFormat="0" applyFill="0" applyBorder="0" applyAlignment="0" applyProtection="0"/>
    <xf numFmtId="0" fontId="28" fillId="0" borderId="0" applyNumberFormat="0" applyFill="0" applyBorder="0" applyAlignment="0" applyProtection="0"/>
    <xf numFmtId="0" fontId="28" fillId="0" borderId="0" applyNumberFormat="0" applyFill="0" applyBorder="0" applyAlignment="0" applyProtection="0"/>
    <xf numFmtId="0" fontId="28" fillId="0" borderId="0" applyNumberFormat="0" applyFill="0" applyBorder="0" applyAlignment="0" applyProtection="0"/>
    <xf numFmtId="0" fontId="28" fillId="0" borderId="0" applyNumberFormat="0" applyFill="0" applyBorder="0" applyAlignment="0" applyProtection="0"/>
    <xf numFmtId="0" fontId="28" fillId="0" borderId="0" applyNumberFormat="0" applyFill="0" applyBorder="0" applyAlignment="0" applyProtection="0"/>
    <xf numFmtId="0" fontId="28" fillId="0" borderId="0" applyNumberFormat="0" applyFill="0" applyBorder="0" applyAlignment="0" applyProtection="0"/>
    <xf numFmtId="0" fontId="28" fillId="0" borderId="0" applyNumberFormat="0" applyFill="0" applyBorder="0" applyAlignment="0" applyProtection="0"/>
    <xf numFmtId="0" fontId="28" fillId="0" borderId="0" applyNumberFormat="0" applyFill="0" applyBorder="0" applyAlignment="0" applyProtection="0"/>
    <xf numFmtId="0" fontId="28" fillId="0" borderId="0" applyNumberFormat="0" applyFill="0" applyBorder="0" applyAlignment="0" applyProtection="0"/>
    <xf numFmtId="0" fontId="28" fillId="0" borderId="0" applyNumberFormat="0" applyFill="0" applyBorder="0" applyAlignment="0" applyProtection="0"/>
    <xf numFmtId="0" fontId="28" fillId="0" borderId="0" applyNumberFormat="0" applyFill="0" applyBorder="0" applyAlignment="0" applyProtection="0"/>
    <xf numFmtId="0" fontId="28" fillId="0" borderId="0" applyNumberFormat="0" applyFill="0" applyBorder="0" applyAlignment="0" applyProtection="0"/>
    <xf numFmtId="0" fontId="28" fillId="0" borderId="0" applyNumberFormat="0" applyFill="0" applyBorder="0" applyAlignment="0" applyProtection="0"/>
    <xf numFmtId="0" fontId="28" fillId="0" borderId="0" applyNumberFormat="0" applyFill="0" applyBorder="0" applyAlignment="0" applyProtection="0"/>
    <xf numFmtId="0" fontId="28" fillId="0" borderId="0" applyNumberFormat="0" applyFill="0" applyBorder="0" applyAlignment="0" applyProtection="0"/>
    <xf numFmtId="0" fontId="28" fillId="0" borderId="0" applyNumberFormat="0" applyFill="0" applyBorder="0" applyAlignment="0" applyProtection="0"/>
    <xf numFmtId="0" fontId="28" fillId="0" borderId="0" applyNumberFormat="0" applyFill="0" applyBorder="0" applyAlignment="0" applyProtection="0"/>
    <xf numFmtId="0" fontId="28" fillId="0" borderId="0" applyNumberFormat="0" applyFill="0" applyBorder="0" applyAlignment="0" applyProtection="0"/>
    <xf numFmtId="0" fontId="28" fillId="0" borderId="0" applyNumberFormat="0" applyFill="0" applyBorder="0" applyAlignment="0" applyProtection="0"/>
    <xf numFmtId="0" fontId="28" fillId="0" borderId="0" applyNumberFormat="0" applyFill="0" applyBorder="0" applyAlignment="0" applyProtection="0"/>
    <xf numFmtId="0" fontId="28" fillId="0" borderId="0" applyNumberFormat="0" applyFill="0" applyBorder="0" applyAlignment="0" applyProtection="0"/>
    <xf numFmtId="0" fontId="28" fillId="0" borderId="0" applyNumberFormat="0" applyFill="0" applyBorder="0" applyAlignment="0" applyProtection="0"/>
    <xf numFmtId="0" fontId="28" fillId="0" borderId="0" applyNumberFormat="0" applyFill="0" applyBorder="0" applyAlignment="0" applyProtection="0"/>
    <xf numFmtId="0" fontId="28" fillId="0" borderId="0" applyNumberFormat="0" applyFill="0" applyBorder="0" applyAlignment="0" applyProtection="0"/>
    <xf numFmtId="0" fontId="28" fillId="0" borderId="0" applyNumberFormat="0" applyFill="0" applyBorder="0" applyAlignment="0" applyProtection="0"/>
    <xf numFmtId="0" fontId="28" fillId="0" borderId="0" applyNumberFormat="0" applyFill="0" applyBorder="0" applyAlignment="0" applyProtection="0"/>
    <xf numFmtId="0" fontId="28" fillId="0" borderId="0" applyNumberFormat="0" applyFill="0" applyBorder="0" applyAlignment="0" applyProtection="0"/>
    <xf numFmtId="0" fontId="28" fillId="0" borderId="0" applyNumberFormat="0" applyFill="0" applyBorder="0" applyAlignment="0" applyProtection="0"/>
    <xf numFmtId="0" fontId="28" fillId="0" borderId="0" applyNumberFormat="0" applyFill="0" applyBorder="0" applyAlignment="0" applyProtection="0"/>
    <xf numFmtId="0" fontId="28" fillId="0" borderId="0" applyNumberFormat="0" applyFill="0" applyBorder="0" applyAlignment="0" applyProtection="0"/>
    <xf numFmtId="0" fontId="28" fillId="0" borderId="0" applyNumberFormat="0" applyFill="0" applyBorder="0" applyAlignment="0" applyProtection="0"/>
    <xf numFmtId="0" fontId="28" fillId="0" borderId="0" applyNumberFormat="0" applyFill="0" applyBorder="0" applyAlignment="0" applyProtection="0"/>
    <xf numFmtId="0" fontId="28" fillId="0" borderId="0" applyNumberFormat="0" applyFill="0" applyBorder="0" applyAlignment="0" applyProtection="0"/>
    <xf numFmtId="0" fontId="28" fillId="0" borderId="0" applyNumberFormat="0" applyFill="0" applyBorder="0" applyAlignment="0" applyProtection="0"/>
    <xf numFmtId="0" fontId="28" fillId="0" borderId="0" applyNumberFormat="0" applyFill="0" applyBorder="0" applyAlignment="0" applyProtection="0"/>
    <xf numFmtId="0" fontId="28" fillId="0" borderId="0" applyNumberFormat="0" applyFill="0" applyBorder="0" applyAlignment="0" applyProtection="0"/>
    <xf numFmtId="0" fontId="28" fillId="0" borderId="0" applyNumberFormat="0" applyFill="0" applyBorder="0" applyAlignment="0" applyProtection="0"/>
    <xf numFmtId="0" fontId="28" fillId="0" borderId="0" applyNumberFormat="0" applyFill="0" applyBorder="0" applyAlignment="0" applyProtection="0"/>
    <xf numFmtId="0" fontId="28" fillId="0" borderId="0" applyNumberFormat="0" applyFill="0" applyBorder="0" applyAlignment="0" applyProtection="0"/>
    <xf numFmtId="0" fontId="28" fillId="0" borderId="0" applyNumberFormat="0" applyFill="0" applyBorder="0" applyAlignment="0" applyProtection="0"/>
    <xf numFmtId="0" fontId="28" fillId="0" borderId="0" applyNumberFormat="0" applyFill="0" applyBorder="0" applyAlignment="0" applyProtection="0"/>
    <xf numFmtId="0" fontId="28" fillId="0" borderId="0" applyNumberFormat="0" applyFill="0" applyBorder="0" applyAlignment="0" applyProtection="0"/>
    <xf numFmtId="0" fontId="28" fillId="0" borderId="0" applyNumberFormat="0" applyFill="0" applyBorder="0" applyAlignment="0" applyProtection="0"/>
    <xf numFmtId="0" fontId="28" fillId="0" borderId="0" applyNumberFormat="0" applyFill="0" applyBorder="0" applyAlignment="0" applyProtection="0"/>
    <xf numFmtId="0" fontId="28" fillId="0" borderId="0" applyNumberFormat="0" applyFill="0" applyBorder="0" applyAlignment="0" applyProtection="0"/>
    <xf numFmtId="0" fontId="28" fillId="0" borderId="0" applyNumberFormat="0" applyFill="0" applyBorder="0" applyAlignment="0" applyProtection="0"/>
    <xf numFmtId="0" fontId="28" fillId="0" borderId="0" applyNumberFormat="0" applyFill="0" applyBorder="0" applyAlignment="0" applyProtection="0"/>
    <xf numFmtId="0" fontId="28" fillId="0" borderId="0" applyNumberFormat="0" applyFill="0" applyBorder="0" applyAlignment="0" applyProtection="0"/>
    <xf numFmtId="0" fontId="28" fillId="0" borderId="0" applyNumberFormat="0" applyFill="0" applyBorder="0" applyAlignment="0" applyProtection="0"/>
    <xf numFmtId="0" fontId="28" fillId="0" borderId="0" applyNumberFormat="0" applyFill="0" applyBorder="0" applyAlignment="0" applyProtection="0"/>
    <xf numFmtId="0" fontId="28" fillId="0" borderId="0" applyNumberFormat="0" applyFill="0" applyBorder="0" applyAlignment="0" applyProtection="0"/>
    <xf numFmtId="0" fontId="28" fillId="0" borderId="0" applyNumberFormat="0" applyFill="0" applyBorder="0" applyAlignment="0" applyProtection="0"/>
    <xf numFmtId="0" fontId="28" fillId="0" borderId="0" applyNumberFormat="0" applyFill="0" applyBorder="0" applyAlignment="0" applyProtection="0"/>
    <xf numFmtId="0" fontId="28" fillId="0" borderId="0" applyNumberFormat="0" applyFill="0" applyBorder="0" applyAlignment="0" applyProtection="0"/>
    <xf numFmtId="0" fontId="28" fillId="0" borderId="0" applyNumberFormat="0" applyFill="0" applyBorder="0" applyAlignment="0" applyProtection="0"/>
    <xf numFmtId="0" fontId="28" fillId="0" borderId="0" applyNumberFormat="0" applyFill="0" applyBorder="0" applyAlignment="0" applyProtection="0"/>
    <xf numFmtId="0" fontId="28" fillId="0" borderId="0" applyNumberFormat="0" applyFill="0" applyBorder="0" applyAlignment="0" applyProtection="0"/>
    <xf numFmtId="0" fontId="28" fillId="0" borderId="0" applyNumberFormat="0" applyFill="0" applyBorder="0" applyAlignment="0" applyProtection="0"/>
    <xf numFmtId="0" fontId="28" fillId="0" borderId="0" applyNumberFormat="0" applyFill="0" applyBorder="0" applyAlignment="0" applyProtection="0"/>
    <xf numFmtId="0" fontId="28" fillId="0" borderId="0" applyNumberFormat="0" applyFill="0" applyBorder="0" applyAlignment="0" applyProtection="0"/>
    <xf numFmtId="0" fontId="28" fillId="0" borderId="0" applyNumberFormat="0" applyFill="0" applyBorder="0" applyAlignment="0" applyProtection="0"/>
    <xf numFmtId="0" fontId="28" fillId="0" borderId="0" applyNumberFormat="0" applyFill="0" applyBorder="0" applyAlignment="0" applyProtection="0"/>
    <xf numFmtId="0" fontId="28" fillId="0" borderId="0" applyNumberFormat="0" applyFill="0" applyBorder="0" applyAlignment="0" applyProtection="0"/>
    <xf numFmtId="0" fontId="28" fillId="0" borderId="0" applyNumberFormat="0" applyFill="0" applyBorder="0" applyAlignment="0" applyProtection="0"/>
    <xf numFmtId="0" fontId="28" fillId="0" borderId="0" applyNumberFormat="0" applyFill="0" applyBorder="0" applyAlignment="0" applyProtection="0"/>
    <xf numFmtId="0" fontId="28" fillId="0" borderId="0" applyNumberFormat="0" applyFill="0" applyBorder="0" applyAlignment="0" applyProtection="0"/>
    <xf numFmtId="0" fontId="28" fillId="0" borderId="0" applyNumberFormat="0" applyFill="0" applyBorder="0" applyAlignment="0" applyProtection="0"/>
    <xf numFmtId="0" fontId="28" fillId="0" borderId="0" applyNumberFormat="0" applyFill="0" applyBorder="0" applyAlignment="0" applyProtection="0"/>
    <xf numFmtId="0" fontId="28" fillId="0" borderId="0" applyNumberFormat="0" applyFill="0" applyBorder="0" applyAlignment="0" applyProtection="0"/>
    <xf numFmtId="0" fontId="28" fillId="0" borderId="0" applyNumberFormat="0" applyFill="0" applyBorder="0" applyAlignment="0" applyProtection="0"/>
    <xf numFmtId="0" fontId="28" fillId="0" borderId="0" applyNumberFormat="0" applyFill="0" applyBorder="0" applyAlignment="0" applyProtection="0"/>
    <xf numFmtId="0" fontId="28" fillId="0" borderId="0" applyNumberFormat="0" applyFill="0" applyBorder="0" applyAlignment="0" applyProtection="0"/>
    <xf numFmtId="0" fontId="28" fillId="0" borderId="0" applyNumberFormat="0" applyFill="0" applyBorder="0" applyAlignment="0" applyProtection="0"/>
    <xf numFmtId="0" fontId="28" fillId="0" borderId="0" applyNumberFormat="0" applyFill="0" applyBorder="0" applyAlignment="0" applyProtection="0"/>
    <xf numFmtId="0" fontId="28" fillId="0" borderId="0" applyNumberFormat="0" applyFill="0" applyBorder="0" applyAlignment="0" applyProtection="0"/>
    <xf numFmtId="0" fontId="28" fillId="0" borderId="0" applyNumberFormat="0" applyFill="0" applyBorder="0" applyAlignment="0" applyProtection="0"/>
    <xf numFmtId="0" fontId="28" fillId="0" borderId="0" applyNumberFormat="0" applyFill="0" applyBorder="0" applyAlignment="0" applyProtection="0"/>
    <xf numFmtId="0" fontId="28" fillId="0" borderId="0" applyNumberFormat="0" applyFill="0" applyBorder="0" applyAlignment="0" applyProtection="0"/>
    <xf numFmtId="0" fontId="28" fillId="0" borderId="0" applyNumberFormat="0" applyFill="0" applyBorder="0" applyAlignment="0" applyProtection="0"/>
    <xf numFmtId="0" fontId="28" fillId="0" borderId="0" applyNumberFormat="0" applyFill="0" applyBorder="0" applyAlignment="0" applyProtection="0"/>
    <xf numFmtId="0" fontId="28" fillId="0" borderId="0" applyNumberFormat="0" applyFill="0" applyBorder="0" applyAlignment="0" applyProtection="0"/>
    <xf numFmtId="0" fontId="28" fillId="0" borderId="0" applyNumberFormat="0" applyFill="0" applyBorder="0" applyAlignment="0" applyProtection="0"/>
    <xf numFmtId="0" fontId="28" fillId="0" borderId="0" applyNumberFormat="0" applyFill="0" applyBorder="0" applyAlignment="0" applyProtection="0"/>
    <xf numFmtId="0" fontId="28" fillId="0" borderId="0" applyNumberFormat="0" applyFill="0" applyBorder="0" applyAlignment="0" applyProtection="0"/>
    <xf numFmtId="0" fontId="28" fillId="0" borderId="0" applyNumberFormat="0" applyFill="0" applyBorder="0" applyAlignment="0" applyProtection="0"/>
    <xf numFmtId="0" fontId="28" fillId="0" borderId="0" applyNumberFormat="0" applyFill="0" applyBorder="0" applyAlignment="0" applyProtection="0"/>
    <xf numFmtId="0" fontId="28" fillId="0" borderId="0" applyNumberFormat="0" applyFill="0" applyBorder="0" applyAlignment="0" applyProtection="0"/>
    <xf numFmtId="0" fontId="28" fillId="0" borderId="0" applyNumberFormat="0" applyFill="0" applyBorder="0" applyAlignment="0" applyProtection="0"/>
    <xf numFmtId="0" fontId="28" fillId="0" borderId="0" applyNumberFormat="0" applyFill="0" applyBorder="0" applyAlignment="0" applyProtection="0"/>
    <xf numFmtId="0" fontId="28" fillId="0" borderId="0" applyNumberFormat="0" applyFill="0" applyBorder="0" applyAlignment="0" applyProtection="0"/>
    <xf numFmtId="0" fontId="28" fillId="0" borderId="0" applyNumberFormat="0" applyFill="0" applyBorder="0" applyAlignment="0" applyProtection="0"/>
    <xf numFmtId="0" fontId="28" fillId="0" borderId="0" applyNumberFormat="0" applyFill="0" applyBorder="0" applyAlignment="0" applyProtection="0"/>
    <xf numFmtId="0" fontId="28" fillId="0" borderId="0" applyNumberFormat="0" applyFill="0" applyBorder="0" applyAlignment="0" applyProtection="0"/>
    <xf numFmtId="0" fontId="28" fillId="0" borderId="0" applyNumberFormat="0" applyFill="0" applyBorder="0" applyAlignment="0" applyProtection="0"/>
    <xf numFmtId="0" fontId="28" fillId="0" borderId="0" applyNumberFormat="0" applyFill="0" applyBorder="0" applyAlignment="0" applyProtection="0"/>
    <xf numFmtId="0" fontId="28" fillId="0" borderId="0" applyNumberFormat="0" applyFill="0" applyBorder="0" applyAlignment="0" applyProtection="0"/>
    <xf numFmtId="0" fontId="28" fillId="0" borderId="0" applyNumberFormat="0" applyFill="0" applyBorder="0" applyAlignment="0" applyProtection="0"/>
    <xf numFmtId="0" fontId="28" fillId="0" borderId="0" applyNumberFormat="0" applyFill="0" applyBorder="0" applyAlignment="0" applyProtection="0"/>
    <xf numFmtId="0" fontId="28" fillId="0" borderId="0" applyNumberFormat="0" applyFill="0" applyBorder="0" applyAlignment="0" applyProtection="0"/>
    <xf numFmtId="0" fontId="28" fillId="0" borderId="0" applyNumberFormat="0" applyFill="0" applyBorder="0" applyAlignment="0" applyProtection="0"/>
    <xf numFmtId="0" fontId="28" fillId="0" borderId="0" applyNumberFormat="0" applyFill="0" applyBorder="0" applyAlignment="0" applyProtection="0"/>
    <xf numFmtId="0" fontId="28" fillId="0" borderId="0" applyNumberFormat="0" applyFill="0" applyBorder="0" applyAlignment="0" applyProtection="0"/>
    <xf numFmtId="0" fontId="28" fillId="0" borderId="0" applyNumberFormat="0" applyFill="0" applyBorder="0" applyAlignment="0" applyProtection="0"/>
    <xf numFmtId="0" fontId="28" fillId="0" borderId="0" applyNumberFormat="0" applyFill="0" applyBorder="0" applyAlignment="0" applyProtection="0"/>
    <xf numFmtId="0" fontId="28" fillId="0" borderId="0" applyNumberFormat="0" applyFill="0" applyBorder="0" applyAlignment="0" applyProtection="0"/>
    <xf numFmtId="0" fontId="28" fillId="0" borderId="0" applyNumberFormat="0" applyFill="0" applyBorder="0" applyAlignment="0" applyProtection="0"/>
    <xf numFmtId="0" fontId="28" fillId="0" borderId="0" applyNumberFormat="0" applyFill="0" applyBorder="0" applyAlignment="0" applyProtection="0"/>
    <xf numFmtId="0" fontId="28" fillId="0" borderId="0" applyNumberFormat="0" applyFill="0" applyBorder="0" applyAlignment="0" applyProtection="0"/>
    <xf numFmtId="0" fontId="28" fillId="0" borderId="0" applyNumberFormat="0" applyFill="0" applyBorder="0" applyAlignment="0" applyProtection="0"/>
    <xf numFmtId="0" fontId="28" fillId="0" borderId="0" applyNumberFormat="0" applyFill="0" applyBorder="0" applyAlignment="0" applyProtection="0"/>
    <xf numFmtId="0" fontId="28" fillId="0" borderId="0" applyNumberFormat="0" applyFill="0" applyBorder="0" applyAlignment="0" applyProtection="0"/>
    <xf numFmtId="0" fontId="28" fillId="0" borderId="0" applyNumberFormat="0" applyFill="0" applyBorder="0" applyAlignment="0" applyProtection="0"/>
    <xf numFmtId="0" fontId="28" fillId="0" borderId="0" applyNumberFormat="0" applyFill="0" applyBorder="0" applyAlignment="0" applyProtection="0"/>
    <xf numFmtId="0" fontId="28" fillId="0" borderId="0" applyNumberFormat="0" applyFill="0" applyBorder="0" applyAlignment="0" applyProtection="0"/>
    <xf numFmtId="0" fontId="28" fillId="0" borderId="0" applyNumberFormat="0" applyFill="0" applyBorder="0" applyAlignment="0" applyProtection="0"/>
    <xf numFmtId="0" fontId="28" fillId="0" borderId="0" applyNumberFormat="0" applyFill="0" applyBorder="0" applyAlignment="0" applyProtection="0"/>
    <xf numFmtId="0" fontId="28" fillId="0" borderId="0" applyNumberFormat="0" applyFill="0" applyBorder="0" applyAlignment="0" applyProtection="0"/>
    <xf numFmtId="0" fontId="28" fillId="0" borderId="0" applyNumberFormat="0" applyFill="0" applyBorder="0" applyAlignment="0" applyProtection="0"/>
    <xf numFmtId="0" fontId="28" fillId="0" borderId="0" applyNumberFormat="0" applyFill="0" applyBorder="0" applyAlignment="0" applyProtection="0"/>
    <xf numFmtId="0" fontId="28" fillId="0" borderId="0" applyNumberFormat="0" applyFill="0" applyBorder="0" applyAlignment="0" applyProtection="0"/>
    <xf numFmtId="0" fontId="28" fillId="0" borderId="0" applyNumberFormat="0" applyFill="0" applyBorder="0" applyAlignment="0" applyProtection="0"/>
    <xf numFmtId="0" fontId="28" fillId="0" borderId="0" applyNumberFormat="0" applyFill="0" applyBorder="0" applyAlignment="0" applyProtection="0"/>
    <xf numFmtId="0" fontId="28" fillId="0" borderId="0" applyNumberFormat="0" applyFill="0" applyBorder="0" applyAlignment="0" applyProtection="0"/>
    <xf numFmtId="0" fontId="28" fillId="0" borderId="0" applyNumberFormat="0" applyFill="0" applyBorder="0" applyAlignment="0" applyProtection="0"/>
    <xf numFmtId="0" fontId="28" fillId="0" borderId="0" applyNumberFormat="0" applyFill="0" applyBorder="0" applyAlignment="0" applyProtection="0"/>
    <xf numFmtId="0" fontId="28" fillId="0" borderId="0" applyNumberFormat="0" applyFill="0" applyBorder="0" applyAlignment="0" applyProtection="0"/>
    <xf numFmtId="0" fontId="28" fillId="0" borderId="0" applyNumberFormat="0" applyFill="0" applyBorder="0" applyAlignment="0" applyProtection="0"/>
    <xf numFmtId="0" fontId="28" fillId="0" borderId="0" applyNumberFormat="0" applyFill="0" applyBorder="0" applyAlignment="0" applyProtection="0"/>
    <xf numFmtId="0" fontId="28" fillId="0" borderId="0" applyNumberFormat="0" applyFill="0" applyBorder="0" applyAlignment="0" applyProtection="0"/>
    <xf numFmtId="0" fontId="28" fillId="0" borderId="0" applyNumberFormat="0" applyFill="0" applyBorder="0" applyAlignment="0" applyProtection="0"/>
    <xf numFmtId="0" fontId="28" fillId="0" borderId="0" applyNumberFormat="0" applyFill="0" applyBorder="0" applyAlignment="0" applyProtection="0"/>
    <xf numFmtId="0" fontId="28" fillId="0" borderId="0" applyNumberFormat="0" applyFill="0" applyBorder="0" applyAlignment="0" applyProtection="0"/>
    <xf numFmtId="0" fontId="28" fillId="0" borderId="0" applyNumberFormat="0" applyFill="0" applyBorder="0" applyAlignment="0" applyProtection="0"/>
    <xf numFmtId="0" fontId="28" fillId="0" borderId="0" applyNumberFormat="0" applyFill="0" applyBorder="0" applyAlignment="0" applyProtection="0"/>
    <xf numFmtId="0" fontId="28" fillId="0" borderId="0" applyNumberFormat="0" applyFill="0" applyBorder="0" applyAlignment="0" applyProtection="0"/>
    <xf numFmtId="0" fontId="28" fillId="0" borderId="0" applyNumberFormat="0" applyFill="0" applyBorder="0" applyAlignment="0" applyProtection="0"/>
    <xf numFmtId="0" fontId="28" fillId="0" borderId="0" applyNumberFormat="0" applyFill="0" applyBorder="0" applyAlignment="0" applyProtection="0"/>
    <xf numFmtId="0" fontId="28" fillId="0" borderId="0" applyNumberFormat="0" applyFill="0" applyBorder="0" applyAlignment="0" applyProtection="0"/>
    <xf numFmtId="0" fontId="28" fillId="0" borderId="0" applyNumberFormat="0" applyFill="0" applyBorder="0" applyAlignment="0" applyProtection="0"/>
    <xf numFmtId="0" fontId="28" fillId="0" borderId="0" applyNumberFormat="0" applyFill="0" applyBorder="0" applyAlignment="0" applyProtection="0"/>
    <xf numFmtId="0" fontId="28" fillId="0" borderId="0" applyNumberFormat="0" applyFill="0" applyBorder="0" applyAlignment="0" applyProtection="0"/>
    <xf numFmtId="0" fontId="28" fillId="0" borderId="0" applyNumberFormat="0" applyFill="0" applyBorder="0" applyAlignment="0" applyProtection="0"/>
    <xf numFmtId="0" fontId="28" fillId="0" borderId="0" applyNumberFormat="0" applyFill="0" applyBorder="0" applyAlignment="0" applyProtection="0"/>
    <xf numFmtId="0" fontId="28" fillId="0" borderId="0" applyNumberFormat="0" applyFill="0" applyBorder="0" applyAlignment="0" applyProtection="0"/>
    <xf numFmtId="0" fontId="28" fillId="0" borderId="0" applyNumberFormat="0" applyFill="0" applyBorder="0" applyAlignment="0" applyProtection="0"/>
    <xf numFmtId="0" fontId="28" fillId="0" borderId="0" applyNumberFormat="0" applyFill="0" applyBorder="0" applyAlignment="0" applyProtection="0"/>
    <xf numFmtId="0" fontId="28" fillId="0" borderId="0" applyNumberFormat="0" applyFill="0" applyBorder="0" applyAlignment="0" applyProtection="0"/>
    <xf numFmtId="0" fontId="28" fillId="0" borderId="0" applyNumberFormat="0" applyFill="0" applyBorder="0" applyAlignment="0" applyProtection="0"/>
    <xf numFmtId="0" fontId="28" fillId="0" borderId="0" applyNumberFormat="0" applyFill="0" applyBorder="0" applyAlignment="0" applyProtection="0"/>
    <xf numFmtId="0" fontId="28" fillId="0" borderId="0" applyNumberFormat="0" applyFill="0" applyBorder="0" applyAlignment="0" applyProtection="0"/>
    <xf numFmtId="0" fontId="28" fillId="0" borderId="0" applyNumberFormat="0" applyFill="0" applyBorder="0" applyAlignment="0" applyProtection="0"/>
    <xf numFmtId="0" fontId="28" fillId="0" borderId="0" applyNumberFormat="0" applyFill="0" applyBorder="0" applyAlignment="0" applyProtection="0"/>
    <xf numFmtId="0" fontId="28" fillId="0" borderId="0" applyNumberFormat="0" applyFill="0" applyBorder="0" applyAlignment="0" applyProtection="0"/>
    <xf numFmtId="0" fontId="28" fillId="0" borderId="0" applyNumberFormat="0" applyFill="0" applyBorder="0" applyAlignment="0" applyProtection="0"/>
    <xf numFmtId="0" fontId="28" fillId="0" borderId="0" applyNumberFormat="0" applyFill="0" applyBorder="0" applyAlignment="0" applyProtection="0"/>
    <xf numFmtId="0" fontId="28" fillId="0" borderId="0" applyNumberFormat="0" applyFill="0" applyBorder="0" applyAlignment="0" applyProtection="0"/>
    <xf numFmtId="0" fontId="28" fillId="0" borderId="0" applyNumberFormat="0" applyFill="0" applyBorder="0" applyAlignment="0" applyProtection="0"/>
    <xf numFmtId="0" fontId="28" fillId="0" borderId="0" applyNumberFormat="0" applyFill="0" applyBorder="0" applyAlignment="0" applyProtection="0"/>
    <xf numFmtId="0" fontId="28" fillId="0" borderId="0" applyNumberFormat="0" applyFill="0" applyBorder="0" applyAlignment="0" applyProtection="0"/>
    <xf numFmtId="0" fontId="28" fillId="0" borderId="0" applyNumberFormat="0" applyFill="0" applyBorder="0" applyAlignment="0" applyProtection="0"/>
    <xf numFmtId="0" fontId="28" fillId="0" borderId="0" applyNumberFormat="0" applyFill="0" applyBorder="0" applyAlignment="0" applyProtection="0"/>
    <xf numFmtId="0" fontId="28" fillId="0" borderId="0" applyNumberFormat="0" applyFill="0" applyBorder="0" applyAlignment="0" applyProtection="0"/>
    <xf numFmtId="0" fontId="28" fillId="0" borderId="0" applyNumberFormat="0" applyFill="0" applyBorder="0" applyAlignment="0" applyProtection="0"/>
    <xf numFmtId="0" fontId="27" fillId="0" borderId="0" applyNumberFormat="0" applyFill="0" applyBorder="0" applyAlignment="0" applyProtection="0"/>
    <xf numFmtId="0" fontId="28" fillId="0" borderId="0" applyNumberFormat="0" applyFill="0" applyBorder="0" applyAlignment="0" applyProtection="0"/>
    <xf numFmtId="0" fontId="27" fillId="0" borderId="0" applyNumberFormat="0" applyFill="0" applyBorder="0" applyAlignment="0" applyProtection="0"/>
    <xf numFmtId="0" fontId="28" fillId="0" borderId="0" applyNumberFormat="0" applyFill="0" applyBorder="0" applyAlignment="0" applyProtection="0"/>
    <xf numFmtId="43" fontId="42" fillId="0" borderId="0" applyFont="0" applyFill="0" applyBorder="0" applyAlignment="0" applyProtection="0"/>
    <xf numFmtId="0" fontId="27" fillId="0" borderId="0" applyNumberFormat="0" applyFill="0" applyBorder="0" applyAlignment="0" applyProtection="0"/>
    <xf numFmtId="9" fontId="42" fillId="0" borderId="0" applyFont="0" applyFill="0" applyBorder="0" applyAlignment="0" applyProtection="0"/>
  </cellStyleXfs>
  <cellXfs count="223">
    <xf numFmtId="0" fontId="0" fillId="0" borderId="0" xfId="0"/>
    <xf numFmtId="0" fontId="30" fillId="3" borderId="7" xfId="0" applyFont="1" applyFill="1" applyBorder="1"/>
    <xf numFmtId="0" fontId="31" fillId="3" borderId="17" xfId="0" applyFont="1" applyFill="1" applyBorder="1"/>
    <xf numFmtId="0" fontId="30" fillId="3" borderId="13" xfId="0" applyFont="1" applyFill="1" applyBorder="1"/>
    <xf numFmtId="0" fontId="32" fillId="3" borderId="7" xfId="0" applyFont="1" applyFill="1" applyBorder="1" applyAlignment="1">
      <alignment vertical="center"/>
    </xf>
    <xf numFmtId="49" fontId="30" fillId="2" borderId="8" xfId="0" applyNumberFormat="1" applyFont="1" applyFill="1" applyBorder="1" applyAlignment="1">
      <alignment horizontal="left"/>
    </xf>
    <xf numFmtId="0" fontId="32" fillId="3" borderId="1" xfId="0" applyFont="1" applyFill="1" applyBorder="1" applyAlignment="1">
      <alignment vertical="center"/>
    </xf>
    <xf numFmtId="0" fontId="30" fillId="3" borderId="14" xfId="0" applyFont="1" applyFill="1" applyBorder="1"/>
    <xf numFmtId="0" fontId="30" fillId="3" borderId="0" xfId="0" applyFont="1" applyFill="1"/>
    <xf numFmtId="0" fontId="29" fillId="2" borderId="0" xfId="0" applyFont="1" applyFill="1" applyAlignment="1">
      <alignment vertical="center"/>
    </xf>
    <xf numFmtId="1" fontId="29" fillId="2" borderId="0" xfId="0" applyNumberFormat="1" applyFont="1" applyFill="1" applyAlignment="1">
      <alignment horizontal="right" vertical="center"/>
    </xf>
    <xf numFmtId="2" fontId="29" fillId="2" borderId="0" xfId="0" applyNumberFormat="1" applyFont="1" applyFill="1" applyAlignment="1">
      <alignment horizontal="right" vertical="center"/>
    </xf>
    <xf numFmtId="0" fontId="29" fillId="2" borderId="0" xfId="0" applyFont="1" applyFill="1"/>
    <xf numFmtId="0" fontId="29" fillId="2" borderId="5" xfId="0" applyFont="1" applyFill="1" applyBorder="1"/>
    <xf numFmtId="0" fontId="29" fillId="2" borderId="9" xfId="0" applyFont="1" applyFill="1" applyBorder="1"/>
    <xf numFmtId="0" fontId="29" fillId="0" borderId="9" xfId="0" applyFont="1" applyBorder="1"/>
    <xf numFmtId="0" fontId="31" fillId="0" borderId="9" xfId="0" applyFont="1" applyBorder="1"/>
    <xf numFmtId="49" fontId="29" fillId="2" borderId="0" xfId="0" applyNumberFormat="1" applyFont="1" applyFill="1"/>
    <xf numFmtId="49" fontId="29" fillId="2" borderId="9" xfId="0" applyNumberFormat="1" applyFont="1" applyFill="1" applyBorder="1"/>
    <xf numFmtId="0" fontId="29" fillId="2" borderId="4" xfId="0" applyFont="1" applyFill="1" applyBorder="1"/>
    <xf numFmtId="0" fontId="31" fillId="0" borderId="0" xfId="0" applyFont="1"/>
    <xf numFmtId="0" fontId="26" fillId="2" borderId="0" xfId="0" applyFont="1" applyFill="1"/>
    <xf numFmtId="0" fontId="30" fillId="0" borderId="0" xfId="0" applyFont="1"/>
    <xf numFmtId="0" fontId="29" fillId="0" borderId="16" xfId="0" applyFont="1" applyBorder="1"/>
    <xf numFmtId="0" fontId="29" fillId="2" borderId="6" xfId="0" applyFont="1" applyFill="1" applyBorder="1"/>
    <xf numFmtId="0" fontId="30" fillId="3" borderId="17" xfId="0" applyFont="1" applyFill="1" applyBorder="1"/>
    <xf numFmtId="0" fontId="30" fillId="3" borderId="2" xfId="0" applyFont="1" applyFill="1" applyBorder="1"/>
    <xf numFmtId="0" fontId="26" fillId="2" borderId="2" xfId="0" applyFont="1" applyFill="1" applyBorder="1"/>
    <xf numFmtId="0" fontId="33" fillId="3" borderId="0" xfId="0" applyFont="1" applyFill="1"/>
    <xf numFmtId="0" fontId="26" fillId="2" borderId="7" xfId="0" applyFont="1" applyFill="1" applyBorder="1"/>
    <xf numFmtId="0" fontId="31" fillId="3" borderId="0" xfId="0" applyFont="1" applyFill="1"/>
    <xf numFmtId="0" fontId="29" fillId="2" borderId="0" xfId="0" applyFont="1" applyFill="1" applyAlignment="1">
      <alignment horizontal="left" vertical="center"/>
    </xf>
    <xf numFmtId="0" fontId="25" fillId="2" borderId="0" xfId="0" applyFont="1" applyFill="1"/>
    <xf numFmtId="0" fontId="25" fillId="2" borderId="3" xfId="0" applyFont="1" applyFill="1" applyBorder="1"/>
    <xf numFmtId="0" fontId="25" fillId="2" borderId="15" xfId="0" applyFont="1" applyFill="1" applyBorder="1"/>
    <xf numFmtId="0" fontId="25" fillId="0" borderId="0" xfId="0" applyFont="1"/>
    <xf numFmtId="0" fontId="25" fillId="2" borderId="6" xfId="0" applyFont="1" applyFill="1" applyBorder="1"/>
    <xf numFmtId="164" fontId="25" fillId="2" borderId="18" xfId="0" applyNumberFormat="1" applyFont="1" applyFill="1" applyBorder="1"/>
    <xf numFmtId="0" fontId="24" fillId="2" borderId="0" xfId="0" applyFont="1" applyFill="1"/>
    <xf numFmtId="0" fontId="24" fillId="2" borderId="3" xfId="0" applyFont="1" applyFill="1" applyBorder="1"/>
    <xf numFmtId="0" fontId="24" fillId="2" borderId="4" xfId="0" applyFont="1" applyFill="1" applyBorder="1"/>
    <xf numFmtId="0" fontId="24" fillId="2" borderId="6" xfId="0" applyFont="1" applyFill="1" applyBorder="1"/>
    <xf numFmtId="2" fontId="24" fillId="2" borderId="0" xfId="0" applyNumberFormat="1" applyFont="1" applyFill="1" applyAlignment="1">
      <alignment horizontal="right" vertical="center"/>
    </xf>
    <xf numFmtId="2" fontId="24" fillId="2" borderId="0" xfId="0" applyNumberFormat="1" applyFont="1" applyFill="1"/>
    <xf numFmtId="10" fontId="24" fillId="2" borderId="0" xfId="0" applyNumberFormat="1" applyFont="1" applyFill="1" applyAlignment="1">
      <alignment horizontal="left" vertical="center" indent="2"/>
    </xf>
    <xf numFmtId="0" fontId="23" fillId="0" borderId="0" xfId="0" applyFont="1"/>
    <xf numFmtId="0" fontId="22" fillId="0" borderId="0" xfId="0" applyFont="1"/>
    <xf numFmtId="0" fontId="21" fillId="2" borderId="0" xfId="0" applyFont="1" applyFill="1"/>
    <xf numFmtId="0" fontId="21" fillId="2" borderId="3" xfId="0" applyFont="1" applyFill="1" applyBorder="1"/>
    <xf numFmtId="0" fontId="21" fillId="2" borderId="4" xfId="0" applyFont="1" applyFill="1" applyBorder="1"/>
    <xf numFmtId="0" fontId="21" fillId="2" borderId="6" xfId="0" applyFont="1" applyFill="1" applyBorder="1"/>
    <xf numFmtId="49" fontId="21" fillId="2" borderId="0" xfId="0" applyNumberFormat="1" applyFont="1" applyFill="1"/>
    <xf numFmtId="49" fontId="21" fillId="2" borderId="4" xfId="0" applyNumberFormat="1" applyFont="1" applyFill="1" applyBorder="1"/>
    <xf numFmtId="0" fontId="21" fillId="2" borderId="16" xfId="0" applyFont="1" applyFill="1" applyBorder="1"/>
    <xf numFmtId="0" fontId="34" fillId="2" borderId="0" xfId="0" applyFont="1" applyFill="1"/>
    <xf numFmtId="0" fontId="34" fillId="2" borderId="3" xfId="0" applyFont="1" applyFill="1" applyBorder="1"/>
    <xf numFmtId="0" fontId="34" fillId="2" borderId="4" xfId="0" applyFont="1" applyFill="1" applyBorder="1"/>
    <xf numFmtId="0" fontId="34" fillId="2" borderId="15" xfId="0" applyFont="1" applyFill="1" applyBorder="1"/>
    <xf numFmtId="0" fontId="35" fillId="2" borderId="0" xfId="0" applyFont="1" applyFill="1"/>
    <xf numFmtId="0" fontId="34" fillId="2" borderId="9" xfId="0" applyFont="1" applyFill="1" applyBorder="1"/>
    <xf numFmtId="0" fontId="35" fillId="2" borderId="9" xfId="0" applyFont="1" applyFill="1" applyBorder="1"/>
    <xf numFmtId="0" fontId="29" fillId="2" borderId="17" xfId="0" applyFont="1" applyFill="1" applyBorder="1"/>
    <xf numFmtId="0" fontId="20" fillId="2" borderId="2" xfId="0" applyFont="1" applyFill="1" applyBorder="1"/>
    <xf numFmtId="0" fontId="29" fillId="2" borderId="7" xfId="0" applyFont="1" applyFill="1" applyBorder="1"/>
    <xf numFmtId="0" fontId="20" fillId="2" borderId="0" xfId="0" applyFont="1" applyFill="1"/>
    <xf numFmtId="0" fontId="36" fillId="2" borderId="0" xfId="0" applyFont="1" applyFill="1"/>
    <xf numFmtId="0" fontId="20" fillId="2" borderId="18" xfId="0" applyFont="1" applyFill="1" applyBorder="1"/>
    <xf numFmtId="0" fontId="20" fillId="4" borderId="0" xfId="0" applyFont="1" applyFill="1"/>
    <xf numFmtId="0" fontId="20" fillId="5" borderId="0" xfId="0" applyFont="1" applyFill="1"/>
    <xf numFmtId="0" fontId="20" fillId="6" borderId="0" xfId="0" applyFont="1" applyFill="1"/>
    <xf numFmtId="0" fontId="20" fillId="7" borderId="0" xfId="0" applyFont="1" applyFill="1"/>
    <xf numFmtId="0" fontId="20" fillId="2" borderId="7" xfId="0" applyFont="1" applyFill="1" applyBorder="1"/>
    <xf numFmtId="0" fontId="20" fillId="8" borderId="0" xfId="0" applyFont="1" applyFill="1"/>
    <xf numFmtId="0" fontId="20" fillId="9" borderId="0" xfId="0" applyFont="1" applyFill="1"/>
    <xf numFmtId="0" fontId="20" fillId="10" borderId="0" xfId="0" applyFont="1" applyFill="1"/>
    <xf numFmtId="0" fontId="20" fillId="11" borderId="0" xfId="0" applyFont="1" applyFill="1"/>
    <xf numFmtId="0" fontId="29" fillId="2" borderId="9" xfId="0" applyFont="1" applyFill="1" applyBorder="1" applyAlignment="1">
      <alignment vertical="center"/>
    </xf>
    <xf numFmtId="165" fontId="24" fillId="2" borderId="0" xfId="0" applyNumberFormat="1" applyFont="1" applyFill="1" applyAlignment="1">
      <alignment vertical="center"/>
    </xf>
    <xf numFmtId="0" fontId="29" fillId="2" borderId="19" xfId="0" applyFont="1" applyFill="1" applyBorder="1"/>
    <xf numFmtId="0" fontId="25" fillId="2" borderId="5" xfId="0" applyFont="1" applyFill="1" applyBorder="1"/>
    <xf numFmtId="0" fontId="30" fillId="2" borderId="0" xfId="0" applyFont="1" applyFill="1"/>
    <xf numFmtId="0" fontId="35" fillId="2" borderId="16" xfId="0" applyFont="1" applyFill="1" applyBorder="1"/>
    <xf numFmtId="0" fontId="34" fillId="2" borderId="19" xfId="0" applyFont="1" applyFill="1" applyBorder="1"/>
    <xf numFmtId="0" fontId="19" fillId="0" borderId="0" xfId="0" applyFont="1"/>
    <xf numFmtId="0" fontId="18" fillId="0" borderId="0" xfId="0" applyFont="1"/>
    <xf numFmtId="0" fontId="18" fillId="2" borderId="18" xfId="0" applyFont="1" applyFill="1" applyBorder="1"/>
    <xf numFmtId="0" fontId="18" fillId="2" borderId="0" xfId="0" applyFont="1" applyFill="1"/>
    <xf numFmtId="0" fontId="18" fillId="2" borderId="6" xfId="0" applyFont="1" applyFill="1" applyBorder="1"/>
    <xf numFmtId="0" fontId="18" fillId="2" borderId="5" xfId="0" applyFont="1" applyFill="1" applyBorder="1"/>
    <xf numFmtId="164" fontId="18" fillId="2" borderId="18" xfId="0" applyNumberFormat="1" applyFont="1" applyFill="1" applyBorder="1"/>
    <xf numFmtId="2" fontId="18" fillId="2" borderId="0" xfId="0" applyNumberFormat="1" applyFont="1" applyFill="1"/>
    <xf numFmtId="164" fontId="18" fillId="2" borderId="0" xfId="0" applyNumberFormat="1" applyFont="1" applyFill="1"/>
    <xf numFmtId="0" fontId="18" fillId="2" borderId="10" xfId="0" applyFont="1" applyFill="1" applyBorder="1"/>
    <xf numFmtId="0" fontId="18" fillId="2" borderId="11" xfId="0" applyFont="1" applyFill="1" applyBorder="1"/>
    <xf numFmtId="0" fontId="18" fillId="2" borderId="12" xfId="0" applyFont="1" applyFill="1" applyBorder="1"/>
    <xf numFmtId="2" fontId="18" fillId="2" borderId="0" xfId="0" applyNumberFormat="1" applyFont="1" applyFill="1" applyAlignment="1">
      <alignment horizontal="right" vertical="center"/>
    </xf>
    <xf numFmtId="1" fontId="18" fillId="2" borderId="0" xfId="0" applyNumberFormat="1" applyFont="1" applyFill="1" applyAlignment="1">
      <alignment horizontal="right" vertical="center"/>
    </xf>
    <xf numFmtId="2" fontId="18" fillId="2" borderId="18" xfId="0" applyNumberFormat="1" applyFont="1" applyFill="1" applyBorder="1" applyAlignment="1">
      <alignment horizontal="right" vertical="center"/>
    </xf>
    <xf numFmtId="1" fontId="34" fillId="2" borderId="0" xfId="0" applyNumberFormat="1" applyFont="1" applyFill="1"/>
    <xf numFmtId="166" fontId="25" fillId="2" borderId="6" xfId="0" applyNumberFormat="1" applyFont="1" applyFill="1" applyBorder="1"/>
    <xf numFmtId="166" fontId="18" fillId="0" borderId="0" xfId="0" applyNumberFormat="1" applyFont="1"/>
    <xf numFmtId="166" fontId="30" fillId="0" borderId="0" xfId="0" applyNumberFormat="1" applyFont="1"/>
    <xf numFmtId="166" fontId="25" fillId="0" borderId="0" xfId="0" applyNumberFormat="1" applyFont="1"/>
    <xf numFmtId="166" fontId="25" fillId="2" borderId="5" xfId="0" applyNumberFormat="1" applyFont="1" applyFill="1" applyBorder="1"/>
    <xf numFmtId="0" fontId="37" fillId="0" borderId="0" xfId="0" applyFont="1"/>
    <xf numFmtId="166" fontId="17" fillId="0" borderId="0" xfId="0" applyNumberFormat="1" applyFont="1"/>
    <xf numFmtId="0" fontId="17" fillId="0" borderId="0" xfId="0" applyFont="1"/>
    <xf numFmtId="0" fontId="16" fillId="2" borderId="0" xfId="0" applyFont="1" applyFill="1"/>
    <xf numFmtId="0" fontId="16" fillId="2" borderId="6" xfId="0" applyFont="1" applyFill="1" applyBorder="1"/>
    <xf numFmtId="2" fontId="16" fillId="2" borderId="18" xfId="0" applyNumberFormat="1" applyFont="1" applyFill="1" applyBorder="1" applyAlignment="1">
      <alignment horizontal="right" vertical="center"/>
    </xf>
    <xf numFmtId="2" fontId="16" fillId="2" borderId="0" xfId="0" applyNumberFormat="1" applyFont="1" applyFill="1"/>
    <xf numFmtId="0" fontId="16" fillId="0" borderId="0" xfId="0" applyFont="1"/>
    <xf numFmtId="166" fontId="16" fillId="2" borderId="18" xfId="0" applyNumberFormat="1" applyFont="1" applyFill="1" applyBorder="1"/>
    <xf numFmtId="166" fontId="15" fillId="0" borderId="0" xfId="0" applyNumberFormat="1" applyFont="1"/>
    <xf numFmtId="0" fontId="14" fillId="0" borderId="0" xfId="0" applyFont="1"/>
    <xf numFmtId="2" fontId="24" fillId="2" borderId="18" xfId="0" applyNumberFormat="1" applyFont="1" applyFill="1" applyBorder="1" applyAlignment="1">
      <alignment horizontal="right" vertical="center"/>
    </xf>
    <xf numFmtId="2" fontId="18" fillId="2" borderId="20" xfId="0" applyNumberFormat="1" applyFont="1" applyFill="1" applyBorder="1" applyAlignment="1">
      <alignment horizontal="right" vertical="center"/>
    </xf>
    <xf numFmtId="0" fontId="37" fillId="12" borderId="18" xfId="0" applyFont="1" applyFill="1" applyBorder="1"/>
    <xf numFmtId="166" fontId="13" fillId="2" borderId="18" xfId="0" applyNumberFormat="1" applyFont="1" applyFill="1" applyBorder="1"/>
    <xf numFmtId="0" fontId="12" fillId="2" borderId="18" xfId="0" applyFont="1" applyFill="1" applyBorder="1"/>
    <xf numFmtId="0" fontId="11" fillId="2" borderId="0" xfId="0" applyFont="1" applyFill="1" applyAlignment="1">
      <alignment vertical="center"/>
    </xf>
    <xf numFmtId="0" fontId="11" fillId="2" borderId="6" xfId="0" applyFont="1" applyFill="1" applyBorder="1" applyAlignment="1">
      <alignment vertical="center"/>
    </xf>
    <xf numFmtId="0" fontId="11" fillId="0" borderId="0" xfId="0" applyFont="1" applyAlignment="1">
      <alignment vertical="center"/>
    </xf>
    <xf numFmtId="0" fontId="30" fillId="0" borderId="0" xfId="0" applyFont="1" applyAlignment="1">
      <alignment vertical="center"/>
    </xf>
    <xf numFmtId="166" fontId="11" fillId="2" borderId="18" xfId="0" applyNumberFormat="1" applyFont="1" applyFill="1" applyBorder="1"/>
    <xf numFmtId="0" fontId="11" fillId="2" borderId="18" xfId="0" applyFont="1" applyFill="1" applyBorder="1" applyAlignment="1">
      <alignment vertical="center"/>
    </xf>
    <xf numFmtId="0" fontId="11" fillId="2" borderId="5" xfId="0" applyFont="1" applyFill="1" applyBorder="1" applyAlignment="1">
      <alignment vertical="center"/>
    </xf>
    <xf numFmtId="164" fontId="11" fillId="2" borderId="18" xfId="0" applyNumberFormat="1" applyFont="1" applyFill="1" applyBorder="1"/>
    <xf numFmtId="0" fontId="40" fillId="2" borderId="0" xfId="0" applyFont="1" applyFill="1" applyAlignment="1">
      <alignment vertical="center"/>
    </xf>
    <xf numFmtId="0" fontId="29" fillId="2" borderId="6" xfId="0" applyFont="1" applyFill="1" applyBorder="1" applyAlignment="1">
      <alignment vertical="center"/>
    </xf>
    <xf numFmtId="2" fontId="11" fillId="2" borderId="18" xfId="0" applyNumberFormat="1" applyFont="1" applyFill="1" applyBorder="1" applyAlignment="1">
      <alignment vertical="center"/>
    </xf>
    <xf numFmtId="0" fontId="29" fillId="0" borderId="0" xfId="0" applyFont="1" applyAlignment="1">
      <alignment vertical="center"/>
    </xf>
    <xf numFmtId="0" fontId="40" fillId="2" borderId="5" xfId="0" applyFont="1" applyFill="1" applyBorder="1" applyAlignment="1">
      <alignment vertical="center"/>
    </xf>
    <xf numFmtId="0" fontId="35" fillId="2" borderId="6" xfId="0" applyFont="1" applyFill="1" applyBorder="1"/>
    <xf numFmtId="1" fontId="18" fillId="2" borderId="18" xfId="0" applyNumberFormat="1" applyFont="1" applyFill="1" applyBorder="1" applyAlignment="1">
      <alignment horizontal="right" vertical="center"/>
    </xf>
    <xf numFmtId="0" fontId="24" fillId="2" borderId="18" xfId="0" applyFont="1" applyFill="1" applyBorder="1"/>
    <xf numFmtId="2" fontId="24" fillId="2" borderId="18" xfId="0" applyNumberFormat="1" applyFont="1" applyFill="1" applyBorder="1"/>
    <xf numFmtId="2" fontId="12" fillId="2" borderId="18" xfId="0" applyNumberFormat="1" applyFont="1" applyFill="1" applyBorder="1"/>
    <xf numFmtId="2" fontId="34" fillId="2" borderId="0" xfId="0" applyNumberFormat="1" applyFont="1" applyFill="1"/>
    <xf numFmtId="0" fontId="35" fillId="2" borderId="7" xfId="0" applyFont="1" applyFill="1" applyBorder="1"/>
    <xf numFmtId="165" fontId="34" fillId="2" borderId="0" xfId="0" applyNumberFormat="1" applyFont="1" applyFill="1"/>
    <xf numFmtId="2" fontId="18" fillId="2" borderId="18" xfId="0" applyNumberFormat="1" applyFont="1" applyFill="1" applyBorder="1"/>
    <xf numFmtId="167" fontId="10" fillId="2" borderId="0" xfId="0" applyNumberFormat="1" applyFont="1" applyFill="1"/>
    <xf numFmtId="0" fontId="41" fillId="2" borderId="0" xfId="0" applyFont="1" applyFill="1"/>
    <xf numFmtId="0" fontId="9" fillId="2" borderId="0" xfId="0" applyFont="1" applyFill="1"/>
    <xf numFmtId="1" fontId="24" fillId="2" borderId="21" xfId="0" applyNumberFormat="1" applyFont="1" applyFill="1" applyBorder="1"/>
    <xf numFmtId="0" fontId="43" fillId="2" borderId="0" xfId="0" applyFont="1" applyFill="1"/>
    <xf numFmtId="0" fontId="8" fillId="2" borderId="0" xfId="0" applyFont="1" applyFill="1"/>
    <xf numFmtId="0" fontId="27" fillId="2" borderId="0" xfId="497" applyFill="1"/>
    <xf numFmtId="168" fontId="34" fillId="2" borderId="0" xfId="496" applyNumberFormat="1" applyFont="1" applyFill="1"/>
    <xf numFmtId="168" fontId="34" fillId="2" borderId="0" xfId="0" applyNumberFormat="1" applyFont="1" applyFill="1"/>
    <xf numFmtId="2" fontId="8" fillId="2" borderId="18" xfId="0" applyNumberFormat="1" applyFont="1" applyFill="1" applyBorder="1" applyAlignment="1">
      <alignment horizontal="right" vertical="center"/>
    </xf>
    <xf numFmtId="0" fontId="8" fillId="2" borderId="18" xfId="0" applyFont="1" applyFill="1" applyBorder="1"/>
    <xf numFmtId="0" fontId="7" fillId="0" borderId="0" xfId="0" applyFont="1"/>
    <xf numFmtId="166" fontId="11" fillId="2" borderId="0" xfId="0" applyNumberFormat="1" applyFont="1" applyFill="1"/>
    <xf numFmtId="0" fontId="6" fillId="0" borderId="0" xfId="0" applyFont="1" applyAlignment="1">
      <alignment vertical="center"/>
    </xf>
    <xf numFmtId="2" fontId="24" fillId="2" borderId="21" xfId="0" applyNumberFormat="1" applyFont="1" applyFill="1" applyBorder="1"/>
    <xf numFmtId="0" fontId="5" fillId="2" borderId="0" xfId="0" applyFont="1" applyFill="1"/>
    <xf numFmtId="0" fontId="44" fillId="13" borderId="2" xfId="0" applyFont="1" applyFill="1" applyBorder="1" applyAlignment="1">
      <alignment horizontal="left" vertical="top"/>
    </xf>
    <xf numFmtId="0" fontId="45" fillId="13" borderId="2" xfId="0" applyFont="1" applyFill="1" applyBorder="1" applyAlignment="1">
      <alignment horizontal="left" vertical="top"/>
    </xf>
    <xf numFmtId="0" fontId="44" fillId="13" borderId="0" xfId="0" applyFont="1" applyFill="1" applyAlignment="1">
      <alignment horizontal="left" vertical="top"/>
    </xf>
    <xf numFmtId="0" fontId="45" fillId="13" borderId="0" xfId="0" applyFont="1" applyFill="1" applyAlignment="1">
      <alignment horizontal="left" vertical="top"/>
    </xf>
    <xf numFmtId="0" fontId="47" fillId="13" borderId="0" xfId="0" applyFont="1" applyFill="1" applyAlignment="1">
      <alignment horizontal="right" vertical="top"/>
    </xf>
    <xf numFmtId="0" fontId="48" fillId="13" borderId="0" xfId="0" applyFont="1" applyFill="1" applyAlignment="1">
      <alignment horizontal="right" vertical="top"/>
    </xf>
    <xf numFmtId="0" fontId="47" fillId="13" borderId="0" xfId="0" applyFont="1" applyFill="1" applyAlignment="1">
      <alignment horizontal="center" vertical="top"/>
    </xf>
    <xf numFmtId="0" fontId="44" fillId="13" borderId="11" xfId="0" applyFont="1" applyFill="1" applyBorder="1" applyAlignment="1">
      <alignment horizontal="left" vertical="top"/>
    </xf>
    <xf numFmtId="0" fontId="45" fillId="13" borderId="11" xfId="0" applyFont="1" applyFill="1" applyBorder="1" applyAlignment="1">
      <alignment horizontal="left" vertical="top"/>
    </xf>
    <xf numFmtId="0" fontId="49" fillId="13" borderId="11" xfId="0" applyFont="1" applyFill="1" applyBorder="1" applyAlignment="1">
      <alignment horizontal="right" vertical="top"/>
    </xf>
    <xf numFmtId="0" fontId="48" fillId="13" borderId="11" xfId="0" applyFont="1" applyFill="1" applyBorder="1" applyAlignment="1">
      <alignment horizontal="right" vertical="top"/>
    </xf>
    <xf numFmtId="0" fontId="50" fillId="13" borderId="11" xfId="0" applyFont="1" applyFill="1" applyBorder="1" applyAlignment="1">
      <alignment horizontal="center" vertical="top"/>
    </xf>
    <xf numFmtId="0" fontId="44" fillId="0" borderId="0" xfId="0" applyFont="1" applyAlignment="1">
      <alignment horizontal="left" vertical="top"/>
    </xf>
    <xf numFmtId="0" fontId="45" fillId="0" borderId="0" xfId="0" applyFont="1" applyAlignment="1">
      <alignment horizontal="left" vertical="top"/>
    </xf>
    <xf numFmtId="0" fontId="50" fillId="0" borderId="0" xfId="0" applyFont="1" applyAlignment="1">
      <alignment horizontal="right" vertical="top"/>
    </xf>
    <xf numFmtId="0" fontId="50" fillId="0" borderId="0" xfId="0" applyFont="1" applyAlignment="1">
      <alignment horizontal="center" vertical="top"/>
    </xf>
    <xf numFmtId="0" fontId="47" fillId="0" borderId="0" xfId="0" applyFont="1" applyAlignment="1">
      <alignment horizontal="left" vertical="top"/>
    </xf>
    <xf numFmtId="0" fontId="50" fillId="0" borderId="0" xfId="0" applyFont="1" applyAlignment="1">
      <alignment horizontal="left" vertical="top"/>
    </xf>
    <xf numFmtId="0" fontId="51" fillId="0" borderId="0" xfId="0" applyFont="1" applyAlignment="1">
      <alignment horizontal="right" vertical="top"/>
    </xf>
    <xf numFmtId="9" fontId="51" fillId="0" borderId="0" xfId="498" applyFont="1" applyBorder="1" applyAlignment="1">
      <alignment horizontal="right" vertical="top"/>
    </xf>
    <xf numFmtId="9" fontId="51" fillId="0" borderId="0" xfId="0" applyNumberFormat="1" applyFont="1" applyAlignment="1">
      <alignment horizontal="right" vertical="top"/>
    </xf>
    <xf numFmtId="164" fontId="51" fillId="0" borderId="0" xfId="0" applyNumberFormat="1" applyFont="1" applyAlignment="1">
      <alignment horizontal="right" vertical="top"/>
    </xf>
    <xf numFmtId="1" fontId="51" fillId="0" borderId="0" xfId="0" applyNumberFormat="1" applyFont="1" applyAlignment="1">
      <alignment horizontal="right" vertical="top"/>
    </xf>
    <xf numFmtId="165" fontId="51" fillId="0" borderId="0" xfId="0" applyNumberFormat="1" applyFont="1" applyAlignment="1">
      <alignment horizontal="right" vertical="top"/>
    </xf>
    <xf numFmtId="2" fontId="51" fillId="0" borderId="0" xfId="0" applyNumberFormat="1" applyFont="1" applyAlignment="1">
      <alignment horizontal="right" vertical="top"/>
    </xf>
    <xf numFmtId="0" fontId="50" fillId="0" borderId="0" xfId="0" applyFont="1"/>
    <xf numFmtId="0" fontId="47" fillId="0" borderId="11" xfId="0" applyFont="1" applyBorder="1" applyAlignment="1">
      <alignment horizontal="left" vertical="top"/>
    </xf>
    <xf numFmtId="0" fontId="50" fillId="0" borderId="11" xfId="0" applyFont="1" applyBorder="1" applyAlignment="1">
      <alignment horizontal="left" vertical="top"/>
    </xf>
    <xf numFmtId="165" fontId="51" fillId="0" borderId="11" xfId="0" applyNumberFormat="1" applyFont="1" applyBorder="1" applyAlignment="1">
      <alignment horizontal="right" vertical="top"/>
    </xf>
    <xf numFmtId="9" fontId="51" fillId="0" borderId="11" xfId="0" applyNumberFormat="1" applyFont="1" applyBorder="1" applyAlignment="1">
      <alignment horizontal="right" vertical="top"/>
    </xf>
    <xf numFmtId="0" fontId="50" fillId="0" borderId="11" xfId="0" applyFont="1" applyBorder="1" applyAlignment="1">
      <alignment horizontal="center" vertical="top"/>
    </xf>
    <xf numFmtId="165" fontId="50" fillId="0" borderId="0" xfId="0" applyNumberFormat="1" applyFont="1"/>
    <xf numFmtId="9" fontId="50" fillId="0" borderId="0" xfId="0" applyNumberFormat="1" applyFont="1"/>
    <xf numFmtId="0" fontId="50" fillId="0" borderId="0" xfId="0" applyFont="1" applyAlignment="1">
      <alignment horizontal="center"/>
    </xf>
    <xf numFmtId="0" fontId="46" fillId="0" borderId="0" xfId="0" applyFont="1" applyAlignment="1">
      <alignment horizontal="left" vertical="center"/>
    </xf>
    <xf numFmtId="0" fontId="51" fillId="0" borderId="0" xfId="0" applyFont="1"/>
    <xf numFmtId="0" fontId="51" fillId="0" borderId="0" xfId="0" applyFont="1" applyAlignment="1">
      <alignment horizontal="left" vertical="center"/>
    </xf>
    <xf numFmtId="0" fontId="46" fillId="0" borderId="0" xfId="0" applyFont="1" applyAlignment="1">
      <alignment horizontal="right" vertical="top"/>
    </xf>
    <xf numFmtId="164" fontId="46" fillId="0" borderId="0" xfId="0" applyNumberFormat="1" applyFont="1" applyAlignment="1">
      <alignment horizontal="right" vertical="top"/>
    </xf>
    <xf numFmtId="1" fontId="46" fillId="0" borderId="0" xfId="0" applyNumberFormat="1" applyFont="1" applyAlignment="1">
      <alignment horizontal="right" vertical="top"/>
    </xf>
    <xf numFmtId="165" fontId="46" fillId="0" borderId="0" xfId="0" applyNumberFormat="1" applyFont="1" applyAlignment="1">
      <alignment horizontal="right" vertical="top"/>
    </xf>
    <xf numFmtId="2" fontId="46" fillId="0" borderId="0" xfId="0" applyNumberFormat="1" applyFont="1" applyAlignment="1">
      <alignment horizontal="right" vertical="top"/>
    </xf>
    <xf numFmtId="165" fontId="46" fillId="0" borderId="11" xfId="0" applyNumberFormat="1" applyFont="1" applyBorder="1" applyAlignment="1">
      <alignment horizontal="right" vertical="top"/>
    </xf>
    <xf numFmtId="0" fontId="46" fillId="13" borderId="2" xfId="497" applyFont="1" applyFill="1" applyBorder="1" applyAlignment="1" applyProtection="1">
      <alignment horizontal="center" vertical="top" wrapText="1"/>
    </xf>
    <xf numFmtId="0" fontId="47" fillId="13" borderId="2" xfId="0" applyFont="1" applyFill="1" applyBorder="1" applyAlignment="1">
      <alignment horizontal="center" vertical="top" wrapText="1"/>
    </xf>
    <xf numFmtId="0" fontId="4" fillId="2" borderId="0" xfId="0" applyFont="1" applyFill="1"/>
    <xf numFmtId="167" fontId="4" fillId="2" borderId="0" xfId="0" applyNumberFormat="1" applyFont="1" applyFill="1"/>
    <xf numFmtId="49" fontId="27" fillId="2" borderId="0" xfId="497" applyNumberFormat="1" applyFill="1"/>
    <xf numFmtId="0" fontId="4" fillId="0" borderId="0" xfId="0" applyFont="1"/>
    <xf numFmtId="165" fontId="12" fillId="2" borderId="18" xfId="0" applyNumberFormat="1" applyFont="1" applyFill="1" applyBorder="1"/>
    <xf numFmtId="0" fontId="54" fillId="2" borderId="0" xfId="0" applyFont="1" applyFill="1"/>
    <xf numFmtId="0" fontId="4" fillId="0" borderId="0" xfId="0" applyFont="1" applyAlignment="1">
      <alignment vertical="center"/>
    </xf>
    <xf numFmtId="0" fontId="3" fillId="0" borderId="0" xfId="0" applyFont="1" applyAlignment="1">
      <alignment vertical="center"/>
    </xf>
    <xf numFmtId="165" fontId="11" fillId="2" borderId="18" xfId="0" applyNumberFormat="1" applyFont="1" applyFill="1" applyBorder="1" applyAlignment="1">
      <alignment vertical="center"/>
    </xf>
    <xf numFmtId="0" fontId="2" fillId="0" borderId="0" xfId="0" applyFont="1"/>
    <xf numFmtId="0" fontId="37" fillId="12" borderId="17" xfId="0" applyFont="1" applyFill="1" applyBorder="1" applyAlignment="1">
      <alignment horizontal="left" vertical="top" wrapText="1"/>
    </xf>
    <xf numFmtId="0" fontId="37" fillId="12" borderId="2" xfId="0" applyFont="1" applyFill="1" applyBorder="1" applyAlignment="1">
      <alignment horizontal="left" vertical="top" wrapText="1"/>
    </xf>
    <xf numFmtId="0" fontId="37" fillId="12" borderId="13" xfId="0" applyFont="1" applyFill="1" applyBorder="1" applyAlignment="1">
      <alignment horizontal="left" vertical="top" wrapText="1"/>
    </xf>
    <xf numFmtId="0" fontId="37" fillId="12" borderId="7" xfId="0" applyFont="1" applyFill="1" applyBorder="1" applyAlignment="1">
      <alignment horizontal="left" vertical="top" wrapText="1"/>
    </xf>
    <xf numFmtId="0" fontId="37" fillId="12" borderId="0" xfId="0" applyFont="1" applyFill="1" applyAlignment="1">
      <alignment horizontal="left" vertical="top" wrapText="1"/>
    </xf>
    <xf numFmtId="0" fontId="37" fillId="12" borderId="8" xfId="0" applyFont="1" applyFill="1" applyBorder="1" applyAlignment="1">
      <alignment horizontal="left" vertical="top" wrapText="1"/>
    </xf>
    <xf numFmtId="0" fontId="37" fillId="12" borderId="1" xfId="0" applyFont="1" applyFill="1" applyBorder="1" applyAlignment="1">
      <alignment horizontal="left" vertical="top" wrapText="1"/>
    </xf>
    <xf numFmtId="0" fontId="37" fillId="12" borderId="9" xfId="0" applyFont="1" applyFill="1" applyBorder="1" applyAlignment="1">
      <alignment horizontal="left" vertical="top" wrapText="1"/>
    </xf>
    <xf numFmtId="0" fontId="37" fillId="12" borderId="14" xfId="0" applyFont="1" applyFill="1" applyBorder="1" applyAlignment="1">
      <alignment horizontal="left" vertical="top" wrapText="1"/>
    </xf>
    <xf numFmtId="0" fontId="1" fillId="0" borderId="0" xfId="0" applyFont="1"/>
  </cellXfs>
  <cellStyles count="499">
    <cellStyle name="Comma" xfId="496" builtinId="3"/>
    <cellStyle name="Followed Hyperlink" xfId="2" builtinId="9" hidden="1"/>
    <cellStyle name="Followed Hyperlink" xfId="4" builtinId="9" hidden="1"/>
    <cellStyle name="Followed Hyperlink" xfId="6" builtinId="9" hidden="1"/>
    <cellStyle name="Followed Hyperlink" xfId="8" builtinId="9" hidden="1"/>
    <cellStyle name="Followed Hyperlink" xfId="10" builtinId="9" hidden="1"/>
    <cellStyle name="Followed Hyperlink" xfId="12" builtinId="9" hidden="1"/>
    <cellStyle name="Followed Hyperlink" xfId="14" builtinId="9" hidden="1"/>
    <cellStyle name="Followed Hyperlink" xfId="16" builtinId="9" hidden="1"/>
    <cellStyle name="Followed Hyperlink" xfId="18" builtinId="9" hidden="1"/>
    <cellStyle name="Followed Hyperlink" xfId="20" builtinId="9" hidden="1"/>
    <cellStyle name="Followed Hyperlink" xfId="22" builtinId="9" hidden="1"/>
    <cellStyle name="Followed Hyperlink" xfId="24" builtinId="9" hidden="1"/>
    <cellStyle name="Followed Hyperlink" xfId="26" builtinId="9" hidden="1"/>
    <cellStyle name="Followed Hyperlink" xfId="28" builtinId="9" hidden="1"/>
    <cellStyle name="Followed Hyperlink" xfId="30" builtinId="9" hidden="1"/>
    <cellStyle name="Followed Hyperlink" xfId="32" builtinId="9" hidden="1"/>
    <cellStyle name="Followed Hyperlink" xfId="34" builtinId="9" hidden="1"/>
    <cellStyle name="Followed Hyperlink" xfId="36" builtinId="9" hidden="1"/>
    <cellStyle name="Followed Hyperlink" xfId="38" builtinId="9" hidden="1"/>
    <cellStyle name="Followed Hyperlink" xfId="40" builtinId="9" hidden="1"/>
    <cellStyle name="Followed Hyperlink" xfId="42" builtinId="9" hidden="1"/>
    <cellStyle name="Followed Hyperlink" xfId="44" builtinId="9" hidden="1"/>
    <cellStyle name="Followed Hyperlink" xfId="46" builtinId="9" hidden="1"/>
    <cellStyle name="Followed Hyperlink" xfId="48" builtinId="9" hidden="1"/>
    <cellStyle name="Followed Hyperlink" xfId="50" builtinId="9" hidden="1"/>
    <cellStyle name="Followed Hyperlink" xfId="52" builtinId="9" hidden="1"/>
    <cellStyle name="Followed Hyperlink" xfId="54" builtinId="9" hidden="1"/>
    <cellStyle name="Followed Hyperlink" xfId="56" builtinId="9" hidden="1"/>
    <cellStyle name="Followed Hyperlink" xfId="58" builtinId="9" hidden="1"/>
    <cellStyle name="Followed Hyperlink" xfId="60" builtinId="9" hidden="1"/>
    <cellStyle name="Followed Hyperlink" xfId="62" builtinId="9" hidden="1"/>
    <cellStyle name="Followed Hyperlink" xfId="64" builtinId="9" hidden="1"/>
    <cellStyle name="Followed Hyperlink" xfId="66" builtinId="9" hidden="1"/>
    <cellStyle name="Followed Hyperlink" xfId="68" builtinId="9" hidden="1"/>
    <cellStyle name="Followed Hyperlink" xfId="70" builtinId="9" hidden="1"/>
    <cellStyle name="Followed Hyperlink" xfId="72" builtinId="9" hidden="1"/>
    <cellStyle name="Followed Hyperlink" xfId="74" builtinId="9" hidden="1"/>
    <cellStyle name="Followed Hyperlink" xfId="76" builtinId="9" hidden="1"/>
    <cellStyle name="Followed Hyperlink" xfId="78" builtinId="9" hidden="1"/>
    <cellStyle name="Followed Hyperlink" xfId="80" builtinId="9" hidden="1"/>
    <cellStyle name="Followed Hyperlink" xfId="82" builtinId="9" hidden="1"/>
    <cellStyle name="Followed Hyperlink" xfId="84" builtinId="9" hidden="1"/>
    <cellStyle name="Followed Hyperlink" xfId="86" builtinId="9" hidden="1"/>
    <cellStyle name="Followed Hyperlink" xfId="88" builtinId="9" hidden="1"/>
    <cellStyle name="Followed Hyperlink" xfId="90" builtinId="9" hidden="1"/>
    <cellStyle name="Followed Hyperlink" xfId="92" builtinId="9" hidden="1"/>
    <cellStyle name="Followed Hyperlink" xfId="94" builtinId="9" hidden="1"/>
    <cellStyle name="Followed Hyperlink" xfId="96" builtinId="9" hidden="1"/>
    <cellStyle name="Followed Hyperlink" xfId="98" builtinId="9" hidden="1"/>
    <cellStyle name="Followed Hyperlink" xfId="100" builtinId="9" hidden="1"/>
    <cellStyle name="Followed Hyperlink" xfId="102" builtinId="9" hidden="1"/>
    <cellStyle name="Followed Hyperlink" xfId="104" builtinId="9" hidden="1"/>
    <cellStyle name="Followed Hyperlink" xfId="106" builtinId="9" hidden="1"/>
    <cellStyle name="Followed Hyperlink" xfId="108" builtinId="9" hidden="1"/>
    <cellStyle name="Followed Hyperlink" xfId="110" builtinId="9" hidden="1"/>
    <cellStyle name="Followed Hyperlink" xfId="112" builtinId="9" hidden="1"/>
    <cellStyle name="Followed Hyperlink" xfId="114" builtinId="9" hidden="1"/>
    <cellStyle name="Followed Hyperlink" xfId="116" builtinId="9" hidden="1"/>
    <cellStyle name="Followed Hyperlink" xfId="118" builtinId="9" hidden="1"/>
    <cellStyle name="Followed Hyperlink" xfId="120" builtinId="9" hidden="1"/>
    <cellStyle name="Followed Hyperlink" xfId="122" builtinId="9" hidden="1"/>
    <cellStyle name="Followed Hyperlink" xfId="124" builtinId="9" hidden="1"/>
    <cellStyle name="Followed Hyperlink" xfId="126" builtinId="9" hidden="1"/>
    <cellStyle name="Followed Hyperlink" xfId="128" builtinId="9" hidden="1"/>
    <cellStyle name="Followed Hyperlink" xfId="130" builtinId="9" hidden="1"/>
    <cellStyle name="Followed Hyperlink" xfId="132" builtinId="9" hidden="1"/>
    <cellStyle name="Followed Hyperlink" xfId="134" builtinId="9" hidden="1"/>
    <cellStyle name="Followed Hyperlink" xfId="136" builtinId="9" hidden="1"/>
    <cellStyle name="Followed Hyperlink" xfId="138" builtinId="9" hidden="1"/>
    <cellStyle name="Followed Hyperlink" xfId="140" builtinId="9" hidden="1"/>
    <cellStyle name="Followed Hyperlink" xfId="142" builtinId="9" hidden="1"/>
    <cellStyle name="Followed Hyperlink" xfId="144" builtinId="9" hidden="1"/>
    <cellStyle name="Followed Hyperlink" xfId="146" builtinId="9" hidden="1"/>
    <cellStyle name="Followed Hyperlink" xfId="148" builtinId="9" hidden="1"/>
    <cellStyle name="Followed Hyperlink" xfId="150" builtinId="9" hidden="1"/>
    <cellStyle name="Followed Hyperlink" xfId="152" builtinId="9" hidden="1"/>
    <cellStyle name="Followed Hyperlink" xfId="154" builtinId="9" hidden="1"/>
    <cellStyle name="Followed Hyperlink" xfId="156" builtinId="9" hidden="1"/>
    <cellStyle name="Followed Hyperlink" xfId="158" builtinId="9" hidden="1"/>
    <cellStyle name="Followed Hyperlink" xfId="160" builtinId="9" hidden="1"/>
    <cellStyle name="Followed Hyperlink" xfId="162" builtinId="9" hidden="1"/>
    <cellStyle name="Followed Hyperlink" xfId="164" builtinId="9" hidden="1"/>
    <cellStyle name="Followed Hyperlink" xfId="166" builtinId="9" hidden="1"/>
    <cellStyle name="Followed Hyperlink" xfId="168" builtinId="9" hidden="1"/>
    <cellStyle name="Followed Hyperlink" xfId="170" builtinId="9" hidden="1"/>
    <cellStyle name="Followed Hyperlink" xfId="172" builtinId="9" hidden="1"/>
    <cellStyle name="Followed Hyperlink" xfId="174" builtinId="9" hidden="1"/>
    <cellStyle name="Followed Hyperlink" xfId="176" builtinId="9" hidden="1"/>
    <cellStyle name="Followed Hyperlink" xfId="177" builtinId="9" hidden="1"/>
    <cellStyle name="Followed Hyperlink" xfId="178" builtinId="9" hidden="1"/>
    <cellStyle name="Followed Hyperlink" xfId="179" builtinId="9" hidden="1"/>
    <cellStyle name="Followed Hyperlink" xfId="180" builtinId="9" hidden="1"/>
    <cellStyle name="Followed Hyperlink" xfId="181" builtinId="9" hidden="1"/>
    <cellStyle name="Followed Hyperlink" xfId="182" builtinId="9" hidden="1"/>
    <cellStyle name="Followed Hyperlink" xfId="183" builtinId="9" hidden="1"/>
    <cellStyle name="Followed Hyperlink" xfId="184" builtinId="9" hidden="1"/>
    <cellStyle name="Followed Hyperlink" xfId="185" builtinId="9" hidden="1"/>
    <cellStyle name="Followed Hyperlink" xfId="186" builtinId="9" hidden="1"/>
    <cellStyle name="Followed Hyperlink" xfId="187" builtinId="9" hidden="1"/>
    <cellStyle name="Followed Hyperlink" xfId="188" builtinId="9" hidden="1"/>
    <cellStyle name="Followed Hyperlink" xfId="189" builtinId="9" hidden="1"/>
    <cellStyle name="Followed Hyperlink" xfId="190" builtinId="9" hidden="1"/>
    <cellStyle name="Followed Hyperlink" xfId="191" builtinId="9" hidden="1"/>
    <cellStyle name="Followed Hyperlink" xfId="192" builtinId="9" hidden="1"/>
    <cellStyle name="Followed Hyperlink" xfId="193" builtinId="9" hidden="1"/>
    <cellStyle name="Followed Hyperlink" xfId="194" builtinId="9" hidden="1"/>
    <cellStyle name="Followed Hyperlink" xfId="195" builtinId="9" hidden="1"/>
    <cellStyle name="Followed Hyperlink" xfId="196" builtinId="9" hidden="1"/>
    <cellStyle name="Followed Hyperlink" xfId="197" builtinId="9" hidden="1"/>
    <cellStyle name="Followed Hyperlink" xfId="198" builtinId="9" hidden="1"/>
    <cellStyle name="Followed Hyperlink" xfId="199" builtinId="9" hidden="1"/>
    <cellStyle name="Followed Hyperlink" xfId="200" builtinId="9" hidden="1"/>
    <cellStyle name="Followed Hyperlink" xfId="201" builtinId="9" hidden="1"/>
    <cellStyle name="Followed Hyperlink" xfId="202" builtinId="9" hidden="1"/>
    <cellStyle name="Followed Hyperlink" xfId="203" builtinId="9" hidden="1"/>
    <cellStyle name="Followed Hyperlink" xfId="204" builtinId="9" hidden="1"/>
    <cellStyle name="Followed Hyperlink" xfId="205" builtinId="9" hidden="1"/>
    <cellStyle name="Followed Hyperlink" xfId="206" builtinId="9" hidden="1"/>
    <cellStyle name="Followed Hyperlink" xfId="207" builtinId="9" hidden="1"/>
    <cellStyle name="Followed Hyperlink" xfId="208" builtinId="9" hidden="1"/>
    <cellStyle name="Followed Hyperlink" xfId="209" builtinId="9" hidden="1"/>
    <cellStyle name="Followed Hyperlink" xfId="210" builtinId="9" hidden="1"/>
    <cellStyle name="Followed Hyperlink" xfId="211" builtinId="9" hidden="1"/>
    <cellStyle name="Followed Hyperlink" xfId="212" builtinId="9" hidden="1"/>
    <cellStyle name="Followed Hyperlink" xfId="213" builtinId="9" hidden="1"/>
    <cellStyle name="Followed Hyperlink" xfId="214" builtinId="9" hidden="1"/>
    <cellStyle name="Followed Hyperlink" xfId="215" builtinId="9" hidden="1"/>
    <cellStyle name="Followed Hyperlink" xfId="216" builtinId="9" hidden="1"/>
    <cellStyle name="Followed Hyperlink" xfId="217" builtinId="9" hidden="1"/>
    <cellStyle name="Followed Hyperlink" xfId="218" builtinId="9" hidden="1"/>
    <cellStyle name="Followed Hyperlink" xfId="219" builtinId="9" hidden="1"/>
    <cellStyle name="Followed Hyperlink" xfId="220" builtinId="9" hidden="1"/>
    <cellStyle name="Followed Hyperlink" xfId="221" builtinId="9" hidden="1"/>
    <cellStyle name="Followed Hyperlink" xfId="222" builtinId="9" hidden="1"/>
    <cellStyle name="Followed Hyperlink" xfId="223" builtinId="9" hidden="1"/>
    <cellStyle name="Followed Hyperlink" xfId="224" builtinId="9" hidden="1"/>
    <cellStyle name="Followed Hyperlink" xfId="225" builtinId="9" hidden="1"/>
    <cellStyle name="Followed Hyperlink" xfId="226" builtinId="9" hidden="1"/>
    <cellStyle name="Followed Hyperlink" xfId="227" builtinId="9" hidden="1"/>
    <cellStyle name="Followed Hyperlink" xfId="228" builtinId="9" hidden="1"/>
    <cellStyle name="Followed Hyperlink" xfId="229" builtinId="9" hidden="1"/>
    <cellStyle name="Followed Hyperlink" xfId="230" builtinId="9" hidden="1"/>
    <cellStyle name="Followed Hyperlink" xfId="231" builtinId="9" hidden="1"/>
    <cellStyle name="Followed Hyperlink" xfId="232" builtinId="9" hidden="1"/>
    <cellStyle name="Followed Hyperlink" xfId="233" builtinId="9" hidden="1"/>
    <cellStyle name="Followed Hyperlink" xfId="234" builtinId="9" hidden="1"/>
    <cellStyle name="Followed Hyperlink" xfId="235" builtinId="9" hidden="1"/>
    <cellStyle name="Followed Hyperlink" xfId="236" builtinId="9" hidden="1"/>
    <cellStyle name="Followed Hyperlink" xfId="237" builtinId="9" hidden="1"/>
    <cellStyle name="Followed Hyperlink" xfId="238" builtinId="9" hidden="1"/>
    <cellStyle name="Followed Hyperlink" xfId="239" builtinId="9" hidden="1"/>
    <cellStyle name="Followed Hyperlink" xfId="240" builtinId="9" hidden="1"/>
    <cellStyle name="Followed Hyperlink" xfId="241" builtinId="9" hidden="1"/>
    <cellStyle name="Followed Hyperlink" xfId="242" builtinId="9" hidden="1"/>
    <cellStyle name="Followed Hyperlink" xfId="243" builtinId="9" hidden="1"/>
    <cellStyle name="Followed Hyperlink" xfId="244" builtinId="9" hidden="1"/>
    <cellStyle name="Followed Hyperlink" xfId="245" builtinId="9" hidden="1"/>
    <cellStyle name="Followed Hyperlink" xfId="246" builtinId="9" hidden="1"/>
    <cellStyle name="Followed Hyperlink" xfId="247" builtinId="9" hidden="1"/>
    <cellStyle name="Followed Hyperlink" xfId="248" builtinId="9" hidden="1"/>
    <cellStyle name="Followed Hyperlink" xfId="249" builtinId="9" hidden="1"/>
    <cellStyle name="Followed Hyperlink" xfId="250" builtinId="9" hidden="1"/>
    <cellStyle name="Followed Hyperlink" xfId="251" builtinId="9" hidden="1"/>
    <cellStyle name="Followed Hyperlink" xfId="252" builtinId="9" hidden="1"/>
    <cellStyle name="Followed Hyperlink" xfId="253" builtinId="9" hidden="1"/>
    <cellStyle name="Followed Hyperlink" xfId="254" builtinId="9" hidden="1"/>
    <cellStyle name="Followed Hyperlink" xfId="255" builtinId="9" hidden="1"/>
    <cellStyle name="Followed Hyperlink" xfId="256" builtinId="9" hidden="1"/>
    <cellStyle name="Followed Hyperlink" xfId="257" builtinId="9" hidden="1"/>
    <cellStyle name="Followed Hyperlink" xfId="258" builtinId="9" hidden="1"/>
    <cellStyle name="Followed Hyperlink" xfId="259" builtinId="9" hidden="1"/>
    <cellStyle name="Followed Hyperlink" xfId="260" builtinId="9" hidden="1"/>
    <cellStyle name="Followed Hyperlink" xfId="261" builtinId="9" hidden="1"/>
    <cellStyle name="Followed Hyperlink" xfId="262" builtinId="9" hidden="1"/>
    <cellStyle name="Followed Hyperlink" xfId="263" builtinId="9" hidden="1"/>
    <cellStyle name="Followed Hyperlink" xfId="264" builtinId="9" hidden="1"/>
    <cellStyle name="Followed Hyperlink" xfId="265" builtinId="9" hidden="1"/>
    <cellStyle name="Followed Hyperlink" xfId="266" builtinId="9" hidden="1"/>
    <cellStyle name="Followed Hyperlink" xfId="267" builtinId="9" hidden="1"/>
    <cellStyle name="Followed Hyperlink" xfId="268" builtinId="9" hidden="1"/>
    <cellStyle name="Followed Hyperlink" xfId="269" builtinId="9" hidden="1"/>
    <cellStyle name="Followed Hyperlink" xfId="270" builtinId="9" hidden="1"/>
    <cellStyle name="Followed Hyperlink" xfId="271" builtinId="9" hidden="1"/>
    <cellStyle name="Followed Hyperlink" xfId="272" builtinId="9" hidden="1"/>
    <cellStyle name="Followed Hyperlink" xfId="273" builtinId="9" hidden="1"/>
    <cellStyle name="Followed Hyperlink" xfId="275" builtinId="9" hidden="1"/>
    <cellStyle name="Followed Hyperlink" xfId="276" builtinId="9" hidden="1"/>
    <cellStyle name="Followed Hyperlink" xfId="277" builtinId="9" hidden="1"/>
    <cellStyle name="Followed Hyperlink" xfId="278" builtinId="9" hidden="1"/>
    <cellStyle name="Followed Hyperlink" xfId="279" builtinId="9" hidden="1"/>
    <cellStyle name="Followed Hyperlink" xfId="280" builtinId="9" hidden="1"/>
    <cellStyle name="Followed Hyperlink" xfId="281" builtinId="9" hidden="1"/>
    <cellStyle name="Followed Hyperlink" xfId="282" builtinId="9" hidden="1"/>
    <cellStyle name="Followed Hyperlink" xfId="283" builtinId="9" hidden="1"/>
    <cellStyle name="Followed Hyperlink" xfId="284" builtinId="9" hidden="1"/>
    <cellStyle name="Followed Hyperlink" xfId="285" builtinId="9" hidden="1"/>
    <cellStyle name="Followed Hyperlink" xfId="286" builtinId="9" hidden="1"/>
    <cellStyle name="Followed Hyperlink" xfId="287" builtinId="9" hidden="1"/>
    <cellStyle name="Followed Hyperlink" xfId="288" builtinId="9" hidden="1"/>
    <cellStyle name="Followed Hyperlink" xfId="289" builtinId="9" hidden="1"/>
    <cellStyle name="Followed Hyperlink" xfId="290" builtinId="9" hidden="1"/>
    <cellStyle name="Followed Hyperlink" xfId="291" builtinId="9" hidden="1"/>
    <cellStyle name="Followed Hyperlink" xfId="292" builtinId="9" hidden="1"/>
    <cellStyle name="Followed Hyperlink" xfId="293" builtinId="9" hidden="1"/>
    <cellStyle name="Followed Hyperlink" xfId="294" builtinId="9" hidden="1"/>
    <cellStyle name="Followed Hyperlink" xfId="295" builtinId="9" hidden="1"/>
    <cellStyle name="Followed Hyperlink" xfId="296" builtinId="9" hidden="1"/>
    <cellStyle name="Followed Hyperlink" xfId="297" builtinId="9" hidden="1"/>
    <cellStyle name="Followed Hyperlink" xfId="298" builtinId="9" hidden="1"/>
    <cellStyle name="Followed Hyperlink" xfId="299" builtinId="9" hidden="1"/>
    <cellStyle name="Followed Hyperlink" xfId="300" builtinId="9" hidden="1"/>
    <cellStyle name="Followed Hyperlink" xfId="301" builtinId="9" hidden="1"/>
    <cellStyle name="Followed Hyperlink" xfId="302" builtinId="9" hidden="1"/>
    <cellStyle name="Followed Hyperlink" xfId="303" builtinId="9" hidden="1"/>
    <cellStyle name="Followed Hyperlink" xfId="304" builtinId="9" hidden="1"/>
    <cellStyle name="Followed Hyperlink" xfId="305" builtinId="9" hidden="1"/>
    <cellStyle name="Followed Hyperlink" xfId="306" builtinId="9" hidden="1"/>
    <cellStyle name="Followed Hyperlink" xfId="307" builtinId="9" hidden="1"/>
    <cellStyle name="Followed Hyperlink" xfId="308" builtinId="9" hidden="1"/>
    <cellStyle name="Followed Hyperlink" xfId="309" builtinId="9" hidden="1"/>
    <cellStyle name="Followed Hyperlink" xfId="310" builtinId="9" hidden="1"/>
    <cellStyle name="Followed Hyperlink" xfId="311" builtinId="9" hidden="1"/>
    <cellStyle name="Followed Hyperlink" xfId="312" builtinId="9" hidden="1"/>
    <cellStyle name="Followed Hyperlink" xfId="313" builtinId="9" hidden="1"/>
    <cellStyle name="Followed Hyperlink" xfId="314" builtinId="9" hidden="1"/>
    <cellStyle name="Followed Hyperlink" xfId="315" builtinId="9" hidden="1"/>
    <cellStyle name="Followed Hyperlink" xfId="316" builtinId="9" hidden="1"/>
    <cellStyle name="Followed Hyperlink" xfId="317" builtinId="9" hidden="1"/>
    <cellStyle name="Followed Hyperlink" xfId="318" builtinId="9" hidden="1"/>
    <cellStyle name="Followed Hyperlink" xfId="319" builtinId="9" hidden="1"/>
    <cellStyle name="Followed Hyperlink" xfId="320" builtinId="9" hidden="1"/>
    <cellStyle name="Followed Hyperlink" xfId="321" builtinId="9" hidden="1"/>
    <cellStyle name="Followed Hyperlink" xfId="322" builtinId="9" hidden="1"/>
    <cellStyle name="Followed Hyperlink" xfId="323" builtinId="9" hidden="1"/>
    <cellStyle name="Followed Hyperlink" xfId="324" builtinId="9" hidden="1"/>
    <cellStyle name="Followed Hyperlink" xfId="325" builtinId="9" hidden="1"/>
    <cellStyle name="Followed Hyperlink" xfId="326" builtinId="9" hidden="1"/>
    <cellStyle name="Followed Hyperlink" xfId="327" builtinId="9" hidden="1"/>
    <cellStyle name="Followed Hyperlink" xfId="328" builtinId="9" hidden="1"/>
    <cellStyle name="Followed Hyperlink" xfId="329" builtinId="9" hidden="1"/>
    <cellStyle name="Followed Hyperlink" xfId="330" builtinId="9" hidden="1"/>
    <cellStyle name="Followed Hyperlink" xfId="331" builtinId="9" hidden="1"/>
    <cellStyle name="Followed Hyperlink" xfId="332" builtinId="9" hidden="1"/>
    <cellStyle name="Followed Hyperlink" xfId="333" builtinId="9" hidden="1"/>
    <cellStyle name="Followed Hyperlink" xfId="334" builtinId="9" hidden="1"/>
    <cellStyle name="Followed Hyperlink" xfId="335" builtinId="9" hidden="1"/>
    <cellStyle name="Followed Hyperlink" xfId="336" builtinId="9" hidden="1"/>
    <cellStyle name="Followed Hyperlink" xfId="337" builtinId="9" hidden="1"/>
    <cellStyle name="Followed Hyperlink" xfId="338" builtinId="9" hidden="1"/>
    <cellStyle name="Followed Hyperlink" xfId="339" builtinId="9" hidden="1"/>
    <cellStyle name="Followed Hyperlink" xfId="340" builtinId="9" hidden="1"/>
    <cellStyle name="Followed Hyperlink" xfId="341" builtinId="9" hidden="1"/>
    <cellStyle name="Followed Hyperlink" xfId="342" builtinId="9" hidden="1"/>
    <cellStyle name="Followed Hyperlink" xfId="343" builtinId="9" hidden="1"/>
    <cellStyle name="Followed Hyperlink" xfId="344" builtinId="9" hidden="1"/>
    <cellStyle name="Followed Hyperlink" xfId="345" builtinId="9" hidden="1"/>
    <cellStyle name="Followed Hyperlink" xfId="346" builtinId="9" hidden="1"/>
    <cellStyle name="Followed Hyperlink" xfId="347" builtinId="9" hidden="1"/>
    <cellStyle name="Followed Hyperlink" xfId="348" builtinId="9" hidden="1"/>
    <cellStyle name="Followed Hyperlink" xfId="349" builtinId="9" hidden="1"/>
    <cellStyle name="Followed Hyperlink" xfId="350" builtinId="9" hidden="1"/>
    <cellStyle name="Followed Hyperlink" xfId="351" builtinId="9" hidden="1"/>
    <cellStyle name="Followed Hyperlink" xfId="352" builtinId="9" hidden="1"/>
    <cellStyle name="Followed Hyperlink" xfId="353" builtinId="9" hidden="1"/>
    <cellStyle name="Followed Hyperlink" xfId="354" builtinId="9" hidden="1"/>
    <cellStyle name="Followed Hyperlink" xfId="355" builtinId="9" hidden="1"/>
    <cellStyle name="Followed Hyperlink" xfId="356" builtinId="9" hidden="1"/>
    <cellStyle name="Followed Hyperlink" xfId="357" builtinId="9" hidden="1"/>
    <cellStyle name="Followed Hyperlink" xfId="358" builtinId="9" hidden="1"/>
    <cellStyle name="Followed Hyperlink" xfId="359" builtinId="9" hidden="1"/>
    <cellStyle name="Followed Hyperlink" xfId="360" builtinId="9" hidden="1"/>
    <cellStyle name="Followed Hyperlink" xfId="361" builtinId="9" hidden="1"/>
    <cellStyle name="Followed Hyperlink" xfId="362" builtinId="9" hidden="1"/>
    <cellStyle name="Followed Hyperlink" xfId="363" builtinId="9" hidden="1"/>
    <cellStyle name="Followed Hyperlink" xfId="364" builtinId="9" hidden="1"/>
    <cellStyle name="Followed Hyperlink" xfId="365" builtinId="9" hidden="1"/>
    <cellStyle name="Followed Hyperlink" xfId="366" builtinId="9" hidden="1"/>
    <cellStyle name="Followed Hyperlink" xfId="367" builtinId="9" hidden="1"/>
    <cellStyle name="Followed Hyperlink" xfId="368" builtinId="9" hidden="1"/>
    <cellStyle name="Followed Hyperlink" xfId="369" builtinId="9" hidden="1"/>
    <cellStyle name="Followed Hyperlink" xfId="370" builtinId="9" hidden="1"/>
    <cellStyle name="Followed Hyperlink" xfId="371" builtinId="9" hidden="1"/>
    <cellStyle name="Followed Hyperlink" xfId="372" builtinId="9" hidden="1"/>
    <cellStyle name="Followed Hyperlink" xfId="373" builtinId="9" hidden="1"/>
    <cellStyle name="Followed Hyperlink" xfId="374" builtinId="9" hidden="1"/>
    <cellStyle name="Followed Hyperlink" xfId="375" builtinId="9" hidden="1"/>
    <cellStyle name="Followed Hyperlink" xfId="376" builtinId="9" hidden="1"/>
    <cellStyle name="Followed Hyperlink" xfId="377" builtinId="9" hidden="1"/>
    <cellStyle name="Followed Hyperlink" xfId="378" builtinId="9" hidden="1"/>
    <cellStyle name="Followed Hyperlink" xfId="379" builtinId="9" hidden="1"/>
    <cellStyle name="Followed Hyperlink" xfId="380" builtinId="9" hidden="1"/>
    <cellStyle name="Followed Hyperlink" xfId="381" builtinId="9" hidden="1"/>
    <cellStyle name="Followed Hyperlink" xfId="382" builtinId="9" hidden="1"/>
    <cellStyle name="Followed Hyperlink" xfId="383" builtinId="9" hidden="1"/>
    <cellStyle name="Followed Hyperlink" xfId="384" builtinId="9" hidden="1"/>
    <cellStyle name="Followed Hyperlink" xfId="385" builtinId="9" hidden="1"/>
    <cellStyle name="Followed Hyperlink" xfId="386" builtinId="9" hidden="1"/>
    <cellStyle name="Followed Hyperlink" xfId="387" builtinId="9" hidden="1"/>
    <cellStyle name="Followed Hyperlink" xfId="388" builtinId="9" hidden="1"/>
    <cellStyle name="Followed Hyperlink" xfId="389" builtinId="9" hidden="1"/>
    <cellStyle name="Followed Hyperlink" xfId="390" builtinId="9" hidden="1"/>
    <cellStyle name="Followed Hyperlink" xfId="391" builtinId="9" hidden="1"/>
    <cellStyle name="Followed Hyperlink" xfId="392" builtinId="9" hidden="1"/>
    <cellStyle name="Followed Hyperlink" xfId="393" builtinId="9" hidden="1"/>
    <cellStyle name="Followed Hyperlink" xfId="394" builtinId="9" hidden="1"/>
    <cellStyle name="Followed Hyperlink" xfId="395" builtinId="9" hidden="1"/>
    <cellStyle name="Followed Hyperlink" xfId="396" builtinId="9" hidden="1"/>
    <cellStyle name="Followed Hyperlink" xfId="397" builtinId="9" hidden="1"/>
    <cellStyle name="Followed Hyperlink" xfId="398" builtinId="9" hidden="1"/>
    <cellStyle name="Followed Hyperlink" xfId="399" builtinId="9" hidden="1"/>
    <cellStyle name="Followed Hyperlink" xfId="400" builtinId="9" hidden="1"/>
    <cellStyle name="Followed Hyperlink" xfId="401" builtinId="9" hidden="1"/>
    <cellStyle name="Followed Hyperlink" xfId="402" builtinId="9" hidden="1"/>
    <cellStyle name="Followed Hyperlink" xfId="403" builtinId="9" hidden="1"/>
    <cellStyle name="Followed Hyperlink" xfId="404" builtinId="9" hidden="1"/>
    <cellStyle name="Followed Hyperlink" xfId="405" builtinId="9" hidden="1"/>
    <cellStyle name="Followed Hyperlink" xfId="406" builtinId="9" hidden="1"/>
    <cellStyle name="Followed Hyperlink" xfId="407" builtinId="9" hidden="1"/>
    <cellStyle name="Followed Hyperlink" xfId="408" builtinId="9" hidden="1"/>
    <cellStyle name="Followed Hyperlink" xfId="409" builtinId="9" hidden="1"/>
    <cellStyle name="Followed Hyperlink" xfId="410" builtinId="9" hidden="1"/>
    <cellStyle name="Followed Hyperlink" xfId="411" builtinId="9" hidden="1"/>
    <cellStyle name="Followed Hyperlink" xfId="412" builtinId="9" hidden="1"/>
    <cellStyle name="Followed Hyperlink" xfId="413" builtinId="9" hidden="1"/>
    <cellStyle name="Followed Hyperlink" xfId="414" builtinId="9" hidden="1"/>
    <cellStyle name="Followed Hyperlink" xfId="415" builtinId="9" hidden="1"/>
    <cellStyle name="Followed Hyperlink" xfId="416" builtinId="9" hidden="1"/>
    <cellStyle name="Followed Hyperlink" xfId="417" builtinId="9" hidden="1"/>
    <cellStyle name="Followed Hyperlink" xfId="418" builtinId="9" hidden="1"/>
    <cellStyle name="Followed Hyperlink" xfId="419" builtinId="9" hidden="1"/>
    <cellStyle name="Followed Hyperlink" xfId="420" builtinId="9" hidden="1"/>
    <cellStyle name="Followed Hyperlink" xfId="421" builtinId="9" hidden="1"/>
    <cellStyle name="Followed Hyperlink" xfId="422" builtinId="9" hidden="1"/>
    <cellStyle name="Followed Hyperlink" xfId="423" builtinId="9" hidden="1"/>
    <cellStyle name="Followed Hyperlink" xfId="424" builtinId="9" hidden="1"/>
    <cellStyle name="Followed Hyperlink" xfId="425" builtinId="9" hidden="1"/>
    <cellStyle name="Followed Hyperlink" xfId="426" builtinId="9" hidden="1"/>
    <cellStyle name="Followed Hyperlink" xfId="427" builtinId="9" hidden="1"/>
    <cellStyle name="Followed Hyperlink" xfId="428" builtinId="9" hidden="1"/>
    <cellStyle name="Followed Hyperlink" xfId="429" builtinId="9" hidden="1"/>
    <cellStyle name="Followed Hyperlink" xfId="430" builtinId="9" hidden="1"/>
    <cellStyle name="Followed Hyperlink" xfId="431" builtinId="9" hidden="1"/>
    <cellStyle name="Followed Hyperlink" xfId="432" builtinId="9" hidden="1"/>
    <cellStyle name="Followed Hyperlink" xfId="433" builtinId="9" hidden="1"/>
    <cellStyle name="Followed Hyperlink" xfId="434" builtinId="9" hidden="1"/>
    <cellStyle name="Followed Hyperlink" xfId="435" builtinId="9" hidden="1"/>
    <cellStyle name="Followed Hyperlink" xfId="436" builtinId="9" hidden="1"/>
    <cellStyle name="Followed Hyperlink" xfId="437" builtinId="9" hidden="1"/>
    <cellStyle name="Followed Hyperlink" xfId="438" builtinId="9" hidden="1"/>
    <cellStyle name="Followed Hyperlink" xfId="439" builtinId="9" hidden="1"/>
    <cellStyle name="Followed Hyperlink" xfId="440" builtinId="9" hidden="1"/>
    <cellStyle name="Followed Hyperlink" xfId="441" builtinId="9" hidden="1"/>
    <cellStyle name="Followed Hyperlink" xfId="442" builtinId="9" hidden="1"/>
    <cellStyle name="Followed Hyperlink" xfId="443" builtinId="9" hidden="1"/>
    <cellStyle name="Followed Hyperlink" xfId="444" builtinId="9" hidden="1"/>
    <cellStyle name="Followed Hyperlink" xfId="445" builtinId="9" hidden="1"/>
    <cellStyle name="Followed Hyperlink" xfId="446" builtinId="9" hidden="1"/>
    <cellStyle name="Followed Hyperlink" xfId="447" builtinId="9" hidden="1"/>
    <cellStyle name="Followed Hyperlink" xfId="448" builtinId="9" hidden="1"/>
    <cellStyle name="Followed Hyperlink" xfId="449" builtinId="9" hidden="1"/>
    <cellStyle name="Followed Hyperlink" xfId="450" builtinId="9" hidden="1"/>
    <cellStyle name="Followed Hyperlink" xfId="451" builtinId="9" hidden="1"/>
    <cellStyle name="Followed Hyperlink" xfId="452" builtinId="9" hidden="1"/>
    <cellStyle name="Followed Hyperlink" xfId="453" builtinId="9" hidden="1"/>
    <cellStyle name="Followed Hyperlink" xfId="454" builtinId="9" hidden="1"/>
    <cellStyle name="Followed Hyperlink" xfId="455" builtinId="9" hidden="1"/>
    <cellStyle name="Followed Hyperlink" xfId="456" builtinId="9" hidden="1"/>
    <cellStyle name="Followed Hyperlink" xfId="457" builtinId="9" hidden="1"/>
    <cellStyle name="Followed Hyperlink" xfId="458" builtinId="9" hidden="1"/>
    <cellStyle name="Followed Hyperlink" xfId="459" builtinId="9" hidden="1"/>
    <cellStyle name="Followed Hyperlink" xfId="460" builtinId="9" hidden="1"/>
    <cellStyle name="Followed Hyperlink" xfId="461" builtinId="9" hidden="1"/>
    <cellStyle name="Followed Hyperlink" xfId="462" builtinId="9" hidden="1"/>
    <cellStyle name="Followed Hyperlink" xfId="463" builtinId="9" hidden="1"/>
    <cellStyle name="Followed Hyperlink" xfId="464" builtinId="9" hidden="1"/>
    <cellStyle name="Followed Hyperlink" xfId="465" builtinId="9" hidden="1"/>
    <cellStyle name="Followed Hyperlink" xfId="466" builtinId="9" hidden="1"/>
    <cellStyle name="Followed Hyperlink" xfId="467" builtinId="9" hidden="1"/>
    <cellStyle name="Followed Hyperlink" xfId="468" builtinId="9" hidden="1"/>
    <cellStyle name="Followed Hyperlink" xfId="469" builtinId="9" hidden="1"/>
    <cellStyle name="Followed Hyperlink" xfId="470" builtinId="9" hidden="1"/>
    <cellStyle name="Followed Hyperlink" xfId="471" builtinId="9" hidden="1"/>
    <cellStyle name="Followed Hyperlink" xfId="472" builtinId="9" hidden="1"/>
    <cellStyle name="Followed Hyperlink" xfId="473" builtinId="9" hidden="1"/>
    <cellStyle name="Followed Hyperlink" xfId="474" builtinId="9" hidden="1"/>
    <cellStyle name="Followed Hyperlink" xfId="475" builtinId="9" hidden="1"/>
    <cellStyle name="Followed Hyperlink" xfId="476" builtinId="9" hidden="1"/>
    <cellStyle name="Followed Hyperlink" xfId="477" builtinId="9" hidden="1"/>
    <cellStyle name="Followed Hyperlink" xfId="478" builtinId="9" hidden="1"/>
    <cellStyle name="Followed Hyperlink" xfId="479" builtinId="9" hidden="1"/>
    <cellStyle name="Followed Hyperlink" xfId="480" builtinId="9" hidden="1"/>
    <cellStyle name="Followed Hyperlink" xfId="481" builtinId="9" hidden="1"/>
    <cellStyle name="Followed Hyperlink" xfId="482" builtinId="9" hidden="1"/>
    <cellStyle name="Followed Hyperlink" xfId="483" builtinId="9" hidden="1"/>
    <cellStyle name="Followed Hyperlink" xfId="484" builtinId="9" hidden="1"/>
    <cellStyle name="Followed Hyperlink" xfId="485" builtinId="9" hidden="1"/>
    <cellStyle name="Followed Hyperlink" xfId="486" builtinId="9" hidden="1"/>
    <cellStyle name="Followed Hyperlink" xfId="487" builtinId="9" hidden="1"/>
    <cellStyle name="Followed Hyperlink" xfId="488" builtinId="9" hidden="1"/>
    <cellStyle name="Followed Hyperlink" xfId="489" builtinId="9" hidden="1"/>
    <cellStyle name="Followed Hyperlink" xfId="490" builtinId="9" hidden="1"/>
    <cellStyle name="Followed Hyperlink" xfId="491" builtinId="9" hidden="1"/>
    <cellStyle name="Followed Hyperlink" xfId="493" builtinId="9" hidden="1"/>
    <cellStyle name="Followed Hyperlink" xfId="495" builtinId="9" hidden="1"/>
    <cellStyle name="Hyperlink" xfId="1" builtinId="8" hidden="1"/>
    <cellStyle name="Hyperlink" xfId="3" builtinId="8" hidden="1"/>
    <cellStyle name="Hyperlink" xfId="5" builtinId="8" hidden="1"/>
    <cellStyle name="Hyperlink" xfId="7" builtinId="8" hidden="1"/>
    <cellStyle name="Hyperlink" xfId="9" builtinId="8" hidden="1"/>
    <cellStyle name="Hyperlink" xfId="11" builtinId="8" hidden="1"/>
    <cellStyle name="Hyperlink" xfId="13" builtinId="8" hidden="1"/>
    <cellStyle name="Hyperlink" xfId="15" builtinId="8" hidden="1"/>
    <cellStyle name="Hyperlink" xfId="17" builtinId="8" hidden="1"/>
    <cellStyle name="Hyperlink" xfId="19" builtinId="8" hidden="1"/>
    <cellStyle name="Hyperlink" xfId="21" builtinId="8" hidden="1"/>
    <cellStyle name="Hyperlink" xfId="23" builtinId="8" hidden="1"/>
    <cellStyle name="Hyperlink" xfId="25" builtinId="8" hidden="1"/>
    <cellStyle name="Hyperlink" xfId="27" builtinId="8" hidden="1"/>
    <cellStyle name="Hyperlink" xfId="29" builtinId="8" hidden="1"/>
    <cellStyle name="Hyperlink" xfId="31" builtinId="8" hidden="1"/>
    <cellStyle name="Hyperlink" xfId="33" builtinId="8" hidden="1"/>
    <cellStyle name="Hyperlink" xfId="35" builtinId="8" hidden="1"/>
    <cellStyle name="Hyperlink" xfId="37" builtinId="8" hidden="1"/>
    <cellStyle name="Hyperlink" xfId="39" builtinId="8" hidden="1"/>
    <cellStyle name="Hyperlink" xfId="41" builtinId="8" hidden="1"/>
    <cellStyle name="Hyperlink" xfId="43" builtinId="8" hidden="1"/>
    <cellStyle name="Hyperlink" xfId="45" builtinId="8" hidden="1"/>
    <cellStyle name="Hyperlink" xfId="47" builtinId="8" hidden="1"/>
    <cellStyle name="Hyperlink" xfId="49" builtinId="8" hidden="1"/>
    <cellStyle name="Hyperlink" xfId="51" builtinId="8" hidden="1"/>
    <cellStyle name="Hyperlink" xfId="53" builtinId="8" hidden="1"/>
    <cellStyle name="Hyperlink" xfId="55" builtinId="8" hidden="1"/>
    <cellStyle name="Hyperlink" xfId="57" builtinId="8" hidden="1"/>
    <cellStyle name="Hyperlink" xfId="59" builtinId="8" hidden="1"/>
    <cellStyle name="Hyperlink" xfId="61" builtinId="8" hidden="1"/>
    <cellStyle name="Hyperlink" xfId="63" builtinId="8" hidden="1"/>
    <cellStyle name="Hyperlink" xfId="65" builtinId="8" hidden="1"/>
    <cellStyle name="Hyperlink" xfId="67" builtinId="8" hidden="1"/>
    <cellStyle name="Hyperlink" xfId="69" builtinId="8" hidden="1"/>
    <cellStyle name="Hyperlink" xfId="71" builtinId="8" hidden="1"/>
    <cellStyle name="Hyperlink" xfId="73" builtinId="8" hidden="1"/>
    <cellStyle name="Hyperlink" xfId="75" builtinId="8" hidden="1"/>
    <cellStyle name="Hyperlink" xfId="77" builtinId="8" hidden="1"/>
    <cellStyle name="Hyperlink" xfId="79" builtinId="8" hidden="1"/>
    <cellStyle name="Hyperlink" xfId="81" builtinId="8" hidden="1"/>
    <cellStyle name="Hyperlink" xfId="83" builtinId="8" hidden="1"/>
    <cellStyle name="Hyperlink" xfId="85" builtinId="8" hidden="1"/>
    <cellStyle name="Hyperlink" xfId="87" builtinId="8" hidden="1"/>
    <cellStyle name="Hyperlink" xfId="89" builtinId="8" hidden="1"/>
    <cellStyle name="Hyperlink" xfId="91" builtinId="8" hidden="1"/>
    <cellStyle name="Hyperlink" xfId="93" builtinId="8" hidden="1"/>
    <cellStyle name="Hyperlink" xfId="95" builtinId="8" hidden="1"/>
    <cellStyle name="Hyperlink" xfId="97" builtinId="8" hidden="1"/>
    <cellStyle name="Hyperlink" xfId="99" builtinId="8" hidden="1"/>
    <cellStyle name="Hyperlink" xfId="101" builtinId="8" hidden="1"/>
    <cellStyle name="Hyperlink" xfId="103" builtinId="8" hidden="1"/>
    <cellStyle name="Hyperlink" xfId="105" builtinId="8" hidden="1"/>
    <cellStyle name="Hyperlink" xfId="107" builtinId="8" hidden="1"/>
    <cellStyle name="Hyperlink" xfId="109" builtinId="8" hidden="1"/>
    <cellStyle name="Hyperlink" xfId="111" builtinId="8" hidden="1"/>
    <cellStyle name="Hyperlink" xfId="113" builtinId="8" hidden="1"/>
    <cellStyle name="Hyperlink" xfId="115" builtinId="8" hidden="1"/>
    <cellStyle name="Hyperlink" xfId="117" builtinId="8" hidden="1"/>
    <cellStyle name="Hyperlink" xfId="119" builtinId="8" hidden="1"/>
    <cellStyle name="Hyperlink" xfId="121" builtinId="8" hidden="1"/>
    <cellStyle name="Hyperlink" xfId="123" builtinId="8" hidden="1"/>
    <cellStyle name="Hyperlink" xfId="125" builtinId="8" hidden="1"/>
    <cellStyle name="Hyperlink" xfId="127" builtinId="8" hidden="1"/>
    <cellStyle name="Hyperlink" xfId="129" builtinId="8" hidden="1"/>
    <cellStyle name="Hyperlink" xfId="131" builtinId="8" hidden="1"/>
    <cellStyle name="Hyperlink" xfId="133" builtinId="8" hidden="1"/>
    <cellStyle name="Hyperlink" xfId="135" builtinId="8" hidden="1"/>
    <cellStyle name="Hyperlink" xfId="137" builtinId="8" hidden="1"/>
    <cellStyle name="Hyperlink" xfId="139" builtinId="8" hidden="1"/>
    <cellStyle name="Hyperlink" xfId="141" builtinId="8" hidden="1"/>
    <cellStyle name="Hyperlink" xfId="143" builtinId="8" hidden="1"/>
    <cellStyle name="Hyperlink" xfId="145" builtinId="8" hidden="1"/>
    <cellStyle name="Hyperlink" xfId="147" builtinId="8" hidden="1"/>
    <cellStyle name="Hyperlink" xfId="149" builtinId="8" hidden="1"/>
    <cellStyle name="Hyperlink" xfId="151" builtinId="8" hidden="1"/>
    <cellStyle name="Hyperlink" xfId="153" builtinId="8" hidden="1"/>
    <cellStyle name="Hyperlink" xfId="155" builtinId="8" hidden="1"/>
    <cellStyle name="Hyperlink" xfId="157" builtinId="8" hidden="1"/>
    <cellStyle name="Hyperlink" xfId="159" builtinId="8" hidden="1"/>
    <cellStyle name="Hyperlink" xfId="161" builtinId="8" hidden="1"/>
    <cellStyle name="Hyperlink" xfId="163" builtinId="8" hidden="1"/>
    <cellStyle name="Hyperlink" xfId="165" builtinId="8" hidden="1"/>
    <cellStyle name="Hyperlink" xfId="167" builtinId="8" hidden="1"/>
    <cellStyle name="Hyperlink" xfId="169" builtinId="8" hidden="1"/>
    <cellStyle name="Hyperlink" xfId="171" builtinId="8" hidden="1"/>
    <cellStyle name="Hyperlink" xfId="173" builtinId="8" hidden="1"/>
    <cellStyle name="Hyperlink" xfId="175" builtinId="8" hidden="1"/>
    <cellStyle name="Hyperlink" xfId="492" builtinId="8" hidden="1"/>
    <cellStyle name="Hyperlink" xfId="494" builtinId="8" hidden="1"/>
    <cellStyle name="Hyperlink" xfId="497" builtinId="8"/>
    <cellStyle name="Normal" xfId="0" builtinId="0"/>
    <cellStyle name="Normal 2" xfId="274" xr:uid="{00000000-0005-0000-0000-0000EF010000}"/>
    <cellStyle name="Per cent" xfId="498" builtinId="5"/>
  </cellStyles>
  <dxfs count="0"/>
  <tableStyles count="0" defaultTableStyle="TableStyleMedium9" defaultPivotStyle="PivotStyleMedium4"/>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externalLink" Target="externalLinks/externalLink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externalLink" Target="externalLinks/externalLink1.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 Id="rId5" Type="http://schemas.openxmlformats.org/officeDocument/2006/relationships/image" Target="../media/image5.png"/><Relationship Id="rId4"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twoCellAnchor editAs="oneCell">
    <xdr:from>
      <xdr:col>13</xdr:col>
      <xdr:colOff>10160</xdr:colOff>
      <xdr:row>130</xdr:row>
      <xdr:rowOff>30480</xdr:rowOff>
    </xdr:from>
    <xdr:to>
      <xdr:col>18</xdr:col>
      <xdr:colOff>234149</xdr:colOff>
      <xdr:row>132</xdr:row>
      <xdr:rowOff>67999</xdr:rowOff>
    </xdr:to>
    <xdr:pic>
      <xdr:nvPicPr>
        <xdr:cNvPr id="10" name="Picture 9">
          <a:extLst>
            <a:ext uri="{FF2B5EF4-FFF2-40B4-BE49-F238E27FC236}">
              <a16:creationId xmlns:a16="http://schemas.microsoft.com/office/drawing/2014/main" id="{181D51DF-445B-B248-B9E2-64126A8865C9}"/>
            </a:ext>
          </a:extLst>
        </xdr:cNvPr>
        <xdr:cNvPicPr>
          <a:picLocks noChangeAspect="1"/>
        </xdr:cNvPicPr>
      </xdr:nvPicPr>
      <xdr:blipFill>
        <a:blip xmlns:r="http://schemas.openxmlformats.org/officeDocument/2006/relationships" r:embed="rId1"/>
        <a:stretch>
          <a:fillRect/>
        </a:stretch>
      </xdr:blipFill>
      <xdr:spPr>
        <a:xfrm>
          <a:off x="16235680" y="27035760"/>
          <a:ext cx="7752549" cy="443919"/>
        </a:xfrm>
        <a:prstGeom prst="rect">
          <a:avLst/>
        </a:prstGeom>
      </xdr:spPr>
    </xdr:pic>
    <xdr:clientData/>
  </xdr:twoCellAnchor>
  <xdr:twoCellAnchor editAs="oneCell">
    <xdr:from>
      <xdr:col>13</xdr:col>
      <xdr:colOff>10160</xdr:colOff>
      <xdr:row>133</xdr:row>
      <xdr:rowOff>30480</xdr:rowOff>
    </xdr:from>
    <xdr:to>
      <xdr:col>20</xdr:col>
      <xdr:colOff>69775</xdr:colOff>
      <xdr:row>143</xdr:row>
      <xdr:rowOff>96521</xdr:rowOff>
    </xdr:to>
    <xdr:pic>
      <xdr:nvPicPr>
        <xdr:cNvPr id="11" name="Picture 10">
          <a:extLst>
            <a:ext uri="{FF2B5EF4-FFF2-40B4-BE49-F238E27FC236}">
              <a16:creationId xmlns:a16="http://schemas.microsoft.com/office/drawing/2014/main" id="{2A877561-6880-5A4C-968E-75D3B3795D1B}"/>
            </a:ext>
          </a:extLst>
        </xdr:cNvPr>
        <xdr:cNvPicPr>
          <a:picLocks noChangeAspect="1"/>
        </xdr:cNvPicPr>
      </xdr:nvPicPr>
      <xdr:blipFill>
        <a:blip xmlns:r="http://schemas.openxmlformats.org/officeDocument/2006/relationships" r:embed="rId2"/>
        <a:stretch>
          <a:fillRect/>
        </a:stretch>
      </xdr:blipFill>
      <xdr:spPr>
        <a:xfrm>
          <a:off x="16235680" y="27645360"/>
          <a:ext cx="9518575" cy="2098041"/>
        </a:xfrm>
        <a:prstGeom prst="rect">
          <a:avLst/>
        </a:prstGeom>
      </xdr:spPr>
    </xdr:pic>
    <xdr:clientData/>
  </xdr:twoCellAnchor>
  <xdr:twoCellAnchor editAs="oneCell">
    <xdr:from>
      <xdr:col>13</xdr:col>
      <xdr:colOff>1859280</xdr:colOff>
      <xdr:row>8</xdr:row>
      <xdr:rowOff>132080</xdr:rowOff>
    </xdr:from>
    <xdr:to>
      <xdr:col>22</xdr:col>
      <xdr:colOff>410464</xdr:colOff>
      <xdr:row>34</xdr:row>
      <xdr:rowOff>210625</xdr:rowOff>
    </xdr:to>
    <xdr:pic>
      <xdr:nvPicPr>
        <xdr:cNvPr id="12" name="Picture 11">
          <a:extLst>
            <a:ext uri="{FF2B5EF4-FFF2-40B4-BE49-F238E27FC236}">
              <a16:creationId xmlns:a16="http://schemas.microsoft.com/office/drawing/2014/main" id="{546E3A4B-388B-854B-A7A3-858F4BA75891}"/>
            </a:ext>
          </a:extLst>
        </xdr:cNvPr>
        <xdr:cNvPicPr>
          <a:picLocks noChangeAspect="1"/>
        </xdr:cNvPicPr>
      </xdr:nvPicPr>
      <xdr:blipFill>
        <a:blip xmlns:r="http://schemas.openxmlformats.org/officeDocument/2006/relationships" r:embed="rId3"/>
        <a:stretch>
          <a:fillRect/>
        </a:stretch>
      </xdr:blipFill>
      <xdr:spPr>
        <a:xfrm>
          <a:off x="15748000" y="1828800"/>
          <a:ext cx="8284464" cy="5625905"/>
        </a:xfrm>
        <a:prstGeom prst="rect">
          <a:avLst/>
        </a:prstGeom>
      </xdr:spPr>
    </xdr:pic>
    <xdr:clientData/>
  </xdr:twoCellAnchor>
  <xdr:twoCellAnchor editAs="oneCell">
    <xdr:from>
      <xdr:col>13</xdr:col>
      <xdr:colOff>0</xdr:colOff>
      <xdr:row>37</xdr:row>
      <xdr:rowOff>0</xdr:rowOff>
    </xdr:from>
    <xdr:to>
      <xdr:col>20</xdr:col>
      <xdr:colOff>238294</xdr:colOff>
      <xdr:row>47</xdr:row>
      <xdr:rowOff>166255</xdr:rowOff>
    </xdr:to>
    <xdr:pic>
      <xdr:nvPicPr>
        <xdr:cNvPr id="13" name="Picture 12">
          <a:extLst>
            <a:ext uri="{FF2B5EF4-FFF2-40B4-BE49-F238E27FC236}">
              <a16:creationId xmlns:a16="http://schemas.microsoft.com/office/drawing/2014/main" id="{0B085DF7-882F-E941-9A22-870122E84E17}"/>
            </a:ext>
          </a:extLst>
        </xdr:cNvPr>
        <xdr:cNvPicPr>
          <a:picLocks noChangeAspect="1"/>
        </xdr:cNvPicPr>
      </xdr:nvPicPr>
      <xdr:blipFill>
        <a:blip xmlns:r="http://schemas.openxmlformats.org/officeDocument/2006/relationships" r:embed="rId4"/>
        <a:stretch>
          <a:fillRect/>
        </a:stretch>
      </xdr:blipFill>
      <xdr:spPr>
        <a:xfrm>
          <a:off x="15961360" y="7457440"/>
          <a:ext cx="9697254" cy="2299855"/>
        </a:xfrm>
        <a:prstGeom prst="rect">
          <a:avLst/>
        </a:prstGeom>
      </xdr:spPr>
    </xdr:pic>
    <xdr:clientData/>
  </xdr:twoCellAnchor>
  <xdr:twoCellAnchor editAs="oneCell">
    <xdr:from>
      <xdr:col>13</xdr:col>
      <xdr:colOff>0</xdr:colOff>
      <xdr:row>98</xdr:row>
      <xdr:rowOff>0</xdr:rowOff>
    </xdr:from>
    <xdr:to>
      <xdr:col>19</xdr:col>
      <xdr:colOff>510811</xdr:colOff>
      <xdr:row>128</xdr:row>
      <xdr:rowOff>16190</xdr:rowOff>
    </xdr:to>
    <xdr:pic>
      <xdr:nvPicPr>
        <xdr:cNvPr id="14" name="Picture 13">
          <a:extLst>
            <a:ext uri="{FF2B5EF4-FFF2-40B4-BE49-F238E27FC236}">
              <a16:creationId xmlns:a16="http://schemas.microsoft.com/office/drawing/2014/main" id="{ABA79A79-EA71-6649-8D13-90B96F9BA8A6}"/>
            </a:ext>
          </a:extLst>
        </xdr:cNvPr>
        <xdr:cNvPicPr>
          <a:picLocks noChangeAspect="1"/>
        </xdr:cNvPicPr>
      </xdr:nvPicPr>
      <xdr:blipFill>
        <a:blip xmlns:r="http://schemas.openxmlformats.org/officeDocument/2006/relationships" r:embed="rId5"/>
        <a:stretch>
          <a:fillRect/>
        </a:stretch>
      </xdr:blipFill>
      <xdr:spPr>
        <a:xfrm>
          <a:off x="16225520" y="20502880"/>
          <a:ext cx="9004571" cy="6112190"/>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Users/dorinevandervlies/Projects/etdataset/nodes_source_analyses/industry/6_residences_analysis.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Users/robterwel/Downloads/01D_Current_Central_Hydrogen_Production_from_Natural_Gas_without_CO2_Sequestration_version_3.1.xlsm"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ver Sheet"/>
      <sheetName val="Changelog"/>
      <sheetName val="Contents"/>
      <sheetName val="Introduction"/>
      <sheetName val="Dataflow"/>
      <sheetName val="Assumptions"/>
      <sheetName val="Dashboard"/>
      <sheetName val="Corrected energy balance step 2"/>
      <sheetName val="technical_specs"/>
      <sheetName val="Application Shares"/>
      <sheetName val="Technology Shares"/>
      <sheetName val="Houses Shares"/>
      <sheetName val="Final demand per energy carrier"/>
      <sheetName val="Technology split final demand"/>
      <sheetName val="Electricity producer Shares"/>
      <sheetName val="Fuel aggregation"/>
      <sheetName val="Useful-final demand percentage"/>
      <sheetName val="csv_final_demand_coal"/>
      <sheetName val="csv_final_demand_crude_oil"/>
      <sheetName val="csv_final_demand_network_gas"/>
      <sheetName val="csv_final_demand_woodpellets"/>
      <sheetName val="csv_final_demand_electricity"/>
      <sheetName val="csv_final_demand_steam"/>
      <sheetName val="csv_cooling_electricity"/>
      <sheetName val="csv_heating_network_gas"/>
      <sheetName val="csv_heating_electricity"/>
      <sheetName val="csv_heating_heat_pump"/>
      <sheetName val="csv_water_network_gas"/>
      <sheetName val="csv_water_electricity"/>
      <sheetName val="csv_cooking_electricity"/>
      <sheetName val="csv_lighting_electricity"/>
      <sheetName val="csv_appliances_electricity"/>
      <sheetName val="csv_solar_thermal_heater"/>
      <sheetName val="csv_cooling_old-new"/>
      <sheetName val="csv_heating_old-new"/>
      <sheetName val="csv_cooling_insulation_old"/>
      <sheetName val="csv_cooling_insulation_new"/>
      <sheetName val="csv_heating_insulation_new"/>
      <sheetName val="csv_heating_insulation_old"/>
      <sheetName val="csv_heating_micro_chp_gas"/>
      <sheetName val="csv_water_micro_chp_gas"/>
      <sheetName val="csv_water_fuell_cell_gas"/>
      <sheetName val="csv_solar_space_heating_chld"/>
      <sheetName val="csv_solar_hot_water_chld"/>
      <sheetName val="csv_add_on_space_heating_child"/>
      <sheetName val="csv_add_on_hot water_child"/>
      <sheetName val="csv_hot_water_from_el_add_on"/>
      <sheetName val="csv_export_to_area_analysi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ow r="11">
          <cell r="L11">
            <v>0</v>
          </cell>
        </row>
      </sheetData>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itle"/>
      <sheetName val="Description"/>
      <sheetName val="ProcessFlow"/>
      <sheetName val="Input_Sheet_Template"/>
      <sheetName val="Replacement Costs"/>
      <sheetName val="Capital Costs"/>
      <sheetName val="Plant Scaling"/>
      <sheetName val="Carbon Sequestration"/>
      <sheetName val="Results"/>
      <sheetName val="Tornado Charts"/>
      <sheetName val="Cash Flow Analysis"/>
      <sheetName val="Energy Feed &amp; Utility Prices"/>
      <sheetName val="Non-Energy Material Prices"/>
      <sheetName val="AEO Data"/>
      <sheetName val="HyARC Physical Property Data"/>
      <sheetName val="Debt Financing Calculations"/>
      <sheetName val="Depreciation"/>
      <sheetName val="Constants and Conversions"/>
      <sheetName val="Lists"/>
      <sheetName val="ProcessFlow - blank"/>
      <sheetName val="Description - blank"/>
      <sheetName val="Title - blank"/>
    </sheetNames>
    <sheetDataSet>
      <sheetData sheetId="0"/>
      <sheetData sheetId="1"/>
      <sheetData sheetId="2"/>
      <sheetData sheetId="3"/>
      <sheetData sheetId="4"/>
      <sheetData sheetId="5"/>
      <sheetData sheetId="6"/>
      <sheetData sheetId="7"/>
      <sheetData sheetId="8"/>
      <sheetData sheetId="9">
        <row r="48">
          <cell r="I48">
            <v>1</v>
          </cell>
        </row>
      </sheetData>
      <sheetData sheetId="10"/>
      <sheetData sheetId="11"/>
      <sheetData sheetId="12"/>
      <sheetData sheetId="13"/>
      <sheetData sheetId="14"/>
      <sheetData sheetId="15"/>
      <sheetData sheetId="16"/>
      <sheetData sheetId="17"/>
      <sheetData sheetId="18"/>
      <sheetData sheetId="19"/>
      <sheetData sheetId="20"/>
      <sheetData sheetId="2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4.xml.rels><?xml version="1.0" encoding="UTF-8" standalone="yes"?>
<Relationships xmlns="http://schemas.openxmlformats.org/package/2006/relationships"><Relationship Id="rId3" Type="http://schemas.openxmlformats.org/officeDocument/2006/relationships/hyperlink" Target="https://refman.energytransitionmodel.com/publications/2218" TargetMode="External"/><Relationship Id="rId2" Type="http://schemas.openxmlformats.org/officeDocument/2006/relationships/hyperlink" Target="https://energy.nl/data/upgrade-of-pyrolysis-bio-oil-from-fast-pyrolysis-to-biofuels/" TargetMode="External"/><Relationship Id="rId1" Type="http://schemas.openxmlformats.org/officeDocument/2006/relationships/hyperlink" Target="https://energy.nl/data/production-of-pyrolysis-bio-oil-from-solid-biomass-via-fast-pyrolysis/" TargetMode="External"/><Relationship Id="rId4" Type="http://schemas.openxmlformats.org/officeDocument/2006/relationships/hyperlink" Target="https://refman.energytransitionmodel.com/publications/2219" TargetMode="Externa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tabColor theme="0"/>
  </sheetPr>
  <dimension ref="A1:C23"/>
  <sheetViews>
    <sheetView workbookViewId="0">
      <selection activeCell="N52" sqref="N52"/>
    </sheetView>
  </sheetViews>
  <sheetFormatPr baseColWidth="10" defaultColWidth="10.83203125" defaultRowHeight="16"/>
  <cols>
    <col min="1" max="1" width="3.5" style="29" customWidth="1"/>
    <col min="2" max="2" width="11.5" style="21" customWidth="1"/>
    <col min="3" max="3" width="38.5" style="21" customWidth="1"/>
    <col min="4" max="16384" width="10.83203125" style="21"/>
  </cols>
  <sheetData>
    <row r="1" spans="1:3" s="27" customFormat="1">
      <c r="A1" s="25"/>
      <c r="B1" s="26"/>
      <c r="C1" s="26"/>
    </row>
    <row r="2" spans="1:3" ht="21">
      <c r="A2" s="1"/>
      <c r="B2" s="28" t="s">
        <v>9</v>
      </c>
      <c r="C2" s="28"/>
    </row>
    <row r="3" spans="1:3">
      <c r="A3" s="1"/>
      <c r="B3" s="8"/>
      <c r="C3" s="8"/>
    </row>
    <row r="4" spans="1:3">
      <c r="A4" s="1"/>
      <c r="B4" s="2" t="s">
        <v>10</v>
      </c>
      <c r="C4" s="3" t="s">
        <v>196</v>
      </c>
    </row>
    <row r="5" spans="1:3">
      <c r="A5" s="1"/>
      <c r="B5" s="4" t="s">
        <v>40</v>
      </c>
      <c r="C5" s="5" t="s">
        <v>100</v>
      </c>
    </row>
    <row r="6" spans="1:3">
      <c r="A6" s="1"/>
      <c r="B6" s="6" t="s">
        <v>12</v>
      </c>
      <c r="C6" s="7" t="s">
        <v>13</v>
      </c>
    </row>
    <row r="7" spans="1:3">
      <c r="A7" s="1"/>
      <c r="B7" s="8"/>
      <c r="C7" s="8"/>
    </row>
    <row r="8" spans="1:3">
      <c r="A8" s="1"/>
      <c r="B8" s="8"/>
      <c r="C8" s="8"/>
    </row>
    <row r="9" spans="1:3">
      <c r="A9" s="1"/>
      <c r="B9" s="61" t="s">
        <v>25</v>
      </c>
      <c r="C9" s="62"/>
    </row>
    <row r="10" spans="1:3">
      <c r="A10" s="1"/>
      <c r="B10" s="63"/>
      <c r="C10" s="64"/>
    </row>
    <row r="11" spans="1:3">
      <c r="A11" s="1"/>
      <c r="B11" s="63" t="s">
        <v>26</v>
      </c>
      <c r="C11" s="65" t="s">
        <v>27</v>
      </c>
    </row>
    <row r="12" spans="1:3" ht="17" thickBot="1">
      <c r="A12" s="1"/>
      <c r="B12" s="63"/>
      <c r="C12" s="12" t="s">
        <v>28</v>
      </c>
    </row>
    <row r="13" spans="1:3" ht="17" thickBot="1">
      <c r="A13" s="1"/>
      <c r="B13" s="63"/>
      <c r="C13" s="66" t="s">
        <v>29</v>
      </c>
    </row>
    <row r="14" spans="1:3">
      <c r="A14" s="1"/>
      <c r="B14" s="63"/>
      <c r="C14" s="64" t="s">
        <v>30</v>
      </c>
    </row>
    <row r="15" spans="1:3">
      <c r="A15" s="1"/>
      <c r="B15" s="63"/>
      <c r="C15" s="64"/>
    </row>
    <row r="16" spans="1:3">
      <c r="A16" s="1"/>
      <c r="B16" s="63" t="s">
        <v>31</v>
      </c>
      <c r="C16" s="67" t="s">
        <v>32</v>
      </c>
    </row>
    <row r="17" spans="1:3">
      <c r="A17" s="1"/>
      <c r="B17" s="63"/>
      <c r="C17" s="68" t="s">
        <v>33</v>
      </c>
    </row>
    <row r="18" spans="1:3">
      <c r="A18" s="1"/>
      <c r="B18" s="63"/>
      <c r="C18" s="69" t="s">
        <v>34</v>
      </c>
    </row>
    <row r="19" spans="1:3">
      <c r="A19" s="1"/>
      <c r="B19" s="63"/>
      <c r="C19" s="70" t="s">
        <v>35</v>
      </c>
    </row>
    <row r="20" spans="1:3">
      <c r="A20" s="1"/>
      <c r="B20" s="71"/>
      <c r="C20" s="72" t="s">
        <v>36</v>
      </c>
    </row>
    <row r="21" spans="1:3">
      <c r="A21" s="1"/>
      <c r="B21" s="71"/>
      <c r="C21" s="73" t="s">
        <v>37</v>
      </c>
    </row>
    <row r="22" spans="1:3">
      <c r="A22" s="1"/>
      <c r="B22" s="71"/>
      <c r="C22" s="74" t="s">
        <v>38</v>
      </c>
    </row>
    <row r="23" spans="1:3">
      <c r="B23" s="71"/>
      <c r="C23" s="75" t="s">
        <v>39</v>
      </c>
    </row>
  </sheetData>
  <pageMargins left="0.75" right="0.75" top="1" bottom="1" header="0.5" footer="0.5"/>
  <pageSetup paperSize="9" orientation="portrait" horizontalDpi="4294967292" verticalDpi="429496729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tabColor rgb="FFFFFF00"/>
  </sheetPr>
  <dimension ref="A2:J46"/>
  <sheetViews>
    <sheetView tabSelected="1" zoomScale="117" workbookViewId="0">
      <selection activeCell="C17" sqref="C17"/>
    </sheetView>
  </sheetViews>
  <sheetFormatPr baseColWidth="10" defaultColWidth="10.83203125" defaultRowHeight="16"/>
  <cols>
    <col min="1" max="2" width="3.5" style="32" customWidth="1"/>
    <col min="3" max="3" width="51.5" style="32" customWidth="1"/>
    <col min="4" max="5" width="14.6640625" style="32" customWidth="1"/>
    <col min="6" max="6" width="4.5" style="32" customWidth="1"/>
    <col min="7" max="7" width="49.5" style="32" customWidth="1"/>
    <col min="8" max="8" width="20.83203125" style="32" customWidth="1"/>
    <col min="9" max="9" width="42.5" style="32" customWidth="1"/>
    <col min="10" max="10" width="5.5" style="32" customWidth="1"/>
    <col min="11" max="16384" width="10.83203125" style="32"/>
  </cols>
  <sheetData>
    <row r="2" spans="1:10">
      <c r="B2" s="213" t="s">
        <v>68</v>
      </c>
      <c r="C2" s="214"/>
      <c r="D2" s="214"/>
      <c r="E2" s="215"/>
    </row>
    <row r="3" spans="1:10">
      <c r="B3" s="216"/>
      <c r="C3" s="217"/>
      <c r="D3" s="217"/>
      <c r="E3" s="218"/>
    </row>
    <row r="4" spans="1:10">
      <c r="B4" s="216"/>
      <c r="C4" s="217"/>
      <c r="D4" s="217"/>
      <c r="E4" s="218"/>
    </row>
    <row r="5" spans="1:10">
      <c r="B5" s="219"/>
      <c r="C5" s="220"/>
      <c r="D5" s="220"/>
      <c r="E5" s="221"/>
    </row>
    <row r="7" spans="1:10" ht="17" thickBot="1"/>
    <row r="8" spans="1:10">
      <c r="B8" s="33"/>
      <c r="C8" s="19"/>
      <c r="D8" s="19"/>
      <c r="E8" s="19"/>
      <c r="F8" s="19"/>
      <c r="G8" s="19"/>
      <c r="H8" s="19"/>
      <c r="I8" s="19"/>
      <c r="J8" s="34"/>
    </row>
    <row r="9" spans="1:10" s="12" customFormat="1">
      <c r="B9" s="23"/>
      <c r="C9" s="15" t="s">
        <v>18</v>
      </c>
      <c r="D9" s="16" t="s">
        <v>7</v>
      </c>
      <c r="E9" s="14" t="s">
        <v>3</v>
      </c>
      <c r="F9" s="15"/>
      <c r="G9" s="15" t="s">
        <v>6</v>
      </c>
      <c r="H9" s="15"/>
      <c r="I9" s="15" t="s">
        <v>0</v>
      </c>
      <c r="J9" s="78"/>
    </row>
    <row r="10" spans="1:10" s="12" customFormat="1">
      <c r="B10" s="24"/>
      <c r="D10" s="30"/>
      <c r="J10" s="13"/>
    </row>
    <row r="11" spans="1:10" s="12" customFormat="1" ht="17" thickBot="1">
      <c r="B11" s="24"/>
      <c r="C11" s="12" t="s">
        <v>42</v>
      </c>
      <c r="D11" s="30"/>
      <c r="J11" s="13"/>
    </row>
    <row r="12" spans="1:10" s="128" customFormat="1" ht="16" customHeight="1" thickBot="1">
      <c r="B12" s="129"/>
      <c r="C12" s="122" t="s">
        <v>67</v>
      </c>
      <c r="D12" s="123" t="s">
        <v>76</v>
      </c>
      <c r="E12" s="130">
        <f>'Research data'!H7</f>
        <v>44.22</v>
      </c>
      <c r="F12" s="122"/>
      <c r="G12" s="131"/>
      <c r="I12" s="125"/>
      <c r="J12" s="132"/>
    </row>
    <row r="13" spans="1:10" s="128" customFormat="1" ht="16" customHeight="1" thickBot="1">
      <c r="B13" s="129"/>
      <c r="C13" s="210" t="s">
        <v>197</v>
      </c>
      <c r="D13" s="123"/>
      <c r="E13" s="211">
        <f>'Research data'!H8</f>
        <v>0.56000000000000005</v>
      </c>
      <c r="F13" s="122"/>
      <c r="G13" s="131"/>
      <c r="I13" s="125"/>
      <c r="J13" s="132"/>
    </row>
    <row r="14" spans="1:10" s="128" customFormat="1" ht="16" customHeight="1" thickBot="1">
      <c r="B14" s="129"/>
      <c r="C14" s="209" t="s">
        <v>195</v>
      </c>
      <c r="D14" s="123"/>
      <c r="E14" s="211">
        <f>'Research data'!H9</f>
        <v>0.28000000000000003</v>
      </c>
      <c r="F14" s="122"/>
      <c r="G14" s="131"/>
      <c r="I14" s="125"/>
      <c r="J14" s="132"/>
    </row>
    <row r="15" spans="1:10" s="128" customFormat="1" ht="16" customHeight="1" thickBot="1">
      <c r="B15" s="129"/>
      <c r="C15" s="209" t="s">
        <v>199</v>
      </c>
      <c r="D15" s="123" t="s">
        <v>2</v>
      </c>
      <c r="E15" s="211">
        <f>'Research data'!H10</f>
        <v>0.16</v>
      </c>
      <c r="F15" s="122"/>
      <c r="G15" s="131"/>
      <c r="I15" s="125"/>
      <c r="J15" s="132"/>
    </row>
    <row r="16" spans="1:10" ht="17" thickBot="1">
      <c r="A16" s="86"/>
      <c r="B16" s="87"/>
      <c r="C16" s="206" t="s">
        <v>98</v>
      </c>
      <c r="D16" s="22" t="s">
        <v>2</v>
      </c>
      <c r="E16" s="211">
        <f>'Research data'!H11</f>
        <v>0.27500000000000002</v>
      </c>
      <c r="F16" s="84"/>
      <c r="G16" s="114"/>
      <c r="H16" s="84"/>
      <c r="I16" s="119"/>
      <c r="J16" s="88"/>
    </row>
    <row r="17" spans="1:10" ht="17" thickBot="1">
      <c r="A17" s="86"/>
      <c r="B17" s="87"/>
      <c r="C17" s="222" t="s">
        <v>207</v>
      </c>
      <c r="D17" s="22" t="s">
        <v>2</v>
      </c>
      <c r="E17" s="211">
        <f>'Research data'!H12</f>
        <v>0.222</v>
      </c>
      <c r="F17" s="84"/>
      <c r="G17" s="114"/>
      <c r="H17" s="84"/>
      <c r="I17" s="119"/>
      <c r="J17" s="88"/>
    </row>
    <row r="18" spans="1:10" s="120" customFormat="1" ht="16" customHeight="1" thickBot="1">
      <c r="B18" s="121"/>
      <c r="C18" s="122" t="s">
        <v>58</v>
      </c>
      <c r="D18" s="123" t="s">
        <v>91</v>
      </c>
      <c r="E18" s="130">
        <f>'Research data'!H14</f>
        <v>7500</v>
      </c>
      <c r="F18" s="122"/>
      <c r="G18" s="122"/>
      <c r="I18" s="125"/>
      <c r="J18" s="126"/>
    </row>
    <row r="19" spans="1:10" s="120" customFormat="1" ht="16" customHeight="1" thickBot="1">
      <c r="B19" s="121"/>
      <c r="C19" s="155" t="s">
        <v>103</v>
      </c>
      <c r="D19" s="123" t="s">
        <v>2</v>
      </c>
      <c r="E19" s="130">
        <f>'Research data'!H15</f>
        <v>0.92300000000000004</v>
      </c>
      <c r="F19" s="122"/>
      <c r="G19" s="122"/>
      <c r="J19" s="126"/>
    </row>
    <row r="20" spans="1:10">
      <c r="B20" s="36"/>
      <c r="J20" s="79"/>
    </row>
    <row r="21" spans="1:10" ht="17" thickBot="1">
      <c r="B21" s="36"/>
      <c r="C21" s="12" t="s">
        <v>41</v>
      </c>
      <c r="J21" s="79"/>
    </row>
    <row r="22" spans="1:10" ht="17" thickBot="1">
      <c r="B22" s="36"/>
      <c r="C22" s="35" t="s">
        <v>21</v>
      </c>
      <c r="D22" s="22" t="s">
        <v>19</v>
      </c>
      <c r="E22" s="127">
        <f>'Research data'!H18</f>
        <v>10440000</v>
      </c>
      <c r="F22" s="35"/>
      <c r="G22" s="35" t="s">
        <v>5</v>
      </c>
      <c r="H22" s="35"/>
      <c r="I22" s="117"/>
      <c r="J22" s="79"/>
    </row>
    <row r="23" spans="1:10" ht="17" thickBot="1">
      <c r="B23" s="36"/>
      <c r="C23" s="153" t="s">
        <v>101</v>
      </c>
      <c r="D23" s="22" t="s">
        <v>19</v>
      </c>
      <c r="E23" s="127">
        <f>'Research data'!H19</f>
        <v>0</v>
      </c>
      <c r="F23" s="35"/>
      <c r="G23" s="35"/>
      <c r="H23" s="35"/>
      <c r="I23" s="117" t="s">
        <v>102</v>
      </c>
      <c r="J23" s="79"/>
    </row>
    <row r="24" spans="1:10" ht="15" customHeight="1" thickBot="1">
      <c r="B24" s="36"/>
      <c r="C24" s="35" t="s">
        <v>22</v>
      </c>
      <c r="D24" s="22" t="s">
        <v>46</v>
      </c>
      <c r="E24" s="127">
        <f>'Research data'!H20</f>
        <v>560000</v>
      </c>
      <c r="F24" s="35"/>
      <c r="G24" s="106" t="s">
        <v>65</v>
      </c>
      <c r="H24" s="35"/>
      <c r="I24" s="117"/>
      <c r="J24" s="79"/>
    </row>
    <row r="25" spans="1:10" ht="17" thickBot="1">
      <c r="B25" s="99"/>
      <c r="C25" s="105" t="s">
        <v>61</v>
      </c>
      <c r="D25" s="101" t="s">
        <v>56</v>
      </c>
      <c r="E25" s="127">
        <f>'Research data'!H21</f>
        <v>69.599999999999994</v>
      </c>
      <c r="F25" s="102"/>
      <c r="G25" s="100" t="s">
        <v>57</v>
      </c>
      <c r="H25" s="102"/>
      <c r="I25" s="117"/>
      <c r="J25" s="103"/>
    </row>
    <row r="26" spans="1:10" ht="17" thickBot="1">
      <c r="B26" s="99"/>
      <c r="C26" s="105" t="s">
        <v>62</v>
      </c>
      <c r="D26" s="101" t="s">
        <v>56</v>
      </c>
      <c r="E26" s="127">
        <f>'Research data'!J22</f>
        <v>0</v>
      </c>
      <c r="F26" s="102"/>
      <c r="G26" s="100"/>
      <c r="H26" s="102"/>
      <c r="I26" s="117"/>
      <c r="J26" s="103"/>
    </row>
    <row r="27" spans="1:10" ht="17" thickBot="1">
      <c r="B27" s="99"/>
      <c r="C27" s="105" t="s">
        <v>60</v>
      </c>
      <c r="D27" s="22" t="s">
        <v>19</v>
      </c>
      <c r="E27" s="127">
        <f>'Research data'!H23</f>
        <v>0</v>
      </c>
      <c r="F27" s="102"/>
      <c r="G27" s="105" t="s">
        <v>63</v>
      </c>
      <c r="H27" s="102"/>
      <c r="I27" s="112"/>
      <c r="J27" s="103"/>
    </row>
    <row r="28" spans="1:10" ht="17" thickBot="1">
      <c r="B28" s="99"/>
      <c r="C28" s="113" t="s">
        <v>66</v>
      </c>
      <c r="D28" s="22" t="s">
        <v>19</v>
      </c>
      <c r="E28" s="37">
        <f>'Research data'!H24</f>
        <v>0</v>
      </c>
      <c r="F28" s="102"/>
      <c r="G28" s="105" t="s">
        <v>64</v>
      </c>
      <c r="H28" s="102"/>
      <c r="I28" s="118"/>
      <c r="J28" s="103"/>
    </row>
    <row r="29" spans="1:10" ht="17" thickBot="1">
      <c r="A29" s="86"/>
      <c r="B29" s="87"/>
      <c r="C29" s="84" t="s">
        <v>48</v>
      </c>
      <c r="D29" s="22" t="s">
        <v>49</v>
      </c>
      <c r="E29" s="141">
        <v>7.0000000000000007E-2</v>
      </c>
      <c r="F29" s="84"/>
      <c r="G29" s="84" t="s">
        <v>50</v>
      </c>
      <c r="H29" s="84"/>
      <c r="I29" s="152" t="s">
        <v>99</v>
      </c>
      <c r="J29" s="88"/>
    </row>
    <row r="30" spans="1:10" ht="17" thickBot="1">
      <c r="A30" s="86"/>
      <c r="B30" s="87"/>
      <c r="C30" s="84" t="s">
        <v>51</v>
      </c>
      <c r="D30" s="22" t="s">
        <v>52</v>
      </c>
      <c r="E30" s="89">
        <v>1</v>
      </c>
      <c r="F30" s="84"/>
      <c r="G30" s="84"/>
      <c r="H30" s="84"/>
      <c r="I30" s="85"/>
      <c r="J30" s="88"/>
    </row>
    <row r="31" spans="1:10">
      <c r="A31" s="86"/>
      <c r="B31" s="87"/>
      <c r="C31" s="84"/>
      <c r="D31" s="22"/>
      <c r="E31" s="91"/>
      <c r="F31" s="84"/>
      <c r="G31" s="84"/>
      <c r="H31" s="84"/>
      <c r="I31" s="86"/>
      <c r="J31" s="88"/>
    </row>
    <row r="32" spans="1:10" ht="17" thickBot="1">
      <c r="A32" s="86"/>
      <c r="B32" s="87"/>
      <c r="C32" s="12" t="s">
        <v>4</v>
      </c>
      <c r="D32" s="80"/>
      <c r="E32" s="91"/>
      <c r="F32" s="86"/>
      <c r="H32" s="86"/>
      <c r="I32" s="86"/>
      <c r="J32" s="88"/>
    </row>
    <row r="33" spans="1:10" ht="17" thickBot="1">
      <c r="A33" s="86"/>
      <c r="B33" s="87"/>
      <c r="C33" s="84" t="s">
        <v>23</v>
      </c>
      <c r="D33" s="22" t="s">
        <v>1</v>
      </c>
      <c r="E33" s="89">
        <f>'Research data'!H28</f>
        <v>30</v>
      </c>
      <c r="F33" s="84"/>
      <c r="G33" s="84" t="s">
        <v>55</v>
      </c>
      <c r="H33" s="84"/>
      <c r="I33" s="117"/>
      <c r="J33" s="88"/>
    </row>
    <row r="34" spans="1:10" ht="17" thickBot="1">
      <c r="A34" s="86"/>
      <c r="B34" s="87"/>
      <c r="C34" s="84" t="s">
        <v>53</v>
      </c>
      <c r="D34" s="22" t="s">
        <v>1</v>
      </c>
      <c r="E34" s="89">
        <f>'Research data'!H29</f>
        <v>2</v>
      </c>
      <c r="F34" s="84"/>
      <c r="G34" s="84" t="s">
        <v>54</v>
      </c>
      <c r="H34" s="84"/>
      <c r="I34" s="85"/>
      <c r="J34" s="88"/>
    </row>
    <row r="35" spans="1:10" ht="17" thickBot="1">
      <c r="A35" s="86"/>
      <c r="B35" s="87"/>
      <c r="C35" s="84" t="s">
        <v>20</v>
      </c>
      <c r="D35" s="22" t="s">
        <v>2</v>
      </c>
      <c r="E35" s="89">
        <f>'Research data'!H30</f>
        <v>0</v>
      </c>
      <c r="F35" s="84"/>
      <c r="G35" s="84"/>
      <c r="H35" s="84"/>
      <c r="I35" s="119"/>
      <c r="J35" s="88"/>
    </row>
    <row r="36" spans="1:10" ht="17" thickBot="1">
      <c r="A36" s="86"/>
      <c r="B36" s="92"/>
      <c r="C36" s="93"/>
      <c r="D36" s="93"/>
      <c r="E36" s="93"/>
      <c r="F36" s="93"/>
      <c r="G36" s="93"/>
      <c r="H36" s="93"/>
      <c r="I36" s="93"/>
      <c r="J36" s="94"/>
    </row>
    <row r="37" spans="1:10">
      <c r="A37" s="86"/>
      <c r="B37" s="86"/>
      <c r="C37" s="86"/>
      <c r="D37" s="86"/>
      <c r="E37" s="86"/>
      <c r="F37" s="86"/>
      <c r="G37" s="86"/>
      <c r="H37" s="86"/>
      <c r="I37" s="86"/>
      <c r="J37" s="86"/>
    </row>
    <row r="38" spans="1:10">
      <c r="A38" s="86"/>
      <c r="B38" s="86"/>
      <c r="C38" s="86"/>
      <c r="D38" s="86"/>
      <c r="E38" s="86"/>
      <c r="F38" s="86"/>
      <c r="G38" s="86"/>
      <c r="H38" s="86"/>
      <c r="I38" s="86"/>
      <c r="J38" s="86"/>
    </row>
    <row r="39" spans="1:10">
      <c r="A39" s="86"/>
      <c r="B39" s="86"/>
      <c r="C39" s="86"/>
      <c r="D39" s="86"/>
      <c r="E39" s="86"/>
      <c r="F39" s="86"/>
      <c r="G39" s="86"/>
      <c r="H39" s="86"/>
      <c r="I39" s="86"/>
      <c r="J39" s="86"/>
    </row>
    <row r="40" spans="1:10">
      <c r="A40" s="86"/>
      <c r="B40" s="86"/>
      <c r="E40" s="86"/>
      <c r="F40" s="86"/>
      <c r="G40" s="86"/>
      <c r="H40" s="86"/>
      <c r="I40" s="86"/>
      <c r="J40" s="86"/>
    </row>
    <row r="41" spans="1:10">
      <c r="A41" s="86"/>
      <c r="B41" s="86"/>
      <c r="C41" s="86"/>
      <c r="D41" s="86"/>
      <c r="E41" s="86"/>
      <c r="F41" s="86"/>
      <c r="G41" s="86"/>
      <c r="H41" s="86"/>
      <c r="I41" s="86"/>
      <c r="J41" s="86"/>
    </row>
    <row r="42" spans="1:10">
      <c r="A42" s="86"/>
      <c r="B42" s="86"/>
      <c r="C42" s="86"/>
      <c r="D42" s="86"/>
      <c r="E42" s="86"/>
      <c r="F42" s="86"/>
      <c r="G42" s="86"/>
      <c r="H42" s="86"/>
      <c r="I42" s="86"/>
      <c r="J42" s="86"/>
    </row>
    <row r="43" spans="1:10">
      <c r="A43" s="86"/>
      <c r="B43" s="86"/>
      <c r="C43" s="86"/>
      <c r="D43" s="86"/>
      <c r="E43" s="86"/>
      <c r="F43" s="86"/>
      <c r="G43" s="86"/>
      <c r="H43" s="86"/>
      <c r="I43" s="86"/>
      <c r="J43" s="86"/>
    </row>
    <row r="44" spans="1:10">
      <c r="A44" s="86"/>
      <c r="B44" s="86"/>
      <c r="C44" s="86"/>
      <c r="D44" s="86"/>
      <c r="E44" s="86"/>
      <c r="F44" s="86"/>
      <c r="G44" s="86"/>
      <c r="H44" s="86"/>
      <c r="I44" s="86"/>
      <c r="J44" s="86"/>
    </row>
    <row r="45" spans="1:10">
      <c r="A45" s="86"/>
    </row>
    <row r="46" spans="1:10">
      <c r="A46" s="86"/>
    </row>
  </sheetData>
  <mergeCells count="1">
    <mergeCell ref="B2:E5"/>
  </mergeCells>
  <pageMargins left="0.75" right="0.75" top="1" bottom="1" header="0.5" footer="0.5"/>
  <pageSetup paperSize="9" orientation="portrait" horizontalDpi="4294967292" verticalDpi="429496729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tabColor theme="6" tint="0.39997558519241921"/>
  </sheetPr>
  <dimension ref="A2:P30"/>
  <sheetViews>
    <sheetView zoomScale="119" workbookViewId="0">
      <selection activeCell="C13" sqref="C13"/>
    </sheetView>
  </sheetViews>
  <sheetFormatPr baseColWidth="10" defaultColWidth="10.83203125" defaultRowHeight="16"/>
  <cols>
    <col min="1" max="1" width="3.5" style="38" customWidth="1"/>
    <col min="2" max="2" width="3" style="38" customWidth="1"/>
    <col min="3" max="3" width="61" style="38" customWidth="1"/>
    <col min="4" max="4" width="16.5" style="38" hidden="1" customWidth="1"/>
    <col min="5" max="5" width="13.83203125" style="38" hidden="1" customWidth="1"/>
    <col min="6" max="6" width="10" style="38" customWidth="1"/>
    <col min="7" max="7" width="3" style="38" customWidth="1"/>
    <col min="8" max="8" width="14.83203125" style="38" customWidth="1"/>
    <col min="9" max="9" width="2.5" style="38" customWidth="1"/>
    <col min="10" max="10" width="13.5" style="38" customWidth="1"/>
    <col min="11" max="12" width="2.5" style="38" customWidth="1"/>
    <col min="13" max="13" width="23.5" style="38" customWidth="1"/>
    <col min="14" max="14" width="11" style="38" customWidth="1"/>
    <col min="15" max="15" width="2.5" style="38" customWidth="1"/>
    <col min="16" max="16" width="22.5" style="38" customWidth="1"/>
    <col min="17" max="16384" width="10.83203125" style="38"/>
  </cols>
  <sheetData>
    <row r="2" spans="1:16" ht="17" thickBot="1"/>
    <row r="3" spans="1:16">
      <c r="B3" s="39"/>
      <c r="C3" s="40"/>
      <c r="D3" s="40"/>
      <c r="E3" s="40"/>
      <c r="F3" s="40"/>
      <c r="G3" s="40"/>
      <c r="H3" s="40"/>
      <c r="I3" s="40"/>
      <c r="J3" s="40"/>
      <c r="K3" s="40"/>
      <c r="L3" s="40"/>
      <c r="M3" s="40"/>
      <c r="N3" s="40"/>
      <c r="O3" s="40"/>
      <c r="P3" s="40"/>
    </row>
    <row r="4" spans="1:16" s="12" customFormat="1">
      <c r="B4" s="24"/>
      <c r="C4" s="76" t="s">
        <v>18</v>
      </c>
      <c r="D4" s="9"/>
      <c r="E4" s="9"/>
      <c r="F4" s="76" t="s">
        <v>7</v>
      </c>
      <c r="G4" s="76"/>
      <c r="H4" s="76" t="s">
        <v>45</v>
      </c>
      <c r="I4" s="76"/>
      <c r="J4" s="76" t="s">
        <v>97</v>
      </c>
      <c r="K4" s="76"/>
      <c r="L4" s="76"/>
      <c r="M4" s="76" t="s">
        <v>43</v>
      </c>
    </row>
    <row r="5" spans="1:16" ht="18" customHeight="1">
      <c r="B5" s="41"/>
      <c r="C5" s="44"/>
      <c r="D5" s="44"/>
      <c r="E5" s="44"/>
      <c r="H5" s="42"/>
      <c r="I5" s="42"/>
      <c r="J5" s="42"/>
      <c r="K5" s="42"/>
      <c r="L5" s="42"/>
      <c r="M5" s="46"/>
    </row>
    <row r="6" spans="1:16" ht="18" customHeight="1" thickBot="1">
      <c r="B6" s="41"/>
      <c r="C6" s="12" t="s">
        <v>42</v>
      </c>
      <c r="D6" s="30"/>
      <c r="E6" s="12"/>
      <c r="F6" s="30"/>
      <c r="G6" s="31"/>
      <c r="H6" s="10"/>
      <c r="I6" s="10"/>
      <c r="J6" s="10"/>
      <c r="K6" s="10"/>
    </row>
    <row r="7" spans="1:16" ht="18" customHeight="1" thickBot="1">
      <c r="B7" s="41"/>
      <c r="C7" s="122" t="s">
        <v>67</v>
      </c>
      <c r="D7" s="123" t="s">
        <v>70</v>
      </c>
      <c r="E7" s="130"/>
      <c r="F7" s="123" t="s">
        <v>76</v>
      </c>
      <c r="G7" s="77"/>
      <c r="H7" s="115">
        <f>ROUND(J7,2)</f>
        <v>44.22</v>
      </c>
      <c r="I7" s="42"/>
      <c r="J7" s="136">
        <f>Notes!D6</f>
        <v>44.219999999999992</v>
      </c>
      <c r="K7" s="42"/>
    </row>
    <row r="8" spans="1:16" s="32" customFormat="1" ht="17" thickBot="1">
      <c r="A8" s="12"/>
      <c r="B8" s="24"/>
      <c r="C8" s="209" t="s">
        <v>194</v>
      </c>
      <c r="D8" s="20" t="s">
        <v>2</v>
      </c>
      <c r="E8" s="37"/>
      <c r="F8" s="22" t="s">
        <v>2</v>
      </c>
      <c r="G8" s="84"/>
      <c r="H8" s="115">
        <f>ROUND(J8,3)</f>
        <v>0.56000000000000005</v>
      </c>
      <c r="J8" s="136">
        <f>Notes!E20</f>
        <v>0.56000000000000005</v>
      </c>
      <c r="K8" s="12"/>
    </row>
    <row r="9" spans="1:16" s="32" customFormat="1" ht="17" thickBot="1">
      <c r="A9" s="12"/>
      <c r="B9" s="24"/>
      <c r="C9" s="209" t="s">
        <v>195</v>
      </c>
      <c r="D9" s="20"/>
      <c r="E9" s="37"/>
      <c r="F9" s="22" t="s">
        <v>2</v>
      </c>
      <c r="G9" s="84"/>
      <c r="H9" s="115">
        <f>ROUND(J9,3)</f>
        <v>0.28000000000000003</v>
      </c>
      <c r="J9" s="136">
        <f>Notes!E21</f>
        <v>0.27999999999999992</v>
      </c>
      <c r="K9" s="12"/>
    </row>
    <row r="10" spans="1:16" s="32" customFormat="1" ht="17" thickBot="1">
      <c r="A10" s="12"/>
      <c r="B10" s="24"/>
      <c r="C10" s="209" t="s">
        <v>199</v>
      </c>
      <c r="D10" s="20"/>
      <c r="E10" s="37"/>
      <c r="F10" s="22" t="s">
        <v>2</v>
      </c>
      <c r="G10" s="84"/>
      <c r="H10" s="115">
        <f>ROUND(J10,3)</f>
        <v>0.16</v>
      </c>
      <c r="J10" s="136">
        <f>Notes!E22</f>
        <v>0.16</v>
      </c>
      <c r="K10" s="12"/>
    </row>
    <row r="11" spans="1:16" s="32" customFormat="1" ht="17" thickBot="1">
      <c r="A11" s="86"/>
      <c r="B11" s="87"/>
      <c r="C11" s="206" t="s">
        <v>98</v>
      </c>
      <c r="D11" s="22" t="s">
        <v>2</v>
      </c>
      <c r="E11" s="37"/>
      <c r="F11" s="22" t="s">
        <v>2</v>
      </c>
      <c r="G11" s="84"/>
      <c r="H11" s="115">
        <f t="shared" ref="H11:H13" si="0">ROUND(J11,3)</f>
        <v>0.27500000000000002</v>
      </c>
      <c r="J11" s="136">
        <f>Notes!D17</f>
        <v>0.27512437810945278</v>
      </c>
    </row>
    <row r="12" spans="1:16" s="32" customFormat="1" ht="17" thickBot="1">
      <c r="B12" s="87"/>
      <c r="C12" s="212" t="s">
        <v>205</v>
      </c>
      <c r="D12" s="22"/>
      <c r="E12" s="37"/>
      <c r="F12" s="22" t="s">
        <v>2</v>
      </c>
      <c r="G12" s="84"/>
      <c r="H12" s="115">
        <f t="shared" si="0"/>
        <v>0.222</v>
      </c>
      <c r="J12" s="136">
        <f>Notes!D18</f>
        <v>0.22238805970149256</v>
      </c>
      <c r="M12" s="147"/>
    </row>
    <row r="13" spans="1:16" s="32" customFormat="1" ht="17" thickBot="1">
      <c r="B13" s="87"/>
      <c r="C13" s="84" t="s">
        <v>69</v>
      </c>
      <c r="D13" s="22"/>
      <c r="E13" s="37"/>
      <c r="F13" s="22" t="s">
        <v>2</v>
      </c>
      <c r="G13" s="84"/>
      <c r="H13" s="115">
        <f t="shared" si="0"/>
        <v>0.502</v>
      </c>
      <c r="J13" s="136">
        <f>Notes!D19</f>
        <v>0.50248756218905466</v>
      </c>
    </row>
    <row r="14" spans="1:16" ht="17" thickBot="1">
      <c r="A14" s="86"/>
      <c r="B14" s="87"/>
      <c r="C14" s="122" t="s">
        <v>58</v>
      </c>
      <c r="D14" s="123" t="s">
        <v>2</v>
      </c>
      <c r="E14" s="124"/>
      <c r="F14" s="123" t="s">
        <v>59</v>
      </c>
      <c r="H14" s="137">
        <f>ROUND(J14,2)</f>
        <v>7500</v>
      </c>
      <c r="I14" s="84"/>
      <c r="J14" s="145">
        <f>Notes!D7</f>
        <v>7500</v>
      </c>
      <c r="K14" s="86"/>
    </row>
    <row r="15" spans="1:16" ht="17" thickBot="1">
      <c r="A15" s="86"/>
      <c r="B15" s="87"/>
      <c r="C15" s="155" t="s">
        <v>103</v>
      </c>
      <c r="D15" s="123"/>
      <c r="E15" s="154"/>
      <c r="F15" s="22" t="s">
        <v>2</v>
      </c>
      <c r="H15" s="207">
        <f>ROUND(J15,3)</f>
        <v>0.92300000000000004</v>
      </c>
      <c r="I15" s="84"/>
      <c r="J15" s="156">
        <f>Notes!D10</f>
        <v>0.92307692307692313</v>
      </c>
      <c r="K15" s="86"/>
    </row>
    <row r="16" spans="1:16">
      <c r="B16" s="41"/>
      <c r="C16" s="32"/>
      <c r="D16" s="32"/>
      <c r="E16" s="32"/>
      <c r="F16" s="32"/>
      <c r="H16" s="43"/>
      <c r="I16" s="84"/>
      <c r="J16" s="90"/>
      <c r="K16" s="86"/>
      <c r="L16" s="42"/>
      <c r="M16" s="104"/>
    </row>
    <row r="17" spans="1:13" ht="17" thickBot="1">
      <c r="A17" s="86"/>
      <c r="B17" s="87"/>
      <c r="C17" s="12" t="s">
        <v>41</v>
      </c>
      <c r="D17" s="32"/>
      <c r="E17" s="32"/>
      <c r="F17" s="32"/>
      <c r="H17" s="11"/>
      <c r="I17" s="96"/>
      <c r="J17" s="95"/>
      <c r="K17" s="96"/>
      <c r="L17" s="95"/>
      <c r="M17" s="46"/>
    </row>
    <row r="18" spans="1:13" ht="17" thickBot="1">
      <c r="A18" s="86"/>
      <c r="B18" s="87"/>
      <c r="C18" s="35" t="s">
        <v>21</v>
      </c>
      <c r="D18" s="22" t="s">
        <v>19</v>
      </c>
      <c r="E18" s="127"/>
      <c r="F18" s="22" t="s">
        <v>19</v>
      </c>
      <c r="H18" s="134">
        <f>ROUND(J18,0)</f>
        <v>10440000</v>
      </c>
      <c r="I18" s="11"/>
      <c r="J18" s="115">
        <f>Notes!D12</f>
        <v>10440000</v>
      </c>
      <c r="K18" s="11"/>
      <c r="L18" s="95"/>
      <c r="M18" s="83"/>
    </row>
    <row r="19" spans="1:13" ht="17" thickBot="1">
      <c r="A19" s="86"/>
      <c r="B19" s="87"/>
      <c r="C19" s="153" t="s">
        <v>101</v>
      </c>
      <c r="D19" s="22"/>
      <c r="E19" s="127"/>
      <c r="F19" s="22" t="s">
        <v>19</v>
      </c>
      <c r="H19" s="134">
        <f>ROUND(J19,0)</f>
        <v>0</v>
      </c>
      <c r="I19" s="11"/>
      <c r="J19" s="115">
        <v>0</v>
      </c>
      <c r="K19" s="11"/>
      <c r="L19" s="95"/>
      <c r="M19" s="153"/>
    </row>
    <row r="20" spans="1:13" ht="17" thickBot="1">
      <c r="A20" s="86"/>
      <c r="B20" s="87"/>
      <c r="C20" s="35" t="s">
        <v>22</v>
      </c>
      <c r="D20" s="22" t="s">
        <v>46</v>
      </c>
      <c r="E20" s="37">
        <v>0</v>
      </c>
      <c r="F20" s="22" t="s">
        <v>46</v>
      </c>
      <c r="H20" s="134">
        <f>ROUND(J20,0)</f>
        <v>560000</v>
      </c>
      <c r="I20" s="95"/>
      <c r="J20" s="115">
        <f>Notes!D13</f>
        <v>560000</v>
      </c>
      <c r="K20" s="95"/>
      <c r="M20" s="83"/>
    </row>
    <row r="21" spans="1:13" ht="17" thickBot="1">
      <c r="A21" s="86"/>
      <c r="B21" s="87"/>
      <c r="C21" s="105" t="s">
        <v>61</v>
      </c>
      <c r="D21" s="101" t="s">
        <v>56</v>
      </c>
      <c r="E21" s="37">
        <f>'Research data'!H18</f>
        <v>10440000</v>
      </c>
      <c r="F21" s="101" t="s">
        <v>56</v>
      </c>
      <c r="H21" s="97">
        <f>ROUND(J21,2)</f>
        <v>69.599999999999994</v>
      </c>
      <c r="J21" s="115">
        <f>Notes!D14</f>
        <v>69.599999999999994</v>
      </c>
      <c r="L21" s="95"/>
      <c r="M21" s="84"/>
    </row>
    <row r="22" spans="1:13" ht="17" thickBot="1">
      <c r="A22" s="107"/>
      <c r="B22" s="108"/>
      <c r="C22" s="105" t="s">
        <v>62</v>
      </c>
      <c r="D22" s="101"/>
      <c r="E22" s="37">
        <f>'Research data'!H23</f>
        <v>0</v>
      </c>
      <c r="F22" s="101" t="s">
        <v>56</v>
      </c>
      <c r="G22" s="107"/>
      <c r="H22" s="97">
        <f>J22</f>
        <v>0</v>
      </c>
      <c r="I22" s="110"/>
      <c r="J22" s="109">
        <v>0</v>
      </c>
      <c r="K22" s="110"/>
      <c r="L22" s="107"/>
      <c r="M22" s="111"/>
    </row>
    <row r="23" spans="1:13" ht="17" thickBot="1">
      <c r="A23" s="86"/>
      <c r="B23" s="87"/>
      <c r="C23" s="105" t="s">
        <v>60</v>
      </c>
      <c r="D23" s="101"/>
      <c r="E23" s="37">
        <f>'Research data'!H21</f>
        <v>69.599999999999994</v>
      </c>
      <c r="F23" s="22" t="s">
        <v>19</v>
      </c>
      <c r="H23" s="97">
        <f t="shared" ref="H23:H24" si="1">J23</f>
        <v>0</v>
      </c>
      <c r="J23" s="116">
        <v>0</v>
      </c>
      <c r="L23" s="90"/>
      <c r="M23" s="84"/>
    </row>
    <row r="24" spans="1:13" ht="17" thickBot="1">
      <c r="A24" s="86"/>
      <c r="B24" s="87"/>
      <c r="C24" s="113" t="s">
        <v>66</v>
      </c>
      <c r="D24" s="101"/>
      <c r="E24" s="37" t="e">
        <f>'Research data'!#REF!</f>
        <v>#REF!</v>
      </c>
      <c r="F24" s="22" t="s">
        <v>19</v>
      </c>
      <c r="H24" s="97">
        <f t="shared" si="1"/>
        <v>0</v>
      </c>
      <c r="J24" s="116">
        <v>0</v>
      </c>
      <c r="L24" s="90"/>
      <c r="M24" s="84"/>
    </row>
    <row r="25" spans="1:13" ht="17" thickBot="1">
      <c r="A25" s="86"/>
      <c r="B25" s="87"/>
      <c r="C25" s="84" t="s">
        <v>51</v>
      </c>
      <c r="D25" s="22" t="s">
        <v>52</v>
      </c>
      <c r="E25" s="89">
        <v>0</v>
      </c>
      <c r="F25" s="22" t="s">
        <v>52</v>
      </c>
      <c r="H25" s="97">
        <f>J25</f>
        <v>0</v>
      </c>
      <c r="I25" s="90"/>
      <c r="J25" s="97">
        <v>0</v>
      </c>
      <c r="K25" s="90"/>
      <c r="L25" s="90"/>
      <c r="M25" s="84"/>
    </row>
    <row r="26" spans="1:13">
      <c r="A26" s="107"/>
      <c r="B26" s="108"/>
      <c r="C26" s="84"/>
      <c r="D26" s="22"/>
      <c r="E26" s="91"/>
      <c r="F26" s="22"/>
      <c r="G26" s="107"/>
      <c r="K26" s="110"/>
      <c r="L26" s="107"/>
      <c r="M26" s="104"/>
    </row>
    <row r="27" spans="1:13" ht="17" thickBot="1">
      <c r="C27" s="12" t="s">
        <v>4</v>
      </c>
      <c r="D27" s="80"/>
      <c r="E27" s="91"/>
      <c r="F27" s="80"/>
      <c r="H27" s="43"/>
      <c r="J27" s="43"/>
      <c r="M27" s="45"/>
    </row>
    <row r="28" spans="1:13" ht="17" thickBot="1">
      <c r="B28" s="41"/>
      <c r="C28" s="84" t="s">
        <v>23</v>
      </c>
      <c r="D28" s="22" t="s">
        <v>1</v>
      </c>
      <c r="E28" s="89"/>
      <c r="F28" s="22" t="s">
        <v>1</v>
      </c>
      <c r="H28" s="97">
        <f>J28</f>
        <v>30</v>
      </c>
      <c r="J28" s="136">
        <f>Notes!D8</f>
        <v>30</v>
      </c>
      <c r="M28" s="83"/>
    </row>
    <row r="29" spans="1:13" ht="17" thickBot="1">
      <c r="A29" s="86"/>
      <c r="B29" s="87"/>
      <c r="C29" s="84" t="s">
        <v>53</v>
      </c>
      <c r="D29" s="22" t="s">
        <v>1</v>
      </c>
      <c r="E29" s="89"/>
      <c r="F29" s="22" t="s">
        <v>1</v>
      </c>
      <c r="H29" s="97">
        <f>J29</f>
        <v>2</v>
      </c>
      <c r="I29" s="11"/>
      <c r="J29" s="151">
        <f>Notes!D9</f>
        <v>2</v>
      </c>
      <c r="K29" s="11"/>
      <c r="L29" s="11"/>
      <c r="M29" s="104"/>
    </row>
    <row r="30" spans="1:13" ht="17" thickBot="1">
      <c r="A30" s="86"/>
      <c r="B30" s="87"/>
      <c r="C30" s="84" t="s">
        <v>20</v>
      </c>
      <c r="D30" s="22" t="s">
        <v>2</v>
      </c>
      <c r="E30" s="89">
        <v>0</v>
      </c>
      <c r="F30" s="22" t="s">
        <v>2</v>
      </c>
      <c r="H30" s="97">
        <v>0</v>
      </c>
      <c r="I30" s="96"/>
      <c r="J30" s="135">
        <v>0</v>
      </c>
      <c r="K30" s="96"/>
      <c r="L30" s="96"/>
      <c r="M30" s="104"/>
    </row>
  </sheetData>
  <pageMargins left="0.75" right="0.75" top="1" bottom="1" header="0.5" footer="0.5"/>
  <pageSetup paperSize="9" orientation="portrait" horizontalDpi="4294967292" verticalDpi="429496729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4">
    <tabColor theme="6" tint="0.79998168889431442"/>
  </sheetPr>
  <dimension ref="B1:J12"/>
  <sheetViews>
    <sheetView workbookViewId="0">
      <selection activeCell="J12" sqref="J12"/>
    </sheetView>
  </sheetViews>
  <sheetFormatPr baseColWidth="10" defaultColWidth="33.1640625" defaultRowHeight="16"/>
  <cols>
    <col min="1" max="1" width="3.5" style="47" customWidth="1"/>
    <col min="2" max="2" width="37.33203125" style="47" customWidth="1"/>
    <col min="3" max="3" width="24.5" style="47" customWidth="1"/>
    <col min="4" max="4" width="32.83203125" style="47" customWidth="1"/>
    <col min="5" max="5" width="6.1640625" style="47" customWidth="1"/>
    <col min="6" max="6" width="16.33203125" style="47" customWidth="1"/>
    <col min="7" max="7" width="78" style="47" customWidth="1"/>
    <col min="8" max="8" width="12.5" style="51" customWidth="1"/>
    <col min="9" max="9" width="31.5" style="51" customWidth="1"/>
    <col min="10" max="10" width="98.5" style="47" customWidth="1"/>
    <col min="11" max="16384" width="33.1640625" style="47"/>
  </cols>
  <sheetData>
    <row r="1" spans="2:10" ht="17" thickBot="1"/>
    <row r="2" spans="2:10">
      <c r="B2" s="48"/>
      <c r="C2" s="49"/>
      <c r="D2" s="49"/>
      <c r="E2" s="49"/>
      <c r="F2" s="49"/>
      <c r="G2" s="49"/>
      <c r="H2" s="52"/>
      <c r="I2" s="52"/>
      <c r="J2" s="49"/>
    </row>
    <row r="3" spans="2:10">
      <c r="B3" s="50"/>
      <c r="C3" s="12" t="s">
        <v>14</v>
      </c>
      <c r="D3" s="12"/>
      <c r="E3" s="12"/>
      <c r="F3" s="12"/>
      <c r="G3" s="12"/>
      <c r="H3" s="17"/>
      <c r="I3" s="17"/>
    </row>
    <row r="4" spans="2:10">
      <c r="B4" s="50"/>
    </row>
    <row r="5" spans="2:10">
      <c r="B5" s="53"/>
      <c r="C5" s="14" t="s">
        <v>15</v>
      </c>
      <c r="D5" s="14" t="s">
        <v>0</v>
      </c>
      <c r="E5" s="14" t="s">
        <v>11</v>
      </c>
      <c r="F5" s="14" t="s">
        <v>16</v>
      </c>
      <c r="G5" s="14" t="s">
        <v>72</v>
      </c>
      <c r="H5" s="18" t="s">
        <v>17</v>
      </c>
      <c r="I5" s="18" t="s">
        <v>44</v>
      </c>
      <c r="J5" s="14" t="s">
        <v>8</v>
      </c>
    </row>
    <row r="6" spans="2:10">
      <c r="C6" s="12"/>
      <c r="D6" s="12"/>
      <c r="E6" s="12"/>
      <c r="F6" s="12"/>
      <c r="G6" s="12"/>
      <c r="H6" s="17"/>
      <c r="I6" s="17"/>
      <c r="J6" s="12"/>
    </row>
    <row r="7" spans="2:10">
      <c r="B7" s="157" t="s">
        <v>105</v>
      </c>
      <c r="C7" s="144" t="s">
        <v>78</v>
      </c>
      <c r="D7" s="144" t="s">
        <v>80</v>
      </c>
      <c r="E7" s="144" t="s">
        <v>79</v>
      </c>
      <c r="F7" s="47">
        <v>2024</v>
      </c>
      <c r="G7" s="157" t="s">
        <v>106</v>
      </c>
      <c r="H7" s="142">
        <v>45888</v>
      </c>
      <c r="J7" s="148" t="s">
        <v>107</v>
      </c>
    </row>
    <row r="8" spans="2:10">
      <c r="B8" s="144"/>
      <c r="C8" s="144"/>
    </row>
    <row r="9" spans="2:10">
      <c r="B9" s="203" t="s">
        <v>176</v>
      </c>
      <c r="C9" s="203" t="s">
        <v>78</v>
      </c>
      <c r="D9" s="203" t="s">
        <v>175</v>
      </c>
      <c r="E9" s="203" t="s">
        <v>177</v>
      </c>
      <c r="F9" s="203">
        <v>2025</v>
      </c>
      <c r="G9" s="203" t="s">
        <v>178</v>
      </c>
      <c r="H9" s="204">
        <v>45887</v>
      </c>
      <c r="I9" s="205" t="s">
        <v>179</v>
      </c>
      <c r="J9" s="203"/>
    </row>
    <row r="10" spans="2:10">
      <c r="B10" s="203"/>
      <c r="C10" s="203" t="s">
        <v>78</v>
      </c>
      <c r="D10" s="203" t="s">
        <v>175</v>
      </c>
      <c r="E10" s="203" t="s">
        <v>177</v>
      </c>
      <c r="F10" s="203">
        <v>2025</v>
      </c>
      <c r="G10" s="203" t="s">
        <v>180</v>
      </c>
      <c r="H10" s="204">
        <v>45887</v>
      </c>
      <c r="I10" s="205" t="s">
        <v>181</v>
      </c>
      <c r="J10" s="203"/>
    </row>
    <row r="11" spans="2:10">
      <c r="B11" s="203"/>
      <c r="C11" s="203"/>
      <c r="D11" s="203"/>
      <c r="E11" s="203"/>
      <c r="F11" s="203"/>
      <c r="G11" s="203"/>
      <c r="H11" s="204"/>
      <c r="I11" s="205"/>
      <c r="J11" s="203"/>
    </row>
    <row r="12" spans="2:10">
      <c r="B12" s="157" t="s">
        <v>108</v>
      </c>
      <c r="C12" s="144" t="s">
        <v>78</v>
      </c>
      <c r="D12" s="144" t="s">
        <v>80</v>
      </c>
      <c r="E12" s="144" t="s">
        <v>79</v>
      </c>
      <c r="F12" s="47">
        <v>2024</v>
      </c>
      <c r="G12" s="157" t="s">
        <v>109</v>
      </c>
      <c r="H12" s="142">
        <v>45888</v>
      </c>
      <c r="J12" s="148" t="s">
        <v>110</v>
      </c>
    </row>
  </sheetData>
  <phoneticPr fontId="38" type="noConversion"/>
  <hyperlinks>
    <hyperlink ref="J7" r:id="rId1" xr:uid="{B3788B51-CEDE-3C40-AD9E-B67B6EFA3AEC}"/>
    <hyperlink ref="J12" r:id="rId2" xr:uid="{51C1DA0E-8D66-E44B-ABEC-8410B71B3EB8}"/>
    <hyperlink ref="I9" r:id="rId3" xr:uid="{5EC839A6-9C2E-7A4C-A66B-591BFE1D67E2}"/>
    <hyperlink ref="I10" r:id="rId4" xr:uid="{9CC66034-062B-6945-974F-9131B4A2C7C0}"/>
  </hyperlinks>
  <pageMargins left="0.75" right="0.75" top="1" bottom="1" header="0.5" footer="0.5"/>
  <pageSetup paperSize="9" orientation="portrait" horizontalDpi="4294967292" verticalDpi="429496729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theme="6" tint="0.79998168889431442"/>
  </sheetPr>
  <dimension ref="A1:Z97"/>
  <sheetViews>
    <sheetView zoomScale="125" zoomScaleNormal="100" workbookViewId="0">
      <selection activeCell="E17" sqref="E17"/>
    </sheetView>
  </sheetViews>
  <sheetFormatPr baseColWidth="10" defaultColWidth="10.83203125" defaultRowHeight="16"/>
  <cols>
    <col min="1" max="2" width="3.5" style="54" customWidth="1"/>
    <col min="3" max="3" width="33.33203125" style="54" customWidth="1"/>
    <col min="4" max="4" width="17.83203125" style="54" bestFit="1" customWidth="1"/>
    <col min="5" max="5" width="26.6640625" style="54" customWidth="1"/>
    <col min="6" max="6" width="21.83203125" style="54" bestFit="1" customWidth="1"/>
    <col min="7" max="13" width="10.83203125" style="54"/>
    <col min="14" max="14" width="28.1640625" style="54" customWidth="1"/>
    <col min="15" max="15" width="22.6640625" style="54" customWidth="1"/>
    <col min="16" max="16" width="12.1640625" style="54" customWidth="1"/>
    <col min="17" max="16384" width="10.83203125" style="54"/>
  </cols>
  <sheetData>
    <row r="1" spans="1:14" ht="17" thickBot="1"/>
    <row r="2" spans="1:14">
      <c r="B2" s="55"/>
      <c r="C2" s="56"/>
      <c r="D2" s="56"/>
      <c r="E2" s="56"/>
      <c r="F2" s="56"/>
      <c r="G2" s="56"/>
      <c r="H2" s="56"/>
      <c r="I2" s="56"/>
      <c r="J2" s="56"/>
      <c r="K2" s="56"/>
      <c r="L2" s="56"/>
      <c r="M2" s="56"/>
      <c r="N2" s="57"/>
    </row>
    <row r="3" spans="1:14" ht="17" customHeight="1">
      <c r="A3" s="58"/>
      <c r="B3" s="81"/>
      <c r="C3" s="60" t="s">
        <v>0</v>
      </c>
      <c r="D3" s="60" t="s">
        <v>47</v>
      </c>
      <c r="E3" s="60" t="s">
        <v>24</v>
      </c>
      <c r="F3" s="60"/>
      <c r="G3" s="60"/>
      <c r="H3" s="59"/>
      <c r="I3" s="59"/>
      <c r="J3" s="59"/>
      <c r="K3" s="59"/>
      <c r="L3" s="59"/>
      <c r="M3" s="59"/>
      <c r="N3" s="82"/>
    </row>
    <row r="4" spans="1:14" ht="17" customHeight="1">
      <c r="A4" s="58"/>
      <c r="B4" s="133"/>
      <c r="C4" s="58"/>
      <c r="D4" s="58"/>
      <c r="E4" s="58"/>
      <c r="F4" s="58"/>
      <c r="G4" s="58"/>
    </row>
    <row r="5" spans="1:14" ht="17" customHeight="1">
      <c r="A5" s="58"/>
      <c r="B5" s="133"/>
      <c r="C5" s="58" t="s">
        <v>93</v>
      </c>
      <c r="D5" s="58"/>
      <c r="E5" s="58"/>
      <c r="F5" s="58"/>
      <c r="G5" s="58"/>
    </row>
    <row r="6" spans="1:14" ht="17" customHeight="1">
      <c r="A6" s="58"/>
      <c r="B6" s="133"/>
      <c r="C6" s="54" t="s">
        <v>96</v>
      </c>
      <c r="D6" s="138">
        <f>D41/(1-E32)</f>
        <v>44.219999999999992</v>
      </c>
      <c r="E6" s="54" t="s">
        <v>76</v>
      </c>
      <c r="F6" s="143"/>
      <c r="G6" s="58"/>
    </row>
    <row r="7" spans="1:14" ht="17" customHeight="1">
      <c r="A7" s="58"/>
      <c r="B7" s="133"/>
      <c r="C7" s="54" t="s">
        <v>74</v>
      </c>
      <c r="D7" s="98">
        <f>D58</f>
        <v>7500</v>
      </c>
      <c r="E7" s="54" t="s">
        <v>77</v>
      </c>
      <c r="F7" s="143"/>
      <c r="G7" s="58"/>
      <c r="N7" s="54" t="s">
        <v>183</v>
      </c>
    </row>
    <row r="8" spans="1:14" ht="17" customHeight="1">
      <c r="A8" s="58"/>
      <c r="B8" s="133"/>
      <c r="C8" s="54" t="s">
        <v>75</v>
      </c>
      <c r="D8" s="98">
        <f>D43</f>
        <v>30</v>
      </c>
      <c r="E8" s="54" t="s">
        <v>87</v>
      </c>
      <c r="F8" s="143"/>
      <c r="G8" s="58"/>
    </row>
    <row r="9" spans="1:14" ht="17" customHeight="1">
      <c r="A9" s="58"/>
      <c r="B9" s="133"/>
      <c r="C9" s="54" t="s">
        <v>174</v>
      </c>
      <c r="D9" s="98">
        <f>R69</f>
        <v>2</v>
      </c>
      <c r="E9" s="54" t="s">
        <v>87</v>
      </c>
      <c r="F9" s="54" t="s">
        <v>193</v>
      </c>
      <c r="G9" s="58"/>
    </row>
    <row r="10" spans="1:14" ht="17" customHeight="1">
      <c r="A10" s="58"/>
      <c r="B10" s="133"/>
      <c r="C10" s="54" t="s">
        <v>103</v>
      </c>
      <c r="D10" s="140">
        <f>1-R67/52</f>
        <v>0.92307692307692313</v>
      </c>
      <c r="F10" s="54" t="s">
        <v>193</v>
      </c>
      <c r="G10" s="58"/>
    </row>
    <row r="11" spans="1:14" ht="17" customHeight="1">
      <c r="A11" s="58"/>
      <c r="B11" s="133"/>
      <c r="F11" s="58"/>
      <c r="G11" s="58"/>
    </row>
    <row r="12" spans="1:14" ht="17" customHeight="1">
      <c r="A12" s="58"/>
      <c r="B12" s="133"/>
      <c r="C12" s="54" t="s">
        <v>73</v>
      </c>
      <c r="D12" s="149">
        <f>F50</f>
        <v>10440000</v>
      </c>
      <c r="E12" s="54" t="s">
        <v>19</v>
      </c>
      <c r="F12" s="58"/>
      <c r="G12" s="58"/>
    </row>
    <row r="13" spans="1:14" ht="17" customHeight="1">
      <c r="A13" s="58"/>
      <c r="B13" s="133"/>
      <c r="C13" s="54" t="s">
        <v>88</v>
      </c>
      <c r="D13" s="149">
        <f>F51</f>
        <v>560000</v>
      </c>
      <c r="E13" s="54" t="s">
        <v>94</v>
      </c>
      <c r="F13" s="58"/>
      <c r="G13" s="58"/>
    </row>
    <row r="14" spans="1:14" ht="17" customHeight="1">
      <c r="A14" s="58"/>
      <c r="B14" s="133"/>
      <c r="C14" s="54" t="s">
        <v>89</v>
      </c>
      <c r="D14" s="149">
        <f>F53</f>
        <v>69.599999999999994</v>
      </c>
      <c r="E14" s="54" t="s">
        <v>56</v>
      </c>
      <c r="F14" s="58"/>
      <c r="G14" s="58"/>
    </row>
    <row r="15" spans="1:14" ht="17" customHeight="1">
      <c r="A15" s="58"/>
      <c r="B15" s="139"/>
      <c r="D15" s="140"/>
      <c r="G15" s="58"/>
    </row>
    <row r="16" spans="1:14" ht="17" customHeight="1">
      <c r="A16" s="58"/>
      <c r="B16" s="133"/>
      <c r="C16" s="58" t="s">
        <v>95</v>
      </c>
      <c r="D16" s="138"/>
      <c r="E16" s="54" t="s">
        <v>206</v>
      </c>
      <c r="G16" s="58"/>
    </row>
    <row r="17" spans="1:8" ht="17" customHeight="1">
      <c r="A17" s="58"/>
      <c r="B17" s="133"/>
      <c r="C17" s="54" t="s">
        <v>98</v>
      </c>
      <c r="D17" s="138">
        <f>E30</f>
        <v>0.27512437810945278</v>
      </c>
      <c r="E17" s="138">
        <f>D17</f>
        <v>0.27512437810945278</v>
      </c>
      <c r="G17" s="58"/>
    </row>
    <row r="18" spans="1:8" ht="17" customHeight="1">
      <c r="A18" s="58"/>
      <c r="B18" s="133"/>
      <c r="C18" s="54" t="s">
        <v>205</v>
      </c>
      <c r="D18" s="138">
        <f>E31</f>
        <v>0.22238805970149256</v>
      </c>
      <c r="E18" s="138">
        <f t="shared" ref="E18:E19" si="0">D18</f>
        <v>0.22238805970149256</v>
      </c>
      <c r="G18" s="58"/>
    </row>
    <row r="19" spans="1:8" ht="17" customHeight="1">
      <c r="A19" s="58"/>
      <c r="B19" s="133"/>
      <c r="C19" s="54" t="s">
        <v>69</v>
      </c>
      <c r="D19" s="138">
        <f>E32</f>
        <v>0.50248756218905466</v>
      </c>
      <c r="E19" s="138">
        <f t="shared" si="0"/>
        <v>0.50248756218905466</v>
      </c>
      <c r="F19" s="58"/>
      <c r="G19" s="58"/>
    </row>
    <row r="20" spans="1:8" ht="17" customHeight="1">
      <c r="A20" s="58"/>
      <c r="B20" s="133"/>
      <c r="C20" s="54" t="s">
        <v>194</v>
      </c>
      <c r="D20" s="138">
        <f>E34</f>
        <v>0.56218905472636815</v>
      </c>
      <c r="E20" s="138">
        <v>0.56000000000000005</v>
      </c>
      <c r="F20" s="54" t="s">
        <v>200</v>
      </c>
      <c r="G20" s="58"/>
    </row>
    <row r="21" spans="1:8" ht="17" customHeight="1">
      <c r="A21" s="58"/>
      <c r="B21" s="133"/>
      <c r="C21" s="54" t="s">
        <v>195</v>
      </c>
      <c r="D21" s="138">
        <f>E35</f>
        <v>0.28855721393034828</v>
      </c>
      <c r="E21" s="138">
        <f>1-(E20+E22)</f>
        <v>0.27999999999999992</v>
      </c>
      <c r="F21" s="58"/>
      <c r="G21" s="54" t="s">
        <v>201</v>
      </c>
      <c r="H21" s="54">
        <f>E20/E22</f>
        <v>3.5000000000000004</v>
      </c>
    </row>
    <row r="22" spans="1:8" ht="17" customHeight="1">
      <c r="A22" s="58"/>
      <c r="B22" s="133"/>
      <c r="C22" s="54" t="s">
        <v>199</v>
      </c>
      <c r="D22" s="138">
        <f>E36</f>
        <v>0.1492537313432836</v>
      </c>
      <c r="E22" s="54">
        <v>0.16</v>
      </c>
      <c r="F22" s="58"/>
      <c r="G22" s="58"/>
    </row>
    <row r="23" spans="1:8" ht="17" customHeight="1">
      <c r="A23" s="58"/>
      <c r="B23" s="133"/>
      <c r="D23" s="138"/>
      <c r="E23" s="58"/>
      <c r="F23" s="58"/>
      <c r="G23" s="58"/>
    </row>
    <row r="24" spans="1:8" ht="17" customHeight="1">
      <c r="A24" s="58"/>
      <c r="B24" s="133"/>
      <c r="C24" s="58"/>
      <c r="D24" s="58"/>
      <c r="E24" s="58"/>
      <c r="F24" s="58"/>
      <c r="G24" s="58"/>
    </row>
    <row r="25" spans="1:8" ht="17" customHeight="1">
      <c r="A25" s="58"/>
      <c r="B25" s="133"/>
      <c r="C25" s="58" t="s">
        <v>182</v>
      </c>
      <c r="G25" s="58"/>
    </row>
    <row r="26" spans="1:8" ht="17" customHeight="1">
      <c r="A26" s="58"/>
      <c r="B26" s="133"/>
      <c r="C26" s="54" t="s">
        <v>104</v>
      </c>
      <c r="G26" s="58"/>
    </row>
    <row r="27" spans="1:8" ht="17" customHeight="1">
      <c r="A27" s="58"/>
      <c r="B27" s="133"/>
      <c r="G27" s="58"/>
    </row>
    <row r="28" spans="1:8" ht="17" customHeight="1">
      <c r="A28" s="58"/>
      <c r="B28" s="133"/>
      <c r="C28" s="54" t="s">
        <v>115</v>
      </c>
      <c r="G28" s="58"/>
    </row>
    <row r="29" spans="1:8" ht="17" customHeight="1">
      <c r="A29" s="58"/>
      <c r="B29" s="133"/>
      <c r="C29" s="58" t="s">
        <v>84</v>
      </c>
      <c r="D29" s="54" t="s">
        <v>81</v>
      </c>
      <c r="E29" s="54" t="s">
        <v>83</v>
      </c>
      <c r="G29" s="58"/>
    </row>
    <row r="30" spans="1:8" ht="17" customHeight="1">
      <c r="B30" s="133"/>
      <c r="C30" s="54" t="s">
        <v>116</v>
      </c>
      <c r="D30" s="54">
        <v>0.55300000000000005</v>
      </c>
      <c r="E30" s="138">
        <f>D30/$D$37</f>
        <v>0.27512437810945278</v>
      </c>
      <c r="G30" s="58"/>
    </row>
    <row r="31" spans="1:8" ht="17" customHeight="1">
      <c r="A31" s="58"/>
      <c r="B31" s="133"/>
      <c r="C31" s="54" t="s">
        <v>202</v>
      </c>
      <c r="D31" s="54">
        <v>0.44700000000000001</v>
      </c>
      <c r="E31" s="138">
        <f>D31/$D$37</f>
        <v>0.22238805970149256</v>
      </c>
      <c r="G31" s="54" t="s">
        <v>203</v>
      </c>
    </row>
    <row r="32" spans="1:8" ht="17" customHeight="1">
      <c r="A32" s="58"/>
      <c r="B32" s="133"/>
      <c r="C32" s="54" t="s">
        <v>82</v>
      </c>
      <c r="E32" s="138">
        <f>1-SUM(E30:E31)</f>
        <v>0.50248756218905466</v>
      </c>
      <c r="G32" s="54" t="s">
        <v>204</v>
      </c>
    </row>
    <row r="33" spans="1:7" ht="17" customHeight="1">
      <c r="A33" s="58"/>
      <c r="B33" s="133"/>
      <c r="C33" s="58" t="s">
        <v>85</v>
      </c>
      <c r="G33" s="58"/>
    </row>
    <row r="34" spans="1:7" ht="17" customHeight="1">
      <c r="A34" s="58"/>
      <c r="B34" s="133"/>
      <c r="C34" s="54" t="s">
        <v>117</v>
      </c>
      <c r="D34" s="54">
        <v>1.1299999999999999</v>
      </c>
      <c r="E34" s="138">
        <f>D34/$D$37</f>
        <v>0.56218905472636815</v>
      </c>
      <c r="G34" s="58"/>
    </row>
    <row r="35" spans="1:7" ht="17" customHeight="1">
      <c r="A35" s="58"/>
      <c r="B35" s="133"/>
      <c r="C35" s="54" t="s">
        <v>118</v>
      </c>
      <c r="D35" s="54">
        <v>0.57999999999999996</v>
      </c>
      <c r="E35" s="138">
        <f>D35/$D$37</f>
        <v>0.28855721393034828</v>
      </c>
      <c r="G35" s="58"/>
    </row>
    <row r="36" spans="1:7" ht="17" customHeight="1">
      <c r="A36" s="58"/>
      <c r="B36" s="133"/>
      <c r="C36" s="54" t="s">
        <v>112</v>
      </c>
      <c r="D36" s="54">
        <v>0.3</v>
      </c>
      <c r="E36" s="138">
        <f>D36/$D$37</f>
        <v>0.1492537313432836</v>
      </c>
    </row>
    <row r="37" spans="1:7" ht="17" customHeight="1">
      <c r="A37" s="58"/>
      <c r="B37" s="133"/>
      <c r="C37" s="54" t="s">
        <v>198</v>
      </c>
      <c r="D37" s="54">
        <f>SUM(D34:D36)</f>
        <v>2.0099999999999998</v>
      </c>
      <c r="E37" s="54">
        <f>SUM(E34:E36)</f>
        <v>1</v>
      </c>
    </row>
    <row r="38" spans="1:7" ht="17" customHeight="1">
      <c r="A38" s="58"/>
      <c r="B38" s="133"/>
      <c r="G38" s="58"/>
    </row>
    <row r="39" spans="1:7" ht="17" customHeight="1">
      <c r="A39" s="58"/>
      <c r="B39" s="133"/>
      <c r="C39" s="58" t="s">
        <v>86</v>
      </c>
      <c r="F39" s="146"/>
      <c r="G39" s="58"/>
    </row>
    <row r="40" spans="1:7" ht="17" customHeight="1">
      <c r="A40" s="58"/>
      <c r="B40" s="133"/>
      <c r="C40" s="54" t="s">
        <v>184</v>
      </c>
    </row>
    <row r="41" spans="1:7" ht="17" customHeight="1">
      <c r="A41" s="58"/>
      <c r="B41" s="133"/>
      <c r="C41" s="54" t="s">
        <v>119</v>
      </c>
      <c r="D41" s="54">
        <v>22</v>
      </c>
      <c r="E41" s="54" t="s">
        <v>76</v>
      </c>
    </row>
    <row r="42" spans="1:7" ht="17" customHeight="1">
      <c r="A42" s="58"/>
      <c r="B42" s="133"/>
      <c r="C42" s="54" t="s">
        <v>74</v>
      </c>
      <c r="D42" s="54">
        <v>7500</v>
      </c>
      <c r="E42" s="54" t="s">
        <v>91</v>
      </c>
    </row>
    <row r="43" spans="1:7" ht="17" customHeight="1">
      <c r="A43" s="58"/>
      <c r="B43" s="133"/>
      <c r="C43" s="54" t="s">
        <v>75</v>
      </c>
      <c r="D43" s="54">
        <v>30</v>
      </c>
      <c r="E43" s="54" t="s">
        <v>87</v>
      </c>
    </row>
    <row r="44" spans="1:7" ht="17" customHeight="1">
      <c r="A44" s="58"/>
      <c r="B44" s="133"/>
    </row>
    <row r="45" spans="1:7" ht="17" customHeight="1">
      <c r="A45" s="58"/>
      <c r="B45" s="133"/>
      <c r="C45" s="208" t="s">
        <v>185</v>
      </c>
    </row>
    <row r="46" spans="1:7" ht="17" customHeight="1">
      <c r="A46" s="58"/>
      <c r="B46" s="133"/>
      <c r="C46" s="54" t="s">
        <v>186</v>
      </c>
    </row>
    <row r="47" spans="1:7" ht="17" customHeight="1">
      <c r="A47" s="58"/>
      <c r="B47" s="133"/>
      <c r="C47" s="54" t="s">
        <v>190</v>
      </c>
    </row>
    <row r="48" spans="1:7" ht="17" customHeight="1">
      <c r="A48" s="58"/>
      <c r="B48" s="133"/>
    </row>
    <row r="49" spans="1:26" ht="17" customHeight="1">
      <c r="A49" s="58"/>
      <c r="B49" s="133"/>
      <c r="D49" s="54" t="s">
        <v>187</v>
      </c>
      <c r="E49" s="54" t="s">
        <v>188</v>
      </c>
      <c r="F49" s="54" t="s">
        <v>189</v>
      </c>
    </row>
    <row r="50" spans="1:26" ht="17" customHeight="1">
      <c r="A50" s="58"/>
      <c r="B50" s="133"/>
      <c r="C50" s="54" t="s">
        <v>73</v>
      </c>
      <c r="D50" s="149">
        <f>1.62*$D$41*10^6</f>
        <v>35640000</v>
      </c>
      <c r="E50" s="150">
        <f>D60</f>
        <v>25200000</v>
      </c>
      <c r="F50" s="150">
        <f>D50-E50</f>
        <v>10440000</v>
      </c>
      <c r="G50" s="54" t="s">
        <v>71</v>
      </c>
    </row>
    <row r="51" spans="1:26" ht="17" customHeight="1">
      <c r="A51" s="58"/>
      <c r="B51" s="133"/>
      <c r="C51" s="54" t="s">
        <v>88</v>
      </c>
      <c r="D51" s="149">
        <f>0.08*$D$41*10^6</f>
        <v>1760000</v>
      </c>
      <c r="E51" s="150">
        <f t="shared" ref="E51:E53" si="1">D61</f>
        <v>1200000</v>
      </c>
      <c r="F51" s="150">
        <f t="shared" ref="F51:F53" si="2">D51-E51</f>
        <v>560000</v>
      </c>
      <c r="G51" s="54" t="s">
        <v>90</v>
      </c>
    </row>
    <row r="52" spans="1:26" ht="17" customHeight="1">
      <c r="A52" s="58"/>
      <c r="B52" s="133"/>
      <c r="C52" s="54" t="s">
        <v>89</v>
      </c>
      <c r="D52" s="149">
        <f>0.05*D50</f>
        <v>1782000</v>
      </c>
      <c r="E52" s="150">
        <f t="shared" si="1"/>
        <v>1260000</v>
      </c>
      <c r="F52" s="150">
        <f t="shared" si="2"/>
        <v>522000</v>
      </c>
      <c r="G52" s="54" t="s">
        <v>90</v>
      </c>
      <c r="N52" s="54" t="s">
        <v>173</v>
      </c>
    </row>
    <row r="53" spans="1:26" ht="17" customHeight="1">
      <c r="A53" s="58"/>
      <c r="B53" s="133"/>
      <c r="C53" s="54" t="s">
        <v>89</v>
      </c>
      <c r="D53" s="138">
        <f>D52/D42</f>
        <v>237.6</v>
      </c>
      <c r="E53" s="150">
        <f t="shared" si="1"/>
        <v>168</v>
      </c>
      <c r="F53" s="150">
        <f t="shared" si="2"/>
        <v>69.599999999999994</v>
      </c>
      <c r="G53" s="54" t="s">
        <v>92</v>
      </c>
      <c r="N53" s="158" t="s">
        <v>120</v>
      </c>
      <c r="O53" s="159"/>
      <c r="P53" s="201" t="s">
        <v>121</v>
      </c>
      <c r="Q53" s="202"/>
      <c r="R53" s="202"/>
      <c r="S53" s="202"/>
      <c r="T53" s="202"/>
      <c r="U53" s="202"/>
      <c r="V53" s="202"/>
      <c r="W53" s="202"/>
      <c r="X53" s="202"/>
      <c r="Y53" s="202"/>
      <c r="Z53" s="202"/>
    </row>
    <row r="54" spans="1:26" ht="17" customHeight="1">
      <c r="A54" s="58"/>
      <c r="B54" s="133"/>
      <c r="N54" s="160" t="s">
        <v>122</v>
      </c>
      <c r="O54" s="161"/>
      <c r="P54" s="162">
        <v>2015</v>
      </c>
      <c r="Q54" s="162">
        <v>2020</v>
      </c>
      <c r="R54" s="162">
        <v>2030</v>
      </c>
      <c r="S54" s="162">
        <v>2040</v>
      </c>
      <c r="T54" s="162">
        <v>2050</v>
      </c>
      <c r="U54" s="163">
        <v>2020</v>
      </c>
      <c r="V54" s="163">
        <v>2020</v>
      </c>
      <c r="W54" s="163">
        <v>2050</v>
      </c>
      <c r="X54" s="163">
        <v>2050</v>
      </c>
      <c r="Y54" s="164" t="s">
        <v>123</v>
      </c>
      <c r="Z54" s="164" t="s">
        <v>124</v>
      </c>
    </row>
    <row r="55" spans="1:26" ht="17" customHeight="1" thickBot="1">
      <c r="A55" s="58"/>
      <c r="B55" s="133"/>
      <c r="E55" s="138"/>
      <c r="F55" s="146"/>
      <c r="G55" s="58"/>
      <c r="N55" s="165" t="s">
        <v>125</v>
      </c>
      <c r="O55" s="166"/>
      <c r="P55" s="167" t="s">
        <v>126</v>
      </c>
      <c r="Q55" s="167" t="s">
        <v>126</v>
      </c>
      <c r="R55" s="167" t="s">
        <v>126</v>
      </c>
      <c r="S55" s="167" t="s">
        <v>126</v>
      </c>
      <c r="T55" s="167" t="s">
        <v>126</v>
      </c>
      <c r="U55" s="168" t="s">
        <v>127</v>
      </c>
      <c r="V55" s="168" t="s">
        <v>128</v>
      </c>
      <c r="W55" s="168" t="s">
        <v>127</v>
      </c>
      <c r="X55" s="168" t="s">
        <v>128</v>
      </c>
      <c r="Y55" s="169" t="s">
        <v>2</v>
      </c>
      <c r="Z55" s="169" t="s">
        <v>2</v>
      </c>
    </row>
    <row r="56" spans="1:26" ht="17" customHeight="1">
      <c r="A56" s="58"/>
      <c r="B56" s="133"/>
      <c r="C56" s="58" t="s">
        <v>191</v>
      </c>
      <c r="F56" s="146"/>
      <c r="G56" s="58"/>
      <c r="N56" s="170" t="s">
        <v>129</v>
      </c>
      <c r="O56" s="171" t="s">
        <v>130</v>
      </c>
      <c r="P56" s="172"/>
      <c r="Q56" s="172"/>
      <c r="R56" s="172"/>
      <c r="S56" s="172"/>
      <c r="T56" s="172"/>
      <c r="U56" s="172"/>
      <c r="V56" s="172"/>
      <c r="W56" s="172"/>
      <c r="X56" s="172"/>
      <c r="Y56" s="173"/>
      <c r="Z56" s="173"/>
    </row>
    <row r="57" spans="1:26" ht="17" customHeight="1">
      <c r="A57" s="58"/>
      <c r="B57" s="133"/>
      <c r="C57" s="54" t="s">
        <v>192</v>
      </c>
      <c r="D57" s="54">
        <v>15</v>
      </c>
      <c r="E57" s="54" t="s">
        <v>113</v>
      </c>
      <c r="G57" s="58"/>
      <c r="N57" s="174" t="s">
        <v>131</v>
      </c>
      <c r="O57" s="174"/>
      <c r="P57" s="172"/>
      <c r="Q57" s="172"/>
      <c r="R57" s="172"/>
      <c r="S57" s="172"/>
      <c r="T57" s="172"/>
      <c r="U57" s="172"/>
      <c r="V57" s="172"/>
      <c r="W57" s="172"/>
      <c r="X57" s="172"/>
      <c r="Y57" s="173"/>
      <c r="Z57" s="173"/>
    </row>
    <row r="58" spans="1:26" ht="17" customHeight="1">
      <c r="A58" s="58"/>
      <c r="B58" s="133"/>
      <c r="C58" s="54" t="s">
        <v>74</v>
      </c>
      <c r="D58" s="54">
        <v>7500</v>
      </c>
      <c r="E58" s="54" t="s">
        <v>91</v>
      </c>
      <c r="G58" s="58"/>
      <c r="N58" s="174"/>
      <c r="O58" s="175" t="s">
        <v>132</v>
      </c>
      <c r="P58" s="176">
        <v>20</v>
      </c>
      <c r="Q58" s="176">
        <v>80</v>
      </c>
      <c r="R58" s="195">
        <v>200</v>
      </c>
      <c r="S58" s="176">
        <v>500</v>
      </c>
      <c r="T58" s="176">
        <v>1000</v>
      </c>
      <c r="U58" s="177">
        <v>0.5</v>
      </c>
      <c r="V58" s="177">
        <v>1.25</v>
      </c>
      <c r="W58" s="177">
        <v>0.75</v>
      </c>
      <c r="X58" s="177">
        <v>1.25</v>
      </c>
      <c r="Y58" s="173" t="s">
        <v>133</v>
      </c>
      <c r="Z58" s="173" t="s">
        <v>134</v>
      </c>
    </row>
    <row r="59" spans="1:26">
      <c r="G59" s="58"/>
      <c r="N59" s="174"/>
      <c r="O59" s="175" t="s">
        <v>135</v>
      </c>
      <c r="P59" s="176">
        <v>10</v>
      </c>
      <c r="Q59" s="176">
        <v>40</v>
      </c>
      <c r="R59" s="195">
        <v>105</v>
      </c>
      <c r="S59" s="176">
        <v>265</v>
      </c>
      <c r="T59" s="176">
        <v>520</v>
      </c>
      <c r="U59" s="177">
        <v>0.5</v>
      </c>
      <c r="V59" s="177">
        <v>1.25</v>
      </c>
      <c r="W59" s="177">
        <v>0.75</v>
      </c>
      <c r="X59" s="177">
        <v>1.25</v>
      </c>
      <c r="Y59" s="173" t="s">
        <v>136</v>
      </c>
      <c r="Z59" s="173" t="s">
        <v>134</v>
      </c>
    </row>
    <row r="60" spans="1:26">
      <c r="C60" s="54" t="s">
        <v>73</v>
      </c>
      <c r="D60" s="149">
        <f>1.68*10^6*D57</f>
        <v>25200000</v>
      </c>
      <c r="E60" s="54" t="s">
        <v>71</v>
      </c>
      <c r="F60" s="54" t="s">
        <v>114</v>
      </c>
      <c r="G60" s="58"/>
      <c r="N60" s="174"/>
      <c r="O60" s="174" t="s">
        <v>85</v>
      </c>
      <c r="P60" s="176"/>
      <c r="Q60" s="176"/>
      <c r="R60" s="195"/>
      <c r="S60" s="176"/>
      <c r="T60" s="176"/>
      <c r="U60" s="176"/>
      <c r="V60" s="176"/>
      <c r="W60" s="176"/>
      <c r="X60" s="176"/>
      <c r="Y60" s="173"/>
      <c r="Z60" s="173"/>
    </row>
    <row r="61" spans="1:26">
      <c r="C61" s="54" t="s">
        <v>88</v>
      </c>
      <c r="D61" s="149">
        <f>0.08*D57*10^6</f>
        <v>1200000</v>
      </c>
      <c r="E61" s="54" t="s">
        <v>90</v>
      </c>
      <c r="G61" s="58"/>
      <c r="N61" s="174"/>
      <c r="O61" s="175" t="s">
        <v>137</v>
      </c>
      <c r="P61" s="176">
        <v>1</v>
      </c>
      <c r="Q61" s="176">
        <v>1</v>
      </c>
      <c r="R61" s="195">
        <v>1</v>
      </c>
      <c r="S61" s="176">
        <v>1</v>
      </c>
      <c r="T61" s="176">
        <v>1</v>
      </c>
      <c r="U61" s="178">
        <v>0.9</v>
      </c>
      <c r="V61" s="178">
        <v>1.5</v>
      </c>
      <c r="W61" s="178">
        <v>0.9</v>
      </c>
      <c r="X61" s="178">
        <v>1.25</v>
      </c>
      <c r="Y61" s="173" t="s">
        <v>138</v>
      </c>
      <c r="Z61" s="173">
        <v>4</v>
      </c>
    </row>
    <row r="62" spans="1:26">
      <c r="C62" s="54" t="s">
        <v>89</v>
      </c>
      <c r="D62" s="149">
        <f>0.05*D60</f>
        <v>1260000</v>
      </c>
      <c r="E62" s="54" t="s">
        <v>90</v>
      </c>
      <c r="G62" s="58"/>
      <c r="N62" s="174"/>
      <c r="O62" s="174" t="s">
        <v>84</v>
      </c>
      <c r="P62" s="176"/>
      <c r="Q62" s="176"/>
      <c r="R62" s="195"/>
      <c r="S62" s="176"/>
      <c r="T62" s="176"/>
      <c r="U62" s="178"/>
      <c r="V62" s="178"/>
      <c r="W62" s="178"/>
      <c r="X62" s="178"/>
      <c r="Y62" s="173"/>
      <c r="Z62" s="173"/>
    </row>
    <row r="63" spans="1:26">
      <c r="C63" s="54" t="s">
        <v>89</v>
      </c>
      <c r="D63" s="138">
        <f>D62/D58</f>
        <v>168</v>
      </c>
      <c r="E63" s="54" t="s">
        <v>92</v>
      </c>
      <c r="G63" s="58"/>
      <c r="N63" s="174"/>
      <c r="O63" s="175" t="s">
        <v>139</v>
      </c>
      <c r="P63" s="176">
        <v>0.6</v>
      </c>
      <c r="Q63" s="176">
        <v>0.6</v>
      </c>
      <c r="R63" s="195">
        <v>0.62</v>
      </c>
      <c r="S63" s="176">
        <v>0.64</v>
      </c>
      <c r="T63" s="176">
        <v>0.65</v>
      </c>
      <c r="U63" s="178">
        <v>0.9</v>
      </c>
      <c r="V63" s="178">
        <v>1.1000000000000001</v>
      </c>
      <c r="W63" s="178">
        <v>0.9</v>
      </c>
      <c r="X63" s="178">
        <v>1.1000000000000001</v>
      </c>
      <c r="Y63" s="173" t="s">
        <v>138</v>
      </c>
      <c r="Z63" s="173">
        <v>4</v>
      </c>
    </row>
    <row r="64" spans="1:26">
      <c r="G64" s="58"/>
      <c r="N64" s="174"/>
      <c r="O64" s="175" t="s">
        <v>140</v>
      </c>
      <c r="P64" s="176">
        <v>0.23200000000000001</v>
      </c>
      <c r="Q64" s="176">
        <v>0.23200000000000001</v>
      </c>
      <c r="R64" s="195">
        <v>0.23200000000000001</v>
      </c>
      <c r="S64" s="176">
        <v>0.23200000000000001</v>
      </c>
      <c r="T64" s="176">
        <v>0.23200000000000001</v>
      </c>
      <c r="U64" s="178">
        <v>0.9</v>
      </c>
      <c r="V64" s="178">
        <v>1.1000000000000001</v>
      </c>
      <c r="W64" s="178">
        <v>0.9</v>
      </c>
      <c r="X64" s="178">
        <v>1.1000000000000001</v>
      </c>
      <c r="Y64" s="173" t="s">
        <v>138</v>
      </c>
      <c r="Z64" s="173">
        <v>4</v>
      </c>
    </row>
    <row r="65" spans="3:26">
      <c r="G65" s="58"/>
      <c r="N65" s="174"/>
      <c r="O65" s="175" t="s">
        <v>141</v>
      </c>
      <c r="P65" s="176">
        <v>1.6E-2</v>
      </c>
      <c r="Q65" s="176">
        <v>1.6E-2</v>
      </c>
      <c r="R65" s="195">
        <v>1.6E-2</v>
      </c>
      <c r="S65" s="176">
        <v>1.6E-2</v>
      </c>
      <c r="T65" s="176">
        <v>1.6E-2</v>
      </c>
      <c r="U65" s="176">
        <v>0.9</v>
      </c>
      <c r="V65" s="176">
        <v>1.1000000000000001</v>
      </c>
      <c r="W65" s="176">
        <v>0.9</v>
      </c>
      <c r="X65" s="176">
        <v>1.1000000000000001</v>
      </c>
      <c r="Y65" s="173" t="s">
        <v>138</v>
      </c>
      <c r="Z65" s="173">
        <v>4</v>
      </c>
    </row>
    <row r="66" spans="3:26">
      <c r="C66" s="58"/>
      <c r="D66" s="138"/>
      <c r="E66" s="98"/>
      <c r="G66" s="58"/>
      <c r="N66" s="174"/>
      <c r="O66" s="175" t="s">
        <v>142</v>
      </c>
      <c r="P66" s="176" t="s">
        <v>143</v>
      </c>
      <c r="Q66" s="176">
        <v>4</v>
      </c>
      <c r="R66" s="195">
        <v>0</v>
      </c>
      <c r="S66" s="176">
        <v>0</v>
      </c>
      <c r="T66" s="176">
        <v>0</v>
      </c>
      <c r="U66" s="176"/>
      <c r="V66" s="176"/>
      <c r="W66" s="176"/>
      <c r="X66" s="176"/>
      <c r="Y66" s="173"/>
      <c r="Z66" s="173"/>
    </row>
    <row r="67" spans="3:26">
      <c r="E67" s="138"/>
      <c r="G67" s="58"/>
      <c r="N67" s="174"/>
      <c r="O67" s="175" t="s">
        <v>144</v>
      </c>
      <c r="P67" s="176">
        <v>4</v>
      </c>
      <c r="Q67" s="176">
        <v>4</v>
      </c>
      <c r="R67" s="195">
        <v>4</v>
      </c>
      <c r="S67" s="176">
        <v>4</v>
      </c>
      <c r="T67" s="176">
        <v>4</v>
      </c>
      <c r="U67" s="176"/>
      <c r="V67" s="176"/>
      <c r="W67" s="176"/>
      <c r="X67" s="176"/>
      <c r="Y67" s="173" t="s">
        <v>145</v>
      </c>
      <c r="Z67" s="173">
        <v>8</v>
      </c>
    </row>
    <row r="68" spans="3:26">
      <c r="D68" s="138"/>
      <c r="E68" s="138"/>
      <c r="G68" s="58"/>
      <c r="N68" s="174"/>
      <c r="O68" s="175" t="s">
        <v>146</v>
      </c>
      <c r="P68" s="176">
        <v>25</v>
      </c>
      <c r="Q68" s="176">
        <v>25</v>
      </c>
      <c r="R68" s="195">
        <v>25</v>
      </c>
      <c r="S68" s="176">
        <v>25</v>
      </c>
      <c r="T68" s="176">
        <v>25</v>
      </c>
      <c r="U68" s="176"/>
      <c r="V68" s="176"/>
      <c r="W68" s="176"/>
      <c r="X68" s="176"/>
      <c r="Y68" s="173"/>
      <c r="Z68" s="173"/>
    </row>
    <row r="69" spans="3:26">
      <c r="N69" s="174"/>
      <c r="O69" s="175" t="s">
        <v>147</v>
      </c>
      <c r="P69" s="176">
        <v>2</v>
      </c>
      <c r="Q69" s="176">
        <v>2</v>
      </c>
      <c r="R69" s="195">
        <v>2</v>
      </c>
      <c r="S69" s="176">
        <v>2</v>
      </c>
      <c r="T69" s="176">
        <v>2</v>
      </c>
      <c r="U69" s="176"/>
      <c r="V69" s="176"/>
      <c r="W69" s="176"/>
      <c r="X69" s="176"/>
      <c r="Y69" s="173"/>
      <c r="Z69" s="173"/>
    </row>
    <row r="70" spans="3:26">
      <c r="N70" s="174" t="s">
        <v>148</v>
      </c>
      <c r="O70" s="174"/>
      <c r="P70" s="176"/>
      <c r="Q70" s="176"/>
      <c r="R70" s="195"/>
      <c r="S70" s="176"/>
      <c r="T70" s="176"/>
      <c r="U70" s="176"/>
      <c r="V70" s="176"/>
      <c r="W70" s="176"/>
      <c r="X70" s="176"/>
      <c r="Y70" s="173"/>
      <c r="Z70" s="173"/>
    </row>
    <row r="71" spans="3:26">
      <c r="N71" s="174"/>
      <c r="O71" s="175" t="s">
        <v>149</v>
      </c>
      <c r="P71" s="179">
        <v>2.5521599999999998</v>
      </c>
      <c r="Q71" s="179">
        <v>2.0417279999999995</v>
      </c>
      <c r="R71" s="196">
        <v>1.2153142857142856</v>
      </c>
      <c r="S71" s="179">
        <v>0.9028867924528301</v>
      </c>
      <c r="T71" s="179">
        <v>0.73619999999999997</v>
      </c>
      <c r="U71" s="176">
        <v>0.79754999999999998</v>
      </c>
      <c r="V71" s="176">
        <v>1.3292499999999998</v>
      </c>
      <c r="W71" s="176">
        <v>0.79754999999999998</v>
      </c>
      <c r="X71" s="176">
        <v>1.3292499999999998</v>
      </c>
      <c r="Y71" s="173" t="s">
        <v>150</v>
      </c>
      <c r="Z71" s="173" t="s">
        <v>151</v>
      </c>
    </row>
    <row r="72" spans="3:26">
      <c r="N72" s="174"/>
      <c r="O72" s="175" t="s">
        <v>152</v>
      </c>
      <c r="P72" s="180">
        <v>75</v>
      </c>
      <c r="Q72" s="180">
        <v>75</v>
      </c>
      <c r="R72" s="197">
        <v>75</v>
      </c>
      <c r="S72" s="180">
        <v>75</v>
      </c>
      <c r="T72" s="180">
        <v>75</v>
      </c>
      <c r="U72" s="173"/>
      <c r="V72" s="173"/>
      <c r="W72" s="173"/>
      <c r="X72" s="173"/>
      <c r="Y72" s="173"/>
      <c r="Z72" s="173"/>
    </row>
    <row r="73" spans="3:26">
      <c r="N73" s="174"/>
      <c r="O73" s="175" t="s">
        <v>153</v>
      </c>
      <c r="P73" s="180">
        <v>25</v>
      </c>
      <c r="Q73" s="180">
        <v>25</v>
      </c>
      <c r="R73" s="197">
        <v>25</v>
      </c>
      <c r="S73" s="180">
        <v>25</v>
      </c>
      <c r="T73" s="180">
        <v>25</v>
      </c>
      <c r="U73" s="173"/>
      <c r="V73" s="173"/>
      <c r="W73" s="173"/>
      <c r="X73" s="173"/>
      <c r="Y73" s="173"/>
      <c r="Z73" s="173"/>
    </row>
    <row r="74" spans="3:26">
      <c r="N74" s="174"/>
      <c r="O74" s="175" t="s">
        <v>154</v>
      </c>
      <c r="P74" s="176">
        <v>7.6564799999999988E-2</v>
      </c>
      <c r="Q74" s="176">
        <v>7.6564799999999988E-2</v>
      </c>
      <c r="R74" s="198">
        <v>7.2918857142857119E-2</v>
      </c>
      <c r="S74" s="181">
        <v>7.2230943396226405E-2</v>
      </c>
      <c r="T74" s="181">
        <v>7.3619999999999991E-2</v>
      </c>
      <c r="U74" s="176">
        <v>0.79754999999999998</v>
      </c>
      <c r="V74" s="176">
        <v>1.3292499999999998</v>
      </c>
      <c r="W74" s="176">
        <v>0.79754999999999998</v>
      </c>
      <c r="X74" s="176">
        <v>1.3292499999999998</v>
      </c>
      <c r="Y74" s="173" t="s">
        <v>155</v>
      </c>
      <c r="Z74" s="173">
        <v>6</v>
      </c>
    </row>
    <row r="75" spans="3:26">
      <c r="N75" s="174"/>
      <c r="O75" s="175" t="s">
        <v>156</v>
      </c>
      <c r="P75" s="182">
        <v>2.8711799999999998</v>
      </c>
      <c r="Q75" s="182">
        <v>2.8711799999999998</v>
      </c>
      <c r="R75" s="199">
        <v>2.8711799999999998</v>
      </c>
      <c r="S75" s="182">
        <v>2.8711799999999998</v>
      </c>
      <c r="T75" s="182">
        <v>2.8711799999999998</v>
      </c>
      <c r="U75" s="177">
        <v>0.75</v>
      </c>
      <c r="V75" s="177">
        <v>1.25</v>
      </c>
      <c r="W75" s="177">
        <v>0.75</v>
      </c>
      <c r="X75" s="177">
        <v>1.25</v>
      </c>
      <c r="Y75" s="173" t="s">
        <v>155</v>
      </c>
      <c r="Z75" s="173">
        <v>6</v>
      </c>
    </row>
    <row r="76" spans="3:26">
      <c r="N76" s="174"/>
      <c r="O76" s="175" t="s">
        <v>157</v>
      </c>
      <c r="P76" s="181" t="s">
        <v>143</v>
      </c>
      <c r="Q76" s="181">
        <v>0</v>
      </c>
      <c r="R76" s="198">
        <v>0</v>
      </c>
      <c r="S76" s="181">
        <v>0</v>
      </c>
      <c r="T76" s="181">
        <v>0</v>
      </c>
      <c r="U76" s="178">
        <v>0</v>
      </c>
      <c r="V76" s="178">
        <v>0</v>
      </c>
      <c r="W76" s="178">
        <v>0</v>
      </c>
      <c r="X76" s="178">
        <v>0</v>
      </c>
      <c r="Y76" s="173"/>
      <c r="Z76" s="173"/>
    </row>
    <row r="77" spans="3:26">
      <c r="N77" s="174" t="s">
        <v>158</v>
      </c>
      <c r="O77" s="183"/>
      <c r="P77" s="176"/>
      <c r="Q77" s="176"/>
      <c r="R77" s="195"/>
      <c r="S77" s="176"/>
      <c r="T77" s="176"/>
      <c r="U77" s="178"/>
      <c r="V77" s="178"/>
      <c r="W77" s="178"/>
      <c r="X77" s="178"/>
      <c r="Y77" s="173"/>
      <c r="Z77" s="173"/>
    </row>
    <row r="78" spans="3:26">
      <c r="N78" s="174"/>
      <c r="O78" s="175" t="s">
        <v>159</v>
      </c>
      <c r="P78" s="176">
        <v>16</v>
      </c>
      <c r="Q78" s="176">
        <v>16</v>
      </c>
      <c r="R78" s="195">
        <v>16</v>
      </c>
      <c r="S78" s="176">
        <v>16</v>
      </c>
      <c r="T78" s="176">
        <v>16</v>
      </c>
      <c r="U78" s="176"/>
      <c r="V78" s="176"/>
      <c r="W78" s="176"/>
      <c r="X78" s="176"/>
      <c r="Y78" s="173"/>
      <c r="Z78" s="173"/>
    </row>
    <row r="79" spans="3:26">
      <c r="N79" s="174"/>
      <c r="O79" s="175" t="s">
        <v>160</v>
      </c>
      <c r="P79" s="176">
        <v>1.2</v>
      </c>
      <c r="Q79" s="176">
        <v>1.2</v>
      </c>
      <c r="R79" s="195">
        <v>1.2</v>
      </c>
      <c r="S79" s="176">
        <v>1.2</v>
      </c>
      <c r="T79" s="176">
        <v>1.2</v>
      </c>
      <c r="U79" s="176"/>
      <c r="V79" s="176"/>
      <c r="W79" s="176"/>
      <c r="X79" s="176"/>
      <c r="Y79" s="173"/>
      <c r="Z79" s="173"/>
    </row>
    <row r="80" spans="3:26">
      <c r="N80" s="174"/>
      <c r="O80" s="175" t="s">
        <v>161</v>
      </c>
      <c r="P80" s="176">
        <v>1.276047264</v>
      </c>
      <c r="Q80" s="176">
        <v>1.0208378112000001</v>
      </c>
      <c r="R80" s="195">
        <v>0.63802363200000001</v>
      </c>
      <c r="S80" s="176">
        <v>0.47851772400000003</v>
      </c>
      <c r="T80" s="176">
        <v>0.38281417919999999</v>
      </c>
      <c r="U80" s="176">
        <v>0.75</v>
      </c>
      <c r="V80" s="176">
        <v>1.25</v>
      </c>
      <c r="W80" s="176">
        <v>0.75</v>
      </c>
      <c r="X80" s="176">
        <v>1.25</v>
      </c>
      <c r="Y80" s="173" t="s">
        <v>150</v>
      </c>
      <c r="Z80" s="173" t="s">
        <v>151</v>
      </c>
    </row>
    <row r="81" spans="14:26">
      <c r="N81" s="174"/>
      <c r="O81" s="175" t="s">
        <v>152</v>
      </c>
      <c r="P81" s="180">
        <v>75</v>
      </c>
      <c r="Q81" s="180">
        <v>75</v>
      </c>
      <c r="R81" s="197">
        <v>75</v>
      </c>
      <c r="S81" s="180">
        <v>75</v>
      </c>
      <c r="T81" s="180">
        <v>75</v>
      </c>
      <c r="U81" s="177"/>
      <c r="V81" s="177"/>
      <c r="W81" s="177"/>
      <c r="X81" s="177"/>
      <c r="Y81" s="173"/>
      <c r="Z81" s="173"/>
    </row>
    <row r="82" spans="14:26">
      <c r="N82" s="174"/>
      <c r="O82" s="175" t="s">
        <v>153</v>
      </c>
      <c r="P82" s="176">
        <v>25</v>
      </c>
      <c r="Q82" s="176">
        <v>25</v>
      </c>
      <c r="R82" s="195">
        <v>25</v>
      </c>
      <c r="S82" s="176">
        <v>25</v>
      </c>
      <c r="T82" s="176">
        <v>25</v>
      </c>
      <c r="U82" s="176"/>
      <c r="V82" s="176"/>
      <c r="W82" s="176"/>
      <c r="X82" s="176"/>
      <c r="Y82" s="173"/>
      <c r="Z82" s="173"/>
    </row>
    <row r="83" spans="14:26">
      <c r="N83" s="174"/>
      <c r="O83" s="175" t="s">
        <v>162</v>
      </c>
      <c r="P83" s="176">
        <v>3.8281417919999998E-2</v>
      </c>
      <c r="Q83" s="176">
        <v>3.8281417919999998E-2</v>
      </c>
      <c r="R83" s="195">
        <v>3.8281417919999998E-2</v>
      </c>
      <c r="S83" s="176">
        <v>3.8281417919999998E-2</v>
      </c>
      <c r="T83" s="176">
        <v>3.8281417919999998E-2</v>
      </c>
      <c r="U83" s="176">
        <v>0.75</v>
      </c>
      <c r="V83" s="176">
        <v>1.25</v>
      </c>
      <c r="W83" s="176">
        <v>0.75</v>
      </c>
      <c r="X83" s="176">
        <v>1.25</v>
      </c>
      <c r="Y83" s="173" t="s">
        <v>155</v>
      </c>
      <c r="Z83" s="173">
        <v>6</v>
      </c>
    </row>
    <row r="84" spans="14:26">
      <c r="N84" s="174"/>
      <c r="O84" s="175" t="s">
        <v>163</v>
      </c>
      <c r="P84" s="181">
        <v>1.2760472640000001E-2</v>
      </c>
      <c r="Q84" s="181">
        <v>1.2760472640000001E-2</v>
      </c>
      <c r="R84" s="198">
        <v>1.2760472640000001E-2</v>
      </c>
      <c r="S84" s="181">
        <v>1.2760472640000001E-2</v>
      </c>
      <c r="T84" s="181">
        <v>1.2760472640000001E-2</v>
      </c>
      <c r="U84" s="176">
        <v>0.75</v>
      </c>
      <c r="V84" s="177">
        <v>1.25</v>
      </c>
      <c r="W84" s="177">
        <v>0.75</v>
      </c>
      <c r="X84" s="177">
        <v>1.25</v>
      </c>
      <c r="Y84" s="173" t="s">
        <v>155</v>
      </c>
      <c r="Z84" s="173">
        <v>6</v>
      </c>
    </row>
    <row r="85" spans="14:26" ht="17" thickBot="1">
      <c r="N85" s="184"/>
      <c r="O85" s="185" t="s">
        <v>157</v>
      </c>
      <c r="P85" s="186" t="s">
        <v>143</v>
      </c>
      <c r="Q85" s="186">
        <v>0</v>
      </c>
      <c r="R85" s="200">
        <v>0</v>
      </c>
      <c r="S85" s="186">
        <v>0</v>
      </c>
      <c r="T85" s="186">
        <v>0</v>
      </c>
      <c r="U85" s="187"/>
      <c r="V85" s="187"/>
      <c r="W85" s="187"/>
      <c r="X85" s="187"/>
      <c r="Y85" s="188"/>
      <c r="Z85" s="188"/>
    </row>
    <row r="86" spans="14:26">
      <c r="N86" s="183"/>
      <c r="O86" s="183"/>
      <c r="P86" s="189"/>
      <c r="Q86" s="189"/>
      <c r="R86" s="189"/>
      <c r="S86" s="189"/>
      <c r="T86" s="189"/>
      <c r="U86" s="190"/>
      <c r="V86" s="190"/>
      <c r="W86" s="190"/>
      <c r="X86" s="190"/>
      <c r="Y86" s="191"/>
      <c r="Z86" s="191"/>
    </row>
    <row r="87" spans="14:26">
      <c r="N87" s="192" t="s">
        <v>164</v>
      </c>
      <c r="O87" s="183"/>
      <c r="P87" s="183"/>
      <c r="Q87" s="183"/>
      <c r="R87" s="183"/>
      <c r="S87" s="183"/>
      <c r="T87" s="183"/>
      <c r="U87" s="183"/>
      <c r="V87" s="183"/>
      <c r="W87" s="183"/>
      <c r="X87" s="183"/>
      <c r="Y87" s="183"/>
      <c r="Z87" s="183"/>
    </row>
    <row r="88" spans="14:26">
      <c r="N88" s="193"/>
      <c r="O88" s="194" t="s">
        <v>165</v>
      </c>
      <c r="P88" s="183"/>
      <c r="Q88" s="183"/>
      <c r="R88" s="183"/>
      <c r="S88" s="183"/>
      <c r="T88" s="183"/>
      <c r="U88" s="183"/>
      <c r="V88" s="183"/>
      <c r="W88" s="183"/>
      <c r="X88" s="183"/>
      <c r="Y88" s="183"/>
      <c r="Z88" s="183"/>
    </row>
    <row r="89" spans="14:26">
      <c r="N89" s="193"/>
      <c r="O89" s="194" t="s">
        <v>166</v>
      </c>
      <c r="P89" s="183"/>
      <c r="Q89" s="183"/>
      <c r="R89" s="183"/>
      <c r="S89" s="183"/>
      <c r="T89" s="183"/>
      <c r="U89" s="183"/>
      <c r="V89" s="183"/>
      <c r="W89" s="183"/>
      <c r="X89" s="183"/>
      <c r="Y89" s="183"/>
      <c r="Z89" s="183"/>
    </row>
    <row r="90" spans="14:26">
      <c r="N90" s="193"/>
      <c r="O90" s="194" t="s">
        <v>167</v>
      </c>
      <c r="P90" s="183"/>
      <c r="Q90" s="183"/>
      <c r="R90" s="183"/>
      <c r="S90" s="183"/>
      <c r="T90" s="183"/>
      <c r="U90" s="183"/>
      <c r="V90" s="183"/>
      <c r="W90" s="183"/>
      <c r="X90" s="183"/>
      <c r="Y90" s="183"/>
      <c r="Z90" s="183"/>
    </row>
    <row r="91" spans="14:26">
      <c r="N91" s="193"/>
      <c r="O91" s="194" t="s">
        <v>168</v>
      </c>
      <c r="P91" s="183"/>
      <c r="Q91" s="183"/>
      <c r="R91" s="183"/>
      <c r="S91" s="183"/>
      <c r="T91" s="183"/>
      <c r="U91" s="183"/>
      <c r="V91" s="183"/>
      <c r="W91" s="183"/>
      <c r="X91" s="183"/>
      <c r="Y91" s="183"/>
      <c r="Z91" s="183"/>
    </row>
    <row r="92" spans="14:26">
      <c r="N92" s="193"/>
      <c r="O92" s="194" t="s">
        <v>169</v>
      </c>
      <c r="P92" s="183"/>
      <c r="Q92" s="183"/>
      <c r="R92" s="183"/>
      <c r="S92" s="183"/>
      <c r="T92" s="183"/>
      <c r="U92" s="183"/>
      <c r="V92" s="183"/>
      <c r="W92" s="183"/>
      <c r="X92" s="183"/>
      <c r="Y92" s="183"/>
      <c r="Z92" s="183"/>
    </row>
    <row r="93" spans="14:26">
      <c r="N93" s="193"/>
      <c r="O93" s="194" t="s">
        <v>170</v>
      </c>
      <c r="P93" s="183"/>
      <c r="Q93" s="183"/>
      <c r="R93" s="183"/>
      <c r="S93" s="183"/>
      <c r="T93" s="183"/>
      <c r="U93" s="183"/>
      <c r="V93" s="183"/>
      <c r="W93" s="183"/>
      <c r="X93" s="183"/>
      <c r="Y93" s="183"/>
      <c r="Z93" s="183"/>
    </row>
    <row r="94" spans="14:26">
      <c r="N94" s="193"/>
      <c r="O94" s="194" t="s">
        <v>171</v>
      </c>
      <c r="P94" s="183"/>
      <c r="Q94" s="183"/>
      <c r="R94" s="183"/>
      <c r="S94" s="183"/>
      <c r="T94" s="183"/>
      <c r="U94" s="183"/>
      <c r="V94" s="183"/>
      <c r="W94" s="183"/>
      <c r="X94" s="183"/>
      <c r="Y94" s="183"/>
      <c r="Z94" s="183"/>
    </row>
    <row r="95" spans="14:26">
      <c r="N95" s="193"/>
      <c r="O95" s="194" t="s">
        <v>172</v>
      </c>
      <c r="P95" s="183"/>
      <c r="Q95" s="183"/>
      <c r="R95" s="183"/>
      <c r="S95" s="183"/>
      <c r="T95" s="183"/>
      <c r="U95" s="183"/>
      <c r="V95" s="183"/>
      <c r="W95" s="183"/>
      <c r="X95" s="183"/>
      <c r="Y95" s="183"/>
      <c r="Z95" s="183"/>
    </row>
    <row r="97" spans="14:14">
      <c r="N97" s="54" t="s">
        <v>111</v>
      </c>
    </row>
  </sheetData>
  <hyperlinks>
    <hyperlink ref="P53" location="INDEX" display="Fast Pyrolysis Bio Oil" xr:uid="{F53999A5-51DB-C743-9109-D2721CC1BA5E}"/>
  </hyperlinks>
  <pageMargins left="0.75" right="0.75" top="1" bottom="1" header="0.5" footer="0.5"/>
  <pageSetup paperSize="9" orientation="portrait" horizontalDpi="4294967292" verticalDpi="4294967292"/>
  <drawing r:id="rId1"/>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5</vt:i4>
      </vt:variant>
    </vt:vector>
  </HeadingPairs>
  <TitlesOfParts>
    <vt:vector size="5" baseType="lpstr">
      <vt:lpstr>Cover sheet</vt:lpstr>
      <vt:lpstr>Dashboard</vt:lpstr>
      <vt:lpstr>Research data</vt:lpstr>
      <vt:lpstr>Sources</vt:lpstr>
      <vt:lpstr>Notes</vt:lpstr>
    </vt:vector>
  </TitlesOfParts>
  <Company>Quintel Intelligence</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Nick Rothengatter</dc:creator>
  <cp:lastModifiedBy>Kyra de Haan</cp:lastModifiedBy>
  <cp:lastPrinted>2015-02-13T09:40:54Z</cp:lastPrinted>
  <dcterms:created xsi:type="dcterms:W3CDTF">2011-10-26T09:05:09Z</dcterms:created>
  <dcterms:modified xsi:type="dcterms:W3CDTF">2025-10-07T14:29:12Z</dcterms:modified>
</cp:coreProperties>
</file>