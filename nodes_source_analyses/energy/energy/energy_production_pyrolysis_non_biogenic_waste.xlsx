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3EB5207B-62E2-504C-8028-D2BC6C8A95AC}" xr6:coauthVersionLast="47" xr6:coauthVersionMax="47" xr10:uidLastSave="{00000000-0000-0000-0000-000000000000}"/>
  <bookViews>
    <workbookView xWindow="-4900" yWindow="-21600" windowWidth="38400" windowHeight="21600" tabRatio="762" activeTab="1"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5" i="12" l="1"/>
  <c r="J10" i="13"/>
  <c r="J9" i="13"/>
  <c r="E20" i="20"/>
  <c r="E19" i="20"/>
  <c r="H18" i="20"/>
  <c r="D18" i="20"/>
  <c r="D9" i="20"/>
  <c r="D10" i="20"/>
  <c r="J12" i="13" s="1"/>
  <c r="D6" i="20"/>
  <c r="G29" i="20"/>
  <c r="D17" i="20" s="1"/>
  <c r="F34" i="20"/>
  <c r="G34" i="20" s="1"/>
  <c r="D20" i="20" s="1"/>
  <c r="J8" i="13" s="1"/>
  <c r="F31" i="20"/>
  <c r="F30" i="20"/>
  <c r="G30" i="20" s="1"/>
  <c r="F29" i="20"/>
  <c r="F32" i="20" l="1"/>
  <c r="G32" i="20" l="1"/>
  <c r="D19" i="20" s="1"/>
  <c r="D51" i="20"/>
  <c r="D44" i="20"/>
  <c r="D43" i="20"/>
  <c r="D45" i="20" s="1"/>
  <c r="E30" i="20"/>
  <c r="E31" i="20"/>
  <c r="E29" i="20"/>
  <c r="E32" i="20" l="1"/>
  <c r="H12" i="13"/>
  <c r="E17" i="12" s="1"/>
  <c r="H16" i="13"/>
  <c r="E21" i="12" s="1"/>
  <c r="E33" i="12" l="1"/>
  <c r="E24" i="12"/>
  <c r="D7" i="20" l="1"/>
  <c r="J11" i="13" s="1"/>
  <c r="H11" i="13" s="1"/>
  <c r="D46" i="20"/>
  <c r="D14" i="20" s="1"/>
  <c r="J18" i="13" s="1"/>
  <c r="H18" i="13" s="1"/>
  <c r="D13" i="20"/>
  <c r="J17" i="13" s="1"/>
  <c r="H17" i="13" s="1"/>
  <c r="D12" i="20"/>
  <c r="J26" i="13"/>
  <c r="H26" i="13" s="1"/>
  <c r="E32" i="12" s="1"/>
  <c r="D8" i="20"/>
  <c r="J25" i="13" s="1"/>
  <c r="J15" i="13" l="1"/>
  <c r="H15" i="13" s="1"/>
  <c r="H20" i="13"/>
  <c r="E25" i="12" s="1"/>
  <c r="H21" i="13"/>
  <c r="E26" i="12" s="1"/>
  <c r="H19" i="13"/>
  <c r="H25" i="13" l="1"/>
  <c r="E31" i="12" s="1"/>
  <c r="E16" i="12"/>
  <c r="E19" i="13"/>
  <c r="E21" i="13"/>
  <c r="H22" i="13"/>
  <c r="H9" i="13" l="1"/>
  <c r="E14" i="12" s="1"/>
  <c r="E20" i="13"/>
  <c r="E23" i="12"/>
  <c r="H8" i="13" l="1"/>
  <c r="E13" i="12" s="1"/>
  <c r="H10" i="13"/>
  <c r="J7" i="13" l="1"/>
  <c r="E18" i="13"/>
  <c r="E20" i="12"/>
  <c r="E22" i="12"/>
  <c r="H7" i="13" l="1"/>
  <c r="E12" i="12" s="1"/>
</calcChain>
</file>

<file path=xl/sharedStrings.xml><?xml version="1.0" encoding="utf-8"?>
<sst xmlns="http://schemas.openxmlformats.org/spreadsheetml/2006/main" count="308" uniqueCount="202">
  <si>
    <t>Source</t>
  </si>
  <si>
    <t>years</t>
  </si>
  <si>
    <t>-</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</si>
  <si>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</si>
  <si>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</si>
  <si>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</si>
  <si>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</si>
  <si>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</si>
  <si>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</si>
  <si>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</si>
  <si>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</si>
  <si>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</si>
  <si>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</si>
  <si>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</si>
  <si>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</si>
  <si>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</si>
  <si>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</si>
  <si>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</si>
  <si>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</si>
  <si>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</si>
  <si>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</si>
  <si>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</si>
  <si>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</si>
  <si>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</si>
  <si>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</si>
  <si>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</si>
  <si>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</si>
  <si>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</si>
  <si>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</si>
  <si>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</si>
  <si>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</si>
  <si>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</si>
  <si>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</si>
  <si>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</si>
  <si>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</si>
  <si>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</si>
  <si>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</si>
  <si>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</si>
  <si>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</si>
  <si>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</si>
  <si>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</si>
  <si>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</si>
  <si>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</si>
  <si>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Comments</t>
  </si>
  <si>
    <t>ETM Library URL</t>
  </si>
  <si>
    <t>Values</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</si>
  <si>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</si>
  <si>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</si>
  <si>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</si>
  <si>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</si>
  <si>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</si>
  <si>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</si>
  <si>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</si>
  <si>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</si>
  <si>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</si>
  <si>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</si>
  <si>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</si>
  <si>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</si>
  <si>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</si>
  <si>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hrs/yr</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</si>
  <si>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</si>
  <si>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</si>
  <si>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</si>
  <si>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</si>
  <si>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</si>
  <si>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</si>
  <si>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</si>
  <si>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</si>
  <si>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</si>
  <si>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</si>
  <si>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MWe</t>
  </si>
  <si>
    <t>€</t>
  </si>
  <si>
    <t>Subject</t>
  </si>
  <si>
    <t>Investment</t>
  </si>
  <si>
    <t>electricity</t>
  </si>
  <si>
    <t>Full load hours</t>
  </si>
  <si>
    <t>Technical lifetime</t>
  </si>
  <si>
    <t>MW</t>
  </si>
  <si>
    <t>hours</t>
  </si>
  <si>
    <t>All specs</t>
  </si>
  <si>
    <t>NL</t>
  </si>
  <si>
    <t>TNO - Energy.nl</t>
  </si>
  <si>
    <t>Original</t>
  </si>
  <si>
    <t>loss</t>
  </si>
  <si>
    <t>Converted to output for 1 PJ input</t>
  </si>
  <si>
    <t>biomass</t>
  </si>
  <si>
    <t>Output</t>
  </si>
  <si>
    <t>Input</t>
  </si>
  <si>
    <t>Plant specs</t>
  </si>
  <si>
    <t>y</t>
  </si>
  <si>
    <t>Fixed O&amp;M</t>
  </si>
  <si>
    <t>Variable O&amp;M</t>
  </si>
  <si>
    <t>€/y</t>
  </si>
  <si>
    <t>h</t>
  </si>
  <si>
    <t>€/flh</t>
  </si>
  <si>
    <t>Overview</t>
  </si>
  <si>
    <t>euro/y</t>
  </si>
  <si>
    <t>Input/output</t>
  </si>
  <si>
    <t>input.dry_biomass</t>
  </si>
  <si>
    <t>Input capacity</t>
  </si>
  <si>
    <t>DEA &amp; TNO</t>
  </si>
  <si>
    <t>See https://docs.energytransitionmodel.com/main/cost-wacc/</t>
  </si>
  <si>
    <t>Kyra de Haan</t>
  </si>
  <si>
    <t>CO2 emissions</t>
  </si>
  <si>
    <t>ccs_investment</t>
  </si>
  <si>
    <t>taken from energy_hydrogen_biomass_gasification_ccs</t>
  </si>
  <si>
    <t>availability</t>
  </si>
  <si>
    <t>Pyrolysis oil production from biomass</t>
  </si>
  <si>
    <t>Based on specs from energy.nl</t>
  </si>
  <si>
    <t>Pyrolysis oil production</t>
  </si>
  <si>
    <t>Production of pyrolysis bio-oil from solid biomass via fast pyrolysis</t>
  </si>
  <si>
    <t>https://energy.nl/data/production-of-pyrolysis-bio-oil-from-solid-biomass-via-fast-pyrolysis/</t>
  </si>
  <si>
    <t>Pyrolysis oil upgrade</t>
  </si>
  <si>
    <t>Upgrade of pyrolysis bio-oil from fast pyrolysis to biofuels</t>
  </si>
  <si>
    <t>https://energy.nl/data/upgrade-of-pyrolysis-bio-oil-from-fast-pyrolysis-to-biofuels/</t>
  </si>
  <si>
    <t>Pyrolysis oil production from energy.nl:</t>
  </si>
  <si>
    <t>pyrolysis-oil</t>
  </si>
  <si>
    <t>steam</t>
  </si>
  <si>
    <t>MWth</t>
  </si>
  <si>
    <t>Plant size (output?)</t>
  </si>
  <si>
    <t>Plant size (feedstock input)</t>
  </si>
  <si>
    <t>values for 'current' are taken, lower costs in 2030 are expected to be insignificant compared to inflation effect from 2015 unitl now</t>
  </si>
  <si>
    <t>kton/PJ pyrolysis oil</t>
  </si>
  <si>
    <t>kg CO2 / MJ pyrolysis oil</t>
  </si>
  <si>
    <t>In-and output fractions pyrolysis</t>
  </si>
  <si>
    <t>Technology</t>
  </si>
  <si>
    <t>Fast Pyrolysis Bio Oil</t>
  </si>
  <si>
    <t>year</t>
  </si>
  <si>
    <t>Note</t>
  </si>
  <si>
    <t>Ref</t>
  </si>
  <si>
    <t>est</t>
  </si>
  <si>
    <t>ctrl</t>
  </si>
  <si>
    <t>Lower</t>
  </si>
  <si>
    <t>Upper</t>
  </si>
  <si>
    <t>cat</t>
  </si>
  <si>
    <t>par</t>
  </si>
  <si>
    <t>Energy/technical data</t>
  </si>
  <si>
    <t>Typical total plant size [1,000 t Bio Oil/year]</t>
  </si>
  <si>
    <t>A, B</t>
  </si>
  <si>
    <t>1, 6</t>
  </si>
  <si>
    <t>Typical total plant size [MW]</t>
  </si>
  <si>
    <t>A, A1, B</t>
  </si>
  <si>
    <t>Feedstock Consumption [MWh/MWh Total Input]</t>
  </si>
  <si>
    <t>E</t>
  </si>
  <si>
    <t>Bio Oil Output [MWh/MWh Total Input]</t>
  </si>
  <si>
    <t>Steam Output [MWh/MWh Total Input]</t>
  </si>
  <si>
    <t>Power Output [MWh/MWh Total Input]</t>
  </si>
  <si>
    <t>Forced outage [%]</t>
  </si>
  <si>
    <t>n.a.</t>
  </si>
  <si>
    <t>Planned outage [weeks per year]</t>
  </si>
  <si>
    <t>C</t>
  </si>
  <si>
    <t>Technical lifetime [years]</t>
  </si>
  <si>
    <t>Construction time [years]</t>
  </si>
  <si>
    <t>Financial data</t>
  </si>
  <si>
    <t>Specific investment [M€/MW Bio Oil]</t>
  </si>
  <si>
    <t>D, G</t>
  </si>
  <si>
    <t>6, 8</t>
  </si>
  <si>
    <t xml:space="preserve"> - equipment [%]</t>
  </si>
  <si>
    <t xml:space="preserve"> - installation [%]</t>
  </si>
  <si>
    <t>Fixed O&amp;M [M€/MW/year Bio Oil]</t>
  </si>
  <si>
    <t>F, G</t>
  </si>
  <si>
    <t>Variable O&amp;M [€/MWh Bio Oil]</t>
  </si>
  <si>
    <t>Start up [M€/1,000 t Bio Oil]</t>
  </si>
  <si>
    <t>Technology-specific data</t>
  </si>
  <si>
    <t>Specific energy content [GJ/ton] bio-oil]</t>
  </si>
  <si>
    <t>Specific density  [kg/l] or [ton/m3]</t>
  </si>
  <si>
    <t>Specific investment [M€/1,000 t Bio Oil]</t>
  </si>
  <si>
    <t>Fixed O&amp;M [M€/1,000 t Bio Oil]</t>
  </si>
  <si>
    <t>Variable O&amp;M [M€/1,000 t Bio Oil]</t>
  </si>
  <si>
    <t>Notes:</t>
  </si>
  <si>
    <r>
      <t>A.</t>
    </r>
    <r>
      <rPr>
        <sz val="8"/>
        <color rgb="FF000000"/>
        <rFont val="Calibri"/>
        <family val="2"/>
      </rPr>
      <t>     The plant size range is likely limited by the feedstock availability.</t>
    </r>
  </si>
  <si>
    <t>A1. This value is the hourly rating and has been calculated as if the unit produces at capacity and was in operations 8,000 h/year.</t>
  </si>
  <si>
    <r>
      <t>B.</t>
    </r>
    <r>
      <rPr>
        <sz val="8"/>
        <color rgb="FF000000"/>
        <rFont val="Calibri"/>
        <family val="2"/>
      </rPr>
      <t>     The plant size range is typical of the range found in the literature. It is highly uncertain given that the commercial demonstration plants in operation are much smaller.</t>
    </r>
  </si>
  <si>
    <r>
      <t>C.</t>
    </r>
    <r>
      <rPr>
        <sz val="8"/>
        <color rgb="FF000000"/>
        <rFont val="Calibri"/>
        <family val="2"/>
      </rPr>
      <t>     This is twice the time normally found in process operations.</t>
    </r>
  </si>
  <si>
    <r>
      <t>D.</t>
    </r>
    <r>
      <rPr>
        <sz val="8"/>
        <color rgb="FF000000"/>
        <rFont val="Calibri"/>
        <family val="2"/>
      </rPr>
      <t>     Capital costs for n</t>
    </r>
    <r>
      <rPr>
        <vertAlign val="superscript"/>
        <sz val="8"/>
        <color rgb="FF000000"/>
        <rFont val="Calibri"/>
        <family val="2"/>
      </rPr>
      <t>th</t>
    </r>
    <r>
      <rPr>
        <sz val="8"/>
        <color rgb="FF000000"/>
        <rFont val="Calibri"/>
        <family val="2"/>
      </rPr>
      <t xml:space="preserve"> plant are used for 2050 and earlier costs are estimates.</t>
    </r>
  </si>
  <si>
    <r>
      <t>E.</t>
    </r>
    <r>
      <rPr>
        <sz val="8"/>
        <color rgb="FF000000"/>
        <rFont val="Calibri"/>
        <family val="2"/>
      </rPr>
      <t>     These are based on the commercial demonstration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</si>
  <si>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</si>
  <si>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G.</t>
    </r>
    <r>
      <rPr>
        <sz val="8"/>
        <color rgb="FF000000"/>
        <rFont val="Calibri"/>
        <family val="2"/>
      </rPr>
      <t>    M €/k tonne is million euro per 1,000 tonnes</t>
    </r>
  </si>
  <si>
    <t>Pyrolysis oil production:</t>
  </si>
  <si>
    <t>Construction period</t>
  </si>
  <si>
    <t>validation with DEA</t>
  </si>
  <si>
    <t>original</t>
  </si>
  <si>
    <t>corrected</t>
  </si>
  <si>
    <t>the values of DEA seem more logic</t>
  </si>
  <si>
    <t>assumption: allocate electricity to internal consumption / loss</t>
  </si>
  <si>
    <t>output.pyrolysis_oil</t>
  </si>
  <si>
    <t>in the text, the feedstock input capacity of 25 MWth is mentioned</t>
  </si>
  <si>
    <t>Danish Energy Agency</t>
  </si>
  <si>
    <t>Biomass gassification &amp; Fischer Tropsch</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</si>
  <si>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</si>
  <si>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</si>
  <si>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</si>
  <si>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</si>
  <si>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</si>
  <si>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output.bio_pyrolysis_oil</t>
  </si>
  <si>
    <t>input.non_biogenic_waste</t>
  </si>
  <si>
    <t>energy_production_pyrolysis_non_biogenic_waste</t>
  </si>
  <si>
    <t>tweaked value</t>
  </si>
  <si>
    <t>values slightly tweaked to get the same ratio pyrolys_oil / steam_hot_water as for fractionation process</t>
  </si>
  <si>
    <t>ratio</t>
  </si>
  <si>
    <t>value</t>
  </si>
  <si>
    <t>output.steam_hot_water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</si>
</sst>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
    <numFmt numFmtId="165" formatCode="0.000"/>
    <numFmt numFmtId="166" formatCode="0.0000"/>
    <numFmt numFmtId="167" formatCode="[$-413]mmm\-yy;@"/>
    <numFmt numFmtId="168" formatCode="_ * #,##0_ ;_ * \-#,##0_ ;_ * &quot;-&quot;??_ ;_ @_ "/>
  </numFmts>
  <fonts count="56">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i/>
      <sz val="12"/>
      <name val="Calibri"/>
      <family val="2"/>
      <scheme val="minor"/>
    </font>
    <font>
      <sz val="12"/>
      <color rgb="FFFF0000"/>
      <name val="Calibri"/>
      <family val="2"/>
      <scheme val="minor"/>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b/>
      <sz val="8"/>
      <name val="Calibri"/>
      <family val="2"/>
    </font>
    <font>
      <b/>
      <sz val="8"/>
      <name val="Calibri"/>
      <family val="2"/>
      <scheme val="minor"/>
    </font>
    <font>
      <sz val="8"/>
      <color theme="1"/>
      <name val="Calibri"/>
      <family val="2"/>
      <scheme val="minor"/>
    </font>
    <font>
      <sz val="8"/>
      <color theme="1"/>
      <name val="Calibri"/>
      <family val="2"/>
    </font>
    <font>
      <sz val="8"/>
      <color rgb="FF000000"/>
      <name val="Calibri"/>
      <family val="2"/>
    </font>
    <font>
      <vertAlign val="superscript"/>
      <sz val="8"/>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499">
    <xf numFmtId="0" fontId="0" fillId="0" borderId="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0"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43" fontId="43" fillId="0" borderId="0" applyFont="0" applyFill="0" applyBorder="0" applyAlignment="0" applyProtection="0"/>
    <xf numFmtId="0" fontId="28" fillId="0" borderId="0" applyNumberFormat="0" applyFill="0" applyBorder="0" applyAlignment="0" applyProtection="0"/>
    <xf numFmtId="9" fontId="43" fillId="0" borderId="0" applyFont="0" applyFill="0" applyBorder="0" applyAlignment="0" applyProtection="0"/>
  </cellStyleXfs>
  <cellXfs count="226">
    <xf numFmtId="0" fontId="0" fillId="0" borderId="0" xfId="0"/>
    <xf numFmtId="0" fontId="31" fillId="3" borderId="7" xfId="0" applyFont="1" applyFill="1" applyBorder="1"/>
    <xf numFmtId="0" fontId="32" fillId="3" borderId="17" xfId="0" applyFont="1" applyFill="1" applyBorder="1"/>
    <xf numFmtId="0" fontId="31" fillId="3" borderId="13" xfId="0" applyFont="1" applyFill="1" applyBorder="1"/>
    <xf numFmtId="0" fontId="33" fillId="3" borderId="7" xfId="0" applyFont="1" applyFill="1" applyBorder="1" applyAlignment="1">
      <alignment vertical="center"/>
    </xf>
    <xf numFmtId="49" fontId="31" fillId="2" borderId="8" xfId="0" applyNumberFormat="1" applyFont="1" applyFill="1" applyBorder="1" applyAlignment="1">
      <alignment horizontal="left"/>
    </xf>
    <xf numFmtId="0" fontId="33" fillId="3" borderId="1" xfId="0" applyFont="1" applyFill="1" applyBorder="1" applyAlignment="1">
      <alignment vertical="center"/>
    </xf>
    <xf numFmtId="0" fontId="31" fillId="3" borderId="14" xfId="0" applyFont="1" applyFill="1" applyBorder="1"/>
    <xf numFmtId="0" fontId="31" fillId="3" borderId="0" xfId="0" applyFont="1" applyFill="1"/>
    <xf numFmtId="0" fontId="30" fillId="2" borderId="0" xfId="0" applyFont="1" applyFill="1" applyAlignment="1">
      <alignment vertical="center"/>
    </xf>
    <xf numFmtId="1" fontId="30" fillId="2" borderId="0" xfId="0" applyNumberFormat="1" applyFont="1" applyFill="1" applyAlignment="1">
      <alignment horizontal="right" vertical="center"/>
    </xf>
    <xf numFmtId="2" fontId="30" fillId="2" borderId="0" xfId="0" applyNumberFormat="1" applyFont="1" applyFill="1" applyAlignment="1">
      <alignment horizontal="right" vertical="center"/>
    </xf>
    <xf numFmtId="0" fontId="30" fillId="2" borderId="0" xfId="0" applyFont="1" applyFill="1"/>
    <xf numFmtId="0" fontId="30" fillId="2" borderId="5" xfId="0" applyFont="1" applyFill="1" applyBorder="1"/>
    <xf numFmtId="0" fontId="30" fillId="2" borderId="9" xfId="0" applyFont="1" applyFill="1" applyBorder="1"/>
    <xf numFmtId="0" fontId="30" fillId="0" borderId="9" xfId="0" applyFont="1" applyBorder="1"/>
    <xf numFmtId="0" fontId="32" fillId="0" borderId="9" xfId="0" applyFont="1" applyBorder="1"/>
    <xf numFmtId="49" fontId="30" fillId="2" borderId="0" xfId="0" applyNumberFormat="1" applyFont="1" applyFill="1"/>
    <xf numFmtId="49" fontId="30" fillId="2" borderId="9" xfId="0" applyNumberFormat="1" applyFont="1" applyFill="1" applyBorder="1"/>
    <xf numFmtId="0" fontId="30" fillId="2" borderId="4" xfId="0" applyFont="1" applyFill="1" applyBorder="1"/>
    <xf numFmtId="0" fontId="32" fillId="0" borderId="0" xfId="0" applyFont="1"/>
    <xf numFmtId="0" fontId="27" fillId="2" borderId="0" xfId="0" applyFont="1" applyFill="1"/>
    <xf numFmtId="0" fontId="31" fillId="0" borderId="0" xfId="0" applyFont="1"/>
    <xf numFmtId="0" fontId="30" fillId="0" borderId="16" xfId="0" applyFont="1" applyBorder="1"/>
    <xf numFmtId="0" fontId="30" fillId="2" borderId="6" xfId="0" applyFont="1" applyFill="1" applyBorder="1"/>
    <xf numFmtId="0" fontId="31" fillId="3" borderId="17" xfId="0" applyFont="1" applyFill="1" applyBorder="1"/>
    <xf numFmtId="0" fontId="31" fillId="3" borderId="2" xfId="0" applyFont="1" applyFill="1" applyBorder="1"/>
    <xf numFmtId="0" fontId="27" fillId="2" borderId="2" xfId="0" applyFont="1" applyFill="1" applyBorder="1"/>
    <xf numFmtId="0" fontId="34" fillId="3" borderId="0" xfId="0" applyFont="1" applyFill="1"/>
    <xf numFmtId="0" fontId="27" fillId="2" borderId="7" xfId="0" applyFont="1" applyFill="1" applyBorder="1"/>
    <xf numFmtId="0" fontId="32" fillId="3" borderId="0" xfId="0" applyFont="1" applyFill="1"/>
    <xf numFmtId="0" fontId="30" fillId="2" borderId="0" xfId="0" applyFont="1" applyFill="1" applyAlignment="1">
      <alignment horizontal="left" vertical="center"/>
    </xf>
    <xf numFmtId="0" fontId="26" fillId="2" borderId="0" xfId="0" applyFont="1" applyFill="1"/>
    <xf numFmtId="0" fontId="26" fillId="2" borderId="3" xfId="0" applyFont="1" applyFill="1" applyBorder="1"/>
    <xf numFmtId="0" fontId="26" fillId="2" borderId="15" xfId="0" applyFont="1" applyFill="1" applyBorder="1"/>
    <xf numFmtId="0" fontId="26" fillId="0" borderId="0" xfId="0" applyFont="1"/>
    <xf numFmtId="0" fontId="26" fillId="2" borderId="6" xfId="0" applyFont="1" applyFill="1" applyBorder="1"/>
    <xf numFmtId="164" fontId="26" fillId="2" borderId="18" xfId="0" applyNumberFormat="1" applyFont="1" applyFill="1" applyBorder="1"/>
    <xf numFmtId="0" fontId="25" fillId="2" borderId="0" xfId="0" applyFont="1" applyFill="1"/>
    <xf numFmtId="0" fontId="25" fillId="2" borderId="3" xfId="0" applyFont="1" applyFill="1" applyBorder="1"/>
    <xf numFmtId="0" fontId="25" fillId="2" borderId="4" xfId="0" applyFont="1" applyFill="1" applyBorder="1"/>
    <xf numFmtId="0" fontId="25" fillId="2" borderId="6" xfId="0" applyFont="1" applyFill="1" applyBorder="1"/>
    <xf numFmtId="2" fontId="25" fillId="2" borderId="0" xfId="0" applyNumberFormat="1" applyFont="1" applyFill="1" applyAlignment="1">
      <alignment horizontal="right" vertical="center"/>
    </xf>
    <xf numFmtId="2" fontId="25" fillId="2" borderId="0" xfId="0" applyNumberFormat="1" applyFont="1" applyFill="1"/>
    <xf numFmtId="10" fontId="25" fillId="2" borderId="0" xfId="0" applyNumberFormat="1" applyFont="1" applyFill="1" applyAlignment="1">
      <alignment horizontal="left" vertical="center" indent="2"/>
    </xf>
    <xf numFmtId="0" fontId="24" fillId="0" borderId="0" xfId="0" applyFont="1"/>
    <xf numFmtId="0" fontId="23" fillId="0" borderId="0" xfId="0" applyFont="1"/>
    <xf numFmtId="0" fontId="22" fillId="2" borderId="0" xfId="0" applyFont="1" applyFill="1"/>
    <xf numFmtId="0" fontId="22" fillId="2" borderId="3" xfId="0" applyFont="1" applyFill="1" applyBorder="1"/>
    <xf numFmtId="0" fontId="22" fillId="2" borderId="4" xfId="0" applyFont="1" applyFill="1" applyBorder="1"/>
    <xf numFmtId="0" fontId="22" fillId="2" borderId="6" xfId="0" applyFont="1" applyFill="1" applyBorder="1"/>
    <xf numFmtId="49" fontId="22" fillId="2" borderId="0" xfId="0" applyNumberFormat="1" applyFont="1" applyFill="1"/>
    <xf numFmtId="49" fontId="22" fillId="2" borderId="4" xfId="0" applyNumberFormat="1" applyFont="1" applyFill="1" applyBorder="1"/>
    <xf numFmtId="0" fontId="22" fillId="2" borderId="16" xfId="0" applyFont="1" applyFill="1" applyBorder="1"/>
    <xf numFmtId="0" fontId="35" fillId="2" borderId="0" xfId="0" applyFont="1" applyFill="1"/>
    <xf numFmtId="0" fontId="35" fillId="2" borderId="3" xfId="0" applyFont="1" applyFill="1" applyBorder="1"/>
    <xf numFmtId="0" fontId="35" fillId="2" borderId="4" xfId="0" applyFont="1" applyFill="1" applyBorder="1"/>
    <xf numFmtId="0" fontId="35" fillId="2" borderId="15" xfId="0" applyFont="1" applyFill="1" applyBorder="1"/>
    <xf numFmtId="0" fontId="36" fillId="2" borderId="0" xfId="0" applyFont="1" applyFill="1"/>
    <xf numFmtId="0" fontId="35" fillId="2" borderId="9" xfId="0" applyFont="1" applyFill="1" applyBorder="1"/>
    <xf numFmtId="0" fontId="36" fillId="2" borderId="9" xfId="0" applyFont="1" applyFill="1" applyBorder="1"/>
    <xf numFmtId="0" fontId="30" fillId="2" borderId="17" xfId="0" applyFont="1" applyFill="1" applyBorder="1"/>
    <xf numFmtId="0" fontId="21" fillId="2" borderId="2" xfId="0" applyFont="1" applyFill="1" applyBorder="1"/>
    <xf numFmtId="0" fontId="30" fillId="2" borderId="7" xfId="0" applyFont="1" applyFill="1" applyBorder="1"/>
    <xf numFmtId="0" fontId="21" fillId="2" borderId="0" xfId="0" applyFont="1" applyFill="1"/>
    <xf numFmtId="0" fontId="37" fillId="2" borderId="0" xfId="0" applyFont="1" applyFill="1"/>
    <xf numFmtId="0" fontId="21" fillId="2" borderId="18" xfId="0" applyFont="1" applyFill="1" applyBorder="1"/>
    <xf numFmtId="0" fontId="21" fillId="4" borderId="0" xfId="0" applyFont="1" applyFill="1"/>
    <xf numFmtId="0" fontId="21" fillId="5" borderId="0" xfId="0" applyFont="1" applyFill="1"/>
    <xf numFmtId="0" fontId="21" fillId="6" borderId="0" xfId="0" applyFont="1" applyFill="1"/>
    <xf numFmtId="0" fontId="21" fillId="7" borderId="0" xfId="0" applyFont="1" applyFill="1"/>
    <xf numFmtId="0" fontId="21" fillId="2" borderId="7" xfId="0" applyFont="1" applyFill="1" applyBorder="1"/>
    <xf numFmtId="0" fontId="21" fillId="8" borderId="0" xfId="0" applyFont="1" applyFill="1"/>
    <xf numFmtId="0" fontId="21" fillId="9" borderId="0" xfId="0" applyFont="1" applyFill="1"/>
    <xf numFmtId="0" fontId="21" fillId="10" borderId="0" xfId="0" applyFont="1" applyFill="1"/>
    <xf numFmtId="0" fontId="21" fillId="11" borderId="0" xfId="0" applyFont="1" applyFill="1"/>
    <xf numFmtId="0" fontId="30" fillId="2" borderId="9" xfId="0" applyFont="1" applyFill="1" applyBorder="1" applyAlignment="1">
      <alignment vertical="center"/>
    </xf>
    <xf numFmtId="165" fontId="25" fillId="2" borderId="0" xfId="0" applyNumberFormat="1" applyFont="1" applyFill="1" applyAlignment="1">
      <alignment vertical="center"/>
    </xf>
    <xf numFmtId="0" fontId="30" fillId="2" borderId="19" xfId="0" applyFont="1" applyFill="1" applyBorder="1"/>
    <xf numFmtId="0" fontId="26" fillId="2" borderId="5" xfId="0" applyFont="1" applyFill="1" applyBorder="1"/>
    <xf numFmtId="0" fontId="31" fillId="2" borderId="0" xfId="0" applyFont="1" applyFill="1"/>
    <xf numFmtId="0" fontId="36" fillId="2" borderId="16" xfId="0" applyFont="1" applyFill="1" applyBorder="1"/>
    <xf numFmtId="0" fontId="35" fillId="2" borderId="19" xfId="0" applyFont="1" applyFill="1" applyBorder="1"/>
    <xf numFmtId="0" fontId="20" fillId="0" borderId="0" xfId="0" applyFont="1"/>
    <xf numFmtId="0" fontId="19" fillId="0" borderId="0" xfId="0" applyFont="1"/>
    <xf numFmtId="0" fontId="19" fillId="2" borderId="18" xfId="0" applyFont="1" applyFill="1" applyBorder="1"/>
    <xf numFmtId="0" fontId="19" fillId="2" borderId="0" xfId="0" applyFont="1" applyFill="1"/>
    <xf numFmtId="0" fontId="19" fillId="2" borderId="6" xfId="0" applyFont="1" applyFill="1" applyBorder="1"/>
    <xf numFmtId="0" fontId="19" fillId="2" borderId="5" xfId="0" applyFont="1" applyFill="1" applyBorder="1"/>
    <xf numFmtId="164" fontId="19" fillId="2" borderId="18" xfId="0" applyNumberFormat="1" applyFont="1" applyFill="1" applyBorder="1"/>
    <xf numFmtId="2" fontId="19" fillId="2" borderId="0" xfId="0" applyNumberFormat="1" applyFont="1" applyFill="1"/>
    <xf numFmtId="164" fontId="19" fillId="2" borderId="0" xfId="0" applyNumberFormat="1" applyFont="1" applyFill="1"/>
    <xf numFmtId="0" fontId="19" fillId="2" borderId="10" xfId="0" applyFont="1" applyFill="1" applyBorder="1"/>
    <xf numFmtId="0" fontId="19" fillId="2" borderId="11" xfId="0" applyFont="1" applyFill="1" applyBorder="1"/>
    <xf numFmtId="0" fontId="19" fillId="2" borderId="12" xfId="0" applyFont="1" applyFill="1" applyBorder="1"/>
    <xf numFmtId="2" fontId="19" fillId="2" borderId="0" xfId="0" applyNumberFormat="1" applyFont="1" applyFill="1" applyAlignment="1">
      <alignment horizontal="right" vertical="center"/>
    </xf>
    <xf numFmtId="1" fontId="19" fillId="2" borderId="0" xfId="0" applyNumberFormat="1" applyFont="1" applyFill="1" applyAlignment="1">
      <alignment horizontal="right" vertical="center"/>
    </xf>
    <xf numFmtId="2" fontId="19" fillId="2" borderId="18" xfId="0" applyNumberFormat="1" applyFont="1" applyFill="1" applyBorder="1" applyAlignment="1">
      <alignment horizontal="right" vertical="center"/>
    </xf>
    <xf numFmtId="1" fontId="35" fillId="2" borderId="0" xfId="0" applyNumberFormat="1" applyFont="1" applyFill="1"/>
    <xf numFmtId="166" fontId="26" fillId="2" borderId="6" xfId="0" applyNumberFormat="1" applyFont="1" applyFill="1" applyBorder="1"/>
    <xf numFmtId="166" fontId="19" fillId="0" borderId="0" xfId="0" applyNumberFormat="1" applyFont="1"/>
    <xf numFmtId="166" fontId="31" fillId="0" borderId="0" xfId="0" applyNumberFormat="1" applyFont="1"/>
    <xf numFmtId="166" fontId="26" fillId="0" borderId="0" xfId="0" applyNumberFormat="1" applyFont="1"/>
    <xf numFmtId="166" fontId="26" fillId="2" borderId="5" xfId="0" applyNumberFormat="1" applyFont="1" applyFill="1" applyBorder="1"/>
    <xf numFmtId="0" fontId="38" fillId="0" borderId="0" xfId="0" applyFont="1"/>
    <xf numFmtId="166" fontId="18" fillId="0" borderId="0" xfId="0" applyNumberFormat="1" applyFont="1"/>
    <xf numFmtId="0" fontId="18" fillId="0" borderId="0" xfId="0" applyFont="1"/>
    <xf numFmtId="0" fontId="17" fillId="2" borderId="0" xfId="0" applyFont="1" applyFill="1"/>
    <xf numFmtId="0" fontId="17" fillId="2" borderId="6" xfId="0" applyFont="1" applyFill="1" applyBorder="1"/>
    <xf numFmtId="2" fontId="17" fillId="2" borderId="18" xfId="0" applyNumberFormat="1" applyFont="1" applyFill="1" applyBorder="1" applyAlignment="1">
      <alignment horizontal="right" vertical="center"/>
    </xf>
    <xf numFmtId="2" fontId="17" fillId="2" borderId="0" xfId="0" applyNumberFormat="1" applyFont="1" applyFill="1"/>
    <xf numFmtId="0" fontId="17" fillId="0" borderId="0" xfId="0" applyFont="1"/>
    <xf numFmtId="166" fontId="17" fillId="2" borderId="18" xfId="0" applyNumberFormat="1" applyFont="1" applyFill="1" applyBorder="1"/>
    <xf numFmtId="166" fontId="16" fillId="0" borderId="0" xfId="0" applyNumberFormat="1" applyFont="1"/>
    <xf numFmtId="0" fontId="15" fillId="0" borderId="0" xfId="0" applyFont="1"/>
    <xf numFmtId="2" fontId="25" fillId="2" borderId="18" xfId="0" applyNumberFormat="1" applyFont="1" applyFill="1" applyBorder="1" applyAlignment="1">
      <alignment horizontal="right" vertical="center"/>
    </xf>
    <xf numFmtId="2" fontId="19" fillId="2" borderId="20" xfId="0" applyNumberFormat="1" applyFont="1" applyFill="1" applyBorder="1" applyAlignment="1">
      <alignment horizontal="right" vertical="center"/>
    </xf>
    <xf numFmtId="0" fontId="38" fillId="12" borderId="18" xfId="0" applyFont="1" applyFill="1" applyBorder="1"/>
    <xf numFmtId="166" fontId="14" fillId="2" borderId="18" xfId="0" applyNumberFormat="1" applyFont="1" applyFill="1" applyBorder="1"/>
    <xf numFmtId="0" fontId="13" fillId="2" borderId="18" xfId="0" applyFont="1" applyFill="1" applyBorder="1"/>
    <xf numFmtId="0" fontId="12" fillId="2" borderId="0" xfId="0" applyFont="1" applyFill="1" applyAlignment="1">
      <alignment vertical="center"/>
    </xf>
    <xf numFmtId="0" fontId="12" fillId="2" borderId="6" xfId="0" applyFont="1" applyFill="1" applyBorder="1" applyAlignment="1">
      <alignment vertical="center"/>
    </xf>
    <xf numFmtId="0" fontId="12" fillId="0" borderId="0" xfId="0" applyFont="1" applyAlignment="1">
      <alignment vertical="center"/>
    </xf>
    <xf numFmtId="0" fontId="31" fillId="0" borderId="0" xfId="0" applyFont="1" applyAlignment="1">
      <alignment vertical="center"/>
    </xf>
    <xf numFmtId="166" fontId="12" fillId="2" borderId="18" xfId="0" applyNumberFormat="1" applyFont="1" applyFill="1" applyBorder="1"/>
    <xf numFmtId="0" fontId="12" fillId="2" borderId="18" xfId="0" applyFont="1" applyFill="1" applyBorder="1" applyAlignment="1">
      <alignment vertical="center"/>
    </xf>
    <xf numFmtId="0" fontId="12" fillId="2" borderId="5" xfId="0" applyFont="1" applyFill="1" applyBorder="1" applyAlignment="1">
      <alignment vertical="center"/>
    </xf>
    <xf numFmtId="164" fontId="12" fillId="2" borderId="18" xfId="0" applyNumberFormat="1" applyFont="1" applyFill="1" applyBorder="1"/>
    <xf numFmtId="0" fontId="41" fillId="2" borderId="0" xfId="0" applyFont="1" applyFill="1" applyAlignment="1">
      <alignment vertical="center"/>
    </xf>
    <xf numFmtId="0" fontId="30" fillId="2" borderId="6" xfId="0" applyFont="1" applyFill="1" applyBorder="1" applyAlignment="1">
      <alignment vertical="center"/>
    </xf>
    <xf numFmtId="2" fontId="12" fillId="2" borderId="18" xfId="0" applyNumberFormat="1" applyFont="1" applyFill="1" applyBorder="1" applyAlignment="1">
      <alignment vertical="center"/>
    </xf>
    <xf numFmtId="0" fontId="30" fillId="0" borderId="0" xfId="0" applyFont="1" applyAlignment="1">
      <alignment vertical="center"/>
    </xf>
    <xf numFmtId="0" fontId="41" fillId="2" borderId="5" xfId="0" applyFont="1" applyFill="1" applyBorder="1" applyAlignment="1">
      <alignment vertical="center"/>
    </xf>
    <xf numFmtId="0" fontId="36" fillId="2" borderId="6" xfId="0" applyFont="1" applyFill="1" applyBorder="1"/>
    <xf numFmtId="1" fontId="19" fillId="2" borderId="18" xfId="0" applyNumberFormat="1" applyFont="1" applyFill="1" applyBorder="1" applyAlignment="1">
      <alignment horizontal="right" vertical="center"/>
    </xf>
    <xf numFmtId="0" fontId="25" fillId="2" borderId="18" xfId="0" applyFont="1" applyFill="1" applyBorder="1"/>
    <xf numFmtId="2" fontId="25" fillId="2" borderId="18" xfId="0" applyNumberFormat="1" applyFont="1" applyFill="1" applyBorder="1"/>
    <xf numFmtId="2" fontId="13" fillId="2" borderId="18" xfId="0" applyNumberFormat="1" applyFont="1" applyFill="1" applyBorder="1"/>
    <xf numFmtId="2" fontId="35" fillId="2" borderId="0" xfId="0" applyNumberFormat="1" applyFont="1" applyFill="1"/>
    <xf numFmtId="0" fontId="36" fillId="2" borderId="7" xfId="0" applyFont="1" applyFill="1" applyBorder="1"/>
    <xf numFmtId="165" fontId="35" fillId="2" borderId="0" xfId="0" applyNumberFormat="1" applyFont="1" applyFill="1"/>
    <xf numFmtId="2" fontId="19" fillId="2" borderId="18" xfId="0" applyNumberFormat="1" applyFont="1" applyFill="1" applyBorder="1"/>
    <xf numFmtId="167" fontId="11" fillId="2" borderId="0" xfId="0" applyNumberFormat="1" applyFont="1" applyFill="1"/>
    <xf numFmtId="0" fontId="42" fillId="2" borderId="0" xfId="0" applyFont="1" applyFill="1"/>
    <xf numFmtId="0" fontId="10" fillId="2" borderId="0" xfId="0" applyFont="1" applyFill="1"/>
    <xf numFmtId="1" fontId="25" fillId="2" borderId="21" xfId="0" applyNumberFormat="1" applyFont="1" applyFill="1" applyBorder="1"/>
    <xf numFmtId="0" fontId="44" fillId="2" borderId="0" xfId="0" applyFont="1" applyFill="1"/>
    <xf numFmtId="0" fontId="28" fillId="2" borderId="0" xfId="497" applyFill="1"/>
    <xf numFmtId="43" fontId="35" fillId="2" borderId="0" xfId="496" applyFont="1" applyFill="1"/>
    <xf numFmtId="168" fontId="35" fillId="2" borderId="0" xfId="496" applyNumberFormat="1" applyFont="1" applyFill="1"/>
    <xf numFmtId="168" fontId="35" fillId="2" borderId="0" xfId="0" applyNumberFormat="1" applyFont="1" applyFill="1"/>
    <xf numFmtId="0" fontId="9" fillId="0" borderId="0" xfId="0" applyFont="1" applyAlignment="1">
      <alignment vertical="center"/>
    </xf>
    <xf numFmtId="2" fontId="9" fillId="2" borderId="18" xfId="0" applyNumberFormat="1" applyFont="1" applyFill="1" applyBorder="1" applyAlignment="1">
      <alignment horizontal="right" vertical="center"/>
    </xf>
    <xf numFmtId="0" fontId="9" fillId="2" borderId="18" xfId="0" applyFont="1" applyFill="1" applyBorder="1"/>
    <xf numFmtId="0" fontId="8" fillId="0" borderId="0" xfId="0" applyFont="1"/>
    <xf numFmtId="166" fontId="12" fillId="2" borderId="0" xfId="0" applyNumberFormat="1" applyFont="1" applyFill="1"/>
    <xf numFmtId="0" fontId="7" fillId="0" borderId="0" xfId="0" applyFont="1" applyAlignment="1">
      <alignment vertical="center"/>
    </xf>
    <xf numFmtId="2" fontId="25" fillId="2" borderId="21" xfId="0" applyNumberFormat="1" applyFont="1" applyFill="1" applyBorder="1"/>
    <xf numFmtId="0" fontId="6" fillId="2" borderId="0" xfId="0" applyFont="1" applyFill="1"/>
    <xf numFmtId="0" fontId="45" fillId="2" borderId="0" xfId="0" applyFont="1" applyFill="1"/>
    <xf numFmtId="2" fontId="45" fillId="2" borderId="0" xfId="0" applyNumberFormat="1" applyFont="1" applyFill="1"/>
    <xf numFmtId="168" fontId="45" fillId="2" borderId="0" xfId="496" applyNumberFormat="1" applyFont="1" applyFill="1"/>
    <xf numFmtId="0" fontId="46" fillId="13" borderId="2" xfId="0" applyFont="1" applyFill="1" applyBorder="1" applyAlignment="1">
      <alignment horizontal="left" vertical="top"/>
    </xf>
    <xf numFmtId="0" fontId="47" fillId="13" borderId="2" xfId="0" applyFont="1" applyFill="1" applyBorder="1" applyAlignment="1">
      <alignment horizontal="left" vertical="top"/>
    </xf>
    <xf numFmtId="0" fontId="46" fillId="13" borderId="0" xfId="0" applyFont="1" applyFill="1" applyAlignment="1">
      <alignment horizontal="left" vertical="top"/>
    </xf>
    <xf numFmtId="0" fontId="47" fillId="13" borderId="0" xfId="0" applyFont="1" applyFill="1" applyAlignment="1">
      <alignment horizontal="left" vertical="top"/>
    </xf>
    <xf numFmtId="0" fontId="49" fillId="13" borderId="0" xfId="0" applyFont="1" applyFill="1" applyAlignment="1">
      <alignment horizontal="right" vertical="top"/>
    </xf>
    <xf numFmtId="0" fontId="50" fillId="13" borderId="0" xfId="0" applyFont="1" applyFill="1" applyAlignment="1">
      <alignment horizontal="right" vertical="top"/>
    </xf>
    <xf numFmtId="0" fontId="49" fillId="13" borderId="0" xfId="0" applyFont="1" applyFill="1" applyAlignment="1">
      <alignment horizontal="center" vertical="top"/>
    </xf>
    <xf numFmtId="0" fontId="46" fillId="13" borderId="11" xfId="0" applyFont="1" applyFill="1" applyBorder="1" applyAlignment="1">
      <alignment horizontal="left" vertical="top"/>
    </xf>
    <xf numFmtId="0" fontId="47" fillId="13" borderId="11" xfId="0" applyFont="1" applyFill="1" applyBorder="1" applyAlignment="1">
      <alignment horizontal="left" vertical="top"/>
    </xf>
    <xf numFmtId="0" fontId="51" fillId="13" borderId="11" xfId="0" applyFont="1" applyFill="1" applyBorder="1" applyAlignment="1">
      <alignment horizontal="right" vertical="top"/>
    </xf>
    <xf numFmtId="0" fontId="50" fillId="13" borderId="11" xfId="0" applyFont="1" applyFill="1" applyBorder="1" applyAlignment="1">
      <alignment horizontal="right" vertical="top"/>
    </xf>
    <xf numFmtId="0" fontId="52" fillId="13" borderId="11" xfId="0" applyFont="1" applyFill="1" applyBorder="1" applyAlignment="1">
      <alignment horizontal="center" vertical="top"/>
    </xf>
    <xf numFmtId="0" fontId="46" fillId="0" borderId="0" xfId="0" applyFont="1" applyAlignment="1">
      <alignment horizontal="left" vertical="top"/>
    </xf>
    <xf numFmtId="0" fontId="47" fillId="0" borderId="0" xfId="0" applyFont="1" applyAlignment="1">
      <alignment horizontal="left" vertical="top"/>
    </xf>
    <xf numFmtId="0" fontId="52" fillId="0" borderId="0" xfId="0" applyFont="1" applyAlignment="1">
      <alignment horizontal="right" vertical="top"/>
    </xf>
    <xf numFmtId="0" fontId="52" fillId="0" borderId="0" xfId="0" applyFont="1" applyAlignment="1">
      <alignment horizontal="center" vertical="top"/>
    </xf>
    <xf numFmtId="0" fontId="49" fillId="0" borderId="0" xfId="0" applyFont="1" applyAlignment="1">
      <alignment horizontal="left" vertical="top"/>
    </xf>
    <xf numFmtId="0" fontId="52" fillId="0" borderId="0" xfId="0" applyFont="1" applyAlignment="1">
      <alignment horizontal="left" vertical="top"/>
    </xf>
    <xf numFmtId="0" fontId="53" fillId="0" borderId="0" xfId="0" applyFont="1" applyAlignment="1">
      <alignment horizontal="right" vertical="top"/>
    </xf>
    <xf numFmtId="9" fontId="53" fillId="0" borderId="0" xfId="498" applyFont="1" applyBorder="1" applyAlignment="1">
      <alignment horizontal="right" vertical="top"/>
    </xf>
    <xf numFmtId="9" fontId="53" fillId="0" borderId="0" xfId="0" applyNumberFormat="1" applyFont="1" applyAlignment="1">
      <alignment horizontal="right" vertical="top"/>
    </xf>
    <xf numFmtId="164" fontId="53" fillId="0" borderId="0" xfId="0" applyNumberFormat="1" applyFont="1" applyAlignment="1">
      <alignment horizontal="right" vertical="top"/>
    </xf>
    <xf numFmtId="1" fontId="53" fillId="0" borderId="0" xfId="0" applyNumberFormat="1" applyFont="1" applyAlignment="1">
      <alignment horizontal="right" vertical="top"/>
    </xf>
    <xf numFmtId="165" fontId="53" fillId="0" borderId="0" xfId="0" applyNumberFormat="1" applyFont="1" applyAlignment="1">
      <alignment horizontal="right" vertical="top"/>
    </xf>
    <xf numFmtId="2" fontId="53" fillId="0" borderId="0" xfId="0" applyNumberFormat="1" applyFont="1" applyAlignment="1">
      <alignment horizontal="right" vertical="top"/>
    </xf>
    <xf numFmtId="0" fontId="52" fillId="0" borderId="0" xfId="0" applyFont="1"/>
    <xf numFmtId="0" fontId="49" fillId="0" borderId="11" xfId="0" applyFont="1" applyBorder="1" applyAlignment="1">
      <alignment horizontal="left" vertical="top"/>
    </xf>
    <xf numFmtId="0" fontId="52" fillId="0" borderId="11" xfId="0" applyFont="1" applyBorder="1" applyAlignment="1">
      <alignment horizontal="left" vertical="top"/>
    </xf>
    <xf numFmtId="165" fontId="53" fillId="0" borderId="11" xfId="0" applyNumberFormat="1" applyFont="1" applyBorder="1" applyAlignment="1">
      <alignment horizontal="right" vertical="top"/>
    </xf>
    <xf numFmtId="9" fontId="53" fillId="0" borderId="11" xfId="0" applyNumberFormat="1" applyFont="1" applyBorder="1" applyAlignment="1">
      <alignment horizontal="right" vertical="top"/>
    </xf>
    <xf numFmtId="0" fontId="52" fillId="0" borderId="11" xfId="0" applyFont="1" applyBorder="1" applyAlignment="1">
      <alignment horizontal="center" vertical="top"/>
    </xf>
    <xf numFmtId="165" fontId="52" fillId="0" borderId="0" xfId="0" applyNumberFormat="1" applyFont="1"/>
    <xf numFmtId="9" fontId="52" fillId="0" borderId="0" xfId="0" applyNumberFormat="1" applyFont="1"/>
    <xf numFmtId="0" fontId="52" fillId="0" borderId="0" xfId="0" applyFont="1" applyAlignment="1">
      <alignment horizontal="center"/>
    </xf>
    <xf numFmtId="0" fontId="48" fillId="0" borderId="0" xfId="0" applyFont="1" applyAlignment="1">
      <alignment horizontal="left" vertical="center"/>
    </xf>
    <xf numFmtId="0" fontId="53" fillId="0" borderId="0" xfId="0" applyFont="1"/>
    <xf numFmtId="0" fontId="53" fillId="0" borderId="0" xfId="0" applyFont="1" applyAlignment="1">
      <alignment horizontal="left" vertical="center"/>
    </xf>
    <xf numFmtId="0" fontId="48" fillId="0" borderId="0" xfId="0" applyFont="1" applyAlignment="1">
      <alignment horizontal="right" vertical="top"/>
    </xf>
    <xf numFmtId="164" fontId="48" fillId="0" borderId="0" xfId="0" applyNumberFormat="1" applyFont="1" applyAlignment="1">
      <alignment horizontal="right" vertical="top"/>
    </xf>
    <xf numFmtId="1" fontId="48" fillId="0" borderId="0" xfId="0" applyNumberFormat="1" applyFont="1" applyAlignment="1">
      <alignment horizontal="right" vertical="top"/>
    </xf>
    <xf numFmtId="165" fontId="48" fillId="0" borderId="0" xfId="0" applyNumberFormat="1" applyFont="1" applyAlignment="1">
      <alignment horizontal="right" vertical="top"/>
    </xf>
    <xf numFmtId="2" fontId="48" fillId="0" borderId="0" xfId="0" applyNumberFormat="1" applyFont="1" applyAlignment="1">
      <alignment horizontal="right" vertical="top"/>
    </xf>
    <xf numFmtId="165" fontId="48" fillId="0" borderId="11" xfId="0" applyNumberFormat="1" applyFont="1" applyBorder="1" applyAlignment="1">
      <alignment horizontal="right" vertical="top"/>
    </xf>
    <xf numFmtId="168" fontId="5" fillId="2" borderId="0" xfId="496" applyNumberFormat="1" applyFont="1" applyFill="1"/>
    <xf numFmtId="2" fontId="5" fillId="2" borderId="0" xfId="0" applyNumberFormat="1" applyFont="1" applyFill="1"/>
    <xf numFmtId="0" fontId="4" fillId="2" borderId="0" xfId="0" applyFont="1" applyFill="1"/>
    <xf numFmtId="167" fontId="4" fillId="2" borderId="0" xfId="0" applyNumberFormat="1" applyFont="1" applyFill="1"/>
    <xf numFmtId="49" fontId="28" fillId="2" borderId="0" xfId="497" applyNumberFormat="1" applyFill="1"/>
    <xf numFmtId="0" fontId="4" fillId="0" borderId="0" xfId="0" applyFont="1"/>
    <xf numFmtId="165" fontId="13" fillId="2" borderId="18" xfId="0" applyNumberFormat="1" applyFont="1" applyFill="1" applyBorder="1"/>
    <xf numFmtId="0" fontId="3" fillId="0" borderId="0" xfId="0" applyFont="1" applyAlignment="1">
      <alignment vertical="center"/>
    </xf>
    <xf numFmtId="0" fontId="3" fillId="0" borderId="0" xfId="0" applyFont="1"/>
    <xf numFmtId="0" fontId="2" fillId="0" borderId="0" xfId="0" applyFont="1"/>
    <xf numFmtId="0" fontId="38" fillId="12" borderId="17" xfId="0" applyFont="1" applyFill="1" applyBorder="1" applyAlignment="1">
      <alignment horizontal="left" vertical="top" wrapText="1"/>
    </xf>
    <xf numFmtId="0" fontId="38" fillId="12" borderId="2" xfId="0" applyFont="1" applyFill="1" applyBorder="1" applyAlignment="1">
      <alignment horizontal="left" vertical="top" wrapText="1"/>
    </xf>
    <xf numFmtId="0" fontId="38" fillId="12" borderId="13" xfId="0" applyFont="1" applyFill="1" applyBorder="1" applyAlignment="1">
      <alignment horizontal="left" vertical="top" wrapText="1"/>
    </xf>
    <xf numFmtId="0" fontId="38" fillId="12" borderId="7" xfId="0" applyFont="1" applyFill="1" applyBorder="1" applyAlignment="1">
      <alignment horizontal="left" vertical="top" wrapText="1"/>
    </xf>
    <xf numFmtId="0" fontId="38" fillId="12" borderId="0" xfId="0" applyFont="1" applyFill="1" applyAlignment="1">
      <alignment horizontal="left" vertical="top" wrapText="1"/>
    </xf>
    <xf numFmtId="0" fontId="38" fillId="12" borderId="8" xfId="0" applyFont="1" applyFill="1" applyBorder="1" applyAlignment="1">
      <alignment horizontal="left" vertical="top" wrapText="1"/>
    </xf>
    <xf numFmtId="0" fontId="38" fillId="12" borderId="1" xfId="0" applyFont="1" applyFill="1" applyBorder="1" applyAlignment="1">
      <alignment horizontal="left" vertical="top" wrapText="1"/>
    </xf>
    <xf numFmtId="0" fontId="38" fillId="12" borderId="9" xfId="0" applyFont="1" applyFill="1" applyBorder="1" applyAlignment="1">
      <alignment horizontal="left" vertical="top" wrapText="1"/>
    </xf>
    <xf numFmtId="0" fontId="38" fillId="12" borderId="14" xfId="0" applyFont="1" applyFill="1" applyBorder="1" applyAlignment="1">
      <alignment horizontal="left" vertical="top" wrapText="1"/>
    </xf>
    <xf numFmtId="0" fontId="48" fillId="13" borderId="2" xfId="497" applyFont="1" applyFill="1" applyBorder="1" applyAlignment="1" applyProtection="1">
      <alignment horizontal="center" vertical="top" wrapText="1"/>
    </xf>
    <xf numFmtId="0" fontId="49" fillId="13" borderId="2" xfId="0" applyFont="1" applyFill="1" applyBorder="1" applyAlignment="1">
      <alignment horizontal="center" vertical="top" wrapText="1"/>
    </xf>
  </cellXfs>
  <cellStyles count="499">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7" builtinId="8"/>
    <cellStyle name="Normal" xfId="0" builtinId="0"/>
    <cellStyle name="Normal 2" xfId="274" xr:uid="{00000000-0005-0000-0000-0000EF010000}"/>
    <cellStyle name="Per cent" xfId="498"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929822</xdr:colOff>
      <xdr:row>8</xdr:row>
      <xdr:rowOff>170088</xdr:rowOff>
    </xdr:from>
    <xdr:to>
      <xdr:col>19</xdr:col>
      <xdr:colOff>475433</xdr:colOff>
      <xdr:row>37</xdr:row>
      <xdr:rowOff>94838</xdr:rowOff>
    </xdr:to>
    <xdr:pic>
      <xdr:nvPicPr>
        <xdr:cNvPr id="6" name="Picture 5">
          <a:extLst>
            <a:ext uri="{FF2B5EF4-FFF2-40B4-BE49-F238E27FC236}">
              <a16:creationId xmlns:a16="http://schemas.microsoft.com/office/drawing/2014/main" id="{5E4935C1-714C-6B77-18DE-2F8D18420E92}"/>
            </a:ext>
          </a:extLst>
        </xdr:cNvPr>
        <xdr:cNvPicPr>
          <a:picLocks noChangeAspect="1"/>
        </xdr:cNvPicPr>
      </xdr:nvPicPr>
      <xdr:blipFill>
        <a:blip xmlns:r="http://schemas.openxmlformats.org/officeDocument/2006/relationships" r:embed="rId1"/>
        <a:stretch>
          <a:fillRect/>
        </a:stretch>
      </xdr:blipFill>
      <xdr:spPr>
        <a:xfrm>
          <a:off x="15909018" y="5114017"/>
          <a:ext cx="9003392" cy="6172695"/>
        </a:xfrm>
        <a:prstGeom prst="rect">
          <a:avLst/>
        </a:prstGeom>
      </xdr:spPr>
    </xdr:pic>
    <xdr:clientData/>
  </xdr:twoCellAnchor>
  <xdr:twoCellAnchor editAs="oneCell">
    <xdr:from>
      <xdr:col>13</xdr:col>
      <xdr:colOff>69843</xdr:colOff>
      <xdr:row>33</xdr:row>
      <xdr:rowOff>114017</xdr:rowOff>
    </xdr:from>
    <xdr:to>
      <xdr:col>18</xdr:col>
      <xdr:colOff>293832</xdr:colOff>
      <xdr:row>35</xdr:row>
      <xdr:rowOff>131216</xdr:rowOff>
    </xdr:to>
    <xdr:pic>
      <xdr:nvPicPr>
        <xdr:cNvPr id="7" name="Picture 6">
          <a:extLst>
            <a:ext uri="{FF2B5EF4-FFF2-40B4-BE49-F238E27FC236}">
              <a16:creationId xmlns:a16="http://schemas.microsoft.com/office/drawing/2014/main" id="{DA870589-DA90-06EC-BD30-5C856D02612D}"/>
            </a:ext>
          </a:extLst>
        </xdr:cNvPr>
        <xdr:cNvPicPr>
          <a:picLocks noChangeAspect="1"/>
        </xdr:cNvPicPr>
      </xdr:nvPicPr>
      <xdr:blipFill>
        <a:blip xmlns:r="http://schemas.openxmlformats.org/officeDocument/2006/relationships" r:embed="rId2"/>
        <a:stretch>
          <a:fillRect/>
        </a:stretch>
      </xdr:blipFill>
      <xdr:spPr>
        <a:xfrm>
          <a:off x="16049843" y="11534017"/>
          <a:ext cx="7775520" cy="457199"/>
        </a:xfrm>
        <a:prstGeom prst="rect">
          <a:avLst/>
        </a:prstGeom>
      </xdr:spPr>
    </xdr:pic>
    <xdr:clientData/>
  </xdr:twoCellAnchor>
  <xdr:twoCellAnchor editAs="oneCell">
    <xdr:from>
      <xdr:col>13</xdr:col>
      <xdr:colOff>0</xdr:colOff>
      <xdr:row>37</xdr:row>
      <xdr:rowOff>0</xdr:rowOff>
    </xdr:from>
    <xdr:to>
      <xdr:col>20</xdr:col>
      <xdr:colOff>59615</xdr:colOff>
      <xdr:row>46</xdr:row>
      <xdr:rowOff>177801</xdr:rowOff>
    </xdr:to>
    <xdr:pic>
      <xdr:nvPicPr>
        <xdr:cNvPr id="8" name="Picture 7">
          <a:extLst>
            <a:ext uri="{FF2B5EF4-FFF2-40B4-BE49-F238E27FC236}">
              <a16:creationId xmlns:a16="http://schemas.microsoft.com/office/drawing/2014/main" id="{B11767DC-141E-3CCE-475D-4B1B2902B5B6}"/>
            </a:ext>
          </a:extLst>
        </xdr:cNvPr>
        <xdr:cNvPicPr>
          <a:picLocks noChangeAspect="1"/>
        </xdr:cNvPicPr>
      </xdr:nvPicPr>
      <xdr:blipFill>
        <a:blip xmlns:r="http://schemas.openxmlformats.org/officeDocument/2006/relationships" r:embed="rId3"/>
        <a:stretch>
          <a:fillRect/>
        </a:stretch>
      </xdr:blipFill>
      <xdr:spPr>
        <a:xfrm>
          <a:off x="15963900" y="12077700"/>
          <a:ext cx="9523747" cy="2120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refman.energytransitionmodel.com/publications/2218" TargetMode="External"/><Relationship Id="rId2" Type="http://schemas.openxmlformats.org/officeDocument/2006/relationships/hyperlink" Target="https://energy.nl/data/upgrade-of-pyrolysis-bio-oil-from-fast-pyrolysis-to-biofuels/" TargetMode="External"/><Relationship Id="rId1" Type="http://schemas.openxmlformats.org/officeDocument/2006/relationships/hyperlink" Target="https://energy.nl/data/production-of-pyrolysis-bio-oil-from-solid-biomass-via-fast-pyrolysis/" TargetMode="External"/><Relationship Id="rId4" Type="http://schemas.openxmlformats.org/officeDocument/2006/relationships/hyperlink" Target="https://refman.energytransitionmodel.com/publications/221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5" sqref="C5"/>
    </sheetView>
  </sheetViews>
  <sheetFormatPr baseColWidth="10" defaultColWidth="10.85546875" defaultRowHeight="16"/>
  <cols>
    <col min="1" max="1" width="3.42578125" style="29" customWidth="1"/>
    <col min="2" max="2" width="11.42578125" style="21" customWidth="1"/>
    <col min="3" max="3" width="38.42578125" style="21" customWidth="1"/>
    <col min="4" max="16384" width="10.85546875" style="21"/>
  </cols>
  <sheetData>
    <row r="1" spans="1:3" s="27" customFormat="1">
      <c r="A1" s="25"/>
      <c r="B1" s="26"/>
      <c r="C1" s="26"/>
    </row>
    <row r="2" spans="1:3" ht="21">
      <c r="A2" s="1"/>
      <c r="B2" s="28" t="s">
        <v>9</v>
      </c>
      <c r="C2" s="28"/>
    </row>
    <row r="3" spans="1:3">
      <c r="A3" s="1"/>
      <c r="B3" s="8"/>
      <c r="C3" s="8"/>
    </row>
    <row r="4" spans="1:3">
      <c r="A4" s="1"/>
      <c r="B4" s="2" t="s">
        <v>10</v>
      </c>
      <c r="C4" s="3" t="s">
        <v>196</v>
      </c>
    </row>
    <row r="5" spans="1:3">
      <c r="A5" s="1"/>
      <c r="B5" s="4" t="s">
        <v>40</v>
      </c>
      <c r="C5" s="5" t="s">
        <v>102</v>
      </c>
    </row>
    <row r="6" spans="1:3">
      <c r="A6" s="1"/>
      <c r="B6" s="6" t="s">
        <v>12</v>
      </c>
      <c r="C6" s="7" t="s">
        <v>13</v>
      </c>
    </row>
    <row r="7" spans="1:3">
      <c r="A7" s="1"/>
      <c r="B7" s="8"/>
      <c r="C7" s="8"/>
    </row>
    <row r="8" spans="1:3">
      <c r="A8" s="1"/>
      <c r="B8" s="8"/>
      <c r="C8" s="8"/>
    </row>
    <row r="9" spans="1:3">
      <c r="A9" s="1"/>
      <c r="B9" s="61" t="s">
        <v>25</v>
      </c>
      <c r="C9" s="62"/>
    </row>
    <row r="10" spans="1:3">
      <c r="A10" s="1"/>
      <c r="B10" s="63"/>
      <c r="C10" s="64"/>
    </row>
    <row r="11" spans="1:3">
      <c r="A11" s="1"/>
      <c r="B11" s="63" t="s">
        <v>26</v>
      </c>
      <c r="C11" s="65" t="s">
        <v>27</v>
      </c>
    </row>
    <row r="12" spans="1:3" ht="17" thickBot="1">
      <c r="A12" s="1"/>
      <c r="B12" s="63"/>
      <c r="C12" s="12" t="s">
        <v>28</v>
      </c>
    </row>
    <row r="13" spans="1:3" ht="17" thickBot="1">
      <c r="A13" s="1"/>
      <c r="B13" s="63"/>
      <c r="C13" s="66" t="s">
        <v>29</v>
      </c>
    </row>
    <row r="14" spans="1:3">
      <c r="A14" s="1"/>
      <c r="B14" s="63"/>
      <c r="C14" s="64" t="s">
        <v>30</v>
      </c>
    </row>
    <row r="15" spans="1:3">
      <c r="A15" s="1"/>
      <c r="B15" s="63"/>
      <c r="C15" s="64"/>
    </row>
    <row r="16" spans="1:3">
      <c r="A16" s="1"/>
      <c r="B16" s="63" t="s">
        <v>31</v>
      </c>
      <c r="C16" s="67" t="s">
        <v>32</v>
      </c>
    </row>
    <row r="17" spans="1:3">
      <c r="A17" s="1"/>
      <c r="B17" s="63"/>
      <c r="C17" s="68" t="s">
        <v>33</v>
      </c>
    </row>
    <row r="18" spans="1:3">
      <c r="A18" s="1"/>
      <c r="B18" s="63"/>
      <c r="C18" s="69" t="s">
        <v>34</v>
      </c>
    </row>
    <row r="19" spans="1:3">
      <c r="A19" s="1"/>
      <c r="B19" s="63"/>
      <c r="C19" s="70" t="s">
        <v>35</v>
      </c>
    </row>
    <row r="20" spans="1:3">
      <c r="A20" s="1"/>
      <c r="B20" s="71"/>
      <c r="C20" s="72" t="s">
        <v>36</v>
      </c>
    </row>
    <row r="21" spans="1:3">
      <c r="A21" s="1"/>
      <c r="B21" s="71"/>
      <c r="C21" s="73" t="s">
        <v>37</v>
      </c>
    </row>
    <row r="22" spans="1:3">
      <c r="A22" s="1"/>
      <c r="B22" s="71"/>
      <c r="C22" s="74" t="s">
        <v>38</v>
      </c>
    </row>
    <row r="23" spans="1:3">
      <c r="B23" s="71"/>
      <c r="C23" s="75" t="s">
        <v>39</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4"/>
  <sheetViews>
    <sheetView tabSelected="1" zoomScale="117" workbookViewId="0">
      <selection activeCell="E29" sqref="E29"/>
    </sheetView>
  </sheetViews>
  <sheetFormatPr baseColWidth="10" defaultColWidth="10.85546875" defaultRowHeight="16"/>
  <cols>
    <col min="1" max="2" width="3.42578125" style="32" customWidth="1"/>
    <col min="3" max="3" width="51.42578125" style="32" customWidth="1"/>
    <col min="4" max="5" width="14.7109375" style="32" customWidth="1"/>
    <col min="6" max="6" width="4.42578125" style="32" customWidth="1"/>
    <col min="7" max="7" width="49.42578125" style="32" customWidth="1"/>
    <col min="8" max="8" width="20.85546875" style="32" customWidth="1"/>
    <col min="9" max="9" width="42.42578125" style="32" customWidth="1"/>
    <col min="10" max="10" width="5.42578125" style="32" customWidth="1"/>
    <col min="11" max="16384" width="10.85546875" style="32"/>
  </cols>
  <sheetData>
    <row r="2" spans="1:10">
      <c r="B2" s="215" t="s">
        <v>68</v>
      </c>
      <c r="C2" s="216"/>
      <c r="D2" s="216"/>
      <c r="E2" s="217"/>
    </row>
    <row r="3" spans="1:10">
      <c r="B3" s="218"/>
      <c r="C3" s="219"/>
      <c r="D3" s="219"/>
      <c r="E3" s="220"/>
    </row>
    <row r="4" spans="1:10">
      <c r="B4" s="218"/>
      <c r="C4" s="219"/>
      <c r="D4" s="219"/>
      <c r="E4" s="220"/>
    </row>
    <row r="5" spans="1:10">
      <c r="B5" s="221"/>
      <c r="C5" s="222"/>
      <c r="D5" s="222"/>
      <c r="E5" s="223"/>
    </row>
    <row r="7" spans="1:10" ht="17" thickBot="1"/>
    <row r="8" spans="1:10">
      <c r="B8" s="33"/>
      <c r="C8" s="19"/>
      <c r="D8" s="19"/>
      <c r="E8" s="19"/>
      <c r="F8" s="19"/>
      <c r="G8" s="19"/>
      <c r="H8" s="19"/>
      <c r="I8" s="19"/>
      <c r="J8" s="34"/>
    </row>
    <row r="9" spans="1:10" s="12" customFormat="1">
      <c r="B9" s="23"/>
      <c r="C9" s="15" t="s">
        <v>18</v>
      </c>
      <c r="D9" s="16" t="s">
        <v>7</v>
      </c>
      <c r="E9" s="14" t="s">
        <v>3</v>
      </c>
      <c r="F9" s="15"/>
      <c r="G9" s="15" t="s">
        <v>6</v>
      </c>
      <c r="H9" s="15"/>
      <c r="I9" s="15" t="s">
        <v>0</v>
      </c>
      <c r="J9" s="78"/>
    </row>
    <row r="10" spans="1:10" s="12" customFormat="1">
      <c r="B10" s="24"/>
      <c r="D10" s="30"/>
      <c r="J10" s="13"/>
    </row>
    <row r="11" spans="1:10" s="12" customFormat="1" ht="17" thickBot="1">
      <c r="B11" s="24"/>
      <c r="C11" s="12" t="s">
        <v>42</v>
      </c>
      <c r="D11" s="30"/>
      <c r="J11" s="13"/>
    </row>
    <row r="12" spans="1:10" s="128" customFormat="1" ht="16" customHeight="1" thickBot="1">
      <c r="B12" s="129"/>
      <c r="C12" s="122" t="s">
        <v>67</v>
      </c>
      <c r="D12" s="123" t="s">
        <v>77</v>
      </c>
      <c r="E12" s="130">
        <f>'Research data'!H7</f>
        <v>25</v>
      </c>
      <c r="F12" s="122"/>
      <c r="G12" s="131"/>
      <c r="I12" s="125"/>
      <c r="J12" s="132"/>
    </row>
    <row r="13" spans="1:10" s="128" customFormat="1" ht="16" customHeight="1" thickBot="1">
      <c r="B13" s="129"/>
      <c r="C13" s="212" t="s">
        <v>195</v>
      </c>
      <c r="D13" s="123"/>
      <c r="E13" s="130">
        <f>'Research data'!H8</f>
        <v>1</v>
      </c>
      <c r="F13" s="122"/>
      <c r="G13" s="131"/>
      <c r="I13" s="125"/>
      <c r="J13" s="132"/>
    </row>
    <row r="14" spans="1:10" ht="17" thickBot="1">
      <c r="A14" s="86"/>
      <c r="B14" s="87"/>
      <c r="C14" s="213" t="s">
        <v>185</v>
      </c>
      <c r="D14" s="22" t="s">
        <v>2</v>
      </c>
      <c r="E14" s="130">
        <f>'Research data'!H9</f>
        <v>0.623</v>
      </c>
      <c r="F14" s="84"/>
      <c r="G14" s="114"/>
      <c r="H14" s="84"/>
      <c r="I14" s="119"/>
      <c r="J14" s="88"/>
    </row>
    <row r="15" spans="1:10" ht="17" thickBot="1">
      <c r="A15" s="86"/>
      <c r="B15" s="87"/>
      <c r="C15" s="214" t="s">
        <v>201</v>
      </c>
      <c r="D15" s="22" t="s">
        <v>2</v>
      </c>
      <c r="E15" s="130">
        <f>'Research data'!H10</f>
        <v>0.17799999999999999</v>
      </c>
      <c r="F15" s="84"/>
      <c r="G15" s="114"/>
      <c r="H15" s="84"/>
      <c r="I15" s="119"/>
      <c r="J15" s="88"/>
    </row>
    <row r="16" spans="1:10" s="120" customFormat="1" ht="16" customHeight="1" thickBot="1">
      <c r="B16" s="121"/>
      <c r="C16" s="122" t="s">
        <v>58</v>
      </c>
      <c r="D16" s="123" t="s">
        <v>93</v>
      </c>
      <c r="E16" s="130">
        <f>'Research data'!H11</f>
        <v>7500</v>
      </c>
      <c r="F16" s="122"/>
      <c r="G16" s="122"/>
      <c r="I16" s="125"/>
      <c r="J16" s="126"/>
    </row>
    <row r="17" spans="1:10" s="120" customFormat="1" ht="16" customHeight="1" thickBot="1">
      <c r="B17" s="121"/>
      <c r="C17" s="156" t="s">
        <v>106</v>
      </c>
      <c r="D17" s="123" t="s">
        <v>2</v>
      </c>
      <c r="E17" s="130">
        <f>'Research data'!H12</f>
        <v>0.92300000000000004</v>
      </c>
      <c r="F17" s="122"/>
      <c r="G17" s="122"/>
      <c r="J17" s="126"/>
    </row>
    <row r="18" spans="1:10">
      <c r="B18" s="36"/>
      <c r="J18" s="79"/>
    </row>
    <row r="19" spans="1:10" ht="17" thickBot="1">
      <c r="B19" s="36"/>
      <c r="C19" s="12" t="s">
        <v>41</v>
      </c>
      <c r="J19" s="79"/>
    </row>
    <row r="20" spans="1:10" ht="17" thickBot="1">
      <c r="B20" s="36"/>
      <c r="C20" s="35" t="s">
        <v>21</v>
      </c>
      <c r="D20" s="22" t="s">
        <v>19</v>
      </c>
      <c r="E20" s="127">
        <f>'Research data'!H15</f>
        <v>25200000</v>
      </c>
      <c r="F20" s="35"/>
      <c r="G20" s="35" t="s">
        <v>5</v>
      </c>
      <c r="H20" s="35"/>
      <c r="I20" s="117"/>
      <c r="J20" s="79"/>
    </row>
    <row r="21" spans="1:10" ht="17" thickBot="1">
      <c r="B21" s="36"/>
      <c r="C21" s="154" t="s">
        <v>104</v>
      </c>
      <c r="D21" s="22" t="s">
        <v>19</v>
      </c>
      <c r="E21" s="127">
        <f>'Research data'!H16</f>
        <v>0</v>
      </c>
      <c r="F21" s="35"/>
      <c r="G21" s="35"/>
      <c r="H21" s="35"/>
      <c r="I21" s="117" t="s">
        <v>105</v>
      </c>
      <c r="J21" s="79"/>
    </row>
    <row r="22" spans="1:10" ht="15" customHeight="1" thickBot="1">
      <c r="B22" s="36"/>
      <c r="C22" s="35" t="s">
        <v>22</v>
      </c>
      <c r="D22" s="22" t="s">
        <v>46</v>
      </c>
      <c r="E22" s="127">
        <f>'Research data'!H17</f>
        <v>1200000</v>
      </c>
      <c r="F22" s="35"/>
      <c r="G22" s="106" t="s">
        <v>65</v>
      </c>
      <c r="H22" s="35"/>
      <c r="I22" s="117"/>
      <c r="J22" s="79"/>
    </row>
    <row r="23" spans="1:10" ht="17" thickBot="1">
      <c r="B23" s="99"/>
      <c r="C23" s="105" t="s">
        <v>61</v>
      </c>
      <c r="D23" s="101" t="s">
        <v>56</v>
      </c>
      <c r="E23" s="127">
        <f>'Research data'!H18</f>
        <v>168</v>
      </c>
      <c r="F23" s="102"/>
      <c r="G23" s="100" t="s">
        <v>57</v>
      </c>
      <c r="H23" s="102"/>
      <c r="I23" s="117"/>
      <c r="J23" s="103"/>
    </row>
    <row r="24" spans="1:10" ht="17" thickBot="1">
      <c r="B24" s="99"/>
      <c r="C24" s="105" t="s">
        <v>62</v>
      </c>
      <c r="D24" s="101" t="s">
        <v>56</v>
      </c>
      <c r="E24" s="127">
        <f>'Research data'!J19</f>
        <v>0</v>
      </c>
      <c r="F24" s="102"/>
      <c r="G24" s="100"/>
      <c r="H24" s="102"/>
      <c r="I24" s="117"/>
      <c r="J24" s="103"/>
    </row>
    <row r="25" spans="1:10" ht="17" thickBot="1">
      <c r="B25" s="99"/>
      <c r="C25" s="105" t="s">
        <v>60</v>
      </c>
      <c r="D25" s="22" t="s">
        <v>19</v>
      </c>
      <c r="E25" s="127">
        <f>'Research data'!H20</f>
        <v>0</v>
      </c>
      <c r="F25" s="102"/>
      <c r="G25" s="105" t="s">
        <v>63</v>
      </c>
      <c r="H25" s="102"/>
      <c r="I25" s="112"/>
      <c r="J25" s="103"/>
    </row>
    <row r="26" spans="1:10" ht="17" thickBot="1">
      <c r="B26" s="99"/>
      <c r="C26" s="113" t="s">
        <v>66</v>
      </c>
      <c r="D26" s="22" t="s">
        <v>19</v>
      </c>
      <c r="E26" s="37">
        <f>'Research data'!H21</f>
        <v>0</v>
      </c>
      <c r="F26" s="102"/>
      <c r="G26" s="105" t="s">
        <v>64</v>
      </c>
      <c r="H26" s="102"/>
      <c r="I26" s="118"/>
      <c r="J26" s="103"/>
    </row>
    <row r="27" spans="1:10" ht="17" thickBot="1">
      <c r="A27" s="86"/>
      <c r="B27" s="87"/>
      <c r="C27" s="84" t="s">
        <v>48</v>
      </c>
      <c r="D27" s="22" t="s">
        <v>49</v>
      </c>
      <c r="E27" s="141">
        <v>7.0000000000000007E-2</v>
      </c>
      <c r="F27" s="84"/>
      <c r="G27" s="84" t="s">
        <v>50</v>
      </c>
      <c r="H27" s="84"/>
      <c r="I27" s="153" t="s">
        <v>101</v>
      </c>
      <c r="J27" s="88"/>
    </row>
    <row r="28" spans="1:10" ht="17" thickBot="1">
      <c r="A28" s="86"/>
      <c r="B28" s="87"/>
      <c r="C28" s="84" t="s">
        <v>51</v>
      </c>
      <c r="D28" s="22" t="s">
        <v>52</v>
      </c>
      <c r="E28" s="89">
        <v>1</v>
      </c>
      <c r="F28" s="84"/>
      <c r="G28" s="84"/>
      <c r="H28" s="84"/>
      <c r="I28" s="85"/>
      <c r="J28" s="88"/>
    </row>
    <row r="29" spans="1:10">
      <c r="A29" s="86"/>
      <c r="B29" s="87"/>
      <c r="C29" s="84"/>
      <c r="D29" s="22"/>
      <c r="E29" s="91"/>
      <c r="F29" s="84"/>
      <c r="G29" s="84"/>
      <c r="H29" s="84"/>
      <c r="I29" s="86"/>
      <c r="J29" s="88"/>
    </row>
    <row r="30" spans="1:10" ht="17" thickBot="1">
      <c r="A30" s="86"/>
      <c r="B30" s="87"/>
      <c r="C30" s="12" t="s">
        <v>4</v>
      </c>
      <c r="D30" s="80"/>
      <c r="E30" s="91"/>
      <c r="F30" s="86"/>
      <c r="H30" s="86"/>
      <c r="I30" s="86"/>
      <c r="J30" s="88"/>
    </row>
    <row r="31" spans="1:10" ht="17" thickBot="1">
      <c r="A31" s="86"/>
      <c r="B31" s="87"/>
      <c r="C31" s="84" t="s">
        <v>23</v>
      </c>
      <c r="D31" s="22" t="s">
        <v>1</v>
      </c>
      <c r="E31" s="89">
        <f>'Research data'!H25</f>
        <v>30</v>
      </c>
      <c r="F31" s="84"/>
      <c r="G31" s="84" t="s">
        <v>55</v>
      </c>
      <c r="H31" s="84"/>
      <c r="I31" s="117"/>
      <c r="J31" s="88"/>
    </row>
    <row r="32" spans="1:10" ht="17" thickBot="1">
      <c r="A32" s="86"/>
      <c r="B32" s="87"/>
      <c r="C32" s="84" t="s">
        <v>53</v>
      </c>
      <c r="D32" s="22" t="s">
        <v>1</v>
      </c>
      <c r="E32" s="89">
        <f>'Research data'!H26</f>
        <v>2</v>
      </c>
      <c r="F32" s="84"/>
      <c r="G32" s="84" t="s">
        <v>54</v>
      </c>
      <c r="H32" s="84"/>
      <c r="I32" s="85"/>
      <c r="J32" s="88"/>
    </row>
    <row r="33" spans="1:10" ht="17" thickBot="1">
      <c r="A33" s="86"/>
      <c r="B33" s="87"/>
      <c r="C33" s="84" t="s">
        <v>20</v>
      </c>
      <c r="D33" s="22" t="s">
        <v>2</v>
      </c>
      <c r="E33" s="89">
        <f>'Research data'!H27</f>
        <v>0</v>
      </c>
      <c r="F33" s="84"/>
      <c r="G33" s="84"/>
      <c r="H33" s="84"/>
      <c r="I33" s="119"/>
      <c r="J33" s="88"/>
    </row>
    <row r="34" spans="1:10" ht="17" thickBot="1">
      <c r="A34" s="86"/>
      <c r="B34" s="92"/>
      <c r="C34" s="93"/>
      <c r="D34" s="93"/>
      <c r="E34" s="93"/>
      <c r="F34" s="93"/>
      <c r="G34" s="93"/>
      <c r="H34" s="93"/>
      <c r="I34" s="93"/>
      <c r="J34" s="94"/>
    </row>
    <row r="35" spans="1:10">
      <c r="A35" s="86"/>
      <c r="B35" s="86"/>
      <c r="C35" s="86"/>
      <c r="D35" s="86"/>
      <c r="E35" s="86"/>
      <c r="F35" s="86"/>
      <c r="G35" s="86"/>
      <c r="H35" s="86"/>
      <c r="I35" s="86"/>
      <c r="J35" s="86"/>
    </row>
    <row r="36" spans="1:10">
      <c r="A36" s="86"/>
      <c r="B36" s="86"/>
      <c r="C36" s="86"/>
      <c r="D36" s="86"/>
      <c r="E36" s="86"/>
      <c r="F36" s="86"/>
      <c r="G36" s="86"/>
      <c r="H36" s="86"/>
      <c r="I36" s="86"/>
      <c r="J36" s="86"/>
    </row>
    <row r="37" spans="1:10">
      <c r="A37" s="86"/>
      <c r="B37" s="86"/>
      <c r="C37" s="86"/>
      <c r="D37" s="86"/>
      <c r="E37" s="86"/>
      <c r="F37" s="86"/>
      <c r="G37" s="86"/>
      <c r="H37" s="86"/>
      <c r="I37" s="86"/>
      <c r="J37" s="86"/>
    </row>
    <row r="38" spans="1:10">
      <c r="A38" s="86"/>
      <c r="B38" s="86"/>
      <c r="E38" s="86"/>
      <c r="F38" s="86"/>
      <c r="G38" s="86"/>
      <c r="H38" s="86"/>
      <c r="I38" s="86"/>
      <c r="J38" s="86"/>
    </row>
    <row r="39" spans="1:10">
      <c r="A39" s="86"/>
      <c r="B39" s="86"/>
      <c r="C39" s="86"/>
      <c r="D39" s="86"/>
      <c r="E39" s="86"/>
      <c r="F39" s="86"/>
      <c r="G39" s="86"/>
      <c r="H39" s="86"/>
      <c r="I39" s="86"/>
      <c r="J39" s="86"/>
    </row>
    <row r="40" spans="1:10">
      <c r="A40" s="86"/>
      <c r="B40" s="86"/>
      <c r="C40" s="86"/>
      <c r="D40" s="86"/>
      <c r="E40" s="86"/>
      <c r="F40" s="86"/>
      <c r="G40" s="86"/>
      <c r="H40" s="86"/>
      <c r="I40" s="86"/>
      <c r="J40" s="86"/>
    </row>
    <row r="41" spans="1:10">
      <c r="A41" s="86"/>
      <c r="B41" s="86"/>
      <c r="C41" s="86"/>
      <c r="D41" s="86"/>
      <c r="E41" s="86"/>
      <c r="F41" s="86"/>
      <c r="G41" s="86"/>
      <c r="H41" s="86"/>
      <c r="I41" s="86"/>
      <c r="J41" s="86"/>
    </row>
    <row r="42" spans="1:10">
      <c r="A42" s="86"/>
      <c r="B42" s="86"/>
      <c r="C42" s="86"/>
      <c r="D42" s="86"/>
      <c r="E42" s="86"/>
      <c r="F42" s="86"/>
      <c r="G42" s="86"/>
      <c r="H42" s="86"/>
      <c r="I42" s="86"/>
      <c r="J42" s="86"/>
    </row>
    <row r="43" spans="1:10">
      <c r="A43" s="86"/>
    </row>
    <row r="44" spans="1:10">
      <c r="A44" s="86"/>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P27"/>
  <sheetViews>
    <sheetView zoomScale="119" workbookViewId="0">
      <selection activeCell="J10" sqref="J10"/>
    </sheetView>
  </sheetViews>
  <sheetFormatPr baseColWidth="10" defaultColWidth="10.85546875" defaultRowHeight="16"/>
  <cols>
    <col min="1" max="1" width="3.42578125" style="38" customWidth="1"/>
    <col min="2" max="2" width="3" style="38" customWidth="1"/>
    <col min="3" max="3" width="61" style="38" customWidth="1"/>
    <col min="4" max="4" width="16.42578125" style="38" hidden="1" customWidth="1"/>
    <col min="5" max="5" width="13.85546875" style="38" hidden="1" customWidth="1"/>
    <col min="6" max="6" width="10" style="38" customWidth="1"/>
    <col min="7" max="7" width="3" style="38" customWidth="1"/>
    <col min="8" max="8" width="14.85546875" style="38" customWidth="1"/>
    <col min="9" max="9" width="2.42578125" style="38" customWidth="1"/>
    <col min="10" max="10" width="13.42578125" style="38" customWidth="1"/>
    <col min="11" max="12" width="2.42578125" style="38" customWidth="1"/>
    <col min="13" max="13" width="23.42578125" style="38" customWidth="1"/>
    <col min="14" max="14" width="11" style="38" customWidth="1"/>
    <col min="15" max="15" width="2.42578125" style="38" customWidth="1"/>
    <col min="16" max="16" width="22.42578125" style="38" customWidth="1"/>
    <col min="17" max="16384" width="10.85546875" style="38"/>
  </cols>
  <sheetData>
    <row r="2" spans="1:16" ht="17" thickBot="1"/>
    <row r="3" spans="1:16">
      <c r="B3" s="39"/>
      <c r="C3" s="40"/>
      <c r="D3" s="40"/>
      <c r="E3" s="40"/>
      <c r="F3" s="40"/>
      <c r="G3" s="40"/>
      <c r="H3" s="40"/>
      <c r="I3" s="40"/>
      <c r="J3" s="40"/>
      <c r="K3" s="40"/>
      <c r="L3" s="40"/>
      <c r="M3" s="40"/>
      <c r="N3" s="40"/>
      <c r="O3" s="40"/>
      <c r="P3" s="40"/>
    </row>
    <row r="4" spans="1:16" s="12" customFormat="1">
      <c r="B4" s="24"/>
      <c r="C4" s="76" t="s">
        <v>18</v>
      </c>
      <c r="D4" s="9"/>
      <c r="E4" s="9"/>
      <c r="F4" s="76" t="s">
        <v>7</v>
      </c>
      <c r="G4" s="76"/>
      <c r="H4" s="76" t="s">
        <v>45</v>
      </c>
      <c r="I4" s="76"/>
      <c r="J4" s="76" t="s">
        <v>100</v>
      </c>
      <c r="K4" s="76"/>
      <c r="L4" s="76"/>
      <c r="M4" s="76" t="s">
        <v>43</v>
      </c>
    </row>
    <row r="5" spans="1:16" ht="18" customHeight="1">
      <c r="B5" s="41"/>
      <c r="C5" s="44"/>
      <c r="D5" s="44"/>
      <c r="E5" s="44"/>
      <c r="H5" s="42"/>
      <c r="I5" s="42"/>
      <c r="J5" s="42"/>
      <c r="K5" s="42"/>
      <c r="L5" s="42"/>
      <c r="M5" s="46"/>
    </row>
    <row r="6" spans="1:16" ht="18" customHeight="1" thickBot="1">
      <c r="B6" s="41"/>
      <c r="C6" s="12" t="s">
        <v>42</v>
      </c>
      <c r="D6" s="30"/>
      <c r="E6" s="12"/>
      <c r="F6" s="30"/>
      <c r="G6" s="31"/>
      <c r="H6" s="10"/>
      <c r="I6" s="10"/>
      <c r="J6" s="10"/>
      <c r="K6" s="10"/>
    </row>
    <row r="7" spans="1:16" ht="18" customHeight="1" thickBot="1">
      <c r="B7" s="41"/>
      <c r="C7" s="122" t="s">
        <v>67</v>
      </c>
      <c r="D7" s="123" t="s">
        <v>70</v>
      </c>
      <c r="E7" s="130"/>
      <c r="F7" s="123" t="s">
        <v>77</v>
      </c>
      <c r="G7" s="77"/>
      <c r="H7" s="115">
        <f>ROUND(J7,2)</f>
        <v>25</v>
      </c>
      <c r="I7" s="42"/>
      <c r="J7" s="136">
        <f>Notes!D6</f>
        <v>25</v>
      </c>
      <c r="K7" s="42"/>
    </row>
    <row r="8" spans="1:16" s="32" customFormat="1" ht="17" thickBot="1">
      <c r="A8" s="12"/>
      <c r="B8" s="24"/>
      <c r="C8" s="151" t="s">
        <v>98</v>
      </c>
      <c r="D8" s="20" t="s">
        <v>2</v>
      </c>
      <c r="E8" s="37"/>
      <c r="F8" s="20" t="s">
        <v>2</v>
      </c>
      <c r="G8" s="84"/>
      <c r="H8" s="115">
        <f>ROUND(J8,3)</f>
        <v>1</v>
      </c>
      <c r="J8" s="136">
        <f>Notes!D20</f>
        <v>1</v>
      </c>
      <c r="K8" s="12"/>
    </row>
    <row r="9" spans="1:16" s="32" customFormat="1" ht="17" thickBot="1">
      <c r="A9" s="86"/>
      <c r="B9" s="87"/>
      <c r="C9" s="210" t="s">
        <v>194</v>
      </c>
      <c r="D9" s="22" t="s">
        <v>2</v>
      </c>
      <c r="E9" s="37"/>
      <c r="F9" s="22" t="s">
        <v>2</v>
      </c>
      <c r="G9" s="84"/>
      <c r="H9" s="115">
        <f t="shared" ref="H9:H10" si="0">ROUND(J9,3)</f>
        <v>0.623</v>
      </c>
      <c r="J9" s="136">
        <f>Notes!E17</f>
        <v>0.623</v>
      </c>
    </row>
    <row r="10" spans="1:16" s="32" customFormat="1" ht="17" thickBot="1">
      <c r="B10" s="87"/>
      <c r="C10" s="214" t="s">
        <v>201</v>
      </c>
      <c r="D10" s="22"/>
      <c r="E10" s="37"/>
      <c r="F10" s="22" t="s">
        <v>2</v>
      </c>
      <c r="G10" s="84"/>
      <c r="H10" s="115">
        <f t="shared" si="0"/>
        <v>0.17799999999999999</v>
      </c>
      <c r="J10" s="136">
        <f>Notes!E18</f>
        <v>0.17799999999999999</v>
      </c>
    </row>
    <row r="11" spans="1:16" ht="17" thickBot="1">
      <c r="A11" s="86"/>
      <c r="B11" s="87"/>
      <c r="C11" s="122" t="s">
        <v>58</v>
      </c>
      <c r="D11" s="123" t="s">
        <v>2</v>
      </c>
      <c r="E11" s="124"/>
      <c r="F11" s="123" t="s">
        <v>59</v>
      </c>
      <c r="H11" s="137">
        <f>ROUND(J11,2)</f>
        <v>7500</v>
      </c>
      <c r="I11" s="84"/>
      <c r="J11" s="145">
        <f>Notes!D7</f>
        <v>7500</v>
      </c>
      <c r="K11" s="86"/>
    </row>
    <row r="12" spans="1:16" ht="17" thickBot="1">
      <c r="A12" s="86"/>
      <c r="B12" s="87"/>
      <c r="C12" s="156" t="s">
        <v>106</v>
      </c>
      <c r="D12" s="123"/>
      <c r="E12" s="155"/>
      <c r="F12" s="123"/>
      <c r="H12" s="211">
        <f>ROUND(J12,3)</f>
        <v>0.92300000000000004</v>
      </c>
      <c r="I12" s="84"/>
      <c r="J12" s="157">
        <f>Notes!D10</f>
        <v>0.92307692307692313</v>
      </c>
      <c r="K12" s="86"/>
    </row>
    <row r="13" spans="1:16">
      <c r="B13" s="41"/>
      <c r="C13" s="32"/>
      <c r="D13" s="32"/>
      <c r="E13" s="32"/>
      <c r="F13" s="32"/>
      <c r="H13" s="43"/>
      <c r="I13" s="84"/>
      <c r="J13" s="90"/>
      <c r="K13" s="86"/>
      <c r="L13" s="42"/>
      <c r="M13" s="104"/>
    </row>
    <row r="14" spans="1:16" ht="17" thickBot="1">
      <c r="A14" s="86"/>
      <c r="B14" s="87"/>
      <c r="C14" s="12" t="s">
        <v>41</v>
      </c>
      <c r="D14" s="32"/>
      <c r="E14" s="32"/>
      <c r="F14" s="32"/>
      <c r="H14" s="11"/>
      <c r="I14" s="96"/>
      <c r="J14" s="95"/>
      <c r="K14" s="96"/>
      <c r="L14" s="95"/>
      <c r="M14" s="46"/>
    </row>
    <row r="15" spans="1:16" ht="17" thickBot="1">
      <c r="A15" s="86"/>
      <c r="B15" s="87"/>
      <c r="C15" s="35" t="s">
        <v>21</v>
      </c>
      <c r="D15" s="22" t="s">
        <v>19</v>
      </c>
      <c r="E15" s="127"/>
      <c r="F15" s="22" t="s">
        <v>19</v>
      </c>
      <c r="H15" s="134">
        <f>ROUND(J15,0)</f>
        <v>25200000</v>
      </c>
      <c r="I15" s="11"/>
      <c r="J15" s="115">
        <f>Notes!D12</f>
        <v>25200000</v>
      </c>
      <c r="K15" s="11"/>
      <c r="L15" s="95"/>
      <c r="M15" s="83"/>
    </row>
    <row r="16" spans="1:16" ht="17" thickBot="1">
      <c r="A16" s="86"/>
      <c r="B16" s="87"/>
      <c r="C16" s="154" t="s">
        <v>104</v>
      </c>
      <c r="D16" s="22"/>
      <c r="E16" s="127"/>
      <c r="F16" s="22" t="s">
        <v>19</v>
      </c>
      <c r="H16" s="134">
        <f>ROUND(J16,0)</f>
        <v>0</v>
      </c>
      <c r="I16" s="11"/>
      <c r="J16" s="115">
        <v>0</v>
      </c>
      <c r="K16" s="11"/>
      <c r="L16" s="95"/>
      <c r="M16" s="154"/>
    </row>
    <row r="17" spans="1:13" ht="17" thickBot="1">
      <c r="A17" s="86"/>
      <c r="B17" s="87"/>
      <c r="C17" s="35" t="s">
        <v>22</v>
      </c>
      <c r="D17" s="22" t="s">
        <v>46</v>
      </c>
      <c r="E17" s="37">
        <v>0</v>
      </c>
      <c r="F17" s="22" t="s">
        <v>46</v>
      </c>
      <c r="H17" s="134">
        <f>ROUND(J17,0)</f>
        <v>1200000</v>
      </c>
      <c r="I17" s="95"/>
      <c r="J17" s="115">
        <f>Notes!D13</f>
        <v>1200000</v>
      </c>
      <c r="K17" s="95"/>
      <c r="M17" s="83"/>
    </row>
    <row r="18" spans="1:13" ht="17" thickBot="1">
      <c r="A18" s="86"/>
      <c r="B18" s="87"/>
      <c r="C18" s="105" t="s">
        <v>61</v>
      </c>
      <c r="D18" s="101" t="s">
        <v>56</v>
      </c>
      <c r="E18" s="37">
        <f>'Research data'!H15</f>
        <v>25200000</v>
      </c>
      <c r="F18" s="101" t="s">
        <v>56</v>
      </c>
      <c r="H18" s="97">
        <f>ROUND(J18,2)</f>
        <v>168</v>
      </c>
      <c r="J18" s="115">
        <f>Notes!D14</f>
        <v>168</v>
      </c>
      <c r="L18" s="95"/>
      <c r="M18" s="84"/>
    </row>
    <row r="19" spans="1:13" ht="17" thickBot="1">
      <c r="A19" s="107"/>
      <c r="B19" s="108"/>
      <c r="C19" s="105" t="s">
        <v>62</v>
      </c>
      <c r="D19" s="101"/>
      <c r="E19" s="37">
        <f>'Research data'!H20</f>
        <v>0</v>
      </c>
      <c r="F19" s="101" t="s">
        <v>56</v>
      </c>
      <c r="G19" s="107"/>
      <c r="H19" s="97">
        <f>J19</f>
        <v>0</v>
      </c>
      <c r="I19" s="110"/>
      <c r="J19" s="109">
        <v>0</v>
      </c>
      <c r="K19" s="110"/>
      <c r="L19" s="107"/>
      <c r="M19" s="111"/>
    </row>
    <row r="20" spans="1:13" ht="17" thickBot="1">
      <c r="A20" s="86"/>
      <c r="B20" s="87"/>
      <c r="C20" s="105" t="s">
        <v>60</v>
      </c>
      <c r="D20" s="101"/>
      <c r="E20" s="37">
        <f>'Research data'!H18</f>
        <v>168</v>
      </c>
      <c r="F20" s="22" t="s">
        <v>19</v>
      </c>
      <c r="H20" s="97">
        <f t="shared" ref="H20:H21" si="1">J20</f>
        <v>0</v>
      </c>
      <c r="J20" s="116">
        <v>0</v>
      </c>
      <c r="L20" s="90"/>
      <c r="M20" s="84"/>
    </row>
    <row r="21" spans="1:13" ht="17" thickBot="1">
      <c r="A21" s="86"/>
      <c r="B21" s="87"/>
      <c r="C21" s="113" t="s">
        <v>66</v>
      </c>
      <c r="D21" s="101"/>
      <c r="E21" s="37" t="e">
        <f>'Research data'!#REF!</f>
        <v>#REF!</v>
      </c>
      <c r="F21" s="22" t="s">
        <v>19</v>
      </c>
      <c r="H21" s="97">
        <f t="shared" si="1"/>
        <v>0</v>
      </c>
      <c r="J21" s="116">
        <v>0</v>
      </c>
      <c r="L21" s="90"/>
      <c r="M21" s="84"/>
    </row>
    <row r="22" spans="1:13" ht="17" thickBot="1">
      <c r="A22" s="86"/>
      <c r="B22" s="87"/>
      <c r="C22" s="84" t="s">
        <v>51</v>
      </c>
      <c r="D22" s="22" t="s">
        <v>52</v>
      </c>
      <c r="E22" s="89">
        <v>0</v>
      </c>
      <c r="F22" s="22" t="s">
        <v>52</v>
      </c>
      <c r="H22" s="97">
        <f>J22</f>
        <v>0</v>
      </c>
      <c r="I22" s="90"/>
      <c r="J22" s="97">
        <v>0</v>
      </c>
      <c r="K22" s="90"/>
      <c r="L22" s="90"/>
      <c r="M22" s="84"/>
    </row>
    <row r="23" spans="1:13">
      <c r="A23" s="107"/>
      <c r="B23" s="108"/>
      <c r="C23" s="84"/>
      <c r="D23" s="22"/>
      <c r="E23" s="91"/>
      <c r="F23" s="22"/>
      <c r="G23" s="107"/>
      <c r="K23" s="110"/>
      <c r="L23" s="107"/>
      <c r="M23" s="104"/>
    </row>
    <row r="24" spans="1:13" ht="17" thickBot="1">
      <c r="C24" s="12" t="s">
        <v>4</v>
      </c>
      <c r="D24" s="80"/>
      <c r="E24" s="91"/>
      <c r="F24" s="80"/>
      <c r="H24" s="43"/>
      <c r="J24" s="43"/>
      <c r="M24" s="45"/>
    </row>
    <row r="25" spans="1:13" ht="17" thickBot="1">
      <c r="B25" s="41"/>
      <c r="C25" s="84" t="s">
        <v>23</v>
      </c>
      <c r="D25" s="22" t="s">
        <v>1</v>
      </c>
      <c r="E25" s="89"/>
      <c r="F25" s="22" t="s">
        <v>1</v>
      </c>
      <c r="H25" s="97">
        <f>J25</f>
        <v>30</v>
      </c>
      <c r="J25" s="136">
        <f>Notes!D8</f>
        <v>30</v>
      </c>
      <c r="M25" s="83"/>
    </row>
    <row r="26" spans="1:13" ht="17" thickBot="1">
      <c r="A26" s="86"/>
      <c r="B26" s="87"/>
      <c r="C26" s="84" t="s">
        <v>53</v>
      </c>
      <c r="D26" s="22" t="s">
        <v>1</v>
      </c>
      <c r="E26" s="89"/>
      <c r="F26" s="22" t="s">
        <v>1</v>
      </c>
      <c r="H26" s="97">
        <f>J26</f>
        <v>2</v>
      </c>
      <c r="I26" s="11"/>
      <c r="J26" s="152">
        <f>Notes!D9</f>
        <v>2</v>
      </c>
      <c r="K26" s="11"/>
      <c r="L26" s="11"/>
      <c r="M26" s="104"/>
    </row>
    <row r="27" spans="1:13" ht="17" thickBot="1">
      <c r="A27" s="86"/>
      <c r="B27" s="87"/>
      <c r="C27" s="84" t="s">
        <v>20</v>
      </c>
      <c r="D27" s="22" t="s">
        <v>2</v>
      </c>
      <c r="E27" s="89">
        <v>0</v>
      </c>
      <c r="F27" s="22" t="s">
        <v>2</v>
      </c>
      <c r="H27" s="97">
        <v>0</v>
      </c>
      <c r="I27" s="96"/>
      <c r="J27" s="135">
        <v>0</v>
      </c>
      <c r="K27" s="96"/>
      <c r="L27" s="96"/>
      <c r="M27" s="104"/>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2"/>
  <sheetViews>
    <sheetView workbookViewId="0">
      <selection activeCell="C12" sqref="C12"/>
    </sheetView>
  </sheetViews>
  <sheetFormatPr baseColWidth="10" defaultColWidth="33.140625" defaultRowHeight="16"/>
  <cols>
    <col min="1" max="1" width="3.42578125" style="47" customWidth="1"/>
    <col min="2" max="2" width="37.28515625" style="47" customWidth="1"/>
    <col min="3" max="3" width="24.42578125" style="47" customWidth="1"/>
    <col min="4" max="4" width="32.85546875" style="47" customWidth="1"/>
    <col min="5" max="5" width="6.140625" style="47" customWidth="1"/>
    <col min="6" max="6" width="16.28515625" style="47" customWidth="1"/>
    <col min="7" max="7" width="78" style="47" customWidth="1"/>
    <col min="8" max="8" width="12.42578125" style="51" customWidth="1"/>
    <col min="9" max="9" width="31.42578125" style="51" customWidth="1"/>
    <col min="10" max="10" width="98.42578125" style="47" customWidth="1"/>
    <col min="11" max="16384" width="33.140625" style="47"/>
  </cols>
  <sheetData>
    <row r="1" spans="2:10" ht="17" thickBot="1"/>
    <row r="2" spans="2:10">
      <c r="B2" s="48"/>
      <c r="C2" s="49"/>
      <c r="D2" s="49"/>
      <c r="E2" s="49"/>
      <c r="F2" s="49"/>
      <c r="G2" s="49"/>
      <c r="H2" s="52"/>
      <c r="I2" s="52"/>
      <c r="J2" s="49"/>
    </row>
    <row r="3" spans="2:10">
      <c r="B3" s="50"/>
      <c r="C3" s="12" t="s">
        <v>14</v>
      </c>
      <c r="D3" s="12"/>
      <c r="E3" s="12"/>
      <c r="F3" s="12"/>
      <c r="G3" s="12"/>
      <c r="H3" s="17"/>
      <c r="I3" s="17"/>
    </row>
    <row r="4" spans="2:10">
      <c r="B4" s="50"/>
    </row>
    <row r="5" spans="2:10">
      <c r="B5" s="53"/>
      <c r="C5" s="14" t="s">
        <v>15</v>
      </c>
      <c r="D5" s="14" t="s">
        <v>0</v>
      </c>
      <c r="E5" s="14" t="s">
        <v>11</v>
      </c>
      <c r="F5" s="14" t="s">
        <v>16</v>
      </c>
      <c r="G5" s="14" t="s">
        <v>72</v>
      </c>
      <c r="H5" s="18" t="s">
        <v>17</v>
      </c>
      <c r="I5" s="18" t="s">
        <v>44</v>
      </c>
      <c r="J5" s="14" t="s">
        <v>8</v>
      </c>
    </row>
    <row r="6" spans="2:10">
      <c r="C6" s="12"/>
      <c r="D6" s="12"/>
      <c r="E6" s="12"/>
      <c r="F6" s="12"/>
      <c r="G6" s="12"/>
      <c r="H6" s="17"/>
      <c r="I6" s="17"/>
      <c r="J6" s="12"/>
    </row>
    <row r="7" spans="2:10">
      <c r="B7" s="158" t="s">
        <v>109</v>
      </c>
      <c r="C7" s="144" t="s">
        <v>79</v>
      </c>
      <c r="D7" s="144" t="s">
        <v>81</v>
      </c>
      <c r="E7" s="144" t="s">
        <v>80</v>
      </c>
      <c r="F7" s="47">
        <v>2024</v>
      </c>
      <c r="G7" s="158" t="s">
        <v>110</v>
      </c>
      <c r="H7" s="142">
        <v>45888</v>
      </c>
      <c r="J7" s="147" t="s">
        <v>111</v>
      </c>
    </row>
    <row r="8" spans="2:10">
      <c r="B8" s="144"/>
      <c r="C8" s="144"/>
    </row>
    <row r="9" spans="2:10">
      <c r="B9" s="207" t="s">
        <v>188</v>
      </c>
      <c r="C9" s="207" t="s">
        <v>79</v>
      </c>
      <c r="D9" s="207" t="s">
        <v>187</v>
      </c>
      <c r="E9" s="207" t="s">
        <v>189</v>
      </c>
      <c r="F9" s="207">
        <v>2025</v>
      </c>
      <c r="G9" s="207" t="s">
        <v>190</v>
      </c>
      <c r="H9" s="208">
        <v>45887</v>
      </c>
      <c r="I9" s="209" t="s">
        <v>191</v>
      </c>
      <c r="J9" s="207"/>
    </row>
    <row r="10" spans="2:10">
      <c r="B10" s="207"/>
      <c r="C10" s="207" t="s">
        <v>79</v>
      </c>
      <c r="D10" s="207" t="s">
        <v>187</v>
      </c>
      <c r="E10" s="207" t="s">
        <v>189</v>
      </c>
      <c r="F10" s="207">
        <v>2025</v>
      </c>
      <c r="G10" s="207" t="s">
        <v>192</v>
      </c>
      <c r="H10" s="208">
        <v>45887</v>
      </c>
      <c r="I10" s="209" t="s">
        <v>193</v>
      </c>
      <c r="J10" s="207"/>
    </row>
    <row r="11" spans="2:10">
      <c r="B11" s="207"/>
      <c r="C11" s="207"/>
      <c r="D11" s="207"/>
      <c r="E11" s="207"/>
      <c r="F11" s="207"/>
      <c r="G11" s="207"/>
      <c r="H11" s="208"/>
      <c r="I11" s="209"/>
      <c r="J11" s="207"/>
    </row>
    <row r="12" spans="2:10">
      <c r="B12" s="158" t="s">
        <v>112</v>
      </c>
      <c r="C12" s="144" t="s">
        <v>79</v>
      </c>
      <c r="D12" s="144" t="s">
        <v>81</v>
      </c>
      <c r="E12" s="144" t="s">
        <v>80</v>
      </c>
      <c r="F12" s="47">
        <v>2024</v>
      </c>
      <c r="G12" s="158" t="s">
        <v>113</v>
      </c>
      <c r="H12" s="142">
        <v>45888</v>
      </c>
      <c r="J12" s="147" t="s">
        <v>114</v>
      </c>
    </row>
  </sheetData>
  <phoneticPr fontId="39" type="noConversion"/>
  <hyperlinks>
    <hyperlink ref="J7" r:id="rId1" xr:uid="{B3788B51-CEDE-3C40-AD9E-B67B6EFA3AEC}"/>
    <hyperlink ref="J12" r:id="rId2" xr:uid="{51C1DA0E-8D66-E44B-ABEC-8410B71B3EB8}"/>
    <hyperlink ref="I9" r:id="rId3" xr:uid="{5EC839A6-9C2E-7A4C-A66B-591BFE1D67E2}"/>
    <hyperlink ref="I10" r:id="rId4" xr:uid="{9CC66034-062B-6945-974F-9131B4A2C7C0}"/>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95"/>
  <sheetViews>
    <sheetView topLeftCell="A5" zoomScale="107" zoomScaleNormal="100" workbookViewId="0">
      <selection activeCell="D17" sqref="D17"/>
    </sheetView>
  </sheetViews>
  <sheetFormatPr baseColWidth="10" defaultColWidth="10.85546875" defaultRowHeight="16"/>
  <cols>
    <col min="1" max="2" width="3.42578125" style="54" customWidth="1"/>
    <col min="3" max="3" width="33.28515625" style="54" customWidth="1"/>
    <col min="4" max="4" width="14.85546875" style="54" customWidth="1"/>
    <col min="5" max="5" width="26.7109375" style="54" customWidth="1"/>
    <col min="6" max="6" width="21.85546875" style="54" bestFit="1" customWidth="1"/>
    <col min="7" max="13" width="10.85546875" style="54"/>
    <col min="14" max="14" width="28.140625" style="54" customWidth="1"/>
    <col min="15" max="15" width="22.7109375" style="54" customWidth="1"/>
    <col min="16" max="16" width="12.140625" style="54" customWidth="1"/>
    <col min="17" max="16384" width="10.85546875" style="54"/>
  </cols>
  <sheetData>
    <row r="1" spans="1:14" ht="17" thickBot="1"/>
    <row r="2" spans="1:14">
      <c r="B2" s="55"/>
      <c r="C2" s="56"/>
      <c r="D2" s="56"/>
      <c r="E2" s="56"/>
      <c r="F2" s="56"/>
      <c r="G2" s="56"/>
      <c r="H2" s="56"/>
      <c r="I2" s="56"/>
      <c r="J2" s="56"/>
      <c r="K2" s="56"/>
      <c r="L2" s="56"/>
      <c r="M2" s="56"/>
      <c r="N2" s="57"/>
    </row>
    <row r="3" spans="1:14" ht="17" customHeight="1">
      <c r="A3" s="58"/>
      <c r="B3" s="81"/>
      <c r="C3" s="60" t="s">
        <v>0</v>
      </c>
      <c r="D3" s="60" t="s">
        <v>47</v>
      </c>
      <c r="E3" s="60" t="s">
        <v>24</v>
      </c>
      <c r="F3" s="60"/>
      <c r="G3" s="60"/>
      <c r="H3" s="59"/>
      <c r="I3" s="59"/>
      <c r="J3" s="59"/>
      <c r="K3" s="59"/>
      <c r="L3" s="59"/>
      <c r="M3" s="59"/>
      <c r="N3" s="82"/>
    </row>
    <row r="4" spans="1:14" ht="17" customHeight="1">
      <c r="A4" s="58"/>
      <c r="B4" s="133"/>
      <c r="C4" s="58"/>
      <c r="D4" s="58"/>
      <c r="E4" s="58"/>
      <c r="F4" s="58"/>
      <c r="G4" s="58"/>
    </row>
    <row r="5" spans="1:14" ht="17" customHeight="1">
      <c r="A5" s="58"/>
      <c r="B5" s="133"/>
      <c r="C5" s="58" t="s">
        <v>95</v>
      </c>
      <c r="D5" s="58"/>
      <c r="E5" s="58"/>
      <c r="F5" s="58"/>
      <c r="G5" s="58"/>
    </row>
    <row r="6" spans="1:14" ht="17" customHeight="1">
      <c r="A6" s="58"/>
      <c r="B6" s="133"/>
      <c r="C6" s="54" t="s">
        <v>99</v>
      </c>
      <c r="D6" s="138">
        <f>D39</f>
        <v>25</v>
      </c>
      <c r="E6" s="54" t="s">
        <v>77</v>
      </c>
      <c r="F6" s="143"/>
      <c r="G6" s="58"/>
    </row>
    <row r="7" spans="1:14" ht="17" customHeight="1">
      <c r="A7" s="58"/>
      <c r="B7" s="133"/>
      <c r="C7" s="54" t="s">
        <v>75</v>
      </c>
      <c r="D7" s="98">
        <f>D40</f>
        <v>7500</v>
      </c>
      <c r="E7" s="54" t="s">
        <v>78</v>
      </c>
      <c r="F7" s="143"/>
      <c r="G7" s="58"/>
    </row>
    <row r="8" spans="1:14" ht="17" customHeight="1">
      <c r="A8" s="58"/>
      <c r="B8" s="133"/>
      <c r="C8" s="54" t="s">
        <v>76</v>
      </c>
      <c r="D8" s="98">
        <f>D41</f>
        <v>30</v>
      </c>
      <c r="E8" s="54" t="s">
        <v>89</v>
      </c>
      <c r="F8" s="143"/>
      <c r="G8" s="58"/>
      <c r="N8" s="54" t="s">
        <v>115</v>
      </c>
    </row>
    <row r="9" spans="1:14" ht="17" customHeight="1">
      <c r="A9" s="58"/>
      <c r="B9" s="133"/>
      <c r="C9" s="54" t="s">
        <v>179</v>
      </c>
      <c r="D9" s="98">
        <f>R69</f>
        <v>2</v>
      </c>
      <c r="E9" s="54" t="s">
        <v>89</v>
      </c>
      <c r="F9" s="143"/>
      <c r="G9" s="58"/>
    </row>
    <row r="10" spans="1:14" ht="17" customHeight="1">
      <c r="A10" s="58"/>
      <c r="B10" s="133"/>
      <c r="C10" s="54" t="s">
        <v>106</v>
      </c>
      <c r="D10" s="140">
        <f>1-R67/52</f>
        <v>0.92307692307692313</v>
      </c>
      <c r="F10" s="143"/>
      <c r="G10" s="58"/>
    </row>
    <row r="11" spans="1:14" ht="17" customHeight="1">
      <c r="A11" s="58"/>
      <c r="B11" s="133"/>
      <c r="F11" s="58"/>
      <c r="G11" s="58"/>
    </row>
    <row r="12" spans="1:14" ht="17" customHeight="1">
      <c r="A12" s="58"/>
      <c r="B12" s="133"/>
      <c r="C12" s="54" t="s">
        <v>73</v>
      </c>
      <c r="D12" s="148">
        <f>D43</f>
        <v>25200000</v>
      </c>
      <c r="E12" s="54" t="s">
        <v>19</v>
      </c>
      <c r="F12" s="58"/>
      <c r="G12" s="58"/>
    </row>
    <row r="13" spans="1:14" ht="17" customHeight="1">
      <c r="A13" s="58"/>
      <c r="B13" s="133"/>
      <c r="C13" s="54" t="s">
        <v>90</v>
      </c>
      <c r="D13" s="150">
        <f>D44</f>
        <v>1200000</v>
      </c>
      <c r="E13" s="54" t="s">
        <v>96</v>
      </c>
      <c r="F13" s="58"/>
      <c r="G13" s="58"/>
    </row>
    <row r="14" spans="1:14" ht="17" customHeight="1">
      <c r="A14" s="58"/>
      <c r="B14" s="133"/>
      <c r="C14" s="54" t="s">
        <v>91</v>
      </c>
      <c r="D14" s="138">
        <f>D46</f>
        <v>168</v>
      </c>
      <c r="E14" s="54" t="s">
        <v>56</v>
      </c>
      <c r="F14" s="58"/>
      <c r="G14" s="58"/>
    </row>
    <row r="15" spans="1:14" ht="17" customHeight="1">
      <c r="A15" s="58"/>
      <c r="B15" s="139"/>
      <c r="D15" s="140"/>
      <c r="G15" s="58"/>
    </row>
    <row r="16" spans="1:14" ht="17" customHeight="1">
      <c r="A16" s="58"/>
      <c r="B16" s="133"/>
      <c r="C16" s="58" t="s">
        <v>97</v>
      </c>
      <c r="D16" s="138" t="s">
        <v>200</v>
      </c>
      <c r="E16" s="54" t="s">
        <v>197</v>
      </c>
      <c r="G16" s="58"/>
    </row>
    <row r="17" spans="1:9" ht="17" customHeight="1">
      <c r="A17" s="58"/>
      <c r="B17" s="133"/>
      <c r="C17" s="54" t="s">
        <v>185</v>
      </c>
      <c r="D17" s="138">
        <f>G29</f>
        <v>0.62</v>
      </c>
      <c r="E17" s="54">
        <v>0.623</v>
      </c>
      <c r="F17" s="54" t="s">
        <v>198</v>
      </c>
      <c r="G17" s="58"/>
    </row>
    <row r="18" spans="1:9" ht="17" customHeight="1">
      <c r="A18" s="58"/>
      <c r="B18" s="133"/>
      <c r="C18" s="54" t="s">
        <v>201</v>
      </c>
      <c r="D18" s="138">
        <f>G30</f>
        <v>0.23200000000000001</v>
      </c>
      <c r="E18" s="54">
        <v>0.17799999999999999</v>
      </c>
      <c r="F18" s="58"/>
      <c r="G18" s="54" t="s">
        <v>199</v>
      </c>
      <c r="H18" s="54">
        <f>E17/E18</f>
        <v>3.5</v>
      </c>
    </row>
    <row r="19" spans="1:9" ht="17" customHeight="1">
      <c r="A19" s="58"/>
      <c r="B19" s="133"/>
      <c r="C19" s="54" t="s">
        <v>69</v>
      </c>
      <c r="D19" s="138">
        <f>G32</f>
        <v>0.14800000000000002</v>
      </c>
      <c r="E19" s="138">
        <f>D19+D18-E18</f>
        <v>0.20200000000000001</v>
      </c>
      <c r="F19" s="58"/>
      <c r="G19" s="58"/>
    </row>
    <row r="20" spans="1:9" ht="17" customHeight="1">
      <c r="A20" s="58"/>
      <c r="B20" s="133"/>
      <c r="C20" s="54" t="s">
        <v>98</v>
      </c>
      <c r="D20" s="138">
        <f>G34</f>
        <v>1</v>
      </c>
      <c r="E20" s="138">
        <f>D20</f>
        <v>1</v>
      </c>
      <c r="F20" s="58"/>
      <c r="G20" s="58"/>
    </row>
    <row r="21" spans="1:9" ht="17" customHeight="1">
      <c r="A21" s="58"/>
      <c r="B21" s="133"/>
      <c r="C21" s="58"/>
      <c r="D21" s="58"/>
      <c r="E21" s="58"/>
      <c r="F21" s="58"/>
      <c r="G21" s="58"/>
    </row>
    <row r="22" spans="1:9" ht="17" customHeight="1">
      <c r="A22" s="58"/>
      <c r="B22" s="133"/>
      <c r="G22" s="58"/>
    </row>
    <row r="23" spans="1:9" ht="17" customHeight="1">
      <c r="A23" s="58"/>
      <c r="B23" s="133"/>
      <c r="C23" s="58"/>
      <c r="D23" s="58"/>
      <c r="E23" s="58"/>
      <c r="F23" s="58"/>
      <c r="G23" s="58"/>
    </row>
    <row r="24" spans="1:9" ht="17" customHeight="1">
      <c r="A24" s="58"/>
      <c r="B24" s="133"/>
      <c r="C24" s="58" t="s">
        <v>107</v>
      </c>
      <c r="D24" s="58"/>
      <c r="E24" s="58"/>
    </row>
    <row r="25" spans="1:9" ht="17" customHeight="1">
      <c r="A25" s="58"/>
      <c r="B25" s="133"/>
      <c r="C25" s="54" t="s">
        <v>108</v>
      </c>
      <c r="D25" s="58"/>
      <c r="E25" s="58"/>
    </row>
    <row r="26" spans="1:9" ht="17" customHeight="1">
      <c r="A26" s="58"/>
      <c r="B26" s="133"/>
      <c r="D26" s="58"/>
      <c r="E26" s="58"/>
      <c r="F26" s="58"/>
    </row>
    <row r="27" spans="1:9" ht="17" customHeight="1">
      <c r="A27" s="58"/>
      <c r="B27" s="133"/>
      <c r="C27" s="54" t="s">
        <v>124</v>
      </c>
      <c r="F27" s="58" t="s">
        <v>180</v>
      </c>
    </row>
    <row r="28" spans="1:9" ht="17" customHeight="1">
      <c r="A28" s="58"/>
      <c r="B28" s="133"/>
      <c r="C28" s="58" t="s">
        <v>86</v>
      </c>
      <c r="D28" s="54" t="s">
        <v>82</v>
      </c>
      <c r="E28" s="54" t="s">
        <v>84</v>
      </c>
      <c r="F28" s="54" t="s">
        <v>181</v>
      </c>
      <c r="G28" s="54" t="s">
        <v>182</v>
      </c>
      <c r="I28" s="54" t="s">
        <v>183</v>
      </c>
    </row>
    <row r="29" spans="1:9" ht="17" customHeight="1">
      <c r="B29" s="133"/>
      <c r="C29" s="54" t="s">
        <v>116</v>
      </c>
      <c r="D29" s="54">
        <v>1</v>
      </c>
      <c r="E29" s="138">
        <f>D29/$D$34</f>
        <v>0.87719298245614041</v>
      </c>
      <c r="F29" s="54">
        <f>R63</f>
        <v>0.62</v>
      </c>
      <c r="G29" s="54">
        <f>F29</f>
        <v>0.62</v>
      </c>
    </row>
    <row r="30" spans="1:9" ht="17" customHeight="1">
      <c r="A30" s="58"/>
      <c r="B30" s="133"/>
      <c r="C30" s="54" t="s">
        <v>117</v>
      </c>
      <c r="D30" s="54">
        <v>0.33</v>
      </c>
      <c r="E30" s="138">
        <f>D30/$D$34</f>
        <v>0.28947368421052633</v>
      </c>
      <c r="F30" s="54">
        <f>R64</f>
        <v>0.23200000000000001</v>
      </c>
      <c r="G30" s="54">
        <f>F30</f>
        <v>0.23200000000000001</v>
      </c>
    </row>
    <row r="31" spans="1:9" ht="17" customHeight="1">
      <c r="A31" s="58"/>
      <c r="B31" s="133"/>
      <c r="C31" s="54" t="s">
        <v>74</v>
      </c>
      <c r="D31" s="54">
        <v>0.03</v>
      </c>
      <c r="E31" s="138">
        <f>D31/$D$34</f>
        <v>2.6315789473684213E-2</v>
      </c>
      <c r="F31" s="54">
        <f>R65</f>
        <v>1.6E-2</v>
      </c>
    </row>
    <row r="32" spans="1:9" ht="17" customHeight="1">
      <c r="A32" s="58"/>
      <c r="B32" s="133"/>
      <c r="C32" s="54" t="s">
        <v>83</v>
      </c>
      <c r="E32" s="160">
        <f>1-SUM(E29:E31)</f>
        <v>-0.19298245614035103</v>
      </c>
      <c r="F32" s="138">
        <f>1-SUM(F29:F31)</f>
        <v>0.13200000000000001</v>
      </c>
      <c r="G32" s="54">
        <f>SUM(F31:F32)</f>
        <v>0.14800000000000002</v>
      </c>
      <c r="I32" s="54" t="s">
        <v>184</v>
      </c>
    </row>
    <row r="33" spans="1:7" ht="17" customHeight="1">
      <c r="A33" s="58"/>
      <c r="B33" s="133"/>
      <c r="C33" s="58" t="s">
        <v>87</v>
      </c>
      <c r="F33" s="138"/>
    </row>
    <row r="34" spans="1:7" ht="17" customHeight="1">
      <c r="A34" s="58"/>
      <c r="B34" s="133"/>
      <c r="C34" s="54" t="s">
        <v>85</v>
      </c>
      <c r="D34" s="54">
        <v>1.1399999999999999</v>
      </c>
      <c r="E34" s="138">
        <v>1</v>
      </c>
      <c r="F34" s="138">
        <f>R61</f>
        <v>1</v>
      </c>
      <c r="G34" s="138">
        <f>F34</f>
        <v>1</v>
      </c>
    </row>
    <row r="35" spans="1:7" ht="17" customHeight="1">
      <c r="A35" s="58"/>
      <c r="B35" s="133"/>
      <c r="E35" s="138"/>
      <c r="G35" s="58"/>
    </row>
    <row r="36" spans="1:7" ht="17" customHeight="1">
      <c r="A36" s="58"/>
      <c r="B36" s="133"/>
      <c r="E36" s="138"/>
      <c r="F36" s="146"/>
      <c r="G36" s="58"/>
    </row>
    <row r="37" spans="1:7" ht="17" customHeight="1">
      <c r="A37" s="58"/>
      <c r="B37" s="133"/>
      <c r="C37" s="58" t="s">
        <v>88</v>
      </c>
      <c r="F37" s="146"/>
      <c r="G37" s="58"/>
    </row>
    <row r="38" spans="1:7" ht="17" customHeight="1">
      <c r="A38" s="58"/>
      <c r="B38" s="133"/>
      <c r="C38" s="54" t="s">
        <v>119</v>
      </c>
      <c r="D38" s="54">
        <v>15</v>
      </c>
      <c r="E38" s="54" t="s">
        <v>118</v>
      </c>
      <c r="G38" s="58"/>
    </row>
    <row r="39" spans="1:7" ht="17" customHeight="1">
      <c r="A39" s="58"/>
      <c r="B39" s="133"/>
      <c r="C39" s="54" t="s">
        <v>120</v>
      </c>
      <c r="D39" s="54">
        <v>25</v>
      </c>
      <c r="E39" s="54" t="s">
        <v>118</v>
      </c>
      <c r="F39" s="54" t="s">
        <v>186</v>
      </c>
      <c r="G39" s="58"/>
    </row>
    <row r="40" spans="1:7" ht="17" customHeight="1">
      <c r="A40" s="58"/>
      <c r="B40" s="133"/>
      <c r="C40" s="54" t="s">
        <v>75</v>
      </c>
      <c r="D40" s="54">
        <v>7500</v>
      </c>
      <c r="E40" s="54" t="s">
        <v>93</v>
      </c>
      <c r="G40" s="58"/>
    </row>
    <row r="41" spans="1:7" ht="17" customHeight="1">
      <c r="A41" s="58"/>
      <c r="B41" s="133"/>
      <c r="C41" s="54" t="s">
        <v>76</v>
      </c>
      <c r="D41" s="54">
        <v>30</v>
      </c>
      <c r="E41" s="54" t="s">
        <v>89</v>
      </c>
      <c r="G41" s="58"/>
    </row>
    <row r="42" spans="1:7" ht="17" customHeight="1">
      <c r="A42" s="58"/>
      <c r="B42" s="133"/>
      <c r="G42" s="58"/>
    </row>
    <row r="43" spans="1:7" ht="17" customHeight="1">
      <c r="A43" s="58"/>
      <c r="B43" s="133"/>
      <c r="C43" s="54" t="s">
        <v>73</v>
      </c>
      <c r="D43" s="149">
        <f>1.68*10^6*D38</f>
        <v>25200000</v>
      </c>
      <c r="E43" s="54" t="s">
        <v>71</v>
      </c>
      <c r="F43" s="54" t="s">
        <v>121</v>
      </c>
      <c r="G43" s="58"/>
    </row>
    <row r="44" spans="1:7" ht="17" customHeight="1">
      <c r="A44" s="58"/>
      <c r="B44" s="133"/>
      <c r="C44" s="54" t="s">
        <v>90</v>
      </c>
      <c r="D44" s="149">
        <f>0.08*D38*10^6</f>
        <v>1200000</v>
      </c>
      <c r="E44" s="54" t="s">
        <v>92</v>
      </c>
      <c r="G44" s="58"/>
    </row>
    <row r="45" spans="1:7" ht="17" customHeight="1">
      <c r="A45" s="58"/>
      <c r="B45" s="133"/>
      <c r="C45" s="54" t="s">
        <v>91</v>
      </c>
      <c r="D45" s="149">
        <f>0.05*D43</f>
        <v>1260000</v>
      </c>
      <c r="E45" s="54" t="s">
        <v>92</v>
      </c>
      <c r="G45" s="58"/>
    </row>
    <row r="46" spans="1:7" ht="17" customHeight="1">
      <c r="A46" s="58"/>
      <c r="B46" s="133"/>
      <c r="C46" s="54" t="s">
        <v>91</v>
      </c>
      <c r="D46" s="138">
        <f>D45/D40</f>
        <v>168</v>
      </c>
      <c r="E46" s="54" t="s">
        <v>94</v>
      </c>
      <c r="G46" s="58"/>
    </row>
    <row r="47" spans="1:7" ht="17" customHeight="1">
      <c r="A47" s="58"/>
      <c r="B47" s="133"/>
      <c r="G47" s="58"/>
    </row>
    <row r="48" spans="1:7" ht="17" customHeight="1">
      <c r="A48" s="58"/>
      <c r="B48" s="133"/>
      <c r="G48" s="58"/>
    </row>
    <row r="49" spans="1:26" ht="17" customHeight="1">
      <c r="A49" s="58"/>
      <c r="B49" s="133"/>
      <c r="C49" s="58" t="s">
        <v>103</v>
      </c>
      <c r="D49" s="138"/>
      <c r="E49" s="98"/>
      <c r="G49" s="58"/>
    </row>
    <row r="50" spans="1:26" ht="17" customHeight="1">
      <c r="A50" s="58"/>
      <c r="B50" s="133"/>
      <c r="C50" s="54" t="s">
        <v>103</v>
      </c>
      <c r="D50" s="54">
        <v>63.39</v>
      </c>
      <c r="E50" s="138" t="s">
        <v>122</v>
      </c>
      <c r="G50" s="58"/>
      <c r="N50" s="54" t="s">
        <v>178</v>
      </c>
    </row>
    <row r="51" spans="1:26" ht="17" customHeight="1">
      <c r="A51" s="58"/>
      <c r="B51" s="133"/>
      <c r="C51" s="54" t="s">
        <v>103</v>
      </c>
      <c r="D51" s="138">
        <f>D50*10^-3</f>
        <v>6.3390000000000002E-2</v>
      </c>
      <c r="E51" s="138" t="s">
        <v>123</v>
      </c>
      <c r="G51" s="58"/>
    </row>
    <row r="52" spans="1:26" ht="17" customHeight="1">
      <c r="A52" s="58"/>
      <c r="B52" s="133"/>
      <c r="D52" s="138"/>
      <c r="E52" s="138"/>
      <c r="G52" s="58"/>
    </row>
    <row r="53" spans="1:26" ht="17" customHeight="1">
      <c r="A53" s="58"/>
      <c r="B53" s="133"/>
      <c r="D53" s="138"/>
      <c r="G53" s="58"/>
      <c r="N53" s="162" t="s">
        <v>125</v>
      </c>
      <c r="O53" s="163"/>
      <c r="P53" s="224" t="s">
        <v>126</v>
      </c>
      <c r="Q53" s="225"/>
      <c r="R53" s="225"/>
      <c r="S53" s="225"/>
      <c r="T53" s="225"/>
      <c r="U53" s="225"/>
      <c r="V53" s="225"/>
      <c r="W53" s="225"/>
      <c r="X53" s="225"/>
      <c r="Y53" s="225"/>
      <c r="Z53" s="225"/>
    </row>
    <row r="54" spans="1:26" ht="17" customHeight="1">
      <c r="A54" s="58"/>
      <c r="B54" s="133"/>
      <c r="C54" s="58"/>
      <c r="G54" s="58"/>
      <c r="N54" s="164" t="s">
        <v>127</v>
      </c>
      <c r="O54" s="165"/>
      <c r="P54" s="166">
        <v>2015</v>
      </c>
      <c r="Q54" s="166">
        <v>2020</v>
      </c>
      <c r="R54" s="166">
        <v>2030</v>
      </c>
      <c r="S54" s="166">
        <v>2040</v>
      </c>
      <c r="T54" s="166">
        <v>2050</v>
      </c>
      <c r="U54" s="167">
        <v>2020</v>
      </c>
      <c r="V54" s="167">
        <v>2020</v>
      </c>
      <c r="W54" s="167">
        <v>2050</v>
      </c>
      <c r="X54" s="167">
        <v>2050</v>
      </c>
      <c r="Y54" s="168" t="s">
        <v>128</v>
      </c>
      <c r="Z54" s="168" t="s">
        <v>129</v>
      </c>
    </row>
    <row r="55" spans="1:26" ht="17" customHeight="1" thickBot="1">
      <c r="A55" s="58"/>
      <c r="B55" s="133"/>
      <c r="G55" s="58"/>
      <c r="N55" s="169" t="s">
        <v>130</v>
      </c>
      <c r="O55" s="170"/>
      <c r="P55" s="171" t="s">
        <v>131</v>
      </c>
      <c r="Q55" s="171" t="s">
        <v>131</v>
      </c>
      <c r="R55" s="171" t="s">
        <v>131</v>
      </c>
      <c r="S55" s="171" t="s">
        <v>131</v>
      </c>
      <c r="T55" s="171" t="s">
        <v>131</v>
      </c>
      <c r="U55" s="172" t="s">
        <v>132</v>
      </c>
      <c r="V55" s="172" t="s">
        <v>133</v>
      </c>
      <c r="W55" s="172" t="s">
        <v>132</v>
      </c>
      <c r="X55" s="172" t="s">
        <v>133</v>
      </c>
      <c r="Y55" s="173" t="s">
        <v>2</v>
      </c>
      <c r="Z55" s="173" t="s">
        <v>2</v>
      </c>
    </row>
    <row r="56" spans="1:26" ht="17" customHeight="1">
      <c r="A56" s="58"/>
      <c r="B56" s="133"/>
      <c r="G56" s="58"/>
      <c r="N56" s="174" t="s">
        <v>134</v>
      </c>
      <c r="O56" s="175" t="s">
        <v>135</v>
      </c>
      <c r="P56" s="176"/>
      <c r="Q56" s="176"/>
      <c r="R56" s="176"/>
      <c r="S56" s="176"/>
      <c r="T56" s="176"/>
      <c r="U56" s="176"/>
      <c r="V56" s="176"/>
      <c r="W56" s="176"/>
      <c r="X56" s="176"/>
      <c r="Y56" s="177"/>
      <c r="Z56" s="177"/>
    </row>
    <row r="57" spans="1:26" ht="17" customHeight="1">
      <c r="A57" s="58"/>
      <c r="B57" s="133"/>
      <c r="G57" s="58"/>
      <c r="N57" s="178" t="s">
        <v>136</v>
      </c>
      <c r="O57" s="178"/>
      <c r="P57" s="176"/>
      <c r="Q57" s="176"/>
      <c r="R57" s="176"/>
      <c r="S57" s="176"/>
      <c r="T57" s="176"/>
      <c r="U57" s="176"/>
      <c r="V57" s="176"/>
      <c r="W57" s="176"/>
      <c r="X57" s="176"/>
      <c r="Y57" s="177"/>
      <c r="Z57" s="177"/>
    </row>
    <row r="58" spans="1:26" ht="17" customHeight="1">
      <c r="A58" s="58"/>
      <c r="B58" s="133"/>
      <c r="C58" s="58"/>
      <c r="E58" s="159"/>
      <c r="G58" s="58"/>
      <c r="N58" s="178"/>
      <c r="O58" s="179" t="s">
        <v>137</v>
      </c>
      <c r="P58" s="180">
        <v>20</v>
      </c>
      <c r="Q58" s="180">
        <v>80</v>
      </c>
      <c r="R58" s="199">
        <v>200</v>
      </c>
      <c r="S58" s="180">
        <v>500</v>
      </c>
      <c r="T58" s="180">
        <v>1000</v>
      </c>
      <c r="U58" s="181">
        <v>0.5</v>
      </c>
      <c r="V58" s="181">
        <v>1.25</v>
      </c>
      <c r="W58" s="181">
        <v>0.75</v>
      </c>
      <c r="X58" s="181">
        <v>1.25</v>
      </c>
      <c r="Y58" s="177" t="s">
        <v>138</v>
      </c>
      <c r="Z58" s="177" t="s">
        <v>139</v>
      </c>
    </row>
    <row r="59" spans="1:26" ht="17" customHeight="1">
      <c r="A59" s="58"/>
      <c r="B59" s="133"/>
      <c r="E59" s="138"/>
      <c r="G59" s="58"/>
      <c r="N59" s="178"/>
      <c r="O59" s="179" t="s">
        <v>140</v>
      </c>
      <c r="P59" s="180">
        <v>10</v>
      </c>
      <c r="Q59" s="180">
        <v>40</v>
      </c>
      <c r="R59" s="199">
        <v>105</v>
      </c>
      <c r="S59" s="180">
        <v>265</v>
      </c>
      <c r="T59" s="180">
        <v>520</v>
      </c>
      <c r="U59" s="181">
        <v>0.5</v>
      </c>
      <c r="V59" s="181">
        <v>1.25</v>
      </c>
      <c r="W59" s="181">
        <v>0.75</v>
      </c>
      <c r="X59" s="181">
        <v>1.25</v>
      </c>
      <c r="Y59" s="177" t="s">
        <v>141</v>
      </c>
      <c r="Z59" s="177" t="s">
        <v>139</v>
      </c>
    </row>
    <row r="60" spans="1:26" ht="17" customHeight="1">
      <c r="A60" s="58"/>
      <c r="B60" s="133"/>
      <c r="E60" s="138"/>
      <c r="G60" s="58"/>
      <c r="N60" s="178"/>
      <c r="O60" s="178" t="s">
        <v>87</v>
      </c>
      <c r="P60" s="180"/>
      <c r="Q60" s="180"/>
      <c r="R60" s="199"/>
      <c r="S60" s="180"/>
      <c r="T60" s="180"/>
      <c r="U60" s="180"/>
      <c r="V60" s="180"/>
      <c r="W60" s="180"/>
      <c r="X60" s="180"/>
      <c r="Y60" s="177"/>
      <c r="Z60" s="177"/>
    </row>
    <row r="61" spans="1:26" ht="17" customHeight="1">
      <c r="A61" s="58"/>
      <c r="B61" s="133"/>
      <c r="E61" s="138"/>
      <c r="G61" s="58"/>
      <c r="N61" s="178"/>
      <c r="O61" s="179" t="s">
        <v>142</v>
      </c>
      <c r="P61" s="180">
        <v>1</v>
      </c>
      <c r="Q61" s="180">
        <v>1</v>
      </c>
      <c r="R61" s="199">
        <v>1</v>
      </c>
      <c r="S61" s="180">
        <v>1</v>
      </c>
      <c r="T61" s="180">
        <v>1</v>
      </c>
      <c r="U61" s="182">
        <v>0.9</v>
      </c>
      <c r="V61" s="182">
        <v>1.5</v>
      </c>
      <c r="W61" s="182">
        <v>0.9</v>
      </c>
      <c r="X61" s="182">
        <v>1.25</v>
      </c>
      <c r="Y61" s="177" t="s">
        <v>143</v>
      </c>
      <c r="Z61" s="177">
        <v>4</v>
      </c>
    </row>
    <row r="62" spans="1:26" ht="17" customHeight="1">
      <c r="A62" s="58"/>
      <c r="B62" s="133"/>
      <c r="C62" s="58"/>
      <c r="G62" s="58"/>
      <c r="N62" s="178"/>
      <c r="O62" s="178" t="s">
        <v>86</v>
      </c>
      <c r="P62" s="180"/>
      <c r="Q62" s="180"/>
      <c r="R62" s="199"/>
      <c r="S62" s="180"/>
      <c r="T62" s="180"/>
      <c r="U62" s="182"/>
      <c r="V62" s="182"/>
      <c r="W62" s="182"/>
      <c r="X62" s="182"/>
      <c r="Y62" s="177"/>
      <c r="Z62" s="177"/>
    </row>
    <row r="63" spans="1:26" ht="17" customHeight="1">
      <c r="A63" s="58"/>
      <c r="B63" s="133"/>
      <c r="E63" s="138"/>
      <c r="G63" s="58"/>
      <c r="N63" s="178"/>
      <c r="O63" s="179" t="s">
        <v>144</v>
      </c>
      <c r="P63" s="180">
        <v>0.6</v>
      </c>
      <c r="Q63" s="180">
        <v>0.6</v>
      </c>
      <c r="R63" s="199">
        <v>0.62</v>
      </c>
      <c r="S63" s="180">
        <v>0.64</v>
      </c>
      <c r="T63" s="180">
        <v>0.65</v>
      </c>
      <c r="U63" s="182">
        <v>0.9</v>
      </c>
      <c r="V63" s="182">
        <v>1.1000000000000001</v>
      </c>
      <c r="W63" s="182">
        <v>0.9</v>
      </c>
      <c r="X63" s="182">
        <v>1.1000000000000001</v>
      </c>
      <c r="Y63" s="177" t="s">
        <v>143</v>
      </c>
      <c r="Z63" s="177">
        <v>4</v>
      </c>
    </row>
    <row r="64" spans="1:26" ht="17" customHeight="1">
      <c r="A64" s="58"/>
      <c r="B64" s="133"/>
      <c r="G64" s="58"/>
      <c r="N64" s="178"/>
      <c r="O64" s="179" t="s">
        <v>145</v>
      </c>
      <c r="P64" s="180">
        <v>0.23200000000000001</v>
      </c>
      <c r="Q64" s="180">
        <v>0.23200000000000001</v>
      </c>
      <c r="R64" s="199">
        <v>0.23200000000000001</v>
      </c>
      <c r="S64" s="180">
        <v>0.23200000000000001</v>
      </c>
      <c r="T64" s="180">
        <v>0.23200000000000001</v>
      </c>
      <c r="U64" s="182">
        <v>0.9</v>
      </c>
      <c r="V64" s="182">
        <v>1.1000000000000001</v>
      </c>
      <c r="W64" s="182">
        <v>0.9</v>
      </c>
      <c r="X64" s="182">
        <v>1.1000000000000001</v>
      </c>
      <c r="Y64" s="177" t="s">
        <v>143</v>
      </c>
      <c r="Z64" s="177">
        <v>4</v>
      </c>
    </row>
    <row r="65" spans="1:26" ht="17" customHeight="1">
      <c r="A65" s="58"/>
      <c r="B65" s="133"/>
      <c r="C65" s="159"/>
      <c r="D65" s="159"/>
      <c r="F65" s="159"/>
      <c r="G65" s="58"/>
      <c r="N65" s="178"/>
      <c r="O65" s="179" t="s">
        <v>146</v>
      </c>
      <c r="P65" s="180">
        <v>1.6E-2</v>
      </c>
      <c r="Q65" s="180">
        <v>1.6E-2</v>
      </c>
      <c r="R65" s="199">
        <v>1.6E-2</v>
      </c>
      <c r="S65" s="180">
        <v>1.6E-2</v>
      </c>
      <c r="T65" s="180">
        <v>1.6E-2</v>
      </c>
      <c r="U65" s="180">
        <v>0.9</v>
      </c>
      <c r="V65" s="180">
        <v>1.1000000000000001</v>
      </c>
      <c r="W65" s="180">
        <v>0.9</v>
      </c>
      <c r="X65" s="180">
        <v>1.1000000000000001</v>
      </c>
      <c r="Y65" s="177" t="s">
        <v>143</v>
      </c>
      <c r="Z65" s="177">
        <v>4</v>
      </c>
    </row>
    <row r="66" spans="1:26" ht="17" customHeight="1">
      <c r="A66" s="58"/>
      <c r="B66" s="133"/>
      <c r="G66" s="58"/>
      <c r="N66" s="178"/>
      <c r="O66" s="179" t="s">
        <v>147</v>
      </c>
      <c r="P66" s="180" t="s">
        <v>148</v>
      </c>
      <c r="Q66" s="180">
        <v>4</v>
      </c>
      <c r="R66" s="199">
        <v>0</v>
      </c>
      <c r="S66" s="180">
        <v>0</v>
      </c>
      <c r="T66" s="180">
        <v>0</v>
      </c>
      <c r="U66" s="180"/>
      <c r="V66" s="180"/>
      <c r="W66" s="180"/>
      <c r="X66" s="180"/>
      <c r="Y66" s="177"/>
      <c r="Z66" s="177"/>
    </row>
    <row r="67" spans="1:26" ht="17" customHeight="1">
      <c r="A67" s="58"/>
      <c r="B67" s="133"/>
      <c r="G67" s="58"/>
      <c r="N67" s="178"/>
      <c r="O67" s="179" t="s">
        <v>149</v>
      </c>
      <c r="P67" s="180">
        <v>4</v>
      </c>
      <c r="Q67" s="180">
        <v>4</v>
      </c>
      <c r="R67" s="199">
        <v>4</v>
      </c>
      <c r="S67" s="180">
        <v>4</v>
      </c>
      <c r="T67" s="180">
        <v>4</v>
      </c>
      <c r="U67" s="180"/>
      <c r="V67" s="180"/>
      <c r="W67" s="180"/>
      <c r="X67" s="180"/>
      <c r="Y67" s="177" t="s">
        <v>150</v>
      </c>
      <c r="Z67" s="177">
        <v>8</v>
      </c>
    </row>
    <row r="68" spans="1:26" ht="17" customHeight="1">
      <c r="A68" s="58"/>
      <c r="B68" s="133"/>
      <c r="C68" s="58"/>
      <c r="F68" s="146"/>
      <c r="G68" s="58"/>
      <c r="N68" s="178"/>
      <c r="O68" s="179" t="s">
        <v>151</v>
      </c>
      <c r="P68" s="180">
        <v>25</v>
      </c>
      <c r="Q68" s="180">
        <v>25</v>
      </c>
      <c r="R68" s="199">
        <v>25</v>
      </c>
      <c r="S68" s="180">
        <v>25</v>
      </c>
      <c r="T68" s="180">
        <v>25</v>
      </c>
      <c r="U68" s="180"/>
      <c r="V68" s="180"/>
      <c r="W68" s="180"/>
      <c r="X68" s="180"/>
      <c r="Y68" s="177"/>
      <c r="Z68" s="177"/>
    </row>
    <row r="69" spans="1:26">
      <c r="N69" s="178"/>
      <c r="O69" s="179" t="s">
        <v>152</v>
      </c>
      <c r="P69" s="180">
        <v>2</v>
      </c>
      <c r="Q69" s="180">
        <v>2</v>
      </c>
      <c r="R69" s="199">
        <v>2</v>
      </c>
      <c r="S69" s="180">
        <v>2</v>
      </c>
      <c r="T69" s="180">
        <v>2</v>
      </c>
      <c r="U69" s="180"/>
      <c r="V69" s="180"/>
      <c r="W69" s="180"/>
      <c r="X69" s="180"/>
      <c r="Y69" s="177"/>
      <c r="Z69" s="177"/>
    </row>
    <row r="70" spans="1:26">
      <c r="N70" s="178" t="s">
        <v>153</v>
      </c>
      <c r="O70" s="178"/>
      <c r="P70" s="180"/>
      <c r="Q70" s="180"/>
      <c r="R70" s="199"/>
      <c r="S70" s="180"/>
      <c r="T70" s="180"/>
      <c r="U70" s="180"/>
      <c r="V70" s="180"/>
      <c r="W70" s="180"/>
      <c r="X70" s="180"/>
      <c r="Y70" s="177"/>
      <c r="Z70" s="177"/>
    </row>
    <row r="71" spans="1:26">
      <c r="N71" s="178"/>
      <c r="O71" s="179" t="s">
        <v>154</v>
      </c>
      <c r="P71" s="183">
        <v>2.5521599999999998</v>
      </c>
      <c r="Q71" s="183">
        <v>2.0417279999999995</v>
      </c>
      <c r="R71" s="200">
        <v>1.2153142857142856</v>
      </c>
      <c r="S71" s="183">
        <v>0.9028867924528301</v>
      </c>
      <c r="T71" s="183">
        <v>0.73619999999999997</v>
      </c>
      <c r="U71" s="180">
        <v>0.79754999999999998</v>
      </c>
      <c r="V71" s="180">
        <v>1.3292499999999998</v>
      </c>
      <c r="W71" s="180">
        <v>0.79754999999999998</v>
      </c>
      <c r="X71" s="180">
        <v>1.3292499999999998</v>
      </c>
      <c r="Y71" s="177" t="s">
        <v>155</v>
      </c>
      <c r="Z71" s="177" t="s">
        <v>156</v>
      </c>
    </row>
    <row r="72" spans="1:26">
      <c r="N72" s="178"/>
      <c r="O72" s="179" t="s">
        <v>157</v>
      </c>
      <c r="P72" s="184">
        <v>75</v>
      </c>
      <c r="Q72" s="184">
        <v>75</v>
      </c>
      <c r="R72" s="201">
        <v>75</v>
      </c>
      <c r="S72" s="184">
        <v>75</v>
      </c>
      <c r="T72" s="184">
        <v>75</v>
      </c>
      <c r="U72" s="177"/>
      <c r="V72" s="177"/>
      <c r="W72" s="177"/>
      <c r="X72" s="177"/>
      <c r="Y72" s="177"/>
      <c r="Z72" s="177"/>
    </row>
    <row r="73" spans="1:26">
      <c r="D73" s="161"/>
      <c r="F73" s="159"/>
      <c r="N73" s="178"/>
      <c r="O73" s="179" t="s">
        <v>158</v>
      </c>
      <c r="P73" s="184">
        <v>25</v>
      </c>
      <c r="Q73" s="184">
        <v>25</v>
      </c>
      <c r="R73" s="201">
        <v>25</v>
      </c>
      <c r="S73" s="184">
        <v>25</v>
      </c>
      <c r="T73" s="184">
        <v>25</v>
      </c>
      <c r="U73" s="177"/>
      <c r="V73" s="177"/>
      <c r="W73" s="177"/>
      <c r="X73" s="177"/>
      <c r="Y73" s="177"/>
      <c r="Z73" s="177"/>
    </row>
    <row r="74" spans="1:26">
      <c r="D74" s="149"/>
      <c r="N74" s="178"/>
      <c r="O74" s="179" t="s">
        <v>159</v>
      </c>
      <c r="P74" s="180">
        <v>7.6564799999999988E-2</v>
      </c>
      <c r="Q74" s="180">
        <v>7.6564799999999988E-2</v>
      </c>
      <c r="R74" s="202">
        <v>7.2918857142857119E-2</v>
      </c>
      <c r="S74" s="185">
        <v>7.2230943396226405E-2</v>
      </c>
      <c r="T74" s="185">
        <v>7.3619999999999991E-2</v>
      </c>
      <c r="U74" s="180">
        <v>0.79754999999999998</v>
      </c>
      <c r="V74" s="180">
        <v>1.3292499999999998</v>
      </c>
      <c r="W74" s="180">
        <v>0.79754999999999998</v>
      </c>
      <c r="X74" s="180">
        <v>1.3292499999999998</v>
      </c>
      <c r="Y74" s="177" t="s">
        <v>160</v>
      </c>
      <c r="Z74" s="177">
        <v>6</v>
      </c>
    </row>
    <row r="75" spans="1:26">
      <c r="D75" s="149"/>
      <c r="N75" s="178"/>
      <c r="O75" s="179" t="s">
        <v>161</v>
      </c>
      <c r="P75" s="186">
        <v>2.8711799999999998</v>
      </c>
      <c r="Q75" s="186">
        <v>2.8711799999999998</v>
      </c>
      <c r="R75" s="203">
        <v>2.8711799999999998</v>
      </c>
      <c r="S75" s="186">
        <v>2.8711799999999998</v>
      </c>
      <c r="T75" s="186">
        <v>2.8711799999999998</v>
      </c>
      <c r="U75" s="181">
        <v>0.75</v>
      </c>
      <c r="V75" s="181">
        <v>1.25</v>
      </c>
      <c r="W75" s="181">
        <v>0.75</v>
      </c>
      <c r="X75" s="181">
        <v>1.25</v>
      </c>
      <c r="Y75" s="177" t="s">
        <v>160</v>
      </c>
      <c r="Z75" s="177">
        <v>6</v>
      </c>
    </row>
    <row r="76" spans="1:26">
      <c r="D76" s="138"/>
      <c r="N76" s="178"/>
      <c r="O76" s="179" t="s">
        <v>162</v>
      </c>
      <c r="P76" s="185" t="s">
        <v>148</v>
      </c>
      <c r="Q76" s="185">
        <v>0</v>
      </c>
      <c r="R76" s="202">
        <v>0</v>
      </c>
      <c r="S76" s="185">
        <v>0</v>
      </c>
      <c r="T76" s="185">
        <v>0</v>
      </c>
      <c r="U76" s="182">
        <v>0</v>
      </c>
      <c r="V76" s="182">
        <v>0</v>
      </c>
      <c r="W76" s="182">
        <v>0</v>
      </c>
      <c r="X76" s="182">
        <v>0</v>
      </c>
      <c r="Y76" s="177"/>
      <c r="Z76" s="177"/>
    </row>
    <row r="77" spans="1:26">
      <c r="D77" s="138"/>
      <c r="N77" s="178" t="s">
        <v>163</v>
      </c>
      <c r="O77" s="187"/>
      <c r="P77" s="180"/>
      <c r="Q77" s="180"/>
      <c r="R77" s="199"/>
      <c r="S77" s="180"/>
      <c r="T77" s="180"/>
      <c r="U77" s="182"/>
      <c r="V77" s="182"/>
      <c r="W77" s="182"/>
      <c r="X77" s="182"/>
      <c r="Y77" s="177"/>
      <c r="Z77" s="177"/>
    </row>
    <row r="78" spans="1:26">
      <c r="N78" s="178"/>
      <c r="O78" s="179" t="s">
        <v>164</v>
      </c>
      <c r="P78" s="180">
        <v>16</v>
      </c>
      <c r="Q78" s="180">
        <v>16</v>
      </c>
      <c r="R78" s="199">
        <v>16</v>
      </c>
      <c r="S78" s="180">
        <v>16</v>
      </c>
      <c r="T78" s="180">
        <v>16</v>
      </c>
      <c r="U78" s="180"/>
      <c r="V78" s="180"/>
      <c r="W78" s="180"/>
      <c r="X78" s="180"/>
      <c r="Y78" s="177"/>
      <c r="Z78" s="177"/>
    </row>
    <row r="79" spans="1:26">
      <c r="N79" s="178"/>
      <c r="O79" s="179" t="s">
        <v>165</v>
      </c>
      <c r="P79" s="180">
        <v>1.2</v>
      </c>
      <c r="Q79" s="180">
        <v>1.2</v>
      </c>
      <c r="R79" s="199">
        <v>1.2</v>
      </c>
      <c r="S79" s="180">
        <v>1.2</v>
      </c>
      <c r="T79" s="180">
        <v>1.2</v>
      </c>
      <c r="U79" s="180"/>
      <c r="V79" s="180"/>
      <c r="W79" s="180"/>
      <c r="X79" s="180"/>
      <c r="Y79" s="177"/>
      <c r="Z79" s="177"/>
    </row>
    <row r="80" spans="1:26">
      <c r="N80" s="178"/>
      <c r="O80" s="179" t="s">
        <v>166</v>
      </c>
      <c r="P80" s="180">
        <v>1.276047264</v>
      </c>
      <c r="Q80" s="180">
        <v>1.0208378112000001</v>
      </c>
      <c r="R80" s="199">
        <v>0.63802363200000001</v>
      </c>
      <c r="S80" s="180">
        <v>0.47851772400000003</v>
      </c>
      <c r="T80" s="180">
        <v>0.38281417919999999</v>
      </c>
      <c r="U80" s="180">
        <v>0.75</v>
      </c>
      <c r="V80" s="180">
        <v>1.25</v>
      </c>
      <c r="W80" s="180">
        <v>0.75</v>
      </c>
      <c r="X80" s="180">
        <v>1.25</v>
      </c>
      <c r="Y80" s="177" t="s">
        <v>155</v>
      </c>
      <c r="Z80" s="177" t="s">
        <v>156</v>
      </c>
    </row>
    <row r="81" spans="4:26">
      <c r="N81" s="178"/>
      <c r="O81" s="179" t="s">
        <v>157</v>
      </c>
      <c r="P81" s="184">
        <v>75</v>
      </c>
      <c r="Q81" s="184">
        <v>75</v>
      </c>
      <c r="R81" s="201">
        <v>75</v>
      </c>
      <c r="S81" s="184">
        <v>75</v>
      </c>
      <c r="T81" s="184">
        <v>75</v>
      </c>
      <c r="U81" s="181"/>
      <c r="V81" s="181"/>
      <c r="W81" s="181"/>
      <c r="X81" s="181"/>
      <c r="Y81" s="177"/>
      <c r="Z81" s="177"/>
    </row>
    <row r="82" spans="4:26">
      <c r="N82" s="178"/>
      <c r="O82" s="179" t="s">
        <v>158</v>
      </c>
      <c r="P82" s="180">
        <v>25</v>
      </c>
      <c r="Q82" s="180">
        <v>25</v>
      </c>
      <c r="R82" s="199">
        <v>25</v>
      </c>
      <c r="S82" s="180">
        <v>25</v>
      </c>
      <c r="T82" s="180">
        <v>25</v>
      </c>
      <c r="U82" s="180"/>
      <c r="V82" s="180"/>
      <c r="W82" s="180"/>
      <c r="X82" s="180"/>
      <c r="Y82" s="177"/>
      <c r="Z82" s="177"/>
    </row>
    <row r="83" spans="4:26">
      <c r="D83" s="205"/>
      <c r="N83" s="178"/>
      <c r="O83" s="179" t="s">
        <v>167</v>
      </c>
      <c r="P83" s="180">
        <v>3.8281417919999998E-2</v>
      </c>
      <c r="Q83" s="180">
        <v>3.8281417919999998E-2</v>
      </c>
      <c r="R83" s="199">
        <v>3.8281417919999998E-2</v>
      </c>
      <c r="S83" s="180">
        <v>3.8281417919999998E-2</v>
      </c>
      <c r="T83" s="180">
        <v>3.8281417919999998E-2</v>
      </c>
      <c r="U83" s="180">
        <v>0.75</v>
      </c>
      <c r="V83" s="180">
        <v>1.25</v>
      </c>
      <c r="W83" s="180">
        <v>0.75</v>
      </c>
      <c r="X83" s="180">
        <v>1.25</v>
      </c>
      <c r="Y83" s="177" t="s">
        <v>160</v>
      </c>
      <c r="Z83" s="177">
        <v>6</v>
      </c>
    </row>
    <row r="84" spans="4:26">
      <c r="D84" s="205"/>
      <c r="N84" s="178"/>
      <c r="O84" s="179" t="s">
        <v>168</v>
      </c>
      <c r="P84" s="185">
        <v>1.2760472640000001E-2</v>
      </c>
      <c r="Q84" s="185">
        <v>1.2760472640000001E-2</v>
      </c>
      <c r="R84" s="202">
        <v>1.2760472640000001E-2</v>
      </c>
      <c r="S84" s="185">
        <v>1.2760472640000001E-2</v>
      </c>
      <c r="T84" s="185">
        <v>1.2760472640000001E-2</v>
      </c>
      <c r="U84" s="180">
        <v>0.75</v>
      </c>
      <c r="V84" s="181">
        <v>1.25</v>
      </c>
      <c r="W84" s="181">
        <v>0.75</v>
      </c>
      <c r="X84" s="181">
        <v>1.25</v>
      </c>
      <c r="Y84" s="177" t="s">
        <v>160</v>
      </c>
      <c r="Z84" s="177">
        <v>6</v>
      </c>
    </row>
    <row r="85" spans="4:26" ht="17" thickBot="1">
      <c r="D85" s="205"/>
      <c r="N85" s="188"/>
      <c r="O85" s="189" t="s">
        <v>162</v>
      </c>
      <c r="P85" s="190" t="s">
        <v>148</v>
      </c>
      <c r="Q85" s="190">
        <v>0</v>
      </c>
      <c r="R85" s="204">
        <v>0</v>
      </c>
      <c r="S85" s="190">
        <v>0</v>
      </c>
      <c r="T85" s="190">
        <v>0</v>
      </c>
      <c r="U85" s="191"/>
      <c r="V85" s="191"/>
      <c r="W85" s="191"/>
      <c r="X85" s="191"/>
      <c r="Y85" s="192"/>
      <c r="Z85" s="192"/>
    </row>
    <row r="86" spans="4:26">
      <c r="D86" s="206"/>
      <c r="N86" s="187"/>
      <c r="O86" s="187"/>
      <c r="P86" s="193"/>
      <c r="Q86" s="193"/>
      <c r="R86" s="193"/>
      <c r="S86" s="193"/>
      <c r="T86" s="193"/>
      <c r="U86" s="194"/>
      <c r="V86" s="194"/>
      <c r="W86" s="194"/>
      <c r="X86" s="194"/>
      <c r="Y86" s="195"/>
      <c r="Z86" s="195"/>
    </row>
    <row r="87" spans="4:26">
      <c r="D87" s="138"/>
      <c r="N87" s="196" t="s">
        <v>169</v>
      </c>
      <c r="O87" s="187"/>
      <c r="P87" s="187"/>
      <c r="Q87" s="187"/>
      <c r="R87" s="187"/>
      <c r="S87" s="187"/>
      <c r="T87" s="187"/>
      <c r="U87" s="187"/>
      <c r="V87" s="187"/>
      <c r="W87" s="187"/>
      <c r="X87" s="187"/>
      <c r="Y87" s="187"/>
      <c r="Z87" s="187"/>
    </row>
    <row r="88" spans="4:26">
      <c r="N88" s="197"/>
      <c r="O88" s="198" t="s">
        <v>170</v>
      </c>
      <c r="P88" s="187"/>
      <c r="Q88" s="187"/>
      <c r="R88" s="187"/>
      <c r="S88" s="187"/>
      <c r="T88" s="187"/>
      <c r="U88" s="187"/>
      <c r="V88" s="187"/>
      <c r="W88" s="187"/>
      <c r="X88" s="187"/>
      <c r="Y88" s="187"/>
      <c r="Z88" s="187"/>
    </row>
    <row r="89" spans="4:26">
      <c r="N89" s="197"/>
      <c r="O89" s="198" t="s">
        <v>171</v>
      </c>
      <c r="P89" s="187"/>
      <c r="Q89" s="187"/>
      <c r="R89" s="187"/>
      <c r="S89" s="187"/>
      <c r="T89" s="187"/>
      <c r="U89" s="187"/>
      <c r="V89" s="187"/>
      <c r="W89" s="187"/>
      <c r="X89" s="187"/>
      <c r="Y89" s="187"/>
      <c r="Z89" s="187"/>
    </row>
    <row r="90" spans="4:26">
      <c r="N90" s="197"/>
      <c r="O90" s="198" t="s">
        <v>172</v>
      </c>
      <c r="P90" s="187"/>
      <c r="Q90" s="187"/>
      <c r="R90" s="187"/>
      <c r="S90" s="187"/>
      <c r="T90" s="187"/>
      <c r="U90" s="187"/>
      <c r="V90" s="187"/>
      <c r="W90" s="187"/>
      <c r="X90" s="187"/>
      <c r="Y90" s="187"/>
      <c r="Z90" s="187"/>
    </row>
    <row r="91" spans="4:26">
      <c r="N91" s="197"/>
      <c r="O91" s="198" t="s">
        <v>173</v>
      </c>
      <c r="P91" s="187"/>
      <c r="Q91" s="187"/>
      <c r="R91" s="187"/>
      <c r="S91" s="187"/>
      <c r="T91" s="187"/>
      <c r="U91" s="187"/>
      <c r="V91" s="187"/>
      <c r="W91" s="187"/>
      <c r="X91" s="187"/>
      <c r="Y91" s="187"/>
      <c r="Z91" s="187"/>
    </row>
    <row r="92" spans="4:26">
      <c r="N92" s="197"/>
      <c r="O92" s="198" t="s">
        <v>174</v>
      </c>
      <c r="P92" s="187"/>
      <c r="Q92" s="187"/>
      <c r="R92" s="187"/>
      <c r="S92" s="187"/>
      <c r="T92" s="187"/>
      <c r="U92" s="187"/>
      <c r="V92" s="187"/>
      <c r="W92" s="187"/>
      <c r="X92" s="187"/>
      <c r="Y92" s="187"/>
      <c r="Z92" s="187"/>
    </row>
    <row r="93" spans="4:26">
      <c r="N93" s="197"/>
      <c r="O93" s="198" t="s">
        <v>175</v>
      </c>
      <c r="P93" s="187"/>
      <c r="Q93" s="187"/>
      <c r="R93" s="187"/>
      <c r="S93" s="187"/>
      <c r="T93" s="187"/>
      <c r="U93" s="187"/>
      <c r="V93" s="187"/>
      <c r="W93" s="187"/>
      <c r="X93" s="187"/>
      <c r="Y93" s="187"/>
      <c r="Z93" s="187"/>
    </row>
    <row r="94" spans="4:26">
      <c r="N94" s="197"/>
      <c r="O94" s="198" t="s">
        <v>176</v>
      </c>
      <c r="P94" s="187"/>
      <c r="Q94" s="187"/>
      <c r="R94" s="187"/>
      <c r="S94" s="187"/>
      <c r="T94" s="187"/>
      <c r="U94" s="187"/>
      <c r="V94" s="187"/>
      <c r="W94" s="187"/>
      <c r="X94" s="187"/>
      <c r="Y94" s="187"/>
      <c r="Z94" s="187"/>
    </row>
    <row r="95" spans="4:26">
      <c r="N95" s="197"/>
      <c r="O95" s="198" t="s">
        <v>177</v>
      </c>
      <c r="P95" s="187"/>
      <c r="Q95" s="187"/>
      <c r="R95" s="187"/>
      <c r="S95" s="187"/>
      <c r="T95" s="187"/>
      <c r="U95" s="187"/>
      <c r="V95" s="187"/>
      <c r="W95" s="187"/>
      <c r="X95" s="187"/>
      <c r="Y95" s="187"/>
      <c r="Z95" s="187"/>
    </row>
  </sheetData>
  <mergeCells count="1">
    <mergeCell ref="P53:Z53"/>
  </mergeCells>
  <hyperlinks>
    <hyperlink ref="P53" location="INDEX" display="Fast Pyrolysis Bio Oil" xr:uid="{F53999A5-51DB-C743-9109-D2721CC1BA5E}"/>
  </hyperlink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2025-09-26T11:51:18Z</dcterms:modified>
</cp:coreProperties>
</file>