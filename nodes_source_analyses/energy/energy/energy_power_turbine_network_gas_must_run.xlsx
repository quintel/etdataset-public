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B039E930-F38A-9E4F-8C71-0E305422EAFA}" xr6:coauthVersionLast="47" xr6:coauthVersionMax="47" xr10:uidLastSave="{00000000-0000-0000-0000-000000000000}"/>
  <bookViews>
    <workbookView xWindow="3200" yWindow="660" windowWidth="25600" windowHeight="16060" tabRatio="762"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118" i="16" l="1"/>
  <c r="W20" i="13" s="1"/>
  <c r="H20" i="13" s="1"/>
  <c r="H19" i="13" s="1"/>
  <c r="E26" i="12" s="1"/>
  <c r="H22" i="13"/>
  <c r="S16" i="13"/>
  <c r="H16" i="13" s="1"/>
  <c r="H15" i="13" s="1"/>
  <c r="E21" i="12" s="1"/>
  <c r="S20" i="13"/>
  <c r="S18" i="13"/>
  <c r="S6" i="13"/>
  <c r="W12" i="13"/>
  <c r="D120" i="16"/>
  <c r="W18" i="13" s="1"/>
  <c r="H18" i="13" s="1"/>
  <c r="H17" i="13" s="1"/>
  <c r="E25" i="12" s="1"/>
  <c r="U11" i="13"/>
  <c r="O7" i="13"/>
  <c r="O6" i="13"/>
  <c r="M7" i="13"/>
  <c r="M6" i="13"/>
  <c r="J6" i="13"/>
  <c r="J7" i="13"/>
  <c r="K7" i="13"/>
  <c r="K6" i="13"/>
  <c r="H12" i="13"/>
  <c r="H11" i="13"/>
  <c r="H10" i="13"/>
  <c r="E32" i="12" s="1"/>
  <c r="H7" i="13"/>
  <c r="E17" i="12"/>
  <c r="E34" i="12"/>
  <c r="E33" i="12"/>
  <c r="Y10" i="13"/>
</calcChain>
</file>

<file path=xl/sharedStrings.xml><?xml version="1.0" encoding="utf-8"?>
<sst xmlns="http://schemas.openxmlformats.org/spreadsheetml/2006/main" count="268" uniqueCount="173">
  <si>
    <t>Source</t>
  </si>
  <si>
    <t>Construction time</t>
  </si>
  <si>
    <t>years</t>
  </si>
  <si>
    <t>%</t>
  </si>
  <si>
    <t>km2</t>
  </si>
  <si>
    <t>-</t>
  </si>
  <si>
    <t>Technical lifetime</t>
  </si>
  <si>
    <t>Value</t>
  </si>
  <si>
    <t>Other</t>
  </si>
  <si>
    <t>Initial investment costs</t>
  </si>
  <si>
    <t>NL</t>
  </si>
  <si>
    <t>households_supplied_per_unit</t>
  </si>
  <si>
    <t>yes=1, no=0</t>
  </si>
  <si>
    <t>cost_of_installing</t>
  </si>
  <si>
    <t>Definition</t>
  </si>
  <si>
    <t>Unit</t>
  </si>
  <si>
    <t>Land use of plant in NL</t>
  </si>
  <si>
    <t>Link</t>
  </si>
  <si>
    <t>Cover Sheet</t>
  </si>
  <si>
    <t>Document</t>
  </si>
  <si>
    <t>Country</t>
  </si>
  <si>
    <t>Organization</t>
  </si>
  <si>
    <t>Quintel Intelligence</t>
  </si>
  <si>
    <t>Definition on the sources</t>
  </si>
  <si>
    <t>Weighted average cost of capita</t>
  </si>
  <si>
    <t>Installation cost</t>
  </si>
  <si>
    <t>Technical lifetime of the plant</t>
  </si>
  <si>
    <t xml:space="preserve">Construction time of the plant </t>
  </si>
  <si>
    <t xml:space="preserve">Decmmmissioning cost </t>
  </si>
  <si>
    <t>Electricity output capacity</t>
  </si>
  <si>
    <t xml:space="preserve">       Electricity output capacity</t>
  </si>
  <si>
    <t>Type</t>
  </si>
  <si>
    <t>Date published</t>
  </si>
  <si>
    <t>Attribute</t>
  </si>
  <si>
    <t>euro</t>
  </si>
  <si>
    <t>availability</t>
  </si>
  <si>
    <t>capacity_credit</t>
  </si>
  <si>
    <t>free_co2_factor</t>
  </si>
  <si>
    <t>forecasting_error</t>
  </si>
  <si>
    <t>land_use_per_unit</t>
  </si>
  <si>
    <t>takes_part_in_ets</t>
  </si>
  <si>
    <t>part_load_efficiency_penalty</t>
  </si>
  <si>
    <t>part_load_operating_point</t>
  </si>
  <si>
    <t>electricity_output_capacity</t>
  </si>
  <si>
    <t>heat_output_capacity</t>
  </si>
  <si>
    <t>initial_investment</t>
  </si>
  <si>
    <t>ccs_investment</t>
  </si>
  <si>
    <t>decommissioning_costs</t>
  </si>
  <si>
    <t>fixed_operation_and_maintenance_costs_per_year</t>
  </si>
  <si>
    <t>variable_operation_and_maintenance_costs_per_full_load_hour</t>
  </si>
  <si>
    <t>variable_operation_and_maintenance_costs_for_ccs_per_full_load_hour</t>
  </si>
  <si>
    <t>construction_time</t>
  </si>
  <si>
    <t>technical_lifetime</t>
  </si>
  <si>
    <t>wacc</t>
  </si>
  <si>
    <t>euro/FLH</t>
  </si>
  <si>
    <t>euro/year</t>
  </si>
  <si>
    <t>quintel/etsource@0277ad226491f5aae44c874b298cbcf694d2f6cb</t>
  </si>
  <si>
    <t>Heat output capacity</t>
  </si>
  <si>
    <t>Investment cost with ccs</t>
  </si>
  <si>
    <t>Fixed operational and maintenance costs per year</t>
  </si>
  <si>
    <t>Variable operational and maintenance costs</t>
  </si>
  <si>
    <t>Variable operational and maintenance costs for ccs</t>
  </si>
  <si>
    <t>FLH</t>
  </si>
  <si>
    <t>Google maps</t>
  </si>
  <si>
    <t>Date retrived</t>
  </si>
  <si>
    <t>MW</t>
  </si>
  <si>
    <t>http://www.energy.siemens.com/hq/pool/hq/power-generation/gas-turbines/SGT5-2000E/gas-turbine-sgt5-2000e-brochure.pdf</t>
  </si>
  <si>
    <t>2011</t>
  </si>
  <si>
    <t>EU</t>
  </si>
  <si>
    <t>Siemens</t>
  </si>
  <si>
    <t>http://www.epa.gov/chp/documents/catalog_chptech_gas_turbines.pdf</t>
  </si>
  <si>
    <t>Output electricity</t>
  </si>
  <si>
    <t xml:space="preserve">       Output electricity</t>
  </si>
  <si>
    <t>US</t>
  </si>
  <si>
    <t>Constructiont time: 6-18 months</t>
  </si>
  <si>
    <t>EC</t>
  </si>
  <si>
    <t>http://www.med.govt.nz/sectors-industries/energy/pdf-docs-library/energy-data-and-modelling/technical-papers/2011%20NZ%20Generation%20Data%20Update%20v006a.pdf</t>
  </si>
  <si>
    <t>PB</t>
  </si>
  <si>
    <t>https://www.google.com/maps/place/Middenweg+36,+4782+PM+Moerdijk,+The+Netherlands/@51.6827777,4.5903138,1584m/data=!3m1!1e3!4m2!3m1!1s0x47c4249b2c8d2cc1:0x78741010c6d8f35?hl=en-US</t>
  </si>
  <si>
    <t>Moerdijk</t>
  </si>
  <si>
    <t>NZ</t>
  </si>
  <si>
    <t>2012</t>
  </si>
  <si>
    <t xml:space="preserve">         Fixed operational and maintenance cost</t>
  </si>
  <si>
    <t xml:space="preserve">         Variable operational and maintenance cost</t>
  </si>
  <si>
    <t>20.10.2014</t>
  </si>
  <si>
    <t>GE</t>
  </si>
  <si>
    <t xml:space="preserve">         Technical lifetime</t>
  </si>
  <si>
    <t xml:space="preserve">      Land Use</t>
  </si>
  <si>
    <t>http://www.filter.ee/extensions/filter/brochures/113-27620.pdf</t>
  </si>
  <si>
    <t>Alstom</t>
  </si>
  <si>
    <t>http://www.ansaldoenergia.it/easyUp/file/scheda_gas_turbine_ae64_3a_lo.pdf</t>
  </si>
  <si>
    <t>http://www.energy.siemens.com/hq/pool/hq/power-generation/gas-turbines/SGT-800/SGT-800_Gas_Turbine_EN.pdf</t>
  </si>
  <si>
    <t>Ansald</t>
  </si>
  <si>
    <t>2013</t>
  </si>
  <si>
    <t xml:space="preserve">GE </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</si>
  <si>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</si>
  <si>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</si>
  <si>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</si>
  <si>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</si>
  <si>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</si>
  <si>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</si>
  <si>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</si>
  <si>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</si>
  <si>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</si>
  <si>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</si>
  <si>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</si>
  <si>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</si>
  <si>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</si>
  <si>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</si>
  <si>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</si>
  <si>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</si>
  <si>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Technical</t>
  </si>
  <si>
    <t>Parameter</t>
  </si>
  <si>
    <t>Costs</t>
  </si>
  <si>
    <t xml:space="preserve">         Initial investment costs </t>
  </si>
  <si>
    <r>
      <t>euro/</t>
    </r>
    <r>
      <rPr>
        <sz val="12"/>
        <color theme="1"/>
        <rFont val="Calibri"/>
        <family val="2"/>
        <scheme val="minor"/>
      </rPr>
      <t>K</t>
    </r>
    <r>
      <rPr>
        <sz val="12"/>
        <color theme="1"/>
        <rFont val="Calibri"/>
        <family val="2"/>
        <scheme val="minor"/>
      </rPr>
      <t>We</t>
    </r>
  </si>
  <si>
    <r>
      <t>euro/</t>
    </r>
    <r>
      <rPr>
        <sz val="12"/>
        <color theme="1"/>
        <rFont val="Calibri"/>
        <family val="2"/>
        <scheme val="minor"/>
      </rPr>
      <t>KW</t>
    </r>
    <r>
      <rPr>
        <sz val="12"/>
        <color theme="1"/>
        <rFont val="Calibri"/>
        <family val="2"/>
        <scheme val="minor"/>
      </rPr>
      <t>/year</t>
    </r>
  </si>
  <si>
    <r>
      <t>euro/M</t>
    </r>
    <r>
      <rPr>
        <sz val="12"/>
        <color theme="1"/>
        <rFont val="Calibri"/>
        <family val="2"/>
        <scheme val="minor"/>
      </rPr>
      <t>W</t>
    </r>
    <r>
      <rPr>
        <sz val="12"/>
        <color theme="1"/>
        <rFont val="Calibri"/>
        <family val="2"/>
        <scheme val="minor"/>
      </rPr>
      <t>h</t>
    </r>
  </si>
  <si>
    <r>
      <t>M</t>
    </r>
    <r>
      <rPr>
        <sz val="12"/>
        <color theme="1"/>
        <rFont val="Calibri"/>
        <family val="2"/>
        <scheme val="minor"/>
      </rPr>
      <t>W</t>
    </r>
    <r>
      <rPr>
        <sz val="12"/>
        <color theme="1"/>
        <rFont val="Calibri"/>
        <family val="2"/>
        <scheme val="minor"/>
      </rPr>
      <t>h/year</t>
    </r>
  </si>
  <si>
    <r>
      <t>Moerdijk gas turbine plant is used for the calculation of land use. Dimensions are taken from</t>
    </r>
    <r>
      <rPr>
        <sz val="12"/>
        <color theme="1"/>
        <rFont val="Calibri"/>
        <family val="2"/>
        <scheme val="minor"/>
      </rPr>
      <t>:</t>
    </r>
  </si>
  <si>
    <r>
      <t xml:space="preserve">Variable operational </t>
    </r>
    <r>
      <rPr>
        <sz val="12"/>
        <color theme="1"/>
        <rFont val="Calibri"/>
        <family val="2"/>
        <scheme val="minor"/>
      </rPr>
      <t xml:space="preserve">and maintenance </t>
    </r>
    <r>
      <rPr>
        <sz val="12"/>
        <color theme="1"/>
        <rFont val="Calibri"/>
        <family val="2"/>
        <scheme val="minor"/>
      </rPr>
      <t>costs: 8 NZ$/MWh</t>
    </r>
  </si>
  <si>
    <t>Fixed operational and maintenance costs</t>
  </si>
  <si>
    <t>Full load hours</t>
  </si>
  <si>
    <t xml:space="preserve">Land use of plant </t>
  </si>
  <si>
    <t>Cost</t>
  </si>
  <si>
    <r>
      <t>Production Elect</t>
    </r>
    <r>
      <rPr>
        <sz val="12"/>
        <color theme="1"/>
        <rFont val="Calibri"/>
        <family val="2"/>
        <scheme val="minor"/>
      </rPr>
      <t>r</t>
    </r>
    <r>
      <rPr>
        <sz val="12"/>
        <color theme="1"/>
        <rFont val="Calibri"/>
        <family val="2"/>
        <scheme val="minor"/>
      </rPr>
      <t>icity yearly</t>
    </r>
  </si>
  <si>
    <t>Comments</t>
  </si>
  <si>
    <t>Subject year</t>
  </si>
  <si>
    <t>Notes</t>
  </si>
  <si>
    <t>Siemens a</t>
  </si>
  <si>
    <t>p.2</t>
  </si>
  <si>
    <t>Siemens b</t>
  </si>
  <si>
    <t>p.5</t>
  </si>
  <si>
    <t>p.7</t>
  </si>
  <si>
    <t>p.17</t>
  </si>
  <si>
    <t>euro/KW</t>
  </si>
  <si>
    <t>months</t>
  </si>
  <si>
    <t xml:space="preserve">6 - 18   </t>
  </si>
  <si>
    <t>Average</t>
  </si>
  <si>
    <t>p.13</t>
  </si>
  <si>
    <r>
      <t xml:space="preserve">Fixed </t>
    </r>
    <r>
      <rPr>
        <sz val="12"/>
        <color theme="1"/>
        <rFont val="Calibri"/>
        <family val="2"/>
        <scheme val="minor"/>
      </rPr>
      <t>and</t>
    </r>
    <r>
      <rPr>
        <sz val="12"/>
        <color theme="1"/>
        <rFont val="Calibri"/>
        <family val="2"/>
        <scheme val="minor"/>
      </rPr>
      <t xml:space="preserve"> variable</t>
    </r>
    <r>
      <rPr>
        <sz val="12"/>
        <color theme="1"/>
        <rFont val="Calibri"/>
        <family val="2"/>
        <scheme val="minor"/>
      </rPr>
      <t xml:space="preserve"> O&amp;M</t>
    </r>
    <r>
      <rPr>
        <sz val="12"/>
        <color theme="1"/>
        <rFont val="Calibri"/>
        <family val="2"/>
        <scheme val="minor"/>
      </rPr>
      <t xml:space="preserve"> costs are converted to euros (1NZ$=0.47euros)</t>
    </r>
  </si>
  <si>
    <r>
      <t>For the calculation of fixed and variable O&amp;M costs</t>
    </r>
    <r>
      <rPr>
        <sz val="12"/>
        <color theme="1"/>
        <rFont val="Calibri"/>
        <family val="2"/>
        <scheme val="minor"/>
      </rPr>
      <t>,</t>
    </r>
    <r>
      <rPr>
        <sz val="12"/>
        <color theme="1"/>
        <rFont val="Calibri"/>
        <family val="2"/>
        <scheme val="minor"/>
      </rPr>
      <t xml:space="preserve"> the New Zealand case is chosen as it has the most reliable values</t>
    </r>
  </si>
  <si>
    <t>p.12</t>
  </si>
  <si>
    <t>Variable O&amp;M</t>
  </si>
  <si>
    <t>Fixed O&amp;M</t>
  </si>
  <si>
    <t>NZ$/MWh</t>
  </si>
  <si>
    <t>NZ$/KW/yr</t>
  </si>
  <si>
    <r>
      <t>Fixed operational</t>
    </r>
    <r>
      <rPr>
        <sz val="12"/>
        <color theme="1"/>
        <rFont val="Calibri"/>
        <family val="2"/>
        <scheme val="minor"/>
      </rPr>
      <t xml:space="preserve"> and maintenance costs: 16 NZ$/KW/yr</t>
    </r>
  </si>
  <si>
    <t>yr</t>
  </si>
  <si>
    <t>Lifetime</t>
  </si>
  <si>
    <t>EIA</t>
  </si>
  <si>
    <t>p.19</t>
  </si>
  <si>
    <t>$/KW</t>
  </si>
  <si>
    <t>$/MWh</t>
  </si>
  <si>
    <t>euro/MWh</t>
  </si>
  <si>
    <t>http://www.eia.gov/forecasts/capitalcost/pdf/updated_capcost.pdf</t>
  </si>
  <si>
    <t>EEI</t>
  </si>
  <si>
    <t>Fixed operational and maintenance cost</t>
  </si>
  <si>
    <t>ETM Library URL</t>
  </si>
  <si>
    <t>ICF</t>
  </si>
  <si>
    <t>Investment cost</t>
  </si>
  <si>
    <t>http://refman.et-model.com/publications/1952</t>
  </si>
  <si>
    <t>http://refman.et-model.com/publications/1953</t>
  </si>
  <si>
    <t>http://refman.et-model.com/publications/1954</t>
  </si>
  <si>
    <t>http://refman.et-model.com/publications/1955</t>
  </si>
  <si>
    <t>http://refman.et-model.com/publications/1956</t>
  </si>
  <si>
    <t>http://refman.et-model.com/publications/1957</t>
  </si>
  <si>
    <t>http://refman.et-model.com/publications/1958</t>
  </si>
  <si>
    <r>
      <t>It is assumed that the most appropriate electricity output capacity i</t>
    </r>
    <r>
      <rPr>
        <sz val="12"/>
        <color theme="1"/>
        <rFont val="Calibri"/>
        <family val="2"/>
        <scheme val="minor"/>
      </rPr>
      <t>s</t>
    </r>
    <r>
      <rPr>
        <sz val="12"/>
        <color theme="1"/>
        <rFont val="Calibri"/>
        <family val="2"/>
        <scheme val="minor"/>
      </rPr>
      <t xml:space="preserve"> 75 MW with an efficiency of 36%</t>
    </r>
  </si>
  <si>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</si>
  <si>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See https://github.com/quintel/documentation/blob/master/general/cost_calculations.md#weighted-average-cost-of-capital</t>
  </si>
  <si>
    <t>Claudia Valkenier</t>
  </si>
  <si>
    <t>energy_power_turbine_network_gas_must_run.ad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</si>
</sst>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_-&quot;€&quot;\ * #,##0.00\-;_-&quot;€&quot;\ * &quot;-&quot;??_-;_-@_-"/>
    <numFmt numFmtId="165" formatCode="0.0"/>
    <numFmt numFmtId="166" formatCode="0.0000"/>
    <numFmt numFmtId="167" formatCode="0.000"/>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Lettertype hoofdtekst"/>
      <family val="2"/>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u/>
      <sz val="12"/>
      <color theme="10"/>
      <name val="Calibri"/>
      <family val="2"/>
      <scheme val="minor"/>
    </font>
    <font>
      <b/>
      <sz val="14"/>
      <color theme="1"/>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12"/>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5">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s>
  <cellStyleXfs count="236">
    <xf numFmtId="0" fontId="0"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9" fontId="13" fillId="0" borderId="0" applyFont="0" applyFill="0" applyBorder="0" applyAlignment="0" applyProtection="0"/>
    <xf numFmtId="0" fontId="15" fillId="0" borderId="0" applyNumberFormat="0" applyFill="0" applyBorder="0" applyAlignment="0" applyProtection="0"/>
  </cellStyleXfs>
  <cellXfs count="171">
    <xf numFmtId="0" fontId="0" fillId="0" borderId="0" xfId="0"/>
    <xf numFmtId="0" fontId="17" fillId="3" borderId="7" xfId="0" applyFont="1" applyFill="1" applyBorder="1"/>
    <xf numFmtId="0" fontId="18" fillId="3" borderId="17" xfId="0" applyFont="1" applyFill="1" applyBorder="1"/>
    <xf numFmtId="0" fontId="17" fillId="3" borderId="13" xfId="0" applyFont="1" applyFill="1" applyBorder="1"/>
    <xf numFmtId="0" fontId="19" fillId="3" borderId="7" xfId="0" applyFont="1" applyFill="1" applyBorder="1" applyAlignment="1">
      <alignment vertical="center"/>
    </xf>
    <xf numFmtId="49" fontId="17" fillId="2" borderId="8" xfId="0" applyNumberFormat="1" applyFont="1" applyFill="1" applyBorder="1" applyAlignment="1">
      <alignment horizontal="left"/>
    </xf>
    <xf numFmtId="0" fontId="19" fillId="3" borderId="1" xfId="0" applyFont="1" applyFill="1" applyBorder="1" applyAlignment="1">
      <alignment vertical="center"/>
    </xf>
    <xf numFmtId="0" fontId="17" fillId="3" borderId="14" xfId="0" applyFont="1" applyFill="1" applyBorder="1"/>
    <xf numFmtId="0" fontId="17" fillId="3" borderId="0" xfId="0" applyFont="1" applyFill="1"/>
    <xf numFmtId="0" fontId="16" fillId="2" borderId="0" xfId="0" applyFont="1" applyFill="1" applyAlignment="1">
      <alignment vertical="center"/>
    </xf>
    <xf numFmtId="1" fontId="16" fillId="2" borderId="0" xfId="0" applyNumberFormat="1" applyFont="1" applyFill="1" applyAlignment="1">
      <alignment vertical="center"/>
    </xf>
    <xf numFmtId="1" fontId="16" fillId="2" borderId="0" xfId="0" applyNumberFormat="1" applyFont="1" applyFill="1" applyAlignment="1">
      <alignment horizontal="right" vertical="center"/>
    </xf>
    <xf numFmtId="2" fontId="16" fillId="2" borderId="0" xfId="0" applyNumberFormat="1" applyFont="1" applyFill="1" applyAlignment="1">
      <alignment horizontal="right" vertical="center"/>
    </xf>
    <xf numFmtId="0" fontId="16" fillId="0" borderId="0" xfId="0" applyFont="1" applyAlignment="1">
      <alignment horizontal="left" vertical="center"/>
    </xf>
    <xf numFmtId="0" fontId="16" fillId="2" borderId="0" xfId="0" applyFont="1" applyFill="1"/>
    <xf numFmtId="0" fontId="16" fillId="2" borderId="9" xfId="0" applyFont="1" applyFill="1" applyBorder="1"/>
    <xf numFmtId="0" fontId="16" fillId="2" borderId="4" xfId="0" applyFont="1" applyFill="1" applyBorder="1"/>
    <xf numFmtId="0" fontId="12" fillId="2" borderId="0" xfId="0" applyFont="1" applyFill="1"/>
    <xf numFmtId="0" fontId="17" fillId="0" borderId="0" xfId="0" applyFont="1"/>
    <xf numFmtId="0" fontId="16" fillId="2" borderId="6" xfId="0" applyFont="1" applyFill="1" applyBorder="1"/>
    <xf numFmtId="0" fontId="17" fillId="3" borderId="17" xfId="0" applyFont="1" applyFill="1" applyBorder="1"/>
    <xf numFmtId="0" fontId="17" fillId="3" borderId="2" xfId="0" applyFont="1" applyFill="1" applyBorder="1"/>
    <xf numFmtId="0" fontId="12" fillId="2" borderId="2" xfId="0" applyFont="1" applyFill="1" applyBorder="1"/>
    <xf numFmtId="0" fontId="20" fillId="3" borderId="0" xfId="0" applyFont="1" applyFill="1"/>
    <xf numFmtId="0" fontId="12" fillId="2" borderId="7" xfId="0" applyFont="1" applyFill="1" applyBorder="1"/>
    <xf numFmtId="0" fontId="18" fillId="3" borderId="0" xfId="0" applyFont="1" applyFill="1"/>
    <xf numFmtId="0" fontId="16" fillId="2" borderId="0" xfId="0" applyFont="1" applyFill="1" applyAlignment="1">
      <alignment horizontal="left" vertical="center"/>
    </xf>
    <xf numFmtId="0" fontId="21" fillId="0" borderId="0" xfId="177" applyFont="1" applyFill="1" applyBorder="1" applyAlignment="1" applyProtection="1"/>
    <xf numFmtId="0" fontId="11" fillId="2" borderId="18" xfId="0" applyFont="1" applyFill="1" applyBorder="1"/>
    <xf numFmtId="0" fontId="11" fillId="2" borderId="0" xfId="0" applyFont="1" applyFill="1"/>
    <xf numFmtId="0" fontId="11" fillId="0" borderId="0" xfId="0" applyFont="1"/>
    <xf numFmtId="0" fontId="11" fillId="2" borderId="3" xfId="0" applyFont="1" applyFill="1" applyBorder="1"/>
    <xf numFmtId="0" fontId="11" fillId="2" borderId="15" xfId="0" applyFont="1" applyFill="1" applyBorder="1"/>
    <xf numFmtId="0" fontId="11" fillId="2" borderId="6" xfId="0" applyFont="1" applyFill="1" applyBorder="1"/>
    <xf numFmtId="0" fontId="11" fillId="2" borderId="10" xfId="0" applyFont="1" applyFill="1" applyBorder="1"/>
    <xf numFmtId="0" fontId="11" fillId="2" borderId="11" xfId="0" applyFont="1" applyFill="1" applyBorder="1"/>
    <xf numFmtId="0" fontId="11" fillId="2" borderId="12" xfId="0" applyFont="1" applyFill="1" applyBorder="1"/>
    <xf numFmtId="0" fontId="22" fillId="2" borderId="0" xfId="0" applyFont="1" applyFill="1"/>
    <xf numFmtId="0" fontId="22" fillId="2" borderId="5" xfId="0" applyFont="1" applyFill="1" applyBorder="1"/>
    <xf numFmtId="2" fontId="11" fillId="2" borderId="18" xfId="0" applyNumberFormat="1" applyFont="1" applyFill="1" applyBorder="1"/>
    <xf numFmtId="165" fontId="11" fillId="2" borderId="18" xfId="0" applyNumberFormat="1" applyFont="1" applyFill="1" applyBorder="1"/>
    <xf numFmtId="0" fontId="23" fillId="2" borderId="0" xfId="0" applyFont="1" applyFill="1"/>
    <xf numFmtId="49" fontId="23" fillId="2" borderId="0" xfId="0" applyNumberFormat="1" applyFont="1" applyFill="1"/>
    <xf numFmtId="0" fontId="23" fillId="2" borderId="3" xfId="0" applyFont="1" applyFill="1" applyBorder="1"/>
    <xf numFmtId="0" fontId="23" fillId="2" borderId="4" xfId="0" applyFont="1" applyFill="1" applyBorder="1"/>
    <xf numFmtId="49" fontId="23" fillId="2" borderId="4" xfId="0" applyNumberFormat="1" applyFont="1" applyFill="1" applyBorder="1"/>
    <xf numFmtId="0" fontId="23" fillId="2" borderId="6" xfId="0" applyFont="1" applyFill="1" applyBorder="1"/>
    <xf numFmtId="0" fontId="24" fillId="2" borderId="0" xfId="0" applyFont="1" applyFill="1"/>
    <xf numFmtId="49" fontId="24" fillId="2" borderId="0" xfId="0" applyNumberFormat="1" applyFont="1" applyFill="1"/>
    <xf numFmtId="0" fontId="23" fillId="2" borderId="16" xfId="0" applyFont="1" applyFill="1" applyBorder="1"/>
    <xf numFmtId="0" fontId="24" fillId="2" borderId="9" xfId="0" applyFont="1" applyFill="1" applyBorder="1"/>
    <xf numFmtId="49" fontId="24" fillId="2" borderId="9" xfId="0" applyNumberFormat="1" applyFont="1" applyFill="1" applyBorder="1"/>
    <xf numFmtId="0" fontId="23" fillId="2" borderId="0" xfId="0" applyFont="1" applyFill="1" applyAlignment="1">
      <alignment vertical="top"/>
    </xf>
    <xf numFmtId="0" fontId="23" fillId="2" borderId="0" xfId="0" applyFont="1" applyFill="1" applyAlignment="1">
      <alignment horizontal="left" vertical="center" indent="2"/>
    </xf>
    <xf numFmtId="0" fontId="23" fillId="2" borderId="0" xfId="0" applyFont="1" applyFill="1" applyAlignment="1">
      <alignment vertical="top" wrapText="1"/>
    </xf>
    <xf numFmtId="49" fontId="23" fillId="2" borderId="0" xfId="0" applyNumberFormat="1" applyFont="1" applyFill="1" applyAlignment="1">
      <alignment vertical="top" wrapText="1"/>
    </xf>
    <xf numFmtId="0" fontId="23" fillId="2" borderId="0" xfId="177" applyFont="1" applyFill="1" applyBorder="1" applyAlignment="1" applyProtection="1">
      <alignment vertical="top"/>
    </xf>
    <xf numFmtId="165" fontId="23" fillId="2" borderId="0" xfId="0" applyNumberFormat="1" applyFont="1" applyFill="1" applyAlignment="1">
      <alignment horizontal="left" vertical="center" indent="2"/>
    </xf>
    <xf numFmtId="0" fontId="23" fillId="0" borderId="0" xfId="0" applyFont="1" applyAlignment="1">
      <alignment vertical="top"/>
    </xf>
    <xf numFmtId="49" fontId="23" fillId="2" borderId="0" xfId="0" applyNumberFormat="1" applyFont="1" applyFill="1" applyAlignment="1">
      <alignment vertical="top"/>
    </xf>
    <xf numFmtId="0" fontId="23" fillId="0" borderId="0" xfId="0" applyFont="1" applyAlignment="1">
      <alignment horizontal="left" vertical="center" indent="2"/>
    </xf>
    <xf numFmtId="2" fontId="16" fillId="2" borderId="9" xfId="0" applyNumberFormat="1" applyFont="1" applyFill="1" applyBorder="1" applyAlignment="1">
      <alignment vertical="center"/>
    </xf>
    <xf numFmtId="2" fontId="16" fillId="2" borderId="9" xfId="0" applyNumberFormat="1" applyFont="1" applyFill="1" applyBorder="1" applyAlignment="1">
      <alignment horizontal="left" vertical="center"/>
    </xf>
    <xf numFmtId="0" fontId="10" fillId="0" borderId="0" xfId="0" applyFont="1"/>
    <xf numFmtId="0" fontId="10" fillId="2" borderId="0" xfId="0" applyFont="1" applyFill="1"/>
    <xf numFmtId="2" fontId="10" fillId="2" borderId="0" xfId="0" applyNumberFormat="1" applyFont="1" applyFill="1"/>
    <xf numFmtId="0" fontId="10" fillId="2" borderId="3" xfId="0" applyFont="1" applyFill="1" applyBorder="1"/>
    <xf numFmtId="0" fontId="10" fillId="2" borderId="4" xfId="0" applyFont="1" applyFill="1" applyBorder="1"/>
    <xf numFmtId="2" fontId="10" fillId="2" borderId="4" xfId="0" applyNumberFormat="1" applyFont="1" applyFill="1" applyBorder="1"/>
    <xf numFmtId="0" fontId="10" fillId="2" borderId="6" xfId="0" applyFont="1" applyFill="1" applyBorder="1"/>
    <xf numFmtId="0" fontId="10" fillId="2" borderId="0" xfId="0" applyFont="1" applyFill="1" applyAlignment="1">
      <alignment horizontal="left" vertical="center"/>
    </xf>
    <xf numFmtId="1" fontId="10" fillId="2" borderId="0" xfId="0" applyNumberFormat="1" applyFont="1" applyFill="1" applyAlignment="1">
      <alignment vertical="center"/>
    </xf>
    <xf numFmtId="0" fontId="10" fillId="0" borderId="0" xfId="0" applyFont="1" applyAlignment="1">
      <alignment horizontal="left" vertical="center"/>
    </xf>
    <xf numFmtId="167" fontId="10" fillId="0" borderId="0" xfId="0" applyNumberFormat="1" applyFont="1" applyAlignment="1">
      <alignment vertical="center"/>
    </xf>
    <xf numFmtId="167" fontId="10" fillId="2" borderId="0" xfId="0" applyNumberFormat="1" applyFont="1" applyFill="1" applyAlignment="1">
      <alignment vertical="center"/>
    </xf>
    <xf numFmtId="1" fontId="10" fillId="2" borderId="18" xfId="0" applyNumberFormat="1" applyFont="1" applyFill="1" applyBorder="1" applyAlignment="1">
      <alignment vertical="center"/>
    </xf>
    <xf numFmtId="2" fontId="10" fillId="2" borderId="0" xfId="0" applyNumberFormat="1" applyFont="1" applyFill="1" applyAlignment="1">
      <alignment vertical="center"/>
    </xf>
    <xf numFmtId="10" fontId="10" fillId="0" borderId="0" xfId="0" applyNumberFormat="1" applyFont="1" applyAlignment="1">
      <alignment horizontal="left" vertical="center" indent="2"/>
    </xf>
    <xf numFmtId="166" fontId="10" fillId="2" borderId="0" xfId="0" applyNumberFormat="1" applyFont="1" applyFill="1" applyAlignment="1">
      <alignment horizontal="right" vertical="center"/>
    </xf>
    <xf numFmtId="2" fontId="10" fillId="2" borderId="0" xfId="0" applyNumberFormat="1" applyFont="1" applyFill="1" applyAlignment="1">
      <alignment horizontal="right" vertical="center"/>
    </xf>
    <xf numFmtId="1" fontId="10" fillId="2" borderId="0" xfId="0" applyNumberFormat="1" applyFont="1" applyFill="1" applyAlignment="1">
      <alignment horizontal="right" vertical="center"/>
    </xf>
    <xf numFmtId="165" fontId="10" fillId="2" borderId="0" xfId="0" applyNumberFormat="1" applyFont="1" applyFill="1"/>
    <xf numFmtId="10" fontId="10" fillId="2" borderId="0" xfId="0" applyNumberFormat="1" applyFont="1" applyFill="1" applyAlignment="1">
      <alignment horizontal="left" vertical="center" indent="2"/>
    </xf>
    <xf numFmtId="165" fontId="10" fillId="0" borderId="0" xfId="0" applyNumberFormat="1" applyFont="1" applyAlignment="1">
      <alignment horizontal="left" vertical="center" indent="2"/>
    </xf>
    <xf numFmtId="1" fontId="10" fillId="2" borderId="18" xfId="0" applyNumberFormat="1" applyFont="1" applyFill="1" applyBorder="1" applyAlignment="1">
      <alignment horizontal="right" vertical="center"/>
    </xf>
    <xf numFmtId="0" fontId="10" fillId="0" borderId="0" xfId="0" applyFont="1" applyAlignment="1">
      <alignment horizontal="left" vertical="center" indent="2"/>
    </xf>
    <xf numFmtId="1" fontId="10" fillId="2" borderId="21" xfId="0" applyNumberFormat="1" applyFont="1" applyFill="1" applyBorder="1" applyAlignment="1">
      <alignment horizontal="right" vertical="center"/>
    </xf>
    <xf numFmtId="2" fontId="10" fillId="2" borderId="18" xfId="0" applyNumberFormat="1" applyFont="1" applyFill="1" applyBorder="1" applyAlignment="1">
      <alignment horizontal="right" vertical="center"/>
    </xf>
    <xf numFmtId="3" fontId="10" fillId="0" borderId="0" xfId="0" applyNumberFormat="1" applyFont="1" applyAlignment="1">
      <alignment horizontal="left" vertical="center" indent="2"/>
    </xf>
    <xf numFmtId="165" fontId="10" fillId="2" borderId="0" xfId="0" applyNumberFormat="1" applyFont="1" applyFill="1" applyAlignment="1">
      <alignment horizontal="right" vertical="center"/>
    </xf>
    <xf numFmtId="165" fontId="10" fillId="2" borderId="18" xfId="0" applyNumberFormat="1" applyFont="1" applyFill="1" applyBorder="1" applyAlignment="1">
      <alignment horizontal="right" vertical="center"/>
    </xf>
    <xf numFmtId="3" fontId="10" fillId="0" borderId="0" xfId="0" applyNumberFormat="1" applyFont="1" applyAlignment="1">
      <alignment horizontal="left" vertical="center" indent="3"/>
    </xf>
    <xf numFmtId="3" fontId="10" fillId="0" borderId="11" xfId="0" applyNumberFormat="1" applyFont="1" applyBorder="1" applyAlignment="1">
      <alignment horizontal="left" vertical="center" indent="3"/>
    </xf>
    <xf numFmtId="1" fontId="10" fillId="2" borderId="0" xfId="0" applyNumberFormat="1" applyFont="1" applyFill="1"/>
    <xf numFmtId="165" fontId="10" fillId="2" borderId="18" xfId="0" applyNumberFormat="1" applyFont="1" applyFill="1" applyBorder="1"/>
    <xf numFmtId="0" fontId="23" fillId="2" borderId="0" xfId="0" applyFont="1" applyFill="1" applyAlignment="1">
      <alignment horizontal="left"/>
    </xf>
    <xf numFmtId="0" fontId="23" fillId="2" borderId="0" xfId="0" applyFont="1" applyFill="1" applyAlignment="1">
      <alignment horizontal="left" vertical="top"/>
    </xf>
    <xf numFmtId="0" fontId="23" fillId="2" borderId="0" xfId="177" applyFont="1" applyFill="1" applyBorder="1" applyAlignment="1" applyProtection="1"/>
    <xf numFmtId="1" fontId="10" fillId="2" borderId="21" xfId="0" applyNumberFormat="1" applyFont="1" applyFill="1" applyBorder="1" applyAlignment="1">
      <alignment vertical="center"/>
    </xf>
    <xf numFmtId="1" fontId="10" fillId="2" borderId="11" xfId="0" applyNumberFormat="1" applyFont="1" applyFill="1" applyBorder="1" applyAlignment="1">
      <alignment horizontal="right" vertical="center"/>
    </xf>
    <xf numFmtId="1" fontId="10" fillId="2" borderId="18" xfId="0" applyNumberFormat="1" applyFont="1" applyFill="1" applyBorder="1"/>
    <xf numFmtId="165" fontId="10" fillId="2" borderId="20" xfId="0" applyNumberFormat="1" applyFont="1" applyFill="1" applyBorder="1" applyAlignment="1">
      <alignment horizontal="right" vertical="center"/>
    </xf>
    <xf numFmtId="0" fontId="23" fillId="4" borderId="0" xfId="0" applyFont="1" applyFill="1" applyAlignment="1">
      <alignment vertical="top"/>
    </xf>
    <xf numFmtId="0" fontId="10" fillId="2" borderId="18" xfId="0" applyFont="1" applyFill="1" applyBorder="1"/>
    <xf numFmtId="0" fontId="9" fillId="0" borderId="0" xfId="0" applyFont="1"/>
    <xf numFmtId="165" fontId="23" fillId="0" borderId="0" xfId="0" applyNumberFormat="1" applyFont="1" applyAlignment="1">
      <alignment horizontal="left" vertical="center" indent="2"/>
    </xf>
    <xf numFmtId="0" fontId="8" fillId="0" borderId="0" xfId="0" applyFont="1"/>
    <xf numFmtId="0" fontId="8" fillId="0" borderId="0" xfId="0" applyFont="1" applyAlignment="1">
      <alignment horizontal="left" vertical="center"/>
    </xf>
    <xf numFmtId="0" fontId="16" fillId="2" borderId="17" xfId="0" applyFont="1" applyFill="1" applyBorder="1"/>
    <xf numFmtId="0" fontId="7" fillId="2" borderId="2" xfId="0" applyFont="1" applyFill="1" applyBorder="1"/>
    <xf numFmtId="0" fontId="16" fillId="2" borderId="7" xfId="0" applyFont="1" applyFill="1" applyBorder="1"/>
    <xf numFmtId="0" fontId="7" fillId="2" borderId="0" xfId="0" applyFont="1" applyFill="1"/>
    <xf numFmtId="0" fontId="25" fillId="2" borderId="0" xfId="0" applyFont="1" applyFill="1"/>
    <xf numFmtId="0" fontId="7" fillId="2" borderId="18" xfId="0" applyFont="1" applyFill="1" applyBorder="1"/>
    <xf numFmtId="0" fontId="7" fillId="5" borderId="0" xfId="0" applyFont="1" applyFill="1"/>
    <xf numFmtId="0" fontId="7" fillId="6" borderId="0" xfId="0" applyFont="1" applyFill="1"/>
    <xf numFmtId="0" fontId="7" fillId="7" borderId="0" xfId="0" applyFont="1" applyFill="1"/>
    <xf numFmtId="0" fontId="7" fillId="8" borderId="0" xfId="0" applyFont="1" applyFill="1"/>
    <xf numFmtId="0" fontId="7" fillId="2" borderId="7" xfId="0" applyFont="1" applyFill="1" applyBorder="1"/>
    <xf numFmtId="0" fontId="7" fillId="9" borderId="0" xfId="0" applyFont="1" applyFill="1"/>
    <xf numFmtId="0" fontId="7" fillId="10" borderId="0" xfId="0" applyFont="1" applyFill="1"/>
    <xf numFmtId="0" fontId="7" fillId="11" borderId="0" xfId="0" applyFont="1" applyFill="1"/>
    <xf numFmtId="0" fontId="7" fillId="12" borderId="0" xfId="0" applyFont="1" applyFill="1"/>
    <xf numFmtId="0" fontId="16" fillId="2" borderId="9" xfId="0" applyFont="1" applyFill="1" applyBorder="1" applyAlignment="1">
      <alignment vertical="center"/>
    </xf>
    <xf numFmtId="0" fontId="7" fillId="0" borderId="0" xfId="0" applyFont="1" applyAlignment="1">
      <alignment horizontal="left" vertical="center"/>
    </xf>
    <xf numFmtId="167" fontId="7" fillId="0" borderId="0" xfId="0" applyNumberFormat="1" applyFont="1" applyAlignment="1">
      <alignment vertical="center"/>
    </xf>
    <xf numFmtId="0" fontId="7" fillId="2" borderId="0" xfId="0" applyFont="1" applyFill="1" applyAlignment="1">
      <alignment horizontal="left" vertical="center"/>
    </xf>
    <xf numFmtId="0" fontId="7" fillId="0" borderId="0" xfId="0" applyFont="1"/>
    <xf numFmtId="164" fontId="16" fillId="2" borderId="0" xfId="0" applyNumberFormat="1" applyFont="1" applyFill="1" applyAlignment="1">
      <alignment horizontal="right" vertical="center"/>
    </xf>
    <xf numFmtId="164" fontId="16" fillId="2" borderId="0" xfId="0" applyNumberFormat="1" applyFont="1" applyFill="1" applyAlignment="1">
      <alignment horizontal="left" vertical="center"/>
    </xf>
    <xf numFmtId="2" fontId="16" fillId="2" borderId="0" xfId="0" applyNumberFormat="1" applyFont="1" applyFill="1" applyAlignment="1">
      <alignment vertical="center"/>
    </xf>
    <xf numFmtId="2" fontId="16" fillId="2" borderId="0" xfId="0" applyNumberFormat="1" applyFont="1" applyFill="1" applyAlignment="1">
      <alignment horizontal="left" vertical="center"/>
    </xf>
    <xf numFmtId="0" fontId="7" fillId="0" borderId="0" xfId="177" applyFont="1" applyFill="1" applyBorder="1" applyAlignment="1" applyProtection="1"/>
    <xf numFmtId="10" fontId="7" fillId="0" borderId="0" xfId="0" applyNumberFormat="1" applyFont="1" applyAlignment="1">
      <alignment horizontal="left" vertical="center" indent="2"/>
    </xf>
    <xf numFmtId="165" fontId="11" fillId="2" borderId="21" xfId="0" applyNumberFormat="1" applyFont="1" applyFill="1" applyBorder="1"/>
    <xf numFmtId="0" fontId="16" fillId="2" borderId="16" xfId="0" applyFont="1" applyFill="1" applyBorder="1"/>
    <xf numFmtId="0" fontId="18" fillId="2" borderId="9" xfId="0" applyFont="1" applyFill="1" applyBorder="1"/>
    <xf numFmtId="0" fontId="22" fillId="2" borderId="19" xfId="0" applyFont="1" applyFill="1" applyBorder="1"/>
    <xf numFmtId="0" fontId="11" fillId="2" borderId="5" xfId="0" applyFont="1" applyFill="1" applyBorder="1"/>
    <xf numFmtId="0" fontId="17" fillId="2" borderId="0" xfId="0" applyFont="1" applyFill="1"/>
    <xf numFmtId="165" fontId="11" fillId="2" borderId="20" xfId="0" applyNumberFormat="1" applyFont="1" applyFill="1" applyBorder="1"/>
    <xf numFmtId="0" fontId="11" fillId="2" borderId="20" xfId="0" applyFont="1" applyFill="1" applyBorder="1"/>
    <xf numFmtId="165" fontId="11" fillId="2" borderId="0" xfId="0" applyNumberFormat="1" applyFont="1" applyFill="1"/>
    <xf numFmtId="2" fontId="11" fillId="2" borderId="0" xfId="0" applyNumberFormat="1" applyFont="1" applyFill="1"/>
    <xf numFmtId="10" fontId="6" fillId="0" borderId="0" xfId="0" applyNumberFormat="1" applyFont="1" applyAlignment="1">
      <alignment horizontal="left" vertical="center" indent="2"/>
    </xf>
    <xf numFmtId="167" fontId="5" fillId="0" borderId="0" xfId="0" applyNumberFormat="1" applyFont="1" applyAlignment="1">
      <alignment vertical="center"/>
    </xf>
    <xf numFmtId="0" fontId="5" fillId="2" borderId="0" xfId="0" applyFont="1" applyFill="1"/>
    <xf numFmtId="1" fontId="10" fillId="2" borderId="21" xfId="234" applyNumberFormat="1" applyFont="1" applyFill="1" applyBorder="1" applyAlignment="1" applyProtection="1">
      <alignment vertical="center"/>
    </xf>
    <xf numFmtId="0" fontId="5" fillId="0" borderId="0" xfId="0" applyFont="1"/>
    <xf numFmtId="0" fontId="5" fillId="2" borderId="6" xfId="0" applyFont="1" applyFill="1" applyBorder="1"/>
    <xf numFmtId="0" fontId="5" fillId="2" borderId="5" xfId="0" applyFont="1" applyFill="1" applyBorder="1"/>
    <xf numFmtId="2" fontId="5" fillId="2" borderId="0" xfId="0" applyNumberFormat="1" applyFont="1" applyFill="1"/>
    <xf numFmtId="49" fontId="5" fillId="2" borderId="0" xfId="0" applyNumberFormat="1" applyFont="1" applyFill="1" applyAlignment="1">
      <alignment horizontal="right"/>
    </xf>
    <xf numFmtId="0" fontId="16" fillId="2" borderId="22" xfId="0" applyFont="1" applyFill="1" applyBorder="1"/>
    <xf numFmtId="0" fontId="16" fillId="2" borderId="23" xfId="0" applyFont="1" applyFill="1" applyBorder="1"/>
    <xf numFmtId="0" fontId="16" fillId="2" borderId="24" xfId="0" applyFont="1" applyFill="1" applyBorder="1"/>
    <xf numFmtId="0" fontId="4" fillId="2" borderId="0" xfId="0" applyFont="1" applyFill="1"/>
    <xf numFmtId="0" fontId="4" fillId="2" borderId="18" xfId="0" applyFont="1" applyFill="1" applyBorder="1"/>
    <xf numFmtId="0" fontId="3" fillId="2" borderId="0" xfId="0" applyFont="1" applyFill="1"/>
    <xf numFmtId="0" fontId="3" fillId="2" borderId="18" xfId="0" applyFont="1" applyFill="1" applyBorder="1"/>
    <xf numFmtId="0" fontId="2" fillId="0" borderId="0" xfId="0" applyFont="1"/>
    <xf numFmtId="0" fontId="27" fillId="4" borderId="18" xfId="0" applyFont="1" applyFill="1" applyBorder="1"/>
    <xf numFmtId="0" fontId="26" fillId="4" borderId="17" xfId="0" applyFont="1" applyFill="1" applyBorder="1" applyAlignment="1">
      <alignment horizontal="left" vertical="top" wrapText="1"/>
    </xf>
    <xf numFmtId="0" fontId="26" fillId="4" borderId="2" xfId="0" applyFont="1" applyFill="1" applyBorder="1" applyAlignment="1">
      <alignment horizontal="left" vertical="top" wrapText="1"/>
    </xf>
    <xf numFmtId="0" fontId="26" fillId="4" borderId="13" xfId="0" applyFont="1" applyFill="1" applyBorder="1" applyAlignment="1">
      <alignment horizontal="left" vertical="top" wrapText="1"/>
    </xf>
    <xf numFmtId="0" fontId="26" fillId="4" borderId="7" xfId="0" applyFont="1" applyFill="1" applyBorder="1" applyAlignment="1">
      <alignment horizontal="left" vertical="top" wrapText="1"/>
    </xf>
    <xf numFmtId="0" fontId="26" fillId="4" borderId="0" xfId="0" applyFont="1" applyFill="1" applyAlignment="1">
      <alignment horizontal="left" vertical="top" wrapText="1"/>
    </xf>
    <xf numFmtId="0" fontId="26" fillId="4" borderId="8" xfId="0" applyFont="1" applyFill="1" applyBorder="1" applyAlignment="1">
      <alignment horizontal="left" vertical="top" wrapText="1"/>
    </xf>
    <xf numFmtId="0" fontId="26" fillId="4" borderId="1" xfId="0" applyFont="1" applyFill="1" applyBorder="1" applyAlignment="1">
      <alignment horizontal="left" vertical="top" wrapText="1"/>
    </xf>
    <xf numFmtId="0" fontId="26" fillId="4" borderId="9" xfId="0" applyFont="1" applyFill="1" applyBorder="1" applyAlignment="1">
      <alignment horizontal="left" vertical="top" wrapText="1"/>
    </xf>
    <xf numFmtId="0" fontId="26" fillId="4" borderId="14" xfId="0" applyFont="1" applyFill="1" applyBorder="1" applyAlignment="1">
      <alignment horizontal="left" vertical="top" wrapText="1"/>
    </xf>
  </cellXfs>
  <cellStyles count="23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cellStyle name="Normal" xfId="0" builtinId="0"/>
    <cellStyle name="Per cent" xfId="234"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635000</xdr:colOff>
      <xdr:row>3</xdr:row>
      <xdr:rowOff>25401</xdr:rowOff>
    </xdr:from>
    <xdr:to>
      <xdr:col>11</xdr:col>
      <xdr:colOff>876299</xdr:colOff>
      <xdr:row>26</xdr:row>
      <xdr:rowOff>183999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924300" y="596901"/>
          <a:ext cx="7797799" cy="4540098"/>
        </a:xfrm>
        <a:prstGeom prst="rect">
          <a:avLst/>
        </a:prstGeom>
      </xdr:spPr>
    </xdr:pic>
    <xdr:clientData/>
  </xdr:twoCellAnchor>
  <xdr:twoCellAnchor editAs="oneCell">
    <xdr:from>
      <xdr:col>4</xdr:col>
      <xdr:colOff>637059</xdr:colOff>
      <xdr:row>29</xdr:row>
      <xdr:rowOff>12700</xdr:rowOff>
    </xdr:from>
    <xdr:to>
      <xdr:col>11</xdr:col>
      <xdr:colOff>922981</xdr:colOff>
      <xdr:row>47</xdr:row>
      <xdr:rowOff>38100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3926359" y="5537200"/>
          <a:ext cx="7842422" cy="3454400"/>
        </a:xfrm>
        <a:prstGeom prst="rect">
          <a:avLst/>
        </a:prstGeom>
      </xdr:spPr>
    </xdr:pic>
    <xdr:clientData/>
  </xdr:twoCellAnchor>
  <xdr:twoCellAnchor editAs="oneCell">
    <xdr:from>
      <xdr:col>4</xdr:col>
      <xdr:colOff>825500</xdr:colOff>
      <xdr:row>49</xdr:row>
      <xdr:rowOff>0</xdr:rowOff>
    </xdr:from>
    <xdr:to>
      <xdr:col>8</xdr:col>
      <xdr:colOff>203200</xdr:colOff>
      <xdr:row>62</xdr:row>
      <xdr:rowOff>12700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4114800" y="9334500"/>
          <a:ext cx="3695700" cy="2489200"/>
        </a:xfrm>
        <a:prstGeom prst="rect">
          <a:avLst/>
        </a:prstGeom>
      </xdr:spPr>
    </xdr:pic>
    <xdr:clientData/>
  </xdr:twoCellAnchor>
  <xdr:twoCellAnchor editAs="oneCell">
    <xdr:from>
      <xdr:col>4</xdr:col>
      <xdr:colOff>673100</xdr:colOff>
      <xdr:row>62</xdr:row>
      <xdr:rowOff>63500</xdr:rowOff>
    </xdr:from>
    <xdr:to>
      <xdr:col>8</xdr:col>
      <xdr:colOff>711200</xdr:colOff>
      <xdr:row>82</xdr:row>
      <xdr:rowOff>88900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3962400" y="11874500"/>
          <a:ext cx="4356100" cy="3835400"/>
        </a:xfrm>
        <a:prstGeom prst="rect">
          <a:avLst/>
        </a:prstGeom>
      </xdr:spPr>
    </xdr:pic>
    <xdr:clientData/>
  </xdr:twoCellAnchor>
  <xdr:twoCellAnchor editAs="oneCell">
    <xdr:from>
      <xdr:col>4</xdr:col>
      <xdr:colOff>762000</xdr:colOff>
      <xdr:row>84</xdr:row>
      <xdr:rowOff>165100</xdr:rowOff>
    </xdr:from>
    <xdr:to>
      <xdr:col>11</xdr:col>
      <xdr:colOff>622300</xdr:colOff>
      <xdr:row>97</xdr:row>
      <xdr:rowOff>38100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5"/>
        <a:srcRect t="5128"/>
        <a:stretch/>
      </xdr:blipFill>
      <xdr:spPr>
        <a:xfrm>
          <a:off x="4051300" y="16167100"/>
          <a:ext cx="7416800" cy="2349500"/>
        </a:xfrm>
        <a:prstGeom prst="rect">
          <a:avLst/>
        </a:prstGeom>
      </xdr:spPr>
    </xdr:pic>
    <xdr:clientData/>
  </xdr:twoCellAnchor>
  <xdr:twoCellAnchor editAs="oneCell">
    <xdr:from>
      <xdr:col>4</xdr:col>
      <xdr:colOff>850900</xdr:colOff>
      <xdr:row>97</xdr:row>
      <xdr:rowOff>0</xdr:rowOff>
    </xdr:from>
    <xdr:to>
      <xdr:col>11</xdr:col>
      <xdr:colOff>399274</xdr:colOff>
      <xdr:row>108</xdr:row>
      <xdr:rowOff>63500</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6"/>
        <a:stretch>
          <a:fillRect/>
        </a:stretch>
      </xdr:blipFill>
      <xdr:spPr>
        <a:xfrm>
          <a:off x="4140200" y="18478500"/>
          <a:ext cx="7104874" cy="2159000"/>
        </a:xfrm>
        <a:prstGeom prst="rect">
          <a:avLst/>
        </a:prstGeom>
      </xdr:spPr>
    </xdr:pic>
    <xdr:clientData/>
  </xdr:twoCellAnchor>
  <xdr:twoCellAnchor editAs="oneCell">
    <xdr:from>
      <xdr:col>5</xdr:col>
      <xdr:colOff>50800</xdr:colOff>
      <xdr:row>111</xdr:row>
      <xdr:rowOff>95902</xdr:rowOff>
    </xdr:from>
    <xdr:to>
      <xdr:col>14</xdr:col>
      <xdr:colOff>571500</xdr:colOff>
      <xdr:row>118</xdr:row>
      <xdr:rowOff>76200</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7"/>
        <a:stretch>
          <a:fillRect/>
        </a:stretch>
      </xdr:blipFill>
      <xdr:spPr>
        <a:xfrm>
          <a:off x="4419600" y="21241402"/>
          <a:ext cx="10236200" cy="1313798"/>
        </a:xfrm>
        <a:prstGeom prst="rect">
          <a:avLst/>
        </a:prstGeom>
      </xdr:spPr>
    </xdr:pic>
    <xdr:clientData/>
  </xdr:twoCellAnchor>
  <xdr:twoCellAnchor editAs="oneCell">
    <xdr:from>
      <xdr:col>4</xdr:col>
      <xdr:colOff>889000</xdr:colOff>
      <xdr:row>118</xdr:row>
      <xdr:rowOff>127000</xdr:rowOff>
    </xdr:from>
    <xdr:to>
      <xdr:col>12</xdr:col>
      <xdr:colOff>292100</xdr:colOff>
      <xdr:row>138</xdr:row>
      <xdr:rowOff>0</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8"/>
        <a:stretch>
          <a:fillRect/>
        </a:stretch>
      </xdr:blipFill>
      <xdr:spPr>
        <a:xfrm>
          <a:off x="4178300" y="22606000"/>
          <a:ext cx="8039100" cy="3683000"/>
        </a:xfrm>
        <a:prstGeom prst="rect">
          <a:avLst/>
        </a:prstGeom>
      </xdr:spPr>
    </xdr:pic>
    <xdr:clientData/>
  </xdr:twoCellAnchor>
  <xdr:twoCellAnchor editAs="oneCell">
    <xdr:from>
      <xdr:col>4</xdr:col>
      <xdr:colOff>647700</xdr:colOff>
      <xdr:row>139</xdr:row>
      <xdr:rowOff>2114</xdr:rowOff>
    </xdr:from>
    <xdr:to>
      <xdr:col>14</xdr:col>
      <xdr:colOff>622300</xdr:colOff>
      <xdr:row>177</xdr:row>
      <xdr:rowOff>139699</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9"/>
        <a:stretch>
          <a:fillRect/>
        </a:stretch>
      </xdr:blipFill>
      <xdr:spPr>
        <a:xfrm>
          <a:off x="3937000" y="26494314"/>
          <a:ext cx="10769600" cy="73765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energy/6_residences_analysis.xlsx" TargetMode="External"/><Relationship Id="rId1" Type="http://schemas.openxmlformats.org/officeDocument/2006/relationships/externalLinkPath" Target="/Users/dorinevandervlies/Projects/etdataset/nodes_source_analyses/energy/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google.com/maps/place/Middenweg+36,+4782+PM+Moerdijk,+The+Netherlands/@51.6827777,4.5903138,1584m/data=!3m1!1e3!4m2!3m1!1s0x47c4249b2c8d2cc1:0x78741010c6d8f35?hl=en-U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google.com/maps/place/Middenweg+36,+4782+PM+Moerdijk,+The+Netherlands/@51.6827777,4.5903138,1584m/data=!3m1!1e3!4m2!3m1!1s0x47c4249b2c8d2cc1:0x78741010c6d8f35?hl=en-US" TargetMode="External"/><Relationship Id="rId1" Type="http://schemas.openxmlformats.org/officeDocument/2006/relationships/hyperlink" Target="http://www.epa.gov/chp/documents/catalog_chptech_gas_turbines.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3"/>
  <sheetViews>
    <sheetView tabSelected="1" workbookViewId="0">
      <selection activeCell="C5" sqref="C5"/>
    </sheetView>
  </sheetViews>
  <sheetFormatPr baseColWidth="10" defaultColWidth="10.7109375" defaultRowHeight="16"/>
  <cols>
    <col min="1" max="1" width="4.28515625" style="24" customWidth="1"/>
    <col min="2" max="2" width="9.140625" style="17" customWidth="1"/>
    <col min="3" max="3" width="44.140625" style="17" customWidth="1"/>
    <col min="4" max="16384" width="10.7109375" style="17"/>
  </cols>
  <sheetData>
    <row r="1" spans="1:3" s="22" customFormat="1">
      <c r="A1" s="20"/>
      <c r="B1" s="21"/>
      <c r="C1" s="21"/>
    </row>
    <row r="2" spans="1:3" ht="21">
      <c r="A2" s="1"/>
      <c r="B2" s="23" t="s">
        <v>18</v>
      </c>
      <c r="C2" s="23"/>
    </row>
    <row r="3" spans="1:3">
      <c r="A3" s="1"/>
      <c r="B3" s="8"/>
      <c r="C3" s="8"/>
    </row>
    <row r="4" spans="1:3">
      <c r="A4" s="1"/>
      <c r="B4" s="2" t="s">
        <v>19</v>
      </c>
      <c r="C4" s="3" t="s">
        <v>172</v>
      </c>
    </row>
    <row r="5" spans="1:3">
      <c r="A5" s="1"/>
      <c r="B5" s="4" t="s">
        <v>95</v>
      </c>
      <c r="C5" s="5" t="s">
        <v>171</v>
      </c>
    </row>
    <row r="6" spans="1:3">
      <c r="A6" s="1"/>
      <c r="B6" s="6" t="s">
        <v>21</v>
      </c>
      <c r="C6" s="7" t="s">
        <v>22</v>
      </c>
    </row>
    <row r="7" spans="1:3">
      <c r="A7" s="1"/>
      <c r="B7" s="8"/>
      <c r="C7" s="8"/>
    </row>
    <row r="8" spans="1:3">
      <c r="A8" s="1"/>
      <c r="B8" s="8"/>
      <c r="C8" s="8"/>
    </row>
    <row r="9" spans="1:3">
      <c r="A9" s="1"/>
      <c r="B9" s="108" t="s">
        <v>96</v>
      </c>
      <c r="C9" s="109"/>
    </row>
    <row r="10" spans="1:3">
      <c r="A10" s="1"/>
      <c r="B10" s="110"/>
      <c r="C10" s="111"/>
    </row>
    <row r="11" spans="1:3">
      <c r="A11" s="1"/>
      <c r="B11" s="110" t="s">
        <v>97</v>
      </c>
      <c r="C11" s="112" t="s">
        <v>98</v>
      </c>
    </row>
    <row r="12" spans="1:3" ht="17" thickBot="1">
      <c r="A12" s="1"/>
      <c r="B12" s="110"/>
      <c r="C12" s="14" t="s">
        <v>99</v>
      </c>
    </row>
    <row r="13" spans="1:3" ht="17" thickBot="1">
      <c r="A13" s="1"/>
      <c r="B13" s="110"/>
      <c r="C13" s="113" t="s">
        <v>100</v>
      </c>
    </row>
    <row r="14" spans="1:3">
      <c r="A14" s="1"/>
      <c r="B14" s="110"/>
      <c r="C14" s="111" t="s">
        <v>101</v>
      </c>
    </row>
    <row r="15" spans="1:3">
      <c r="A15" s="1"/>
      <c r="B15" s="110"/>
      <c r="C15" s="111"/>
    </row>
    <row r="16" spans="1:3">
      <c r="A16" s="1"/>
      <c r="B16" s="110" t="s">
        <v>102</v>
      </c>
      <c r="C16" s="114" t="s">
        <v>103</v>
      </c>
    </row>
    <row r="17" spans="1:3">
      <c r="A17" s="1"/>
      <c r="B17" s="110"/>
      <c r="C17" s="115" t="s">
        <v>104</v>
      </c>
    </row>
    <row r="18" spans="1:3">
      <c r="A18" s="1"/>
      <c r="B18" s="110"/>
      <c r="C18" s="116" t="s">
        <v>105</v>
      </c>
    </row>
    <row r="19" spans="1:3">
      <c r="A19" s="1"/>
      <c r="B19" s="110"/>
      <c r="C19" s="117" t="s">
        <v>106</v>
      </c>
    </row>
    <row r="20" spans="1:3">
      <c r="A20" s="1"/>
      <c r="B20" s="118"/>
      <c r="C20" s="119" t="s">
        <v>107</v>
      </c>
    </row>
    <row r="21" spans="1:3">
      <c r="A21" s="1"/>
      <c r="B21" s="118"/>
      <c r="C21" s="120" t="s">
        <v>108</v>
      </c>
    </row>
    <row r="22" spans="1:3">
      <c r="A22" s="1"/>
      <c r="B22" s="118"/>
      <c r="C22" s="121" t="s">
        <v>109</v>
      </c>
    </row>
    <row r="23" spans="1:3">
      <c r="B23" s="118"/>
      <c r="C23" s="122" t="s">
        <v>110</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36"/>
  <sheetViews>
    <sheetView topLeftCell="A15" workbookViewId="0">
      <selection activeCell="C43" sqref="C43"/>
    </sheetView>
  </sheetViews>
  <sheetFormatPr baseColWidth="10" defaultColWidth="10.7109375" defaultRowHeight="16"/>
  <cols>
    <col min="1" max="1" width="2.7109375" style="29" customWidth="1"/>
    <col min="2" max="2" width="3.7109375" style="29" customWidth="1"/>
    <col min="3" max="3" width="46.85546875" style="29" customWidth="1"/>
    <col min="4" max="4" width="14.42578125" style="29" customWidth="1"/>
    <col min="5" max="5" width="15.28515625" style="29" customWidth="1"/>
    <col min="6" max="6" width="4.42578125" style="29" customWidth="1"/>
    <col min="7" max="7" width="45" style="29" customWidth="1"/>
    <col min="8" max="8" width="5.140625" style="29" customWidth="1"/>
    <col min="9" max="9" width="47.140625" style="29" customWidth="1"/>
    <col min="10" max="10" width="2.85546875" style="29" customWidth="1"/>
    <col min="11" max="16384" width="10.7109375" style="29"/>
  </cols>
  <sheetData>
    <row r="2" spans="2:10">
      <c r="B2" s="162" t="s">
        <v>169</v>
      </c>
      <c r="C2" s="163"/>
      <c r="D2" s="163"/>
      <c r="E2" s="164"/>
    </row>
    <row r="3" spans="2:10">
      <c r="B3" s="165"/>
      <c r="C3" s="166"/>
      <c r="D3" s="166"/>
      <c r="E3" s="167"/>
    </row>
    <row r="4" spans="2:10">
      <c r="B4" s="165"/>
      <c r="C4" s="166"/>
      <c r="D4" s="166"/>
      <c r="E4" s="167"/>
    </row>
    <row r="5" spans="2:10">
      <c r="B5" s="168"/>
      <c r="C5" s="169"/>
      <c r="D5" s="169"/>
      <c r="E5" s="170"/>
    </row>
    <row r="6" spans="2:10" ht="17" thickBot="1"/>
    <row r="7" spans="2:10">
      <c r="B7" s="31"/>
      <c r="C7" s="16"/>
      <c r="D7" s="16"/>
      <c r="E7" s="16"/>
      <c r="F7" s="16"/>
      <c r="G7" s="16"/>
      <c r="H7" s="16"/>
      <c r="I7" s="16"/>
      <c r="J7" s="32"/>
    </row>
    <row r="8" spans="2:10" s="37" customFormat="1" ht="19">
      <c r="B8" s="135"/>
      <c r="C8" s="15" t="s">
        <v>33</v>
      </c>
      <c r="D8" s="136" t="s">
        <v>15</v>
      </c>
      <c r="E8" s="15" t="s">
        <v>7</v>
      </c>
      <c r="F8" s="15"/>
      <c r="G8" s="15" t="s">
        <v>14</v>
      </c>
      <c r="H8" s="15"/>
      <c r="I8" s="15" t="s">
        <v>0</v>
      </c>
      <c r="J8" s="137"/>
    </row>
    <row r="9" spans="2:10" s="37" customFormat="1" ht="19">
      <c r="B9" s="19"/>
      <c r="C9" s="14"/>
      <c r="D9" s="25"/>
      <c r="E9" s="14"/>
      <c r="F9" s="14"/>
      <c r="G9" s="14"/>
      <c r="H9" s="14"/>
      <c r="I9" s="14"/>
      <c r="J9" s="38"/>
    </row>
    <row r="10" spans="2:10" s="37" customFormat="1" ht="20" thickBot="1">
      <c r="B10" s="19"/>
      <c r="C10" s="14" t="s">
        <v>111</v>
      </c>
      <c r="D10" s="25"/>
      <c r="E10" s="14"/>
      <c r="F10" s="14"/>
      <c r="G10" s="14"/>
      <c r="H10" s="14"/>
      <c r="I10" s="14"/>
      <c r="J10" s="38"/>
    </row>
    <row r="11" spans="2:10" ht="17" thickBot="1">
      <c r="B11" s="33"/>
      <c r="C11" s="30" t="s">
        <v>35</v>
      </c>
      <c r="D11" s="18" t="s">
        <v>5</v>
      </c>
      <c r="E11" s="39">
        <v>0.9</v>
      </c>
      <c r="F11" s="30"/>
      <c r="G11" s="30"/>
      <c r="H11" s="30"/>
      <c r="I11" s="28" t="s">
        <v>56</v>
      </c>
      <c r="J11" s="138"/>
    </row>
    <row r="12" spans="2:10" ht="17" thickBot="1">
      <c r="B12" s="33"/>
      <c r="C12" s="30" t="s">
        <v>36</v>
      </c>
      <c r="D12" s="18" t="s">
        <v>5</v>
      </c>
      <c r="E12" s="40">
        <v>1</v>
      </c>
      <c r="F12" s="30"/>
      <c r="G12" s="30"/>
      <c r="H12" s="30"/>
      <c r="I12" s="28" t="s">
        <v>56</v>
      </c>
      <c r="J12" s="138"/>
    </row>
    <row r="13" spans="2:10" ht="17" thickBot="1">
      <c r="B13" s="33"/>
      <c r="C13" s="30" t="s">
        <v>38</v>
      </c>
      <c r="D13" s="18" t="s">
        <v>5</v>
      </c>
      <c r="E13" s="40">
        <v>0</v>
      </c>
      <c r="F13" s="30"/>
      <c r="G13" s="30"/>
      <c r="H13" s="30"/>
      <c r="I13" s="28" t="s">
        <v>56</v>
      </c>
      <c r="J13" s="138"/>
    </row>
    <row r="14" spans="2:10" ht="17" thickBot="1">
      <c r="B14" s="33"/>
      <c r="C14" s="30" t="s">
        <v>11</v>
      </c>
      <c r="D14" s="18" t="s">
        <v>5</v>
      </c>
      <c r="E14" s="40">
        <v>0</v>
      </c>
      <c r="F14" s="30"/>
      <c r="G14" s="30"/>
      <c r="H14" s="30"/>
      <c r="I14" s="28" t="s">
        <v>56</v>
      </c>
      <c r="J14" s="138"/>
    </row>
    <row r="15" spans="2:10" ht="17" thickBot="1">
      <c r="B15" s="33"/>
      <c r="C15" s="30" t="s">
        <v>41</v>
      </c>
      <c r="D15" s="18" t="s">
        <v>5</v>
      </c>
      <c r="E15" s="28">
        <v>3.4000000000000002E-2</v>
      </c>
      <c r="F15" s="30"/>
      <c r="G15" s="30"/>
      <c r="H15" s="30"/>
      <c r="I15" s="28" t="s">
        <v>56</v>
      </c>
      <c r="J15" s="138"/>
    </row>
    <row r="16" spans="2:10" ht="17" thickBot="1">
      <c r="B16" s="33"/>
      <c r="C16" s="30" t="s">
        <v>42</v>
      </c>
      <c r="D16" s="18" t="s">
        <v>5</v>
      </c>
      <c r="E16" s="28">
        <v>0.65</v>
      </c>
      <c r="F16" s="30"/>
      <c r="G16" s="30"/>
      <c r="H16" s="30"/>
      <c r="I16" s="28" t="s">
        <v>56</v>
      </c>
      <c r="J16" s="138"/>
    </row>
    <row r="17" spans="2:10" ht="17" thickBot="1">
      <c r="B17" s="33"/>
      <c r="C17" s="30" t="s">
        <v>43</v>
      </c>
      <c r="D17" s="18" t="s">
        <v>65</v>
      </c>
      <c r="E17" s="40">
        <f>'Research data'!H6</f>
        <v>75</v>
      </c>
      <c r="F17" s="30"/>
      <c r="G17" s="30" t="s">
        <v>29</v>
      </c>
      <c r="H17" s="30"/>
      <c r="I17" s="28" t="s">
        <v>56</v>
      </c>
      <c r="J17" s="138"/>
    </row>
    <row r="18" spans="2:10" ht="17" thickBot="1">
      <c r="B18" s="33"/>
      <c r="C18" s="30" t="s">
        <v>44</v>
      </c>
      <c r="D18" s="18" t="s">
        <v>65</v>
      </c>
      <c r="E18" s="39">
        <v>0</v>
      </c>
      <c r="F18" s="30"/>
      <c r="G18" s="30" t="s">
        <v>57</v>
      </c>
      <c r="H18" s="30"/>
      <c r="I18" s="28" t="s">
        <v>56</v>
      </c>
      <c r="J18" s="138"/>
    </row>
    <row r="19" spans="2:10">
      <c r="B19" s="33"/>
      <c r="D19" s="139"/>
      <c r="E19" s="143"/>
      <c r="J19" s="138"/>
    </row>
    <row r="20" spans="2:10" ht="17" thickBot="1">
      <c r="B20" s="33"/>
      <c r="C20" s="14" t="s">
        <v>124</v>
      </c>
      <c r="D20" s="139"/>
      <c r="E20" s="143"/>
      <c r="J20" s="138"/>
    </row>
    <row r="21" spans="2:10" ht="17" thickBot="1">
      <c r="B21" s="33"/>
      <c r="C21" s="30" t="s">
        <v>45</v>
      </c>
      <c r="D21" s="18" t="s">
        <v>34</v>
      </c>
      <c r="E21" s="40">
        <f>'Research data'!H15</f>
        <v>56175000</v>
      </c>
      <c r="F21" s="30"/>
      <c r="G21" s="30" t="s">
        <v>9</v>
      </c>
      <c r="H21" s="30"/>
      <c r="I21" s="157" t="s">
        <v>150</v>
      </c>
      <c r="J21" s="138"/>
    </row>
    <row r="22" spans="2:10" ht="17" thickBot="1">
      <c r="B22" s="33"/>
      <c r="C22" s="30" t="s">
        <v>46</v>
      </c>
      <c r="D22" s="18" t="s">
        <v>34</v>
      </c>
      <c r="E22" s="40">
        <v>0</v>
      </c>
      <c r="F22" s="30"/>
      <c r="G22" s="30" t="s">
        <v>58</v>
      </c>
      <c r="H22" s="30"/>
      <c r="I22" s="28" t="s">
        <v>56</v>
      </c>
      <c r="J22" s="138"/>
    </row>
    <row r="23" spans="2:10" ht="17" thickBot="1">
      <c r="B23" s="33"/>
      <c r="C23" s="30" t="s">
        <v>13</v>
      </c>
      <c r="D23" s="18" t="s">
        <v>34</v>
      </c>
      <c r="E23" s="40">
        <v>0</v>
      </c>
      <c r="F23" s="30"/>
      <c r="G23" s="30" t="s">
        <v>25</v>
      </c>
      <c r="H23" s="30"/>
      <c r="I23" s="28" t="s">
        <v>56</v>
      </c>
      <c r="J23" s="138"/>
    </row>
    <row r="24" spans="2:10" ht="17" thickBot="1">
      <c r="B24" s="33"/>
      <c r="C24" s="30" t="s">
        <v>47</v>
      </c>
      <c r="D24" s="18" t="s">
        <v>34</v>
      </c>
      <c r="E24" s="40">
        <v>0</v>
      </c>
      <c r="F24" s="30"/>
      <c r="G24" s="30" t="s">
        <v>28</v>
      </c>
      <c r="H24" s="30"/>
      <c r="I24" s="28" t="s">
        <v>56</v>
      </c>
      <c r="J24" s="138"/>
    </row>
    <row r="25" spans="2:10" ht="17" thickBot="1">
      <c r="B25" s="33"/>
      <c r="C25" s="30" t="s">
        <v>48</v>
      </c>
      <c r="D25" s="18" t="s">
        <v>55</v>
      </c>
      <c r="E25" s="134">
        <f>'Research data'!H17</f>
        <v>564000</v>
      </c>
      <c r="F25" s="30"/>
      <c r="G25" s="30" t="s">
        <v>59</v>
      </c>
      <c r="H25" s="30"/>
      <c r="I25" s="103" t="s">
        <v>77</v>
      </c>
      <c r="J25" s="138"/>
    </row>
    <row r="26" spans="2:10" ht="17" thickBot="1">
      <c r="B26" s="33"/>
      <c r="C26" s="30" t="s">
        <v>49</v>
      </c>
      <c r="D26" s="18" t="s">
        <v>54</v>
      </c>
      <c r="E26" s="39">
        <f>'Research data'!H19</f>
        <v>282</v>
      </c>
      <c r="F26" s="30"/>
      <c r="G26" s="30" t="s">
        <v>60</v>
      </c>
      <c r="H26" s="30"/>
      <c r="I26" s="103" t="s">
        <v>77</v>
      </c>
      <c r="J26" s="138"/>
    </row>
    <row r="27" spans="2:10" ht="17" thickBot="1">
      <c r="B27" s="33"/>
      <c r="C27" s="30" t="s">
        <v>50</v>
      </c>
      <c r="D27" s="18" t="s">
        <v>54</v>
      </c>
      <c r="E27" s="140">
        <v>0</v>
      </c>
      <c r="F27" s="30"/>
      <c r="G27" s="30" t="s">
        <v>61</v>
      </c>
      <c r="H27" s="30"/>
      <c r="I27" s="141" t="s">
        <v>56</v>
      </c>
      <c r="J27" s="138"/>
    </row>
    <row r="28" spans="2:10" ht="17" thickBot="1">
      <c r="B28" s="33"/>
      <c r="C28" s="30" t="s">
        <v>53</v>
      </c>
      <c r="D28" s="18" t="s">
        <v>3</v>
      </c>
      <c r="E28" s="40">
        <v>0.04</v>
      </c>
      <c r="F28" s="30"/>
      <c r="G28" s="30" t="s">
        <v>24</v>
      </c>
      <c r="H28" s="30"/>
      <c r="I28" s="161" t="s">
        <v>170</v>
      </c>
      <c r="J28" s="138"/>
    </row>
    <row r="29" spans="2:10" ht="17" thickBot="1">
      <c r="B29" s="33"/>
      <c r="C29" s="30" t="s">
        <v>40</v>
      </c>
      <c r="D29" s="18" t="s">
        <v>12</v>
      </c>
      <c r="E29" s="40">
        <v>1</v>
      </c>
      <c r="F29" s="30"/>
      <c r="G29" s="30"/>
      <c r="H29" s="30"/>
      <c r="I29" s="28" t="s">
        <v>56</v>
      </c>
      <c r="J29" s="138"/>
    </row>
    <row r="30" spans="2:10">
      <c r="B30" s="33"/>
      <c r="C30" s="30"/>
      <c r="D30" s="18"/>
      <c r="E30" s="142"/>
      <c r="F30" s="30"/>
      <c r="G30" s="30"/>
      <c r="H30" s="30"/>
      <c r="J30" s="138"/>
    </row>
    <row r="31" spans="2:10" ht="17" thickBot="1">
      <c r="B31" s="33"/>
      <c r="C31" s="14" t="s">
        <v>8</v>
      </c>
      <c r="D31" s="139"/>
      <c r="E31" s="142"/>
      <c r="J31" s="138"/>
    </row>
    <row r="32" spans="2:10" ht="17" thickBot="1">
      <c r="B32" s="33"/>
      <c r="C32" s="30" t="s">
        <v>39</v>
      </c>
      <c r="D32" s="18" t="s">
        <v>4</v>
      </c>
      <c r="E32" s="40">
        <f>'Research data'!H10</f>
        <v>0.1</v>
      </c>
      <c r="F32" s="30"/>
      <c r="G32" s="30" t="s">
        <v>16</v>
      </c>
      <c r="H32" s="30"/>
      <c r="I32" s="28" t="s">
        <v>79</v>
      </c>
      <c r="J32" s="138"/>
    </row>
    <row r="33" spans="2:10" ht="17" thickBot="1">
      <c r="B33" s="33"/>
      <c r="C33" s="30" t="s">
        <v>51</v>
      </c>
      <c r="D33" s="18" t="s">
        <v>2</v>
      </c>
      <c r="E33" s="40">
        <f>'Research data'!H11</f>
        <v>1</v>
      </c>
      <c r="F33" s="30"/>
      <c r="G33" s="30" t="s">
        <v>27</v>
      </c>
      <c r="H33" s="30"/>
      <c r="I33" s="159" t="s">
        <v>159</v>
      </c>
      <c r="J33" s="138"/>
    </row>
    <row r="34" spans="2:10" ht="17" thickBot="1">
      <c r="B34" s="33"/>
      <c r="C34" s="30" t="s">
        <v>52</v>
      </c>
      <c r="D34" s="18" t="s">
        <v>2</v>
      </c>
      <c r="E34" s="40">
        <f>'Research data'!H12</f>
        <v>40</v>
      </c>
      <c r="F34" s="30"/>
      <c r="G34" s="30" t="s">
        <v>26</v>
      </c>
      <c r="H34" s="30"/>
      <c r="I34" s="103" t="s">
        <v>77</v>
      </c>
      <c r="J34" s="138"/>
    </row>
    <row r="35" spans="2:10" ht="17" thickBot="1">
      <c r="B35" s="33"/>
      <c r="C35" s="30" t="s">
        <v>37</v>
      </c>
      <c r="D35" s="18" t="s">
        <v>5</v>
      </c>
      <c r="E35" s="40">
        <v>0</v>
      </c>
      <c r="F35" s="30"/>
      <c r="G35" s="30"/>
      <c r="H35" s="30"/>
      <c r="I35" s="28" t="s">
        <v>56</v>
      </c>
      <c r="J35" s="138"/>
    </row>
    <row r="36" spans="2:10" ht="20" customHeight="1" thickBot="1">
      <c r="B36" s="34"/>
      <c r="C36" s="35"/>
      <c r="D36" s="35"/>
      <c r="E36" s="35"/>
      <c r="F36" s="35"/>
      <c r="G36" s="35"/>
      <c r="H36" s="35"/>
      <c r="I36" s="35"/>
      <c r="J36" s="36"/>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1:AA22"/>
  <sheetViews>
    <sheetView workbookViewId="0">
      <selection activeCell="AA16" sqref="AA16"/>
    </sheetView>
  </sheetViews>
  <sheetFormatPr baseColWidth="10" defaultColWidth="10.7109375" defaultRowHeight="16"/>
  <cols>
    <col min="1" max="1" width="3.42578125" style="64" customWidth="1"/>
    <col min="2" max="2" width="2.28515625" style="64" customWidth="1"/>
    <col min="3" max="3" width="35.28515625" style="64" customWidth="1"/>
    <col min="4" max="4" width="16.42578125" style="64" hidden="1" customWidth="1"/>
    <col min="5" max="5" width="13.85546875" style="64" hidden="1" customWidth="1"/>
    <col min="6" max="6" width="11.140625" style="64" customWidth="1"/>
    <col min="7" max="7" width="2.7109375" style="64" customWidth="1"/>
    <col min="8" max="8" width="10.7109375" style="64" customWidth="1"/>
    <col min="9" max="9" width="2.85546875" style="64" customWidth="1"/>
    <col min="10" max="11" width="8.42578125" style="65" customWidth="1"/>
    <col min="12" max="12" width="2.42578125" style="65" customWidth="1"/>
    <col min="13" max="13" width="8.42578125" style="65" customWidth="1"/>
    <col min="14" max="14" width="2.7109375" style="65" customWidth="1"/>
    <col min="15" max="15" width="8.42578125" style="65" customWidth="1"/>
    <col min="16" max="16" width="3.28515625" style="65" customWidth="1"/>
    <col min="17" max="17" width="8.140625" style="65" customWidth="1"/>
    <col min="18" max="18" width="3.140625" style="64" customWidth="1"/>
    <col min="19" max="19" width="8.140625" style="64" customWidth="1"/>
    <col min="20" max="20" width="3" style="64" customWidth="1"/>
    <col min="21" max="21" width="9.140625" style="64" customWidth="1"/>
    <col min="22" max="22" width="3" style="64" customWidth="1"/>
    <col min="23" max="23" width="8.42578125" style="65" customWidth="1"/>
    <col min="24" max="24" width="2.42578125" style="65" customWidth="1"/>
    <col min="25" max="25" width="8.42578125" style="65" customWidth="1"/>
    <col min="26" max="26" width="2.7109375" style="65" customWidth="1"/>
    <col min="27" max="27" width="72.42578125" style="64" customWidth="1"/>
    <col min="28" max="16384" width="10.7109375" style="64"/>
  </cols>
  <sheetData>
    <row r="1" spans="2:27" ht="17" thickBot="1"/>
    <row r="2" spans="2:27">
      <c r="B2" s="66"/>
      <c r="C2" s="67"/>
      <c r="D2" s="67"/>
      <c r="E2" s="67"/>
      <c r="F2" s="67"/>
      <c r="G2" s="67"/>
      <c r="H2" s="67"/>
      <c r="I2" s="67"/>
      <c r="J2" s="68"/>
      <c r="K2" s="68"/>
      <c r="L2" s="68"/>
      <c r="M2" s="68"/>
      <c r="N2" s="68"/>
      <c r="O2" s="68"/>
      <c r="P2" s="68"/>
      <c r="Q2" s="68"/>
      <c r="R2" s="67"/>
      <c r="S2" s="67"/>
      <c r="T2" s="67"/>
      <c r="U2" s="67"/>
      <c r="V2" s="67"/>
      <c r="W2" s="68"/>
      <c r="X2" s="68"/>
      <c r="Y2" s="68"/>
      <c r="Z2" s="68"/>
      <c r="AA2" s="67"/>
    </row>
    <row r="3" spans="2:27" s="14" customFormat="1">
      <c r="B3" s="19"/>
      <c r="C3" s="123" t="s">
        <v>112</v>
      </c>
      <c r="D3" s="9"/>
      <c r="E3" s="9"/>
      <c r="F3" s="123" t="s">
        <v>15</v>
      </c>
      <c r="G3" s="123"/>
      <c r="H3" s="123" t="s">
        <v>107</v>
      </c>
      <c r="I3" s="123"/>
      <c r="J3" s="62" t="s">
        <v>69</v>
      </c>
      <c r="K3" s="62"/>
      <c r="L3" s="61"/>
      <c r="M3" s="61" t="s">
        <v>94</v>
      </c>
      <c r="N3" s="61"/>
      <c r="O3" s="61" t="s">
        <v>92</v>
      </c>
      <c r="P3" s="61"/>
      <c r="Q3" s="61" t="s">
        <v>89</v>
      </c>
      <c r="R3" s="123"/>
      <c r="S3" s="123" t="s">
        <v>150</v>
      </c>
      <c r="T3" s="123"/>
      <c r="U3" s="123" t="s">
        <v>159</v>
      </c>
      <c r="V3" s="123"/>
      <c r="W3" s="61" t="s">
        <v>77</v>
      </c>
      <c r="X3" s="61"/>
      <c r="Y3" s="61" t="s">
        <v>79</v>
      </c>
      <c r="Z3" s="61"/>
      <c r="AA3" s="123" t="s">
        <v>126</v>
      </c>
    </row>
    <row r="4" spans="2:27">
      <c r="B4" s="69"/>
      <c r="C4" s="70"/>
      <c r="D4" s="70"/>
      <c r="E4" s="70"/>
      <c r="F4" s="70"/>
      <c r="G4" s="70"/>
      <c r="H4" s="71"/>
      <c r="I4" s="71"/>
      <c r="J4" s="128"/>
      <c r="K4" s="129"/>
      <c r="L4" s="130"/>
      <c r="M4" s="131"/>
      <c r="N4" s="12"/>
      <c r="O4" s="131"/>
      <c r="P4" s="131"/>
      <c r="Q4" s="131"/>
      <c r="R4" s="10"/>
      <c r="S4" s="10"/>
      <c r="T4" s="10"/>
      <c r="U4" s="10"/>
      <c r="V4" s="10"/>
      <c r="W4" s="130"/>
      <c r="X4" s="130"/>
      <c r="Y4" s="10"/>
      <c r="Z4" s="130"/>
      <c r="AA4" s="9"/>
    </row>
    <row r="5" spans="2:27" ht="17" thickBot="1">
      <c r="B5" s="69"/>
      <c r="C5" s="26" t="s">
        <v>111</v>
      </c>
      <c r="D5" s="26"/>
      <c r="E5" s="26"/>
      <c r="F5" s="26"/>
      <c r="G5" s="26"/>
      <c r="H5" s="10"/>
      <c r="I5" s="10"/>
      <c r="J5" s="10"/>
      <c r="K5" s="10"/>
      <c r="L5" s="10"/>
      <c r="M5" s="10"/>
      <c r="N5" s="10"/>
      <c r="O5" s="10"/>
      <c r="P5" s="10"/>
      <c r="Q5" s="10"/>
      <c r="R5" s="10"/>
      <c r="S5" s="10"/>
      <c r="T5" s="10"/>
      <c r="U5" s="10"/>
      <c r="V5" s="10"/>
      <c r="W5" s="10"/>
      <c r="X5" s="10"/>
      <c r="Y5" s="10"/>
      <c r="Z5" s="10"/>
      <c r="AA5" s="63"/>
    </row>
    <row r="6" spans="2:27" ht="17" thickBot="1">
      <c r="B6" s="69"/>
      <c r="C6" s="107" t="s">
        <v>30</v>
      </c>
      <c r="D6" s="72"/>
      <c r="E6" s="72"/>
      <c r="F6" s="73" t="s">
        <v>65</v>
      </c>
      <c r="G6" s="74"/>
      <c r="H6" s="75">
        <v>75</v>
      </c>
      <c r="I6" s="74"/>
      <c r="J6" s="75">
        <f>Notes!D38</f>
        <v>50.5</v>
      </c>
      <c r="K6" s="75">
        <f>Notes!$D$11</f>
        <v>112</v>
      </c>
      <c r="L6" s="76"/>
      <c r="M6" s="75">
        <f>Notes!D51</f>
        <v>75.900000000000006</v>
      </c>
      <c r="N6" s="71"/>
      <c r="O6" s="75">
        <f>Notes!D66</f>
        <v>75</v>
      </c>
      <c r="P6" s="71"/>
      <c r="Q6" s="75">
        <v>113</v>
      </c>
      <c r="R6" s="71"/>
      <c r="S6" s="75">
        <f>Notes!D152</f>
        <v>85</v>
      </c>
      <c r="T6" s="71"/>
      <c r="U6" s="71"/>
      <c r="V6" s="71"/>
      <c r="W6" s="100">
        <v>45</v>
      </c>
      <c r="AA6" s="160" t="s">
        <v>168</v>
      </c>
    </row>
    <row r="7" spans="2:27" ht="17" thickBot="1">
      <c r="B7" s="69"/>
      <c r="C7" s="72" t="s">
        <v>72</v>
      </c>
      <c r="D7" s="72"/>
      <c r="E7" s="72"/>
      <c r="F7" s="145" t="s">
        <v>3</v>
      </c>
      <c r="G7" s="74"/>
      <c r="H7" s="98">
        <f>ROUND(36,0)</f>
        <v>36</v>
      </c>
      <c r="I7" s="74"/>
      <c r="J7" s="98">
        <f>Notes!D39</f>
        <v>38.299999999999997</v>
      </c>
      <c r="K7" s="147">
        <f>Notes!$D$12</f>
        <v>33.9</v>
      </c>
      <c r="L7" s="71"/>
      <c r="M7" s="98">
        <f>Notes!D52</f>
        <v>35</v>
      </c>
      <c r="N7" s="71"/>
      <c r="O7" s="98">
        <f>Notes!D67</f>
        <v>35.9</v>
      </c>
      <c r="P7" s="71"/>
      <c r="Q7" s="98">
        <v>33</v>
      </c>
      <c r="R7" s="71"/>
      <c r="S7" s="71"/>
      <c r="T7" s="71"/>
      <c r="U7" s="71"/>
      <c r="V7" s="71"/>
      <c r="AA7" s="63"/>
    </row>
    <row r="8" spans="2:27">
      <c r="B8" s="69"/>
      <c r="C8" s="82"/>
      <c r="D8" s="82"/>
      <c r="E8" s="82"/>
      <c r="H8" s="79"/>
      <c r="I8" s="79"/>
      <c r="J8" s="80"/>
      <c r="K8" s="80"/>
      <c r="L8" s="79"/>
      <c r="M8" s="79"/>
      <c r="N8" s="79"/>
      <c r="O8" s="79"/>
      <c r="P8" s="79"/>
      <c r="Q8" s="79"/>
      <c r="R8" s="79"/>
      <c r="S8" s="79"/>
      <c r="T8" s="79"/>
      <c r="U8" s="79"/>
      <c r="V8" s="79"/>
      <c r="AA8" s="63"/>
    </row>
    <row r="9" spans="2:27" ht="17" thickBot="1">
      <c r="B9" s="69"/>
      <c r="C9" s="26" t="s">
        <v>8</v>
      </c>
      <c r="D9" s="26"/>
      <c r="E9" s="26"/>
      <c r="F9" s="26"/>
      <c r="G9" s="26"/>
      <c r="H9" s="11"/>
      <c r="I9" s="11"/>
      <c r="J9" s="12"/>
      <c r="K9" s="12"/>
      <c r="L9" s="12"/>
      <c r="M9" s="12"/>
      <c r="N9" s="12"/>
      <c r="O9" s="12"/>
      <c r="P9" s="12"/>
      <c r="Q9" s="12"/>
      <c r="R9" s="11"/>
      <c r="S9" s="11"/>
      <c r="T9" s="11"/>
      <c r="U9" s="11"/>
      <c r="V9" s="11"/>
      <c r="AA9" s="132" t="s">
        <v>119</v>
      </c>
    </row>
    <row r="10" spans="2:27" ht="17" thickBot="1">
      <c r="B10" s="69"/>
      <c r="C10" s="133" t="s">
        <v>123</v>
      </c>
      <c r="D10" s="77"/>
      <c r="E10" s="77"/>
      <c r="F10" s="73" t="s">
        <v>4</v>
      </c>
      <c r="G10" s="74"/>
      <c r="H10" s="90">
        <f>ROUND(0.1,1)</f>
        <v>0.1</v>
      </c>
      <c r="I10" s="78"/>
      <c r="J10" s="79"/>
      <c r="K10" s="79"/>
      <c r="L10" s="79"/>
      <c r="M10" s="80"/>
      <c r="N10" s="79"/>
      <c r="O10" s="79"/>
      <c r="P10" s="79"/>
      <c r="Q10" s="79"/>
      <c r="R10" s="78"/>
      <c r="S10" s="78"/>
      <c r="T10" s="78"/>
      <c r="U10" s="78"/>
      <c r="V10" s="78"/>
      <c r="W10" s="81"/>
      <c r="X10" s="81"/>
      <c r="Y10" s="94">
        <f>428*303/1000000</f>
        <v>0.12968399999999999</v>
      </c>
      <c r="AA10" s="27" t="s">
        <v>63</v>
      </c>
    </row>
    <row r="11" spans="2:27" ht="17" thickBot="1">
      <c r="B11" s="69"/>
      <c r="C11" s="83" t="s">
        <v>1</v>
      </c>
      <c r="D11" s="83"/>
      <c r="E11" s="83"/>
      <c r="F11" s="73" t="s">
        <v>2</v>
      </c>
      <c r="G11" s="74"/>
      <c r="H11" s="84">
        <f>ROUND(1,0)</f>
        <v>1</v>
      </c>
      <c r="I11" s="79"/>
      <c r="J11" s="80"/>
      <c r="K11" s="80"/>
      <c r="L11" s="79"/>
      <c r="M11" s="80"/>
      <c r="N11" s="80"/>
      <c r="O11" s="80"/>
      <c r="P11" s="80"/>
      <c r="Q11" s="80"/>
      <c r="R11" s="79"/>
      <c r="S11" s="79"/>
      <c r="T11" s="79"/>
      <c r="U11" s="84">
        <f>Notes!D109/12</f>
        <v>1</v>
      </c>
      <c r="V11" s="79"/>
      <c r="W11" s="99"/>
      <c r="X11" s="80"/>
      <c r="Y11" s="80"/>
      <c r="Z11" s="71"/>
      <c r="AA11" s="63" t="s">
        <v>74</v>
      </c>
    </row>
    <row r="12" spans="2:27" ht="17" thickBot="1">
      <c r="B12" s="69"/>
      <c r="C12" s="85" t="s">
        <v>6</v>
      </c>
      <c r="D12" s="85"/>
      <c r="E12" s="85"/>
      <c r="F12" s="73" t="s">
        <v>2</v>
      </c>
      <c r="G12" s="74"/>
      <c r="H12" s="86">
        <f>ROUND(40,0)</f>
        <v>40</v>
      </c>
      <c r="I12" s="79"/>
      <c r="J12" s="80"/>
      <c r="K12" s="80"/>
      <c r="L12" s="79"/>
      <c r="M12" s="80"/>
      <c r="N12" s="80"/>
      <c r="O12" s="80"/>
      <c r="P12" s="80"/>
      <c r="Q12" s="80"/>
      <c r="R12" s="79"/>
      <c r="S12" s="79"/>
      <c r="T12" s="79"/>
      <c r="U12" s="79"/>
      <c r="V12" s="79"/>
      <c r="W12" s="98">
        <f>Notes!D116</f>
        <v>42</v>
      </c>
      <c r="X12" s="71"/>
      <c r="Y12" s="71"/>
      <c r="Z12" s="71"/>
      <c r="AA12" s="63"/>
    </row>
    <row r="13" spans="2:27">
      <c r="B13" s="69"/>
      <c r="C13" s="26"/>
      <c r="D13" s="26"/>
      <c r="E13" s="26"/>
      <c r="F13" s="26"/>
      <c r="G13" s="26"/>
      <c r="H13" s="12"/>
      <c r="I13" s="12"/>
      <c r="J13" s="12"/>
      <c r="K13" s="12"/>
      <c r="L13" s="12"/>
      <c r="M13" s="80"/>
      <c r="N13" s="80"/>
      <c r="O13" s="80"/>
      <c r="P13" s="80"/>
      <c r="Q13" s="80"/>
      <c r="R13" s="11"/>
      <c r="S13" s="11"/>
      <c r="T13" s="11"/>
      <c r="U13" s="11"/>
      <c r="V13" s="11"/>
      <c r="AA13" s="63"/>
    </row>
    <row r="14" spans="2:27" ht="17" thickBot="1">
      <c r="B14" s="69"/>
      <c r="C14" s="13" t="s">
        <v>113</v>
      </c>
      <c r="D14" s="13"/>
      <c r="E14" s="13"/>
      <c r="F14" s="13"/>
      <c r="G14" s="26"/>
      <c r="H14" s="12"/>
      <c r="I14" s="12"/>
      <c r="J14" s="12"/>
      <c r="K14" s="12"/>
      <c r="L14" s="12"/>
      <c r="M14" s="12"/>
      <c r="N14" s="12"/>
      <c r="O14" s="12"/>
      <c r="P14" s="12"/>
      <c r="Q14" s="12"/>
      <c r="R14" s="11"/>
      <c r="S14" s="11"/>
      <c r="T14" s="11"/>
      <c r="U14" s="11"/>
      <c r="V14" s="11"/>
      <c r="AA14" s="63"/>
    </row>
    <row r="15" spans="2:27" ht="17" thickBot="1">
      <c r="B15" s="69"/>
      <c r="C15" s="124" t="s">
        <v>114</v>
      </c>
      <c r="D15" s="13"/>
      <c r="E15" s="13"/>
      <c r="F15" s="124" t="s">
        <v>34</v>
      </c>
      <c r="G15" s="70"/>
      <c r="H15" s="90">
        <f>ROUND(H16*H6*1000,2)</f>
        <v>56175000</v>
      </c>
      <c r="I15" s="12"/>
      <c r="J15" s="79"/>
      <c r="K15" s="79"/>
      <c r="L15" s="79"/>
      <c r="M15" s="79"/>
      <c r="N15" s="79"/>
      <c r="O15" s="79"/>
      <c r="P15" s="79"/>
      <c r="Q15" s="79"/>
      <c r="R15" s="11"/>
      <c r="S15" s="11"/>
      <c r="T15" s="11"/>
      <c r="U15" s="11"/>
      <c r="V15" s="11"/>
      <c r="AA15" s="63"/>
    </row>
    <row r="16" spans="2:27" ht="17" thickBot="1">
      <c r="B16" s="69"/>
      <c r="C16" s="88" t="s">
        <v>9</v>
      </c>
      <c r="D16" s="88"/>
      <c r="E16" s="88"/>
      <c r="F16" s="125" t="s">
        <v>115</v>
      </c>
      <c r="G16" s="74"/>
      <c r="H16" s="90">
        <f>S16</f>
        <v>749</v>
      </c>
      <c r="I16" s="79"/>
      <c r="J16" s="79"/>
      <c r="K16" s="79"/>
      <c r="L16" s="79"/>
      <c r="M16" s="79"/>
      <c r="N16" s="79"/>
      <c r="O16" s="79"/>
      <c r="P16" s="79"/>
      <c r="Q16" s="79"/>
      <c r="R16" s="79"/>
      <c r="S16" s="87">
        <f>Notes!D154</f>
        <v>749</v>
      </c>
      <c r="T16" s="79"/>
      <c r="U16" s="79"/>
      <c r="V16" s="79"/>
      <c r="AA16" s="104"/>
    </row>
    <row r="17" spans="2:27" ht="17" thickBot="1">
      <c r="B17" s="69"/>
      <c r="C17" s="77" t="s">
        <v>121</v>
      </c>
      <c r="D17" s="26"/>
      <c r="E17" s="26"/>
      <c r="F17" s="126" t="s">
        <v>55</v>
      </c>
      <c r="G17" s="70"/>
      <c r="H17" s="101">
        <f>ROUND(H18*H6*1000,2)</f>
        <v>564000</v>
      </c>
      <c r="I17" s="12"/>
      <c r="J17" s="79"/>
      <c r="K17" s="79"/>
      <c r="L17" s="79"/>
      <c r="M17" s="79"/>
      <c r="N17" s="79"/>
      <c r="O17" s="79"/>
      <c r="P17" s="79"/>
      <c r="Q17" s="79"/>
      <c r="R17" s="80"/>
      <c r="S17" s="80"/>
      <c r="T17" s="80"/>
      <c r="U17" s="80"/>
      <c r="V17" s="80"/>
      <c r="W17" s="89"/>
      <c r="X17" s="89"/>
      <c r="Y17" s="89"/>
      <c r="Z17" s="79"/>
      <c r="AA17" s="63"/>
    </row>
    <row r="18" spans="2:27" ht="17" thickBot="1">
      <c r="B18" s="69"/>
      <c r="C18" s="77" t="s">
        <v>121</v>
      </c>
      <c r="D18" s="26"/>
      <c r="E18" s="26"/>
      <c r="F18" s="126" t="s">
        <v>116</v>
      </c>
      <c r="G18" s="70"/>
      <c r="H18" s="101">
        <f>W18</f>
        <v>7.52</v>
      </c>
      <c r="I18" s="12"/>
      <c r="J18" s="79"/>
      <c r="K18" s="79"/>
      <c r="L18" s="79"/>
      <c r="M18" s="79"/>
      <c r="N18" s="79"/>
      <c r="O18" s="79"/>
      <c r="P18" s="79"/>
      <c r="Q18" s="79"/>
      <c r="R18" s="80"/>
      <c r="S18" s="90">
        <f>Notes!D157</f>
        <v>5.7</v>
      </c>
      <c r="T18" s="80"/>
      <c r="U18" s="80"/>
      <c r="V18" s="80"/>
      <c r="W18" s="90">
        <f>Notes!D120</f>
        <v>7.52</v>
      </c>
      <c r="X18" s="89"/>
      <c r="Y18" s="89"/>
      <c r="Z18" s="79"/>
      <c r="AA18" s="148" t="s">
        <v>147</v>
      </c>
    </row>
    <row r="19" spans="2:27" ht="17" thickBot="1">
      <c r="B19" s="69"/>
      <c r="C19" s="77" t="s">
        <v>60</v>
      </c>
      <c r="D19" s="92"/>
      <c r="E19" s="92"/>
      <c r="F19" s="73" t="s">
        <v>54</v>
      </c>
      <c r="G19" s="74"/>
      <c r="H19" s="90">
        <f>ROUND(H20*H22/H21,2)</f>
        <v>282</v>
      </c>
      <c r="I19" s="79"/>
      <c r="J19" s="79"/>
      <c r="K19" s="79"/>
      <c r="L19" s="79"/>
      <c r="M19" s="79"/>
      <c r="N19" s="79"/>
      <c r="O19" s="79"/>
      <c r="P19" s="79"/>
      <c r="Q19" s="79"/>
      <c r="R19" s="79"/>
      <c r="S19" s="89"/>
      <c r="T19" s="79"/>
      <c r="U19" s="79"/>
      <c r="V19" s="79"/>
      <c r="W19" s="89"/>
      <c r="X19" s="89"/>
      <c r="Y19" s="89"/>
      <c r="Z19" s="79"/>
      <c r="AA19" s="127" t="s">
        <v>120</v>
      </c>
    </row>
    <row r="20" spans="2:27" ht="17" thickBot="1">
      <c r="B20" s="69"/>
      <c r="C20" s="77" t="s">
        <v>60</v>
      </c>
      <c r="D20" s="91"/>
      <c r="E20" s="91"/>
      <c r="F20" s="125" t="s">
        <v>117</v>
      </c>
      <c r="G20" s="74"/>
      <c r="H20" s="87">
        <f>ROUND(W20,2)</f>
        <v>3.76</v>
      </c>
      <c r="I20" s="79"/>
      <c r="J20" s="79"/>
      <c r="K20" s="79"/>
      <c r="L20" s="79"/>
      <c r="M20" s="79"/>
      <c r="N20" s="79"/>
      <c r="O20" s="79"/>
      <c r="P20" s="79"/>
      <c r="Q20" s="79"/>
      <c r="R20" s="79"/>
      <c r="S20" s="87">
        <f>Notes!D160</f>
        <v>11.9</v>
      </c>
      <c r="T20" s="79"/>
      <c r="U20" s="79"/>
      <c r="V20" s="79"/>
      <c r="W20" s="87">
        <f>Notes!D118</f>
        <v>3.76</v>
      </c>
      <c r="X20" s="79"/>
      <c r="Y20" s="79"/>
      <c r="Z20" s="79"/>
      <c r="AA20" s="148" t="s">
        <v>140</v>
      </c>
    </row>
    <row r="21" spans="2:27" ht="17" thickBot="1">
      <c r="B21" s="69"/>
      <c r="C21" s="133" t="s">
        <v>122</v>
      </c>
      <c r="D21" s="63"/>
      <c r="E21" s="63"/>
      <c r="F21" s="63" t="s">
        <v>62</v>
      </c>
      <c r="H21" s="100">
        <v>200</v>
      </c>
      <c r="J21" s="93"/>
      <c r="K21" s="93"/>
      <c r="R21" s="65"/>
      <c r="S21" s="65"/>
      <c r="T21" s="65"/>
      <c r="U21" s="65"/>
      <c r="V21" s="65"/>
      <c r="AA21" s="148" t="s">
        <v>141</v>
      </c>
    </row>
    <row r="22" spans="2:27" ht="17" thickBot="1">
      <c r="B22" s="69"/>
      <c r="C22" s="144" t="s">
        <v>125</v>
      </c>
      <c r="D22" s="63"/>
      <c r="E22" s="63"/>
      <c r="F22" s="127" t="s">
        <v>118</v>
      </c>
      <c r="H22" s="100">
        <f>H21*H6</f>
        <v>15000</v>
      </c>
      <c r="J22" s="93"/>
      <c r="K22" s="93"/>
      <c r="R22" s="65"/>
      <c r="S22" s="65"/>
      <c r="T22" s="65"/>
      <c r="U22" s="65"/>
      <c r="V22" s="65"/>
      <c r="AA22" s="106"/>
    </row>
  </sheetData>
  <hyperlinks>
    <hyperlink ref="AA10" r:id="rId1" xr:uid="{00000000-0004-0000-0200-00000000000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K36"/>
  <sheetViews>
    <sheetView topLeftCell="B1" workbookViewId="0">
      <selection activeCell="J30" sqref="J30"/>
    </sheetView>
  </sheetViews>
  <sheetFormatPr baseColWidth="10" defaultColWidth="33.140625" defaultRowHeight="16"/>
  <cols>
    <col min="1" max="2" width="4.42578125" style="41" customWidth="1"/>
    <col min="3" max="3" width="29.28515625" style="41" customWidth="1"/>
    <col min="4" max="4" width="3.140625" style="41" customWidth="1"/>
    <col min="5" max="5" width="16.140625" style="41" customWidth="1"/>
    <col min="6" max="6" width="10.28515625" style="41" customWidth="1"/>
    <col min="7" max="9" width="12.140625" style="41" customWidth="1"/>
    <col min="10" max="10" width="33.42578125" style="42" customWidth="1"/>
    <col min="11" max="11" width="130.28515625" style="41" customWidth="1"/>
    <col min="12" max="16384" width="33.140625" style="41"/>
  </cols>
  <sheetData>
    <row r="1" spans="2:11" ht="17" thickBot="1"/>
    <row r="2" spans="2:11">
      <c r="B2" s="43"/>
      <c r="C2" s="44"/>
      <c r="D2" s="44"/>
      <c r="E2" s="44"/>
      <c r="F2" s="44"/>
      <c r="G2" s="44"/>
      <c r="H2" s="44"/>
      <c r="I2" s="44"/>
      <c r="J2" s="45"/>
      <c r="K2" s="44"/>
    </row>
    <row r="3" spans="2:11">
      <c r="B3" s="46"/>
      <c r="C3" s="47" t="s">
        <v>23</v>
      </c>
      <c r="D3" s="47"/>
      <c r="E3" s="47"/>
      <c r="F3" s="47"/>
      <c r="G3" s="47"/>
      <c r="H3" s="47"/>
      <c r="I3" s="47"/>
      <c r="J3" s="48"/>
    </row>
    <row r="4" spans="2:11">
      <c r="B4" s="46"/>
    </row>
    <row r="5" spans="2:11">
      <c r="B5" s="49"/>
      <c r="C5" s="50" t="s">
        <v>31</v>
      </c>
      <c r="D5" s="50"/>
      <c r="E5" s="50" t="s">
        <v>0</v>
      </c>
      <c r="F5" s="50" t="s">
        <v>20</v>
      </c>
      <c r="G5" s="50" t="s">
        <v>32</v>
      </c>
      <c r="H5" s="50" t="s">
        <v>127</v>
      </c>
      <c r="I5" s="50" t="s">
        <v>64</v>
      </c>
      <c r="J5" s="51" t="s">
        <v>158</v>
      </c>
      <c r="K5" s="50" t="s">
        <v>17</v>
      </c>
    </row>
    <row r="6" spans="2:11">
      <c r="B6" s="46"/>
      <c r="C6" s="47"/>
      <c r="D6" s="47"/>
      <c r="E6" s="47"/>
      <c r="F6" s="47"/>
      <c r="G6" s="47"/>
      <c r="H6" s="47"/>
      <c r="I6" s="47"/>
      <c r="J6" s="48"/>
      <c r="K6" s="47"/>
    </row>
    <row r="7" spans="2:11">
      <c r="B7" s="46"/>
      <c r="C7" s="58"/>
      <c r="D7" s="52"/>
      <c r="E7" s="41" t="s">
        <v>85</v>
      </c>
      <c r="F7" s="41" t="s">
        <v>68</v>
      </c>
      <c r="G7" s="42" t="s">
        <v>93</v>
      </c>
      <c r="H7" s="42" t="s">
        <v>93</v>
      </c>
      <c r="I7" s="42"/>
      <c r="J7" s="42" t="s">
        <v>161</v>
      </c>
      <c r="K7" s="97" t="s">
        <v>88</v>
      </c>
    </row>
    <row r="8" spans="2:11">
      <c r="B8" s="46"/>
      <c r="C8" s="60" t="s">
        <v>29</v>
      </c>
      <c r="D8" s="53"/>
      <c r="G8" s="42"/>
      <c r="H8" s="42"/>
      <c r="I8" s="42"/>
      <c r="K8" s="102"/>
    </row>
    <row r="9" spans="2:11">
      <c r="B9" s="46"/>
      <c r="C9" s="60" t="s">
        <v>71</v>
      </c>
      <c r="D9" s="57"/>
      <c r="E9" s="52"/>
      <c r="F9" s="54"/>
      <c r="G9" s="55"/>
      <c r="H9" s="55"/>
      <c r="I9" s="55"/>
      <c r="J9" s="55"/>
      <c r="K9" s="52"/>
    </row>
    <row r="10" spans="2:11">
      <c r="B10" s="46"/>
      <c r="C10" s="105"/>
      <c r="D10" s="57"/>
      <c r="E10" s="52"/>
      <c r="F10" s="54"/>
      <c r="G10" s="55"/>
      <c r="H10" s="55"/>
      <c r="I10" s="55"/>
      <c r="J10" s="55"/>
      <c r="K10" s="52"/>
    </row>
    <row r="11" spans="2:11" ht="34">
      <c r="B11" s="46"/>
      <c r="C11" s="57"/>
      <c r="D11" s="57"/>
      <c r="E11" s="52" t="s">
        <v>129</v>
      </c>
      <c r="F11" s="54" t="s">
        <v>68</v>
      </c>
      <c r="G11" s="55" t="s">
        <v>67</v>
      </c>
      <c r="H11" s="55" t="s">
        <v>67</v>
      </c>
      <c r="I11" s="55"/>
      <c r="J11" s="55" t="s">
        <v>162</v>
      </c>
      <c r="K11" s="52" t="s">
        <v>66</v>
      </c>
    </row>
    <row r="12" spans="2:11">
      <c r="B12" s="46"/>
      <c r="C12" s="105" t="s">
        <v>29</v>
      </c>
      <c r="D12" s="57"/>
      <c r="F12" s="54"/>
      <c r="G12" s="55"/>
      <c r="H12" s="55"/>
      <c r="I12" s="55"/>
      <c r="J12" s="55"/>
      <c r="K12" s="52"/>
    </row>
    <row r="13" spans="2:11">
      <c r="B13" s="46"/>
      <c r="C13" s="105" t="s">
        <v>71</v>
      </c>
      <c r="D13" s="57"/>
      <c r="F13" s="54"/>
      <c r="G13" s="55"/>
      <c r="H13" s="55"/>
      <c r="I13" s="55"/>
      <c r="J13" s="55"/>
      <c r="K13" s="52"/>
    </row>
    <row r="14" spans="2:11" ht="34">
      <c r="B14" s="46"/>
      <c r="C14" s="57"/>
      <c r="D14" s="57"/>
      <c r="E14" s="52" t="s">
        <v>131</v>
      </c>
      <c r="F14" s="54"/>
      <c r="G14" s="55" t="s">
        <v>93</v>
      </c>
      <c r="H14" s="55" t="s">
        <v>93</v>
      </c>
      <c r="I14" s="55"/>
      <c r="J14" s="55" t="s">
        <v>163</v>
      </c>
      <c r="K14" s="52" t="s">
        <v>91</v>
      </c>
    </row>
    <row r="15" spans="2:11">
      <c r="B15" s="46"/>
      <c r="C15" s="105" t="s">
        <v>29</v>
      </c>
      <c r="D15" s="57"/>
      <c r="F15" s="54"/>
      <c r="G15" s="55"/>
      <c r="H15" s="55"/>
      <c r="I15" s="55"/>
      <c r="J15" s="55"/>
      <c r="K15" s="52"/>
    </row>
    <row r="16" spans="2:11">
      <c r="B16" s="46"/>
      <c r="C16" s="105" t="s">
        <v>71</v>
      </c>
      <c r="D16" s="57"/>
      <c r="F16" s="54"/>
      <c r="G16" s="55"/>
      <c r="H16" s="55"/>
      <c r="I16" s="55"/>
      <c r="J16" s="55"/>
      <c r="K16" s="52"/>
    </row>
    <row r="17" spans="2:11">
      <c r="B17" s="46"/>
      <c r="C17" s="105"/>
      <c r="D17" s="57"/>
      <c r="F17" s="54"/>
      <c r="G17" s="55"/>
      <c r="H17" s="55"/>
      <c r="I17" s="55"/>
      <c r="J17" s="55"/>
      <c r="K17" s="52"/>
    </row>
    <row r="18" spans="2:11" ht="34">
      <c r="B18" s="46"/>
      <c r="C18" s="57"/>
      <c r="D18" s="57"/>
      <c r="E18" s="41" t="s">
        <v>92</v>
      </c>
      <c r="F18" s="54" t="s">
        <v>68</v>
      </c>
      <c r="G18" s="55" t="s">
        <v>81</v>
      </c>
      <c r="H18" s="55" t="s">
        <v>81</v>
      </c>
      <c r="I18" s="55"/>
      <c r="J18" s="55" t="s">
        <v>164</v>
      </c>
      <c r="K18" s="52" t="s">
        <v>90</v>
      </c>
    </row>
    <row r="19" spans="2:11">
      <c r="B19" s="46"/>
      <c r="C19" s="105" t="s">
        <v>29</v>
      </c>
      <c r="D19" s="57"/>
      <c r="F19" s="54"/>
      <c r="G19" s="55"/>
      <c r="H19" s="55"/>
      <c r="I19" s="55"/>
      <c r="J19" s="55"/>
      <c r="K19" s="52"/>
    </row>
    <row r="20" spans="2:11">
      <c r="B20" s="46"/>
      <c r="C20" s="105" t="s">
        <v>71</v>
      </c>
      <c r="D20" s="57"/>
      <c r="F20" s="54"/>
      <c r="G20" s="55"/>
      <c r="H20" s="55"/>
      <c r="I20" s="55"/>
      <c r="J20" s="55"/>
      <c r="K20" s="52"/>
    </row>
    <row r="21" spans="2:11">
      <c r="B21" s="46"/>
      <c r="C21" s="105"/>
      <c r="D21" s="57"/>
      <c r="F21" s="54"/>
      <c r="G21" s="55"/>
      <c r="H21" s="55"/>
      <c r="I21" s="55"/>
      <c r="J21" s="55"/>
      <c r="K21" s="52"/>
    </row>
    <row r="22" spans="2:11">
      <c r="B22" s="46"/>
      <c r="C22" s="52"/>
      <c r="D22" s="52"/>
      <c r="E22" s="52" t="s">
        <v>77</v>
      </c>
      <c r="F22" s="41" t="s">
        <v>80</v>
      </c>
      <c r="G22" s="42" t="s">
        <v>81</v>
      </c>
      <c r="H22" s="42" t="s">
        <v>81</v>
      </c>
      <c r="I22" s="42"/>
      <c r="J22" s="42" t="s">
        <v>165</v>
      </c>
      <c r="K22" s="56" t="s">
        <v>76</v>
      </c>
    </row>
    <row r="23" spans="2:11">
      <c r="B23" s="46"/>
      <c r="C23" s="58" t="s">
        <v>82</v>
      </c>
      <c r="D23" s="52"/>
      <c r="E23" s="52"/>
      <c r="G23" s="42"/>
      <c r="H23" s="42"/>
      <c r="I23" s="42"/>
      <c r="K23" s="56"/>
    </row>
    <row r="24" spans="2:11">
      <c r="B24" s="46"/>
      <c r="C24" s="58" t="s">
        <v>83</v>
      </c>
      <c r="D24" s="52"/>
      <c r="E24" s="52"/>
      <c r="G24" s="95"/>
      <c r="H24" s="95"/>
      <c r="K24" s="56"/>
    </row>
    <row r="25" spans="2:11">
      <c r="B25" s="46"/>
      <c r="C25" s="58" t="s">
        <v>86</v>
      </c>
      <c r="D25" s="52"/>
      <c r="E25" s="52"/>
      <c r="G25" s="95"/>
      <c r="H25" s="95"/>
      <c r="K25" s="56"/>
    </row>
    <row r="26" spans="2:11">
      <c r="B26" s="46"/>
      <c r="C26" s="58"/>
      <c r="D26" s="52"/>
      <c r="E26" s="52"/>
      <c r="G26" s="95"/>
      <c r="H26" s="95"/>
      <c r="K26" s="56"/>
    </row>
    <row r="27" spans="2:11">
      <c r="B27" s="46"/>
      <c r="C27" s="53"/>
      <c r="D27" s="52"/>
      <c r="E27" s="52" t="s">
        <v>159</v>
      </c>
      <c r="F27" s="41" t="s">
        <v>73</v>
      </c>
      <c r="G27" s="95">
        <v>2008</v>
      </c>
      <c r="H27" s="95">
        <v>2007</v>
      </c>
      <c r="J27" s="42" t="s">
        <v>166</v>
      </c>
      <c r="K27" s="56" t="s">
        <v>70</v>
      </c>
    </row>
    <row r="28" spans="2:11">
      <c r="B28" s="46"/>
      <c r="C28" s="60" t="s">
        <v>1</v>
      </c>
      <c r="D28" s="52"/>
      <c r="E28" s="52"/>
      <c r="G28" s="95"/>
      <c r="H28" s="95"/>
      <c r="K28" s="52"/>
    </row>
    <row r="29" spans="2:11">
      <c r="B29" s="46"/>
      <c r="C29" s="58"/>
      <c r="D29" s="52"/>
      <c r="F29" s="52"/>
      <c r="G29" s="96"/>
      <c r="H29" s="96"/>
      <c r="I29" s="52"/>
      <c r="J29" s="59"/>
      <c r="K29" s="52"/>
    </row>
    <row r="30" spans="2:11">
      <c r="B30" s="46"/>
      <c r="C30" s="52"/>
      <c r="D30" s="52"/>
      <c r="E30" s="41" t="s">
        <v>156</v>
      </c>
      <c r="F30" s="52" t="s">
        <v>73</v>
      </c>
      <c r="G30" s="96">
        <v>2013</v>
      </c>
      <c r="H30" s="96">
        <v>2013</v>
      </c>
      <c r="I30" s="52"/>
      <c r="J30" s="59" t="s">
        <v>167</v>
      </c>
      <c r="K30" s="56" t="s">
        <v>155</v>
      </c>
    </row>
    <row r="31" spans="2:11">
      <c r="B31" s="46"/>
      <c r="C31" s="60" t="s">
        <v>160</v>
      </c>
      <c r="D31" s="52"/>
      <c r="F31" s="52"/>
      <c r="G31" s="96"/>
      <c r="H31" s="96"/>
      <c r="I31" s="52"/>
      <c r="J31" s="59"/>
      <c r="K31" s="52"/>
    </row>
    <row r="32" spans="2:11">
      <c r="B32" s="46"/>
      <c r="C32" s="60" t="s">
        <v>157</v>
      </c>
      <c r="D32" s="52"/>
      <c r="F32" s="52"/>
      <c r="G32" s="96"/>
      <c r="H32" s="96"/>
      <c r="I32" s="52"/>
      <c r="J32" s="59"/>
      <c r="K32" s="52"/>
    </row>
    <row r="33" spans="2:11">
      <c r="B33" s="46"/>
      <c r="C33" s="58" t="s">
        <v>83</v>
      </c>
      <c r="D33" s="52"/>
      <c r="F33" s="52"/>
      <c r="G33" s="96"/>
      <c r="H33" s="96"/>
      <c r="I33" s="52"/>
      <c r="J33" s="59"/>
      <c r="K33" s="52"/>
    </row>
    <row r="34" spans="2:11">
      <c r="B34" s="46"/>
      <c r="C34" s="58"/>
      <c r="D34" s="52"/>
      <c r="F34" s="52"/>
      <c r="G34" s="96"/>
      <c r="H34" s="96"/>
      <c r="I34" s="52"/>
      <c r="J34" s="59"/>
      <c r="K34" s="52"/>
    </row>
    <row r="35" spans="2:11">
      <c r="B35" s="46"/>
      <c r="C35" s="52"/>
      <c r="D35" s="52"/>
      <c r="E35" s="41" t="s">
        <v>63</v>
      </c>
      <c r="F35" s="52" t="s">
        <v>10</v>
      </c>
      <c r="G35" s="96"/>
      <c r="H35" s="96"/>
      <c r="I35" s="52" t="s">
        <v>84</v>
      </c>
      <c r="J35" s="59"/>
      <c r="K35" s="56" t="s">
        <v>78</v>
      </c>
    </row>
    <row r="36" spans="2:11">
      <c r="B36" s="46"/>
      <c r="C36" s="52" t="s">
        <v>87</v>
      </c>
      <c r="D36" s="52"/>
      <c r="E36" s="41" t="s">
        <v>79</v>
      </c>
      <c r="F36" s="52"/>
      <c r="G36" s="96"/>
      <c r="H36" s="96"/>
      <c r="I36" s="52"/>
      <c r="J36" s="59"/>
      <c r="K36" s="52"/>
    </row>
  </sheetData>
  <hyperlinks>
    <hyperlink ref="K27" r:id="rId1" xr:uid="{00000000-0004-0000-0300-000000000000}"/>
    <hyperlink ref="K35" r:id="rId2" xr:uid="{00000000-0004-0000-0300-000001000000}"/>
  </hyperlinks>
  <pageMargins left="0.75" right="0.75" top="1" bottom="1" header="0.5" footer="0.5"/>
  <pageSetup paperSize="9" orientation="portrait" horizontalDpi="4294967292" verticalDpi="4294967292"/>
  <ignoredErrors>
    <ignoredError sqref="G22:H22 G7 G11 G18:H18 H11 G14:H14 H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178"/>
  <sheetViews>
    <sheetView topLeftCell="A100" workbookViewId="0">
      <selection activeCell="N132" sqref="N132"/>
    </sheetView>
  </sheetViews>
  <sheetFormatPr baseColWidth="10" defaultColWidth="10.7109375" defaultRowHeight="16"/>
  <cols>
    <col min="1" max="1" width="6.28515625" style="146" customWidth="1"/>
    <col min="2" max="2" width="4.85546875" style="146" customWidth="1"/>
    <col min="3" max="16384" width="10.7109375" style="146"/>
  </cols>
  <sheetData>
    <row r="1" spans="2:15" ht="17" thickBot="1"/>
    <row r="2" spans="2:15" s="14" customFormat="1">
      <c r="B2" s="153"/>
      <c r="C2" s="154" t="s">
        <v>0</v>
      </c>
      <c r="D2" s="154" t="s">
        <v>128</v>
      </c>
      <c r="E2" s="154"/>
      <c r="F2" s="154"/>
      <c r="G2" s="154"/>
      <c r="H2" s="154"/>
      <c r="I2" s="154"/>
      <c r="J2" s="154"/>
      <c r="K2" s="154"/>
      <c r="L2" s="154"/>
      <c r="M2" s="154"/>
      <c r="N2" s="154"/>
      <c r="O2" s="155"/>
    </row>
    <row r="3" spans="2:15">
      <c r="B3" s="149"/>
      <c r="O3" s="150"/>
    </row>
    <row r="4" spans="2:15">
      <c r="B4" s="149"/>
      <c r="C4" s="146" t="s">
        <v>129</v>
      </c>
      <c r="O4" s="150"/>
    </row>
    <row r="5" spans="2:15">
      <c r="B5" s="149"/>
      <c r="C5" s="146" t="s">
        <v>130</v>
      </c>
      <c r="O5" s="150"/>
    </row>
    <row r="6" spans="2:15">
      <c r="B6" s="149"/>
      <c r="O6" s="150"/>
    </row>
    <row r="7" spans="2:15">
      <c r="B7" s="149"/>
      <c r="O7" s="150"/>
    </row>
    <row r="8" spans="2:15">
      <c r="B8" s="149"/>
      <c r="O8" s="150"/>
    </row>
    <row r="9" spans="2:15">
      <c r="B9" s="149"/>
      <c r="O9" s="150"/>
    </row>
    <row r="10" spans="2:15">
      <c r="B10" s="149"/>
      <c r="O10" s="150"/>
    </row>
    <row r="11" spans="2:15">
      <c r="B11" s="149"/>
      <c r="D11" s="146">
        <v>112</v>
      </c>
      <c r="E11" s="146" t="s">
        <v>65</v>
      </c>
      <c r="O11" s="150"/>
    </row>
    <row r="12" spans="2:15">
      <c r="B12" s="149"/>
      <c r="D12" s="151">
        <v>33.9</v>
      </c>
      <c r="E12" s="146" t="s">
        <v>3</v>
      </c>
      <c r="O12" s="150"/>
    </row>
    <row r="13" spans="2:15">
      <c r="B13" s="149"/>
      <c r="O13" s="150"/>
    </row>
    <row r="14" spans="2:15">
      <c r="B14" s="149"/>
      <c r="O14" s="150"/>
    </row>
    <row r="15" spans="2:15">
      <c r="B15" s="149"/>
      <c r="O15" s="150"/>
    </row>
    <row r="16" spans="2:15">
      <c r="B16" s="149"/>
      <c r="O16" s="150"/>
    </row>
    <row r="17" spans="2:15">
      <c r="B17" s="149"/>
      <c r="O17" s="150"/>
    </row>
    <row r="18" spans="2:15">
      <c r="B18" s="149"/>
      <c r="O18" s="150"/>
    </row>
    <row r="19" spans="2:15">
      <c r="B19" s="149"/>
      <c r="O19" s="150"/>
    </row>
    <row r="20" spans="2:15">
      <c r="B20" s="149"/>
      <c r="O20" s="150"/>
    </row>
    <row r="21" spans="2:15">
      <c r="B21" s="149"/>
      <c r="O21" s="150"/>
    </row>
    <row r="22" spans="2:15">
      <c r="B22" s="149"/>
      <c r="O22" s="150"/>
    </row>
    <row r="23" spans="2:15">
      <c r="B23" s="149"/>
      <c r="O23" s="150"/>
    </row>
    <row r="24" spans="2:15">
      <c r="B24" s="149"/>
      <c r="O24" s="150"/>
    </row>
    <row r="25" spans="2:15">
      <c r="B25" s="149"/>
      <c r="O25" s="150"/>
    </row>
    <row r="26" spans="2:15">
      <c r="B26" s="149"/>
      <c r="O26" s="150"/>
    </row>
    <row r="27" spans="2:15">
      <c r="B27" s="149"/>
      <c r="O27" s="150"/>
    </row>
    <row r="28" spans="2:15">
      <c r="B28" s="149"/>
      <c r="O28" s="150"/>
    </row>
    <row r="29" spans="2:15">
      <c r="B29" s="149"/>
      <c r="C29" s="146" t="s">
        <v>131</v>
      </c>
      <c r="O29" s="150"/>
    </row>
    <row r="30" spans="2:15">
      <c r="B30" s="149"/>
      <c r="C30" s="146" t="s">
        <v>132</v>
      </c>
      <c r="O30" s="150"/>
    </row>
    <row r="31" spans="2:15">
      <c r="B31" s="149"/>
      <c r="O31" s="150"/>
    </row>
    <row r="32" spans="2:15">
      <c r="B32" s="149"/>
      <c r="O32" s="150"/>
    </row>
    <row r="33" spans="2:15">
      <c r="B33" s="149"/>
      <c r="O33" s="150"/>
    </row>
    <row r="34" spans="2:15">
      <c r="B34" s="149"/>
      <c r="O34" s="150"/>
    </row>
    <row r="35" spans="2:15">
      <c r="B35" s="149"/>
      <c r="O35" s="150"/>
    </row>
    <row r="36" spans="2:15">
      <c r="B36" s="149"/>
      <c r="O36" s="150"/>
    </row>
    <row r="37" spans="2:15">
      <c r="B37" s="149"/>
      <c r="O37" s="150"/>
    </row>
    <row r="38" spans="2:15">
      <c r="B38" s="149"/>
      <c r="D38" s="146">
        <v>50.5</v>
      </c>
      <c r="E38" s="146" t="s">
        <v>65</v>
      </c>
      <c r="O38" s="150"/>
    </row>
    <row r="39" spans="2:15">
      <c r="B39" s="149"/>
      <c r="D39" s="146">
        <v>38.299999999999997</v>
      </c>
      <c r="E39" s="146" t="s">
        <v>3</v>
      </c>
      <c r="O39" s="150"/>
    </row>
    <row r="40" spans="2:15">
      <c r="B40" s="149"/>
      <c r="O40" s="150"/>
    </row>
    <row r="41" spans="2:15">
      <c r="B41" s="149"/>
      <c r="O41" s="150"/>
    </row>
    <row r="42" spans="2:15">
      <c r="B42" s="149"/>
      <c r="O42" s="150"/>
    </row>
    <row r="43" spans="2:15">
      <c r="B43" s="149"/>
      <c r="O43" s="150"/>
    </row>
    <row r="44" spans="2:15">
      <c r="B44" s="149"/>
      <c r="O44" s="150"/>
    </row>
    <row r="45" spans="2:15">
      <c r="B45" s="149"/>
      <c r="O45" s="150"/>
    </row>
    <row r="46" spans="2:15">
      <c r="B46" s="149"/>
      <c r="O46" s="150"/>
    </row>
    <row r="47" spans="2:15">
      <c r="B47" s="149"/>
      <c r="O47" s="150"/>
    </row>
    <row r="48" spans="2:15">
      <c r="B48" s="149"/>
      <c r="O48" s="150"/>
    </row>
    <row r="49" spans="2:15">
      <c r="B49" s="149"/>
      <c r="C49" s="146" t="s">
        <v>85</v>
      </c>
      <c r="O49" s="150"/>
    </row>
    <row r="50" spans="2:15">
      <c r="B50" s="149"/>
      <c r="C50" s="146" t="s">
        <v>133</v>
      </c>
      <c r="O50" s="150"/>
    </row>
    <row r="51" spans="2:15">
      <c r="B51" s="149"/>
      <c r="D51" s="146">
        <v>75.900000000000006</v>
      </c>
      <c r="E51" s="146" t="s">
        <v>65</v>
      </c>
      <c r="O51" s="150"/>
    </row>
    <row r="52" spans="2:15">
      <c r="B52" s="149"/>
      <c r="D52" s="146">
        <v>35</v>
      </c>
      <c r="E52" s="146" t="s">
        <v>3</v>
      </c>
      <c r="O52" s="150"/>
    </row>
    <row r="53" spans="2:15">
      <c r="B53" s="149"/>
      <c r="O53" s="150"/>
    </row>
    <row r="54" spans="2:15">
      <c r="B54" s="149"/>
      <c r="O54" s="150"/>
    </row>
    <row r="55" spans="2:15">
      <c r="B55" s="149"/>
      <c r="O55" s="150"/>
    </row>
    <row r="56" spans="2:15">
      <c r="B56" s="149"/>
      <c r="O56" s="150"/>
    </row>
    <row r="57" spans="2:15">
      <c r="B57" s="149"/>
      <c r="O57" s="150"/>
    </row>
    <row r="58" spans="2:15">
      <c r="B58" s="149"/>
      <c r="O58" s="150"/>
    </row>
    <row r="59" spans="2:15">
      <c r="B59" s="149"/>
      <c r="O59" s="150"/>
    </row>
    <row r="60" spans="2:15">
      <c r="B60" s="149"/>
      <c r="O60" s="150"/>
    </row>
    <row r="61" spans="2:15">
      <c r="B61" s="149"/>
      <c r="O61" s="150"/>
    </row>
    <row r="62" spans="2:15">
      <c r="B62" s="149"/>
      <c r="O62" s="150"/>
    </row>
    <row r="63" spans="2:15">
      <c r="B63" s="149"/>
      <c r="C63" s="146" t="s">
        <v>92</v>
      </c>
      <c r="O63" s="150"/>
    </row>
    <row r="64" spans="2:15">
      <c r="B64" s="149"/>
      <c r="C64" s="146" t="s">
        <v>130</v>
      </c>
      <c r="O64" s="150"/>
    </row>
    <row r="65" spans="2:15">
      <c r="B65" s="149"/>
      <c r="O65" s="150"/>
    </row>
    <row r="66" spans="2:15">
      <c r="B66" s="149"/>
      <c r="D66" s="146">
        <v>75</v>
      </c>
      <c r="E66" s="146" t="s">
        <v>65</v>
      </c>
      <c r="O66" s="150"/>
    </row>
    <row r="67" spans="2:15">
      <c r="B67" s="149"/>
      <c r="D67" s="146">
        <v>35.9</v>
      </c>
      <c r="E67" s="146" t="s">
        <v>3</v>
      </c>
      <c r="O67" s="150"/>
    </row>
    <row r="68" spans="2:15">
      <c r="B68" s="149"/>
      <c r="O68" s="150"/>
    </row>
    <row r="69" spans="2:15">
      <c r="B69" s="149"/>
      <c r="O69" s="150"/>
    </row>
    <row r="70" spans="2:15">
      <c r="B70" s="149"/>
      <c r="O70" s="150"/>
    </row>
    <row r="71" spans="2:15">
      <c r="B71" s="149"/>
      <c r="O71" s="150"/>
    </row>
    <row r="72" spans="2:15">
      <c r="B72" s="149"/>
      <c r="O72" s="150"/>
    </row>
    <row r="73" spans="2:15">
      <c r="B73" s="149"/>
      <c r="O73" s="150"/>
    </row>
    <row r="74" spans="2:15">
      <c r="B74" s="149"/>
      <c r="O74" s="150"/>
    </row>
    <row r="75" spans="2:15">
      <c r="B75" s="149"/>
      <c r="O75" s="150"/>
    </row>
    <row r="76" spans="2:15">
      <c r="B76" s="149"/>
      <c r="O76" s="150"/>
    </row>
    <row r="77" spans="2:15">
      <c r="B77" s="149"/>
      <c r="O77" s="150"/>
    </row>
    <row r="78" spans="2:15">
      <c r="B78" s="149"/>
      <c r="O78" s="150"/>
    </row>
    <row r="79" spans="2:15">
      <c r="B79" s="149"/>
      <c r="O79" s="150"/>
    </row>
    <row r="80" spans="2:15">
      <c r="B80" s="149"/>
      <c r="O80" s="150"/>
    </row>
    <row r="81" spans="2:15">
      <c r="B81" s="149"/>
      <c r="O81" s="150"/>
    </row>
    <row r="82" spans="2:15">
      <c r="B82" s="149"/>
      <c r="O82" s="150"/>
    </row>
    <row r="83" spans="2:15">
      <c r="B83" s="149"/>
      <c r="O83" s="150"/>
    </row>
    <row r="84" spans="2:15">
      <c r="B84" s="149"/>
      <c r="C84" s="146" t="s">
        <v>75</v>
      </c>
      <c r="O84" s="150"/>
    </row>
    <row r="85" spans="2:15">
      <c r="B85" s="149"/>
      <c r="C85" s="146" t="s">
        <v>134</v>
      </c>
      <c r="O85" s="150"/>
    </row>
    <row r="86" spans="2:15">
      <c r="B86" s="149"/>
      <c r="O86" s="150"/>
    </row>
    <row r="87" spans="2:15">
      <c r="B87" s="149"/>
      <c r="D87" s="146">
        <v>450</v>
      </c>
      <c r="E87" s="146" t="s">
        <v>135</v>
      </c>
      <c r="O87" s="150"/>
    </row>
    <row r="88" spans="2:15">
      <c r="B88" s="149"/>
      <c r="O88" s="150"/>
    </row>
    <row r="89" spans="2:15">
      <c r="B89" s="149"/>
      <c r="O89" s="150"/>
    </row>
    <row r="90" spans="2:15">
      <c r="B90" s="149"/>
      <c r="O90" s="150"/>
    </row>
    <row r="91" spans="2:15">
      <c r="B91" s="149"/>
      <c r="O91" s="150"/>
    </row>
    <row r="92" spans="2:15">
      <c r="B92" s="149"/>
      <c r="O92" s="150"/>
    </row>
    <row r="93" spans="2:15">
      <c r="B93" s="149"/>
      <c r="O93" s="150"/>
    </row>
    <row r="94" spans="2:15">
      <c r="B94" s="149"/>
      <c r="O94" s="150"/>
    </row>
    <row r="95" spans="2:15">
      <c r="B95" s="149"/>
      <c r="O95" s="150"/>
    </row>
    <row r="96" spans="2:15">
      <c r="B96" s="149"/>
      <c r="O96" s="150"/>
    </row>
    <row r="97" spans="2:15">
      <c r="B97" s="149"/>
      <c r="O97" s="150"/>
    </row>
    <row r="98" spans="2:15">
      <c r="B98" s="149"/>
      <c r="O98" s="150"/>
    </row>
    <row r="99" spans="2:15">
      <c r="B99" s="149"/>
      <c r="C99" s="158" t="s">
        <v>159</v>
      </c>
      <c r="O99" s="150"/>
    </row>
    <row r="100" spans="2:15">
      <c r="B100" s="149"/>
      <c r="C100" s="146" t="s">
        <v>139</v>
      </c>
      <c r="O100" s="150"/>
    </row>
    <row r="101" spans="2:15">
      <c r="B101" s="149"/>
      <c r="O101" s="150"/>
    </row>
    <row r="102" spans="2:15">
      <c r="B102" s="149"/>
      <c r="O102" s="150"/>
    </row>
    <row r="103" spans="2:15">
      <c r="B103" s="149"/>
      <c r="O103" s="150"/>
    </row>
    <row r="104" spans="2:15">
      <c r="B104" s="149"/>
      <c r="O104" s="150"/>
    </row>
    <row r="105" spans="2:15">
      <c r="B105" s="149"/>
      <c r="O105" s="150"/>
    </row>
    <row r="106" spans="2:15">
      <c r="B106" s="149"/>
      <c r="O106" s="150"/>
    </row>
    <row r="107" spans="2:15">
      <c r="B107" s="149"/>
      <c r="O107" s="150"/>
    </row>
    <row r="108" spans="2:15">
      <c r="B108" s="149"/>
      <c r="D108" s="152" t="s">
        <v>137</v>
      </c>
      <c r="E108" s="146" t="s">
        <v>136</v>
      </c>
      <c r="O108" s="150"/>
    </row>
    <row r="109" spans="2:15">
      <c r="B109" s="149"/>
      <c r="C109" s="146" t="s">
        <v>138</v>
      </c>
      <c r="D109" s="146">
        <v>12</v>
      </c>
      <c r="E109" s="146" t="s">
        <v>136</v>
      </c>
      <c r="O109" s="150"/>
    </row>
    <row r="110" spans="2:15">
      <c r="B110" s="149"/>
      <c r="O110" s="150"/>
    </row>
    <row r="111" spans="2:15">
      <c r="B111" s="149"/>
      <c r="O111" s="150"/>
    </row>
    <row r="112" spans="2:15">
      <c r="B112" s="149"/>
      <c r="C112" s="146" t="s">
        <v>77</v>
      </c>
      <c r="O112" s="150"/>
    </row>
    <row r="113" spans="2:15">
      <c r="B113" s="149"/>
      <c r="C113" s="146" t="s">
        <v>142</v>
      </c>
      <c r="O113" s="150"/>
    </row>
    <row r="114" spans="2:15">
      <c r="B114" s="149"/>
      <c r="O114" s="150"/>
    </row>
    <row r="115" spans="2:15">
      <c r="B115" s="149"/>
      <c r="D115" s="146">
        <v>45</v>
      </c>
      <c r="E115" s="146" t="s">
        <v>65</v>
      </c>
      <c r="O115" s="150"/>
    </row>
    <row r="116" spans="2:15">
      <c r="B116" s="149"/>
      <c r="C116" s="146" t="s">
        <v>149</v>
      </c>
      <c r="D116" s="146">
        <v>42</v>
      </c>
      <c r="E116" s="146" t="s">
        <v>148</v>
      </c>
      <c r="O116" s="150"/>
    </row>
    <row r="117" spans="2:15">
      <c r="B117" s="149"/>
      <c r="C117" s="146" t="s">
        <v>143</v>
      </c>
      <c r="D117" s="146">
        <v>8</v>
      </c>
      <c r="E117" s="146" t="s">
        <v>145</v>
      </c>
      <c r="O117" s="150"/>
    </row>
    <row r="118" spans="2:15">
      <c r="B118" s="149"/>
      <c r="D118" s="146">
        <f>D117*0.47</f>
        <v>3.76</v>
      </c>
      <c r="O118" s="150"/>
    </row>
    <row r="119" spans="2:15">
      <c r="B119" s="149"/>
      <c r="C119" s="146" t="s">
        <v>144</v>
      </c>
      <c r="D119" s="146">
        <v>16</v>
      </c>
      <c r="E119" s="146" t="s">
        <v>146</v>
      </c>
      <c r="O119" s="150"/>
    </row>
    <row r="120" spans="2:15">
      <c r="B120" s="149"/>
      <c r="D120" s="146">
        <f>D119*0.47</f>
        <v>7.52</v>
      </c>
      <c r="O120" s="150"/>
    </row>
    <row r="121" spans="2:15">
      <c r="B121" s="149"/>
      <c r="O121" s="150"/>
    </row>
    <row r="122" spans="2:15">
      <c r="B122" s="149"/>
      <c r="O122" s="150"/>
    </row>
    <row r="123" spans="2:15">
      <c r="B123" s="149"/>
      <c r="O123" s="150"/>
    </row>
    <row r="124" spans="2:15">
      <c r="B124" s="149"/>
      <c r="O124" s="150"/>
    </row>
    <row r="125" spans="2:15">
      <c r="B125" s="149"/>
      <c r="O125" s="150"/>
    </row>
    <row r="126" spans="2:15">
      <c r="B126" s="149"/>
      <c r="O126" s="150"/>
    </row>
    <row r="127" spans="2:15">
      <c r="B127" s="149"/>
      <c r="O127" s="150"/>
    </row>
    <row r="128" spans="2:15">
      <c r="B128" s="149"/>
      <c r="O128" s="150"/>
    </row>
    <row r="129" spans="2:15">
      <c r="B129" s="149"/>
      <c r="O129" s="150"/>
    </row>
    <row r="130" spans="2:15">
      <c r="B130" s="149"/>
      <c r="O130" s="150"/>
    </row>
    <row r="131" spans="2:15">
      <c r="B131" s="149"/>
      <c r="O131" s="150"/>
    </row>
    <row r="132" spans="2:15">
      <c r="B132" s="149"/>
      <c r="O132" s="150"/>
    </row>
    <row r="133" spans="2:15">
      <c r="B133" s="149"/>
      <c r="O133" s="150"/>
    </row>
    <row r="134" spans="2:15">
      <c r="B134" s="149"/>
      <c r="O134" s="150"/>
    </row>
    <row r="135" spans="2:15">
      <c r="B135" s="149"/>
      <c r="O135" s="150"/>
    </row>
    <row r="136" spans="2:15">
      <c r="B136" s="149"/>
      <c r="O136" s="150"/>
    </row>
    <row r="137" spans="2:15">
      <c r="B137" s="149"/>
      <c r="O137" s="150"/>
    </row>
    <row r="138" spans="2:15">
      <c r="B138" s="149"/>
      <c r="O138" s="150"/>
    </row>
    <row r="139" spans="2:15">
      <c r="B139" s="149"/>
      <c r="O139" s="150"/>
    </row>
    <row r="140" spans="2:15">
      <c r="B140" s="149"/>
      <c r="O140" s="150"/>
    </row>
    <row r="141" spans="2:15">
      <c r="B141" s="149"/>
      <c r="O141" s="150"/>
    </row>
    <row r="142" spans="2:15">
      <c r="B142" s="149"/>
      <c r="O142" s="150"/>
    </row>
    <row r="143" spans="2:15">
      <c r="B143" s="149"/>
      <c r="C143" s="156" t="s">
        <v>150</v>
      </c>
      <c r="O143" s="150"/>
    </row>
    <row r="144" spans="2:15">
      <c r="B144" s="149"/>
      <c r="C144" s="156" t="s">
        <v>151</v>
      </c>
      <c r="O144" s="150"/>
    </row>
    <row r="145" spans="2:15">
      <c r="B145" s="149"/>
      <c r="O145" s="150"/>
    </row>
    <row r="146" spans="2:15">
      <c r="B146" s="149"/>
      <c r="O146" s="150"/>
    </row>
    <row r="147" spans="2:15">
      <c r="B147" s="149"/>
      <c r="O147" s="150"/>
    </row>
    <row r="148" spans="2:15">
      <c r="B148" s="149"/>
      <c r="O148" s="150"/>
    </row>
    <row r="149" spans="2:15">
      <c r="B149" s="149"/>
      <c r="O149" s="150"/>
    </row>
    <row r="150" spans="2:15">
      <c r="B150" s="149"/>
      <c r="O150" s="150"/>
    </row>
    <row r="151" spans="2:15">
      <c r="B151" s="149"/>
      <c r="O151" s="150"/>
    </row>
    <row r="152" spans="2:15">
      <c r="B152" s="149"/>
      <c r="D152" s="146">
        <v>85</v>
      </c>
      <c r="E152" s="156" t="s">
        <v>65</v>
      </c>
      <c r="O152" s="150"/>
    </row>
    <row r="153" spans="2:15">
      <c r="B153" s="149"/>
      <c r="D153" s="146">
        <v>973</v>
      </c>
      <c r="E153" s="156" t="s">
        <v>152</v>
      </c>
      <c r="O153" s="150"/>
    </row>
    <row r="154" spans="2:15">
      <c r="B154" s="149"/>
      <c r="D154" s="146">
        <v>749</v>
      </c>
      <c r="E154" s="156" t="s">
        <v>135</v>
      </c>
      <c r="O154" s="150"/>
    </row>
    <row r="155" spans="2:15">
      <c r="B155" s="149"/>
      <c r="O155" s="150"/>
    </row>
    <row r="156" spans="2:15">
      <c r="B156" s="149"/>
      <c r="D156" s="146">
        <v>7.34</v>
      </c>
      <c r="E156" s="156" t="s">
        <v>152</v>
      </c>
      <c r="O156" s="150"/>
    </row>
    <row r="157" spans="2:15">
      <c r="B157" s="149"/>
      <c r="D157" s="146">
        <v>5.7</v>
      </c>
      <c r="E157" s="156" t="s">
        <v>135</v>
      </c>
      <c r="O157" s="150"/>
    </row>
    <row r="158" spans="2:15">
      <c r="B158" s="149"/>
      <c r="O158" s="150"/>
    </row>
    <row r="159" spans="2:15">
      <c r="B159" s="149"/>
      <c r="D159" s="146">
        <v>15.45</v>
      </c>
      <c r="E159" s="156" t="s">
        <v>153</v>
      </c>
      <c r="O159" s="150"/>
    </row>
    <row r="160" spans="2:15">
      <c r="B160" s="149"/>
      <c r="D160" s="146">
        <v>11.9</v>
      </c>
      <c r="E160" s="156" t="s">
        <v>154</v>
      </c>
      <c r="O160" s="150"/>
    </row>
    <row r="161" spans="2:15">
      <c r="B161" s="149"/>
      <c r="O161" s="150"/>
    </row>
    <row r="162" spans="2:15">
      <c r="B162" s="149"/>
      <c r="O162" s="150"/>
    </row>
    <row r="163" spans="2:15">
      <c r="B163" s="149"/>
      <c r="O163" s="150"/>
    </row>
    <row r="164" spans="2:15">
      <c r="B164" s="149"/>
      <c r="O164" s="150"/>
    </row>
    <row r="165" spans="2:15">
      <c r="B165" s="149"/>
      <c r="O165" s="150"/>
    </row>
    <row r="166" spans="2:15">
      <c r="B166" s="149"/>
      <c r="O166" s="150"/>
    </row>
    <row r="167" spans="2:15">
      <c r="B167" s="149"/>
      <c r="O167" s="150"/>
    </row>
    <row r="168" spans="2:15">
      <c r="B168" s="149"/>
      <c r="O168" s="150"/>
    </row>
    <row r="169" spans="2:15">
      <c r="B169" s="149"/>
      <c r="O169" s="150"/>
    </row>
    <row r="170" spans="2:15">
      <c r="B170" s="149"/>
      <c r="O170" s="150"/>
    </row>
    <row r="171" spans="2:15">
      <c r="B171" s="149"/>
      <c r="O171" s="150"/>
    </row>
    <row r="172" spans="2:15">
      <c r="B172" s="149"/>
      <c r="O172" s="150"/>
    </row>
    <row r="173" spans="2:15">
      <c r="B173" s="149"/>
      <c r="O173" s="150"/>
    </row>
    <row r="174" spans="2:15">
      <c r="B174" s="149"/>
      <c r="O174" s="150"/>
    </row>
    <row r="175" spans="2:15">
      <c r="B175" s="149"/>
      <c r="O175" s="150"/>
    </row>
    <row r="176" spans="2:15">
      <c r="B176" s="149"/>
      <c r="O176" s="150"/>
    </row>
    <row r="177" spans="2:15">
      <c r="B177" s="149"/>
      <c r="O177" s="150"/>
    </row>
    <row r="178" spans="2:15">
      <c r="B178" s="149"/>
      <c r="O178" s="150"/>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2026-04-15T11:54:05Z</dcterms:modified>
</cp:coreProperties>
</file>