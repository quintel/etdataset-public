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0"/>
  <workbookPr showInkAnnotation="0" codeName="ThisWorkbook" autoCompressPictures="0"/>
  <mc:AlternateContent xmlns:mc="http://schemas.openxmlformats.org/markup-compatibility/2006">
    <mc:Choice Requires="x15">
      <x15ac:absPath xmlns:x15ac="http://schemas.microsoft.com/office/spreadsheetml/2010/11/ac" url="/Users/kyradehaan/github/etdataset/nodes_source_analyses/energy/energy/"/>
    </mc:Choice>
  </mc:AlternateContent>
  <xr:revisionPtr revIDLastSave="0" documentId="13_ncr:1_{24B0E5FD-3BD6-DA4F-AB02-6858505793FC}" xr6:coauthVersionLast="47" xr6:coauthVersionMax="47" xr10:uidLastSave="{00000000-0000-0000-0000-000000000000}"/>
  <bookViews>
    <workbookView xWindow="-5740" yWindow="-21600" windowWidth="38400" windowHeight="21600" tabRatio="762" activeTab="1" xr2:uid="{00000000-000D-0000-FFFF-FFFF00000000}"/>
  </bookViews>
  <sheets>
    <sheet name="Cover sheet" sheetId="14" r:id="rId1"/>
    <sheet name="Dashboard" sheetId="12" r:id="rId2"/>
    <sheet name="Sources" sheetId="15" r:id="rId3"/>
    <sheet name="Notes" sheetId="20" r:id="rId4"/>
  </sheets>
  <externalReferences>
    <externalReference r:id="rId5"/>
    <externalReference r:id="rId6"/>
  </externalReferences>
  <definedNames>
    <definedName name="exchange_rate_2011_2010">#REF!</definedName>
    <definedName name="Final_demand_residences">'[1]Fuel aggregation'!$L$11</definedName>
    <definedName name="hours_a_year">#REF!</definedName>
    <definedName name="km2_to_m2">#REF!</definedName>
    <definedName name="kW_to_MW">#REF!</definedName>
    <definedName name="kW_to_W">#REF!</definedName>
    <definedName name="kWp_to_MWp">#REF!</definedName>
    <definedName name="labor_cost">Notes!#REF!</definedName>
    <definedName name="licensing">Notes!#REF!</definedName>
    <definedName name="m2_to_km2">#REF!</definedName>
    <definedName name="overhead_GA">Notes!#REF!</definedName>
    <definedName name="sensitivity_07">'[2]Tornado Charts'!$I$48</definedName>
    <definedName name="STC">#REF!</definedName>
    <definedName name="STC_insolation">#REF!</definedName>
    <definedName name="tax_insurance">Notes!#REF!</definedName>
    <definedName name="W_to_MW">#REF!</definedName>
    <definedName name="Wp_to_kWp">#REF!</definedName>
    <definedName name="WP_to_MWp">#REF!</definedName>
  </definedNames>
  <calcPr calcId="191029" calcOnSave="0"/>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E35" i="12" l="1"/>
  <c r="F47" i="20"/>
  <c r="E36" i="20"/>
  <c r="F40" i="20"/>
  <c r="G40" i="20"/>
  <c r="G41" i="20"/>
  <c r="G42" i="20"/>
  <c r="H41" i="20" s="1"/>
  <c r="F49" i="20" l="1"/>
  <c r="H40" i="20"/>
  <c r="G30" i="20"/>
  <c r="G32" i="20" s="1"/>
  <c r="F19" i="20" s="1"/>
  <c r="G27" i="20"/>
  <c r="G26" i="20"/>
  <c r="G28" i="20" s="1"/>
  <c r="F18" i="20"/>
  <c r="E16" i="12" s="1"/>
  <c r="F43" i="20"/>
  <c r="F17" i="20"/>
  <c r="E15" i="12" s="1"/>
  <c r="F21" i="20"/>
  <c r="E14" i="12" s="1"/>
  <c r="F20" i="20"/>
  <c r="E13" i="12" s="1"/>
  <c r="F12" i="20"/>
  <c r="E21" i="12" s="1"/>
  <c r="F10" i="20"/>
  <c r="E18" i="12" s="1"/>
  <c r="F9" i="20"/>
  <c r="E33" i="12" s="1"/>
  <c r="F8" i="20"/>
  <c r="E32" i="12" s="1"/>
  <c r="F7" i="20"/>
  <c r="E17" i="12" s="1"/>
  <c r="F26" i="20"/>
  <c r="F27" i="20"/>
  <c r="F64" i="20"/>
  <c r="F65" i="20" s="1"/>
  <c r="F14" i="20" s="1"/>
  <c r="E24" i="12" s="1"/>
  <c r="F62" i="20"/>
  <c r="F63" i="20"/>
  <c r="F13" i="20" s="1"/>
  <c r="E23" i="12" s="1"/>
  <c r="F60" i="20"/>
  <c r="F59" i="20"/>
  <c r="F58" i="20"/>
  <c r="F56" i="20"/>
  <c r="F55" i="20"/>
  <c r="G43" i="20" l="1"/>
  <c r="H43" i="20"/>
  <c r="F32" i="20"/>
  <c r="F6" i="20" s="1"/>
  <c r="E12" i="12" s="1"/>
  <c r="F31" i="20"/>
  <c r="F30" i="20"/>
  <c r="F28" i="20"/>
</calcChain>
</file>

<file path=xl/sharedStrings.xml><?xml version="1.0" encoding="utf-8"?>
<sst xmlns="http://schemas.openxmlformats.org/spreadsheetml/2006/main" count="289" uniqueCount="222">
  <si>
    <t>Source</t>
  </si>
  <si>
    <t>years</t>
  </si>
  <si>
    <t>-</t>
  </si>
  <si>
    <t>Value</t>
  </si>
  <si>
    <t>Other</t>
  </si>
  <si>
    <t>Initial investment costs</t>
  </si>
  <si>
    <t>Definition</t>
  </si>
  <si>
    <t>Unit</t>
  </si>
  <si>
    <t>Link</t>
  </si>
  <si>
    <t>Cover Sheet</t>
  </si>
  <si>
    <t>Document</t>
  </si>
  <si>
    <t>Country</t>
  </si>
  <si>
    <t>Organization</t>
  </si>
  <si>
    <t>Quintel Intelligence</t>
  </si>
  <si>
    <t>Definition on the sources</t>
  </si>
  <si>
    <t>Type</t>
  </si>
  <si>
    <t>Date published</t>
  </si>
  <si>
    <t>Date retrieved</t>
  </si>
  <si>
    <t>Attribute</t>
  </si>
  <si>
    <t>euro</t>
  </si>
  <si>
    <t>free_co2_factor</t>
  </si>
  <si>
    <t>initial_investment</t>
  </si>
  <si>
    <t>fixed_operation_and_maintenance_costs_per_year</t>
  </si>
  <si>
    <t>technical_lifetime</t>
  </si>
  <si>
    <t>Notes</t>
  </si>
  <si>
    <t>Legend</t>
  </si>
  <si>
    <t>Cells</t>
  </si>
  <si>
    <t>Intermediate (calculation)</t>
  </si>
  <si>
    <t>Result</t>
  </si>
  <si>
    <t>Manual input</t>
  </si>
  <si>
    <t>Reference to manual input or data input</t>
  </si>
  <si>
    <t>Tabs</t>
  </si>
  <si>
    <t>Introductory</t>
  </si>
  <si>
    <t>Dashboard</t>
  </si>
  <si>
    <t>Research data</t>
  </si>
  <si>
    <t>Sources</t>
  </si>
  <si>
    <t>Results</t>
  </si>
  <si>
    <t>Main calculations</t>
  </si>
  <si>
    <t>Additional calculations</t>
  </si>
  <si>
    <t>Output to csv</t>
  </si>
  <si>
    <t>Author</t>
  </si>
  <si>
    <t>Cost</t>
  </si>
  <si>
    <t>Technical</t>
  </si>
  <si>
    <t>ETM Library URL</t>
  </si>
  <si>
    <t>euro/yr</t>
  </si>
  <si>
    <t>Page</t>
  </si>
  <si>
    <t>wacc</t>
  </si>
  <si>
    <t>%</t>
  </si>
  <si>
    <t>Weighted average cost of capita</t>
  </si>
  <si>
    <t>takes_part_in_ets</t>
  </si>
  <si>
    <t>yes=1, no=0</t>
  </si>
  <si>
    <t>construction_time</t>
  </si>
  <si>
    <t xml:space="preserve">Construction time of the plant </t>
  </si>
  <si>
    <t>Technical lifetime of the plant</t>
  </si>
  <si>
    <t>euro/flh</t>
  </si>
  <si>
    <r>
      <t xml:space="preserve">Variable operation and maintenance costs per </t>
    </r>
    <r>
      <rPr>
        <sz val="12"/>
        <color theme="1"/>
        <rFont val="Calibri"/>
        <family val="2"/>
        <scheme val="minor"/>
      </rPr>
      <t>flh</t>
    </r>
  </si>
  <si>
    <t>full_load_hours</t>
  </si>
  <si>
    <t>cost_of_installing</t>
  </si>
  <si>
    <r>
      <t>variable_operation_and_maintenance_costs_per_</t>
    </r>
    <r>
      <rPr>
        <sz val="12"/>
        <color theme="1"/>
        <rFont val="Calibri"/>
        <family val="2"/>
        <scheme val="minor"/>
      </rPr>
      <t>full_load_hour</t>
    </r>
  </si>
  <si>
    <t>variable_operation_and_maintenance_costs_for_ccs_per_full_load_hour</t>
  </si>
  <si>
    <t>Installation costs</t>
  </si>
  <si>
    <t>Decommissioning costs</t>
  </si>
  <si>
    <r>
      <t>Fixed operational and maintenance costs per year</t>
    </r>
    <r>
      <rPr>
        <sz val="12"/>
        <color theme="1"/>
        <rFont val="Calibri"/>
        <family val="2"/>
        <scheme val="minor"/>
      </rPr>
      <t xml:space="preserve"> (incl. ccs)</t>
    </r>
  </si>
  <si>
    <r>
      <t>decommis</t>
    </r>
    <r>
      <rPr>
        <sz val="12"/>
        <color theme="1"/>
        <rFont val="Calibri"/>
        <family val="2"/>
        <scheme val="minor"/>
      </rPr>
      <t>s</t>
    </r>
    <r>
      <rPr>
        <sz val="12"/>
        <color theme="1"/>
        <rFont val="Calibri"/>
        <family val="2"/>
        <scheme val="minor"/>
      </rPr>
      <t>ioning_costs</t>
    </r>
  </si>
  <si>
    <t>typical_input_capacity</t>
  </si>
  <si>
    <t xml:space="preserve">This sheet summarizes all node attributes formatted in the way they are used by the Energy Transition Model. Use the Excel formulas to find the original data and sources for these numbers. You can also use this document to update the attribute value. Once you have finished updating, save this document and run rake import:node NODE="nodename" to update the node attributes on ETSource. 
</t>
  </si>
  <si>
    <t>input.electricity</t>
  </si>
  <si>
    <t>MWe</t>
  </si>
  <si>
    <t>Subject</t>
  </si>
  <si>
    <t>Investment</t>
  </si>
  <si>
    <t>input.hydrogen</t>
  </si>
  <si>
    <t>See https://github.com/quintel/documentation/blob/master/general/cost_calculations.md#weighted-average-cost-of-capital</t>
  </si>
  <si>
    <t>Full load hours</t>
  </si>
  <si>
    <t>Technical lifetime</t>
  </si>
  <si>
    <t>MW</t>
  </si>
  <si>
    <t>All specs</t>
  </si>
  <si>
    <t>Kyra de Haan</t>
  </si>
  <si>
    <t>Input</t>
  </si>
  <si>
    <t>Output</t>
  </si>
  <si>
    <t>year</t>
  </si>
  <si>
    <t>Technology</t>
  </si>
  <si>
    <t>Note</t>
  </si>
  <si>
    <t>Ref</t>
  </si>
  <si>
    <t>est</t>
  </si>
  <si>
    <t>ctrl</t>
  </si>
  <si>
    <t>Lower</t>
  </si>
  <si>
    <t>Upper</t>
  </si>
  <si>
    <t>cat</t>
  </si>
  <si>
    <t>par</t>
  </si>
  <si>
    <t>Energy/technical data</t>
  </si>
  <si>
    <t>E</t>
  </si>
  <si>
    <t>District Heating Output [MWh/MWh Total Input]</t>
  </si>
  <si>
    <t>H</t>
  </si>
  <si>
    <t>I</t>
  </si>
  <si>
    <t>Forced outage [%]</t>
  </si>
  <si>
    <t>Planned outage [weeks per year]</t>
  </si>
  <si>
    <t>Technical lifetime [years]</t>
  </si>
  <si>
    <t>Construction time [years]</t>
  </si>
  <si>
    <t>Financial data</t>
  </si>
  <si>
    <t>L</t>
  </si>
  <si>
    <t xml:space="preserve"> - equipment [%]</t>
  </si>
  <si>
    <t xml:space="preserve"> - installation [%]</t>
  </si>
  <si>
    <t>M</t>
  </si>
  <si>
    <t>Technology-specific data</t>
  </si>
  <si>
    <t>Notes:</t>
  </si>
  <si>
    <t>input</t>
  </si>
  <si>
    <t>hydrogen</t>
  </si>
  <si>
    <t>electricity</t>
  </si>
  <si>
    <t>total</t>
  </si>
  <si>
    <t>output</t>
  </si>
  <si>
    <t>Danish Energy Agency</t>
  </si>
  <si>
    <t>Hydrogen to Jet Fuel</t>
  </si>
  <si>
    <t>Typical total plant size [1,000 kt FT Liquids/year]</t>
  </si>
  <si>
    <t xml:space="preserve">A, B, </t>
  </si>
  <si>
    <t>18, 20, 23</t>
  </si>
  <si>
    <t>Typical total plant size [MW] Output</t>
  </si>
  <si>
    <t>A,B,C</t>
  </si>
  <si>
    <t>18, 20</t>
  </si>
  <si>
    <r>
      <t>CO</t>
    </r>
    <r>
      <rPr>
        <vertAlign val="subscript"/>
        <sz val="8"/>
        <color theme="1"/>
        <rFont val="Calibri"/>
        <family val="2"/>
        <scheme val="minor"/>
      </rPr>
      <t>2</t>
    </r>
    <r>
      <rPr>
        <sz val="8"/>
        <color theme="1"/>
        <rFont val="Calibri"/>
        <family val="2"/>
        <scheme val="minor"/>
      </rPr>
      <t xml:space="preserve"> Consumption [t/t FT Liquids]</t>
    </r>
  </si>
  <si>
    <t>C, D, E</t>
  </si>
  <si>
    <t>Hydrogen Consumption [MWh/MWh Total Input]</t>
  </si>
  <si>
    <t xml:space="preserve">E </t>
  </si>
  <si>
    <t>Power Consumption [MWh/MWh Total Input]</t>
  </si>
  <si>
    <t>FT Liquids Output [MWh/MWh Total Input]</t>
  </si>
  <si>
    <t>F, G, O</t>
  </si>
  <si>
    <t>20, 18</t>
  </si>
  <si>
    <t>Specific investment [M€/MW Liquids/year]</t>
  </si>
  <si>
    <t>G, J</t>
  </si>
  <si>
    <t>18, 20, 26, 30</t>
  </si>
  <si>
    <t>K</t>
  </si>
  <si>
    <t>Fixed O&amp;M [€/MWH Liquids]</t>
  </si>
  <si>
    <t>Variable O&amp;M [€/MWH Liquids]</t>
  </si>
  <si>
    <t>Start up [€/l FT Liquids]</t>
  </si>
  <si>
    <t>Specific investment [€/l FT Liquids/year]</t>
  </si>
  <si>
    <t>Fixed O&amp;M [€/l FT Liquids]</t>
  </si>
  <si>
    <t>Variable O&amp;M [€/l FT Liquids]</t>
  </si>
  <si>
    <t>A.    The plant size range is based on the Schmidt and Mortensen reports and other analysis in the literature. Scale up is our assumption.</t>
  </si>
  <si>
    <t>B.    CO2 availability is likely to determine the maximum plant size.</t>
  </si>
  <si>
    <t>C.    Conversion to MW is based on 8,000 operating hours per year and the energy output in all liquid fuels. The conversion is rounded. Some reports are based on only 4,000 hours of operation. Figure 1-2 utilizes the 2050 estimates.</t>
  </si>
  <si>
    <t>D.    Carbon efficiency in the literature ranges from 75 to 95%. Assuming that the early plants have low carbon efficiency and increase over time.</t>
  </si>
  <si>
    <t>E.    Denominator of FT liquids is the total liquid fuel output.</t>
  </si>
  <si>
    <t>F.    Hydrogen and power are the only energy input. Power will be required for pumping, compression, and utilities in addition to hydrogen production. Power estimated based on typical electric demand in petroleum refineries.</t>
  </si>
  <si>
    <t>G.   FT Liquids efficiency increases as hydrogen production efficiency increases with adoption of more efficient technologies. 2020 and 2030 assume alkaline electrolysis, 2040 is based on PEM systems, and 2050 assumes SOEC. Limited improvement in FT synthesis assumed, although jet fuel selectivity may improve over time.</t>
  </si>
  <si>
    <t>H.    Own calculations.</t>
  </si>
  <si>
    <t>I.      Some heat is lost in the process to drive the RWGS reaction. Assumes that total losses and internal consumption is 10% of the input. The quality of the district heat will depend on the electrolysis technology employed. The FT portion of the process will have excess steam available. The quantity and quality of the steam will depend on the FT process employed and the plant configuration.</t>
  </si>
  <si>
    <t>J.     This will depend on the level of hydrogen storage and the frequency of low surplus electricity periods that are outside of the range used for the calculation of the required hydrogen storage.</t>
  </si>
  <si>
    <t>K.    The capital costs drop as plant size increases and through technological learning. Hydrogen storage costs are included (10% of capital costs) but not sized in the reference. No CO2 storage is assumed.</t>
  </si>
  <si>
    <t>L.    Own Assumption</t>
  </si>
  <si>
    <t>M.   Based on 5% of capital cost.</t>
  </si>
  <si>
    <t>N.    Based on 1.5% of capital cost. Excludes cost of power and carbon dioxide.</t>
  </si>
  <si>
    <t>O. A reasonable distribution of the FT fuels might be 60% jet fuel, 20% gasoline, and 20% lighter products (LPG and fuel gas), but the distribution of outputs could be very different depending on the plant design, catalyst and the operating conditions.</t>
  </si>
  <si>
    <t>Hydrogen and CO2 to Fischer Tropsch, from DEA:</t>
  </si>
  <si>
    <t>Feedstock in- and output</t>
  </si>
  <si>
    <t>FT liquids</t>
  </si>
  <si>
    <t>District heating output</t>
  </si>
  <si>
    <t>loss</t>
  </si>
  <si>
    <t>Plant specs</t>
  </si>
  <si>
    <t>Plant size</t>
  </si>
  <si>
    <t>t FT liquids/y</t>
  </si>
  <si>
    <t>Plant size (production output)</t>
  </si>
  <si>
    <t>h</t>
  </si>
  <si>
    <t>y</t>
  </si>
  <si>
    <t>Construction time</t>
  </si>
  <si>
    <t>availability</t>
  </si>
  <si>
    <t>€</t>
  </si>
  <si>
    <t>Fixed O&amp;M</t>
  </si>
  <si>
    <t>€/y</t>
  </si>
  <si>
    <t>Variable O&amp;M</t>
  </si>
  <si>
    <t>€/flh</t>
  </si>
  <si>
    <t>Overview</t>
  </si>
  <si>
    <t>Input capacity</t>
  </si>
  <si>
    <t>hours</t>
  </si>
  <si>
    <t>euro/y</t>
  </si>
  <si>
    <t>Input/output</t>
  </si>
  <si>
    <t>output.loss</t>
  </si>
  <si>
    <t>note: in line with the input capacity of  other Fischer-Tropsch technologies, the input capacity is now based on the 2050 value</t>
  </si>
  <si>
    <t>otherwise, the input capacity would be significantly lower is the 2030 value would've been taken</t>
  </si>
  <si>
    <t>Construction period</t>
  </si>
  <si>
    <t>Availability</t>
  </si>
  <si>
    <t>Composition of FT liquids</t>
  </si>
  <si>
    <t>See note at bottom of the table:</t>
  </si>
  <si>
    <t>kerosene</t>
  </si>
  <si>
    <t>gasoline</t>
  </si>
  <si>
    <t>lighter products</t>
  </si>
  <si>
    <t>MJ</t>
  </si>
  <si>
    <t>original</t>
  </si>
  <si>
    <t>converted to 0.7 MJ FT liquids</t>
  </si>
  <si>
    <t>corrected</t>
  </si>
  <si>
    <t>output.kerosene</t>
  </si>
  <si>
    <t>output.gasoline</t>
  </si>
  <si>
    <t>lighter products not specified further in specific fractions per carrier;</t>
  </si>
  <si>
    <t>assumption: ligther products assumed zero, kerosene / gasoline output increased proportionally</t>
  </si>
  <si>
    <t>DK</t>
  </si>
  <si>
    <t xml:space="preserve">Renewable fuels: Technology descriptions and projections for long-term energy system planning </t>
  </si>
  <si>
    <t>https://refman.energytransitionmodel.com/publications/2218</t>
  </si>
  <si>
    <t>Data Sheets for energy carrier generation and conversion</t>
  </si>
  <si>
    <t>https://refman.energytransitionmodel.com/publications/2219</t>
  </si>
  <si>
    <t>ccs_investment</t>
  </si>
  <si>
    <t>no CCS</t>
  </si>
  <si>
    <t>Quintel assumption</t>
  </si>
  <si>
    <t>energy_production_fischer_tropsch_synthetic_dispatchable</t>
  </si>
  <si>
    <t>Note: the same technical and financial specs as energy_production_fischer_tropsch_synthetic_must_run are used</t>
  </si>
  <si>
    <t>It is assumed that these percentages are based on energy value (MJ) in the total FT liquids output</t>
  </si>
  <si>
    <t>CO2 requirement</t>
  </si>
  <si>
    <t>CO2 consumption</t>
  </si>
  <si>
    <t>t CO2/t FT liquids</t>
  </si>
  <si>
    <t>LHV kerosene</t>
  </si>
  <si>
    <t>MJ/kg</t>
  </si>
  <si>
    <t>kg CO2/MJ kerosene</t>
  </si>
  <si>
    <t>copied from kerosene.ad on ETSource</t>
  </si>
  <si>
    <t>No data available, assumed to be part of initial investment</t>
  </si>
  <si>
    <t>co2_utilisation_per_mj</t>
  </si>
  <si>
    <t>kg CO2/MJ</t>
  </si>
  <si>
    <t>assumption: all output is kerosene</t>
  </si>
  <si>
    <t>CO2 consumption per MJ product</t>
  </si>
  <si>
    <t>kg CO2/MJ FT products</t>
  </si>
  <si>
    <t>check with emissions factors (EF) to confirm required input of CO2 is higher than EF</t>
  </si>
  <si>
    <t>Emissions factor kerosene</t>
  </si>
  <si>
    <t>copied from carriers.csv nl2023</t>
  </si>
  <si>
    <t>Emission factor gasoline</t>
  </si>
  <si>
    <t>kg CO2/MJ gasoline</t>
  </si>
  <si>
    <t>CO2 utilisation per MJ product output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</si>
</sst>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 #,##0.00_ ;_ * \-#,##0.00_ ;_ * &quot;-&quot;??_ ;_ @_ "/>
    <numFmt numFmtId="164" formatCode="0.0"/>
    <numFmt numFmtId="165" formatCode="0.000"/>
    <numFmt numFmtId="166" formatCode="0.0000"/>
    <numFmt numFmtId="167" formatCode="_ * #,##0.0_ ;_ * \-#,##0.0_ ;_ * &quot;-&quot;??_ ;_ @_ "/>
    <numFmt numFmtId="168" formatCode="_ * #,##0_ ;_ * \-#,##0_ ;_ * &quot;-&quot;??_ ;_ @_ "/>
    <numFmt numFmtId="169" formatCode="[$-413]mmm\-yy;@"/>
    <numFmt numFmtId="170" formatCode="0.00000"/>
  </numFmts>
  <fonts count="48">
    <font>
      <sz val="12"/>
      <color theme="1"/>
      <name val="Lettertype hoofdtekst"/>
      <family val="2"/>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2"/>
      <color theme="10"/>
      <name val="Lettertype hoofdtekst"/>
      <family val="2"/>
    </font>
    <font>
      <u/>
      <sz val="12"/>
      <color theme="11"/>
      <name val="Lettertype hoofdtekst"/>
      <family val="2"/>
    </font>
    <font>
      <b/>
      <sz val="12"/>
      <color theme="1"/>
      <name val="Calibri"/>
      <family val="2"/>
      <scheme val="minor"/>
    </font>
    <font>
      <sz val="12"/>
      <color rgb="FF000000"/>
      <name val="Calibri"/>
      <family val="2"/>
      <scheme val="minor"/>
    </font>
    <font>
      <b/>
      <sz val="12"/>
      <color rgb="FF000000"/>
      <name val="Calibri"/>
      <family val="2"/>
      <scheme val="minor"/>
    </font>
    <font>
      <b/>
      <sz val="11"/>
      <color rgb="FF000000"/>
      <name val="Calibri"/>
      <family val="2"/>
      <scheme val="minor"/>
    </font>
    <font>
      <b/>
      <sz val="16"/>
      <color rgb="FF1F497D"/>
      <name val="Calibri"/>
      <family val="2"/>
      <scheme val="minor"/>
    </font>
    <font>
      <sz val="12"/>
      <name val="Calibri"/>
      <family val="2"/>
      <scheme val="minor"/>
    </font>
    <font>
      <b/>
      <sz val="12"/>
      <name val="Calibri"/>
      <family val="2"/>
      <scheme val="minor"/>
    </font>
    <font>
      <i/>
      <sz val="12"/>
      <color theme="1"/>
      <name val="Calibri"/>
      <family val="2"/>
      <scheme val="minor"/>
    </font>
    <font>
      <sz val="12"/>
      <color rgb="FF000000"/>
      <name val="Calibri"/>
      <family val="2"/>
    </font>
    <font>
      <sz val="8"/>
      <name val="Lettertype hoofdtekst"/>
      <family val="2"/>
    </font>
    <font>
      <sz val="10"/>
      <name val="Arial"/>
      <family val="2"/>
    </font>
    <font>
      <b/>
      <sz val="14"/>
      <color theme="1"/>
      <name val="Calibri"/>
      <family val="2"/>
      <scheme val="minor"/>
    </font>
    <font>
      <sz val="12"/>
      <color theme="1"/>
      <name val="Lettertype hoofdtekst"/>
      <family val="2"/>
    </font>
    <font>
      <b/>
      <sz val="8"/>
      <color rgb="FF969696"/>
      <name val="Calibri"/>
      <family val="2"/>
      <scheme val="minor"/>
    </font>
    <font>
      <sz val="8"/>
      <color rgb="FF969696"/>
      <name val="Calibri"/>
      <family val="2"/>
      <scheme val="minor"/>
    </font>
    <font>
      <b/>
      <sz val="8"/>
      <color theme="1"/>
      <name val="Calibri"/>
      <family val="2"/>
    </font>
    <font>
      <b/>
      <sz val="8"/>
      <color theme="1"/>
      <name val="Calibri"/>
      <family val="2"/>
      <scheme val="minor"/>
    </font>
    <font>
      <sz val="8"/>
      <color theme="1"/>
      <name val="Calibri"/>
      <family val="2"/>
      <scheme val="minor"/>
    </font>
    <font>
      <b/>
      <sz val="8"/>
      <name val="Calibri"/>
      <family val="2"/>
    </font>
    <font>
      <b/>
      <sz val="8"/>
      <name val="Calibri"/>
      <family val="2"/>
      <scheme val="minor"/>
    </font>
    <font>
      <sz val="8"/>
      <name val="Calibri"/>
      <family val="2"/>
      <scheme val="minor"/>
    </font>
    <font>
      <sz val="8"/>
      <color theme="1"/>
      <name val="Calibri"/>
      <family val="2"/>
    </font>
    <font>
      <sz val="11"/>
      <color theme="1"/>
      <name val="Calibri"/>
      <family val="2"/>
      <scheme val="minor"/>
    </font>
    <font>
      <sz val="8"/>
      <name val="Calibri"/>
      <family val="2"/>
    </font>
    <font>
      <sz val="9"/>
      <color rgb="FF000000"/>
      <name val="Calibri"/>
      <family val="2"/>
      <scheme val="minor"/>
    </font>
    <font>
      <u/>
      <sz val="12"/>
      <name val="Calibri"/>
      <family val="2"/>
      <scheme val="minor"/>
    </font>
    <font>
      <vertAlign val="subscript"/>
      <sz val="8"/>
      <color theme="1"/>
      <name val="Calibri"/>
      <family val="2"/>
      <scheme val="minor"/>
    </font>
    <font>
      <sz val="8"/>
      <color rgb="FF000000"/>
      <name val="Calibri"/>
      <family val="2"/>
    </font>
    <font>
      <b/>
      <sz val="8"/>
      <color rgb="FF000000"/>
      <name val="Calibri"/>
      <family val="2"/>
    </font>
  </fonts>
  <fills count="15">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theme="2"/>
        <bgColor indexed="64"/>
      </patternFill>
    </fill>
    <fill>
      <patternFill patternType="solid">
        <fgColor rgb="FFFFFF0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rgb="FFFFFFFF"/>
        <bgColor rgb="FF000000"/>
      </patternFill>
    </fill>
    <fill>
      <patternFill patternType="solid">
        <fgColor rgb="FFF2F2F2"/>
        <bgColor indexed="64"/>
      </patternFill>
    </fill>
    <fill>
      <patternFill patternType="solid">
        <fgColor rgb="FFFFFFFF"/>
        <bgColor indexed="64"/>
      </patternFill>
    </fill>
  </fills>
  <borders count="20">
    <border>
      <left/>
      <right/>
      <top/>
      <bottom/>
      <diagonal/>
    </border>
    <border>
      <left style="thin">
        <color auto="1"/>
      </left>
      <right/>
      <top/>
      <bottom style="thin">
        <color auto="1"/>
      </bottom>
      <diagonal/>
    </border>
    <border>
      <left/>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bottom/>
      <diagonal/>
    </border>
    <border>
      <left style="medium">
        <color auto="1"/>
      </left>
      <right/>
      <top/>
      <bottom/>
      <diagonal/>
    </border>
    <border>
      <left style="thin">
        <color auto="1"/>
      </left>
      <right/>
      <top/>
      <bottom/>
      <diagonal/>
    </border>
    <border>
      <left/>
      <right style="thin">
        <color auto="1"/>
      </right>
      <top/>
      <bottom/>
      <diagonal/>
    </border>
    <border>
      <left/>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thin">
        <color auto="1"/>
      </top>
      <bottom/>
      <diagonal/>
    </border>
    <border>
      <left/>
      <right style="thin">
        <color auto="1"/>
      </right>
      <top/>
      <bottom style="thin">
        <color auto="1"/>
      </bottom>
      <diagonal/>
    </border>
    <border>
      <left/>
      <right style="medium">
        <color auto="1"/>
      </right>
      <top style="medium">
        <color auto="1"/>
      </top>
      <bottom/>
      <diagonal/>
    </border>
    <border>
      <left style="medium">
        <color auto="1"/>
      </left>
      <right/>
      <top/>
      <bottom style="thin">
        <color auto="1"/>
      </bottom>
      <diagonal/>
    </border>
    <border>
      <left style="thin">
        <color auto="1"/>
      </left>
      <right/>
      <top style="thin">
        <color auto="1"/>
      </top>
      <bottom/>
      <diagonal/>
    </border>
    <border>
      <left style="medium">
        <color auto="1"/>
      </left>
      <right style="medium">
        <color auto="1"/>
      </right>
      <top style="medium">
        <color auto="1"/>
      </top>
      <bottom style="medium">
        <color auto="1"/>
      </bottom>
      <diagonal/>
    </border>
    <border>
      <left/>
      <right style="medium">
        <color auto="1"/>
      </right>
      <top/>
      <bottom style="thin">
        <color auto="1"/>
      </bottom>
      <diagonal/>
    </border>
  </borders>
  <cellStyleXfs count="500">
    <xf numFmtId="0" fontId="0" fillId="0" borderId="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29" fillId="0" borderId="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9" fontId="31" fillId="0" borderId="0" applyFont="0" applyFill="0" applyBorder="0" applyAlignment="0" applyProtection="0"/>
    <xf numFmtId="0" fontId="17" fillId="0" borderId="0" applyNumberFormat="0" applyFill="0" applyBorder="0" applyAlignment="0" applyProtection="0"/>
    <xf numFmtId="43" fontId="41" fillId="0" borderId="0" applyFont="0" applyFill="0" applyBorder="0" applyAlignment="0" applyProtection="0"/>
    <xf numFmtId="43" fontId="31" fillId="0" borderId="0" applyFont="0" applyFill="0" applyBorder="0" applyAlignment="0" applyProtection="0"/>
  </cellStyleXfs>
  <cellXfs count="211">
    <xf numFmtId="0" fontId="0" fillId="0" borderId="0" xfId="0"/>
    <xf numFmtId="0" fontId="20" fillId="3" borderId="7" xfId="0" applyFont="1" applyFill="1" applyBorder="1"/>
    <xf numFmtId="0" fontId="21" fillId="3" borderId="17" xfId="0" applyFont="1" applyFill="1" applyBorder="1"/>
    <xf numFmtId="0" fontId="20" fillId="3" borderId="13" xfId="0" applyFont="1" applyFill="1" applyBorder="1"/>
    <xf numFmtId="0" fontId="22" fillId="3" borderId="7" xfId="0" applyFont="1" applyFill="1" applyBorder="1" applyAlignment="1">
      <alignment vertical="center"/>
    </xf>
    <xf numFmtId="49" fontId="20" fillId="2" borderId="8" xfId="0" applyNumberFormat="1" applyFont="1" applyFill="1" applyBorder="1" applyAlignment="1">
      <alignment horizontal="left"/>
    </xf>
    <xf numFmtId="0" fontId="22" fillId="3" borderId="1" xfId="0" applyFont="1" applyFill="1" applyBorder="1" applyAlignment="1">
      <alignment vertical="center"/>
    </xf>
    <xf numFmtId="0" fontId="20" fillId="3" borderId="14" xfId="0" applyFont="1" applyFill="1" applyBorder="1"/>
    <xf numFmtId="0" fontId="20" fillId="3" borderId="0" xfId="0" applyFont="1" applyFill="1"/>
    <xf numFmtId="0" fontId="19" fillId="2" borderId="0" xfId="0" applyFont="1" applyFill="1"/>
    <xf numFmtId="0" fontId="19" fillId="2" borderId="5" xfId="0" applyFont="1" applyFill="1" applyBorder="1"/>
    <xf numFmtId="0" fontId="19" fillId="2" borderId="9" xfId="0" applyFont="1" applyFill="1" applyBorder="1"/>
    <xf numFmtId="0" fontId="19" fillId="0" borderId="9" xfId="0" applyFont="1" applyBorder="1"/>
    <xf numFmtId="0" fontId="21" fillId="0" borderId="9" xfId="0" applyFont="1" applyBorder="1"/>
    <xf numFmtId="49" fontId="19" fillId="2" borderId="0" xfId="0" applyNumberFormat="1" applyFont="1" applyFill="1"/>
    <xf numFmtId="49" fontId="19" fillId="2" borderId="9" xfId="0" applyNumberFormat="1" applyFont="1" applyFill="1" applyBorder="1"/>
    <xf numFmtId="0" fontId="19" fillId="2" borderId="4" xfId="0" applyFont="1" applyFill="1" applyBorder="1"/>
    <xf numFmtId="0" fontId="21" fillId="0" borderId="0" xfId="0" applyFont="1"/>
    <xf numFmtId="0" fontId="16" fillId="2" borderId="0" xfId="0" applyFont="1" applyFill="1"/>
    <xf numFmtId="0" fontId="20" fillId="0" borderId="0" xfId="0" applyFont="1"/>
    <xf numFmtId="0" fontId="19" fillId="0" borderId="16" xfId="0" applyFont="1" applyBorder="1"/>
    <xf numFmtId="0" fontId="19" fillId="2" borderId="6" xfId="0" applyFont="1" applyFill="1" applyBorder="1"/>
    <xf numFmtId="0" fontId="20" fillId="3" borderId="17" xfId="0" applyFont="1" applyFill="1" applyBorder="1"/>
    <xf numFmtId="0" fontId="20" fillId="3" borderId="2" xfId="0" applyFont="1" applyFill="1" applyBorder="1"/>
    <xf numFmtId="0" fontId="16" fillId="2" borderId="2" xfId="0" applyFont="1" applyFill="1" applyBorder="1"/>
    <xf numFmtId="0" fontId="23" fillId="3" borderId="0" xfId="0" applyFont="1" applyFill="1"/>
    <xf numFmtId="0" fontId="16" fillId="2" borderId="7" xfId="0" applyFont="1" applyFill="1" applyBorder="1"/>
    <xf numFmtId="0" fontId="19" fillId="0" borderId="0" xfId="0" applyFont="1"/>
    <xf numFmtId="0" fontId="21" fillId="3" borderId="0" xfId="0" applyFont="1" applyFill="1"/>
    <xf numFmtId="0" fontId="15" fillId="2" borderId="0" xfId="0" applyFont="1" applyFill="1"/>
    <xf numFmtId="0" fontId="15" fillId="2" borderId="3" xfId="0" applyFont="1" applyFill="1" applyBorder="1"/>
    <xf numFmtId="0" fontId="15" fillId="2" borderId="15" xfId="0" applyFont="1" applyFill="1" applyBorder="1"/>
    <xf numFmtId="0" fontId="15" fillId="0" borderId="0" xfId="0" applyFont="1"/>
    <xf numFmtId="0" fontId="15" fillId="2" borderId="6" xfId="0" applyFont="1" applyFill="1" applyBorder="1"/>
    <xf numFmtId="164" fontId="15" fillId="2" borderId="18" xfId="0" applyNumberFormat="1" applyFont="1" applyFill="1" applyBorder="1"/>
    <xf numFmtId="0" fontId="14" fillId="2" borderId="0" xfId="0" applyFont="1" applyFill="1"/>
    <xf numFmtId="0" fontId="14" fillId="2" borderId="3" xfId="0" applyFont="1" applyFill="1" applyBorder="1"/>
    <xf numFmtId="0" fontId="14" fillId="2" borderId="4" xfId="0" applyFont="1" applyFill="1" applyBorder="1"/>
    <xf numFmtId="0" fontId="14" fillId="2" borderId="6" xfId="0" applyFont="1" applyFill="1" applyBorder="1"/>
    <xf numFmtId="49" fontId="14" fillId="2" borderId="0" xfId="0" applyNumberFormat="1" applyFont="1" applyFill="1"/>
    <xf numFmtId="49" fontId="14" fillId="2" borderId="4" xfId="0" applyNumberFormat="1" applyFont="1" applyFill="1" applyBorder="1"/>
    <xf numFmtId="0" fontId="14" fillId="2" borderId="16" xfId="0" applyFont="1" applyFill="1" applyBorder="1"/>
    <xf numFmtId="0" fontId="24" fillId="2" borderId="0" xfId="0" applyFont="1" applyFill="1"/>
    <xf numFmtId="0" fontId="24" fillId="2" borderId="3" xfId="0" applyFont="1" applyFill="1" applyBorder="1"/>
    <xf numFmtId="0" fontId="24" fillId="2" borderId="4" xfId="0" applyFont="1" applyFill="1" applyBorder="1"/>
    <xf numFmtId="0" fontId="24" fillId="2" borderId="15" xfId="0" applyFont="1" applyFill="1" applyBorder="1"/>
    <xf numFmtId="0" fontId="25" fillId="2" borderId="0" xfId="0" applyFont="1" applyFill="1"/>
    <xf numFmtId="0" fontId="24" fillId="2" borderId="9" xfId="0" applyFont="1" applyFill="1" applyBorder="1"/>
    <xf numFmtId="0" fontId="24" fillId="2" borderId="6" xfId="0" applyFont="1" applyFill="1" applyBorder="1"/>
    <xf numFmtId="0" fontId="25" fillId="2" borderId="9" xfId="0" applyFont="1" applyFill="1" applyBorder="1"/>
    <xf numFmtId="0" fontId="19" fillId="2" borderId="17" xfId="0" applyFont="1" applyFill="1" applyBorder="1"/>
    <xf numFmtId="0" fontId="13" fillId="2" borderId="2" xfId="0" applyFont="1" applyFill="1" applyBorder="1"/>
    <xf numFmtId="0" fontId="19" fillId="2" borderId="7" xfId="0" applyFont="1" applyFill="1" applyBorder="1"/>
    <xf numFmtId="0" fontId="13" fillId="2" borderId="0" xfId="0" applyFont="1" applyFill="1"/>
    <xf numFmtId="0" fontId="26" fillId="2" borderId="0" xfId="0" applyFont="1" applyFill="1"/>
    <xf numFmtId="0" fontId="13" fillId="2" borderId="18" xfId="0" applyFont="1" applyFill="1" applyBorder="1"/>
    <xf numFmtId="0" fontId="13" fillId="4" borderId="0" xfId="0" applyFont="1" applyFill="1"/>
    <xf numFmtId="0" fontId="13" fillId="5" borderId="0" xfId="0" applyFont="1" applyFill="1"/>
    <xf numFmtId="0" fontId="13" fillId="6" borderId="0" xfId="0" applyFont="1" applyFill="1"/>
    <xf numFmtId="0" fontId="13" fillId="7" borderId="0" xfId="0" applyFont="1" applyFill="1"/>
    <xf numFmtId="0" fontId="13" fillId="2" borderId="7" xfId="0" applyFont="1" applyFill="1" applyBorder="1"/>
    <xf numFmtId="0" fontId="13" fillId="8" borderId="0" xfId="0" applyFont="1" applyFill="1"/>
    <xf numFmtId="0" fontId="13" fillId="9" borderId="0" xfId="0" applyFont="1" applyFill="1"/>
    <xf numFmtId="0" fontId="13" fillId="10" borderId="0" xfId="0" applyFont="1" applyFill="1"/>
    <xf numFmtId="0" fontId="13" fillId="11" borderId="0" xfId="0" applyFont="1" applyFill="1"/>
    <xf numFmtId="0" fontId="19" fillId="2" borderId="19" xfId="0" applyFont="1" applyFill="1" applyBorder="1"/>
    <xf numFmtId="0" fontId="15" fillId="2" borderId="5" xfId="0" applyFont="1" applyFill="1" applyBorder="1"/>
    <xf numFmtId="0" fontId="20" fillId="2" borderId="0" xfId="0" applyFont="1" applyFill="1"/>
    <xf numFmtId="0" fontId="25" fillId="2" borderId="16" xfId="0" applyFont="1" applyFill="1" applyBorder="1"/>
    <xf numFmtId="0" fontId="24" fillId="2" borderId="19" xfId="0" applyFont="1" applyFill="1" applyBorder="1"/>
    <xf numFmtId="0" fontId="12" fillId="0" borderId="0" xfId="0" applyFont="1"/>
    <xf numFmtId="0" fontId="12" fillId="2" borderId="0" xfId="0" applyFont="1" applyFill="1"/>
    <xf numFmtId="0" fontId="12" fillId="2" borderId="6" xfId="0" applyFont="1" applyFill="1" applyBorder="1"/>
    <xf numFmtId="0" fontId="12" fillId="2" borderId="5" xfId="0" applyFont="1" applyFill="1" applyBorder="1"/>
    <xf numFmtId="164" fontId="12" fillId="2" borderId="18" xfId="0" applyNumberFormat="1" applyFont="1" applyFill="1" applyBorder="1"/>
    <xf numFmtId="164" fontId="12" fillId="2" borderId="0" xfId="0" applyNumberFormat="1" applyFont="1" applyFill="1"/>
    <xf numFmtId="0" fontId="12" fillId="2" borderId="10" xfId="0" applyFont="1" applyFill="1" applyBorder="1"/>
    <xf numFmtId="0" fontId="12" fillId="2" borderId="11" xfId="0" applyFont="1" applyFill="1" applyBorder="1"/>
    <xf numFmtId="0" fontId="12" fillId="2" borderId="12" xfId="0" applyFont="1" applyFill="1" applyBorder="1"/>
    <xf numFmtId="166" fontId="15" fillId="2" borderId="6" xfId="0" applyNumberFormat="1" applyFont="1" applyFill="1" applyBorder="1"/>
    <xf numFmtId="166" fontId="12" fillId="0" borderId="0" xfId="0" applyNumberFormat="1" applyFont="1"/>
    <xf numFmtId="166" fontId="20" fillId="0" borderId="0" xfId="0" applyNumberFormat="1" applyFont="1"/>
    <xf numFmtId="166" fontId="15" fillId="0" borderId="0" xfId="0" applyNumberFormat="1" applyFont="1"/>
    <xf numFmtId="166" fontId="15" fillId="2" borderId="5" xfId="0" applyNumberFormat="1" applyFont="1" applyFill="1" applyBorder="1"/>
    <xf numFmtId="166" fontId="11" fillId="0" borderId="0" xfId="0" applyNumberFormat="1" applyFont="1"/>
    <xf numFmtId="0" fontId="11" fillId="0" borderId="0" xfId="0" applyFont="1"/>
    <xf numFmtId="166" fontId="10" fillId="0" borderId="0" xfId="0" applyNumberFormat="1" applyFont="1"/>
    <xf numFmtId="0" fontId="9" fillId="0" borderId="0" xfId="0" applyFont="1"/>
    <xf numFmtId="0" fontId="27" fillId="12" borderId="18" xfId="0" applyFont="1" applyFill="1" applyBorder="1"/>
    <xf numFmtId="0" fontId="8" fillId="2" borderId="18" xfId="0" applyFont="1" applyFill="1" applyBorder="1"/>
    <xf numFmtId="0" fontId="7" fillId="2" borderId="0" xfId="0" applyFont="1" applyFill="1" applyAlignment="1">
      <alignment vertical="center"/>
    </xf>
    <xf numFmtId="0" fontId="7" fillId="2" borderId="6" xfId="0" applyFont="1" applyFill="1" applyBorder="1" applyAlignment="1">
      <alignment vertical="center"/>
    </xf>
    <xf numFmtId="0" fontId="7" fillId="0" borderId="0" xfId="0" applyFont="1" applyAlignment="1">
      <alignment vertical="center"/>
    </xf>
    <xf numFmtId="0" fontId="20" fillId="0" borderId="0" xfId="0" applyFont="1" applyAlignment="1">
      <alignment vertical="center"/>
    </xf>
    <xf numFmtId="0" fontId="7" fillId="2" borderId="5" xfId="0" applyFont="1" applyFill="1" applyBorder="1" applyAlignment="1">
      <alignment vertical="center"/>
    </xf>
    <xf numFmtId="164" fontId="7" fillId="2" borderId="18" xfId="0" applyNumberFormat="1" applyFont="1" applyFill="1" applyBorder="1"/>
    <xf numFmtId="0" fontId="30" fillId="2" borderId="0" xfId="0" applyFont="1" applyFill="1" applyAlignment="1">
      <alignment vertical="center"/>
    </xf>
    <xf numFmtId="0" fontId="19" fillId="2" borderId="6" xfId="0" applyFont="1" applyFill="1" applyBorder="1" applyAlignment="1">
      <alignment vertical="center"/>
    </xf>
    <xf numFmtId="0" fontId="19" fillId="0" borderId="0" xfId="0" applyFont="1" applyAlignment="1">
      <alignment vertical="center"/>
    </xf>
    <xf numFmtId="0" fontId="30" fillId="2" borderId="5" xfId="0" applyFont="1" applyFill="1" applyBorder="1" applyAlignment="1">
      <alignment vertical="center"/>
    </xf>
    <xf numFmtId="0" fontId="25" fillId="2" borderId="6" xfId="0" applyFont="1" applyFill="1" applyBorder="1"/>
    <xf numFmtId="0" fontId="6" fillId="0" borderId="0" xfId="0" applyFont="1" applyAlignment="1">
      <alignment vertical="center"/>
    </xf>
    <xf numFmtId="2" fontId="12" fillId="2" borderId="18" xfId="0" applyNumberFormat="1" applyFont="1" applyFill="1" applyBorder="1"/>
    <xf numFmtId="0" fontId="5" fillId="2" borderId="0" xfId="0" applyFont="1" applyFill="1"/>
    <xf numFmtId="2" fontId="24" fillId="2" borderId="0" xfId="0" applyNumberFormat="1" applyFont="1" applyFill="1"/>
    <xf numFmtId="2" fontId="24" fillId="2" borderId="18" xfId="0" applyNumberFormat="1" applyFont="1" applyFill="1" applyBorder="1" applyAlignment="1">
      <alignment vertical="center"/>
    </xf>
    <xf numFmtId="164" fontId="24" fillId="2" borderId="18" xfId="0" applyNumberFormat="1" applyFont="1" applyFill="1" applyBorder="1"/>
    <xf numFmtId="165" fontId="24" fillId="2" borderId="0" xfId="0" applyNumberFormat="1" applyFont="1" applyFill="1"/>
    <xf numFmtId="0" fontId="32" fillId="13" borderId="2" xfId="0" applyFont="1" applyFill="1" applyBorder="1" applyAlignment="1">
      <alignment horizontal="left" vertical="top"/>
    </xf>
    <xf numFmtId="0" fontId="33" fillId="13" borderId="2" xfId="0" applyFont="1" applyFill="1" applyBorder="1" applyAlignment="1">
      <alignment horizontal="left" vertical="top"/>
    </xf>
    <xf numFmtId="0" fontId="33" fillId="13" borderId="0" xfId="0" applyFont="1" applyFill="1" applyAlignment="1">
      <alignment horizontal="left" vertical="top"/>
    </xf>
    <xf numFmtId="0" fontId="32" fillId="13" borderId="11" xfId="0" applyFont="1" applyFill="1" applyBorder="1" applyAlignment="1">
      <alignment horizontal="left" vertical="top"/>
    </xf>
    <xf numFmtId="0" fontId="33" fillId="13" borderId="11" xfId="0" applyFont="1" applyFill="1" applyBorder="1" applyAlignment="1">
      <alignment horizontal="left" vertical="top"/>
    </xf>
    <xf numFmtId="0" fontId="38" fillId="13" borderId="11" xfId="0" applyFont="1" applyFill="1" applyBorder="1" applyAlignment="1">
      <alignment horizontal="right" vertical="top"/>
    </xf>
    <xf numFmtId="0" fontId="36" fillId="0" borderId="0" xfId="0" applyFont="1" applyAlignment="1">
      <alignment horizontal="right" vertical="top"/>
    </xf>
    <xf numFmtId="0" fontId="35" fillId="0" borderId="0" xfId="0" applyFont="1" applyAlignment="1">
      <alignment horizontal="left" vertical="top"/>
    </xf>
    <xf numFmtId="0" fontId="35" fillId="0" borderId="11" xfId="0" applyFont="1" applyBorder="1" applyAlignment="1">
      <alignment horizontal="left" vertical="top"/>
    </xf>
    <xf numFmtId="0" fontId="36" fillId="0" borderId="0" xfId="0" applyFont="1"/>
    <xf numFmtId="0" fontId="44" fillId="2" borderId="0" xfId="0" applyFont="1" applyFill="1"/>
    <xf numFmtId="0" fontId="35" fillId="13" borderId="0" xfId="0" applyFont="1" applyFill="1" applyAlignment="1">
      <alignment horizontal="right" vertical="top"/>
    </xf>
    <xf numFmtId="1" fontId="24" fillId="2" borderId="0" xfId="0" applyNumberFormat="1" applyFont="1" applyFill="1"/>
    <xf numFmtId="0" fontId="24" fillId="2" borderId="0" xfId="0" quotePrefix="1" applyFont="1" applyFill="1"/>
    <xf numFmtId="9" fontId="40" fillId="2" borderId="0" xfId="496" applyFont="1" applyFill="1" applyBorder="1" applyAlignment="1">
      <alignment horizontal="right" vertical="top"/>
    </xf>
    <xf numFmtId="9" fontId="36" fillId="2" borderId="0" xfId="496" applyFont="1" applyFill="1" applyBorder="1" applyAlignment="1">
      <alignment horizontal="center" vertical="top"/>
    </xf>
    <xf numFmtId="167" fontId="40" fillId="2" borderId="0" xfId="498" applyNumberFormat="1" applyFont="1" applyFill="1" applyBorder="1" applyAlignment="1">
      <alignment horizontal="right" vertical="top"/>
    </xf>
    <xf numFmtId="167" fontId="34" fillId="2" borderId="0" xfId="498" applyNumberFormat="1" applyFont="1" applyFill="1" applyBorder="1" applyAlignment="1">
      <alignment horizontal="right" vertical="top"/>
    </xf>
    <xf numFmtId="9" fontId="42" fillId="2" borderId="0" xfId="496" applyFont="1" applyFill="1" applyBorder="1" applyAlignment="1">
      <alignment horizontal="right" vertical="top"/>
    </xf>
    <xf numFmtId="0" fontId="32" fillId="2" borderId="0" xfId="0" applyFont="1" applyFill="1" applyAlignment="1">
      <alignment horizontal="left" vertical="top"/>
    </xf>
    <xf numFmtId="0" fontId="33" fillId="2" borderId="0" xfId="0" applyFont="1" applyFill="1" applyAlignment="1">
      <alignment horizontal="left" vertical="top"/>
    </xf>
    <xf numFmtId="0" fontId="36" fillId="2" borderId="0" xfId="0" applyFont="1" applyFill="1" applyAlignment="1">
      <alignment horizontal="right" vertical="top"/>
    </xf>
    <xf numFmtId="0" fontId="35" fillId="2" borderId="0" xfId="0" applyFont="1" applyFill="1" applyAlignment="1">
      <alignment horizontal="right" vertical="top"/>
    </xf>
    <xf numFmtId="0" fontId="37" fillId="2" borderId="0" xfId="0" applyFont="1" applyFill="1" applyAlignment="1">
      <alignment horizontal="right" vertical="top"/>
    </xf>
    <xf numFmtId="0" fontId="36" fillId="2" borderId="0" xfId="0" applyFont="1" applyFill="1" applyAlignment="1">
      <alignment horizontal="center" vertical="top"/>
    </xf>
    <xf numFmtId="0" fontId="38" fillId="2" borderId="0" xfId="0" applyFont="1" applyFill="1" applyAlignment="1">
      <alignment horizontal="right" vertical="top"/>
    </xf>
    <xf numFmtId="0" fontId="35" fillId="2" borderId="0" xfId="0" applyFont="1" applyFill="1" applyAlignment="1">
      <alignment horizontal="left" vertical="top"/>
    </xf>
    <xf numFmtId="0" fontId="39" fillId="2" borderId="0" xfId="0" applyFont="1" applyFill="1"/>
    <xf numFmtId="0" fontId="40" fillId="2" borderId="0" xfId="0" applyFont="1" applyFill="1" applyAlignment="1">
      <alignment horizontal="right" vertical="top"/>
    </xf>
    <xf numFmtId="0" fontId="34" fillId="2" borderId="0" xfId="0" applyFont="1" applyFill="1" applyAlignment="1">
      <alignment horizontal="right" vertical="top"/>
    </xf>
    <xf numFmtId="9" fontId="40" fillId="2" borderId="0" xfId="0" applyNumberFormat="1" applyFont="1" applyFill="1" applyAlignment="1">
      <alignment horizontal="right" vertical="top"/>
    </xf>
    <xf numFmtId="0" fontId="36" fillId="2" borderId="0" xfId="0" applyFont="1" applyFill="1" applyAlignment="1">
      <alignment horizontal="left" vertical="top"/>
    </xf>
    <xf numFmtId="0" fontId="39" fillId="2" borderId="0" xfId="0" applyFont="1" applyFill="1" applyAlignment="1">
      <alignment horizontal="left" vertical="top"/>
    </xf>
    <xf numFmtId="0" fontId="42" fillId="2" borderId="0" xfId="0" applyFont="1" applyFill="1" applyAlignment="1">
      <alignment horizontal="right" vertical="top"/>
    </xf>
    <xf numFmtId="9" fontId="42" fillId="2" borderId="0" xfId="0" applyNumberFormat="1" applyFont="1" applyFill="1" applyAlignment="1">
      <alignment horizontal="right" vertical="top"/>
    </xf>
    <xf numFmtId="0" fontId="39" fillId="2" borderId="0" xfId="0" applyFont="1" applyFill="1" applyAlignment="1">
      <alignment horizontal="center" vertical="top"/>
    </xf>
    <xf numFmtId="0" fontId="38" fillId="2" borderId="0" xfId="0" applyFont="1" applyFill="1" applyAlignment="1">
      <alignment horizontal="left" vertical="top"/>
    </xf>
    <xf numFmtId="0" fontId="38" fillId="2" borderId="0" xfId="0" applyFont="1" applyFill="1"/>
    <xf numFmtId="2" fontId="42" fillId="2" borderId="0" xfId="0" applyNumberFormat="1" applyFont="1" applyFill="1" applyAlignment="1">
      <alignment horizontal="right" vertical="top"/>
    </xf>
    <xf numFmtId="2" fontId="37" fillId="2" borderId="0" xfId="0" applyNumberFormat="1" applyFont="1" applyFill="1" applyAlignment="1">
      <alignment horizontal="right" vertical="top"/>
    </xf>
    <xf numFmtId="1" fontId="42" fillId="2" borderId="0" xfId="0" applyNumberFormat="1" applyFont="1" applyFill="1" applyAlignment="1">
      <alignment horizontal="right" vertical="top"/>
    </xf>
    <xf numFmtId="1" fontId="37" fillId="2" borderId="0" xfId="0" applyNumberFormat="1" applyFont="1" applyFill="1" applyAlignment="1">
      <alignment horizontal="right" vertical="top"/>
    </xf>
    <xf numFmtId="0" fontId="36" fillId="2" borderId="0" xfId="0" applyFont="1" applyFill="1"/>
    <xf numFmtId="0" fontId="36" fillId="2" borderId="0" xfId="0" applyFont="1" applyFill="1" applyAlignment="1">
      <alignment horizontal="right"/>
    </xf>
    <xf numFmtId="0" fontId="36" fillId="2" borderId="0" xfId="0" applyFont="1" applyFill="1" applyAlignment="1">
      <alignment horizontal="center"/>
    </xf>
    <xf numFmtId="0" fontId="37" fillId="2" borderId="0" xfId="0" applyFont="1" applyFill="1"/>
    <xf numFmtId="0" fontId="42" fillId="2" borderId="0" xfId="0" applyFont="1" applyFill="1"/>
    <xf numFmtId="0" fontId="42" fillId="2" borderId="0" xfId="0" applyFont="1" applyFill="1" applyAlignment="1">
      <alignment horizontal="left" vertical="top"/>
    </xf>
    <xf numFmtId="0" fontId="43" fillId="2" borderId="0" xfId="0" applyFont="1" applyFill="1" applyAlignment="1">
      <alignment vertical="center"/>
    </xf>
    <xf numFmtId="0" fontId="43" fillId="2" borderId="0" xfId="0" applyFont="1" applyFill="1" applyAlignment="1">
      <alignment vertical="center" wrapText="1"/>
    </xf>
    <xf numFmtId="0" fontId="38" fillId="13" borderId="0" xfId="0" applyFont="1" applyFill="1" applyAlignment="1">
      <alignment horizontal="right" vertical="top"/>
    </xf>
    <xf numFmtId="0" fontId="35" fillId="13" borderId="0" xfId="0" applyFont="1" applyFill="1" applyAlignment="1">
      <alignment horizontal="center" vertical="top"/>
    </xf>
    <xf numFmtId="0" fontId="35" fillId="13" borderId="11" xfId="0" applyFont="1" applyFill="1" applyBorder="1" applyAlignment="1">
      <alignment horizontal="center" vertical="top"/>
    </xf>
    <xf numFmtId="0" fontId="32" fillId="14" borderId="0" xfId="0" applyFont="1" applyFill="1" applyAlignment="1">
      <alignment horizontal="left" vertical="top"/>
    </xf>
    <xf numFmtId="0" fontId="35" fillId="14" borderId="0" xfId="0" applyFont="1" applyFill="1" applyAlignment="1">
      <alignment horizontal="right" vertical="top"/>
    </xf>
    <xf numFmtId="0" fontId="35" fillId="14" borderId="0" xfId="0" applyFont="1" applyFill="1" applyAlignment="1">
      <alignment horizontal="center" vertical="top"/>
    </xf>
    <xf numFmtId="0" fontId="35" fillId="14" borderId="0" xfId="0" applyFont="1" applyFill="1" applyAlignment="1">
      <alignment horizontal="left" vertical="top"/>
    </xf>
    <xf numFmtId="0" fontId="36" fillId="14" borderId="0" xfId="0" applyFont="1" applyFill="1" applyAlignment="1">
      <alignment horizontal="left" vertical="top"/>
    </xf>
    <xf numFmtId="0" fontId="40" fillId="14" borderId="0" xfId="0" applyFont="1" applyFill="1" applyAlignment="1">
      <alignment horizontal="right" vertical="top"/>
    </xf>
    <xf numFmtId="9" fontId="40" fillId="14" borderId="0" xfId="0" applyNumberFormat="1" applyFont="1" applyFill="1" applyAlignment="1">
      <alignment horizontal="right" vertical="top"/>
    </xf>
    <xf numFmtId="0" fontId="36" fillId="14" borderId="0" xfId="0" applyFont="1" applyFill="1" applyAlignment="1">
      <alignment horizontal="center" vertical="top"/>
    </xf>
    <xf numFmtId="0" fontId="34" fillId="14" borderId="0" xfId="0" applyFont="1" applyFill="1" applyAlignment="1">
      <alignment horizontal="right" vertical="top"/>
    </xf>
    <xf numFmtId="0" fontId="46" fillId="14" borderId="0" xfId="0" applyFont="1" applyFill="1" applyAlignment="1">
      <alignment horizontal="right" vertical="top"/>
    </xf>
    <xf numFmtId="2" fontId="40" fillId="14" borderId="0" xfId="0" applyNumberFormat="1" applyFont="1" applyFill="1" applyAlignment="1">
      <alignment horizontal="right" vertical="top"/>
    </xf>
    <xf numFmtId="0" fontId="36" fillId="14" borderId="11" xfId="0" applyFont="1" applyFill="1" applyBorder="1" applyAlignment="1">
      <alignment horizontal="left" vertical="top"/>
    </xf>
    <xf numFmtId="0" fontId="40" fillId="14" borderId="11" xfId="0" applyFont="1" applyFill="1" applyBorder="1" applyAlignment="1">
      <alignment horizontal="right" vertical="top"/>
    </xf>
    <xf numFmtId="0" fontId="36" fillId="14" borderId="11" xfId="0" applyFont="1" applyFill="1" applyBorder="1" applyAlignment="1">
      <alignment horizontal="center" vertical="top"/>
    </xf>
    <xf numFmtId="0" fontId="36" fillId="14" borderId="0" xfId="0" applyFont="1" applyFill="1" applyAlignment="1">
      <alignment vertical="center" wrapText="1"/>
    </xf>
    <xf numFmtId="0" fontId="36" fillId="14" borderId="0" xfId="0" applyFont="1" applyFill="1" applyAlignment="1">
      <alignment horizontal="center" vertical="center" wrapText="1"/>
    </xf>
    <xf numFmtId="0" fontId="34" fillId="0" borderId="0" xfId="0" applyFont="1"/>
    <xf numFmtId="0" fontId="40" fillId="0" borderId="0" xfId="0" applyFont="1"/>
    <xf numFmtId="0" fontId="47" fillId="14" borderId="0" xfId="0" applyFont="1" applyFill="1" applyAlignment="1">
      <alignment horizontal="right" vertical="top"/>
    </xf>
    <xf numFmtId="2" fontId="34" fillId="14" borderId="0" xfId="0" applyNumberFormat="1" applyFont="1" applyFill="1" applyAlignment="1">
      <alignment horizontal="right" vertical="top"/>
    </xf>
    <xf numFmtId="0" fontId="34" fillId="14" borderId="11" xfId="0" applyFont="1" applyFill="1" applyBorder="1" applyAlignment="1">
      <alignment horizontal="right" vertical="top"/>
    </xf>
    <xf numFmtId="164" fontId="24" fillId="2" borderId="0" xfId="0" applyNumberFormat="1" applyFont="1" applyFill="1"/>
    <xf numFmtId="168" fontId="24" fillId="2" borderId="0" xfId="499" applyNumberFormat="1" applyFont="1" applyFill="1"/>
    <xf numFmtId="43" fontId="24" fillId="2" borderId="0" xfId="499" applyFont="1" applyFill="1"/>
    <xf numFmtId="168" fontId="24" fillId="2" borderId="0" xfId="0" applyNumberFormat="1" applyFont="1" applyFill="1"/>
    <xf numFmtId="0" fontId="4" fillId="2" borderId="0" xfId="0" applyFont="1" applyFill="1"/>
    <xf numFmtId="169" fontId="4" fillId="2" borderId="0" xfId="0" applyNumberFormat="1" applyFont="1" applyFill="1"/>
    <xf numFmtId="49" fontId="17" fillId="2" borderId="0" xfId="497" applyNumberFormat="1" applyFill="1"/>
    <xf numFmtId="0" fontId="4" fillId="0" borderId="0" xfId="0" applyFont="1"/>
    <xf numFmtId="0" fontId="4" fillId="0" borderId="0" xfId="0" applyFont="1" applyAlignment="1">
      <alignment vertical="center"/>
    </xf>
    <xf numFmtId="0" fontId="4" fillId="2" borderId="18" xfId="0" applyFont="1" applyFill="1" applyBorder="1" applyAlignment="1">
      <alignment vertical="center"/>
    </xf>
    <xf numFmtId="0" fontId="4" fillId="2" borderId="18" xfId="0" applyFont="1" applyFill="1" applyBorder="1"/>
    <xf numFmtId="0" fontId="3" fillId="2" borderId="0" xfId="0" applyFont="1" applyFill="1"/>
    <xf numFmtId="166" fontId="24" fillId="2" borderId="0" xfId="0" applyNumberFormat="1" applyFont="1" applyFill="1"/>
    <xf numFmtId="166" fontId="2" fillId="2" borderId="18" xfId="0" applyNumberFormat="1" applyFont="1" applyFill="1" applyBorder="1"/>
    <xf numFmtId="0" fontId="27" fillId="12" borderId="17" xfId="0" applyFont="1" applyFill="1" applyBorder="1" applyAlignment="1">
      <alignment horizontal="left" vertical="top" wrapText="1"/>
    </xf>
    <xf numFmtId="0" fontId="27" fillId="12" borderId="2" xfId="0" applyFont="1" applyFill="1" applyBorder="1" applyAlignment="1">
      <alignment horizontal="left" vertical="top" wrapText="1"/>
    </xf>
    <xf numFmtId="0" fontId="27" fillId="12" borderId="13" xfId="0" applyFont="1" applyFill="1" applyBorder="1" applyAlignment="1">
      <alignment horizontal="left" vertical="top" wrapText="1"/>
    </xf>
    <xf numFmtId="0" fontId="27" fillId="12" borderId="7" xfId="0" applyFont="1" applyFill="1" applyBorder="1" applyAlignment="1">
      <alignment horizontal="left" vertical="top" wrapText="1"/>
    </xf>
    <xf numFmtId="0" fontId="27" fillId="12" borderId="0" xfId="0" applyFont="1" applyFill="1" applyAlignment="1">
      <alignment horizontal="left" vertical="top" wrapText="1"/>
    </xf>
    <xf numFmtId="0" fontId="27" fillId="12" borderId="8" xfId="0" applyFont="1" applyFill="1" applyBorder="1" applyAlignment="1">
      <alignment horizontal="left" vertical="top" wrapText="1"/>
    </xf>
    <xf numFmtId="0" fontId="27" fillId="12" borderId="1" xfId="0" applyFont="1" applyFill="1" applyBorder="1" applyAlignment="1">
      <alignment horizontal="left" vertical="top" wrapText="1"/>
    </xf>
    <xf numFmtId="0" fontId="27" fillId="12" borderId="9" xfId="0" applyFont="1" applyFill="1" applyBorder="1" applyAlignment="1">
      <alignment horizontal="left" vertical="top" wrapText="1"/>
    </xf>
    <xf numFmtId="0" fontId="27" fillId="12" borderId="14" xfId="0" applyFont="1" applyFill="1" applyBorder="1" applyAlignment="1">
      <alignment horizontal="left" vertical="top" wrapText="1"/>
    </xf>
    <xf numFmtId="0" fontId="34" fillId="2" borderId="0" xfId="497" applyFont="1" applyFill="1" applyBorder="1" applyAlignment="1" applyProtection="1">
      <alignment horizontal="center" vertical="top" wrapText="1"/>
    </xf>
    <xf numFmtId="0" fontId="35" fillId="2" borderId="0" xfId="0" applyFont="1" applyFill="1" applyAlignment="1">
      <alignment horizontal="center" vertical="top" wrapText="1"/>
    </xf>
    <xf numFmtId="0" fontId="34" fillId="13" borderId="2" xfId="497" applyFont="1" applyFill="1" applyBorder="1" applyAlignment="1" applyProtection="1">
      <alignment horizontal="center" vertical="top" wrapText="1"/>
    </xf>
    <xf numFmtId="0" fontId="35" fillId="13" borderId="2" xfId="0" applyFont="1" applyFill="1" applyBorder="1" applyAlignment="1">
      <alignment horizontal="center" vertical="top" wrapText="1"/>
    </xf>
    <xf numFmtId="0" fontId="1" fillId="0" borderId="0" xfId="0" applyFont="1"/>
    <xf numFmtId="170" fontId="1" fillId="2" borderId="18" xfId="0" applyNumberFormat="1" applyFont="1" applyFill="1" applyBorder="1"/>
  </cellXfs>
  <cellStyles count="500">
    <cellStyle name="Comma" xfId="499" builtinId="3"/>
    <cellStyle name="Comma 2" xfId="498" xr:uid="{F4EFD76B-DEEF-5F4C-84C7-4A51E91A835C}"/>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7" builtinId="9" hidden="1"/>
    <cellStyle name="Followed Hyperlink" xfId="178" builtinId="9" hidden="1"/>
    <cellStyle name="Followed Hyperlink" xfId="179" builtinId="9" hidden="1"/>
    <cellStyle name="Followed Hyperlink" xfId="180" builtinId="9" hidden="1"/>
    <cellStyle name="Followed Hyperlink" xfId="181" builtinId="9" hidden="1"/>
    <cellStyle name="Followed Hyperlink" xfId="182" builtinId="9" hidden="1"/>
    <cellStyle name="Followed Hyperlink" xfId="183"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Followed Hyperlink" xfId="215" builtinId="9" hidden="1"/>
    <cellStyle name="Followed Hyperlink" xfId="216" builtinId="9" hidden="1"/>
    <cellStyle name="Followed Hyperlink" xfId="217" builtinId="9" hidden="1"/>
    <cellStyle name="Followed Hyperlink" xfId="218" builtinId="9" hidden="1"/>
    <cellStyle name="Followed Hyperlink" xfId="219" builtinId="9" hidden="1"/>
    <cellStyle name="Followed Hyperlink" xfId="220" builtinId="9" hidden="1"/>
    <cellStyle name="Followed Hyperlink" xfId="221" builtinId="9" hidden="1"/>
    <cellStyle name="Followed Hyperlink" xfId="222" builtinId="9" hidden="1"/>
    <cellStyle name="Followed Hyperlink" xfId="223" builtinId="9" hidden="1"/>
    <cellStyle name="Followed Hyperlink" xfId="224" builtinId="9" hidden="1"/>
    <cellStyle name="Followed Hyperlink" xfId="225" builtinId="9" hidden="1"/>
    <cellStyle name="Followed Hyperlink" xfId="226" builtinId="9" hidden="1"/>
    <cellStyle name="Followed Hyperlink" xfId="227" builtinId="9" hidden="1"/>
    <cellStyle name="Followed Hyperlink" xfId="228" builtinId="9" hidden="1"/>
    <cellStyle name="Followed Hyperlink" xfId="229" builtinId="9" hidden="1"/>
    <cellStyle name="Followed Hyperlink" xfId="230" builtinId="9" hidden="1"/>
    <cellStyle name="Followed Hyperlink" xfId="231" builtinId="9" hidden="1"/>
    <cellStyle name="Followed Hyperlink" xfId="232" builtinId="9" hidden="1"/>
    <cellStyle name="Followed Hyperlink" xfId="233" builtinId="9" hidden="1"/>
    <cellStyle name="Followed Hyperlink" xfId="234" builtinId="9" hidden="1"/>
    <cellStyle name="Followed Hyperlink" xfId="235" builtinId="9" hidden="1"/>
    <cellStyle name="Followed Hyperlink" xfId="236" builtinId="9" hidden="1"/>
    <cellStyle name="Followed Hyperlink" xfId="237" builtinId="9" hidden="1"/>
    <cellStyle name="Followed Hyperlink" xfId="238" builtinId="9" hidden="1"/>
    <cellStyle name="Followed Hyperlink" xfId="239" builtinId="9" hidden="1"/>
    <cellStyle name="Followed Hyperlink" xfId="240" builtinId="9" hidden="1"/>
    <cellStyle name="Followed Hyperlink" xfId="241" builtinId="9" hidden="1"/>
    <cellStyle name="Followed Hyperlink" xfId="242" builtinId="9" hidden="1"/>
    <cellStyle name="Followed Hyperlink" xfId="243" builtinId="9" hidden="1"/>
    <cellStyle name="Followed Hyperlink" xfId="244" builtinId="9" hidden="1"/>
    <cellStyle name="Followed Hyperlink" xfId="245" builtinId="9" hidden="1"/>
    <cellStyle name="Followed Hyperlink" xfId="246" builtinId="9" hidden="1"/>
    <cellStyle name="Followed Hyperlink" xfId="247" builtinId="9" hidden="1"/>
    <cellStyle name="Followed Hyperlink" xfId="248" builtinId="9" hidden="1"/>
    <cellStyle name="Followed Hyperlink" xfId="249" builtinId="9" hidden="1"/>
    <cellStyle name="Followed Hyperlink" xfId="250" builtinId="9" hidden="1"/>
    <cellStyle name="Followed Hyperlink" xfId="251" builtinId="9" hidden="1"/>
    <cellStyle name="Followed Hyperlink" xfId="252" builtinId="9" hidden="1"/>
    <cellStyle name="Followed Hyperlink" xfId="253" builtinId="9" hidden="1"/>
    <cellStyle name="Followed Hyperlink" xfId="254" builtinId="9" hidden="1"/>
    <cellStyle name="Followed Hyperlink" xfId="255" builtinId="9" hidden="1"/>
    <cellStyle name="Followed Hyperlink" xfId="256" builtinId="9" hidden="1"/>
    <cellStyle name="Followed Hyperlink" xfId="257" builtinId="9" hidden="1"/>
    <cellStyle name="Followed Hyperlink" xfId="258" builtinId="9" hidden="1"/>
    <cellStyle name="Followed Hyperlink" xfId="259" builtinId="9" hidden="1"/>
    <cellStyle name="Followed Hyperlink" xfId="260" builtinId="9" hidden="1"/>
    <cellStyle name="Followed Hyperlink" xfId="261" builtinId="9" hidden="1"/>
    <cellStyle name="Followed Hyperlink" xfId="262" builtinId="9" hidden="1"/>
    <cellStyle name="Followed Hyperlink" xfId="263" builtinId="9" hidden="1"/>
    <cellStyle name="Followed Hyperlink" xfId="264" builtinId="9" hidden="1"/>
    <cellStyle name="Followed Hyperlink" xfId="265" builtinId="9" hidden="1"/>
    <cellStyle name="Followed Hyperlink" xfId="266" builtinId="9" hidden="1"/>
    <cellStyle name="Followed Hyperlink" xfId="267" builtinId="9" hidden="1"/>
    <cellStyle name="Followed Hyperlink" xfId="268" builtinId="9" hidden="1"/>
    <cellStyle name="Followed Hyperlink" xfId="269" builtinId="9" hidden="1"/>
    <cellStyle name="Followed Hyperlink" xfId="270" builtinId="9" hidden="1"/>
    <cellStyle name="Followed Hyperlink" xfId="271" builtinId="9" hidden="1"/>
    <cellStyle name="Followed Hyperlink" xfId="272" builtinId="9" hidden="1"/>
    <cellStyle name="Followed Hyperlink" xfId="273" builtinId="9" hidden="1"/>
    <cellStyle name="Followed Hyperlink" xfId="275" builtinId="9" hidden="1"/>
    <cellStyle name="Followed Hyperlink" xfId="276" builtinId="9" hidden="1"/>
    <cellStyle name="Followed Hyperlink" xfId="277" builtinId="9" hidden="1"/>
    <cellStyle name="Followed Hyperlink" xfId="278" builtinId="9" hidden="1"/>
    <cellStyle name="Followed Hyperlink" xfId="279" builtinId="9" hidden="1"/>
    <cellStyle name="Followed Hyperlink" xfId="280" builtinId="9" hidden="1"/>
    <cellStyle name="Followed Hyperlink" xfId="281" builtinId="9" hidden="1"/>
    <cellStyle name="Followed Hyperlink" xfId="282" builtinId="9" hidden="1"/>
    <cellStyle name="Followed Hyperlink" xfId="283" builtinId="9" hidden="1"/>
    <cellStyle name="Followed Hyperlink" xfId="284" builtinId="9" hidden="1"/>
    <cellStyle name="Followed Hyperlink" xfId="285" builtinId="9" hidden="1"/>
    <cellStyle name="Followed Hyperlink" xfId="286" builtinId="9" hidden="1"/>
    <cellStyle name="Followed Hyperlink" xfId="287" builtinId="9" hidden="1"/>
    <cellStyle name="Followed Hyperlink" xfId="288" builtinId="9" hidden="1"/>
    <cellStyle name="Followed Hyperlink" xfId="289" builtinId="9" hidden="1"/>
    <cellStyle name="Followed Hyperlink" xfId="290" builtinId="9" hidden="1"/>
    <cellStyle name="Followed Hyperlink" xfId="291" builtinId="9" hidden="1"/>
    <cellStyle name="Followed Hyperlink" xfId="292" builtinId="9" hidden="1"/>
    <cellStyle name="Followed Hyperlink" xfId="293" builtinId="9" hidden="1"/>
    <cellStyle name="Followed Hyperlink" xfId="294" builtinId="9" hidden="1"/>
    <cellStyle name="Followed Hyperlink" xfId="295" builtinId="9" hidden="1"/>
    <cellStyle name="Followed Hyperlink" xfId="296" builtinId="9" hidden="1"/>
    <cellStyle name="Followed Hyperlink" xfId="297" builtinId="9" hidden="1"/>
    <cellStyle name="Followed Hyperlink" xfId="298" builtinId="9" hidden="1"/>
    <cellStyle name="Followed Hyperlink" xfId="299" builtinId="9" hidden="1"/>
    <cellStyle name="Followed Hyperlink" xfId="300" builtinId="9" hidden="1"/>
    <cellStyle name="Followed Hyperlink" xfId="301" builtinId="9" hidden="1"/>
    <cellStyle name="Followed Hyperlink" xfId="302" builtinId="9" hidden="1"/>
    <cellStyle name="Followed Hyperlink" xfId="303" builtinId="9" hidden="1"/>
    <cellStyle name="Followed Hyperlink" xfId="304" builtinId="9" hidden="1"/>
    <cellStyle name="Followed Hyperlink" xfId="305" builtinId="9" hidden="1"/>
    <cellStyle name="Followed Hyperlink" xfId="306" builtinId="9" hidden="1"/>
    <cellStyle name="Followed Hyperlink" xfId="307" builtinId="9" hidden="1"/>
    <cellStyle name="Followed Hyperlink" xfId="308" builtinId="9" hidden="1"/>
    <cellStyle name="Followed Hyperlink" xfId="309" builtinId="9" hidden="1"/>
    <cellStyle name="Followed Hyperlink" xfId="310" builtinId="9" hidden="1"/>
    <cellStyle name="Followed Hyperlink" xfId="311" builtinId="9" hidden="1"/>
    <cellStyle name="Followed Hyperlink" xfId="312" builtinId="9" hidden="1"/>
    <cellStyle name="Followed Hyperlink" xfId="313" builtinId="9" hidden="1"/>
    <cellStyle name="Followed Hyperlink" xfId="314" builtinId="9" hidden="1"/>
    <cellStyle name="Followed Hyperlink" xfId="315" builtinId="9" hidden="1"/>
    <cellStyle name="Followed Hyperlink" xfId="316" builtinId="9" hidden="1"/>
    <cellStyle name="Followed Hyperlink" xfId="317" builtinId="9" hidden="1"/>
    <cellStyle name="Followed Hyperlink" xfId="318" builtinId="9" hidden="1"/>
    <cellStyle name="Followed Hyperlink" xfId="319" builtinId="9" hidden="1"/>
    <cellStyle name="Followed Hyperlink" xfId="320" builtinId="9" hidden="1"/>
    <cellStyle name="Followed Hyperlink" xfId="321" builtinId="9" hidden="1"/>
    <cellStyle name="Followed Hyperlink" xfId="322" builtinId="9" hidden="1"/>
    <cellStyle name="Followed Hyperlink" xfId="323" builtinId="9" hidden="1"/>
    <cellStyle name="Followed Hyperlink" xfId="324" builtinId="9" hidden="1"/>
    <cellStyle name="Followed Hyperlink" xfId="325" builtinId="9" hidden="1"/>
    <cellStyle name="Followed Hyperlink" xfId="326" builtinId="9" hidden="1"/>
    <cellStyle name="Followed Hyperlink" xfId="327" builtinId="9" hidden="1"/>
    <cellStyle name="Followed Hyperlink" xfId="328" builtinId="9" hidden="1"/>
    <cellStyle name="Followed Hyperlink" xfId="329" builtinId="9" hidden="1"/>
    <cellStyle name="Followed Hyperlink" xfId="330" builtinId="9" hidden="1"/>
    <cellStyle name="Followed Hyperlink" xfId="331" builtinId="9" hidden="1"/>
    <cellStyle name="Followed Hyperlink" xfId="332" builtinId="9" hidden="1"/>
    <cellStyle name="Followed Hyperlink" xfId="333" builtinId="9" hidden="1"/>
    <cellStyle name="Followed Hyperlink" xfId="334" builtinId="9" hidden="1"/>
    <cellStyle name="Followed Hyperlink" xfId="335" builtinId="9" hidden="1"/>
    <cellStyle name="Followed Hyperlink" xfId="336" builtinId="9" hidden="1"/>
    <cellStyle name="Followed Hyperlink" xfId="337" builtinId="9" hidden="1"/>
    <cellStyle name="Followed Hyperlink" xfId="338" builtinId="9" hidden="1"/>
    <cellStyle name="Followed Hyperlink" xfId="339" builtinId="9" hidden="1"/>
    <cellStyle name="Followed Hyperlink" xfId="340" builtinId="9" hidden="1"/>
    <cellStyle name="Followed Hyperlink" xfId="341" builtinId="9" hidden="1"/>
    <cellStyle name="Followed Hyperlink" xfId="342" builtinId="9" hidden="1"/>
    <cellStyle name="Followed Hyperlink" xfId="343" builtinId="9" hidden="1"/>
    <cellStyle name="Followed Hyperlink" xfId="344" builtinId="9" hidden="1"/>
    <cellStyle name="Followed Hyperlink" xfId="345" builtinId="9" hidden="1"/>
    <cellStyle name="Followed Hyperlink" xfId="346" builtinId="9" hidden="1"/>
    <cellStyle name="Followed Hyperlink" xfId="347" builtinId="9" hidden="1"/>
    <cellStyle name="Followed Hyperlink" xfId="348" builtinId="9" hidden="1"/>
    <cellStyle name="Followed Hyperlink" xfId="349" builtinId="9" hidden="1"/>
    <cellStyle name="Followed Hyperlink" xfId="350" builtinId="9" hidden="1"/>
    <cellStyle name="Followed Hyperlink" xfId="351" builtinId="9" hidden="1"/>
    <cellStyle name="Followed Hyperlink" xfId="352" builtinId="9" hidden="1"/>
    <cellStyle name="Followed Hyperlink" xfId="353" builtinId="9" hidden="1"/>
    <cellStyle name="Followed Hyperlink" xfId="354" builtinId="9" hidden="1"/>
    <cellStyle name="Followed Hyperlink" xfId="355" builtinId="9" hidden="1"/>
    <cellStyle name="Followed Hyperlink" xfId="356" builtinId="9" hidden="1"/>
    <cellStyle name="Followed Hyperlink" xfId="357" builtinId="9" hidden="1"/>
    <cellStyle name="Followed Hyperlink" xfId="358" builtinId="9" hidden="1"/>
    <cellStyle name="Followed Hyperlink" xfId="359" builtinId="9" hidden="1"/>
    <cellStyle name="Followed Hyperlink" xfId="360" builtinId="9" hidden="1"/>
    <cellStyle name="Followed Hyperlink" xfId="361" builtinId="9" hidden="1"/>
    <cellStyle name="Followed Hyperlink" xfId="362" builtinId="9" hidden="1"/>
    <cellStyle name="Followed Hyperlink" xfId="363" builtinId="9" hidden="1"/>
    <cellStyle name="Followed Hyperlink" xfId="364" builtinId="9" hidden="1"/>
    <cellStyle name="Followed Hyperlink" xfId="365" builtinId="9" hidden="1"/>
    <cellStyle name="Followed Hyperlink" xfId="366" builtinId="9" hidden="1"/>
    <cellStyle name="Followed Hyperlink" xfId="367" builtinId="9" hidden="1"/>
    <cellStyle name="Followed Hyperlink" xfId="368" builtinId="9" hidden="1"/>
    <cellStyle name="Followed Hyperlink" xfId="369" builtinId="9" hidden="1"/>
    <cellStyle name="Followed Hyperlink" xfId="370" builtinId="9" hidden="1"/>
    <cellStyle name="Followed Hyperlink" xfId="371" builtinId="9" hidden="1"/>
    <cellStyle name="Followed Hyperlink" xfId="372" builtinId="9" hidden="1"/>
    <cellStyle name="Followed Hyperlink" xfId="373" builtinId="9" hidden="1"/>
    <cellStyle name="Followed Hyperlink" xfId="374" builtinId="9" hidden="1"/>
    <cellStyle name="Followed Hyperlink" xfId="375" builtinId="9" hidden="1"/>
    <cellStyle name="Followed Hyperlink" xfId="376" builtinId="9" hidden="1"/>
    <cellStyle name="Followed Hyperlink" xfId="377" builtinId="9" hidden="1"/>
    <cellStyle name="Followed Hyperlink" xfId="378" builtinId="9" hidden="1"/>
    <cellStyle name="Followed Hyperlink" xfId="379" builtinId="9" hidden="1"/>
    <cellStyle name="Followed Hyperlink" xfId="380" builtinId="9" hidden="1"/>
    <cellStyle name="Followed Hyperlink" xfId="381" builtinId="9" hidden="1"/>
    <cellStyle name="Followed Hyperlink" xfId="382" builtinId="9" hidden="1"/>
    <cellStyle name="Followed Hyperlink" xfId="383" builtinId="9" hidden="1"/>
    <cellStyle name="Followed Hyperlink" xfId="384" builtinId="9" hidden="1"/>
    <cellStyle name="Followed Hyperlink" xfId="385" builtinId="9" hidden="1"/>
    <cellStyle name="Followed Hyperlink" xfId="386" builtinId="9" hidden="1"/>
    <cellStyle name="Followed Hyperlink" xfId="387" builtinId="9" hidden="1"/>
    <cellStyle name="Followed Hyperlink" xfId="388" builtinId="9" hidden="1"/>
    <cellStyle name="Followed Hyperlink" xfId="389" builtinId="9" hidden="1"/>
    <cellStyle name="Followed Hyperlink" xfId="390" builtinId="9" hidden="1"/>
    <cellStyle name="Followed Hyperlink" xfId="391" builtinId="9" hidden="1"/>
    <cellStyle name="Followed Hyperlink" xfId="392" builtinId="9" hidden="1"/>
    <cellStyle name="Followed Hyperlink" xfId="393" builtinId="9" hidden="1"/>
    <cellStyle name="Followed Hyperlink" xfId="394" builtinId="9" hidden="1"/>
    <cellStyle name="Followed Hyperlink" xfId="395" builtinId="9" hidden="1"/>
    <cellStyle name="Followed Hyperlink" xfId="396" builtinId="9" hidden="1"/>
    <cellStyle name="Followed Hyperlink" xfId="397" builtinId="9" hidden="1"/>
    <cellStyle name="Followed Hyperlink" xfId="398" builtinId="9" hidden="1"/>
    <cellStyle name="Followed Hyperlink" xfId="399" builtinId="9" hidden="1"/>
    <cellStyle name="Followed Hyperlink" xfId="400" builtinId="9" hidden="1"/>
    <cellStyle name="Followed Hyperlink" xfId="401" builtinId="9" hidden="1"/>
    <cellStyle name="Followed Hyperlink" xfId="402" builtinId="9" hidden="1"/>
    <cellStyle name="Followed Hyperlink" xfId="403" builtinId="9" hidden="1"/>
    <cellStyle name="Followed Hyperlink" xfId="404" builtinId="9" hidden="1"/>
    <cellStyle name="Followed Hyperlink" xfId="405" builtinId="9" hidden="1"/>
    <cellStyle name="Followed Hyperlink" xfId="406" builtinId="9" hidden="1"/>
    <cellStyle name="Followed Hyperlink" xfId="407" builtinId="9" hidden="1"/>
    <cellStyle name="Followed Hyperlink" xfId="408" builtinId="9" hidden="1"/>
    <cellStyle name="Followed Hyperlink" xfId="409" builtinId="9" hidden="1"/>
    <cellStyle name="Followed Hyperlink" xfId="410" builtinId="9" hidden="1"/>
    <cellStyle name="Followed Hyperlink" xfId="411" builtinId="9" hidden="1"/>
    <cellStyle name="Followed Hyperlink" xfId="412" builtinId="9" hidden="1"/>
    <cellStyle name="Followed Hyperlink" xfId="413" builtinId="9" hidden="1"/>
    <cellStyle name="Followed Hyperlink" xfId="414" builtinId="9" hidden="1"/>
    <cellStyle name="Followed Hyperlink" xfId="415" builtinId="9" hidden="1"/>
    <cellStyle name="Followed Hyperlink" xfId="416" builtinId="9" hidden="1"/>
    <cellStyle name="Followed Hyperlink" xfId="417" builtinId="9" hidden="1"/>
    <cellStyle name="Followed Hyperlink" xfId="418" builtinId="9" hidden="1"/>
    <cellStyle name="Followed Hyperlink" xfId="419" builtinId="9" hidden="1"/>
    <cellStyle name="Followed Hyperlink" xfId="420" builtinId="9" hidden="1"/>
    <cellStyle name="Followed Hyperlink" xfId="421" builtinId="9" hidden="1"/>
    <cellStyle name="Followed Hyperlink" xfId="422" builtinId="9" hidden="1"/>
    <cellStyle name="Followed Hyperlink" xfId="423" builtinId="9" hidden="1"/>
    <cellStyle name="Followed Hyperlink" xfId="424" builtinId="9" hidden="1"/>
    <cellStyle name="Followed Hyperlink" xfId="425" builtinId="9" hidden="1"/>
    <cellStyle name="Followed Hyperlink" xfId="426" builtinId="9" hidden="1"/>
    <cellStyle name="Followed Hyperlink" xfId="427" builtinId="9" hidden="1"/>
    <cellStyle name="Followed Hyperlink" xfId="428" builtinId="9" hidden="1"/>
    <cellStyle name="Followed Hyperlink" xfId="429" builtinId="9" hidden="1"/>
    <cellStyle name="Followed Hyperlink" xfId="430" builtinId="9" hidden="1"/>
    <cellStyle name="Followed Hyperlink" xfId="431" builtinId="9" hidden="1"/>
    <cellStyle name="Followed Hyperlink" xfId="432" builtinId="9" hidden="1"/>
    <cellStyle name="Followed Hyperlink" xfId="433" builtinId="9" hidden="1"/>
    <cellStyle name="Followed Hyperlink" xfId="434" builtinId="9" hidden="1"/>
    <cellStyle name="Followed Hyperlink" xfId="435" builtinId="9" hidden="1"/>
    <cellStyle name="Followed Hyperlink" xfId="436" builtinId="9" hidden="1"/>
    <cellStyle name="Followed Hyperlink" xfId="437" builtinId="9" hidden="1"/>
    <cellStyle name="Followed Hyperlink" xfId="438" builtinId="9" hidden="1"/>
    <cellStyle name="Followed Hyperlink" xfId="439" builtinId="9" hidden="1"/>
    <cellStyle name="Followed Hyperlink" xfId="440" builtinId="9" hidden="1"/>
    <cellStyle name="Followed Hyperlink" xfId="441" builtinId="9" hidden="1"/>
    <cellStyle name="Followed Hyperlink" xfId="442" builtinId="9" hidden="1"/>
    <cellStyle name="Followed Hyperlink" xfId="443" builtinId="9" hidden="1"/>
    <cellStyle name="Followed Hyperlink" xfId="444" builtinId="9" hidden="1"/>
    <cellStyle name="Followed Hyperlink" xfId="445" builtinId="9" hidden="1"/>
    <cellStyle name="Followed Hyperlink" xfId="446" builtinId="9" hidden="1"/>
    <cellStyle name="Followed Hyperlink" xfId="447" builtinId="9" hidden="1"/>
    <cellStyle name="Followed Hyperlink" xfId="448" builtinId="9" hidden="1"/>
    <cellStyle name="Followed Hyperlink" xfId="449" builtinId="9" hidden="1"/>
    <cellStyle name="Followed Hyperlink" xfId="450" builtinId="9" hidden="1"/>
    <cellStyle name="Followed Hyperlink" xfId="451" builtinId="9" hidden="1"/>
    <cellStyle name="Followed Hyperlink" xfId="452" builtinId="9" hidden="1"/>
    <cellStyle name="Followed Hyperlink" xfId="453" builtinId="9" hidden="1"/>
    <cellStyle name="Followed Hyperlink" xfId="454" builtinId="9" hidden="1"/>
    <cellStyle name="Followed Hyperlink" xfId="455" builtinId="9" hidden="1"/>
    <cellStyle name="Followed Hyperlink" xfId="456" builtinId="9" hidden="1"/>
    <cellStyle name="Followed Hyperlink" xfId="457" builtinId="9" hidden="1"/>
    <cellStyle name="Followed Hyperlink" xfId="458" builtinId="9" hidden="1"/>
    <cellStyle name="Followed Hyperlink" xfId="459" builtinId="9" hidden="1"/>
    <cellStyle name="Followed Hyperlink" xfId="460" builtinId="9" hidden="1"/>
    <cellStyle name="Followed Hyperlink" xfId="461" builtinId="9" hidden="1"/>
    <cellStyle name="Followed Hyperlink" xfId="462" builtinId="9" hidden="1"/>
    <cellStyle name="Followed Hyperlink" xfId="463" builtinId="9" hidden="1"/>
    <cellStyle name="Followed Hyperlink" xfId="464" builtinId="9" hidden="1"/>
    <cellStyle name="Followed Hyperlink" xfId="465" builtinId="9" hidden="1"/>
    <cellStyle name="Followed Hyperlink" xfId="466" builtinId="9" hidden="1"/>
    <cellStyle name="Followed Hyperlink" xfId="467" builtinId="9" hidden="1"/>
    <cellStyle name="Followed Hyperlink" xfId="468" builtinId="9" hidden="1"/>
    <cellStyle name="Followed Hyperlink" xfId="469" builtinId="9" hidden="1"/>
    <cellStyle name="Followed Hyperlink" xfId="470" builtinId="9" hidden="1"/>
    <cellStyle name="Followed Hyperlink" xfId="471" builtinId="9" hidden="1"/>
    <cellStyle name="Followed Hyperlink" xfId="472" builtinId="9" hidden="1"/>
    <cellStyle name="Followed Hyperlink" xfId="473" builtinId="9" hidden="1"/>
    <cellStyle name="Followed Hyperlink" xfId="474" builtinId="9" hidden="1"/>
    <cellStyle name="Followed Hyperlink" xfId="475" builtinId="9" hidden="1"/>
    <cellStyle name="Followed Hyperlink" xfId="476" builtinId="9" hidden="1"/>
    <cellStyle name="Followed Hyperlink" xfId="477" builtinId="9" hidden="1"/>
    <cellStyle name="Followed Hyperlink" xfId="478" builtinId="9" hidden="1"/>
    <cellStyle name="Followed Hyperlink" xfId="479" builtinId="9" hidden="1"/>
    <cellStyle name="Followed Hyperlink" xfId="480" builtinId="9" hidden="1"/>
    <cellStyle name="Followed Hyperlink" xfId="481" builtinId="9" hidden="1"/>
    <cellStyle name="Followed Hyperlink" xfId="482" builtinId="9" hidden="1"/>
    <cellStyle name="Followed Hyperlink" xfId="483" builtinId="9" hidden="1"/>
    <cellStyle name="Followed Hyperlink" xfId="484" builtinId="9" hidden="1"/>
    <cellStyle name="Followed Hyperlink" xfId="485" builtinId="9" hidden="1"/>
    <cellStyle name="Followed Hyperlink" xfId="486" builtinId="9" hidden="1"/>
    <cellStyle name="Followed Hyperlink" xfId="487" builtinId="9" hidden="1"/>
    <cellStyle name="Followed Hyperlink" xfId="488" builtinId="9" hidden="1"/>
    <cellStyle name="Followed Hyperlink" xfId="489" builtinId="9" hidden="1"/>
    <cellStyle name="Followed Hyperlink" xfId="490" builtinId="9" hidden="1"/>
    <cellStyle name="Followed Hyperlink" xfId="491" builtinId="9" hidden="1"/>
    <cellStyle name="Followed Hyperlink" xfId="493" builtinId="9" hidden="1"/>
    <cellStyle name="Followed Hyperlink" xfId="495"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492" builtinId="8" hidden="1"/>
    <cellStyle name="Hyperlink" xfId="494" builtinId="8" hidden="1"/>
    <cellStyle name="Hyperlink" xfId="497" builtinId="8"/>
    <cellStyle name="Normal" xfId="0" builtinId="0"/>
    <cellStyle name="Normal 2" xfId="274" xr:uid="{00000000-0005-0000-0000-0000EF010000}"/>
    <cellStyle name="Per cent" xfId="496" builtinId="5"/>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wopi.dropbox.com/Users/dorinevandervlies/Projects/etdataset/nodes_source_analyses/industry/6_residences_analysi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wopi.dropbox.com/Users/robterwel/Downloads/01D_Current_Central_Hydrogen_Production_from_Natural_Gas_without_CO2_Sequestration_version_3.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hangelog"/>
      <sheetName val="Contents"/>
      <sheetName val="Introduction"/>
      <sheetName val="Dataflow"/>
      <sheetName val="Assumptions"/>
      <sheetName val="Dashboard"/>
      <sheetName val="Corrected energy balance step 2"/>
      <sheetName val="technical_specs"/>
      <sheetName val="Application Shares"/>
      <sheetName val="Technology Shares"/>
      <sheetName val="Houses Shares"/>
      <sheetName val="Final demand per energy carrier"/>
      <sheetName val="Technology split final demand"/>
      <sheetName val="Electricity producer Shares"/>
      <sheetName val="Fuel aggregation"/>
      <sheetName val="Useful-final demand percentage"/>
      <sheetName val="csv_final_demand_coal"/>
      <sheetName val="csv_final_demand_crude_oil"/>
      <sheetName val="csv_final_demand_network_gas"/>
      <sheetName val="csv_final_demand_woodpellets"/>
      <sheetName val="csv_final_demand_electricity"/>
      <sheetName val="csv_final_demand_steam"/>
      <sheetName val="csv_cooling_electricity"/>
      <sheetName val="csv_heating_network_gas"/>
      <sheetName val="csv_heating_electricity"/>
      <sheetName val="csv_heating_heat_pump"/>
      <sheetName val="csv_water_network_gas"/>
      <sheetName val="csv_water_electricity"/>
      <sheetName val="csv_cooking_electricity"/>
      <sheetName val="csv_lighting_electricity"/>
      <sheetName val="csv_appliances_electricity"/>
      <sheetName val="csv_solar_thermal_heater"/>
      <sheetName val="csv_cooling_old-new"/>
      <sheetName val="csv_heating_old-new"/>
      <sheetName val="csv_cooling_insulation_old"/>
      <sheetName val="csv_cooling_insulation_new"/>
      <sheetName val="csv_heating_insulation_new"/>
      <sheetName val="csv_heating_insulation_old"/>
      <sheetName val="csv_heating_micro_chp_gas"/>
      <sheetName val="csv_water_micro_chp_gas"/>
      <sheetName val="csv_water_fuell_cell_gas"/>
      <sheetName val="csv_solar_space_heating_chld"/>
      <sheetName val="csv_solar_hot_water_chld"/>
      <sheetName val="csv_add_on_space_heating_child"/>
      <sheetName val="csv_add_on_hot water_child"/>
      <sheetName val="csv_hot_water_from_el_add_on"/>
      <sheetName val="csv_export_to_area_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11">
          <cell r="L11">
            <v>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Description"/>
      <sheetName val="ProcessFlow"/>
      <sheetName val="Input_Sheet_Template"/>
      <sheetName val="Replacement Costs"/>
      <sheetName val="Capital Costs"/>
      <sheetName val="Plant Scaling"/>
      <sheetName val="Carbon Sequestration"/>
      <sheetName val="Results"/>
      <sheetName val="Tornado Charts"/>
      <sheetName val="Cash Flow Analysis"/>
      <sheetName val="Energy Feed &amp; Utility Prices"/>
      <sheetName val="Non-Energy Material Prices"/>
      <sheetName val="AEO Data"/>
      <sheetName val="HyARC Physical Property Data"/>
      <sheetName val="Debt Financing Calculations"/>
      <sheetName val="Depreciation"/>
      <sheetName val="Constants and Conversions"/>
      <sheetName val="Lists"/>
      <sheetName val="ProcessFlow - blank"/>
      <sheetName val="Description - blank"/>
      <sheetName val="Title - blank"/>
    </sheetNames>
    <sheetDataSet>
      <sheetData sheetId="0"/>
      <sheetData sheetId="1"/>
      <sheetData sheetId="2"/>
      <sheetData sheetId="3"/>
      <sheetData sheetId="4"/>
      <sheetData sheetId="5"/>
      <sheetData sheetId="6"/>
      <sheetData sheetId="7"/>
      <sheetData sheetId="8"/>
      <sheetData sheetId="9">
        <row r="48">
          <cell r="I48">
            <v>1</v>
          </cell>
        </row>
      </sheetData>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hyperlink" Target="https://refman.energytransitionmodel.com/publications/2219" TargetMode="External"/><Relationship Id="rId1" Type="http://schemas.openxmlformats.org/officeDocument/2006/relationships/hyperlink" Target="https://refman.energytransitionmodel.com/publications/221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0"/>
  </sheetPr>
  <dimension ref="A1:E23"/>
  <sheetViews>
    <sheetView workbookViewId="0">
      <selection activeCell="D5" sqref="D5"/>
    </sheetView>
  </sheetViews>
  <sheetFormatPr baseColWidth="10" defaultColWidth="10.83203125" defaultRowHeight="16"/>
  <cols>
    <col min="1" max="1" width="3.5" style="26" customWidth="1"/>
    <col min="2" max="2" width="11.5" style="18" customWidth="1"/>
    <col min="3" max="3" width="38.5" style="18" customWidth="1"/>
    <col min="4" max="16384" width="10.83203125" style="18"/>
  </cols>
  <sheetData>
    <row r="1" spans="1:5" s="24" customFormat="1">
      <c r="A1" s="22"/>
      <c r="B1" s="23"/>
      <c r="C1" s="23"/>
    </row>
    <row r="2" spans="1:5" ht="21">
      <c r="A2" s="1"/>
      <c r="B2" s="25" t="s">
        <v>9</v>
      </c>
      <c r="C2" s="25"/>
    </row>
    <row r="3" spans="1:5">
      <c r="A3" s="1"/>
      <c r="B3" s="8"/>
      <c r="C3" s="8"/>
    </row>
    <row r="4" spans="1:5">
      <c r="A4" s="1"/>
      <c r="B4" s="2" t="s">
        <v>10</v>
      </c>
      <c r="C4" s="3" t="s">
        <v>200</v>
      </c>
      <c r="E4" s="193" t="s">
        <v>201</v>
      </c>
    </row>
    <row r="5" spans="1:5">
      <c r="A5" s="1"/>
      <c r="B5" s="4" t="s">
        <v>40</v>
      </c>
      <c r="C5" s="5" t="s">
        <v>76</v>
      </c>
    </row>
    <row r="6" spans="1:5">
      <c r="A6" s="1"/>
      <c r="B6" s="6" t="s">
        <v>12</v>
      </c>
      <c r="C6" s="7" t="s">
        <v>13</v>
      </c>
    </row>
    <row r="7" spans="1:5">
      <c r="A7" s="1"/>
      <c r="B7" s="8"/>
      <c r="C7" s="8"/>
    </row>
    <row r="8" spans="1:5">
      <c r="A8" s="1"/>
      <c r="B8" s="8"/>
      <c r="C8" s="8"/>
    </row>
    <row r="9" spans="1:5">
      <c r="A9" s="1"/>
      <c r="B9" s="50" t="s">
        <v>25</v>
      </c>
      <c r="C9" s="51"/>
    </row>
    <row r="10" spans="1:5">
      <c r="A10" s="1"/>
      <c r="B10" s="52"/>
      <c r="C10" s="53"/>
    </row>
    <row r="11" spans="1:5">
      <c r="A11" s="1"/>
      <c r="B11" s="52" t="s">
        <v>26</v>
      </c>
      <c r="C11" s="54" t="s">
        <v>27</v>
      </c>
    </row>
    <row r="12" spans="1:5" ht="17" thickBot="1">
      <c r="A12" s="1"/>
      <c r="B12" s="52"/>
      <c r="C12" s="9" t="s">
        <v>28</v>
      </c>
    </row>
    <row r="13" spans="1:5" ht="17" thickBot="1">
      <c r="A13" s="1"/>
      <c r="B13" s="52"/>
      <c r="C13" s="55" t="s">
        <v>29</v>
      </c>
    </row>
    <row r="14" spans="1:5">
      <c r="A14" s="1"/>
      <c r="B14" s="52"/>
      <c r="C14" s="53" t="s">
        <v>30</v>
      </c>
    </row>
    <row r="15" spans="1:5">
      <c r="A15" s="1"/>
      <c r="B15" s="52"/>
      <c r="C15" s="53"/>
    </row>
    <row r="16" spans="1:5">
      <c r="A16" s="1"/>
      <c r="B16" s="52" t="s">
        <v>31</v>
      </c>
      <c r="C16" s="56" t="s">
        <v>32</v>
      </c>
    </row>
    <row r="17" spans="1:3">
      <c r="A17" s="1"/>
      <c r="B17" s="52"/>
      <c r="C17" s="57" t="s">
        <v>33</v>
      </c>
    </row>
    <row r="18" spans="1:3">
      <c r="A18" s="1"/>
      <c r="B18" s="52"/>
      <c r="C18" s="58" t="s">
        <v>34</v>
      </c>
    </row>
    <row r="19" spans="1:3">
      <c r="A19" s="1"/>
      <c r="B19" s="52"/>
      <c r="C19" s="59" t="s">
        <v>35</v>
      </c>
    </row>
    <row r="20" spans="1:3">
      <c r="A20" s="1"/>
      <c r="B20" s="60"/>
      <c r="C20" s="61" t="s">
        <v>36</v>
      </c>
    </row>
    <row r="21" spans="1:3">
      <c r="A21" s="1"/>
      <c r="B21" s="60"/>
      <c r="C21" s="62" t="s">
        <v>37</v>
      </c>
    </row>
    <row r="22" spans="1:3">
      <c r="A22" s="1"/>
      <c r="B22" s="60"/>
      <c r="C22" s="63" t="s">
        <v>38</v>
      </c>
    </row>
    <row r="23" spans="1:3">
      <c r="B23" s="60"/>
      <c r="C23" s="64" t="s">
        <v>39</v>
      </c>
    </row>
  </sheetData>
  <pageMargins left="0.75" right="0.75" top="1" bottom="1" header="0.5" footer="0.5"/>
  <pageSetup paperSize="9"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A2:K46"/>
  <sheetViews>
    <sheetView tabSelected="1" zoomScale="126" workbookViewId="0">
      <selection activeCell="G36" sqref="G36"/>
    </sheetView>
  </sheetViews>
  <sheetFormatPr baseColWidth="10" defaultColWidth="10.83203125" defaultRowHeight="16"/>
  <cols>
    <col min="1" max="2" width="3.5" style="29" customWidth="1"/>
    <col min="3" max="3" width="51.5" style="29" customWidth="1"/>
    <col min="4" max="5" width="14.6640625" style="29" customWidth="1"/>
    <col min="6" max="6" width="4.5" style="29" customWidth="1"/>
    <col min="7" max="7" width="49.5" style="29" customWidth="1"/>
    <col min="8" max="8" width="20.83203125" style="29" customWidth="1"/>
    <col min="9" max="9" width="42.5" style="29" customWidth="1"/>
    <col min="10" max="10" width="5.5" style="29" customWidth="1"/>
    <col min="11" max="16384" width="10.83203125" style="29"/>
  </cols>
  <sheetData>
    <row r="2" spans="1:11">
      <c r="B2" s="196" t="s">
        <v>65</v>
      </c>
      <c r="C2" s="197"/>
      <c r="D2" s="197"/>
      <c r="E2" s="198"/>
    </row>
    <row r="3" spans="1:11">
      <c r="B3" s="199"/>
      <c r="C3" s="200"/>
      <c r="D3" s="200"/>
      <c r="E3" s="201"/>
    </row>
    <row r="4" spans="1:11">
      <c r="B4" s="199"/>
      <c r="C4" s="200"/>
      <c r="D4" s="200"/>
      <c r="E4" s="201"/>
    </row>
    <row r="5" spans="1:11">
      <c r="B5" s="202"/>
      <c r="C5" s="203"/>
      <c r="D5" s="203"/>
      <c r="E5" s="204"/>
    </row>
    <row r="7" spans="1:11" ht="17" thickBot="1"/>
    <row r="8" spans="1:11">
      <c r="B8" s="30"/>
      <c r="C8" s="16"/>
      <c r="D8" s="16"/>
      <c r="E8" s="16"/>
      <c r="F8" s="16"/>
      <c r="G8" s="16"/>
      <c r="H8" s="16"/>
      <c r="I8" s="16"/>
      <c r="J8" s="31"/>
    </row>
    <row r="9" spans="1:11" s="9" customFormat="1">
      <c r="B9" s="20"/>
      <c r="C9" s="12" t="s">
        <v>18</v>
      </c>
      <c r="D9" s="13" t="s">
        <v>7</v>
      </c>
      <c r="E9" s="11" t="s">
        <v>3</v>
      </c>
      <c r="F9" s="12"/>
      <c r="G9" s="12" t="s">
        <v>6</v>
      </c>
      <c r="H9" s="12"/>
      <c r="I9" s="12" t="s">
        <v>0</v>
      </c>
      <c r="J9" s="65"/>
    </row>
    <row r="10" spans="1:11" s="9" customFormat="1">
      <c r="B10" s="21"/>
      <c r="D10" s="28"/>
      <c r="J10" s="10"/>
    </row>
    <row r="11" spans="1:11" s="9" customFormat="1" ht="17" thickBot="1">
      <c r="B11" s="21"/>
      <c r="C11" s="9" t="s">
        <v>42</v>
      </c>
      <c r="D11" s="28"/>
      <c r="J11" s="10"/>
    </row>
    <row r="12" spans="1:11" s="96" customFormat="1" ht="16" customHeight="1" thickBot="1">
      <c r="B12" s="97"/>
      <c r="C12" s="92" t="s">
        <v>64</v>
      </c>
      <c r="D12" s="93" t="s">
        <v>67</v>
      </c>
      <c r="E12" s="105">
        <f>ROUND(Notes!F6,3)</f>
        <v>288.44400000000002</v>
      </c>
      <c r="F12" s="92"/>
      <c r="G12" s="98"/>
      <c r="I12" s="191" t="s">
        <v>110</v>
      </c>
      <c r="J12" s="99"/>
    </row>
    <row r="13" spans="1:11" s="96" customFormat="1" ht="16" customHeight="1" thickBot="1">
      <c r="B13" s="97"/>
      <c r="C13" s="101" t="s">
        <v>70</v>
      </c>
      <c r="D13" s="93" t="s">
        <v>2</v>
      </c>
      <c r="E13" s="105">
        <f>ROUND(Notes!F20,5)</f>
        <v>0.995</v>
      </c>
      <c r="F13" s="92"/>
      <c r="G13" s="98"/>
      <c r="I13" s="191" t="s">
        <v>110</v>
      </c>
      <c r="J13" s="99"/>
    </row>
    <row r="14" spans="1:11" ht="17" thickBot="1">
      <c r="A14" s="9"/>
      <c r="B14" s="21"/>
      <c r="C14" s="70" t="s">
        <v>66</v>
      </c>
      <c r="D14" s="17" t="s">
        <v>2</v>
      </c>
      <c r="E14" s="105">
        <f>ROUND(Notes!F21,5)</f>
        <v>5.0000000000000001E-3</v>
      </c>
      <c r="F14" s="32"/>
      <c r="G14" s="70"/>
      <c r="H14" s="27"/>
      <c r="I14" s="191" t="s">
        <v>110</v>
      </c>
      <c r="J14" s="10"/>
      <c r="K14" s="9"/>
    </row>
    <row r="15" spans="1:11" ht="17" thickBot="1">
      <c r="A15" s="71"/>
      <c r="B15" s="72"/>
      <c r="C15" s="189" t="s">
        <v>188</v>
      </c>
      <c r="D15" s="19" t="s">
        <v>2</v>
      </c>
      <c r="E15" s="105">
        <f>ROUND(Notes!F17,5)</f>
        <v>0.52500000000000002</v>
      </c>
      <c r="F15" s="70"/>
      <c r="G15" s="87"/>
      <c r="H15" s="70"/>
      <c r="I15" s="191" t="s">
        <v>110</v>
      </c>
      <c r="J15" s="73"/>
    </row>
    <row r="16" spans="1:11" ht="17" thickBot="1">
      <c r="A16" s="71"/>
      <c r="B16" s="72"/>
      <c r="C16" s="189" t="s">
        <v>189</v>
      </c>
      <c r="D16" s="19" t="s">
        <v>2</v>
      </c>
      <c r="E16" s="105">
        <f>ROUND(Notes!F18,5)</f>
        <v>0.17499999999999999</v>
      </c>
      <c r="F16" s="70"/>
      <c r="G16" s="87"/>
      <c r="H16" s="70"/>
      <c r="I16" s="191" t="s">
        <v>110</v>
      </c>
      <c r="J16" s="73"/>
    </row>
    <row r="17" spans="1:10" s="90" customFormat="1" ht="16" customHeight="1" thickBot="1">
      <c r="B17" s="91"/>
      <c r="C17" s="92" t="s">
        <v>56</v>
      </c>
      <c r="D17" s="93" t="s">
        <v>2</v>
      </c>
      <c r="E17" s="105">
        <f>Notes!F7</f>
        <v>8000</v>
      </c>
      <c r="F17" s="92"/>
      <c r="G17" s="92"/>
      <c r="I17" s="191" t="s">
        <v>110</v>
      </c>
      <c r="J17" s="94"/>
    </row>
    <row r="18" spans="1:10" s="90" customFormat="1" ht="16" customHeight="1" thickBot="1">
      <c r="B18" s="91"/>
      <c r="C18" s="190" t="s">
        <v>163</v>
      </c>
      <c r="D18" s="93" t="s">
        <v>2</v>
      </c>
      <c r="E18" s="105">
        <f>ROUND(Notes!F10,5)</f>
        <v>0.94230999999999998</v>
      </c>
      <c r="F18" s="92"/>
      <c r="G18" s="92"/>
      <c r="I18" s="191" t="s">
        <v>110</v>
      </c>
      <c r="J18" s="94"/>
    </row>
    <row r="19" spans="1:10">
      <c r="B19" s="33"/>
      <c r="J19" s="66"/>
    </row>
    <row r="20" spans="1:10" ht="17" thickBot="1">
      <c r="B20" s="33"/>
      <c r="C20" s="9" t="s">
        <v>41</v>
      </c>
      <c r="J20" s="66"/>
    </row>
    <row r="21" spans="1:10" ht="17" thickBot="1">
      <c r="B21" s="33"/>
      <c r="C21" s="32" t="s">
        <v>21</v>
      </c>
      <c r="D21" s="19" t="s">
        <v>19</v>
      </c>
      <c r="E21" s="106">
        <f>ROUND(Notes!F12,0)</f>
        <v>871988000</v>
      </c>
      <c r="F21" s="32"/>
      <c r="G21" s="32" t="s">
        <v>5</v>
      </c>
      <c r="H21" s="32"/>
      <c r="I21" s="191" t="s">
        <v>110</v>
      </c>
      <c r="J21" s="66"/>
    </row>
    <row r="22" spans="1:10" ht="17" thickBot="1">
      <c r="B22" s="33"/>
      <c r="C22" s="189" t="s">
        <v>197</v>
      </c>
      <c r="D22" s="19" t="s">
        <v>19</v>
      </c>
      <c r="E22" s="106">
        <v>0</v>
      </c>
      <c r="F22" s="32"/>
      <c r="G22" s="32"/>
      <c r="H22" s="32"/>
      <c r="I22" s="88" t="s">
        <v>198</v>
      </c>
      <c r="J22" s="66"/>
    </row>
    <row r="23" spans="1:10" ht="15" customHeight="1" thickBot="1">
      <c r="B23" s="33"/>
      <c r="C23" s="32" t="s">
        <v>22</v>
      </c>
      <c r="D23" s="19" t="s">
        <v>44</v>
      </c>
      <c r="E23" s="106">
        <f>ROUND(Notes!F13,0)</f>
        <v>2214850</v>
      </c>
      <c r="F23" s="32"/>
      <c r="G23" s="85" t="s">
        <v>62</v>
      </c>
      <c r="H23" s="32"/>
      <c r="I23" s="191" t="s">
        <v>110</v>
      </c>
      <c r="J23" s="66"/>
    </row>
    <row r="24" spans="1:10" ht="17" thickBot="1">
      <c r="B24" s="79"/>
      <c r="C24" s="84" t="s">
        <v>58</v>
      </c>
      <c r="D24" s="81" t="s">
        <v>54</v>
      </c>
      <c r="E24" s="106">
        <f>ROUND(Notes!F14,2)</f>
        <v>91.56</v>
      </c>
      <c r="F24" s="82"/>
      <c r="G24" s="80" t="s">
        <v>55</v>
      </c>
      <c r="H24" s="82"/>
      <c r="I24" s="191" t="s">
        <v>110</v>
      </c>
      <c r="J24" s="83"/>
    </row>
    <row r="25" spans="1:10" ht="17" thickBot="1">
      <c r="B25" s="79"/>
      <c r="C25" s="84" t="s">
        <v>59</v>
      </c>
      <c r="D25" s="81" t="s">
        <v>54</v>
      </c>
      <c r="E25" s="95">
        <v>0</v>
      </c>
      <c r="F25" s="82"/>
      <c r="G25" s="80"/>
      <c r="H25" s="82"/>
      <c r="I25" s="88" t="s">
        <v>198</v>
      </c>
      <c r="J25" s="83"/>
    </row>
    <row r="26" spans="1:10" ht="17" thickBot="1">
      <c r="B26" s="79"/>
      <c r="C26" s="84" t="s">
        <v>57</v>
      </c>
      <c r="D26" s="81"/>
      <c r="E26" s="95">
        <v>0</v>
      </c>
      <c r="F26" s="82"/>
      <c r="G26" s="84" t="s">
        <v>60</v>
      </c>
      <c r="H26" s="82"/>
      <c r="I26" s="195" t="s">
        <v>210</v>
      </c>
      <c r="J26" s="83"/>
    </row>
    <row r="27" spans="1:10" ht="17" thickBot="1">
      <c r="B27" s="79"/>
      <c r="C27" s="86" t="s">
        <v>63</v>
      </c>
      <c r="D27" s="81"/>
      <c r="E27" s="34">
        <v>0</v>
      </c>
      <c r="F27" s="82"/>
      <c r="G27" s="84" t="s">
        <v>61</v>
      </c>
      <c r="H27" s="82"/>
      <c r="I27" s="195" t="s">
        <v>210</v>
      </c>
      <c r="J27" s="83"/>
    </row>
    <row r="28" spans="1:10" ht="17" thickBot="1">
      <c r="A28" s="71"/>
      <c r="B28" s="72"/>
      <c r="C28" s="70" t="s">
        <v>46</v>
      </c>
      <c r="D28" s="19" t="s">
        <v>47</v>
      </c>
      <c r="E28" s="102">
        <v>7.0000000000000007E-2</v>
      </c>
      <c r="F28" s="70"/>
      <c r="G28" s="70" t="s">
        <v>48</v>
      </c>
      <c r="H28" s="70"/>
      <c r="I28" s="89" t="s">
        <v>71</v>
      </c>
      <c r="J28" s="73"/>
    </row>
    <row r="29" spans="1:10" ht="17" thickBot="1">
      <c r="A29" s="71"/>
      <c r="B29" s="72"/>
      <c r="C29" s="70" t="s">
        <v>49</v>
      </c>
      <c r="D29" s="19" t="s">
        <v>50</v>
      </c>
      <c r="E29" s="74">
        <v>1</v>
      </c>
      <c r="F29" s="70"/>
      <c r="G29" s="70"/>
      <c r="H29" s="70"/>
      <c r="I29" s="192" t="s">
        <v>199</v>
      </c>
      <c r="J29" s="73"/>
    </row>
    <row r="30" spans="1:10">
      <c r="A30" s="71"/>
      <c r="B30" s="72"/>
      <c r="C30" s="70"/>
      <c r="D30" s="19"/>
      <c r="E30" s="75"/>
      <c r="F30" s="70"/>
      <c r="G30" s="70"/>
      <c r="H30" s="70"/>
      <c r="I30" s="71"/>
      <c r="J30" s="73"/>
    </row>
    <row r="31" spans="1:10" ht="17" thickBot="1">
      <c r="A31" s="71"/>
      <c r="B31" s="72"/>
      <c r="C31" s="9" t="s">
        <v>4</v>
      </c>
      <c r="D31" s="67"/>
      <c r="E31" s="75"/>
      <c r="F31" s="71"/>
      <c r="H31" s="71"/>
      <c r="I31" s="71"/>
      <c r="J31" s="73"/>
    </row>
    <row r="32" spans="1:10" ht="17" thickBot="1">
      <c r="A32" s="71"/>
      <c r="B32" s="72"/>
      <c r="C32" s="70" t="s">
        <v>23</v>
      </c>
      <c r="D32" s="19" t="s">
        <v>1</v>
      </c>
      <c r="E32" s="74">
        <f>Notes!F8</f>
        <v>25</v>
      </c>
      <c r="F32" s="70"/>
      <c r="G32" s="70" t="s">
        <v>53</v>
      </c>
      <c r="H32" s="70"/>
      <c r="I32" s="88" t="s">
        <v>110</v>
      </c>
      <c r="J32" s="73"/>
    </row>
    <row r="33" spans="1:10" ht="17" thickBot="1">
      <c r="A33" s="71"/>
      <c r="B33" s="72"/>
      <c r="C33" s="70" t="s">
        <v>51</v>
      </c>
      <c r="D33" s="19" t="s">
        <v>1</v>
      </c>
      <c r="E33" s="74">
        <f>Notes!F9</f>
        <v>2</v>
      </c>
      <c r="F33" s="70"/>
      <c r="G33" s="70" t="s">
        <v>52</v>
      </c>
      <c r="H33" s="70"/>
      <c r="I33" s="88" t="s">
        <v>110</v>
      </c>
      <c r="J33" s="73"/>
    </row>
    <row r="34" spans="1:10" ht="17" thickBot="1">
      <c r="A34" s="71"/>
      <c r="B34" s="72"/>
      <c r="C34" s="70" t="s">
        <v>20</v>
      </c>
      <c r="D34" s="19" t="s">
        <v>2</v>
      </c>
      <c r="E34" s="74">
        <v>0</v>
      </c>
      <c r="F34" s="70"/>
      <c r="G34" s="70"/>
      <c r="H34" s="70"/>
      <c r="I34" s="192" t="s">
        <v>199</v>
      </c>
      <c r="J34" s="73"/>
    </row>
    <row r="35" spans="1:10" ht="17" thickBot="1">
      <c r="A35" s="71"/>
      <c r="B35" s="72"/>
      <c r="C35" s="209" t="s">
        <v>211</v>
      </c>
      <c r="D35" s="19" t="s">
        <v>212</v>
      </c>
      <c r="E35" s="210">
        <f>ROUND(Notes!F49,5)</f>
        <v>9.0380000000000002E-2</v>
      </c>
      <c r="F35" s="209"/>
      <c r="G35" s="209" t="s">
        <v>221</v>
      </c>
      <c r="H35" s="209"/>
      <c r="I35" s="88" t="s">
        <v>110</v>
      </c>
      <c r="J35" s="73"/>
    </row>
    <row r="36" spans="1:10" ht="17" thickBot="1">
      <c r="A36" s="71"/>
      <c r="B36" s="76"/>
      <c r="C36" s="77"/>
      <c r="D36" s="77"/>
      <c r="E36" s="77"/>
      <c r="F36" s="77"/>
      <c r="G36" s="77"/>
      <c r="H36" s="77"/>
      <c r="I36" s="77"/>
      <c r="J36" s="78"/>
    </row>
    <row r="37" spans="1:10">
      <c r="A37" s="71"/>
      <c r="B37" s="71"/>
      <c r="C37" s="71"/>
      <c r="D37" s="71"/>
      <c r="E37" s="71"/>
      <c r="F37" s="71"/>
      <c r="G37" s="71"/>
      <c r="H37" s="71"/>
      <c r="I37" s="71"/>
      <c r="J37" s="71"/>
    </row>
    <row r="38" spans="1:10">
      <c r="A38" s="71"/>
      <c r="B38" s="71"/>
      <c r="C38" s="71"/>
      <c r="D38" s="71"/>
      <c r="E38" s="71"/>
      <c r="F38" s="71"/>
      <c r="G38" s="71"/>
      <c r="H38" s="71"/>
      <c r="I38" s="71"/>
      <c r="J38" s="71"/>
    </row>
    <row r="39" spans="1:10">
      <c r="A39" s="71"/>
      <c r="B39" s="71"/>
      <c r="C39" s="71"/>
      <c r="D39" s="71"/>
      <c r="E39" s="71"/>
      <c r="F39" s="71"/>
      <c r="G39" s="71"/>
      <c r="H39" s="71"/>
      <c r="I39" s="71"/>
      <c r="J39" s="71"/>
    </row>
    <row r="40" spans="1:10">
      <c r="A40" s="71"/>
      <c r="B40" s="71"/>
      <c r="E40" s="71"/>
      <c r="F40" s="71"/>
      <c r="G40" s="71"/>
      <c r="H40" s="71"/>
      <c r="I40" s="71"/>
      <c r="J40" s="71"/>
    </row>
    <row r="41" spans="1:10">
      <c r="A41" s="71"/>
      <c r="B41" s="71"/>
      <c r="C41" s="71"/>
      <c r="D41" s="71"/>
      <c r="E41" s="71"/>
      <c r="F41" s="71"/>
      <c r="G41" s="71"/>
      <c r="H41" s="71"/>
      <c r="I41" s="71"/>
      <c r="J41" s="71"/>
    </row>
    <row r="42" spans="1:10">
      <c r="A42" s="71"/>
      <c r="B42" s="71"/>
      <c r="C42" s="71"/>
      <c r="D42" s="71"/>
      <c r="E42" s="71"/>
      <c r="F42" s="71"/>
      <c r="G42" s="71"/>
      <c r="H42" s="71"/>
      <c r="I42" s="71"/>
      <c r="J42" s="71"/>
    </row>
    <row r="43" spans="1:10">
      <c r="A43" s="71"/>
      <c r="B43" s="71"/>
      <c r="C43" s="71"/>
      <c r="D43" s="71"/>
      <c r="E43" s="71"/>
      <c r="F43" s="71"/>
      <c r="G43" s="71"/>
      <c r="H43" s="71"/>
      <c r="I43" s="71"/>
      <c r="J43" s="71"/>
    </row>
    <row r="44" spans="1:10">
      <c r="A44" s="71"/>
      <c r="B44" s="71"/>
      <c r="C44" s="71"/>
      <c r="D44" s="71"/>
      <c r="E44" s="71"/>
      <c r="F44" s="71"/>
      <c r="G44" s="71"/>
      <c r="H44" s="71"/>
      <c r="I44" s="71"/>
      <c r="J44" s="71"/>
    </row>
    <row r="45" spans="1:10">
      <c r="A45" s="71"/>
    </row>
    <row r="46" spans="1:10">
      <c r="A46" s="71"/>
    </row>
  </sheetData>
  <mergeCells count="1">
    <mergeCell ref="B2:E5"/>
  </mergeCells>
  <pageMargins left="0.75" right="0.75" top="1" bottom="1" header="0.5" footer="0.5"/>
  <pageSetup paperSize="9"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6" tint="0.79998168889431442"/>
  </sheetPr>
  <dimension ref="B1:J13"/>
  <sheetViews>
    <sheetView topLeftCell="B1" workbookViewId="0">
      <selection activeCell="J7" sqref="J7"/>
    </sheetView>
  </sheetViews>
  <sheetFormatPr baseColWidth="10" defaultColWidth="33.1640625" defaultRowHeight="16"/>
  <cols>
    <col min="1" max="1" width="3.5" style="35" customWidth="1"/>
    <col min="2" max="2" width="16.33203125" style="35" customWidth="1"/>
    <col min="3" max="3" width="24.5" style="35" customWidth="1"/>
    <col min="4" max="4" width="32.83203125" style="35" customWidth="1"/>
    <col min="5" max="5" width="6.1640625" style="35" customWidth="1"/>
    <col min="6" max="6" width="16.33203125" style="35" customWidth="1"/>
    <col min="7" max="7" width="78" style="35" customWidth="1"/>
    <col min="8" max="8" width="12.5" style="39" customWidth="1"/>
    <col min="9" max="9" width="31.5" style="39" customWidth="1"/>
    <col min="10" max="10" width="98.5" style="35" customWidth="1"/>
    <col min="11" max="16384" width="33.1640625" style="35"/>
  </cols>
  <sheetData>
    <row r="1" spans="2:10" ht="17" thickBot="1"/>
    <row r="2" spans="2:10">
      <c r="B2" s="36"/>
      <c r="C2" s="37"/>
      <c r="D2" s="37"/>
      <c r="E2" s="37"/>
      <c r="F2" s="37"/>
      <c r="G2" s="37"/>
      <c r="H2" s="40"/>
      <c r="I2" s="40"/>
      <c r="J2" s="37"/>
    </row>
    <row r="3" spans="2:10">
      <c r="B3" s="38"/>
      <c r="C3" s="9" t="s">
        <v>14</v>
      </c>
      <c r="D3" s="9"/>
      <c r="E3" s="9"/>
      <c r="F3" s="9"/>
      <c r="G3" s="9"/>
      <c r="H3" s="14"/>
      <c r="I3" s="14"/>
    </row>
    <row r="4" spans="2:10">
      <c r="B4" s="38"/>
    </row>
    <row r="5" spans="2:10">
      <c r="B5" s="41"/>
      <c r="C5" s="11" t="s">
        <v>15</v>
      </c>
      <c r="D5" s="11" t="s">
        <v>0</v>
      </c>
      <c r="E5" s="11" t="s">
        <v>11</v>
      </c>
      <c r="F5" s="11" t="s">
        <v>16</v>
      </c>
      <c r="G5" s="11" t="s">
        <v>68</v>
      </c>
      <c r="H5" s="15" t="s">
        <v>17</v>
      </c>
      <c r="I5" s="15" t="s">
        <v>43</v>
      </c>
      <c r="J5" s="11" t="s">
        <v>8</v>
      </c>
    </row>
    <row r="6" spans="2:10">
      <c r="B6" s="38"/>
      <c r="C6" s="9"/>
      <c r="D6" s="9"/>
      <c r="E6" s="9"/>
      <c r="F6" s="9"/>
      <c r="G6" s="9"/>
      <c r="H6" s="14"/>
      <c r="I6" s="14"/>
      <c r="J6" s="9"/>
    </row>
    <row r="7" spans="2:10">
      <c r="B7" s="38"/>
      <c r="C7" s="103" t="s">
        <v>75</v>
      </c>
      <c r="D7" s="186" t="s">
        <v>110</v>
      </c>
      <c r="E7" s="186" t="s">
        <v>192</v>
      </c>
      <c r="F7" s="186">
        <v>2025</v>
      </c>
      <c r="G7" s="186" t="s">
        <v>193</v>
      </c>
      <c r="H7" s="187">
        <v>45951</v>
      </c>
      <c r="I7" s="188" t="s">
        <v>194</v>
      </c>
    </row>
    <row r="8" spans="2:10">
      <c r="B8" s="38"/>
      <c r="C8" s="103"/>
      <c r="D8" s="186" t="s">
        <v>110</v>
      </c>
      <c r="E8" s="186" t="s">
        <v>192</v>
      </c>
      <c r="F8" s="186">
        <v>2025</v>
      </c>
      <c r="G8" s="186" t="s">
        <v>195</v>
      </c>
      <c r="H8" s="187">
        <v>45951</v>
      </c>
      <c r="I8" s="188" t="s">
        <v>196</v>
      </c>
    </row>
    <row r="9" spans="2:10">
      <c r="B9" s="38"/>
    </row>
    <row r="10" spans="2:10">
      <c r="B10" s="38"/>
    </row>
    <row r="11" spans="2:10">
      <c r="B11" s="38"/>
    </row>
    <row r="12" spans="2:10">
      <c r="B12" s="38"/>
    </row>
    <row r="13" spans="2:10">
      <c r="B13" s="38"/>
    </row>
  </sheetData>
  <phoneticPr fontId="28" type="noConversion"/>
  <hyperlinks>
    <hyperlink ref="I7" r:id="rId1" xr:uid="{877979D8-94D4-4246-B8F7-7FF5F6E32CF4}"/>
    <hyperlink ref="I8" r:id="rId2" xr:uid="{06CFC551-C46B-2F44-A4BE-28617D395B80}"/>
  </hyperlinks>
  <pageMargins left="0.75" right="0.75" top="1" bottom="1" header="0.5" footer="0.5"/>
  <pageSetup paperSize="9"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79998168889431442"/>
  </sheetPr>
  <dimension ref="A1:Z131"/>
  <sheetViews>
    <sheetView topLeftCell="A34" zoomScale="133" zoomScaleNormal="100" workbookViewId="0">
      <selection activeCell="F51" sqref="F51"/>
    </sheetView>
  </sheetViews>
  <sheetFormatPr baseColWidth="10" defaultColWidth="10.83203125" defaultRowHeight="16"/>
  <cols>
    <col min="1" max="2" width="3.5" style="42" customWidth="1"/>
    <col min="3" max="3" width="18.5" style="42" customWidth="1"/>
    <col min="4" max="4" width="7.1640625" style="42" customWidth="1"/>
    <col min="5" max="5" width="34.83203125" style="42" customWidth="1"/>
    <col min="6" max="6" width="15" style="42" customWidth="1"/>
    <col min="7" max="7" width="23.1640625" style="42" customWidth="1"/>
    <col min="8" max="13" width="10.83203125" style="42"/>
    <col min="14" max="15" width="15.6640625" style="42" customWidth="1"/>
    <col min="16" max="16" width="24.5" style="42" customWidth="1"/>
    <col min="17" max="16384" width="10.83203125" style="42"/>
  </cols>
  <sheetData>
    <row r="1" spans="1:26" ht="17" thickBot="1"/>
    <row r="2" spans="1:26">
      <c r="B2" s="43"/>
      <c r="C2" s="44"/>
      <c r="D2" s="44"/>
      <c r="E2" s="44"/>
      <c r="F2" s="44"/>
      <c r="G2" s="44"/>
      <c r="H2" s="44"/>
      <c r="I2" s="44"/>
      <c r="J2" s="44"/>
      <c r="K2" s="44"/>
      <c r="L2" s="44"/>
      <c r="M2" s="44"/>
      <c r="N2" s="45"/>
    </row>
    <row r="3" spans="1:26" ht="17" customHeight="1">
      <c r="A3" s="46"/>
      <c r="B3" s="68"/>
      <c r="C3" s="49" t="s">
        <v>0</v>
      </c>
      <c r="D3" s="49" t="s">
        <v>45</v>
      </c>
      <c r="E3" s="49" t="s">
        <v>24</v>
      </c>
      <c r="F3" s="49"/>
      <c r="G3" s="49"/>
      <c r="H3" s="47"/>
      <c r="I3" s="47"/>
      <c r="J3" s="47"/>
      <c r="K3" s="47"/>
      <c r="L3" s="47"/>
      <c r="M3" s="47"/>
      <c r="N3" s="69"/>
    </row>
    <row r="4" spans="1:26" ht="17" customHeight="1">
      <c r="A4" s="46"/>
      <c r="B4" s="100"/>
      <c r="C4" s="46"/>
      <c r="D4" s="46"/>
      <c r="E4" s="46"/>
      <c r="F4" s="46"/>
      <c r="G4" s="46"/>
    </row>
    <row r="5" spans="1:26" ht="17" customHeight="1">
      <c r="A5" s="46"/>
      <c r="B5" s="100"/>
      <c r="C5" s="42" t="s">
        <v>110</v>
      </c>
      <c r="D5" s="46"/>
      <c r="E5" s="46" t="s">
        <v>169</v>
      </c>
      <c r="O5" s="42" t="s">
        <v>151</v>
      </c>
    </row>
    <row r="6" spans="1:26" ht="17" customHeight="1">
      <c r="A6" s="46"/>
      <c r="B6" s="100"/>
      <c r="D6" s="46"/>
      <c r="E6" s="42" t="s">
        <v>170</v>
      </c>
      <c r="F6" s="104">
        <f>T12/(1-F32)</f>
        <v>288.44444444444451</v>
      </c>
      <c r="G6" s="42" t="s">
        <v>74</v>
      </c>
      <c r="H6" s="42" t="s">
        <v>175</v>
      </c>
      <c r="O6" s="108" t="s">
        <v>80</v>
      </c>
      <c r="P6" s="109"/>
      <c r="Q6" s="207" t="s">
        <v>111</v>
      </c>
      <c r="R6" s="208"/>
      <c r="S6" s="208"/>
      <c r="T6" s="208"/>
      <c r="U6" s="208"/>
      <c r="V6" s="208"/>
      <c r="W6" s="208"/>
      <c r="X6" s="208"/>
      <c r="Y6" s="208"/>
      <c r="Z6" s="208"/>
    </row>
    <row r="7" spans="1:26" ht="17" customHeight="1">
      <c r="A7" s="46"/>
      <c r="B7" s="100"/>
      <c r="D7" s="46"/>
      <c r="E7" s="42" t="s">
        <v>72</v>
      </c>
      <c r="F7" s="120">
        <f>F57</f>
        <v>8000</v>
      </c>
      <c r="G7" s="42" t="s">
        <v>171</v>
      </c>
      <c r="H7" s="42" t="s">
        <v>176</v>
      </c>
      <c r="O7" s="110" t="s">
        <v>79</v>
      </c>
      <c r="P7" s="110"/>
      <c r="Q7" s="119">
        <v>2020</v>
      </c>
      <c r="R7" s="119">
        <v>2030</v>
      </c>
      <c r="S7" s="119">
        <v>2040</v>
      </c>
      <c r="T7" s="119">
        <v>2050</v>
      </c>
      <c r="U7" s="158">
        <v>2020</v>
      </c>
      <c r="V7" s="158">
        <v>2020</v>
      </c>
      <c r="W7" s="158">
        <v>2050</v>
      </c>
      <c r="X7" s="158">
        <v>2050</v>
      </c>
      <c r="Y7" s="159" t="s">
        <v>81</v>
      </c>
      <c r="Z7" s="159" t="s">
        <v>82</v>
      </c>
    </row>
    <row r="8" spans="1:26" ht="17" customHeight="1" thickBot="1">
      <c r="A8" s="46"/>
      <c r="B8" s="48"/>
      <c r="E8" s="42" t="s">
        <v>73</v>
      </c>
      <c r="F8" s="120">
        <f>F58</f>
        <v>25</v>
      </c>
      <c r="G8" s="42" t="s">
        <v>161</v>
      </c>
      <c r="O8" s="111" t="s">
        <v>83</v>
      </c>
      <c r="P8" s="112"/>
      <c r="Q8" s="113" t="s">
        <v>84</v>
      </c>
      <c r="R8" s="113" t="s">
        <v>84</v>
      </c>
      <c r="S8" s="113" t="s">
        <v>84</v>
      </c>
      <c r="T8" s="113" t="s">
        <v>84</v>
      </c>
      <c r="U8" s="113" t="s">
        <v>85</v>
      </c>
      <c r="V8" s="113" t="s">
        <v>86</v>
      </c>
      <c r="W8" s="113" t="s">
        <v>85</v>
      </c>
      <c r="X8" s="113" t="s">
        <v>86</v>
      </c>
      <c r="Y8" s="160" t="s">
        <v>2</v>
      </c>
      <c r="Z8" s="160" t="s">
        <v>2</v>
      </c>
    </row>
    <row r="9" spans="1:26" ht="17" customHeight="1">
      <c r="A9" s="46"/>
      <c r="B9" s="48"/>
      <c r="E9" s="42" t="s">
        <v>177</v>
      </c>
      <c r="F9" s="120">
        <f>F59</f>
        <v>2</v>
      </c>
      <c r="G9" s="42" t="s">
        <v>161</v>
      </c>
      <c r="O9" s="161" t="s">
        <v>87</v>
      </c>
      <c r="P9" s="161" t="s">
        <v>88</v>
      </c>
      <c r="Q9" s="114"/>
      <c r="R9" s="162"/>
      <c r="S9" s="162"/>
      <c r="T9" s="162"/>
      <c r="U9" s="162"/>
      <c r="V9" s="162"/>
      <c r="W9" s="162"/>
      <c r="X9" s="162"/>
      <c r="Y9" s="163"/>
      <c r="Z9" s="163"/>
    </row>
    <row r="10" spans="1:26" ht="17" customHeight="1">
      <c r="A10" s="46"/>
      <c r="B10" s="48"/>
      <c r="E10" s="42" t="s">
        <v>178</v>
      </c>
      <c r="F10" s="104">
        <f>F60</f>
        <v>0.94230769230769229</v>
      </c>
      <c r="O10" s="115" t="s">
        <v>89</v>
      </c>
      <c r="P10" s="164"/>
      <c r="Q10" s="162"/>
      <c r="R10" s="162"/>
      <c r="S10" s="162"/>
      <c r="T10" s="162"/>
      <c r="U10" s="162"/>
      <c r="V10" s="162"/>
      <c r="W10" s="162"/>
      <c r="X10" s="162"/>
      <c r="Y10" s="163"/>
      <c r="Z10" s="163"/>
    </row>
    <row r="11" spans="1:26" ht="17" customHeight="1">
      <c r="A11" s="46"/>
      <c r="B11" s="48"/>
      <c r="O11" s="115"/>
      <c r="P11" s="165" t="s">
        <v>112</v>
      </c>
      <c r="Q11" s="166">
        <v>2</v>
      </c>
      <c r="R11" s="169">
        <v>13</v>
      </c>
      <c r="S11" s="166">
        <v>41</v>
      </c>
      <c r="T11" s="166">
        <v>165</v>
      </c>
      <c r="U11" s="167">
        <v>0.5</v>
      </c>
      <c r="V11" s="167">
        <v>1.5</v>
      </c>
      <c r="W11" s="167">
        <v>0.5</v>
      </c>
      <c r="X11" s="167">
        <v>1.5</v>
      </c>
      <c r="Y11" s="168" t="s">
        <v>113</v>
      </c>
      <c r="Z11" s="168" t="s">
        <v>114</v>
      </c>
    </row>
    <row r="12" spans="1:26" ht="17" customHeight="1">
      <c r="A12" s="46"/>
      <c r="B12" s="48"/>
      <c r="E12" s="42" t="s">
        <v>69</v>
      </c>
      <c r="F12" s="184">
        <f>F62</f>
        <v>871988000</v>
      </c>
      <c r="G12" s="42" t="s">
        <v>19</v>
      </c>
      <c r="O12" s="115"/>
      <c r="P12" s="165" t="s">
        <v>115</v>
      </c>
      <c r="Q12" s="166">
        <v>3.1</v>
      </c>
      <c r="R12" s="169">
        <v>20.5</v>
      </c>
      <c r="S12" s="166">
        <v>64.5</v>
      </c>
      <c r="T12" s="166">
        <v>259.60000000000002</v>
      </c>
      <c r="U12" s="167">
        <v>0.5</v>
      </c>
      <c r="V12" s="167">
        <v>1.5</v>
      </c>
      <c r="W12" s="167">
        <v>0.5</v>
      </c>
      <c r="X12" s="167">
        <v>1.5</v>
      </c>
      <c r="Y12" s="168" t="s">
        <v>116</v>
      </c>
      <c r="Z12" s="168" t="s">
        <v>117</v>
      </c>
    </row>
    <row r="13" spans="1:26" ht="17" customHeight="1">
      <c r="A13" s="46"/>
      <c r="B13" s="48"/>
      <c r="E13" s="42" t="s">
        <v>165</v>
      </c>
      <c r="F13" s="185">
        <f>F63</f>
        <v>2214849.5199999996</v>
      </c>
      <c r="G13" s="42" t="s">
        <v>172</v>
      </c>
      <c r="O13" s="115"/>
      <c r="P13" s="164" t="s">
        <v>77</v>
      </c>
      <c r="Q13" s="169"/>
      <c r="R13" s="169"/>
      <c r="S13" s="169"/>
      <c r="T13" s="169"/>
      <c r="U13" s="169"/>
      <c r="V13" s="169"/>
      <c r="W13" s="169"/>
      <c r="X13" s="169"/>
      <c r="Y13" s="163"/>
      <c r="Z13" s="163"/>
    </row>
    <row r="14" spans="1:26" ht="17" customHeight="1">
      <c r="A14" s="46"/>
      <c r="B14" s="48"/>
      <c r="E14" s="42" t="s">
        <v>167</v>
      </c>
      <c r="F14" s="104">
        <f>F65</f>
        <v>91.558739999999986</v>
      </c>
      <c r="G14" s="42" t="s">
        <v>54</v>
      </c>
      <c r="O14" s="115"/>
      <c r="P14" s="165" t="s">
        <v>118</v>
      </c>
      <c r="Q14" s="166">
        <v>4.3</v>
      </c>
      <c r="R14" s="169">
        <v>3.9</v>
      </c>
      <c r="S14" s="166">
        <v>3.6</v>
      </c>
      <c r="T14" s="166">
        <v>3.3</v>
      </c>
      <c r="U14" s="167">
        <v>1</v>
      </c>
      <c r="V14" s="167">
        <v>1.1000000000000001</v>
      </c>
      <c r="W14" s="167">
        <v>1</v>
      </c>
      <c r="X14" s="167">
        <v>1.1000000000000001</v>
      </c>
      <c r="Y14" s="168" t="s">
        <v>119</v>
      </c>
      <c r="Z14" s="168"/>
    </row>
    <row r="15" spans="1:26" ht="17" customHeight="1">
      <c r="A15" s="46"/>
      <c r="B15" s="48"/>
      <c r="F15" s="107"/>
      <c r="O15" s="115"/>
      <c r="P15" s="165" t="s">
        <v>120</v>
      </c>
      <c r="Q15" s="166">
        <v>0.995</v>
      </c>
      <c r="R15" s="169">
        <v>0.995</v>
      </c>
      <c r="S15" s="166">
        <v>0.995</v>
      </c>
      <c r="T15" s="166">
        <v>0.995</v>
      </c>
      <c r="U15" s="167">
        <v>0.75</v>
      </c>
      <c r="V15" s="167">
        <v>1.25</v>
      </c>
      <c r="W15" s="167">
        <v>0.75</v>
      </c>
      <c r="X15" s="167">
        <v>1.25</v>
      </c>
      <c r="Y15" s="168" t="s">
        <v>121</v>
      </c>
      <c r="Z15" s="168"/>
    </row>
    <row r="16" spans="1:26" ht="17" customHeight="1">
      <c r="A16" s="46"/>
      <c r="B16" s="48"/>
      <c r="E16" s="46" t="s">
        <v>173</v>
      </c>
      <c r="F16" s="104"/>
      <c r="O16" s="115"/>
      <c r="P16" s="165" t="s">
        <v>122</v>
      </c>
      <c r="Q16" s="166">
        <v>5.0000000000000001E-3</v>
      </c>
      <c r="R16" s="169">
        <v>5.0000000000000001E-3</v>
      </c>
      <c r="S16" s="166">
        <v>5.0000000000000001E-3</v>
      </c>
      <c r="T16" s="166">
        <v>5.0000000000000001E-3</v>
      </c>
      <c r="U16" s="167">
        <v>0.75</v>
      </c>
      <c r="V16" s="167">
        <v>1.25</v>
      </c>
      <c r="W16" s="167">
        <v>0.75</v>
      </c>
      <c r="X16" s="167">
        <v>1.25</v>
      </c>
      <c r="Y16" s="168" t="s">
        <v>90</v>
      </c>
      <c r="Z16" s="168"/>
    </row>
    <row r="17" spans="1:26" ht="17" customHeight="1">
      <c r="A17" s="46"/>
      <c r="B17" s="48"/>
      <c r="E17" s="42" t="s">
        <v>188</v>
      </c>
      <c r="F17" s="104">
        <f>H40</f>
        <v>0.52500000000000002</v>
      </c>
      <c r="O17" s="115"/>
      <c r="P17" s="164" t="s">
        <v>78</v>
      </c>
      <c r="Q17" s="169"/>
      <c r="R17" s="169"/>
      <c r="S17" s="169"/>
      <c r="T17" s="169"/>
      <c r="U17" s="169"/>
      <c r="V17" s="169"/>
      <c r="W17" s="169"/>
      <c r="X17" s="169"/>
      <c r="Y17" s="163"/>
      <c r="Z17" s="163"/>
    </row>
    <row r="18" spans="1:26" ht="17" customHeight="1">
      <c r="A18" s="46"/>
      <c r="B18" s="48"/>
      <c r="E18" s="42" t="s">
        <v>189</v>
      </c>
      <c r="F18" s="42">
        <f>H41</f>
        <v>0.17499999999999999</v>
      </c>
      <c r="O18" s="115"/>
      <c r="P18" s="165" t="s">
        <v>123</v>
      </c>
      <c r="Q18" s="166">
        <v>0.65</v>
      </c>
      <c r="R18" s="169">
        <v>0.7</v>
      </c>
      <c r="S18" s="166">
        <v>0.73</v>
      </c>
      <c r="T18" s="166">
        <v>0.75</v>
      </c>
      <c r="U18" s="167">
        <v>0.8</v>
      </c>
      <c r="V18" s="167">
        <v>1.2</v>
      </c>
      <c r="W18" s="167">
        <v>0.8</v>
      </c>
      <c r="X18" s="167">
        <v>1.2</v>
      </c>
      <c r="Y18" s="168" t="s">
        <v>124</v>
      </c>
      <c r="Z18" s="168" t="s">
        <v>125</v>
      </c>
    </row>
    <row r="19" spans="1:26" ht="17" customHeight="1">
      <c r="A19" s="46"/>
      <c r="B19" s="48"/>
      <c r="E19" s="42" t="s">
        <v>174</v>
      </c>
      <c r="F19" s="104">
        <f>G32</f>
        <v>0.30000000000000004</v>
      </c>
      <c r="O19" s="115"/>
      <c r="P19" s="165" t="s">
        <v>91</v>
      </c>
      <c r="Q19" s="166">
        <v>0.25</v>
      </c>
      <c r="R19" s="169">
        <v>0.2</v>
      </c>
      <c r="S19" s="166">
        <v>0.17</v>
      </c>
      <c r="T19" s="166">
        <v>0.15</v>
      </c>
      <c r="U19" s="167">
        <v>0.8</v>
      </c>
      <c r="V19" s="167">
        <v>1.2</v>
      </c>
      <c r="W19" s="167">
        <v>0.8</v>
      </c>
      <c r="X19" s="167">
        <v>1.2</v>
      </c>
      <c r="Y19" s="168" t="s">
        <v>92</v>
      </c>
      <c r="Z19" s="168"/>
    </row>
    <row r="20" spans="1:26" ht="17" customHeight="1">
      <c r="A20" s="46"/>
      <c r="B20" s="100"/>
      <c r="E20" s="42" t="s">
        <v>70</v>
      </c>
      <c r="F20" s="104">
        <f>F26</f>
        <v>0.995</v>
      </c>
      <c r="H20" s="46"/>
      <c r="O20" s="115"/>
      <c r="P20" s="165" t="s">
        <v>94</v>
      </c>
      <c r="Q20" s="166">
        <v>0</v>
      </c>
      <c r="R20" s="169">
        <v>0</v>
      </c>
      <c r="S20" s="166">
        <v>0</v>
      </c>
      <c r="T20" s="166">
        <v>0</v>
      </c>
      <c r="U20" s="166"/>
      <c r="V20" s="166"/>
      <c r="W20" s="166"/>
      <c r="X20" s="166"/>
      <c r="Y20" s="168" t="s">
        <v>93</v>
      </c>
      <c r="Z20" s="168"/>
    </row>
    <row r="21" spans="1:26" ht="17" customHeight="1">
      <c r="A21" s="46"/>
      <c r="B21" s="100"/>
      <c r="E21" s="42" t="s">
        <v>66</v>
      </c>
      <c r="F21" s="107">
        <f>F27</f>
        <v>5.0000000000000001E-3</v>
      </c>
      <c r="G21" s="46"/>
      <c r="O21" s="115"/>
      <c r="P21" s="165" t="s">
        <v>95</v>
      </c>
      <c r="Q21" s="166">
        <v>3</v>
      </c>
      <c r="R21" s="169"/>
      <c r="S21" s="166"/>
      <c r="T21" s="166"/>
      <c r="U21" s="166"/>
      <c r="V21" s="166"/>
      <c r="W21" s="166"/>
      <c r="X21" s="166"/>
      <c r="Y21" s="168"/>
      <c r="Z21" s="168">
        <v>18</v>
      </c>
    </row>
    <row r="22" spans="1:26" ht="17" customHeight="1">
      <c r="A22" s="46"/>
      <c r="B22" s="100"/>
      <c r="O22" s="115"/>
      <c r="P22" s="165" t="s">
        <v>96</v>
      </c>
      <c r="Q22" s="166">
        <v>25</v>
      </c>
      <c r="R22" s="169"/>
      <c r="S22" s="166"/>
      <c r="T22" s="166"/>
      <c r="U22" s="166"/>
      <c r="V22" s="166"/>
      <c r="W22" s="166"/>
      <c r="X22" s="166"/>
      <c r="Y22" s="168"/>
      <c r="Z22" s="168"/>
    </row>
    <row r="23" spans="1:26" ht="17" customHeight="1">
      <c r="A23" s="46"/>
      <c r="B23" s="100"/>
      <c r="O23" s="115"/>
      <c r="P23" s="165" t="s">
        <v>97</v>
      </c>
      <c r="Q23" s="166">
        <v>2</v>
      </c>
      <c r="R23" s="169"/>
      <c r="S23" s="166"/>
      <c r="T23" s="166"/>
      <c r="U23" s="166"/>
      <c r="V23" s="166"/>
      <c r="W23" s="166"/>
      <c r="X23" s="166"/>
      <c r="Y23" s="168"/>
      <c r="Z23" s="168"/>
    </row>
    <row r="24" spans="1:26" ht="17" customHeight="1">
      <c r="A24" s="46"/>
      <c r="B24" s="100"/>
      <c r="E24" s="46" t="s">
        <v>152</v>
      </c>
      <c r="F24" s="46"/>
      <c r="G24" s="46"/>
      <c r="O24" s="115" t="s">
        <v>98</v>
      </c>
      <c r="P24" s="164"/>
      <c r="Q24" s="169"/>
      <c r="R24" s="169"/>
      <c r="S24" s="169"/>
      <c r="T24" s="169"/>
      <c r="U24" s="169"/>
      <c r="V24" s="169"/>
      <c r="W24" s="169"/>
      <c r="X24" s="169"/>
      <c r="Y24" s="163"/>
      <c r="Z24" s="163"/>
    </row>
    <row r="25" spans="1:26" ht="17" customHeight="1">
      <c r="A25" s="46"/>
      <c r="B25" s="100"/>
      <c r="E25" s="118" t="s">
        <v>105</v>
      </c>
      <c r="F25" s="42" t="s">
        <v>185</v>
      </c>
      <c r="G25" s="42" t="s">
        <v>187</v>
      </c>
      <c r="O25" s="115"/>
      <c r="P25" s="165" t="s">
        <v>126</v>
      </c>
      <c r="Q25" s="170">
        <v>2.2331399999999997</v>
      </c>
      <c r="R25" s="179">
        <v>1.7014399999999998</v>
      </c>
      <c r="S25" s="170">
        <v>1.16974</v>
      </c>
      <c r="T25" s="170">
        <v>0.95705999999999991</v>
      </c>
      <c r="U25" s="167">
        <v>0.75</v>
      </c>
      <c r="V25" s="167">
        <v>1.5</v>
      </c>
      <c r="W25" s="167">
        <v>0.75</v>
      </c>
      <c r="X25" s="167">
        <v>1.25</v>
      </c>
      <c r="Y25" s="168" t="s">
        <v>127</v>
      </c>
      <c r="Z25" s="168" t="s">
        <v>128</v>
      </c>
    </row>
    <row r="26" spans="1:26" ht="17" customHeight="1">
      <c r="A26" s="46"/>
      <c r="B26" s="100"/>
      <c r="E26" s="42" t="s">
        <v>106</v>
      </c>
      <c r="F26" s="107">
        <f>R15</f>
        <v>0.995</v>
      </c>
      <c r="G26" s="107">
        <f>F26</f>
        <v>0.995</v>
      </c>
      <c r="O26" s="115"/>
      <c r="P26" s="165" t="s">
        <v>100</v>
      </c>
      <c r="Q26" s="166">
        <v>75</v>
      </c>
      <c r="R26" s="169">
        <v>75</v>
      </c>
      <c r="S26" s="166">
        <v>75</v>
      </c>
      <c r="T26" s="166">
        <v>75</v>
      </c>
      <c r="U26" s="166"/>
      <c r="V26" s="166"/>
      <c r="W26" s="166"/>
      <c r="X26" s="166"/>
      <c r="Y26" s="168" t="s">
        <v>129</v>
      </c>
      <c r="Z26" s="168"/>
    </row>
    <row r="27" spans="1:26" ht="17" customHeight="1">
      <c r="A27" s="46"/>
      <c r="B27" s="100"/>
      <c r="E27" s="42" t="s">
        <v>107</v>
      </c>
      <c r="F27" s="107">
        <f>R16</f>
        <v>5.0000000000000001E-3</v>
      </c>
      <c r="G27" s="107">
        <f>F27</f>
        <v>5.0000000000000001E-3</v>
      </c>
      <c r="O27" s="115"/>
      <c r="P27" s="165" t="s">
        <v>101</v>
      </c>
      <c r="Q27" s="166">
        <v>25</v>
      </c>
      <c r="R27" s="169">
        <v>25</v>
      </c>
      <c r="S27" s="166">
        <v>25</v>
      </c>
      <c r="T27" s="166">
        <v>25</v>
      </c>
      <c r="U27" s="166"/>
      <c r="V27" s="166"/>
      <c r="W27" s="166"/>
      <c r="X27" s="166"/>
      <c r="Y27" s="168"/>
      <c r="Z27" s="168"/>
    </row>
    <row r="28" spans="1:26" ht="17" customHeight="1">
      <c r="A28" s="46"/>
      <c r="B28" s="100"/>
      <c r="E28" s="42" t="s">
        <v>108</v>
      </c>
      <c r="F28" s="42">
        <f>SUM(F26:F27)</f>
        <v>1</v>
      </c>
      <c r="G28" s="42">
        <f>SUM(G26:G27)</f>
        <v>1</v>
      </c>
      <c r="O28" s="115"/>
      <c r="P28" s="165" t="s">
        <v>130</v>
      </c>
      <c r="Q28" s="170">
        <v>17.971459999999997</v>
      </c>
      <c r="R28" s="179">
        <v>13.505179999999998</v>
      </c>
      <c r="S28" s="170">
        <v>9.0388999999999999</v>
      </c>
      <c r="T28" s="170">
        <v>7.8691599999999999</v>
      </c>
      <c r="U28" s="167">
        <v>0.9</v>
      </c>
      <c r="V28" s="167">
        <v>1.1000000000000001</v>
      </c>
      <c r="W28" s="167">
        <v>0.9</v>
      </c>
      <c r="X28" s="167">
        <v>1.1000000000000001</v>
      </c>
      <c r="Y28" s="168" t="s">
        <v>99</v>
      </c>
      <c r="Z28" s="168">
        <v>18</v>
      </c>
    </row>
    <row r="29" spans="1:26" ht="17" customHeight="1">
      <c r="A29" s="46"/>
      <c r="B29" s="100"/>
      <c r="E29" s="118" t="s">
        <v>109</v>
      </c>
      <c r="O29" s="115"/>
      <c r="P29" s="165" t="s">
        <v>131</v>
      </c>
      <c r="Q29" s="170">
        <v>5.6360199999999994</v>
      </c>
      <c r="R29" s="179">
        <v>4.4662799999999994</v>
      </c>
      <c r="S29" s="170">
        <v>3.4028799999999997</v>
      </c>
      <c r="T29" s="170">
        <v>2.2331399999999997</v>
      </c>
      <c r="U29" s="167">
        <v>0.9</v>
      </c>
      <c r="V29" s="167">
        <v>1.1000000000000001</v>
      </c>
      <c r="W29" s="167">
        <v>0.9</v>
      </c>
      <c r="X29" s="167">
        <v>1.1000000000000001</v>
      </c>
      <c r="Y29" s="168" t="s">
        <v>102</v>
      </c>
      <c r="Z29" s="168">
        <v>26</v>
      </c>
    </row>
    <row r="30" spans="1:26" ht="17" customHeight="1">
      <c r="A30" s="46"/>
      <c r="B30" s="100"/>
      <c r="E30" s="42" t="s">
        <v>153</v>
      </c>
      <c r="F30" s="42">
        <f>R18</f>
        <v>0.7</v>
      </c>
      <c r="G30" s="42">
        <f>F30</f>
        <v>0.7</v>
      </c>
      <c r="O30" s="115"/>
      <c r="P30" s="165" t="s">
        <v>132</v>
      </c>
      <c r="Q30" s="166">
        <v>0</v>
      </c>
      <c r="R30" s="169">
        <v>0</v>
      </c>
      <c r="S30" s="166">
        <v>0</v>
      </c>
      <c r="T30" s="166">
        <v>0</v>
      </c>
      <c r="U30" s="166"/>
      <c r="V30" s="166"/>
      <c r="W30" s="166"/>
      <c r="X30" s="166"/>
      <c r="Y30" s="168"/>
      <c r="Z30" s="168"/>
    </row>
    <row r="31" spans="1:26" ht="17" customHeight="1">
      <c r="A31" s="46"/>
      <c r="B31" s="100"/>
      <c r="E31" s="42" t="s">
        <v>154</v>
      </c>
      <c r="F31" s="182">
        <f>R19</f>
        <v>0.2</v>
      </c>
      <c r="O31" s="164" t="s">
        <v>103</v>
      </c>
      <c r="P31" s="117"/>
      <c r="Q31" s="166"/>
      <c r="R31" s="169"/>
      <c r="S31" s="166"/>
      <c r="T31" s="166"/>
      <c r="U31" s="166"/>
      <c r="V31" s="166"/>
      <c r="W31" s="166"/>
      <c r="X31" s="166"/>
      <c r="Y31" s="168"/>
      <c r="Z31" s="168"/>
    </row>
    <row r="32" spans="1:26" ht="17" customHeight="1">
      <c r="A32" s="46"/>
      <c r="B32" s="100"/>
      <c r="E32" s="42" t="s">
        <v>155</v>
      </c>
      <c r="F32" s="182">
        <f>1-SUM(F30:F31)</f>
        <v>0.10000000000000009</v>
      </c>
      <c r="G32" s="42">
        <f>1-G30</f>
        <v>0.30000000000000004</v>
      </c>
      <c r="O32" s="115"/>
      <c r="P32" s="165" t="s">
        <v>133</v>
      </c>
      <c r="Q32" s="171">
        <v>3.5091299760000001</v>
      </c>
      <c r="R32" s="180">
        <v>2.6584318000000002</v>
      </c>
      <c r="S32" s="171">
        <v>1.8077336239999999</v>
      </c>
      <c r="T32" s="171">
        <v>1.488721808</v>
      </c>
      <c r="U32" s="167">
        <v>0.75</v>
      </c>
      <c r="V32" s="167">
        <v>1.5</v>
      </c>
      <c r="W32" s="167">
        <v>0.75</v>
      </c>
      <c r="X32" s="167">
        <v>1.25</v>
      </c>
      <c r="Y32" s="168" t="s">
        <v>127</v>
      </c>
      <c r="Z32" s="168" t="s">
        <v>128</v>
      </c>
    </row>
    <row r="33" spans="1:26" ht="17" customHeight="1">
      <c r="A33" s="46"/>
      <c r="B33" s="100"/>
      <c r="O33" s="115"/>
      <c r="P33" s="165" t="s">
        <v>100</v>
      </c>
      <c r="Q33" s="166">
        <v>75</v>
      </c>
      <c r="R33" s="169">
        <v>75</v>
      </c>
      <c r="S33" s="166">
        <v>75</v>
      </c>
      <c r="T33" s="166">
        <v>75</v>
      </c>
      <c r="U33" s="166"/>
      <c r="V33" s="166"/>
      <c r="W33" s="166"/>
      <c r="X33" s="166"/>
      <c r="Y33" s="168" t="s">
        <v>129</v>
      </c>
      <c r="Z33" s="168"/>
    </row>
    <row r="34" spans="1:26" ht="17" customHeight="1">
      <c r="A34" s="46"/>
      <c r="B34" s="100"/>
      <c r="E34" s="118" t="s">
        <v>179</v>
      </c>
      <c r="O34" s="115"/>
      <c r="P34" s="165" t="s">
        <v>101</v>
      </c>
      <c r="Q34" s="166">
        <v>25</v>
      </c>
      <c r="R34" s="169">
        <v>25</v>
      </c>
      <c r="S34" s="166">
        <v>25</v>
      </c>
      <c r="T34" s="166">
        <v>25</v>
      </c>
      <c r="U34" s="166"/>
      <c r="V34" s="166"/>
      <c r="W34" s="166"/>
      <c r="X34" s="166"/>
      <c r="Y34" s="168"/>
      <c r="Z34" s="168"/>
    </row>
    <row r="35" spans="1:26" ht="17" customHeight="1">
      <c r="A35" s="46"/>
      <c r="B35" s="100"/>
      <c r="E35" s="42" t="s">
        <v>180</v>
      </c>
      <c r="O35" s="115"/>
      <c r="P35" s="165" t="s">
        <v>134</v>
      </c>
      <c r="Q35" s="170">
        <v>0.1701396352</v>
      </c>
      <c r="R35" s="179">
        <v>0.12760472640000001</v>
      </c>
      <c r="S35" s="170">
        <v>8.50698176E-2</v>
      </c>
      <c r="T35" s="170">
        <v>7.4436090400000016E-2</v>
      </c>
      <c r="U35" s="167">
        <v>0.9</v>
      </c>
      <c r="V35" s="167">
        <v>1.1000000000000001</v>
      </c>
      <c r="W35" s="167">
        <v>0.9</v>
      </c>
      <c r="X35" s="167">
        <v>1.1000000000000001</v>
      </c>
      <c r="Y35" s="168" t="s">
        <v>99</v>
      </c>
      <c r="Z35" s="168">
        <v>18</v>
      </c>
    </row>
    <row r="36" spans="1:26" ht="17" customHeight="1">
      <c r="A36" s="46"/>
      <c r="B36" s="100"/>
      <c r="E36" s="42" t="str">
        <f>P54</f>
        <v>O. A reasonable distribution of the FT fuels might be 60% jet fuel, 20% gasoline, and 20% lighter products (LPG and fuel gas), but the distribution of outputs could be very different depending on the plant design, catalyst and the operating conditions.</v>
      </c>
      <c r="O36" s="115"/>
      <c r="P36" s="165" t="s">
        <v>135</v>
      </c>
      <c r="Q36" s="170">
        <v>5.3168636000000005E-2</v>
      </c>
      <c r="R36" s="179">
        <v>4.25349088E-2</v>
      </c>
      <c r="S36" s="170">
        <v>3.1901181600000002E-2</v>
      </c>
      <c r="T36" s="170">
        <v>2.12674544E-2</v>
      </c>
      <c r="U36" s="167">
        <v>0.9</v>
      </c>
      <c r="V36" s="167">
        <v>1.1000000000000001</v>
      </c>
      <c r="W36" s="167">
        <v>0.9</v>
      </c>
      <c r="X36" s="167">
        <v>1.1000000000000001</v>
      </c>
      <c r="Y36" s="168" t="s">
        <v>102</v>
      </c>
      <c r="Z36" s="168">
        <v>26</v>
      </c>
    </row>
    <row r="37" spans="1:26" ht="17" customHeight="1" thickBot="1">
      <c r="A37" s="46"/>
      <c r="B37" s="100"/>
      <c r="E37" s="42" t="s">
        <v>202</v>
      </c>
      <c r="O37" s="116"/>
      <c r="P37" s="172" t="s">
        <v>132</v>
      </c>
      <c r="Q37" s="173">
        <v>0</v>
      </c>
      <c r="R37" s="181">
        <v>0</v>
      </c>
      <c r="S37" s="173">
        <v>0</v>
      </c>
      <c r="T37" s="173">
        <v>0</v>
      </c>
      <c r="U37" s="173"/>
      <c r="V37" s="173"/>
      <c r="W37" s="173"/>
      <c r="X37" s="173"/>
      <c r="Y37" s="174"/>
      <c r="Z37" s="174"/>
    </row>
    <row r="38" spans="1:26" ht="17" customHeight="1">
      <c r="A38" s="46"/>
      <c r="B38" s="100"/>
      <c r="O38" s="117"/>
      <c r="P38" s="175"/>
      <c r="Q38" s="176"/>
      <c r="R38" s="176"/>
      <c r="S38" s="176"/>
      <c r="T38" s="176"/>
      <c r="U38" s="176"/>
      <c r="V38" s="176"/>
      <c r="W38" s="176"/>
      <c r="X38" s="175"/>
      <c r="Y38" s="176"/>
      <c r="Z38" s="176"/>
    </row>
    <row r="39" spans="1:26" ht="17" customHeight="1">
      <c r="A39" s="46"/>
      <c r="B39" s="100"/>
      <c r="E39" s="118" t="s">
        <v>109</v>
      </c>
      <c r="F39" s="42" t="s">
        <v>184</v>
      </c>
      <c r="G39" s="42" t="s">
        <v>186</v>
      </c>
      <c r="H39" s="42" t="s">
        <v>187</v>
      </c>
      <c r="O39" s="177" t="s">
        <v>104</v>
      </c>
      <c r="P39" s="117"/>
      <c r="Q39" s="117"/>
      <c r="R39" s="117"/>
      <c r="S39" s="117"/>
      <c r="T39" s="117"/>
      <c r="U39" s="117"/>
      <c r="V39" s="117"/>
      <c r="W39" s="117"/>
      <c r="X39" s="117"/>
      <c r="Y39" s="117"/>
      <c r="Z39" s="117"/>
    </row>
    <row r="40" spans="1:26">
      <c r="E40" s="42" t="s">
        <v>181</v>
      </c>
      <c r="F40" s="42">
        <f>0.6</f>
        <v>0.6</v>
      </c>
      <c r="G40" s="42">
        <f>$F$30*F40</f>
        <v>0.42</v>
      </c>
      <c r="H40" s="42">
        <f>G40+$G$42*G40/SUM($G$40:$G$41)</f>
        <v>0.52500000000000002</v>
      </c>
      <c r="O40" s="178"/>
      <c r="P40" s="178" t="s">
        <v>136</v>
      </c>
      <c r="Q40" s="117"/>
      <c r="R40" s="117"/>
      <c r="S40" s="117"/>
      <c r="T40" s="117"/>
      <c r="U40" s="117"/>
      <c r="V40" s="117"/>
      <c r="W40" s="117"/>
      <c r="X40" s="117"/>
      <c r="Y40" s="117"/>
      <c r="Z40" s="117"/>
    </row>
    <row r="41" spans="1:26">
      <c r="E41" s="42" t="s">
        <v>182</v>
      </c>
      <c r="F41" s="42">
        <v>0.2</v>
      </c>
      <c r="G41" s="42">
        <f>$F$30*F41</f>
        <v>0.13999999999999999</v>
      </c>
      <c r="H41" s="42">
        <f>G41+$G$42*G41/SUM($G$40:$G$41)</f>
        <v>0.17499999999999999</v>
      </c>
      <c r="O41" s="178"/>
      <c r="P41" s="178" t="s">
        <v>137</v>
      </c>
      <c r="Q41" s="117"/>
      <c r="R41" s="117"/>
      <c r="S41" s="117"/>
      <c r="T41" s="117"/>
      <c r="U41" s="117"/>
      <c r="V41" s="117"/>
      <c r="W41" s="117"/>
      <c r="X41" s="117"/>
      <c r="Y41" s="117"/>
      <c r="Z41" s="117"/>
    </row>
    <row r="42" spans="1:26">
      <c r="E42" s="42" t="s">
        <v>183</v>
      </c>
      <c r="F42" s="42">
        <v>0.2</v>
      </c>
      <c r="G42" s="42">
        <f>$F$30*F42</f>
        <v>0.13999999999999999</v>
      </c>
      <c r="H42" s="42">
        <v>0</v>
      </c>
      <c r="I42" s="42" t="s">
        <v>190</v>
      </c>
      <c r="O42" s="178"/>
      <c r="P42" s="178" t="s">
        <v>138</v>
      </c>
      <c r="Q42" s="117"/>
      <c r="R42" s="117"/>
      <c r="S42" s="117"/>
      <c r="T42" s="117"/>
      <c r="U42" s="117"/>
      <c r="V42" s="117"/>
      <c r="W42" s="117"/>
      <c r="X42" s="117"/>
      <c r="Y42" s="117"/>
      <c r="Z42" s="117"/>
    </row>
    <row r="43" spans="1:26">
      <c r="E43" s="42" t="s">
        <v>108</v>
      </c>
      <c r="F43" s="42">
        <f>SUM(F40:F42)</f>
        <v>1</v>
      </c>
      <c r="G43" s="42">
        <f>SUM(G40:G42)</f>
        <v>0.7</v>
      </c>
      <c r="H43" s="42">
        <f>SUM(H40:H42)</f>
        <v>0.7</v>
      </c>
      <c r="I43" s="42" t="s">
        <v>191</v>
      </c>
      <c r="O43" s="178"/>
      <c r="P43" s="178" t="s">
        <v>139</v>
      </c>
      <c r="Q43" s="117"/>
      <c r="R43" s="117"/>
      <c r="S43" s="117"/>
      <c r="T43" s="117"/>
      <c r="U43" s="117"/>
      <c r="V43" s="117"/>
      <c r="W43" s="117"/>
      <c r="X43" s="117"/>
      <c r="Y43" s="117"/>
      <c r="Z43" s="117"/>
    </row>
    <row r="44" spans="1:26">
      <c r="O44" s="178"/>
      <c r="P44" s="178" t="s">
        <v>140</v>
      </c>
      <c r="Q44" s="117"/>
      <c r="R44" s="117"/>
      <c r="S44" s="117"/>
      <c r="T44" s="117"/>
      <c r="U44" s="117"/>
      <c r="V44" s="117"/>
      <c r="W44" s="117"/>
      <c r="X44" s="117"/>
      <c r="Y44" s="117"/>
      <c r="Z44" s="117"/>
    </row>
    <row r="45" spans="1:26">
      <c r="O45" s="178"/>
      <c r="P45" s="178" t="s">
        <v>141</v>
      </c>
      <c r="Q45" s="117"/>
      <c r="R45" s="117"/>
      <c r="S45" s="117"/>
      <c r="T45" s="117"/>
      <c r="U45" s="117"/>
      <c r="V45" s="117"/>
      <c r="W45" s="117"/>
      <c r="X45" s="117"/>
      <c r="Y45" s="117"/>
      <c r="Z45" s="117"/>
    </row>
    <row r="46" spans="1:26">
      <c r="E46" s="46" t="s">
        <v>203</v>
      </c>
      <c r="O46" s="178"/>
      <c r="P46" s="178" t="s">
        <v>142</v>
      </c>
      <c r="Q46" s="117"/>
      <c r="R46" s="117"/>
      <c r="S46" s="117"/>
      <c r="T46" s="117"/>
      <c r="U46" s="117"/>
      <c r="V46" s="117"/>
      <c r="W46" s="117"/>
      <c r="X46" s="117"/>
      <c r="Y46" s="117"/>
      <c r="Z46" s="117"/>
    </row>
    <row r="47" spans="1:26">
      <c r="E47" s="42" t="s">
        <v>204</v>
      </c>
      <c r="F47" s="42">
        <f>R14</f>
        <v>3.9</v>
      </c>
      <c r="G47" s="42" t="s">
        <v>205</v>
      </c>
      <c r="H47" s="42" t="s">
        <v>213</v>
      </c>
      <c r="O47" s="178"/>
      <c r="P47" s="178" t="s">
        <v>143</v>
      </c>
      <c r="Q47" s="117"/>
      <c r="R47" s="117"/>
      <c r="S47" s="117"/>
      <c r="T47" s="117"/>
      <c r="U47" s="117"/>
      <c r="V47" s="117"/>
      <c r="W47" s="117"/>
      <c r="X47" s="117"/>
      <c r="Y47" s="117"/>
      <c r="Z47" s="117"/>
    </row>
    <row r="48" spans="1:26">
      <c r="E48" s="42" t="s">
        <v>206</v>
      </c>
      <c r="F48" s="42">
        <v>43.15</v>
      </c>
      <c r="G48" s="42" t="s">
        <v>207</v>
      </c>
      <c r="H48" s="42" t="s">
        <v>209</v>
      </c>
      <c r="O48" s="178"/>
      <c r="P48" s="178" t="s">
        <v>144</v>
      </c>
      <c r="Q48" s="117"/>
      <c r="R48" s="117"/>
      <c r="S48" s="117"/>
      <c r="T48" s="117"/>
      <c r="U48" s="117"/>
      <c r="V48" s="117"/>
      <c r="W48" s="117"/>
      <c r="X48" s="117"/>
      <c r="Y48" s="117"/>
      <c r="Z48" s="117"/>
    </row>
    <row r="49" spans="5:26">
      <c r="E49" s="42" t="s">
        <v>214</v>
      </c>
      <c r="F49" s="194">
        <f>F47/F48</f>
        <v>9.0382387022016217E-2</v>
      </c>
      <c r="G49" s="42" t="s">
        <v>215</v>
      </c>
      <c r="H49" s="42" t="s">
        <v>216</v>
      </c>
      <c r="O49" s="178"/>
      <c r="P49" s="178" t="s">
        <v>145</v>
      </c>
      <c r="Q49" s="117"/>
      <c r="R49" s="117"/>
      <c r="S49" s="117"/>
      <c r="T49" s="117"/>
      <c r="U49" s="117"/>
      <c r="V49" s="117"/>
      <c r="W49" s="117"/>
      <c r="X49" s="117"/>
      <c r="Y49" s="117"/>
      <c r="Z49" s="117"/>
    </row>
    <row r="50" spans="5:26">
      <c r="E50" s="42" t="s">
        <v>217</v>
      </c>
      <c r="F50" s="42">
        <v>7.1499999999999994E-2</v>
      </c>
      <c r="G50" s="42" t="s">
        <v>208</v>
      </c>
      <c r="H50" s="42" t="s">
        <v>218</v>
      </c>
      <c r="O50" s="178"/>
      <c r="P50" s="178" t="s">
        <v>146</v>
      </c>
      <c r="Q50" s="117"/>
      <c r="R50" s="117"/>
      <c r="S50" s="117"/>
      <c r="T50" s="117"/>
      <c r="U50" s="117"/>
      <c r="V50" s="117"/>
      <c r="W50" s="117"/>
      <c r="X50" s="117"/>
      <c r="Y50" s="117"/>
      <c r="Z50" s="117"/>
    </row>
    <row r="51" spans="5:26">
      <c r="E51" s="42" t="s">
        <v>219</v>
      </c>
      <c r="F51" s="42">
        <v>7.1999999999999995E-2</v>
      </c>
      <c r="G51" s="42" t="s">
        <v>220</v>
      </c>
      <c r="H51" s="42" t="s">
        <v>218</v>
      </c>
      <c r="O51" s="178"/>
      <c r="P51" s="178" t="s">
        <v>147</v>
      </c>
      <c r="Q51" s="117"/>
      <c r="R51" s="117"/>
      <c r="S51" s="117"/>
      <c r="T51" s="117"/>
      <c r="U51" s="117"/>
      <c r="V51" s="117"/>
      <c r="W51" s="117"/>
      <c r="X51" s="117"/>
      <c r="Y51" s="117"/>
      <c r="Z51" s="117"/>
    </row>
    <row r="52" spans="5:26">
      <c r="O52" s="178"/>
      <c r="P52" s="178" t="s">
        <v>148</v>
      </c>
      <c r="Q52" s="117"/>
      <c r="R52" s="117"/>
      <c r="S52" s="117"/>
      <c r="T52" s="117"/>
      <c r="U52" s="117"/>
      <c r="V52" s="117"/>
      <c r="W52" s="117"/>
      <c r="X52" s="117"/>
      <c r="Y52" s="117"/>
      <c r="Z52" s="117"/>
    </row>
    <row r="53" spans="5:26">
      <c r="O53" s="178"/>
      <c r="P53" s="178" t="s">
        <v>149</v>
      </c>
      <c r="Q53" s="117"/>
      <c r="R53" s="117"/>
      <c r="S53" s="117"/>
      <c r="T53" s="117"/>
      <c r="U53" s="117"/>
      <c r="V53" s="117"/>
      <c r="W53" s="117"/>
      <c r="X53" s="117"/>
      <c r="Y53" s="117"/>
      <c r="Z53" s="117"/>
    </row>
    <row r="54" spans="5:26">
      <c r="E54" s="46" t="s">
        <v>156</v>
      </c>
      <c r="O54" s="178"/>
      <c r="P54" s="178" t="s">
        <v>150</v>
      </c>
      <c r="Q54" s="117"/>
      <c r="R54" s="117"/>
      <c r="S54" s="117"/>
      <c r="T54" s="117"/>
      <c r="U54" s="117"/>
      <c r="V54" s="117"/>
      <c r="W54" s="117"/>
      <c r="X54" s="117"/>
      <c r="Y54" s="117"/>
      <c r="Z54" s="117"/>
    </row>
    <row r="55" spans="5:26">
      <c r="E55" s="42" t="s">
        <v>157</v>
      </c>
      <c r="F55" s="42">
        <f>S26*10^3</f>
        <v>75000</v>
      </c>
      <c r="G55" s="42" t="s">
        <v>158</v>
      </c>
    </row>
    <row r="56" spans="5:26">
      <c r="E56" s="42" t="s">
        <v>159</v>
      </c>
      <c r="F56" s="42">
        <f>R12</f>
        <v>20.5</v>
      </c>
      <c r="G56" s="42" t="s">
        <v>74</v>
      </c>
    </row>
    <row r="57" spans="5:26">
      <c r="E57" s="42" t="s">
        <v>72</v>
      </c>
      <c r="F57" s="42">
        <v>8000</v>
      </c>
      <c r="G57" s="42" t="s">
        <v>160</v>
      </c>
    </row>
    <row r="58" spans="5:26">
      <c r="E58" s="42" t="s">
        <v>73</v>
      </c>
      <c r="F58" s="42">
        <f>Q22</f>
        <v>25</v>
      </c>
      <c r="G58" s="42" t="s">
        <v>161</v>
      </c>
    </row>
    <row r="59" spans="5:26">
      <c r="E59" s="42" t="s">
        <v>162</v>
      </c>
      <c r="F59" s="120">
        <f>Q23</f>
        <v>2</v>
      </c>
      <c r="G59" s="42" t="s">
        <v>161</v>
      </c>
    </row>
    <row r="60" spans="5:26">
      <c r="E60" s="42" t="s">
        <v>163</v>
      </c>
      <c r="F60" s="104">
        <f>1-Q21/52</f>
        <v>0.94230769230769229</v>
      </c>
    </row>
    <row r="62" spans="5:26">
      <c r="E62" s="42" t="s">
        <v>69</v>
      </c>
      <c r="F62" s="183">
        <f>R25*R12*Q22*10^6</f>
        <v>871988000</v>
      </c>
      <c r="G62" s="42" t="s">
        <v>164</v>
      </c>
    </row>
    <row r="63" spans="5:26">
      <c r="E63" s="42" t="s">
        <v>165</v>
      </c>
      <c r="F63" s="183">
        <f>R28*R12*F57</f>
        <v>2214849.5199999996</v>
      </c>
      <c r="G63" s="42" t="s">
        <v>166</v>
      </c>
    </row>
    <row r="64" spans="5:26">
      <c r="E64" s="42" t="s">
        <v>167</v>
      </c>
      <c r="F64" s="183">
        <f>R29*R12*F57</f>
        <v>732469.91999999993</v>
      </c>
      <c r="G64" s="42" t="s">
        <v>166</v>
      </c>
    </row>
    <row r="65" spans="5:26">
      <c r="E65" s="42" t="s">
        <v>167</v>
      </c>
      <c r="F65" s="104">
        <f>F64/F57</f>
        <v>91.558739999999986</v>
      </c>
      <c r="G65" s="42" t="s">
        <v>168</v>
      </c>
    </row>
    <row r="79" spans="5:26">
      <c r="E79" s="46"/>
      <c r="N79" s="127"/>
      <c r="O79" s="128"/>
      <c r="P79" s="205"/>
      <c r="Q79" s="206"/>
      <c r="R79" s="206"/>
      <c r="S79" s="206"/>
      <c r="T79" s="206"/>
      <c r="U79" s="206"/>
      <c r="V79" s="206"/>
      <c r="W79" s="206"/>
      <c r="X79" s="206"/>
      <c r="Y79" s="206"/>
      <c r="Z79" s="206"/>
    </row>
    <row r="80" spans="5:26">
      <c r="N80" s="128"/>
      <c r="O80" s="128"/>
      <c r="P80" s="129"/>
      <c r="Q80" s="129"/>
      <c r="R80" s="130"/>
      <c r="S80" s="129"/>
      <c r="T80" s="129"/>
      <c r="U80" s="131"/>
      <c r="V80" s="131"/>
      <c r="W80" s="131"/>
      <c r="X80" s="131"/>
      <c r="Y80" s="132"/>
      <c r="Z80" s="132"/>
    </row>
    <row r="81" spans="5:26">
      <c r="N81" s="127"/>
      <c r="O81" s="128"/>
      <c r="P81" s="133"/>
      <c r="Q81" s="133"/>
      <c r="R81" s="133"/>
      <c r="S81" s="133"/>
      <c r="T81" s="133"/>
      <c r="U81" s="131"/>
      <c r="V81" s="131"/>
      <c r="W81" s="131"/>
      <c r="X81" s="131"/>
      <c r="Y81" s="132"/>
      <c r="Z81" s="132"/>
    </row>
    <row r="82" spans="5:26">
      <c r="N82" s="127"/>
      <c r="O82" s="128"/>
      <c r="P82" s="129"/>
      <c r="Q82" s="129"/>
      <c r="R82" s="130"/>
      <c r="S82" s="129"/>
      <c r="T82" s="129"/>
      <c r="U82" s="129"/>
      <c r="V82" s="129"/>
      <c r="W82" s="129"/>
      <c r="X82" s="129"/>
      <c r="Y82" s="132"/>
      <c r="Z82" s="132"/>
    </row>
    <row r="83" spans="5:26">
      <c r="E83" s="118"/>
      <c r="N83" s="134"/>
      <c r="O83" s="134"/>
      <c r="P83" s="129"/>
      <c r="Q83" s="129"/>
      <c r="R83" s="130"/>
      <c r="S83" s="129"/>
      <c r="T83" s="129"/>
      <c r="U83" s="129"/>
      <c r="V83" s="129"/>
      <c r="W83" s="129"/>
      <c r="X83" s="129"/>
      <c r="Y83" s="132"/>
      <c r="Z83" s="132"/>
    </row>
    <row r="84" spans="5:26">
      <c r="N84" s="134"/>
      <c r="O84" s="135"/>
      <c r="P84" s="136"/>
      <c r="Q84" s="136"/>
      <c r="R84" s="137"/>
      <c r="S84" s="136"/>
      <c r="T84" s="136"/>
      <c r="U84" s="138"/>
      <c r="V84" s="122"/>
      <c r="W84" s="122"/>
      <c r="X84" s="122"/>
      <c r="Y84" s="123"/>
      <c r="Z84" s="132"/>
    </row>
    <row r="85" spans="5:26">
      <c r="G85" s="104"/>
      <c r="H85" s="104"/>
      <c r="I85" s="104"/>
      <c r="N85" s="134"/>
      <c r="O85" s="139"/>
      <c r="P85" s="136"/>
      <c r="Q85" s="136"/>
      <c r="R85" s="137"/>
      <c r="S85" s="136"/>
      <c r="T85" s="136"/>
      <c r="U85" s="138"/>
      <c r="V85" s="122"/>
      <c r="W85" s="122"/>
      <c r="X85" s="122"/>
      <c r="Y85" s="123"/>
      <c r="Z85" s="132"/>
    </row>
    <row r="86" spans="5:26">
      <c r="G86" s="104"/>
      <c r="H86" s="104"/>
      <c r="I86" s="104"/>
      <c r="N86" s="134"/>
      <c r="O86" s="134"/>
      <c r="P86" s="136"/>
      <c r="Q86" s="136"/>
      <c r="R86" s="137"/>
      <c r="S86" s="136"/>
      <c r="T86" s="136"/>
      <c r="U86" s="136"/>
      <c r="V86" s="136"/>
      <c r="W86" s="136"/>
      <c r="X86" s="136"/>
      <c r="Y86" s="132"/>
      <c r="Z86" s="132"/>
    </row>
    <row r="87" spans="5:26">
      <c r="G87" s="104"/>
      <c r="H87" s="104"/>
      <c r="I87" s="104"/>
      <c r="N87" s="134"/>
      <c r="O87" s="140"/>
      <c r="P87" s="124"/>
      <c r="Q87" s="124"/>
      <c r="R87" s="125"/>
      <c r="S87" s="124"/>
      <c r="T87" s="124"/>
      <c r="U87" s="138"/>
      <c r="V87" s="138"/>
      <c r="W87" s="138"/>
      <c r="X87" s="138"/>
      <c r="Y87" s="132"/>
      <c r="Z87" s="132"/>
    </row>
    <row r="88" spans="5:26">
      <c r="G88" s="104"/>
      <c r="H88" s="104"/>
      <c r="I88" s="120"/>
      <c r="N88" s="134"/>
      <c r="O88" s="140"/>
      <c r="P88" s="136"/>
      <c r="Q88" s="136"/>
      <c r="R88" s="137"/>
      <c r="S88" s="136"/>
      <c r="T88" s="136"/>
      <c r="U88" s="138"/>
      <c r="V88" s="138"/>
      <c r="W88" s="138"/>
      <c r="X88" s="138"/>
      <c r="Y88" s="132"/>
      <c r="Z88" s="132"/>
    </row>
    <row r="89" spans="5:26">
      <c r="I89" s="107"/>
      <c r="N89" s="134"/>
      <c r="O89" s="140"/>
      <c r="P89" s="136"/>
      <c r="Q89" s="136"/>
      <c r="R89" s="137"/>
      <c r="S89" s="136"/>
      <c r="T89" s="136"/>
      <c r="U89" s="138"/>
      <c r="V89" s="138"/>
      <c r="W89" s="138"/>
      <c r="X89" s="138"/>
      <c r="Y89" s="132"/>
      <c r="Z89" s="132"/>
    </row>
    <row r="90" spans="5:26">
      <c r="E90" s="118"/>
      <c r="I90" s="107"/>
      <c r="N90" s="134"/>
      <c r="O90" s="140"/>
      <c r="P90" s="141"/>
      <c r="Q90" s="141"/>
      <c r="R90" s="131"/>
      <c r="S90" s="141"/>
      <c r="T90" s="141"/>
      <c r="U90" s="142"/>
      <c r="V90" s="142"/>
      <c r="W90" s="142"/>
      <c r="X90" s="142"/>
      <c r="Y90" s="143"/>
      <c r="Z90" s="143"/>
    </row>
    <row r="91" spans="5:26">
      <c r="I91" s="104"/>
      <c r="N91" s="134"/>
      <c r="O91" s="140"/>
      <c r="P91" s="141"/>
      <c r="Q91" s="141"/>
      <c r="R91" s="131"/>
      <c r="S91" s="141"/>
      <c r="T91" s="141"/>
      <c r="U91" s="142"/>
      <c r="V91" s="142"/>
      <c r="W91" s="142"/>
      <c r="X91" s="142"/>
      <c r="Y91" s="143"/>
      <c r="Z91" s="143"/>
    </row>
    <row r="92" spans="5:26">
      <c r="I92" s="104"/>
      <c r="N92" s="134"/>
      <c r="O92" s="144"/>
      <c r="P92" s="141"/>
      <c r="Q92" s="141"/>
      <c r="R92" s="131"/>
      <c r="S92" s="141"/>
      <c r="T92" s="141"/>
      <c r="U92" s="142"/>
      <c r="V92" s="142"/>
      <c r="W92" s="142"/>
      <c r="X92" s="142"/>
      <c r="Y92" s="143"/>
      <c r="Z92" s="143"/>
    </row>
    <row r="93" spans="5:26">
      <c r="I93" s="104"/>
      <c r="N93" s="134"/>
      <c r="O93" s="140"/>
      <c r="P93" s="141"/>
      <c r="Q93" s="141"/>
      <c r="R93" s="131"/>
      <c r="S93" s="141"/>
      <c r="T93" s="141"/>
      <c r="U93" s="142"/>
      <c r="V93" s="142"/>
      <c r="W93" s="142"/>
      <c r="X93" s="142"/>
      <c r="Y93" s="143"/>
      <c r="Z93" s="143"/>
    </row>
    <row r="94" spans="5:26">
      <c r="N94" s="134"/>
      <c r="O94" s="140"/>
      <c r="P94" s="141"/>
      <c r="Q94" s="141"/>
      <c r="R94" s="131"/>
      <c r="S94" s="141"/>
      <c r="T94" s="141"/>
      <c r="U94" s="142"/>
      <c r="V94" s="142"/>
      <c r="W94" s="142"/>
      <c r="X94" s="142"/>
      <c r="Y94" s="143"/>
      <c r="Z94" s="143"/>
    </row>
    <row r="95" spans="5:26">
      <c r="F95" s="104"/>
      <c r="N95" s="134"/>
      <c r="O95" s="140"/>
      <c r="P95" s="141"/>
      <c r="Q95" s="141"/>
      <c r="R95" s="131"/>
      <c r="S95" s="141"/>
      <c r="T95" s="141"/>
      <c r="U95" s="142"/>
      <c r="V95" s="142"/>
      <c r="W95" s="142"/>
      <c r="X95" s="142"/>
      <c r="Y95" s="143"/>
      <c r="Z95" s="143"/>
    </row>
    <row r="96" spans="5:26">
      <c r="N96" s="134"/>
      <c r="O96" s="140"/>
      <c r="P96" s="141"/>
      <c r="Q96" s="141"/>
      <c r="R96" s="131"/>
      <c r="S96" s="141"/>
      <c r="T96" s="141"/>
      <c r="U96" s="142"/>
      <c r="V96" s="142"/>
      <c r="W96" s="142"/>
      <c r="X96" s="142"/>
      <c r="Y96" s="143"/>
      <c r="Z96" s="143"/>
    </row>
    <row r="97" spans="5:26">
      <c r="N97" s="134"/>
      <c r="O97" s="140"/>
      <c r="P97" s="135"/>
      <c r="Q97" s="135"/>
      <c r="R97" s="145"/>
      <c r="S97" s="135"/>
      <c r="T97" s="135"/>
      <c r="U97" s="142"/>
      <c r="V97" s="142"/>
      <c r="W97" s="142"/>
      <c r="X97" s="142"/>
      <c r="Y97" s="135"/>
      <c r="Z97" s="143"/>
    </row>
    <row r="98" spans="5:26">
      <c r="E98" s="46"/>
      <c r="N98" s="134"/>
      <c r="O98" s="140"/>
      <c r="P98" s="135"/>
      <c r="Q98" s="135"/>
      <c r="R98" s="145"/>
      <c r="S98" s="135"/>
      <c r="T98" s="135"/>
      <c r="U98" s="142"/>
      <c r="V98" s="142"/>
      <c r="W98" s="142"/>
      <c r="X98" s="142"/>
      <c r="Y98" s="135"/>
      <c r="Z98" s="143"/>
    </row>
    <row r="99" spans="5:26">
      <c r="N99" s="134"/>
      <c r="O99" s="140"/>
      <c r="P99" s="135"/>
      <c r="Q99" s="135"/>
      <c r="R99" s="145"/>
      <c r="S99" s="135"/>
      <c r="T99" s="135"/>
      <c r="U99" s="141"/>
      <c r="V99" s="141"/>
      <c r="W99" s="141"/>
      <c r="X99" s="141"/>
      <c r="Y99" s="143"/>
      <c r="Z99" s="143"/>
    </row>
    <row r="100" spans="5:26">
      <c r="N100" s="134"/>
      <c r="O100" s="140"/>
      <c r="P100" s="135"/>
      <c r="Q100" s="135"/>
      <c r="R100" s="145"/>
      <c r="S100" s="135"/>
      <c r="T100" s="135"/>
      <c r="U100" s="141"/>
      <c r="V100" s="141"/>
      <c r="W100" s="141"/>
      <c r="X100" s="141"/>
      <c r="Y100" s="143"/>
      <c r="Z100" s="143"/>
    </row>
    <row r="101" spans="5:26">
      <c r="N101" s="134"/>
      <c r="O101" s="144"/>
      <c r="P101" s="141"/>
      <c r="Q101" s="141"/>
      <c r="R101" s="131"/>
      <c r="S101" s="141"/>
      <c r="T101" s="141"/>
      <c r="U101" s="141"/>
      <c r="V101" s="141"/>
      <c r="W101" s="141"/>
      <c r="X101" s="141"/>
      <c r="Y101" s="143"/>
      <c r="Z101" s="143"/>
    </row>
    <row r="102" spans="5:26">
      <c r="N102" s="134"/>
      <c r="O102" s="140"/>
      <c r="P102" s="146"/>
      <c r="Q102" s="146"/>
      <c r="R102" s="147"/>
      <c r="S102" s="146"/>
      <c r="T102" s="146"/>
      <c r="U102" s="126"/>
      <c r="V102" s="126"/>
      <c r="W102" s="126"/>
      <c r="X102" s="126"/>
      <c r="Y102" s="143"/>
      <c r="Z102" s="143"/>
    </row>
    <row r="103" spans="5:26">
      <c r="E103" s="121"/>
      <c r="N103" s="134"/>
      <c r="O103" s="139"/>
      <c r="P103" s="141"/>
      <c r="Q103" s="141"/>
      <c r="R103" s="131"/>
      <c r="S103" s="141"/>
      <c r="T103" s="141"/>
      <c r="U103" s="126"/>
      <c r="V103" s="126"/>
      <c r="W103" s="126"/>
      <c r="X103" s="126"/>
      <c r="Y103" s="143"/>
      <c r="Z103" s="143"/>
    </row>
    <row r="104" spans="5:26">
      <c r="E104" s="121"/>
      <c r="N104" s="134"/>
      <c r="O104" s="139"/>
      <c r="P104" s="141"/>
      <c r="Q104" s="141"/>
      <c r="R104" s="131"/>
      <c r="S104" s="141"/>
      <c r="T104" s="141"/>
      <c r="U104" s="126"/>
      <c r="V104" s="126"/>
      <c r="W104" s="126"/>
      <c r="X104" s="126"/>
      <c r="Y104" s="143"/>
      <c r="Z104" s="143"/>
    </row>
    <row r="105" spans="5:26">
      <c r="E105" s="121"/>
      <c r="N105" s="134"/>
      <c r="O105" s="140"/>
      <c r="P105" s="148"/>
      <c r="Q105" s="148"/>
      <c r="R105" s="149"/>
      <c r="S105" s="148"/>
      <c r="T105" s="148"/>
      <c r="U105" s="126"/>
      <c r="V105" s="126"/>
      <c r="W105" s="126"/>
      <c r="X105" s="126"/>
      <c r="Y105" s="143"/>
      <c r="Z105" s="143"/>
    </row>
    <row r="106" spans="5:26">
      <c r="E106" s="121"/>
      <c r="N106" s="134"/>
      <c r="O106" s="140"/>
      <c r="P106" s="148"/>
      <c r="Q106" s="148"/>
      <c r="R106" s="149"/>
      <c r="S106" s="148"/>
      <c r="T106" s="148"/>
      <c r="U106" s="126"/>
      <c r="V106" s="126"/>
      <c r="W106" s="126"/>
      <c r="X106" s="126"/>
      <c r="Y106" s="143"/>
      <c r="Z106" s="143"/>
    </row>
    <row r="107" spans="5:26">
      <c r="N107" s="134"/>
      <c r="O107" s="140"/>
      <c r="P107" s="141"/>
      <c r="Q107" s="141"/>
      <c r="R107" s="131"/>
      <c r="S107" s="141"/>
      <c r="T107" s="141"/>
      <c r="U107" s="126"/>
      <c r="V107" s="126"/>
      <c r="W107" s="126"/>
      <c r="X107" s="126"/>
      <c r="Y107" s="143"/>
      <c r="Z107" s="143"/>
    </row>
    <row r="108" spans="5:26">
      <c r="N108" s="134"/>
      <c r="O108" s="135"/>
      <c r="P108" s="141"/>
      <c r="Q108" s="141"/>
      <c r="R108" s="131"/>
      <c r="S108" s="141"/>
      <c r="T108" s="141"/>
      <c r="U108" s="126"/>
      <c r="V108" s="126"/>
      <c r="W108" s="126"/>
      <c r="X108" s="126"/>
      <c r="Y108" s="143"/>
      <c r="Z108" s="143"/>
    </row>
    <row r="109" spans="5:26">
      <c r="N109" s="134"/>
      <c r="O109" s="140"/>
      <c r="P109" s="141"/>
      <c r="Q109" s="141"/>
      <c r="R109" s="131"/>
      <c r="S109" s="141"/>
      <c r="T109" s="141"/>
      <c r="U109" s="126"/>
      <c r="V109" s="126"/>
      <c r="W109" s="126"/>
      <c r="X109" s="126"/>
      <c r="Y109" s="143"/>
      <c r="Z109" s="143"/>
    </row>
    <row r="110" spans="5:26">
      <c r="N110" s="134"/>
      <c r="O110" s="140"/>
      <c r="P110" s="141"/>
      <c r="Q110" s="141"/>
      <c r="R110" s="131"/>
      <c r="S110" s="141"/>
      <c r="T110" s="141"/>
      <c r="U110" s="126"/>
      <c r="V110" s="126"/>
      <c r="W110" s="126"/>
      <c r="X110" s="126"/>
      <c r="Y110" s="143"/>
      <c r="Z110" s="143"/>
    </row>
    <row r="111" spans="5:26">
      <c r="N111" s="134"/>
      <c r="O111" s="140"/>
      <c r="P111" s="146"/>
      <c r="Q111" s="146"/>
      <c r="R111" s="147"/>
      <c r="S111" s="146"/>
      <c r="T111" s="146"/>
      <c r="U111" s="126"/>
      <c r="V111" s="126"/>
      <c r="W111" s="126"/>
      <c r="X111" s="126"/>
      <c r="Y111" s="143"/>
      <c r="Z111" s="143"/>
    </row>
    <row r="112" spans="5:26">
      <c r="N112" s="134"/>
      <c r="O112" s="140"/>
      <c r="P112" s="141"/>
      <c r="Q112" s="141"/>
      <c r="R112" s="131"/>
      <c r="S112" s="141"/>
      <c r="T112" s="141"/>
      <c r="U112" s="126"/>
      <c r="V112" s="126"/>
      <c r="W112" s="126"/>
      <c r="X112" s="126"/>
      <c r="Y112" s="143"/>
      <c r="Z112" s="143"/>
    </row>
    <row r="113" spans="14:26">
      <c r="N113" s="134"/>
      <c r="O113" s="140"/>
      <c r="P113" s="141"/>
      <c r="Q113" s="141"/>
      <c r="R113" s="131"/>
      <c r="S113" s="141"/>
      <c r="T113" s="141"/>
      <c r="U113" s="126"/>
      <c r="V113" s="126"/>
      <c r="W113" s="126"/>
      <c r="X113" s="126"/>
      <c r="Y113" s="143"/>
      <c r="Z113" s="143"/>
    </row>
    <row r="114" spans="14:26">
      <c r="N114" s="134"/>
      <c r="O114" s="140"/>
      <c r="P114" s="148"/>
      <c r="Q114" s="148"/>
      <c r="R114" s="149"/>
      <c r="S114" s="148"/>
      <c r="T114" s="148"/>
      <c r="U114" s="126"/>
      <c r="V114" s="126"/>
      <c r="W114" s="126"/>
      <c r="X114" s="126"/>
      <c r="Y114" s="143"/>
      <c r="Z114" s="143"/>
    </row>
    <row r="115" spans="14:26">
      <c r="N115" s="134"/>
      <c r="O115" s="139"/>
      <c r="P115" s="148"/>
      <c r="Q115" s="148"/>
      <c r="R115" s="149"/>
      <c r="S115" s="148"/>
      <c r="T115" s="148"/>
      <c r="U115" s="126"/>
      <c r="V115" s="126"/>
      <c r="W115" s="126"/>
      <c r="X115" s="126"/>
      <c r="Y115" s="143"/>
      <c r="Z115" s="143"/>
    </row>
    <row r="116" spans="14:26">
      <c r="N116" s="134"/>
      <c r="O116" s="140"/>
      <c r="P116" s="141"/>
      <c r="Q116" s="141"/>
      <c r="R116" s="131"/>
      <c r="S116" s="141"/>
      <c r="T116" s="141"/>
      <c r="U116" s="141"/>
      <c r="V116" s="141"/>
      <c r="W116" s="141"/>
      <c r="X116" s="141"/>
      <c r="Y116" s="143"/>
      <c r="Z116" s="143"/>
    </row>
    <row r="117" spans="14:26">
      <c r="N117" s="150"/>
      <c r="O117" s="150"/>
      <c r="P117" s="151"/>
      <c r="Q117" s="150"/>
      <c r="R117" s="150"/>
      <c r="S117" s="150"/>
      <c r="T117" s="150"/>
      <c r="U117" s="150"/>
      <c r="V117" s="150"/>
      <c r="W117" s="150"/>
      <c r="X117" s="150"/>
      <c r="Y117" s="152"/>
      <c r="Z117" s="152"/>
    </row>
    <row r="118" spans="14:26">
      <c r="N118" s="153"/>
      <c r="O118" s="154"/>
      <c r="P118" s="150"/>
      <c r="Q118" s="150"/>
      <c r="R118" s="150"/>
      <c r="S118" s="150"/>
      <c r="T118" s="150"/>
      <c r="U118" s="150"/>
      <c r="V118" s="150"/>
      <c r="W118" s="150"/>
      <c r="X118" s="150"/>
      <c r="Y118" s="150"/>
      <c r="Z118" s="150"/>
    </row>
    <row r="119" spans="14:26">
      <c r="N119" s="141"/>
      <c r="O119" s="155"/>
      <c r="P119" s="150"/>
      <c r="Q119" s="150"/>
      <c r="R119" s="150"/>
      <c r="S119" s="150"/>
      <c r="T119" s="150"/>
      <c r="U119" s="150"/>
      <c r="V119" s="150"/>
      <c r="W119" s="150"/>
      <c r="X119" s="150"/>
      <c r="Y119" s="150"/>
      <c r="Z119" s="150"/>
    </row>
    <row r="120" spans="14:26">
      <c r="N120" s="141"/>
      <c r="O120" s="156"/>
      <c r="P120" s="150"/>
      <c r="Q120" s="150"/>
      <c r="R120" s="150"/>
      <c r="S120" s="150"/>
      <c r="T120" s="150"/>
      <c r="U120" s="150"/>
      <c r="V120" s="150"/>
      <c r="W120" s="150"/>
      <c r="X120" s="150"/>
      <c r="Y120" s="150"/>
      <c r="Z120" s="150"/>
    </row>
    <row r="121" spans="14:26">
      <c r="N121" s="141"/>
      <c r="O121" s="156"/>
      <c r="P121" s="150"/>
      <c r="Q121" s="150"/>
      <c r="R121" s="150"/>
      <c r="S121" s="150"/>
      <c r="T121" s="150"/>
      <c r="U121" s="150"/>
      <c r="V121" s="150"/>
      <c r="W121" s="150"/>
      <c r="X121" s="150"/>
      <c r="Y121" s="150"/>
      <c r="Z121" s="150"/>
    </row>
    <row r="122" spans="14:26">
      <c r="N122" s="141"/>
      <c r="O122" s="156"/>
      <c r="P122" s="150"/>
      <c r="Q122" s="150"/>
      <c r="R122" s="150"/>
      <c r="S122" s="150"/>
      <c r="T122" s="150"/>
      <c r="U122" s="150"/>
      <c r="V122" s="150"/>
      <c r="W122" s="150"/>
      <c r="X122" s="150"/>
      <c r="Y122" s="150"/>
      <c r="Z122" s="150"/>
    </row>
    <row r="123" spans="14:26">
      <c r="N123" s="141"/>
      <c r="O123" s="157"/>
      <c r="P123" s="150"/>
      <c r="Q123" s="150"/>
      <c r="R123" s="150"/>
      <c r="S123" s="150"/>
      <c r="T123" s="150"/>
      <c r="U123" s="150"/>
      <c r="V123" s="150"/>
      <c r="W123" s="150"/>
      <c r="X123" s="150"/>
      <c r="Y123" s="150"/>
      <c r="Z123" s="150"/>
    </row>
    <row r="124" spans="14:26">
      <c r="N124" s="141"/>
      <c r="O124" s="156"/>
      <c r="P124" s="150"/>
      <c r="Q124" s="150"/>
      <c r="R124" s="150"/>
      <c r="S124" s="150"/>
      <c r="T124" s="150"/>
      <c r="U124" s="150"/>
      <c r="V124" s="150"/>
      <c r="W124" s="150"/>
      <c r="X124" s="150"/>
      <c r="Y124" s="150"/>
      <c r="Z124" s="150"/>
    </row>
    <row r="125" spans="14:26">
      <c r="N125" s="141"/>
      <c r="O125" s="156"/>
      <c r="P125" s="150"/>
      <c r="Q125" s="150"/>
      <c r="R125" s="150"/>
      <c r="S125" s="150"/>
      <c r="T125" s="150"/>
      <c r="U125" s="150"/>
      <c r="V125" s="150"/>
      <c r="W125" s="150"/>
      <c r="X125" s="150"/>
      <c r="Y125" s="150"/>
      <c r="Z125" s="150"/>
    </row>
    <row r="126" spans="14:26">
      <c r="N126" s="141"/>
      <c r="O126" s="156"/>
      <c r="P126" s="150"/>
      <c r="Q126" s="150"/>
      <c r="R126" s="150"/>
      <c r="S126" s="150"/>
      <c r="T126" s="150"/>
      <c r="U126" s="150"/>
      <c r="V126" s="150"/>
      <c r="W126" s="150"/>
      <c r="X126" s="150"/>
      <c r="Y126" s="150"/>
      <c r="Z126" s="150"/>
    </row>
    <row r="127" spans="14:26">
      <c r="N127" s="141"/>
      <c r="O127" s="156"/>
      <c r="P127" s="150"/>
      <c r="Q127" s="150"/>
      <c r="R127" s="150"/>
      <c r="S127" s="150"/>
      <c r="T127" s="150"/>
      <c r="U127" s="150"/>
      <c r="V127" s="150"/>
      <c r="W127" s="150"/>
      <c r="X127" s="150"/>
      <c r="Y127" s="150"/>
      <c r="Z127" s="150"/>
    </row>
    <row r="128" spans="14:26">
      <c r="N128" s="141"/>
      <c r="O128" s="156"/>
      <c r="P128" s="150"/>
      <c r="Q128" s="150"/>
      <c r="R128" s="150"/>
      <c r="S128" s="150"/>
      <c r="T128" s="150"/>
      <c r="U128" s="150"/>
      <c r="V128" s="150"/>
      <c r="W128" s="150"/>
      <c r="X128" s="150"/>
      <c r="Y128" s="150"/>
      <c r="Z128" s="150"/>
    </row>
    <row r="129" spans="14:26">
      <c r="N129" s="150"/>
      <c r="O129" s="156"/>
      <c r="P129" s="150"/>
      <c r="Q129" s="150"/>
      <c r="R129" s="150"/>
      <c r="S129" s="150"/>
      <c r="T129" s="150"/>
      <c r="U129" s="150"/>
      <c r="V129" s="150"/>
      <c r="W129" s="150"/>
      <c r="X129" s="150"/>
      <c r="Y129" s="150"/>
      <c r="Z129" s="150"/>
    </row>
    <row r="130" spans="14:26">
      <c r="N130" s="141"/>
      <c r="O130" s="156"/>
      <c r="P130" s="150"/>
      <c r="Q130" s="150"/>
      <c r="R130" s="150"/>
      <c r="S130" s="150"/>
      <c r="T130" s="150"/>
      <c r="U130" s="150"/>
      <c r="V130" s="150"/>
      <c r="W130" s="150"/>
      <c r="X130" s="150"/>
      <c r="Y130" s="150"/>
      <c r="Z130" s="150"/>
    </row>
    <row r="131" spans="14:26">
      <c r="N131" s="141"/>
      <c r="O131" s="156"/>
      <c r="P131" s="150"/>
      <c r="Q131" s="150"/>
      <c r="R131" s="150"/>
      <c r="S131" s="150"/>
      <c r="T131" s="150"/>
      <c r="U131" s="150"/>
      <c r="V131" s="150"/>
      <c r="W131" s="150"/>
      <c r="X131" s="150"/>
      <c r="Y131" s="150"/>
      <c r="Z131" s="150"/>
    </row>
  </sheetData>
  <mergeCells count="2">
    <mergeCell ref="P79:Z79"/>
    <mergeCell ref="Q6:Z6"/>
  </mergeCells>
  <hyperlinks>
    <hyperlink ref="Q6" location="INDEX" display="Hydrogen to Jet Fuel" xr:uid="{FE8332F7-49C6-1C4B-B655-1AD82850DDA1}"/>
  </hyperlinks>
  <pageMargins left="0.75" right="0.75" top="1" bottom="1" header="0.5" footer="0.5"/>
  <pageSetup paperSize="9" orientation="portrait" horizontalDpi="4294967292" verticalDpi="429496729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Cover sheet</vt:lpstr>
      <vt:lpstr>Dashboard</vt:lpstr>
      <vt:lpstr>Sources</vt:lpstr>
      <vt:lpstr>Notes</vt:lpstr>
    </vt:vector>
  </TitlesOfParts>
  <Company>Quintel Intelligence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Rothengatter</dc:creator>
  <cp:lastModifiedBy>Kyra de Haan</cp:lastModifiedBy>
  <cp:lastPrinted>2015-02-13T09:40:54Z</cp:lastPrinted>
  <dcterms:created xsi:type="dcterms:W3CDTF">2011-10-26T09:05:09Z</dcterms:created>
  <dcterms:modified xsi:type="dcterms:W3CDTF">2026-05-19T14:06:40Z</dcterms:modified>
</cp:coreProperties>
</file>