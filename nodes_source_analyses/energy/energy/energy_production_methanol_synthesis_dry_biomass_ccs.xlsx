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1589BAEA-3142-1647-9BC1-028BF1E48E9D}" xr6:coauthVersionLast="47" xr6:coauthVersionMax="47" xr10:uidLastSave="{00000000-0000-0000-0000-000000000000}"/>
  <bookViews>
    <workbookView xWindow="1140" yWindow="500" windowWidth="28800" windowHeight="15820" tabRatio="762" activeTab="4"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3" i="12" l="1"/>
  <c r="E32" i="12"/>
  <c r="G81" i="20"/>
  <c r="K81" i="20"/>
  <c r="D81" i="20"/>
  <c r="K83" i="20"/>
  <c r="G82" i="20" s="1"/>
  <c r="D83" i="20"/>
  <c r="D45" i="20"/>
  <c r="E16" i="12" s="1"/>
  <c r="D7" i="20"/>
  <c r="E15" i="12" s="1"/>
  <c r="G83" i="20" l="1"/>
  <c r="G86" i="20" l="1"/>
  <c r="G88" i="20"/>
  <c r="D98" i="20" s="1"/>
  <c r="G87" i="20"/>
  <c r="D96" i="20" l="1"/>
  <c r="J12" i="13" l="1"/>
  <c r="H12" i="13" s="1"/>
  <c r="D49" i="20" l="1"/>
  <c r="D48" i="20"/>
  <c r="D12" i="20" s="1"/>
  <c r="E21" i="12" s="1"/>
  <c r="D47" i="20"/>
  <c r="D11" i="20" s="1"/>
  <c r="E19" i="12" s="1"/>
  <c r="D44" i="20"/>
  <c r="D43" i="20"/>
  <c r="D41" i="20"/>
  <c r="D40" i="20"/>
  <c r="D35" i="20"/>
  <c r="E35" i="20" s="1"/>
  <c r="D18" i="20" s="1"/>
  <c r="E13" i="12" s="1"/>
  <c r="D32" i="20"/>
  <c r="D31" i="20"/>
  <c r="D30" i="20"/>
  <c r="E30" i="20" s="1"/>
  <c r="D16" i="20" s="1"/>
  <c r="E14" i="12" s="1"/>
  <c r="D33" i="20" l="1"/>
  <c r="E33" i="20" s="1"/>
  <c r="D17" i="20" s="1"/>
  <c r="D6" i="20"/>
  <c r="E12" i="12" l="1"/>
  <c r="D61" i="20"/>
  <c r="D21" i="20" s="1"/>
  <c r="E20" i="12" l="1"/>
  <c r="J16" i="13"/>
  <c r="H16" i="13" s="1"/>
  <c r="J11" i="13"/>
  <c r="H11" i="13" s="1"/>
  <c r="D50" i="20"/>
  <c r="J17" i="13"/>
  <c r="H17" i="13" s="1"/>
  <c r="J15" i="13"/>
  <c r="H15" i="13" s="1"/>
  <c r="D9" i="20"/>
  <c r="D8" i="20"/>
  <c r="J26" i="13" l="1"/>
  <c r="H26" i="13" s="1"/>
  <c r="E31" i="12"/>
  <c r="D13" i="20"/>
  <c r="E22" i="12" s="1"/>
  <c r="J25" i="13"/>
  <c r="E30" i="12"/>
  <c r="H20" i="13"/>
  <c r="H21" i="13"/>
  <c r="H19" i="13"/>
  <c r="J18" i="13" l="1"/>
  <c r="H18" i="13" s="1"/>
  <c r="H25" i="13"/>
  <c r="E19" i="13"/>
  <c r="E21" i="13"/>
  <c r="H22" i="13"/>
  <c r="J9" i="13" l="1"/>
  <c r="H9" i="13" s="1"/>
  <c r="E20" i="13"/>
  <c r="J8" i="13" l="1"/>
  <c r="H8" i="13" s="1"/>
  <c r="J10" i="13"/>
  <c r="H10" i="13" s="1"/>
  <c r="J7" i="13" l="1"/>
  <c r="E18" i="13"/>
  <c r="H7" i="13" l="1"/>
</calcChain>
</file>

<file path=xl/sharedStrings.xml><?xml version="1.0" encoding="utf-8"?>
<sst xmlns="http://schemas.openxmlformats.org/spreadsheetml/2006/main" count="358" uniqueCount="222">
  <si>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</si>
  <si>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</si>
  <si>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</si>
  <si>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</si>
  <si>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</si>
  <si>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</si>
  <si>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</si>
  <si>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</si>
  <si>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</si>
  <si>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</si>
  <si>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</si>
  <si>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</si>
  <si>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</si>
  <si>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</si>
  <si>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</si>
  <si>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</si>
  <si>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</si>
  <si>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</si>
  <si>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</si>
  <si>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</si>
  <si>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</si>
  <si>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</si>
  <si>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</si>
  <si>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</si>
  <si>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</si>
  <si>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</si>
  <si>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</si>
  <si>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</si>
  <si>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</si>
  <si>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</si>
  <si>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</si>
  <si>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</si>
  <si>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</si>
  <si>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</si>
  <si>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</si>
  <si>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</si>
  <si>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</si>
  <si>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</si>
  <si>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</si>
  <si>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</si>
  <si>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</si>
  <si>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</si>
  <si>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</si>
  <si>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</si>
  <si>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</si>
  <si>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</si>
  <si>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</si>
  <si>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</si>
  <si>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</si>
  <si>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</si>
  <si>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</si>
  <si>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</si>
  <si>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</si>
  <si>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</si>
  <si>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</si>
  <si>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</si>
  <si>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</si>
  <si>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</si>
  <si>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</si>
  <si>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</si>
  <si>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</si>
  <si>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</si>
  <si>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</si>
  <si>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</si>
  <si>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</si>
  <si>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</si>
  <si>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</si>
  <si>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</si>
  <si>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</si>
  <si>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</si>
  <si>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</si>
  <si>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</si>
  <si>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</si>
  <si>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DK</t>
  </si>
  <si>
    <t>electricity</t>
  </si>
  <si>
    <t>Full load hours</t>
  </si>
  <si>
    <t>Technical lifetime</t>
  </si>
  <si>
    <t>MW</t>
  </si>
  <si>
    <t>hours</t>
  </si>
  <si>
    <t>All specs</t>
  </si>
  <si>
    <t>loss</t>
  </si>
  <si>
    <t>biomass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</si>
  <si>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</si>
  <si>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</si>
  <si>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</si>
  <si>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</si>
  <si>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</si>
  <si>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</si>
  <si>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</si>
  <si>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</si>
  <si>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</si>
  <si>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</si>
  <si>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</si>
  <si>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</si>
  <si>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</si>
  <si>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</si>
  <si>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</si>
  <si>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A, B</t>
  </si>
  <si>
    <t>Typical total plant size [MW]</t>
  </si>
  <si>
    <t>A, A1, B</t>
  </si>
  <si>
    <t>D</t>
  </si>
  <si>
    <t>Electricity Output [MWh/MWh Total Input]</t>
  </si>
  <si>
    <t>Forced outage [%]</t>
  </si>
  <si>
    <t>Planned outage [weeks per year]</t>
  </si>
  <si>
    <t>Technical lifetime [years]</t>
  </si>
  <si>
    <t>Construction time [years]</t>
  </si>
  <si>
    <t>Financial data</t>
  </si>
  <si>
    <t xml:space="preserve"> - equipment [%]</t>
  </si>
  <si>
    <t xml:space="preserve"> - installation [%]</t>
  </si>
  <si>
    <t>F</t>
  </si>
  <si>
    <t>Technology-specific data</t>
  </si>
  <si>
    <t>Specific density  [kg/l] or [ton/m3]</t>
  </si>
  <si>
    <t>Notes:</t>
  </si>
  <si>
    <r>
      <t>B.</t>
    </r>
    <r>
      <rPr>
        <sz val="8"/>
        <color rgb="FF000000"/>
        <rFont val="Calibri"/>
        <family val="2"/>
      </rPr>
      <t>     Feedstock availability is likely to determine the maximum plant size.</t>
    </r>
  </si>
  <si>
    <t>Plant size</t>
  </si>
  <si>
    <t>Plant specs</t>
  </si>
  <si>
    <t>Construction time</t>
  </si>
  <si>
    <t>Based on DEA data, year 2030 is taken</t>
  </si>
  <si>
    <t>y</t>
  </si>
  <si>
    <t>Fixed O&amp;M</t>
  </si>
  <si>
    <t>Variable O&amp;M</t>
  </si>
  <si>
    <t>€/y</t>
  </si>
  <si>
    <t>h</t>
  </si>
  <si>
    <t>€/flh</t>
  </si>
  <si>
    <t>Overview</t>
  </si>
  <si>
    <t>euro/y</t>
  </si>
  <si>
    <t>Input/output</t>
  </si>
  <si>
    <t>input.dry_biomass</t>
  </si>
  <si>
    <t>Plant size (production output)</t>
  </si>
  <si>
    <t>Input capacity</t>
  </si>
  <si>
    <t>See https://docs.energytransitionmodel.com/main/cost-wacc/</t>
  </si>
  <si>
    <t>Kyra de Haan</t>
  </si>
  <si>
    <t>CCS</t>
  </si>
  <si>
    <t>ccs_investment</t>
  </si>
  <si>
    <t>taken from energy_hydrogen_biomass_gasification_ccs</t>
  </si>
  <si>
    <t>Technology</t>
  </si>
  <si>
    <t>Bio Methanol</t>
  </si>
  <si>
    <t>cat</t>
  </si>
  <si>
    <t>par</t>
  </si>
  <si>
    <t>Typical total plant size [1,000 t Methanol/year]</t>
  </si>
  <si>
    <t>3, 5, 6</t>
  </si>
  <si>
    <t>Feedstock Consumption, [MWh/MWh Total Input]</t>
  </si>
  <si>
    <t>Methanol Output [MWh/MWh Total Input]</t>
  </si>
  <si>
    <t>District Heating Output [MWh/MWh Total Input]</t>
  </si>
  <si>
    <t>2.5</t>
  </si>
  <si>
    <t>Specific investment [M€/MW Methanol]</t>
  </si>
  <si>
    <t>1, 3, 5, 6</t>
  </si>
  <si>
    <t>75</t>
  </si>
  <si>
    <t>Fixed O&amp;M [M€/MW/year Methanol]</t>
  </si>
  <si>
    <t>E, F</t>
  </si>
  <si>
    <t>Variable O&amp;M [€/MWh methanol]</t>
  </si>
  <si>
    <t>E,,F</t>
  </si>
  <si>
    <t>Start up [M€/1,000 t Methanoll]</t>
  </si>
  <si>
    <t>Specific energy content [GJ/ton] methanol]</t>
  </si>
  <si>
    <t>Specific investment [M€/1,000 t Methanol]</t>
  </si>
  <si>
    <t>Fixed O&amp;M [M€/1,000 t Methanol]</t>
  </si>
  <si>
    <t>Variable O&amp;M [M€/1,000 t Methanol]</t>
  </si>
  <si>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</si>
  <si>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t xml:space="preserve">A1. This value is the hourly rating and has been calculated as if the unit produces at capacity and was in operations 8,000 h/year. </t>
  </si>
  <si>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</si>
  <si>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</si>
  <si>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</si>
  <si>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</si>
  <si>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t>From DEA, methanol from biomass gasification</t>
  </si>
  <si>
    <t>Biomethanol from biomass gasification</t>
  </si>
  <si>
    <t>in- and output fractions</t>
  </si>
  <si>
    <t>Based on specs from Danish Energy Agency, 2030 values taken</t>
  </si>
  <si>
    <t>biomethanol</t>
  </si>
  <si>
    <t>heat</t>
  </si>
  <si>
    <t>original</t>
  </si>
  <si>
    <t>corrected</t>
  </si>
  <si>
    <t>assumption that heat will be used for internal process</t>
  </si>
  <si>
    <t>assumption that electricity will be used for internal process</t>
  </si>
  <si>
    <t>t methanol/y</t>
  </si>
  <si>
    <t>availability</t>
  </si>
  <si>
    <t>output.biomethanol</t>
  </si>
  <si>
    <t>Biomass gassification for biomethanol production</t>
  </si>
  <si>
    <t>DEA</t>
  </si>
  <si>
    <t>The biomass gassification process emits CO2 which is assumed to be captured</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</si>
  <si>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</si>
  <si>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</si>
  <si>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</si>
  <si>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</si>
  <si>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</si>
  <si>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</si>
  <si>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</si>
  <si>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Quintel</t>
  </si>
  <si>
    <t>ccs_capture_rate</t>
  </si>
  <si>
    <t>Calculated using carbon balance</t>
  </si>
  <si>
    <t>Quintel assumption</t>
  </si>
  <si>
    <t>No data available, assumed to be part of initial investment</t>
  </si>
  <si>
    <t>Construction period</t>
  </si>
  <si>
    <t>Carbon in- and output</t>
  </si>
  <si>
    <t>syngas</t>
  </si>
  <si>
    <t>CO2 stream</t>
  </si>
  <si>
    <t>Total</t>
  </si>
  <si>
    <t>Energy input</t>
  </si>
  <si>
    <t>MJ</t>
  </si>
  <si>
    <t>Carbon input</t>
  </si>
  <si>
    <t>kg CO2</t>
  </si>
  <si>
    <t>Energy output</t>
  </si>
  <si>
    <t>Emission factor</t>
  </si>
  <si>
    <t>kg CO2/MJ</t>
  </si>
  <si>
    <t>Carbon output</t>
  </si>
  <si>
    <t>Carbon difference</t>
  </si>
  <si>
    <t>Emission factors taken from ETSource</t>
  </si>
  <si>
    <t>CO2 captured</t>
  </si>
  <si>
    <t>CO2 emitted</t>
  </si>
  <si>
    <t>CO2 total</t>
  </si>
  <si>
    <t>CO2 capture rate</t>
  </si>
  <si>
    <t>Share of CO2 captured in sum of (CO2 emitted, CO2 captured, CO2 in products)</t>
  </si>
  <si>
    <t>This is what goes to the molecule graph</t>
  </si>
  <si>
    <t>Biomethanol</t>
  </si>
  <si>
    <t>co2</t>
  </si>
  <si>
    <t>- emitted</t>
  </si>
  <si>
    <t>- captured</t>
  </si>
  <si>
    <t>dry biomass</t>
  </si>
  <si>
    <t>from_energy.conversion.dry_biomass</t>
  </si>
  <si>
    <t>Dry biomass</t>
  </si>
  <si>
    <t>energy_production_methanol_synthesis_dry_biomass_ccs</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</si>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</sst>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6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b/>
      <sz val="8"/>
      <name val="Calibri"/>
      <family val="2"/>
      <scheme val="minor"/>
    </font>
    <font>
      <u/>
      <sz val="12"/>
      <name val="Calibri"/>
      <family val="2"/>
      <scheme val="minor"/>
    </font>
    <font>
      <sz val="12"/>
      <color rgb="FF3F3F76"/>
      <name val="Calibri"/>
      <family val="2"/>
      <scheme val="minor"/>
    </font>
    <font>
      <b/>
      <sz val="12"/>
      <color rgb="FF3F3F3F"/>
      <name val="Calibri"/>
      <family val="2"/>
      <scheme val="minor"/>
    </font>
    <font>
      <b/>
      <sz val="12"/>
      <name val="Calibri"/>
      <family val="2"/>
    </font>
    <font>
      <sz val="12"/>
      <color theme="1"/>
      <name val="Calibri"/>
      <family val="2"/>
    </font>
    <font>
      <u/>
      <sz val="12"/>
      <color theme="1"/>
      <name val="Calibri (Body)"/>
    </font>
    <font>
      <u/>
      <sz val="12"/>
      <name val="Calibri (Body)"/>
    </font>
    <font>
      <b/>
      <sz val="12"/>
      <color theme="1"/>
      <name val="Calibri"/>
      <family val="2"/>
    </font>
    <font>
      <sz val="12"/>
      <name val="Calibri"/>
      <family val="2"/>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5">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7"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43" fontId="40" fillId="0" borderId="0" applyFont="0" applyFill="0" applyBorder="0" applyAlignment="0" applyProtection="0"/>
    <xf numFmtId="9" fontId="40" fillId="0" borderId="0" applyFont="0" applyFill="0" applyBorder="0" applyAlignment="0" applyProtection="0"/>
    <xf numFmtId="0" fontId="25" fillId="0" borderId="0" applyNumberFormat="0" applyFill="0" applyBorder="0" applyAlignment="0" applyProtection="0"/>
    <xf numFmtId="0" fontId="53" fillId="14" borderId="22" applyNumberFormat="0" applyAlignment="0" applyProtection="0"/>
    <xf numFmtId="0" fontId="54" fillId="15" borderId="23" applyNumberFormat="0" applyAlignment="0" applyProtection="0"/>
  </cellStyleXfs>
  <cellXfs count="261">
    <xf numFmtId="0" fontId="0" fillId="0" borderId="0" xfId="0"/>
    <xf numFmtId="0" fontId="28" fillId="3" borderId="7" xfId="0" applyFont="1" applyFill="1" applyBorder="1"/>
    <xf numFmtId="0" fontId="29" fillId="3" borderId="17" xfId="0" applyFont="1" applyFill="1" applyBorder="1"/>
    <xf numFmtId="0" fontId="30" fillId="3" borderId="7" xfId="0" applyFont="1" applyFill="1" applyBorder="1" applyAlignment="1">
      <alignment vertical="center"/>
    </xf>
    <xf numFmtId="0" fontId="30" fillId="3" borderId="1" xfId="0" applyFont="1" applyFill="1" applyBorder="1" applyAlignment="1">
      <alignment vertical="center"/>
    </xf>
    <xf numFmtId="0" fontId="28" fillId="3" borderId="0" xfId="0" applyFont="1" applyFill="1"/>
    <xf numFmtId="0" fontId="27" fillId="2" borderId="0" xfId="0" applyFont="1" applyFill="1" applyAlignment="1">
      <alignment vertical="center"/>
    </xf>
    <xf numFmtId="1" fontId="27" fillId="2" borderId="0" xfId="0" applyNumberFormat="1" applyFont="1" applyFill="1" applyAlignment="1">
      <alignment horizontal="right" vertical="center"/>
    </xf>
    <xf numFmtId="2" fontId="27" fillId="2" borderId="0" xfId="0" applyNumberFormat="1" applyFont="1" applyFill="1" applyAlignment="1">
      <alignment horizontal="right" vertical="center"/>
    </xf>
    <xf numFmtId="0" fontId="27" fillId="2" borderId="0" xfId="0" applyFont="1" applyFill="1"/>
    <xf numFmtId="0" fontId="27" fillId="2" borderId="5" xfId="0" applyFont="1" applyFill="1" applyBorder="1"/>
    <xf numFmtId="0" fontId="27" fillId="2" borderId="9" xfId="0" applyFont="1" applyFill="1" applyBorder="1"/>
    <xf numFmtId="0" fontId="27" fillId="0" borderId="9" xfId="0" applyFont="1" applyBorder="1"/>
    <xf numFmtId="0" fontId="29" fillId="0" borderId="9" xfId="0" applyFont="1" applyBorder="1"/>
    <xf numFmtId="49" fontId="27" fillId="2" borderId="0" xfId="0" applyNumberFormat="1" applyFont="1" applyFill="1"/>
    <xf numFmtId="49" fontId="27" fillId="2" borderId="9" xfId="0" applyNumberFormat="1" applyFont="1" applyFill="1" applyBorder="1"/>
    <xf numFmtId="0" fontId="27" fillId="2" borderId="4" xfId="0" applyFont="1" applyFill="1" applyBorder="1"/>
    <xf numFmtId="0" fontId="29" fillId="0" borderId="0" xfId="0" applyFont="1"/>
    <xf numFmtId="0" fontId="24" fillId="2" borderId="0" xfId="0" applyFont="1" applyFill="1"/>
    <xf numFmtId="0" fontId="28" fillId="0" borderId="0" xfId="0" applyFont="1"/>
    <xf numFmtId="0" fontId="27" fillId="0" borderId="16" xfId="0" applyFont="1" applyBorder="1"/>
    <xf numFmtId="0" fontId="27" fillId="2" borderId="6" xfId="0" applyFont="1" applyFill="1" applyBorder="1"/>
    <xf numFmtId="0" fontId="28" fillId="3" borderId="17" xfId="0" applyFont="1" applyFill="1" applyBorder="1"/>
    <xf numFmtId="0" fontId="28" fillId="3" borderId="2" xfId="0" applyFont="1" applyFill="1" applyBorder="1"/>
    <xf numFmtId="0" fontId="24" fillId="2" borderId="2" xfId="0" applyFont="1" applyFill="1" applyBorder="1"/>
    <xf numFmtId="0" fontId="31" fillId="3" borderId="0" xfId="0" applyFont="1" applyFill="1"/>
    <xf numFmtId="0" fontId="24" fillId="2" borderId="7" xfId="0" applyFont="1" applyFill="1" applyBorder="1"/>
    <xf numFmtId="0" fontId="29" fillId="3" borderId="0" xfId="0" applyFont="1" applyFill="1"/>
    <xf numFmtId="0" fontId="27" fillId="2" borderId="0" xfId="0" applyFont="1" applyFill="1" applyAlignment="1">
      <alignment horizontal="left" vertical="center"/>
    </xf>
    <xf numFmtId="0" fontId="23" fillId="2" borderId="0" xfId="0" applyFont="1" applyFill="1"/>
    <xf numFmtId="0" fontId="23" fillId="2" borderId="3" xfId="0" applyFont="1" applyFill="1" applyBorder="1"/>
    <xf numFmtId="0" fontId="23" fillId="2" borderId="15" xfId="0" applyFont="1" applyFill="1" applyBorder="1"/>
    <xf numFmtId="0" fontId="23" fillId="0" borderId="0" xfId="0" applyFont="1"/>
    <xf numFmtId="0" fontId="23" fillId="2" borderId="6" xfId="0" applyFont="1" applyFill="1" applyBorder="1"/>
    <xf numFmtId="164" fontId="23" fillId="2" borderId="18" xfId="0" applyNumberFormat="1" applyFont="1" applyFill="1" applyBorder="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2" fontId="22" fillId="2" borderId="0" xfId="0" applyNumberFormat="1" applyFont="1" applyFill="1" applyAlignment="1">
      <alignment horizontal="right" vertical="center"/>
    </xf>
    <xf numFmtId="2" fontId="22" fillId="2" borderId="0" xfId="0" applyNumberFormat="1" applyFont="1" applyFill="1"/>
    <xf numFmtId="10" fontId="22" fillId="2" borderId="0" xfId="0" applyNumberFormat="1" applyFont="1" applyFill="1" applyAlignment="1">
      <alignment horizontal="left" vertical="center" indent="2"/>
    </xf>
    <xf numFmtId="0" fontId="21" fillId="0" borderId="0" xfId="0" applyFont="1"/>
    <xf numFmtId="0" fontId="20" fillId="0" borderId="0" xfId="0" applyFont="1"/>
    <xf numFmtId="0" fontId="19" fillId="2" borderId="0" xfId="0" applyFont="1" applyFill="1"/>
    <xf numFmtId="0" fontId="19" fillId="2" borderId="3" xfId="0" applyFont="1" applyFill="1" applyBorder="1"/>
    <xf numFmtId="0" fontId="19" fillId="2" borderId="4" xfId="0" applyFont="1" applyFill="1" applyBorder="1"/>
    <xf numFmtId="0" fontId="19" fillId="2" borderId="6" xfId="0" applyFont="1" applyFill="1" applyBorder="1"/>
    <xf numFmtId="49" fontId="19" fillId="2" borderId="0" xfId="0" applyNumberFormat="1" applyFont="1" applyFill="1"/>
    <xf numFmtId="49" fontId="19" fillId="2" borderId="4" xfId="0" applyNumberFormat="1" applyFont="1" applyFill="1" applyBorder="1"/>
    <xf numFmtId="0" fontId="19" fillId="2" borderId="16" xfId="0" applyFont="1" applyFill="1" applyBorder="1"/>
    <xf numFmtId="0" fontId="32" fillId="2" borderId="0" xfId="0" applyFont="1" applyFill="1"/>
    <xf numFmtId="0" fontId="32" fillId="2" borderId="3" xfId="0" applyFont="1" applyFill="1" applyBorder="1"/>
    <xf numFmtId="0" fontId="32" fillId="2" borderId="4" xfId="0" applyFont="1" applyFill="1" applyBorder="1"/>
    <xf numFmtId="0" fontId="32" fillId="2" borderId="15" xfId="0" applyFont="1" applyFill="1" applyBorder="1"/>
    <xf numFmtId="0" fontId="33" fillId="2" borderId="0" xfId="0" applyFont="1" applyFill="1"/>
    <xf numFmtId="0" fontId="32" fillId="2" borderId="9" xfId="0" applyFont="1" applyFill="1" applyBorder="1"/>
    <xf numFmtId="0" fontId="33" fillId="2" borderId="9" xfId="0" applyFont="1" applyFill="1" applyBorder="1"/>
    <xf numFmtId="0" fontId="27" fillId="2" borderId="17" xfId="0" applyFont="1" applyFill="1" applyBorder="1"/>
    <xf numFmtId="0" fontId="18" fillId="2" borderId="2" xfId="0" applyFont="1" applyFill="1" applyBorder="1"/>
    <xf numFmtId="0" fontId="27" fillId="2" borderId="7" xfId="0" applyFont="1" applyFill="1" applyBorder="1"/>
    <xf numFmtId="0" fontId="18" fillId="2" borderId="18" xfId="0" applyFont="1" applyFill="1" applyBorder="1"/>
    <xf numFmtId="0" fontId="18" fillId="2" borderId="7" xfId="0" applyFont="1" applyFill="1" applyBorder="1"/>
    <xf numFmtId="0" fontId="27" fillId="2" borderId="9" xfId="0" applyFont="1" applyFill="1" applyBorder="1" applyAlignment="1">
      <alignment vertical="center"/>
    </xf>
    <xf numFmtId="165" fontId="22" fillId="2" borderId="0" xfId="0" applyNumberFormat="1" applyFont="1" applyFill="1" applyAlignment="1">
      <alignment vertical="center"/>
    </xf>
    <xf numFmtId="0" fontId="27" fillId="2" borderId="19" xfId="0" applyFont="1" applyFill="1" applyBorder="1"/>
    <xf numFmtId="0" fontId="23" fillId="2" borderId="5" xfId="0" applyFont="1" applyFill="1" applyBorder="1"/>
    <xf numFmtId="0" fontId="28" fillId="2" borderId="0" xfId="0" applyFont="1" applyFill="1"/>
    <xf numFmtId="0" fontId="33" fillId="2" borderId="16" xfId="0" applyFont="1" applyFill="1" applyBorder="1"/>
    <xf numFmtId="0" fontId="32" fillId="2" borderId="19" xfId="0" applyFont="1" applyFill="1" applyBorder="1"/>
    <xf numFmtId="0" fontId="17" fillId="0" borderId="0" xfId="0" applyFont="1"/>
    <xf numFmtId="0" fontId="16" fillId="0" borderId="0" xfId="0" applyFont="1"/>
    <xf numFmtId="0" fontId="16" fillId="2" borderId="0" xfId="0" applyFont="1" applyFill="1"/>
    <xf numFmtId="0" fontId="16" fillId="2" borderId="6" xfId="0" applyFont="1" applyFill="1" applyBorder="1"/>
    <xf numFmtId="0" fontId="16" fillId="2" borderId="5" xfId="0" applyFont="1" applyFill="1" applyBorder="1"/>
    <xf numFmtId="164" fontId="16" fillId="2" borderId="18" xfId="0" applyNumberFormat="1" applyFont="1" applyFill="1" applyBorder="1"/>
    <xf numFmtId="2" fontId="16" fillId="2" borderId="0" xfId="0" applyNumberFormat="1" applyFont="1" applyFill="1"/>
    <xf numFmtId="164" fontId="16" fillId="2" borderId="0" xfId="0" applyNumberFormat="1" applyFont="1" applyFill="1"/>
    <xf numFmtId="0" fontId="16" fillId="2" borderId="10" xfId="0" applyFont="1" applyFill="1" applyBorder="1"/>
    <xf numFmtId="0" fontId="16" fillId="2" borderId="11" xfId="0" applyFont="1" applyFill="1" applyBorder="1"/>
    <xf numFmtId="0" fontId="16" fillId="2" borderId="12" xfId="0" applyFont="1" applyFill="1" applyBorder="1"/>
    <xf numFmtId="2"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2" fontId="16" fillId="2" borderId="18" xfId="0" applyNumberFormat="1" applyFont="1" applyFill="1" applyBorder="1" applyAlignment="1">
      <alignment horizontal="right" vertical="center"/>
    </xf>
    <xf numFmtId="1" fontId="32" fillId="2" borderId="0" xfId="0" applyNumberFormat="1" applyFont="1" applyFill="1"/>
    <xf numFmtId="166" fontId="23" fillId="2" borderId="6" xfId="0" applyNumberFormat="1" applyFont="1" applyFill="1" applyBorder="1"/>
    <xf numFmtId="166" fontId="16" fillId="0" borderId="0" xfId="0" applyNumberFormat="1" applyFont="1"/>
    <xf numFmtId="166" fontId="28" fillId="0" borderId="0" xfId="0" applyNumberFormat="1" applyFont="1"/>
    <xf numFmtId="166" fontId="23" fillId="0" borderId="0" xfId="0" applyNumberFormat="1" applyFont="1"/>
    <xf numFmtId="166" fontId="23" fillId="2" borderId="5" xfId="0" applyNumberFormat="1" applyFont="1" applyFill="1" applyBorder="1"/>
    <xf numFmtId="0" fontId="35" fillId="0" borderId="0" xfId="0" applyFont="1"/>
    <xf numFmtId="166" fontId="15" fillId="0" borderId="0" xfId="0" applyNumberFormat="1" applyFont="1"/>
    <xf numFmtId="0" fontId="15" fillId="0" borderId="0" xfId="0" applyFont="1"/>
    <xf numFmtId="0" fontId="14" fillId="2" borderId="0" xfId="0" applyFont="1" applyFill="1"/>
    <xf numFmtId="0" fontId="14" fillId="2" borderId="6" xfId="0" applyFont="1" applyFill="1" applyBorder="1"/>
    <xf numFmtId="2" fontId="14" fillId="2" borderId="18" xfId="0" applyNumberFormat="1" applyFont="1" applyFill="1" applyBorder="1" applyAlignment="1">
      <alignment horizontal="right" vertical="center"/>
    </xf>
    <xf numFmtId="2" fontId="14" fillId="2" borderId="0" xfId="0" applyNumberFormat="1" applyFont="1" applyFill="1"/>
    <xf numFmtId="0" fontId="14" fillId="0" borderId="0" xfId="0" applyFont="1"/>
    <xf numFmtId="166" fontId="13" fillId="0" borderId="0" xfId="0" applyNumberFormat="1" applyFont="1"/>
    <xf numFmtId="0" fontId="12" fillId="0" borderId="0" xfId="0" applyFont="1"/>
    <xf numFmtId="2" fontId="22" fillId="2" borderId="18" xfId="0" applyNumberFormat="1" applyFont="1" applyFill="1" applyBorder="1" applyAlignment="1">
      <alignment horizontal="right" vertical="center"/>
    </xf>
    <xf numFmtId="2" fontId="16" fillId="2" borderId="20" xfId="0" applyNumberFormat="1" applyFont="1" applyFill="1" applyBorder="1" applyAlignment="1">
      <alignment horizontal="right" vertical="center"/>
    </xf>
    <xf numFmtId="0" fontId="35" fillId="12" borderId="18" xfId="0" applyFont="1" applyFill="1" applyBorder="1"/>
    <xf numFmtId="0" fontId="10" fillId="2" borderId="0" xfId="0" applyFont="1" applyFill="1" applyAlignment="1">
      <alignment vertical="center"/>
    </xf>
    <xf numFmtId="0" fontId="10" fillId="2" borderId="6" xfId="0" applyFont="1" applyFill="1" applyBorder="1" applyAlignment="1">
      <alignment vertical="center"/>
    </xf>
    <xf numFmtId="0" fontId="10" fillId="0" borderId="0" xfId="0" applyFont="1" applyAlignment="1">
      <alignment vertical="center"/>
    </xf>
    <xf numFmtId="0" fontId="28" fillId="0" borderId="0" xfId="0" applyFont="1" applyAlignment="1">
      <alignment vertical="center"/>
    </xf>
    <xf numFmtId="166" fontId="10" fillId="2" borderId="18" xfId="0" applyNumberFormat="1" applyFont="1" applyFill="1" applyBorder="1"/>
    <xf numFmtId="0" fontId="10" fillId="2" borderId="5" xfId="0" applyFont="1" applyFill="1" applyBorder="1" applyAlignment="1">
      <alignment vertical="center"/>
    </xf>
    <xf numFmtId="164" fontId="10" fillId="2" borderId="18" xfId="0" applyNumberFormat="1" applyFont="1" applyFill="1" applyBorder="1"/>
    <xf numFmtId="0" fontId="38" fillId="2" borderId="0" xfId="0" applyFont="1" applyFill="1" applyAlignment="1">
      <alignment vertical="center"/>
    </xf>
    <xf numFmtId="0" fontId="27" fillId="2" borderId="6" xfId="0" applyFont="1" applyFill="1" applyBorder="1" applyAlignment="1">
      <alignment vertical="center"/>
    </xf>
    <xf numFmtId="2" fontId="10" fillId="2" borderId="18" xfId="0" applyNumberFormat="1" applyFont="1" applyFill="1" applyBorder="1" applyAlignment="1">
      <alignment vertical="center"/>
    </xf>
    <xf numFmtId="0" fontId="27" fillId="0" borderId="0" xfId="0" applyFont="1" applyAlignment="1">
      <alignment vertical="center"/>
    </xf>
    <xf numFmtId="0" fontId="38" fillId="2" borderId="5" xfId="0" applyFont="1" applyFill="1" applyBorder="1" applyAlignment="1">
      <alignment vertical="center"/>
    </xf>
    <xf numFmtId="0" fontId="33" fillId="2" borderId="6" xfId="0" applyFont="1" applyFill="1" applyBorder="1"/>
    <xf numFmtId="1" fontId="16" fillId="2" borderId="18" xfId="0" applyNumberFormat="1" applyFont="1" applyFill="1" applyBorder="1" applyAlignment="1">
      <alignment horizontal="right" vertical="center"/>
    </xf>
    <xf numFmtId="0" fontId="22" fillId="2" borderId="18" xfId="0" applyFont="1" applyFill="1" applyBorder="1"/>
    <xf numFmtId="2" fontId="22" fillId="2" borderId="18" xfId="0" applyNumberFormat="1" applyFont="1" applyFill="1" applyBorder="1"/>
    <xf numFmtId="2" fontId="11" fillId="2" borderId="18" xfId="0" applyNumberFormat="1" applyFont="1" applyFill="1" applyBorder="1"/>
    <xf numFmtId="2" fontId="32" fillId="2" borderId="0" xfId="0" applyNumberFormat="1" applyFont="1" applyFill="1"/>
    <xf numFmtId="0" fontId="33" fillId="2" borderId="7" xfId="0" applyFont="1" applyFill="1" applyBorder="1"/>
    <xf numFmtId="165" fontId="32" fillId="2" borderId="0" xfId="0" applyNumberFormat="1" applyFont="1" applyFill="1"/>
    <xf numFmtId="2" fontId="16" fillId="2" borderId="18" xfId="0" applyNumberFormat="1" applyFont="1" applyFill="1" applyBorder="1"/>
    <xf numFmtId="167" fontId="9" fillId="2" borderId="0" xfId="0" applyNumberFormat="1" applyFont="1" applyFill="1"/>
    <xf numFmtId="0" fontId="39" fillId="2" borderId="0" xfId="0" applyFont="1" applyFill="1"/>
    <xf numFmtId="1" fontId="22" fillId="2" borderId="21" xfId="0" applyNumberFormat="1" applyFont="1" applyFill="1" applyBorder="1"/>
    <xf numFmtId="0" fontId="41" fillId="2" borderId="0" xfId="0" applyFont="1" applyFill="1"/>
    <xf numFmtId="0" fontId="8" fillId="2" borderId="0" xfId="0" applyFont="1" applyFill="1"/>
    <xf numFmtId="0" fontId="25" fillId="2" borderId="0" xfId="498" applyFill="1"/>
    <xf numFmtId="49" fontId="25" fillId="2" borderId="0" xfId="498" applyNumberFormat="1" applyFill="1"/>
    <xf numFmtId="0" fontId="42" fillId="13" borderId="2" xfId="0" applyFont="1" applyFill="1" applyBorder="1" applyAlignment="1">
      <alignment horizontal="left" vertical="top"/>
    </xf>
    <xf numFmtId="0" fontId="43" fillId="13" borderId="2" xfId="0" applyFont="1" applyFill="1" applyBorder="1" applyAlignment="1">
      <alignment horizontal="left" vertical="top"/>
    </xf>
    <xf numFmtId="0" fontId="43" fillId="13" borderId="0" xfId="0" applyFont="1" applyFill="1" applyAlignment="1">
      <alignment horizontal="left" vertical="top"/>
    </xf>
    <xf numFmtId="0" fontId="46" fillId="13" borderId="0" xfId="0" applyFont="1" applyFill="1" applyAlignment="1">
      <alignment horizontal="right" vertical="top"/>
    </xf>
    <xf numFmtId="0" fontId="42" fillId="13" borderId="11" xfId="0" applyFont="1" applyFill="1" applyBorder="1" applyAlignment="1">
      <alignment horizontal="left" vertical="top"/>
    </xf>
    <xf numFmtId="0" fontId="43" fillId="13" borderId="11" xfId="0" applyFont="1" applyFill="1" applyBorder="1" applyAlignment="1">
      <alignment horizontal="left" vertical="top"/>
    </xf>
    <xf numFmtId="0" fontId="46" fillId="13" borderId="11" xfId="0" applyFont="1" applyFill="1" applyBorder="1" applyAlignment="1">
      <alignment horizontal="right" vertical="top"/>
    </xf>
    <xf numFmtId="0" fontId="44" fillId="0" borderId="0" xfId="0" applyFont="1" applyAlignment="1">
      <alignment horizontal="right" vertical="top"/>
    </xf>
    <xf numFmtId="0" fontId="45" fillId="0" borderId="0" xfId="0" applyFont="1" applyAlignment="1">
      <alignment horizontal="right" vertical="top"/>
    </xf>
    <xf numFmtId="0" fontId="48" fillId="0" borderId="0" xfId="0" applyFont="1" applyAlignment="1">
      <alignment horizontal="left" vertical="top"/>
    </xf>
    <xf numFmtId="9" fontId="45" fillId="0" borderId="0" xfId="497" applyFont="1" applyBorder="1" applyAlignment="1">
      <alignment horizontal="right" vertical="top"/>
    </xf>
    <xf numFmtId="9" fontId="45" fillId="0" borderId="0" xfId="0" applyNumberFormat="1" applyFont="1" applyAlignment="1">
      <alignment horizontal="right" vertical="top"/>
    </xf>
    <xf numFmtId="165" fontId="45" fillId="0" borderId="0" xfId="0" applyNumberFormat="1" applyFont="1" applyAlignment="1">
      <alignment horizontal="right" vertical="top"/>
    </xf>
    <xf numFmtId="165" fontId="44" fillId="0" borderId="0" xfId="0" applyNumberFormat="1" applyFont="1" applyAlignment="1">
      <alignment horizontal="right" vertical="top"/>
    </xf>
    <xf numFmtId="2" fontId="45" fillId="0" borderId="0" xfId="0" applyNumberFormat="1" applyFont="1" applyAlignment="1">
      <alignment horizontal="right" vertical="top"/>
    </xf>
    <xf numFmtId="2" fontId="44" fillId="0" borderId="0" xfId="0" applyNumberFormat="1" applyFont="1" applyAlignment="1">
      <alignment horizontal="right" vertical="top"/>
    </xf>
    <xf numFmtId="0" fontId="47" fillId="0" borderId="0" xfId="0" applyFont="1"/>
    <xf numFmtId="0" fontId="48" fillId="0" borderId="11" xfId="0" applyFont="1" applyBorder="1" applyAlignment="1">
      <alignment horizontal="left" vertical="top"/>
    </xf>
    <xf numFmtId="0" fontId="45" fillId="0" borderId="11" xfId="0" applyFont="1" applyBorder="1" applyAlignment="1">
      <alignment horizontal="right" vertical="top"/>
    </xf>
    <xf numFmtId="0" fontId="44" fillId="0" borderId="11" xfId="0" applyFont="1" applyBorder="1" applyAlignment="1">
      <alignment horizontal="right" vertical="top"/>
    </xf>
    <xf numFmtId="0" fontId="45" fillId="0" borderId="0" xfId="0" applyFont="1"/>
    <xf numFmtId="0" fontId="44" fillId="0" borderId="0" xfId="0" applyFont="1" applyAlignment="1">
      <alignment horizontal="left" vertical="center"/>
    </xf>
    <xf numFmtId="0" fontId="45" fillId="0" borderId="0" xfId="0" applyFont="1" applyAlignment="1">
      <alignment horizontal="left" vertical="center"/>
    </xf>
    <xf numFmtId="43" fontId="32" fillId="2" borderId="0" xfId="496" applyFont="1" applyFill="1"/>
    <xf numFmtId="168" fontId="32" fillId="2" borderId="0" xfId="496" applyNumberFormat="1" applyFont="1" applyFill="1"/>
    <xf numFmtId="168" fontId="32" fillId="2" borderId="0" xfId="0" applyNumberFormat="1" applyFont="1" applyFill="1"/>
    <xf numFmtId="0" fontId="8" fillId="0" borderId="0" xfId="0" applyFont="1" applyAlignment="1">
      <alignment vertical="center"/>
    </xf>
    <xf numFmtId="2" fontId="8" fillId="2" borderId="18" xfId="0" applyNumberFormat="1" applyFont="1" applyFill="1" applyBorder="1" applyAlignment="1">
      <alignment horizontal="right" vertical="center"/>
    </xf>
    <xf numFmtId="0" fontId="8" fillId="2" borderId="18" xfId="0" applyFont="1" applyFill="1" applyBorder="1"/>
    <xf numFmtId="0" fontId="7" fillId="0" borderId="0" xfId="0" applyFont="1"/>
    <xf numFmtId="0" fontId="45" fillId="2" borderId="0" xfId="0" applyFont="1" applyFill="1" applyAlignment="1">
      <alignment horizontal="right" vertical="top"/>
    </xf>
    <xf numFmtId="0" fontId="46" fillId="2" borderId="0" xfId="0" applyFont="1" applyFill="1" applyAlignment="1">
      <alignment horizontal="right" vertical="top"/>
    </xf>
    <xf numFmtId="0" fontId="45" fillId="2" borderId="0" xfId="0" applyFont="1" applyFill="1" applyAlignment="1">
      <alignment horizontal="center" vertical="top"/>
    </xf>
    <xf numFmtId="9" fontId="45" fillId="2" borderId="0" xfId="497" applyFont="1" applyFill="1" applyBorder="1" applyAlignment="1">
      <alignment horizontal="right" vertical="top"/>
    </xf>
    <xf numFmtId="9" fontId="45" fillId="2" borderId="0" xfId="0" applyNumberFormat="1" applyFont="1" applyFill="1" applyAlignment="1">
      <alignment horizontal="right" vertical="top"/>
    </xf>
    <xf numFmtId="0" fontId="47" fillId="2" borderId="0" xfId="0" applyFont="1" applyFill="1"/>
    <xf numFmtId="0" fontId="45" fillId="2" borderId="0" xfId="0" applyFont="1" applyFill="1"/>
    <xf numFmtId="0" fontId="45" fillId="2" borderId="0" xfId="0" applyFont="1" applyFill="1" applyAlignment="1">
      <alignment horizontal="center"/>
    </xf>
    <xf numFmtId="0" fontId="48" fillId="2" borderId="0" xfId="0" applyFont="1" applyFill="1"/>
    <xf numFmtId="0" fontId="45" fillId="2" borderId="0" xfId="0" applyFont="1" applyFill="1" applyAlignment="1">
      <alignment horizontal="left" vertical="center"/>
    </xf>
    <xf numFmtId="0" fontId="44" fillId="2" borderId="0" xfId="0" applyFont="1" applyFill="1" applyAlignment="1">
      <alignment vertical="top" wrapText="1"/>
    </xf>
    <xf numFmtId="0" fontId="47" fillId="13" borderId="0" xfId="0" applyFont="1" applyFill="1" applyAlignment="1">
      <alignment horizontal="right" vertical="top"/>
    </xf>
    <xf numFmtId="0" fontId="47" fillId="13" borderId="0" xfId="0" applyFont="1" applyFill="1" applyAlignment="1">
      <alignment horizontal="center" vertical="top"/>
    </xf>
    <xf numFmtId="0" fontId="51" fillId="13" borderId="11" xfId="0" applyFont="1" applyFill="1" applyBorder="1" applyAlignment="1">
      <alignment horizontal="right" vertical="top"/>
    </xf>
    <xf numFmtId="0" fontId="47" fillId="13" borderId="11" xfId="0" applyFont="1" applyFill="1" applyBorder="1" applyAlignment="1">
      <alignment horizontal="center" vertical="top"/>
    </xf>
    <xf numFmtId="0" fontId="42" fillId="0" borderId="0" xfId="0" applyFont="1" applyAlignment="1">
      <alignment horizontal="left" vertical="top"/>
    </xf>
    <xf numFmtId="0" fontId="43" fillId="0" borderId="0" xfId="0" applyFont="1" applyAlignment="1">
      <alignment horizontal="left" vertical="top"/>
    </xf>
    <xf numFmtId="0" fontId="47" fillId="0" borderId="0" xfId="0" applyFont="1" applyAlignment="1">
      <alignment horizontal="right" vertical="top"/>
    </xf>
    <xf numFmtId="0" fontId="47" fillId="0" borderId="0" xfId="0" applyFont="1" applyAlignment="1">
      <alignment horizontal="center" vertical="top"/>
    </xf>
    <xf numFmtId="0" fontId="47" fillId="0" borderId="0" xfId="0" applyFont="1" applyAlignment="1">
      <alignment horizontal="left" vertical="top"/>
    </xf>
    <xf numFmtId="16" fontId="45" fillId="0" borderId="0" xfId="0" quotePrefix="1" applyNumberFormat="1" applyFont="1" applyAlignment="1">
      <alignment horizontal="right" vertical="top"/>
    </xf>
    <xf numFmtId="164" fontId="45" fillId="0" borderId="0" xfId="0" applyNumberFormat="1" applyFont="1" applyAlignment="1">
      <alignment horizontal="right" vertical="top"/>
    </xf>
    <xf numFmtId="0" fontId="47" fillId="0" borderId="11" xfId="0" applyFont="1" applyBorder="1" applyAlignment="1">
      <alignment horizontal="left" vertical="top"/>
    </xf>
    <xf numFmtId="0" fontId="47" fillId="0" borderId="11" xfId="0" applyFont="1" applyBorder="1" applyAlignment="1">
      <alignment horizontal="center" vertical="top"/>
    </xf>
    <xf numFmtId="0" fontId="47" fillId="0" borderId="0" xfId="0" applyFont="1" applyAlignment="1">
      <alignment horizontal="right"/>
    </xf>
    <xf numFmtId="0" fontId="47" fillId="0" borderId="0" xfId="0" applyFont="1" applyAlignment="1">
      <alignment horizontal="center"/>
    </xf>
    <xf numFmtId="0" fontId="48" fillId="13" borderId="0" xfId="0" applyFont="1" applyFill="1" applyAlignment="1">
      <alignment horizontal="right" vertical="top"/>
    </xf>
    <xf numFmtId="0" fontId="48" fillId="0" borderId="0" xfId="0" applyFont="1" applyAlignment="1">
      <alignment horizontal="right" vertical="top"/>
    </xf>
    <xf numFmtId="16" fontId="44" fillId="0" borderId="0" xfId="0" quotePrefix="1" applyNumberFormat="1" applyFont="1" applyAlignment="1">
      <alignment horizontal="right" vertical="top"/>
    </xf>
    <xf numFmtId="164" fontId="44" fillId="0" borderId="0" xfId="0" applyNumberFormat="1" applyFont="1" applyAlignment="1">
      <alignment horizontal="right" vertical="top"/>
    </xf>
    <xf numFmtId="0" fontId="32" fillId="2" borderId="0" xfId="0" applyFont="1" applyFill="1" applyAlignment="1">
      <alignment horizontal="right"/>
    </xf>
    <xf numFmtId="1" fontId="32" fillId="2" borderId="0" xfId="0" applyNumberFormat="1" applyFont="1" applyFill="1" applyAlignment="1">
      <alignment horizontal="right"/>
    </xf>
    <xf numFmtId="0" fontId="6" fillId="2" borderId="0" xfId="0" applyFont="1" applyFill="1"/>
    <xf numFmtId="0" fontId="6" fillId="0" borderId="0" xfId="0" applyFont="1"/>
    <xf numFmtId="166" fontId="10" fillId="2" borderId="0" xfId="0" applyNumberFormat="1" applyFont="1" applyFill="1"/>
    <xf numFmtId="0" fontId="6" fillId="0" borderId="0" xfId="0" applyFont="1" applyAlignment="1">
      <alignment vertical="center"/>
    </xf>
    <xf numFmtId="2" fontId="22" fillId="2" borderId="21" xfId="0" applyNumberFormat="1" applyFont="1" applyFill="1" applyBorder="1"/>
    <xf numFmtId="164" fontId="16" fillId="2" borderId="18" xfId="0" applyNumberFormat="1" applyFont="1" applyFill="1" applyBorder="1" applyAlignment="1">
      <alignment horizontal="right"/>
    </xf>
    <xf numFmtId="0" fontId="52" fillId="2" borderId="0" xfId="0" applyFont="1" applyFill="1"/>
    <xf numFmtId="0" fontId="5" fillId="2" borderId="0" xfId="0" applyFont="1" applyFill="1"/>
    <xf numFmtId="167" fontId="5" fillId="2" borderId="0" xfId="0" applyNumberFormat="1" applyFont="1" applyFill="1"/>
    <xf numFmtId="49" fontId="5" fillId="2" borderId="0" xfId="0" applyNumberFormat="1" applyFont="1" applyFill="1"/>
    <xf numFmtId="164" fontId="32" fillId="2" borderId="0" xfId="0" applyNumberFormat="1" applyFont="1" applyFill="1"/>
    <xf numFmtId="0" fontId="4" fillId="2" borderId="0" xfId="0" applyFont="1" applyFill="1"/>
    <xf numFmtId="167" fontId="4" fillId="2" borderId="0" xfId="0" applyNumberFormat="1" applyFont="1" applyFill="1"/>
    <xf numFmtId="49" fontId="4" fillId="2" borderId="0" xfId="0" applyNumberFormat="1" applyFont="1" applyFill="1"/>
    <xf numFmtId="166" fontId="32" fillId="2" borderId="0" xfId="0" applyNumberFormat="1" applyFont="1" applyFill="1"/>
    <xf numFmtId="49" fontId="28" fillId="2" borderId="0" xfId="0" applyNumberFormat="1" applyFont="1" applyFill="1" applyAlignment="1">
      <alignment horizontal="left"/>
    </xf>
    <xf numFmtId="0" fontId="28" fillId="3" borderId="9" xfId="0" applyFont="1" applyFill="1" applyBorder="1"/>
    <xf numFmtId="0" fontId="24" fillId="2" borderId="13" xfId="0" applyFont="1" applyFill="1" applyBorder="1"/>
    <xf numFmtId="0" fontId="24" fillId="2" borderId="8" xfId="0" applyFont="1" applyFill="1" applyBorder="1"/>
    <xf numFmtId="0" fontId="24" fillId="2" borderId="14" xfId="0" applyFont="1" applyFill="1" applyBorder="1"/>
    <xf numFmtId="0" fontId="18" fillId="2" borderId="0" xfId="0" applyFont="1" applyFill="1"/>
    <xf numFmtId="0" fontId="34" fillId="2" borderId="0" xfId="0" applyFont="1" applyFill="1"/>
    <xf numFmtId="0" fontId="18" fillId="4" borderId="0" xfId="0" applyFont="1" applyFill="1"/>
    <xf numFmtId="0" fontId="18" fillId="5" borderId="0" xfId="0" applyFont="1" applyFill="1"/>
    <xf numFmtId="0" fontId="18" fillId="6" borderId="0" xfId="0" applyFont="1" applyFill="1"/>
    <xf numFmtId="0" fontId="18" fillId="7" borderId="0" xfId="0" applyFont="1" applyFill="1"/>
    <xf numFmtId="0" fontId="18" fillId="8" borderId="0" xfId="0" applyFont="1" applyFill="1"/>
    <xf numFmtId="0" fontId="18" fillId="9" borderId="0" xfId="0" applyFont="1" applyFill="1"/>
    <xf numFmtId="0" fontId="18" fillId="10" borderId="0" xfId="0" applyFont="1" applyFill="1"/>
    <xf numFmtId="0" fontId="18" fillId="11" borderId="0" xfId="0" applyFont="1" applyFill="1"/>
    <xf numFmtId="0" fontId="24" fillId="2" borderId="1" xfId="0" applyFont="1" applyFill="1" applyBorder="1"/>
    <xf numFmtId="0" fontId="24" fillId="2" borderId="9" xfId="0" applyFont="1" applyFill="1" applyBorder="1"/>
    <xf numFmtId="0" fontId="3" fillId="0" borderId="0" xfId="0" applyFont="1"/>
    <xf numFmtId="0" fontId="3" fillId="2" borderId="18" xfId="0" applyFont="1" applyFill="1" applyBorder="1"/>
    <xf numFmtId="166" fontId="3" fillId="2" borderId="18" xfId="0" applyNumberFormat="1" applyFont="1" applyFill="1" applyBorder="1"/>
    <xf numFmtId="0" fontId="3" fillId="2" borderId="18" xfId="0" applyFont="1" applyFill="1" applyBorder="1" applyAlignment="1">
      <alignment vertical="center"/>
    </xf>
    <xf numFmtId="0" fontId="55" fillId="2" borderId="0" xfId="0" applyFont="1" applyFill="1"/>
    <xf numFmtId="0" fontId="57" fillId="2" borderId="0" xfId="0" applyFont="1" applyFill="1"/>
    <xf numFmtId="0" fontId="58" fillId="2" borderId="0" xfId="0" applyFont="1" applyFill="1"/>
    <xf numFmtId="0" fontId="56" fillId="2" borderId="0" xfId="0" applyFont="1" applyFill="1"/>
    <xf numFmtId="2" fontId="53" fillId="14" borderId="22" xfId="499" applyNumberFormat="1"/>
    <xf numFmtId="165" fontId="54" fillId="15" borderId="23" xfId="500" applyNumberFormat="1"/>
    <xf numFmtId="165" fontId="53" fillId="14" borderId="22" xfId="499" applyNumberFormat="1"/>
    <xf numFmtId="0" fontId="53" fillId="14" borderId="22" xfId="499"/>
    <xf numFmtId="0" fontId="56" fillId="2" borderId="9" xfId="0" applyFont="1" applyFill="1" applyBorder="1"/>
    <xf numFmtId="0" fontId="54" fillId="15" borderId="23" xfId="500"/>
    <xf numFmtId="166" fontId="54" fillId="15" borderId="23" xfId="500" applyNumberFormat="1"/>
    <xf numFmtId="165" fontId="56" fillId="2" borderId="0" xfId="0" applyNumberFormat="1" applyFont="1" applyFill="1"/>
    <xf numFmtId="0" fontId="59" fillId="2" borderId="0" xfId="0" applyFont="1" applyFill="1"/>
    <xf numFmtId="165" fontId="54" fillId="15" borderId="24" xfId="500" applyNumberFormat="1" applyBorder="1"/>
    <xf numFmtId="9" fontId="53" fillId="14" borderId="22" xfId="499" applyNumberFormat="1"/>
    <xf numFmtId="0" fontId="60" fillId="2" borderId="0" xfId="0" applyFont="1" applyFill="1"/>
    <xf numFmtId="169" fontId="60" fillId="2" borderId="0" xfId="0" applyNumberFormat="1" applyFont="1" applyFill="1"/>
    <xf numFmtId="0" fontId="56" fillId="2" borderId="0" xfId="0" quotePrefix="1" applyFont="1" applyFill="1"/>
    <xf numFmtId="0" fontId="2" fillId="0" borderId="0" xfId="0" applyFont="1"/>
    <xf numFmtId="0" fontId="2" fillId="0" borderId="0" xfId="0" applyFont="1" applyAlignment="1">
      <alignment vertical="center"/>
    </xf>
    <xf numFmtId="0" fontId="35" fillId="12" borderId="17" xfId="0" applyFont="1" applyFill="1" applyBorder="1" applyAlignment="1">
      <alignment horizontal="left" vertical="top" wrapText="1"/>
    </xf>
    <xf numFmtId="0" fontId="35" fillId="12" borderId="2" xfId="0" applyFont="1" applyFill="1" applyBorder="1" applyAlignment="1">
      <alignment horizontal="left" vertical="top" wrapText="1"/>
    </xf>
    <xf numFmtId="0" fontId="35" fillId="12" borderId="13" xfId="0" applyFont="1" applyFill="1" applyBorder="1" applyAlignment="1">
      <alignment horizontal="left" vertical="top" wrapText="1"/>
    </xf>
    <xf numFmtId="0" fontId="35" fillId="12" borderId="7" xfId="0" applyFont="1" applyFill="1" applyBorder="1" applyAlignment="1">
      <alignment horizontal="left" vertical="top" wrapText="1"/>
    </xf>
    <xf numFmtId="0" fontId="35" fillId="12" borderId="0" xfId="0" applyFont="1" applyFill="1" applyAlignment="1">
      <alignment horizontal="left" vertical="top" wrapText="1"/>
    </xf>
    <xf numFmtId="0" fontId="35" fillId="12" borderId="8" xfId="0" applyFont="1" applyFill="1" applyBorder="1" applyAlignment="1">
      <alignment horizontal="left" vertical="top" wrapText="1"/>
    </xf>
    <xf numFmtId="0" fontId="35" fillId="12" borderId="1" xfId="0" applyFont="1" applyFill="1" applyBorder="1" applyAlignment="1">
      <alignment horizontal="left" vertical="top" wrapText="1"/>
    </xf>
    <xf numFmtId="0" fontId="35" fillId="12" borderId="9" xfId="0" applyFont="1" applyFill="1" applyBorder="1" applyAlignment="1">
      <alignment horizontal="left" vertical="top" wrapText="1"/>
    </xf>
    <xf numFmtId="0" fontId="35" fillId="12" borderId="14" xfId="0" applyFont="1" applyFill="1" applyBorder="1" applyAlignment="1">
      <alignment horizontal="left" vertical="top" wrapText="1"/>
    </xf>
    <xf numFmtId="0" fontId="44" fillId="13" borderId="2" xfId="498" applyFont="1" applyFill="1" applyBorder="1" applyAlignment="1" applyProtection="1">
      <alignment horizontal="center" vertical="top" wrapText="1"/>
    </xf>
    <xf numFmtId="0" fontId="48" fillId="13" borderId="2" xfId="0" applyFont="1" applyFill="1" applyBorder="1" applyAlignment="1">
      <alignment horizontal="center" vertical="top" wrapText="1"/>
    </xf>
    <xf numFmtId="0" fontId="60" fillId="12" borderId="0" xfId="0" applyFont="1" applyFill="1"/>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863600</xdr:colOff>
      <xdr:row>69</xdr:row>
      <xdr:rowOff>114300</xdr:rowOff>
    </xdr:from>
    <xdr:to>
      <xdr:col>4</xdr:col>
      <xdr:colOff>1385048</xdr:colOff>
      <xdr:row>74</xdr:row>
      <xdr:rowOff>25400</xdr:rowOff>
    </xdr:to>
    <xdr:sp macro="" textlink="">
      <xdr:nvSpPr>
        <xdr:cNvPr id="2" name="Rounded Rectangle 1">
          <a:extLst>
            <a:ext uri="{FF2B5EF4-FFF2-40B4-BE49-F238E27FC236}">
              <a16:creationId xmlns:a16="http://schemas.microsoft.com/office/drawing/2014/main" id="{980640B7-4C19-D142-AC9D-9E4FA5FC0FB0}"/>
            </a:ext>
          </a:extLst>
        </xdr:cNvPr>
        <xdr:cNvSpPr/>
      </xdr:nvSpPr>
      <xdr:spPr>
        <a:xfrm>
          <a:off x="39370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Gasification + CCS</a:t>
          </a:r>
        </a:p>
      </xdr:txBody>
    </xdr:sp>
    <xdr:clientData/>
  </xdr:twoCellAnchor>
  <xdr:twoCellAnchor>
    <xdr:from>
      <xdr:col>3</xdr:col>
      <xdr:colOff>190500</xdr:colOff>
      <xdr:row>71</xdr:row>
      <xdr:rowOff>139700</xdr:rowOff>
    </xdr:from>
    <xdr:to>
      <xdr:col>3</xdr:col>
      <xdr:colOff>884838</xdr:colOff>
      <xdr:row>71</xdr:row>
      <xdr:rowOff>139700</xdr:rowOff>
    </xdr:to>
    <xdr:cxnSp macro="">
      <xdr:nvCxnSpPr>
        <xdr:cNvPr id="3" name="Straight Arrow Connector 2">
          <a:extLst>
            <a:ext uri="{FF2B5EF4-FFF2-40B4-BE49-F238E27FC236}">
              <a16:creationId xmlns:a16="http://schemas.microsoft.com/office/drawing/2014/main" id="{727EE5A3-C976-8F42-BB55-75C0FECE30A8}"/>
            </a:ext>
          </a:extLst>
        </xdr:cNvPr>
        <xdr:cNvCxnSpPr/>
      </xdr:nvCxnSpPr>
      <xdr:spPr>
        <a:xfrm>
          <a:off x="3263900" y="154559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1422400</xdr:colOff>
      <xdr:row>69</xdr:row>
      <xdr:rowOff>114300</xdr:rowOff>
    </xdr:from>
    <xdr:to>
      <xdr:col>7</xdr:col>
      <xdr:colOff>584948</xdr:colOff>
      <xdr:row>74</xdr:row>
      <xdr:rowOff>25400</xdr:rowOff>
    </xdr:to>
    <xdr:sp macro="" textlink="">
      <xdr:nvSpPr>
        <xdr:cNvPr id="5" name="Rounded Rectangle 4">
          <a:extLst>
            <a:ext uri="{FF2B5EF4-FFF2-40B4-BE49-F238E27FC236}">
              <a16:creationId xmlns:a16="http://schemas.microsoft.com/office/drawing/2014/main" id="{E698702E-EAF0-F644-9066-55DB06CCBCED}"/>
            </a:ext>
          </a:extLst>
        </xdr:cNvPr>
        <xdr:cNvSpPr/>
      </xdr:nvSpPr>
      <xdr:spPr>
        <a:xfrm>
          <a:off x="76581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MeOH synthesis</a:t>
          </a:r>
        </a:p>
      </xdr:txBody>
    </xdr:sp>
    <xdr:clientData/>
  </xdr:twoCellAnchor>
  <xdr:twoCellAnchor>
    <xdr:from>
      <xdr:col>4</xdr:col>
      <xdr:colOff>1397000</xdr:colOff>
      <xdr:row>71</xdr:row>
      <xdr:rowOff>165100</xdr:rowOff>
    </xdr:from>
    <xdr:to>
      <xdr:col>5</xdr:col>
      <xdr:colOff>1422400</xdr:colOff>
      <xdr:row>71</xdr:row>
      <xdr:rowOff>165100</xdr:rowOff>
    </xdr:to>
    <xdr:cxnSp macro="">
      <xdr:nvCxnSpPr>
        <xdr:cNvPr id="6" name="Straight Arrow Connector 5">
          <a:extLst>
            <a:ext uri="{FF2B5EF4-FFF2-40B4-BE49-F238E27FC236}">
              <a16:creationId xmlns:a16="http://schemas.microsoft.com/office/drawing/2014/main" id="{1D199371-ABCE-FE40-B783-8D4DFEC22501}"/>
            </a:ext>
          </a:extLst>
        </xdr:cNvPr>
        <xdr:cNvCxnSpPr>
          <a:endCxn id="5" idx="1"/>
        </xdr:cNvCxnSpPr>
      </xdr:nvCxnSpPr>
      <xdr:spPr>
        <a:xfrm>
          <a:off x="5600700" y="15481300"/>
          <a:ext cx="2057400"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584200</xdr:colOff>
      <xdr:row>71</xdr:row>
      <xdr:rowOff>190500</xdr:rowOff>
    </xdr:from>
    <xdr:to>
      <xdr:col>8</xdr:col>
      <xdr:colOff>453038</xdr:colOff>
      <xdr:row>71</xdr:row>
      <xdr:rowOff>190500</xdr:rowOff>
    </xdr:to>
    <xdr:cxnSp macro="">
      <xdr:nvCxnSpPr>
        <xdr:cNvPr id="9" name="Straight Arrow Connector 8">
          <a:extLst>
            <a:ext uri="{FF2B5EF4-FFF2-40B4-BE49-F238E27FC236}">
              <a16:creationId xmlns:a16="http://schemas.microsoft.com/office/drawing/2014/main" id="{ED126E5E-6C50-B845-B081-584D50055761}"/>
            </a:ext>
          </a:extLst>
        </xdr:cNvPr>
        <xdr:cNvCxnSpPr/>
      </xdr:nvCxnSpPr>
      <xdr:spPr>
        <a:xfrm>
          <a:off x="9309100" y="155067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1384300</xdr:colOff>
      <xdr:row>71</xdr:row>
      <xdr:rowOff>165100</xdr:rowOff>
    </xdr:from>
    <xdr:to>
      <xdr:col>4</xdr:col>
      <xdr:colOff>1917700</xdr:colOff>
      <xdr:row>73</xdr:row>
      <xdr:rowOff>101600</xdr:rowOff>
    </xdr:to>
    <xdr:cxnSp macro="">
      <xdr:nvCxnSpPr>
        <xdr:cNvPr id="4" name="Straight Arrow Connector 3">
          <a:extLst>
            <a:ext uri="{FF2B5EF4-FFF2-40B4-BE49-F238E27FC236}">
              <a16:creationId xmlns:a16="http://schemas.microsoft.com/office/drawing/2014/main" id="{9460FC52-1B13-2C4E-91E3-C611A51BE913}"/>
            </a:ext>
          </a:extLst>
        </xdr:cNvPr>
        <xdr:cNvCxnSpPr/>
      </xdr:nvCxnSpPr>
      <xdr:spPr>
        <a:xfrm>
          <a:off x="5588000" y="15481300"/>
          <a:ext cx="533400" cy="3556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6" customWidth="1"/>
    <col min="2" max="2" width="11.5" style="18" customWidth="1"/>
    <col min="3" max="3" width="38.5" style="18" customWidth="1"/>
    <col min="4" max="16384" width="10.83203125" style="18"/>
  </cols>
  <sheetData>
    <row r="1" spans="1:4" s="24" customFormat="1">
      <c r="A1" s="22"/>
      <c r="B1" s="23"/>
      <c r="C1" s="23"/>
    </row>
    <row r="2" spans="1:4" ht="21">
      <c r="A2" s="1"/>
      <c r="B2" s="25" t="s">
        <v>9</v>
      </c>
      <c r="C2" s="25"/>
    </row>
    <row r="3" spans="1:4">
      <c r="A3" s="1"/>
      <c r="B3" s="5"/>
      <c r="C3" s="5"/>
    </row>
    <row r="4" spans="1:4">
      <c r="A4" s="1"/>
      <c r="B4" s="2" t="s">
        <v>10</v>
      </c>
      <c r="C4" s="23" t="s">
        <v>219</v>
      </c>
      <c r="D4" s="210"/>
    </row>
    <row r="5" spans="1:4">
      <c r="A5" s="1"/>
      <c r="B5" s="3" t="s">
        <v>39</v>
      </c>
      <c r="C5" s="208" t="s">
        <v>131</v>
      </c>
      <c r="D5" s="211"/>
    </row>
    <row r="6" spans="1:4">
      <c r="A6" s="1"/>
      <c r="B6" s="4" t="s">
        <v>12</v>
      </c>
      <c r="C6" s="209" t="s">
        <v>186</v>
      </c>
      <c r="D6" s="212"/>
    </row>
    <row r="7" spans="1:4">
      <c r="A7" s="1"/>
      <c r="B7" s="5"/>
      <c r="C7" s="5"/>
    </row>
    <row r="8" spans="1:4">
      <c r="A8" s="1"/>
      <c r="B8" s="5"/>
      <c r="C8" s="5"/>
    </row>
    <row r="9" spans="1:4">
      <c r="A9" s="1"/>
      <c r="B9" s="58" t="s">
        <v>24</v>
      </c>
      <c r="C9" s="59"/>
      <c r="D9" s="210"/>
    </row>
    <row r="10" spans="1:4">
      <c r="A10" s="1"/>
      <c r="B10" s="60"/>
      <c r="C10" s="213"/>
      <c r="D10" s="211"/>
    </row>
    <row r="11" spans="1:4">
      <c r="A11" s="1"/>
      <c r="B11" s="60" t="s">
        <v>25</v>
      </c>
      <c r="C11" s="214" t="s">
        <v>26</v>
      </c>
      <c r="D11" s="211"/>
    </row>
    <row r="12" spans="1:4" ht="17" thickBot="1">
      <c r="A12" s="1"/>
      <c r="B12" s="60"/>
      <c r="C12" s="9" t="s">
        <v>27</v>
      </c>
      <c r="D12" s="211"/>
    </row>
    <row r="13" spans="1:4" ht="17" thickBot="1">
      <c r="A13" s="1"/>
      <c r="B13" s="60"/>
      <c r="C13" s="61" t="s">
        <v>28</v>
      </c>
      <c r="D13" s="211"/>
    </row>
    <row r="14" spans="1:4">
      <c r="A14" s="1"/>
      <c r="B14" s="60"/>
      <c r="C14" s="213" t="s">
        <v>29</v>
      </c>
      <c r="D14" s="211"/>
    </row>
    <row r="15" spans="1:4">
      <c r="A15" s="1"/>
      <c r="B15" s="60"/>
      <c r="C15" s="213"/>
      <c r="D15" s="211"/>
    </row>
    <row r="16" spans="1:4">
      <c r="A16" s="1"/>
      <c r="B16" s="60" t="s">
        <v>30</v>
      </c>
      <c r="C16" s="215" t="s">
        <v>31</v>
      </c>
      <c r="D16" s="211"/>
    </row>
    <row r="17" spans="1:4">
      <c r="A17" s="1"/>
      <c r="B17" s="60"/>
      <c r="C17" s="216" t="s">
        <v>32</v>
      </c>
      <c r="D17" s="211"/>
    </row>
    <row r="18" spans="1:4">
      <c r="A18" s="1"/>
      <c r="B18" s="60"/>
      <c r="C18" s="217" t="s">
        <v>33</v>
      </c>
      <c r="D18" s="211"/>
    </row>
    <row r="19" spans="1:4">
      <c r="A19" s="1"/>
      <c r="B19" s="60"/>
      <c r="C19" s="218" t="s">
        <v>34</v>
      </c>
      <c r="D19" s="211"/>
    </row>
    <row r="20" spans="1:4">
      <c r="A20" s="1"/>
      <c r="B20" s="62"/>
      <c r="C20" s="219" t="s">
        <v>35</v>
      </c>
      <c r="D20" s="211"/>
    </row>
    <row r="21" spans="1:4">
      <c r="A21" s="1"/>
      <c r="B21" s="62"/>
      <c r="C21" s="220" t="s">
        <v>36</v>
      </c>
      <c r="D21" s="211"/>
    </row>
    <row r="22" spans="1:4">
      <c r="A22" s="1"/>
      <c r="B22" s="62"/>
      <c r="C22" s="221" t="s">
        <v>37</v>
      </c>
      <c r="D22" s="211"/>
    </row>
    <row r="23" spans="1:4">
      <c r="B23" s="62"/>
      <c r="C23" s="222" t="s">
        <v>38</v>
      </c>
      <c r="D23" s="211"/>
    </row>
    <row r="24" spans="1:4">
      <c r="B24" s="223"/>
      <c r="C24" s="224"/>
      <c r="D24" s="212"/>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opLeftCell="A4" zoomScaleNormal="100" workbookViewId="0">
      <selection activeCell="I33" sqref="I33"/>
    </sheetView>
  </sheetViews>
  <sheetFormatPr baseColWidth="10" defaultColWidth="10.83203125" defaultRowHeight="16"/>
  <cols>
    <col min="1" max="2" width="3.5" style="29" customWidth="1"/>
    <col min="3" max="3" width="51.5" style="29" customWidth="1"/>
    <col min="4" max="5" width="14.6640625" style="29" customWidth="1"/>
    <col min="6" max="6" width="4.5" style="29" customWidth="1"/>
    <col min="7" max="7" width="49.5" style="29" customWidth="1"/>
    <col min="8" max="8" width="20.83203125" style="29" customWidth="1"/>
    <col min="9" max="9" width="42.5" style="29" customWidth="1"/>
    <col min="10" max="10" width="5.5" style="29" customWidth="1"/>
    <col min="11" max="16384" width="10.83203125" style="29"/>
  </cols>
  <sheetData>
    <row r="2" spans="1:10">
      <c r="B2" s="249" t="s">
        <v>67</v>
      </c>
      <c r="C2" s="250"/>
      <c r="D2" s="250"/>
      <c r="E2" s="251"/>
    </row>
    <row r="3" spans="1:10">
      <c r="B3" s="252"/>
      <c r="C3" s="253"/>
      <c r="D3" s="253"/>
      <c r="E3" s="254"/>
    </row>
    <row r="4" spans="1:10">
      <c r="B4" s="252"/>
      <c r="C4" s="253"/>
      <c r="D4" s="253"/>
      <c r="E4" s="254"/>
    </row>
    <row r="5" spans="1:10">
      <c r="B5" s="255"/>
      <c r="C5" s="256"/>
      <c r="D5" s="256"/>
      <c r="E5" s="257"/>
    </row>
    <row r="7" spans="1:10" ht="17" thickBot="1"/>
    <row r="8" spans="1:10">
      <c r="B8" s="30"/>
      <c r="C8" s="16"/>
      <c r="D8" s="16"/>
      <c r="E8" s="16"/>
      <c r="F8" s="16"/>
      <c r="G8" s="16"/>
      <c r="H8" s="16"/>
      <c r="I8" s="16"/>
      <c r="J8" s="31"/>
    </row>
    <row r="9" spans="1:10" s="9" customFormat="1">
      <c r="B9" s="20"/>
      <c r="C9" s="12" t="s">
        <v>17</v>
      </c>
      <c r="D9" s="13" t="s">
        <v>7</v>
      </c>
      <c r="E9" s="11" t="s">
        <v>3</v>
      </c>
      <c r="F9" s="12"/>
      <c r="G9" s="12" t="s">
        <v>6</v>
      </c>
      <c r="H9" s="12"/>
      <c r="I9" s="12" t="s">
        <v>0</v>
      </c>
      <c r="J9" s="65"/>
    </row>
    <row r="10" spans="1:10" s="9" customFormat="1">
      <c r="B10" s="21"/>
      <c r="D10" s="27"/>
      <c r="J10" s="10"/>
    </row>
    <row r="11" spans="1:10" s="9" customFormat="1" ht="17" thickBot="1">
      <c r="B11" s="21"/>
      <c r="C11" s="9" t="s">
        <v>41</v>
      </c>
      <c r="D11" s="27"/>
      <c r="J11" s="10"/>
    </row>
    <row r="12" spans="1:10" s="110" customFormat="1" ht="16" customHeight="1" thickBot="1">
      <c r="B12" s="111"/>
      <c r="C12" s="105" t="s">
        <v>66</v>
      </c>
      <c r="D12" s="106" t="s">
        <v>69</v>
      </c>
      <c r="E12" s="112">
        <f>Notes!D6</f>
        <v>213.11</v>
      </c>
      <c r="F12" s="105"/>
      <c r="G12" s="113"/>
      <c r="I12" s="228" t="s">
        <v>84</v>
      </c>
      <c r="J12" s="114"/>
    </row>
    <row r="13" spans="1:10" s="110" customFormat="1" ht="16" customHeight="1" thickBot="1">
      <c r="B13" s="111"/>
      <c r="C13" s="248" t="s">
        <v>127</v>
      </c>
      <c r="D13" s="106"/>
      <c r="E13" s="112">
        <f>Notes!D18</f>
        <v>1</v>
      </c>
      <c r="F13" s="105"/>
      <c r="G13" s="113"/>
      <c r="I13" s="228" t="s">
        <v>84</v>
      </c>
      <c r="J13" s="114"/>
    </row>
    <row r="14" spans="1:10" ht="17" thickBot="1">
      <c r="A14" s="72"/>
      <c r="B14" s="73"/>
      <c r="C14" s="194" t="s">
        <v>175</v>
      </c>
      <c r="D14" s="19" t="s">
        <v>2</v>
      </c>
      <c r="E14" s="112">
        <f>Notes!D16</f>
        <v>0.61</v>
      </c>
      <c r="F14" s="71"/>
      <c r="G14" s="99"/>
      <c r="H14" s="71"/>
      <c r="I14" s="228" t="s">
        <v>84</v>
      </c>
      <c r="J14" s="74"/>
    </row>
    <row r="15" spans="1:10" s="103" customFormat="1" ht="16" customHeight="1" thickBot="1">
      <c r="B15" s="104"/>
      <c r="C15" s="105" t="s">
        <v>57</v>
      </c>
      <c r="D15" s="106" t="s">
        <v>122</v>
      </c>
      <c r="E15" s="112">
        <f>Notes!D7</f>
        <v>8000</v>
      </c>
      <c r="F15" s="105"/>
      <c r="G15" s="105"/>
      <c r="I15" s="228" t="s">
        <v>84</v>
      </c>
      <c r="J15" s="108"/>
    </row>
    <row r="16" spans="1:10" s="103" customFormat="1" ht="16" customHeight="1" thickBot="1">
      <c r="B16" s="104"/>
      <c r="C16" s="196" t="s">
        <v>174</v>
      </c>
      <c r="D16" s="106" t="s">
        <v>2</v>
      </c>
      <c r="E16" s="112">
        <f>Notes!D45</f>
        <v>0.96</v>
      </c>
      <c r="F16" s="105"/>
      <c r="G16" s="105"/>
      <c r="J16" s="108"/>
    </row>
    <row r="17" spans="1:10">
      <c r="B17" s="33"/>
      <c r="J17" s="66"/>
    </row>
    <row r="18" spans="1:10" ht="17" thickBot="1">
      <c r="B18" s="33"/>
      <c r="C18" s="9" t="s">
        <v>40</v>
      </c>
      <c r="J18" s="66"/>
    </row>
    <row r="19" spans="1:10" ht="17" thickBot="1">
      <c r="B19" s="33"/>
      <c r="C19" s="32" t="s">
        <v>20</v>
      </c>
      <c r="D19" s="19" t="s">
        <v>18</v>
      </c>
      <c r="E19" s="109">
        <f>Notes!D11</f>
        <v>403812425</v>
      </c>
      <c r="F19" s="32"/>
      <c r="G19" s="32" t="s">
        <v>5</v>
      </c>
      <c r="H19" s="32"/>
      <c r="I19" s="228" t="s">
        <v>84</v>
      </c>
      <c r="J19" s="66"/>
    </row>
    <row r="20" spans="1:10" ht="17" thickBot="1">
      <c r="B20" s="33"/>
      <c r="C20" s="160" t="s">
        <v>133</v>
      </c>
      <c r="D20" s="19" t="s">
        <v>18</v>
      </c>
      <c r="E20" s="109">
        <f>Notes!D21</f>
        <v>38988246</v>
      </c>
      <c r="F20" s="32"/>
      <c r="G20" s="32"/>
      <c r="H20" s="32"/>
      <c r="I20" s="102" t="s">
        <v>134</v>
      </c>
      <c r="J20" s="66"/>
    </row>
    <row r="21" spans="1:10" ht="15" customHeight="1" thickBot="1">
      <c r="B21" s="33"/>
      <c r="C21" s="32" t="s">
        <v>21</v>
      </c>
      <c r="D21" s="19" t="s">
        <v>45</v>
      </c>
      <c r="E21" s="109">
        <f>Notes!D12</f>
        <v>5384166</v>
      </c>
      <c r="F21" s="32"/>
      <c r="G21" s="92" t="s">
        <v>64</v>
      </c>
      <c r="H21" s="32"/>
      <c r="I21" s="228" t="s">
        <v>84</v>
      </c>
      <c r="J21" s="66"/>
    </row>
    <row r="22" spans="1:10" ht="17" thickBot="1">
      <c r="B22" s="85"/>
      <c r="C22" s="91" t="s">
        <v>60</v>
      </c>
      <c r="D22" s="87" t="s">
        <v>55</v>
      </c>
      <c r="E22" s="109">
        <f>Notes!D13</f>
        <v>2019.06</v>
      </c>
      <c r="F22" s="88"/>
      <c r="G22" s="86" t="s">
        <v>56</v>
      </c>
      <c r="H22" s="88"/>
      <c r="I22" s="228" t="s">
        <v>84</v>
      </c>
      <c r="J22" s="89"/>
    </row>
    <row r="23" spans="1:10" ht="17" thickBot="1">
      <c r="B23" s="85"/>
      <c r="C23" s="91" t="s">
        <v>61</v>
      </c>
      <c r="D23" s="87" t="s">
        <v>55</v>
      </c>
      <c r="E23" s="109">
        <v>0</v>
      </c>
      <c r="F23" s="88"/>
      <c r="G23" s="86"/>
      <c r="H23" s="88"/>
      <c r="I23" s="102" t="s">
        <v>189</v>
      </c>
      <c r="J23" s="89"/>
    </row>
    <row r="24" spans="1:10" ht="17" thickBot="1">
      <c r="B24" s="85"/>
      <c r="C24" s="91" t="s">
        <v>59</v>
      </c>
      <c r="D24" s="87"/>
      <c r="E24" s="109">
        <v>0</v>
      </c>
      <c r="F24" s="88"/>
      <c r="G24" s="91" t="s">
        <v>62</v>
      </c>
      <c r="H24" s="88"/>
      <c r="I24" s="227" t="s">
        <v>190</v>
      </c>
      <c r="J24" s="89"/>
    </row>
    <row r="25" spans="1:10" ht="17" thickBot="1">
      <c r="B25" s="85"/>
      <c r="C25" s="98" t="s">
        <v>65</v>
      </c>
      <c r="D25" s="87"/>
      <c r="E25" s="34">
        <v>0</v>
      </c>
      <c r="F25" s="88"/>
      <c r="G25" s="91" t="s">
        <v>63</v>
      </c>
      <c r="H25" s="88"/>
      <c r="I25" s="227" t="s">
        <v>190</v>
      </c>
      <c r="J25" s="89"/>
    </row>
    <row r="26" spans="1:10" ht="17" thickBot="1">
      <c r="A26" s="72"/>
      <c r="B26" s="73"/>
      <c r="C26" s="71" t="s">
        <v>47</v>
      </c>
      <c r="D26" s="19" t="s">
        <v>48</v>
      </c>
      <c r="E26" s="123">
        <v>7.0000000000000007E-2</v>
      </c>
      <c r="F26" s="71"/>
      <c r="G26" s="71" t="s">
        <v>49</v>
      </c>
      <c r="H26" s="71"/>
      <c r="I26" s="159" t="s">
        <v>130</v>
      </c>
      <c r="J26" s="74"/>
    </row>
    <row r="27" spans="1:10" ht="17" thickBot="1">
      <c r="A27" s="72"/>
      <c r="B27" s="73"/>
      <c r="C27" s="71" t="s">
        <v>50</v>
      </c>
      <c r="D27" s="19" t="s">
        <v>51</v>
      </c>
      <c r="E27" s="75">
        <v>1</v>
      </c>
      <c r="F27" s="71"/>
      <c r="G27" s="71"/>
      <c r="H27" s="71"/>
      <c r="I27" s="226" t="s">
        <v>189</v>
      </c>
      <c r="J27" s="74"/>
    </row>
    <row r="28" spans="1:10">
      <c r="A28" s="72"/>
      <c r="B28" s="73"/>
      <c r="C28" s="71"/>
      <c r="D28" s="19"/>
      <c r="E28" s="77"/>
      <c r="F28" s="71"/>
      <c r="G28" s="71"/>
      <c r="H28" s="71"/>
      <c r="I28" s="72"/>
      <c r="J28" s="74"/>
    </row>
    <row r="29" spans="1:10" ht="17" thickBot="1">
      <c r="A29" s="72"/>
      <c r="B29" s="73"/>
      <c r="C29" s="9" t="s">
        <v>4</v>
      </c>
      <c r="D29" s="67"/>
      <c r="E29" s="77"/>
      <c r="F29" s="72"/>
      <c r="H29" s="72"/>
      <c r="I29" s="72"/>
      <c r="J29" s="74"/>
    </row>
    <row r="30" spans="1:10" ht="17" thickBot="1">
      <c r="A30" s="72"/>
      <c r="B30" s="73"/>
      <c r="C30" s="71" t="s">
        <v>22</v>
      </c>
      <c r="D30" s="19" t="s">
        <v>1</v>
      </c>
      <c r="E30" s="75">
        <f>Notes!D8</f>
        <v>20</v>
      </c>
      <c r="F30" s="71"/>
      <c r="G30" s="71" t="s">
        <v>54</v>
      </c>
      <c r="H30" s="71"/>
      <c r="I30" s="228" t="s">
        <v>84</v>
      </c>
      <c r="J30" s="74"/>
    </row>
    <row r="31" spans="1:10" ht="17" thickBot="1">
      <c r="A31" s="72"/>
      <c r="B31" s="73"/>
      <c r="C31" s="71" t="s">
        <v>52</v>
      </c>
      <c r="D31" s="19" t="s">
        <v>1</v>
      </c>
      <c r="E31" s="198" t="str">
        <f>Notes!D9</f>
        <v>2.5</v>
      </c>
      <c r="F31" s="71"/>
      <c r="G31" s="71" t="s">
        <v>53</v>
      </c>
      <c r="H31" s="71"/>
      <c r="I31" s="228" t="s">
        <v>84</v>
      </c>
      <c r="J31" s="74"/>
    </row>
    <row r="32" spans="1:10" ht="17" thickBot="1">
      <c r="A32" s="72"/>
      <c r="B32" s="73"/>
      <c r="C32" s="71" t="s">
        <v>19</v>
      </c>
      <c r="D32" s="19" t="s">
        <v>2</v>
      </c>
      <c r="E32" s="75">
        <f>Notes!D96</f>
        <v>0.52228799999999997</v>
      </c>
      <c r="F32" s="71"/>
      <c r="G32" s="71"/>
      <c r="H32" s="71"/>
      <c r="I32" s="102" t="s">
        <v>188</v>
      </c>
      <c r="J32" s="74"/>
    </row>
    <row r="33" spans="1:10" ht="17" thickBot="1">
      <c r="A33" s="72"/>
      <c r="B33" s="73"/>
      <c r="C33" s="225" t="s">
        <v>187</v>
      </c>
      <c r="D33" s="19" t="s">
        <v>2</v>
      </c>
      <c r="E33" s="75">
        <f>Notes!D97</f>
        <v>0.9</v>
      </c>
      <c r="F33" s="71"/>
      <c r="G33" s="71"/>
      <c r="H33" s="71"/>
      <c r="I33" s="102" t="s">
        <v>221</v>
      </c>
      <c r="J33" s="74"/>
    </row>
    <row r="34" spans="1:10" ht="17" thickBot="1">
      <c r="A34" s="72"/>
      <c r="B34" s="78"/>
      <c r="C34" s="79"/>
      <c r="D34" s="79"/>
      <c r="E34" s="79"/>
      <c r="F34" s="79"/>
      <c r="G34" s="79"/>
      <c r="H34" s="79"/>
      <c r="I34" s="79"/>
      <c r="J34" s="80"/>
    </row>
    <row r="35" spans="1:10">
      <c r="A35" s="72"/>
      <c r="B35" s="72"/>
      <c r="C35" s="72"/>
      <c r="D35" s="72"/>
      <c r="E35" s="72"/>
      <c r="F35" s="72"/>
      <c r="G35" s="72"/>
      <c r="H35" s="72"/>
      <c r="I35" s="72"/>
      <c r="J35" s="72"/>
    </row>
    <row r="36" spans="1:10">
      <c r="A36" s="72"/>
      <c r="B36" s="72"/>
      <c r="C36" s="72"/>
      <c r="D36" s="72"/>
      <c r="E36" s="72"/>
      <c r="F36" s="72"/>
      <c r="G36" s="72"/>
      <c r="H36" s="72"/>
      <c r="I36" s="72"/>
      <c r="J36" s="72"/>
    </row>
    <row r="37" spans="1:10">
      <c r="A37" s="72"/>
      <c r="B37" s="72"/>
      <c r="C37" s="72"/>
      <c r="D37" s="72"/>
      <c r="E37" s="72"/>
      <c r="F37" s="72"/>
      <c r="G37" s="72"/>
      <c r="H37" s="72"/>
      <c r="I37" s="72"/>
      <c r="J37" s="72"/>
    </row>
    <row r="38" spans="1:10">
      <c r="A38" s="72"/>
      <c r="B38" s="72"/>
      <c r="E38" s="72"/>
      <c r="F38" s="72"/>
      <c r="G38" s="72"/>
      <c r="H38" s="72"/>
      <c r="I38" s="72"/>
      <c r="J38" s="72"/>
    </row>
    <row r="39" spans="1:10">
      <c r="A39" s="72"/>
      <c r="B39" s="72"/>
      <c r="C39" s="72"/>
      <c r="D39" s="72"/>
      <c r="E39" s="72"/>
      <c r="F39" s="72"/>
      <c r="G39" s="72"/>
      <c r="H39" s="72"/>
      <c r="I39" s="72"/>
      <c r="J39" s="72"/>
    </row>
    <row r="40" spans="1:10">
      <c r="A40" s="72"/>
      <c r="B40" s="72"/>
      <c r="C40" s="72"/>
      <c r="D40" s="72"/>
      <c r="E40" s="72"/>
      <c r="F40" s="72"/>
      <c r="G40" s="72"/>
      <c r="H40" s="72"/>
      <c r="I40" s="72"/>
      <c r="J40" s="72"/>
    </row>
    <row r="41" spans="1:10">
      <c r="A41" s="72"/>
      <c r="B41" s="72"/>
      <c r="C41" s="72"/>
      <c r="D41" s="72"/>
      <c r="E41" s="72"/>
      <c r="F41" s="72"/>
      <c r="G41" s="72"/>
      <c r="H41" s="72"/>
      <c r="I41" s="72"/>
      <c r="J41" s="72"/>
    </row>
    <row r="42" spans="1:10">
      <c r="A42" s="72"/>
      <c r="B42" s="72"/>
      <c r="C42" s="72"/>
      <c r="D42" s="72"/>
      <c r="E42" s="72"/>
      <c r="F42" s="72"/>
      <c r="G42" s="72"/>
      <c r="H42" s="72"/>
      <c r="I42" s="72"/>
      <c r="J42" s="72"/>
    </row>
    <row r="43" spans="1:10">
      <c r="A43" s="72"/>
    </row>
    <row r="44" spans="1:10">
      <c r="A44" s="72"/>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J19" sqref="J19"/>
    </sheetView>
  </sheetViews>
  <sheetFormatPr baseColWidth="10" defaultColWidth="10.83203125" defaultRowHeight="16"/>
  <cols>
    <col min="1" max="1" width="3.5" style="35" customWidth="1"/>
    <col min="2" max="2" width="3" style="35" customWidth="1"/>
    <col min="3" max="3" width="61" style="35" customWidth="1"/>
    <col min="4" max="4" width="16.5" style="35" hidden="1" customWidth="1"/>
    <col min="5" max="5" width="13.83203125" style="35" hidden="1" customWidth="1"/>
    <col min="6" max="6" width="10" style="35" customWidth="1"/>
    <col min="7" max="7" width="3" style="35" customWidth="1"/>
    <col min="8" max="8" width="14.83203125" style="35" customWidth="1"/>
    <col min="9" max="9" width="2.5" style="35" customWidth="1"/>
    <col min="10" max="10" width="13.5" style="35" customWidth="1"/>
    <col min="11" max="12" width="2.5" style="35" customWidth="1"/>
    <col min="13" max="13" width="23.5" style="35" customWidth="1"/>
    <col min="14" max="14" width="11" style="35" customWidth="1"/>
    <col min="15" max="15" width="2.5" style="35" customWidth="1"/>
    <col min="16" max="16" width="22.5" style="35" customWidth="1"/>
    <col min="17" max="16384" width="10.83203125" style="35"/>
  </cols>
  <sheetData>
    <row r="2" spans="1:16" ht="17" thickBot="1"/>
    <row r="3" spans="1:16">
      <c r="B3" s="36"/>
      <c r="C3" s="37"/>
      <c r="D3" s="37"/>
      <c r="E3" s="37"/>
      <c r="F3" s="37"/>
      <c r="G3" s="37"/>
      <c r="H3" s="37"/>
      <c r="I3" s="37"/>
      <c r="J3" s="37"/>
      <c r="K3" s="37"/>
      <c r="L3" s="37"/>
      <c r="M3" s="37"/>
      <c r="N3" s="37"/>
      <c r="O3" s="37"/>
      <c r="P3" s="37"/>
    </row>
    <row r="4" spans="1:16" s="9" customFormat="1">
      <c r="B4" s="21"/>
      <c r="C4" s="63" t="s">
        <v>17</v>
      </c>
      <c r="D4" s="6"/>
      <c r="E4" s="6"/>
      <c r="F4" s="63" t="s">
        <v>7</v>
      </c>
      <c r="G4" s="63"/>
      <c r="H4" s="63" t="s">
        <v>44</v>
      </c>
      <c r="I4" s="63"/>
      <c r="J4" s="63" t="s">
        <v>177</v>
      </c>
      <c r="K4" s="63"/>
      <c r="L4" s="63"/>
      <c r="M4" s="63" t="s">
        <v>42</v>
      </c>
    </row>
    <row r="5" spans="1:16" ht="18" customHeight="1">
      <c r="B5" s="38"/>
      <c r="C5" s="41"/>
      <c r="D5" s="41"/>
      <c r="E5" s="41"/>
      <c r="H5" s="39"/>
      <c r="I5" s="39"/>
      <c r="J5" s="39"/>
      <c r="K5" s="39"/>
      <c r="L5" s="39"/>
      <c r="M5" s="43"/>
    </row>
    <row r="6" spans="1:16" ht="18" customHeight="1" thickBot="1">
      <c r="B6" s="38"/>
      <c r="C6" s="9" t="s">
        <v>41</v>
      </c>
      <c r="D6" s="27"/>
      <c r="E6" s="9"/>
      <c r="F6" s="27"/>
      <c r="G6" s="28"/>
      <c r="H6" s="7"/>
      <c r="I6" s="7"/>
      <c r="J6" s="7"/>
      <c r="K6" s="7"/>
    </row>
    <row r="7" spans="1:16" ht="18" customHeight="1" thickBot="1">
      <c r="B7" s="38"/>
      <c r="C7" s="105" t="s">
        <v>66</v>
      </c>
      <c r="D7" s="106" t="s">
        <v>69</v>
      </c>
      <c r="E7" s="112"/>
      <c r="F7" s="106" t="s">
        <v>69</v>
      </c>
      <c r="G7" s="64"/>
      <c r="H7" s="100">
        <f>ROUND(J7,2)</f>
        <v>213.11</v>
      </c>
      <c r="I7" s="39"/>
      <c r="J7" s="118">
        <f>Notes!D6</f>
        <v>213.11</v>
      </c>
      <c r="K7" s="39"/>
    </row>
    <row r="8" spans="1:16" s="29" customFormat="1" ht="17" thickBot="1">
      <c r="A8" s="9"/>
      <c r="B8" s="21"/>
      <c r="C8" s="157" t="s">
        <v>127</v>
      </c>
      <c r="D8" s="17" t="s">
        <v>2</v>
      </c>
      <c r="E8" s="34"/>
      <c r="F8" s="17" t="s">
        <v>2</v>
      </c>
      <c r="G8" s="71"/>
      <c r="H8" s="100">
        <f>ROUND(J8,3)</f>
        <v>1</v>
      </c>
      <c r="J8" s="118">
        <f>Notes!D18</f>
        <v>1</v>
      </c>
      <c r="K8" s="9"/>
    </row>
    <row r="9" spans="1:16" s="29" customFormat="1" ht="17" thickBot="1">
      <c r="A9" s="72"/>
      <c r="B9" s="73"/>
      <c r="C9" s="194" t="s">
        <v>175</v>
      </c>
      <c r="D9" s="19" t="s">
        <v>2</v>
      </c>
      <c r="E9" s="34"/>
      <c r="F9" s="19" t="s">
        <v>2</v>
      </c>
      <c r="G9" s="71"/>
      <c r="H9" s="100">
        <f t="shared" ref="H9:H10" si="0">ROUND(J9,3)</f>
        <v>0.61</v>
      </c>
      <c r="J9" s="118">
        <f>Notes!D16</f>
        <v>0.61</v>
      </c>
    </row>
    <row r="10" spans="1:16" s="29" customFormat="1" ht="17" thickBot="1">
      <c r="B10" s="73"/>
      <c r="C10" s="71" t="s">
        <v>68</v>
      </c>
      <c r="D10" s="19"/>
      <c r="E10" s="34"/>
      <c r="F10" s="19" t="s">
        <v>2</v>
      </c>
      <c r="G10" s="71"/>
      <c r="H10" s="100">
        <f t="shared" si="0"/>
        <v>0.39</v>
      </c>
      <c r="J10" s="118">
        <f>Notes!D17</f>
        <v>0.39</v>
      </c>
    </row>
    <row r="11" spans="1:16" ht="17" thickBot="1">
      <c r="A11" s="72"/>
      <c r="B11" s="73"/>
      <c r="C11" s="105" t="s">
        <v>57</v>
      </c>
      <c r="D11" s="106" t="s">
        <v>2</v>
      </c>
      <c r="E11" s="107"/>
      <c r="F11" s="106" t="s">
        <v>58</v>
      </c>
      <c r="H11" s="119">
        <f>ROUND(J11,2)</f>
        <v>8000</v>
      </c>
      <c r="I11" s="71"/>
      <c r="J11" s="126">
        <f>Notes!D7</f>
        <v>8000</v>
      </c>
      <c r="K11" s="72"/>
    </row>
    <row r="12" spans="1:16" ht="17" thickBot="1">
      <c r="A12" s="72"/>
      <c r="B12" s="73"/>
      <c r="C12" s="196" t="s">
        <v>174</v>
      </c>
      <c r="D12" s="106"/>
      <c r="E12" s="195"/>
      <c r="F12" s="106"/>
      <c r="H12" s="119">
        <f>ROUND(J12,2)</f>
        <v>0.96</v>
      </c>
      <c r="I12" s="71"/>
      <c r="J12" s="197">
        <f>Notes!D45</f>
        <v>0.96</v>
      </c>
      <c r="K12" s="72"/>
    </row>
    <row r="13" spans="1:16">
      <c r="B13" s="38"/>
      <c r="C13" s="29"/>
      <c r="D13" s="29"/>
      <c r="E13" s="29"/>
      <c r="F13" s="29"/>
      <c r="H13" s="40"/>
      <c r="I13" s="71"/>
      <c r="J13" s="76"/>
      <c r="K13" s="72"/>
      <c r="L13" s="39"/>
      <c r="M13" s="90"/>
    </row>
    <row r="14" spans="1:16" ht="17" thickBot="1">
      <c r="A14" s="72"/>
      <c r="B14" s="73"/>
      <c r="C14" s="9" t="s">
        <v>40</v>
      </c>
      <c r="D14" s="29"/>
      <c r="E14" s="29"/>
      <c r="F14" s="29"/>
      <c r="H14" s="8"/>
      <c r="I14" s="82"/>
      <c r="J14" s="81"/>
      <c r="K14" s="82"/>
      <c r="L14" s="81"/>
      <c r="M14" s="43"/>
    </row>
    <row r="15" spans="1:16" ht="17" thickBot="1">
      <c r="A15" s="72"/>
      <c r="B15" s="73"/>
      <c r="C15" s="32" t="s">
        <v>20</v>
      </c>
      <c r="D15" s="19" t="s">
        <v>18</v>
      </c>
      <c r="E15" s="109"/>
      <c r="F15" s="19" t="s">
        <v>18</v>
      </c>
      <c r="H15" s="116">
        <f>ROUND(J15,0)</f>
        <v>403812425</v>
      </c>
      <c r="I15" s="8"/>
      <c r="J15" s="100">
        <f>Notes!D11</f>
        <v>403812425</v>
      </c>
      <c r="K15" s="8"/>
      <c r="L15" s="81"/>
      <c r="M15" s="70"/>
    </row>
    <row r="16" spans="1:16" ht="17" thickBot="1">
      <c r="A16" s="72"/>
      <c r="B16" s="73"/>
      <c r="C16" s="160" t="s">
        <v>133</v>
      </c>
      <c r="D16" s="19"/>
      <c r="E16" s="109"/>
      <c r="F16" s="19" t="s">
        <v>18</v>
      </c>
      <c r="H16" s="116">
        <f>ROUND(J16,0)</f>
        <v>38988246</v>
      </c>
      <c r="I16" s="8"/>
      <c r="J16" s="100">
        <f>Notes!D21</f>
        <v>38988246</v>
      </c>
      <c r="K16" s="8"/>
      <c r="L16" s="81"/>
      <c r="M16" s="160" t="s">
        <v>134</v>
      </c>
    </row>
    <row r="17" spans="1:13" ht="17" thickBot="1">
      <c r="A17" s="72"/>
      <c r="B17" s="73"/>
      <c r="C17" s="32" t="s">
        <v>21</v>
      </c>
      <c r="D17" s="19" t="s">
        <v>45</v>
      </c>
      <c r="E17" s="34">
        <v>0</v>
      </c>
      <c r="F17" s="19" t="s">
        <v>45</v>
      </c>
      <c r="H17" s="116">
        <f>ROUND(J17,0)</f>
        <v>5384166</v>
      </c>
      <c r="I17" s="81"/>
      <c r="J17" s="100">
        <f>Notes!D12</f>
        <v>5384166</v>
      </c>
      <c r="K17" s="81"/>
      <c r="M17" s="70"/>
    </row>
    <row r="18" spans="1:13" ht="17" thickBot="1">
      <c r="A18" s="72"/>
      <c r="B18" s="73"/>
      <c r="C18" s="91" t="s">
        <v>60</v>
      </c>
      <c r="D18" s="87" t="s">
        <v>55</v>
      </c>
      <c r="E18" s="34">
        <f>'Research data'!H15</f>
        <v>403812425</v>
      </c>
      <c r="F18" s="87" t="s">
        <v>55</v>
      </c>
      <c r="H18" s="83">
        <f>ROUND(J18,2)</f>
        <v>2019.06</v>
      </c>
      <c r="J18" s="100">
        <f>Notes!D13</f>
        <v>2019.06</v>
      </c>
      <c r="L18" s="81"/>
      <c r="M18" s="71"/>
    </row>
    <row r="19" spans="1:13" ht="17" thickBot="1">
      <c r="A19" s="93"/>
      <c r="B19" s="94"/>
      <c r="C19" s="91" t="s">
        <v>61</v>
      </c>
      <c r="D19" s="87"/>
      <c r="E19" s="34">
        <f>'Research data'!H20</f>
        <v>0</v>
      </c>
      <c r="F19" s="87"/>
      <c r="G19" s="93"/>
      <c r="H19" s="83">
        <f>J19</f>
        <v>0</v>
      </c>
      <c r="I19" s="96"/>
      <c r="J19" s="95">
        <v>0</v>
      </c>
      <c r="K19" s="96"/>
      <c r="L19" s="93"/>
      <c r="M19" s="97"/>
    </row>
    <row r="20" spans="1:13" ht="17" thickBot="1">
      <c r="A20" s="72"/>
      <c r="B20" s="73"/>
      <c r="C20" s="91" t="s">
        <v>59</v>
      </c>
      <c r="D20" s="87"/>
      <c r="E20" s="34">
        <f>'Research data'!H18</f>
        <v>2019.06</v>
      </c>
      <c r="F20" s="87"/>
      <c r="H20" s="83">
        <f t="shared" ref="H20:H21" si="1">J20</f>
        <v>0</v>
      </c>
      <c r="J20" s="101">
        <v>0</v>
      </c>
      <c r="L20" s="76"/>
      <c r="M20" s="71"/>
    </row>
    <row r="21" spans="1:13" ht="17" thickBot="1">
      <c r="A21" s="72"/>
      <c r="B21" s="73"/>
      <c r="C21" s="98" t="s">
        <v>65</v>
      </c>
      <c r="D21" s="87"/>
      <c r="E21" s="34" t="e">
        <f>'Research data'!#REF!</f>
        <v>#REF!</v>
      </c>
      <c r="F21" s="87"/>
      <c r="H21" s="83">
        <f t="shared" si="1"/>
        <v>0</v>
      </c>
      <c r="J21" s="101">
        <v>0</v>
      </c>
      <c r="L21" s="76"/>
      <c r="M21" s="71"/>
    </row>
    <row r="22" spans="1:13" ht="17" thickBot="1">
      <c r="A22" s="72"/>
      <c r="B22" s="73"/>
      <c r="C22" s="71" t="s">
        <v>50</v>
      </c>
      <c r="D22" s="19" t="s">
        <v>51</v>
      </c>
      <c r="E22" s="75">
        <v>0</v>
      </c>
      <c r="F22" s="19" t="s">
        <v>51</v>
      </c>
      <c r="H22" s="83">
        <f>J22</f>
        <v>0</v>
      </c>
      <c r="I22" s="76"/>
      <c r="J22" s="83">
        <v>0</v>
      </c>
      <c r="K22" s="76"/>
      <c r="L22" s="76"/>
      <c r="M22" s="71"/>
    </row>
    <row r="23" spans="1:13">
      <c r="A23" s="93"/>
      <c r="B23" s="94"/>
      <c r="C23" s="71"/>
      <c r="D23" s="19"/>
      <c r="E23" s="77"/>
      <c r="F23" s="19"/>
      <c r="G23" s="93"/>
      <c r="K23" s="96"/>
      <c r="L23" s="93"/>
      <c r="M23" s="90"/>
    </row>
    <row r="24" spans="1:13" ht="17" thickBot="1">
      <c r="C24" s="9" t="s">
        <v>4</v>
      </c>
      <c r="D24" s="67"/>
      <c r="E24" s="77"/>
      <c r="F24" s="67"/>
      <c r="H24" s="40"/>
      <c r="J24" s="40"/>
      <c r="M24" s="42"/>
    </row>
    <row r="25" spans="1:13" ht="17" thickBot="1">
      <c r="B25" s="38"/>
      <c r="C25" s="71" t="s">
        <v>22</v>
      </c>
      <c r="D25" s="19" t="s">
        <v>1</v>
      </c>
      <c r="E25" s="75"/>
      <c r="F25" s="19" t="s">
        <v>1</v>
      </c>
      <c r="H25" s="83">
        <f>J25</f>
        <v>20</v>
      </c>
      <c r="J25" s="118">
        <f>Notes!D8</f>
        <v>20</v>
      </c>
      <c r="M25" s="70"/>
    </row>
    <row r="26" spans="1:13" ht="17" thickBot="1">
      <c r="A26" s="72"/>
      <c r="B26" s="73"/>
      <c r="C26" s="71" t="s">
        <v>52</v>
      </c>
      <c r="D26" s="19" t="s">
        <v>1</v>
      </c>
      <c r="E26" s="75"/>
      <c r="F26" s="19" t="s">
        <v>1</v>
      </c>
      <c r="H26" s="83" t="str">
        <f>J26</f>
        <v>2.5</v>
      </c>
      <c r="I26" s="8"/>
      <c r="J26" s="158" t="str">
        <f>Notes!D9</f>
        <v>2.5</v>
      </c>
      <c r="K26" s="8"/>
      <c r="L26" s="8"/>
      <c r="M26" s="90"/>
    </row>
    <row r="27" spans="1:13" ht="17" thickBot="1">
      <c r="A27" s="72"/>
      <c r="B27" s="73"/>
      <c r="C27" s="71" t="s">
        <v>19</v>
      </c>
      <c r="D27" s="19" t="s">
        <v>2</v>
      </c>
      <c r="E27" s="75">
        <v>0</v>
      </c>
      <c r="F27" s="19" t="s">
        <v>2</v>
      </c>
      <c r="H27" s="83">
        <v>0</v>
      </c>
      <c r="I27" s="82"/>
      <c r="J27" s="117">
        <v>0</v>
      </c>
      <c r="K27" s="82"/>
      <c r="L27" s="82"/>
      <c r="M27" s="90"/>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5"/>
  <sheetViews>
    <sheetView workbookViewId="0">
      <selection activeCell="F11" sqref="F11"/>
    </sheetView>
  </sheetViews>
  <sheetFormatPr baseColWidth="10" defaultColWidth="33.1640625" defaultRowHeight="16"/>
  <cols>
    <col min="1" max="1" width="3.5" style="44" customWidth="1"/>
    <col min="2" max="2" width="37.33203125" style="44" customWidth="1"/>
    <col min="3" max="3" width="24.5" style="44" customWidth="1"/>
    <col min="4" max="4" width="32.83203125" style="44" customWidth="1"/>
    <col min="5" max="5" width="6.1640625" style="44" customWidth="1"/>
    <col min="6" max="6" width="16.33203125" style="44" customWidth="1"/>
    <col min="7" max="7" width="78" style="44" customWidth="1"/>
    <col min="8" max="8" width="12.5" style="48" customWidth="1"/>
    <col min="9" max="9" width="31.5" style="48" customWidth="1"/>
    <col min="10" max="10" width="98.5" style="44" customWidth="1"/>
    <col min="11" max="16384" width="33.1640625" style="44"/>
  </cols>
  <sheetData>
    <row r="1" spans="2:10" ht="17" thickBot="1"/>
    <row r="2" spans="2:10">
      <c r="B2" s="45"/>
      <c r="C2" s="46"/>
      <c r="D2" s="46"/>
      <c r="E2" s="46"/>
      <c r="F2" s="46"/>
      <c r="G2" s="46"/>
      <c r="H2" s="49"/>
      <c r="I2" s="49"/>
      <c r="J2" s="46"/>
    </row>
    <row r="3" spans="2:10">
      <c r="B3" s="47"/>
      <c r="C3" s="9" t="s">
        <v>13</v>
      </c>
      <c r="D3" s="9"/>
      <c r="E3" s="9"/>
      <c r="F3" s="9"/>
      <c r="G3" s="9"/>
      <c r="H3" s="14"/>
      <c r="I3" s="14"/>
    </row>
    <row r="4" spans="2:10">
      <c r="B4" s="47"/>
    </row>
    <row r="5" spans="2:10">
      <c r="B5" s="50"/>
      <c r="C5" s="11" t="s">
        <v>14</v>
      </c>
      <c r="D5" s="11" t="s">
        <v>0</v>
      </c>
      <c r="E5" s="11" t="s">
        <v>11</v>
      </c>
      <c r="F5" s="11" t="s">
        <v>15</v>
      </c>
      <c r="G5" s="11" t="s">
        <v>71</v>
      </c>
      <c r="H5" s="15" t="s">
        <v>16</v>
      </c>
      <c r="I5" s="15" t="s">
        <v>43</v>
      </c>
      <c r="J5" s="11" t="s">
        <v>8</v>
      </c>
    </row>
    <row r="6" spans="2:10">
      <c r="C6" s="9"/>
      <c r="D6" s="9"/>
      <c r="E6" s="9"/>
      <c r="F6" s="9"/>
      <c r="G6" s="9"/>
      <c r="H6" s="14"/>
      <c r="I6" s="14"/>
      <c r="J6" s="9"/>
    </row>
    <row r="8" spans="2:10">
      <c r="B8" s="193" t="s">
        <v>176</v>
      </c>
      <c r="C8" s="128" t="s">
        <v>79</v>
      </c>
      <c r="D8" s="128" t="s">
        <v>84</v>
      </c>
      <c r="E8" s="128" t="s">
        <v>73</v>
      </c>
      <c r="F8" s="44">
        <v>2025</v>
      </c>
      <c r="G8" s="128" t="s">
        <v>85</v>
      </c>
      <c r="H8" s="124">
        <v>45887</v>
      </c>
      <c r="I8" s="130" t="s">
        <v>86</v>
      </c>
    </row>
    <row r="9" spans="2:10">
      <c r="C9" s="128" t="s">
        <v>79</v>
      </c>
      <c r="D9" s="128" t="s">
        <v>84</v>
      </c>
      <c r="E9" s="128" t="s">
        <v>73</v>
      </c>
      <c r="F9" s="44">
        <v>2025</v>
      </c>
      <c r="G9" s="128" t="s">
        <v>87</v>
      </c>
      <c r="H9" s="124">
        <v>45887</v>
      </c>
      <c r="I9" s="130" t="s">
        <v>88</v>
      </c>
    </row>
    <row r="11" spans="2:10">
      <c r="B11" s="200"/>
      <c r="C11" s="200"/>
      <c r="D11" s="200"/>
      <c r="E11" s="200"/>
      <c r="F11" s="200"/>
      <c r="G11" s="200"/>
      <c r="H11" s="201"/>
      <c r="I11" s="202"/>
      <c r="J11" s="129"/>
    </row>
    <row r="12" spans="2:10">
      <c r="B12" s="200"/>
      <c r="C12" s="200"/>
      <c r="D12" s="200"/>
      <c r="E12" s="200"/>
      <c r="F12" s="200"/>
      <c r="G12" s="200"/>
      <c r="H12" s="202"/>
      <c r="I12" s="202"/>
      <c r="J12" s="200"/>
    </row>
    <row r="13" spans="2:10">
      <c r="B13" s="200"/>
      <c r="C13" s="200"/>
      <c r="D13" s="200"/>
      <c r="E13" s="200"/>
      <c r="F13" s="200"/>
      <c r="G13" s="200"/>
      <c r="H13" s="201"/>
      <c r="I13" s="202"/>
      <c r="J13" s="129"/>
    </row>
    <row r="15" spans="2:10">
      <c r="B15" s="204"/>
      <c r="C15" s="204"/>
      <c r="D15" s="204"/>
      <c r="E15" s="204"/>
      <c r="F15" s="204"/>
      <c r="G15" s="204"/>
      <c r="H15" s="205"/>
      <c r="I15" s="206"/>
      <c r="J15" s="129"/>
    </row>
  </sheetData>
  <phoneticPr fontId="36" type="noConversion"/>
  <hyperlinks>
    <hyperlink ref="I8" r:id="rId1" xr:uid="{FA8C3BBC-A8FF-6D40-80B4-3BA63BE6F28C}"/>
    <hyperlink ref="I9" r:id="rId2" xr:uid="{11A83299-D918-9A46-B33A-E5DE288689BA}"/>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13"/>
  <sheetViews>
    <sheetView tabSelected="1" topLeftCell="A70" zoomScaleNormal="100" workbookViewId="0">
      <selection activeCell="D97" sqref="D97"/>
    </sheetView>
  </sheetViews>
  <sheetFormatPr baseColWidth="10" defaultColWidth="10.83203125" defaultRowHeight="16"/>
  <cols>
    <col min="1" max="2" width="3.5" style="51" customWidth="1"/>
    <col min="3" max="3" width="33.33203125" style="51" customWidth="1"/>
    <col min="4" max="4" width="14.83203125" style="51" customWidth="1"/>
    <col min="5" max="5" width="26.6640625" style="51" customWidth="1"/>
    <col min="6" max="6" width="21.83203125" style="51" bestFit="1" customWidth="1"/>
    <col min="7" max="9" width="10.83203125" style="51"/>
    <col min="10" max="10" width="23.5" style="51" customWidth="1"/>
    <col min="11" max="13" width="10.83203125" style="51"/>
    <col min="14" max="14" width="28.1640625" style="51" customWidth="1"/>
    <col min="15" max="15" width="23.5" style="51" customWidth="1"/>
    <col min="16" max="16" width="12.1640625" style="51" customWidth="1"/>
    <col min="17" max="16384" width="10.83203125" style="51"/>
  </cols>
  <sheetData>
    <row r="1" spans="1:14" ht="17" thickBot="1"/>
    <row r="2" spans="1:14">
      <c r="B2" s="52"/>
      <c r="C2" s="53"/>
      <c r="D2" s="53"/>
      <c r="E2" s="53"/>
      <c r="F2" s="53"/>
      <c r="G2" s="53"/>
      <c r="H2" s="53"/>
      <c r="I2" s="53"/>
      <c r="J2" s="53"/>
      <c r="K2" s="53"/>
      <c r="L2" s="53"/>
      <c r="M2" s="53"/>
      <c r="N2" s="54"/>
    </row>
    <row r="3" spans="1:14" ht="17" customHeight="1">
      <c r="A3" s="55"/>
      <c r="B3" s="68"/>
      <c r="C3" s="57" t="s">
        <v>0</v>
      </c>
      <c r="D3" s="57" t="s">
        <v>46</v>
      </c>
      <c r="E3" s="57" t="s">
        <v>23</v>
      </c>
      <c r="F3" s="57"/>
      <c r="G3" s="57"/>
      <c r="H3" s="56"/>
      <c r="I3" s="56"/>
      <c r="J3" s="56"/>
      <c r="K3" s="56"/>
      <c r="L3" s="56"/>
      <c r="M3" s="56"/>
      <c r="N3" s="69"/>
    </row>
    <row r="4" spans="1:14" ht="17" customHeight="1">
      <c r="A4" s="55"/>
      <c r="B4" s="115"/>
      <c r="C4" s="55"/>
      <c r="D4" s="55"/>
      <c r="E4" s="55"/>
      <c r="F4" s="55"/>
      <c r="G4" s="55"/>
    </row>
    <row r="5" spans="1:14" ht="17" customHeight="1">
      <c r="A5" s="55"/>
      <c r="B5" s="115"/>
      <c r="C5" s="55" t="s">
        <v>124</v>
      </c>
      <c r="D5" s="55"/>
      <c r="E5" s="55"/>
      <c r="F5" s="55"/>
      <c r="G5" s="55"/>
    </row>
    <row r="6" spans="1:14" ht="17" customHeight="1">
      <c r="A6" s="55"/>
      <c r="B6" s="115"/>
      <c r="C6" s="51" t="s">
        <v>129</v>
      </c>
      <c r="D6" s="120">
        <f>ROUND(D41/D16,2)</f>
        <v>213.11</v>
      </c>
      <c r="E6" s="51" t="s">
        <v>77</v>
      </c>
      <c r="F6" s="125"/>
      <c r="G6" s="55"/>
    </row>
    <row r="7" spans="1:14" ht="17" customHeight="1">
      <c r="A7" s="55"/>
      <c r="B7" s="115"/>
      <c r="C7" s="51" t="s">
        <v>75</v>
      </c>
      <c r="D7" s="84">
        <f>ROUND(D42,2)</f>
        <v>8000</v>
      </c>
      <c r="E7" s="51" t="s">
        <v>78</v>
      </c>
      <c r="F7" s="125"/>
      <c r="G7" s="55"/>
    </row>
    <row r="8" spans="1:14" ht="17" customHeight="1">
      <c r="A8" s="55"/>
      <c r="B8" s="115"/>
      <c r="C8" s="51" t="s">
        <v>76</v>
      </c>
      <c r="D8" s="84">
        <f>D43</f>
        <v>20</v>
      </c>
      <c r="E8" s="51" t="s">
        <v>118</v>
      </c>
      <c r="F8" s="125"/>
      <c r="G8" s="55"/>
    </row>
    <row r="9" spans="1:14" ht="17" customHeight="1">
      <c r="A9" s="55"/>
      <c r="B9" s="115"/>
      <c r="C9" s="51" t="s">
        <v>191</v>
      </c>
      <c r="D9" s="192" t="str">
        <f>D44</f>
        <v>2.5</v>
      </c>
      <c r="E9" s="51" t="s">
        <v>118</v>
      </c>
      <c r="F9" s="125"/>
      <c r="G9" s="55"/>
    </row>
    <row r="10" spans="1:14" ht="17" customHeight="1">
      <c r="A10" s="55"/>
      <c r="B10" s="115"/>
      <c r="D10" s="84"/>
      <c r="F10" s="125"/>
      <c r="G10" s="55"/>
    </row>
    <row r="11" spans="1:14" ht="17" customHeight="1">
      <c r="A11" s="55"/>
      <c r="B11" s="115"/>
      <c r="C11" s="51" t="s">
        <v>72</v>
      </c>
      <c r="D11" s="154">
        <f>ROUND(D47,0)</f>
        <v>403812425</v>
      </c>
      <c r="E11" s="51" t="s">
        <v>18</v>
      </c>
      <c r="F11" s="55"/>
      <c r="G11" s="55"/>
    </row>
    <row r="12" spans="1:14" ht="17" customHeight="1">
      <c r="A12" s="55"/>
      <c r="B12" s="115"/>
      <c r="C12" s="51" t="s">
        <v>119</v>
      </c>
      <c r="D12" s="156">
        <f>ROUND(D48,0)</f>
        <v>5384166</v>
      </c>
      <c r="E12" s="51" t="s">
        <v>125</v>
      </c>
      <c r="F12" s="55"/>
      <c r="G12" s="55"/>
    </row>
    <row r="13" spans="1:14" ht="17" customHeight="1">
      <c r="A13" s="55"/>
      <c r="B13" s="115"/>
      <c r="C13" s="51" t="s">
        <v>120</v>
      </c>
      <c r="D13" s="120">
        <f>ROUND(D50,2)</f>
        <v>2019.06</v>
      </c>
      <c r="E13" s="51" t="s">
        <v>55</v>
      </c>
      <c r="F13" s="55"/>
      <c r="G13" s="55"/>
    </row>
    <row r="14" spans="1:14" ht="17" customHeight="1">
      <c r="A14" s="55"/>
      <c r="B14" s="115"/>
      <c r="D14" s="122"/>
      <c r="F14" s="55"/>
      <c r="G14" s="55"/>
    </row>
    <row r="15" spans="1:14" ht="17" customHeight="1">
      <c r="A15" s="55"/>
      <c r="B15" s="121"/>
      <c r="C15" s="55" t="s">
        <v>126</v>
      </c>
      <c r="D15" s="120"/>
      <c r="G15" s="55"/>
    </row>
    <row r="16" spans="1:14" ht="17" customHeight="1">
      <c r="A16" s="55"/>
      <c r="B16" s="115"/>
      <c r="C16" s="51" t="s">
        <v>175</v>
      </c>
      <c r="D16" s="120">
        <f>ROUND(E30,3)</f>
        <v>0.61</v>
      </c>
      <c r="G16" s="55"/>
    </row>
    <row r="17" spans="1:26" ht="17" customHeight="1">
      <c r="A17" s="55"/>
      <c r="B17" s="115"/>
      <c r="C17" s="51" t="s">
        <v>68</v>
      </c>
      <c r="D17" s="120">
        <f>ROUND(E33,3)</f>
        <v>0.39</v>
      </c>
      <c r="G17" s="55"/>
    </row>
    <row r="18" spans="1:26" ht="17" customHeight="1">
      <c r="A18" s="55"/>
      <c r="B18" s="115"/>
      <c r="C18" s="51" t="s">
        <v>127</v>
      </c>
      <c r="D18" s="120">
        <f>ROUND(E35,3)</f>
        <v>1</v>
      </c>
      <c r="G18" s="55"/>
    </row>
    <row r="19" spans="1:26" ht="17" customHeight="1">
      <c r="A19" s="55"/>
      <c r="B19" s="115"/>
      <c r="C19" s="55"/>
      <c r="D19" s="55"/>
      <c r="E19" s="55"/>
      <c r="F19" s="55"/>
      <c r="G19" s="55"/>
    </row>
    <row r="20" spans="1:26" ht="17" customHeight="1">
      <c r="A20" s="55"/>
      <c r="B20" s="115"/>
      <c r="C20" s="55" t="s">
        <v>132</v>
      </c>
      <c r="D20" s="55"/>
      <c r="E20" s="55"/>
      <c r="F20" s="55"/>
      <c r="G20" s="55"/>
    </row>
    <row r="21" spans="1:26" ht="17" customHeight="1">
      <c r="A21" s="55"/>
      <c r="B21" s="115"/>
      <c r="C21" s="51" t="s">
        <v>133</v>
      </c>
      <c r="D21" s="203">
        <f>ROUND(D61,0)</f>
        <v>38988246</v>
      </c>
      <c r="E21" s="51" t="s">
        <v>70</v>
      </c>
      <c r="F21" s="55"/>
      <c r="G21" s="55"/>
    </row>
    <row r="22" spans="1:26" ht="17" customHeight="1">
      <c r="A22" s="55"/>
      <c r="B22" s="115"/>
      <c r="G22" s="55"/>
    </row>
    <row r="23" spans="1:26" ht="17" customHeight="1">
      <c r="A23" s="55"/>
      <c r="B23" s="115"/>
      <c r="G23" s="55"/>
      <c r="N23" s="51" t="s">
        <v>163</v>
      </c>
    </row>
    <row r="24" spans="1:26" ht="17" customHeight="1">
      <c r="A24" s="55"/>
      <c r="B24" s="115"/>
      <c r="C24" s="55"/>
      <c r="D24" s="55"/>
      <c r="E24" s="55"/>
      <c r="F24" s="55"/>
      <c r="G24" s="55"/>
    </row>
    <row r="25" spans="1:26" ht="17" customHeight="1">
      <c r="A25" s="55"/>
      <c r="B25" s="115"/>
      <c r="C25" s="55" t="s">
        <v>164</v>
      </c>
      <c r="D25" s="55"/>
      <c r="E25" s="55"/>
      <c r="N25" s="131" t="s">
        <v>135</v>
      </c>
      <c r="O25" s="132"/>
      <c r="P25" s="258" t="s">
        <v>136</v>
      </c>
      <c r="Q25" s="259"/>
      <c r="R25" s="259"/>
      <c r="S25" s="259"/>
      <c r="T25" s="259"/>
      <c r="U25" s="259"/>
      <c r="V25" s="259"/>
      <c r="W25" s="259"/>
      <c r="X25" s="259"/>
      <c r="Y25" s="259"/>
      <c r="Z25" s="259"/>
    </row>
    <row r="26" spans="1:26" ht="17" customHeight="1">
      <c r="A26" s="55"/>
      <c r="B26" s="115"/>
      <c r="C26" s="51" t="s">
        <v>166</v>
      </c>
      <c r="D26" s="55"/>
      <c r="E26" s="55"/>
      <c r="N26" s="133" t="s">
        <v>89</v>
      </c>
      <c r="O26" s="133"/>
      <c r="P26" s="172">
        <v>2015</v>
      </c>
      <c r="Q26" s="172">
        <v>2020</v>
      </c>
      <c r="R26" s="187">
        <v>2030</v>
      </c>
      <c r="S26" s="172">
        <v>2040</v>
      </c>
      <c r="T26" s="172">
        <v>2050</v>
      </c>
      <c r="U26" s="134">
        <v>2020</v>
      </c>
      <c r="V26" s="134">
        <v>2020</v>
      </c>
      <c r="W26" s="134">
        <v>2050</v>
      </c>
      <c r="X26" s="134">
        <v>2050</v>
      </c>
      <c r="Y26" s="173" t="s">
        <v>90</v>
      </c>
      <c r="Z26" s="173" t="s">
        <v>91</v>
      </c>
    </row>
    <row r="27" spans="1:26" ht="17" customHeight="1" thickBot="1">
      <c r="A27" s="55"/>
      <c r="B27" s="115"/>
      <c r="D27" s="55"/>
      <c r="E27" s="55"/>
      <c r="F27" s="55"/>
      <c r="N27" s="135" t="s">
        <v>92</v>
      </c>
      <c r="O27" s="136"/>
      <c r="P27" s="174" t="s">
        <v>93</v>
      </c>
      <c r="Q27" s="174" t="s">
        <v>93</v>
      </c>
      <c r="R27" s="174" t="s">
        <v>93</v>
      </c>
      <c r="S27" s="174" t="s">
        <v>93</v>
      </c>
      <c r="T27" s="174" t="s">
        <v>93</v>
      </c>
      <c r="U27" s="137" t="s">
        <v>94</v>
      </c>
      <c r="V27" s="137" t="s">
        <v>95</v>
      </c>
      <c r="W27" s="137" t="s">
        <v>94</v>
      </c>
      <c r="X27" s="137" t="s">
        <v>95</v>
      </c>
      <c r="Y27" s="175" t="s">
        <v>2</v>
      </c>
      <c r="Z27" s="175" t="s">
        <v>2</v>
      </c>
    </row>
    <row r="28" spans="1:26" ht="17" customHeight="1">
      <c r="A28" s="55"/>
      <c r="B28" s="115"/>
      <c r="C28" s="51" t="s">
        <v>165</v>
      </c>
      <c r="G28" s="55"/>
      <c r="N28" s="176" t="s">
        <v>137</v>
      </c>
      <c r="O28" s="177" t="s">
        <v>138</v>
      </c>
      <c r="P28" s="178"/>
      <c r="Q28" s="178"/>
      <c r="R28" s="188"/>
      <c r="S28" s="178"/>
      <c r="T28" s="178"/>
      <c r="U28" s="178"/>
      <c r="V28" s="178"/>
      <c r="W28" s="178"/>
      <c r="X28" s="178"/>
      <c r="Y28" s="179"/>
      <c r="Z28" s="179"/>
    </row>
    <row r="29" spans="1:26" ht="17" customHeight="1">
      <c r="A29" s="55"/>
      <c r="B29" s="115"/>
      <c r="C29" s="55" t="s">
        <v>82</v>
      </c>
      <c r="D29" s="51" t="s">
        <v>169</v>
      </c>
      <c r="E29" s="51" t="s">
        <v>170</v>
      </c>
      <c r="N29" s="140" t="s">
        <v>96</v>
      </c>
      <c r="O29" s="140"/>
      <c r="P29" s="178"/>
      <c r="Q29" s="178"/>
      <c r="R29" s="188"/>
      <c r="S29" s="178"/>
      <c r="T29" s="178"/>
      <c r="U29" s="178"/>
      <c r="V29" s="178"/>
      <c r="W29" s="178"/>
      <c r="X29" s="178"/>
      <c r="Y29" s="179"/>
      <c r="Z29" s="179"/>
    </row>
    <row r="30" spans="1:26" ht="17" customHeight="1">
      <c r="B30" s="115"/>
      <c r="C30" s="51" t="s">
        <v>167</v>
      </c>
      <c r="D30" s="51">
        <f>R35</f>
        <v>0.61</v>
      </c>
      <c r="E30" s="120">
        <f>D30</f>
        <v>0.61</v>
      </c>
      <c r="F30" s="120"/>
      <c r="G30" s="55"/>
      <c r="N30" s="140"/>
      <c r="O30" s="180" t="s">
        <v>139</v>
      </c>
      <c r="P30" s="139">
        <v>100</v>
      </c>
      <c r="Q30" s="139">
        <v>100</v>
      </c>
      <c r="R30" s="138">
        <v>200</v>
      </c>
      <c r="S30" s="139">
        <v>250</v>
      </c>
      <c r="T30" s="139">
        <v>300</v>
      </c>
      <c r="U30" s="141">
        <v>0.5</v>
      </c>
      <c r="V30" s="141">
        <v>2</v>
      </c>
      <c r="W30" s="141">
        <v>0.5</v>
      </c>
      <c r="X30" s="141">
        <v>1.25</v>
      </c>
      <c r="Y30" s="179" t="s">
        <v>97</v>
      </c>
      <c r="Z30" s="179" t="s">
        <v>140</v>
      </c>
    </row>
    <row r="31" spans="1:26" ht="17" customHeight="1">
      <c r="A31" s="55"/>
      <c r="B31" s="115"/>
      <c r="C31" s="51" t="s">
        <v>168</v>
      </c>
      <c r="D31" s="51">
        <f>R36</f>
        <v>0.22</v>
      </c>
      <c r="E31" s="120">
        <v>0</v>
      </c>
      <c r="F31" s="120" t="s">
        <v>171</v>
      </c>
      <c r="G31" s="55"/>
      <c r="N31" s="140"/>
      <c r="O31" s="180" t="s">
        <v>98</v>
      </c>
      <c r="P31" s="139">
        <v>65</v>
      </c>
      <c r="Q31" s="139">
        <v>65</v>
      </c>
      <c r="R31" s="138">
        <v>130</v>
      </c>
      <c r="S31" s="139">
        <v>165</v>
      </c>
      <c r="T31" s="139">
        <v>195</v>
      </c>
      <c r="U31" s="141">
        <v>0.5</v>
      </c>
      <c r="V31" s="141">
        <v>2</v>
      </c>
      <c r="W31" s="141">
        <v>0.5</v>
      </c>
      <c r="X31" s="141">
        <v>1.25</v>
      </c>
      <c r="Y31" s="179" t="s">
        <v>99</v>
      </c>
      <c r="Z31" s="179" t="s">
        <v>140</v>
      </c>
    </row>
    <row r="32" spans="1:26" ht="17" customHeight="1">
      <c r="A32" s="55"/>
      <c r="B32" s="115"/>
      <c r="C32" s="51" t="s">
        <v>74</v>
      </c>
      <c r="D32" s="51">
        <f>R37</f>
        <v>0.02</v>
      </c>
      <c r="E32" s="120">
        <v>0</v>
      </c>
      <c r="F32" s="120" t="s">
        <v>172</v>
      </c>
      <c r="N32" s="140"/>
      <c r="O32" s="140" t="s">
        <v>83</v>
      </c>
      <c r="P32" s="139"/>
      <c r="Q32" s="139"/>
      <c r="R32" s="138"/>
      <c r="S32" s="139"/>
      <c r="T32" s="139"/>
      <c r="U32" s="139"/>
      <c r="V32" s="139"/>
      <c r="W32" s="139"/>
      <c r="X32" s="139"/>
      <c r="Y32" s="179"/>
      <c r="Z32" s="179"/>
    </row>
    <row r="33" spans="1:26" ht="17" customHeight="1">
      <c r="A33" s="55"/>
      <c r="B33" s="115"/>
      <c r="C33" s="51" t="s">
        <v>80</v>
      </c>
      <c r="D33" s="51">
        <f>1-SUM(D30:D32)</f>
        <v>0.15000000000000002</v>
      </c>
      <c r="E33" s="120">
        <f>SUM(D31:D33)</f>
        <v>0.39</v>
      </c>
      <c r="F33" s="120"/>
      <c r="G33" s="55"/>
      <c r="N33" s="140"/>
      <c r="O33" s="180" t="s">
        <v>141</v>
      </c>
      <c r="P33" s="139">
        <v>1</v>
      </c>
      <c r="Q33" s="139">
        <v>1</v>
      </c>
      <c r="R33" s="138">
        <v>1</v>
      </c>
      <c r="S33" s="139">
        <v>1</v>
      </c>
      <c r="T33" s="139">
        <v>1</v>
      </c>
      <c r="U33" s="142">
        <v>0.9</v>
      </c>
      <c r="V33" s="142">
        <v>1.5</v>
      </c>
      <c r="W33" s="142">
        <v>0.9</v>
      </c>
      <c r="X33" s="142">
        <v>1.2</v>
      </c>
      <c r="Y33" s="179"/>
      <c r="Z33" s="179">
        <v>1</v>
      </c>
    </row>
    <row r="34" spans="1:26" ht="17" customHeight="1">
      <c r="A34" s="55"/>
      <c r="B34" s="115"/>
      <c r="C34" s="55" t="s">
        <v>83</v>
      </c>
      <c r="E34" s="120"/>
      <c r="G34" s="55"/>
      <c r="N34" s="140"/>
      <c r="O34" s="140" t="s">
        <v>82</v>
      </c>
      <c r="P34" s="139"/>
      <c r="Q34" s="139"/>
      <c r="R34" s="138"/>
      <c r="S34" s="139"/>
      <c r="T34" s="139"/>
      <c r="U34" s="142"/>
      <c r="V34" s="142"/>
      <c r="W34" s="142"/>
      <c r="X34" s="142"/>
      <c r="Y34" s="179"/>
      <c r="Z34" s="179"/>
    </row>
    <row r="35" spans="1:26" ht="17" customHeight="1">
      <c r="A35" s="55"/>
      <c r="B35" s="115"/>
      <c r="C35" s="51" t="s">
        <v>81</v>
      </c>
      <c r="D35" s="51">
        <f>R33</f>
        <v>1</v>
      </c>
      <c r="E35" s="120">
        <f>D35</f>
        <v>1</v>
      </c>
      <c r="F35" s="127"/>
      <c r="G35" s="55"/>
      <c r="N35" s="140"/>
      <c r="O35" s="180" t="s">
        <v>142</v>
      </c>
      <c r="P35" s="139">
        <v>0.57999999999999996</v>
      </c>
      <c r="Q35" s="139">
        <v>0.57999999999999996</v>
      </c>
      <c r="R35" s="138">
        <v>0.61</v>
      </c>
      <c r="S35" s="139">
        <v>0.63</v>
      </c>
      <c r="T35" s="139">
        <v>0.65</v>
      </c>
      <c r="U35" s="142">
        <v>1</v>
      </c>
      <c r="V35" s="142">
        <v>1.33</v>
      </c>
      <c r="W35" s="142">
        <v>1</v>
      </c>
      <c r="X35" s="142">
        <v>1.33</v>
      </c>
      <c r="Y35" s="179" t="s">
        <v>100</v>
      </c>
      <c r="Z35" s="179">
        <v>1</v>
      </c>
    </row>
    <row r="36" spans="1:26" ht="17" customHeight="1">
      <c r="A36" s="55"/>
      <c r="B36" s="115"/>
      <c r="F36" s="127"/>
      <c r="G36" s="55"/>
      <c r="N36" s="140"/>
      <c r="O36" s="180" t="s">
        <v>143</v>
      </c>
      <c r="P36" s="139">
        <v>0.22</v>
      </c>
      <c r="Q36" s="139">
        <v>0.22</v>
      </c>
      <c r="R36" s="138">
        <v>0.22</v>
      </c>
      <c r="S36" s="139">
        <v>0.22</v>
      </c>
      <c r="T36" s="139">
        <v>0.22</v>
      </c>
      <c r="U36" s="142">
        <v>0.8</v>
      </c>
      <c r="V36" s="142">
        <v>1.25</v>
      </c>
      <c r="W36" s="142">
        <v>0.8</v>
      </c>
      <c r="X36" s="142">
        <v>1.25</v>
      </c>
      <c r="Y36" s="179" t="s">
        <v>100</v>
      </c>
      <c r="Z36" s="179">
        <v>1</v>
      </c>
    </row>
    <row r="37" spans="1:26" ht="17" customHeight="1">
      <c r="A37" s="55"/>
      <c r="B37" s="115"/>
      <c r="E37" s="120"/>
      <c r="G37" s="55"/>
      <c r="N37" s="140"/>
      <c r="O37" s="180" t="s">
        <v>101</v>
      </c>
      <c r="P37" s="139">
        <v>0.02</v>
      </c>
      <c r="Q37" s="139">
        <v>0.02</v>
      </c>
      <c r="R37" s="138">
        <v>0.02</v>
      </c>
      <c r="S37" s="139">
        <v>0.02</v>
      </c>
      <c r="T37" s="139">
        <v>0.02</v>
      </c>
      <c r="U37" s="142">
        <v>0.8</v>
      </c>
      <c r="V37" s="142">
        <v>1.25</v>
      </c>
      <c r="W37" s="142">
        <v>0.8</v>
      </c>
      <c r="X37" s="142">
        <v>1.25</v>
      </c>
      <c r="Y37" s="179" t="s">
        <v>100</v>
      </c>
      <c r="Z37" s="179">
        <v>1</v>
      </c>
    </row>
    <row r="38" spans="1:26" ht="17" customHeight="1">
      <c r="A38" s="55"/>
      <c r="B38" s="115"/>
      <c r="C38" s="55" t="s">
        <v>115</v>
      </c>
      <c r="G38" s="55"/>
      <c r="N38" s="140"/>
      <c r="O38" s="180" t="s">
        <v>102</v>
      </c>
      <c r="P38" s="139">
        <v>4</v>
      </c>
      <c r="Q38" s="139">
        <v>4</v>
      </c>
      <c r="R38" s="138">
        <v>0</v>
      </c>
      <c r="S38" s="139">
        <v>0</v>
      </c>
      <c r="T38" s="139">
        <v>0</v>
      </c>
      <c r="U38" s="139"/>
      <c r="V38" s="142"/>
      <c r="W38" s="142"/>
      <c r="X38" s="142"/>
      <c r="Y38" s="179"/>
      <c r="Z38" s="179"/>
    </row>
    <row r="39" spans="1:26" ht="17" customHeight="1">
      <c r="A39" s="55"/>
      <c r="B39" s="115"/>
      <c r="C39" s="51" t="s">
        <v>117</v>
      </c>
      <c r="N39" s="140"/>
      <c r="O39" s="180" t="s">
        <v>103</v>
      </c>
      <c r="P39" s="139">
        <v>2</v>
      </c>
      <c r="Q39" s="139">
        <v>2</v>
      </c>
      <c r="R39" s="138">
        <v>2</v>
      </c>
      <c r="S39" s="139">
        <v>2</v>
      </c>
      <c r="T39" s="139">
        <v>2</v>
      </c>
      <c r="U39" s="142"/>
      <c r="V39" s="142"/>
      <c r="W39" s="142"/>
      <c r="X39" s="142"/>
      <c r="Y39" s="179"/>
      <c r="Z39" s="179"/>
    </row>
    <row r="40" spans="1:26" ht="17" customHeight="1">
      <c r="A40" s="55"/>
      <c r="B40" s="115"/>
      <c r="C40" s="51" t="s">
        <v>114</v>
      </c>
      <c r="D40" s="51">
        <f>R30*10^3</f>
        <v>200000</v>
      </c>
      <c r="E40" s="51" t="s">
        <v>173</v>
      </c>
      <c r="N40" s="140"/>
      <c r="O40" s="180" t="s">
        <v>104</v>
      </c>
      <c r="P40" s="139">
        <v>25</v>
      </c>
      <c r="Q40" s="139">
        <v>20</v>
      </c>
      <c r="R40" s="138">
        <v>20</v>
      </c>
      <c r="S40" s="139">
        <v>20</v>
      </c>
      <c r="T40" s="139">
        <v>20</v>
      </c>
      <c r="U40" s="139"/>
      <c r="V40" s="139"/>
      <c r="W40" s="139"/>
      <c r="X40" s="139"/>
      <c r="Y40" s="179"/>
      <c r="Z40" s="179"/>
    </row>
    <row r="41" spans="1:26" ht="17" customHeight="1">
      <c r="A41" s="55"/>
      <c r="B41" s="115"/>
      <c r="C41" s="51" t="s">
        <v>128</v>
      </c>
      <c r="D41" s="51">
        <f>R31</f>
        <v>130</v>
      </c>
      <c r="E41" s="51" t="s">
        <v>77</v>
      </c>
      <c r="G41" s="55"/>
      <c r="N41" s="140"/>
      <c r="O41" s="180" t="s">
        <v>105</v>
      </c>
      <c r="P41" s="181" t="s">
        <v>144</v>
      </c>
      <c r="Q41" s="181" t="s">
        <v>144</v>
      </c>
      <c r="R41" s="189" t="s">
        <v>144</v>
      </c>
      <c r="S41" s="181" t="s">
        <v>144</v>
      </c>
      <c r="T41" s="181" t="s">
        <v>144</v>
      </c>
      <c r="U41" s="139"/>
      <c r="V41" s="139"/>
      <c r="W41" s="139"/>
      <c r="X41" s="139"/>
      <c r="Y41" s="179"/>
      <c r="Z41" s="179"/>
    </row>
    <row r="42" spans="1:26" ht="17" customHeight="1">
      <c r="A42" s="55"/>
      <c r="B42" s="115"/>
      <c r="C42" s="51" t="s">
        <v>75</v>
      </c>
      <c r="D42" s="51">
        <v>8000</v>
      </c>
      <c r="E42" s="51" t="s">
        <v>122</v>
      </c>
      <c r="G42" s="55"/>
      <c r="N42" s="140" t="s">
        <v>106</v>
      </c>
      <c r="O42" s="140"/>
      <c r="P42" s="139"/>
      <c r="Q42" s="139"/>
      <c r="R42" s="138"/>
      <c r="S42" s="139"/>
      <c r="T42" s="139"/>
      <c r="U42" s="139"/>
      <c r="V42" s="139"/>
      <c r="W42" s="139"/>
      <c r="X42" s="139"/>
      <c r="Y42" s="179"/>
      <c r="Z42" s="179"/>
    </row>
    <row r="43" spans="1:26" ht="17" customHeight="1">
      <c r="A43" s="55"/>
      <c r="B43" s="115"/>
      <c r="C43" s="51" t="s">
        <v>76</v>
      </c>
      <c r="D43" s="51">
        <f>R40</f>
        <v>20</v>
      </c>
      <c r="E43" s="51" t="s">
        <v>118</v>
      </c>
      <c r="G43" s="55"/>
      <c r="N43" s="140"/>
      <c r="O43" s="180" t="s">
        <v>145</v>
      </c>
      <c r="P43" s="145">
        <v>5.5913924050632913</v>
      </c>
      <c r="Q43" s="145">
        <v>5.5913924050632913</v>
      </c>
      <c r="R43" s="146">
        <v>3.1063291139240503</v>
      </c>
      <c r="S43" s="145">
        <v>2.2556969696969693</v>
      </c>
      <c r="T43" s="145">
        <v>1.5531645569620252</v>
      </c>
      <c r="U43" s="141">
        <v>0.5</v>
      </c>
      <c r="V43" s="141">
        <v>1.0633999999999999</v>
      </c>
      <c r="W43" s="141">
        <v>0.85071999999999992</v>
      </c>
      <c r="X43" s="141">
        <v>1.2</v>
      </c>
      <c r="Y43" s="179" t="s">
        <v>109</v>
      </c>
      <c r="Z43" s="179" t="s">
        <v>146</v>
      </c>
    </row>
    <row r="44" spans="1:26" ht="17" customHeight="1">
      <c r="A44" s="55"/>
      <c r="B44" s="115"/>
      <c r="C44" s="51" t="s">
        <v>116</v>
      </c>
      <c r="D44" s="191" t="str">
        <f>R41</f>
        <v>2.5</v>
      </c>
      <c r="E44" s="51" t="s">
        <v>118</v>
      </c>
      <c r="G44" s="55"/>
      <c r="N44" s="140"/>
      <c r="O44" s="180" t="s">
        <v>107</v>
      </c>
      <c r="P44" s="139" t="s">
        <v>147</v>
      </c>
      <c r="Q44" s="139">
        <v>75</v>
      </c>
      <c r="R44" s="138">
        <v>75</v>
      </c>
      <c r="S44" s="139">
        <v>75</v>
      </c>
      <c r="T44" s="139">
        <v>75</v>
      </c>
      <c r="U44" s="179"/>
      <c r="V44" s="179"/>
      <c r="W44" s="179"/>
      <c r="X44" s="179"/>
      <c r="Y44" s="179"/>
      <c r="Z44" s="179"/>
    </row>
    <row r="45" spans="1:26" ht="17" customHeight="1">
      <c r="A45" s="55"/>
      <c r="B45" s="115"/>
      <c r="C45" s="51" t="s">
        <v>174</v>
      </c>
      <c r="D45" s="120">
        <f>ROUND(1-R39/52,2)</f>
        <v>0.96</v>
      </c>
      <c r="G45" s="55"/>
      <c r="N45" s="140"/>
      <c r="O45" s="180" t="s">
        <v>108</v>
      </c>
      <c r="P45" s="139">
        <v>25</v>
      </c>
      <c r="Q45" s="139">
        <v>25</v>
      </c>
      <c r="R45" s="138">
        <v>25</v>
      </c>
      <c r="S45" s="139">
        <v>25</v>
      </c>
      <c r="T45" s="139">
        <v>25</v>
      </c>
      <c r="U45" s="179"/>
      <c r="V45" s="179"/>
      <c r="W45" s="179"/>
      <c r="X45" s="179"/>
      <c r="Y45" s="179"/>
      <c r="Z45" s="179"/>
    </row>
    <row r="46" spans="1:26" ht="17" customHeight="1">
      <c r="A46" s="55"/>
      <c r="B46" s="115"/>
      <c r="G46" s="55"/>
      <c r="N46" s="140"/>
      <c r="O46" s="180" t="s">
        <v>148</v>
      </c>
      <c r="P46" s="143">
        <v>6.2126582278480995E-2</v>
      </c>
      <c r="Q46" s="143">
        <v>6.2126582278480995E-2</v>
      </c>
      <c r="R46" s="144">
        <v>4.1417721518987344E-2</v>
      </c>
      <c r="S46" s="143">
        <v>4.0790180283851167E-2</v>
      </c>
      <c r="T46" s="143">
        <v>4.1417721518987337E-2</v>
      </c>
      <c r="U46" s="141">
        <v>0.9</v>
      </c>
      <c r="V46" s="141">
        <v>1.1000000000000001</v>
      </c>
      <c r="W46" s="141">
        <v>0.9</v>
      </c>
      <c r="X46" s="141">
        <v>1.1000000000000001</v>
      </c>
      <c r="Y46" s="179" t="s">
        <v>149</v>
      </c>
      <c r="Z46" s="179">
        <v>1</v>
      </c>
    </row>
    <row r="47" spans="1:26" ht="17" customHeight="1">
      <c r="A47" s="55"/>
      <c r="B47" s="115"/>
      <c r="C47" s="51" t="s">
        <v>72</v>
      </c>
      <c r="D47" s="155">
        <f>R52*$R$30*10^6</f>
        <v>403812425.31645566</v>
      </c>
      <c r="E47" s="51" t="s">
        <v>70</v>
      </c>
      <c r="G47" s="55"/>
      <c r="N47" s="140"/>
      <c r="O47" s="180" t="s">
        <v>150</v>
      </c>
      <c r="P47" s="182">
        <v>21.697940676365008</v>
      </c>
      <c r="Q47" s="182">
        <v>21.697940676365008</v>
      </c>
      <c r="R47" s="190">
        <v>14.465293784243334</v>
      </c>
      <c r="S47" s="182">
        <v>14.46529378424334</v>
      </c>
      <c r="T47" s="182">
        <v>14.465293784243338</v>
      </c>
      <c r="U47" s="141">
        <v>0.9</v>
      </c>
      <c r="V47" s="141">
        <v>1.1000000000000001</v>
      </c>
      <c r="W47" s="141">
        <v>0.9</v>
      </c>
      <c r="X47" s="141">
        <v>1.1000000000000001</v>
      </c>
      <c r="Y47" s="179" t="s">
        <v>151</v>
      </c>
      <c r="Z47" s="179">
        <v>1</v>
      </c>
    </row>
    <row r="48" spans="1:26" ht="17" customHeight="1">
      <c r="A48" s="55"/>
      <c r="B48" s="115"/>
      <c r="C48" s="51" t="s">
        <v>119</v>
      </c>
      <c r="D48" s="155">
        <f>R53*$R$30*10^6</f>
        <v>5384165.670886077</v>
      </c>
      <c r="E48" s="51" t="s">
        <v>121</v>
      </c>
      <c r="G48" s="55"/>
      <c r="N48" s="140"/>
      <c r="O48" s="180" t="s">
        <v>152</v>
      </c>
      <c r="P48" s="139">
        <v>0</v>
      </c>
      <c r="Q48" s="139">
        <v>0</v>
      </c>
      <c r="R48" s="138">
        <v>0</v>
      </c>
      <c r="S48" s="139">
        <v>0</v>
      </c>
      <c r="T48" s="139">
        <v>0</v>
      </c>
      <c r="U48" s="141">
        <v>0</v>
      </c>
      <c r="V48" s="141">
        <v>0</v>
      </c>
      <c r="W48" s="141">
        <v>0</v>
      </c>
      <c r="X48" s="141">
        <v>0</v>
      </c>
      <c r="Y48" s="179"/>
      <c r="Z48" s="179"/>
    </row>
    <row r="49" spans="1:26" ht="17" customHeight="1">
      <c r="A49" s="55"/>
      <c r="B49" s="115"/>
      <c r="C49" s="51" t="s">
        <v>120</v>
      </c>
      <c r="D49" s="155">
        <f>R54*$R$30*10^6</f>
        <v>16152497.012658227</v>
      </c>
      <c r="E49" s="51" t="s">
        <v>121</v>
      </c>
      <c r="G49" s="55"/>
      <c r="N49" s="140" t="s">
        <v>110</v>
      </c>
      <c r="O49" s="147"/>
      <c r="P49" s="139"/>
      <c r="Q49" s="139"/>
      <c r="R49" s="138"/>
      <c r="S49" s="139"/>
      <c r="T49" s="139"/>
      <c r="U49" s="141"/>
      <c r="V49" s="141"/>
      <c r="W49" s="141"/>
      <c r="X49" s="141"/>
      <c r="Y49" s="179"/>
      <c r="Z49" s="179"/>
    </row>
    <row r="50" spans="1:26" ht="17" customHeight="1">
      <c r="A50" s="55"/>
      <c r="B50" s="115"/>
      <c r="C50" s="51" t="s">
        <v>120</v>
      </c>
      <c r="D50" s="120">
        <f>D49/D42</f>
        <v>2019.0621265822783</v>
      </c>
      <c r="E50" s="51" t="s">
        <v>123</v>
      </c>
      <c r="G50" s="55"/>
      <c r="N50" s="140"/>
      <c r="O50" s="180" t="s">
        <v>153</v>
      </c>
      <c r="P50" s="139">
        <v>20.100000000000001</v>
      </c>
      <c r="Q50" s="139">
        <v>20.100000000000001</v>
      </c>
      <c r="R50" s="138">
        <v>20.100000000000001</v>
      </c>
      <c r="S50" s="139">
        <v>20.100000000000001</v>
      </c>
      <c r="T50" s="139">
        <v>20.100000000000001</v>
      </c>
      <c r="U50" s="141"/>
      <c r="V50" s="141"/>
      <c r="W50" s="141"/>
      <c r="X50" s="141"/>
      <c r="Y50" s="179"/>
      <c r="Z50" s="179"/>
    </row>
    <row r="51" spans="1:26" ht="17" customHeight="1">
      <c r="A51" s="55"/>
      <c r="B51" s="115"/>
      <c r="G51" s="55"/>
      <c r="N51" s="140"/>
      <c r="O51" s="180" t="s">
        <v>111</v>
      </c>
      <c r="P51" s="139">
        <v>0.79</v>
      </c>
      <c r="Q51" s="139">
        <v>0.79</v>
      </c>
      <c r="R51" s="138">
        <v>0.79</v>
      </c>
      <c r="S51" s="139">
        <v>0.79</v>
      </c>
      <c r="T51" s="139">
        <v>0.79</v>
      </c>
      <c r="U51" s="141"/>
      <c r="V51" s="141"/>
      <c r="W51" s="141"/>
      <c r="X51" s="141"/>
      <c r="Y51" s="179"/>
      <c r="Z51" s="179"/>
    </row>
    <row r="52" spans="1:26" ht="17" customHeight="1">
      <c r="A52" s="55"/>
      <c r="B52" s="115"/>
      <c r="C52" s="55" t="s">
        <v>132</v>
      </c>
      <c r="G52" s="55"/>
      <c r="N52" s="140"/>
      <c r="O52" s="180" t="s">
        <v>154</v>
      </c>
      <c r="P52" s="145">
        <v>3.6343118278481015</v>
      </c>
      <c r="Q52" s="145">
        <v>3.6343118278481015</v>
      </c>
      <c r="R52" s="146">
        <v>2.0190621265822783</v>
      </c>
      <c r="S52" s="145">
        <v>1.488721808</v>
      </c>
      <c r="T52" s="145">
        <v>1.0095310632911392</v>
      </c>
      <c r="U52" s="141">
        <v>0.5</v>
      </c>
      <c r="V52" s="141">
        <v>1</v>
      </c>
      <c r="W52" s="141">
        <v>0.8</v>
      </c>
      <c r="X52" s="141">
        <v>1.2</v>
      </c>
      <c r="Y52" s="179" t="s">
        <v>109</v>
      </c>
      <c r="Z52" s="179" t="s">
        <v>146</v>
      </c>
    </row>
    <row r="53" spans="1:26" ht="17" customHeight="1">
      <c r="A53" s="55"/>
      <c r="B53" s="115"/>
      <c r="C53" s="51" t="s">
        <v>178</v>
      </c>
      <c r="G53" s="55"/>
      <c r="N53" s="140"/>
      <c r="O53" s="180" t="s">
        <v>155</v>
      </c>
      <c r="P53" s="143">
        <v>4.0381242531645566E-2</v>
      </c>
      <c r="Q53" s="143">
        <v>4.0381242531645566E-2</v>
      </c>
      <c r="R53" s="144">
        <v>2.6920828354430382E-2</v>
      </c>
      <c r="S53" s="143">
        <v>2.6920828354430382E-2</v>
      </c>
      <c r="T53" s="143">
        <v>2.6920828354430382E-2</v>
      </c>
      <c r="U53" s="141">
        <v>0.9</v>
      </c>
      <c r="V53" s="141">
        <v>1.1000000000000001</v>
      </c>
      <c r="W53" s="141">
        <v>0.9</v>
      </c>
      <c r="X53" s="141">
        <v>1.1000000000000001</v>
      </c>
      <c r="Y53" s="179" t="s">
        <v>149</v>
      </c>
      <c r="Z53" s="179">
        <v>1</v>
      </c>
    </row>
    <row r="54" spans="1:26" ht="17" customHeight="1">
      <c r="A54" s="55"/>
      <c r="B54" s="115"/>
      <c r="G54" s="55"/>
      <c r="N54" s="140"/>
      <c r="O54" s="180" t="s">
        <v>156</v>
      </c>
      <c r="P54" s="143">
        <v>0.12114372759493672</v>
      </c>
      <c r="Q54" s="143">
        <v>0.12114372759493672</v>
      </c>
      <c r="R54" s="144">
        <v>8.0762485063291131E-2</v>
      </c>
      <c r="S54" s="143">
        <v>8.0762485063291131E-2</v>
      </c>
      <c r="T54" s="143">
        <v>8.0762485063291131E-2</v>
      </c>
      <c r="U54" s="141">
        <v>0.9</v>
      </c>
      <c r="V54" s="141">
        <v>1.1000000000000001</v>
      </c>
      <c r="W54" s="141">
        <v>0.9</v>
      </c>
      <c r="X54" s="141">
        <v>1.1000000000000001</v>
      </c>
      <c r="Y54" s="179" t="s">
        <v>151</v>
      </c>
      <c r="Z54" s="179">
        <v>1</v>
      </c>
    </row>
    <row r="55" spans="1:26" ht="17" customHeight="1" thickBot="1">
      <c r="A55" s="55"/>
      <c r="B55" s="115"/>
      <c r="C55" s="199" t="s">
        <v>179</v>
      </c>
      <c r="N55" s="148"/>
      <c r="O55" s="183" t="s">
        <v>152</v>
      </c>
      <c r="P55" s="149">
        <v>0</v>
      </c>
      <c r="Q55" s="149">
        <v>0</v>
      </c>
      <c r="R55" s="150">
        <v>0</v>
      </c>
      <c r="S55" s="149">
        <v>0</v>
      </c>
      <c r="T55" s="149">
        <v>0</v>
      </c>
      <c r="U55" s="149"/>
      <c r="V55" s="149"/>
      <c r="W55" s="149"/>
      <c r="X55" s="149"/>
      <c r="Y55" s="184"/>
      <c r="Z55" s="184"/>
    </row>
    <row r="56" spans="1:26" ht="17" customHeight="1">
      <c r="A56" s="55"/>
      <c r="B56" s="115"/>
      <c r="C56" s="51" t="s">
        <v>180</v>
      </c>
      <c r="N56" s="147"/>
      <c r="O56" s="147"/>
      <c r="P56" s="185"/>
      <c r="Q56" s="185"/>
      <c r="R56" s="185"/>
      <c r="S56" s="185"/>
      <c r="T56" s="185"/>
      <c r="U56" s="185"/>
      <c r="V56" s="185"/>
      <c r="W56" s="185"/>
      <c r="X56" s="185"/>
      <c r="Y56" s="186"/>
      <c r="Z56" s="186"/>
    </row>
    <row r="57" spans="1:26" ht="17" customHeight="1">
      <c r="A57" s="55"/>
      <c r="B57" s="115"/>
      <c r="C57" s="51" t="s">
        <v>181</v>
      </c>
      <c r="N57" s="152" t="s">
        <v>112</v>
      </c>
      <c r="O57" s="147"/>
      <c r="P57" s="147"/>
      <c r="Q57" s="147"/>
      <c r="R57" s="147"/>
      <c r="S57" s="147"/>
      <c r="T57" s="147"/>
      <c r="U57" s="147"/>
      <c r="V57" s="147"/>
      <c r="W57" s="147"/>
      <c r="X57" s="147"/>
      <c r="Y57" s="147"/>
      <c r="Z57" s="147"/>
    </row>
    <row r="58" spans="1:26" ht="17" customHeight="1">
      <c r="A58" s="55"/>
      <c r="B58" s="115"/>
      <c r="N58" s="151"/>
      <c r="O58" s="153" t="s">
        <v>157</v>
      </c>
      <c r="P58" s="147"/>
      <c r="Q58" s="147"/>
      <c r="R58" s="147"/>
      <c r="S58" s="147"/>
      <c r="T58" s="147"/>
      <c r="U58" s="147"/>
      <c r="V58" s="147"/>
      <c r="W58" s="147"/>
      <c r="X58" s="147"/>
      <c r="Y58" s="147"/>
      <c r="Z58" s="147"/>
    </row>
    <row r="59" spans="1:26" ht="17" customHeight="1">
      <c r="A59" s="55"/>
      <c r="B59" s="115"/>
      <c r="C59" s="51" t="s">
        <v>182</v>
      </c>
      <c r="D59" s="120">
        <v>481.66345279431198</v>
      </c>
      <c r="E59" s="51" t="s">
        <v>77</v>
      </c>
      <c r="F59" s="51" t="s">
        <v>183</v>
      </c>
      <c r="N59" s="151"/>
      <c r="O59" s="153" t="s">
        <v>158</v>
      </c>
      <c r="P59" s="147"/>
      <c r="Q59" s="147"/>
      <c r="R59" s="147"/>
      <c r="S59" s="147"/>
      <c r="T59" s="147"/>
      <c r="U59" s="147"/>
      <c r="V59" s="147"/>
      <c r="W59" s="147"/>
      <c r="X59" s="147"/>
      <c r="Y59" s="147"/>
      <c r="Z59" s="147"/>
    </row>
    <row r="60" spans="1:26" ht="17" customHeight="1">
      <c r="A60" s="55"/>
      <c r="B60" s="115"/>
      <c r="C60" s="51" t="s">
        <v>133</v>
      </c>
      <c r="D60" s="51">
        <v>88119813.296903402</v>
      </c>
      <c r="E60" s="51" t="s">
        <v>70</v>
      </c>
      <c r="F60" s="51" t="s">
        <v>183</v>
      </c>
      <c r="N60" s="151"/>
      <c r="O60" s="153" t="s">
        <v>113</v>
      </c>
      <c r="P60" s="147"/>
      <c r="Q60" s="147"/>
      <c r="R60" s="147"/>
      <c r="S60" s="147"/>
      <c r="T60" s="147"/>
      <c r="U60" s="147"/>
      <c r="V60" s="147"/>
      <c r="W60" s="147"/>
      <c r="X60" s="147"/>
      <c r="Y60" s="147"/>
      <c r="Z60" s="147"/>
    </row>
    <row r="61" spans="1:26" ht="17" customHeight="1">
      <c r="A61" s="55"/>
      <c r="B61" s="115"/>
      <c r="C61" s="51" t="s">
        <v>184</v>
      </c>
      <c r="D61" s="203">
        <f>D60/D59*$D$6</f>
        <v>38988246.467025392</v>
      </c>
      <c r="E61" s="51" t="s">
        <v>70</v>
      </c>
      <c r="F61" s="51" t="s">
        <v>185</v>
      </c>
      <c r="N61" s="151"/>
      <c r="O61" s="153" t="s">
        <v>159</v>
      </c>
      <c r="P61" s="147"/>
      <c r="Q61" s="147"/>
      <c r="R61" s="147"/>
      <c r="S61" s="147"/>
      <c r="T61" s="147"/>
      <c r="U61" s="147"/>
      <c r="V61" s="147"/>
      <c r="W61" s="147"/>
      <c r="X61" s="147"/>
      <c r="Y61" s="147"/>
      <c r="Z61" s="147"/>
    </row>
    <row r="62" spans="1:26" ht="17" customHeight="1">
      <c r="A62" s="55"/>
      <c r="B62" s="115"/>
      <c r="N62" s="151"/>
      <c r="O62" s="153" t="s">
        <v>160</v>
      </c>
      <c r="P62" s="147"/>
      <c r="Q62" s="147"/>
      <c r="R62" s="147"/>
      <c r="S62" s="147"/>
      <c r="T62" s="147"/>
      <c r="U62" s="147"/>
      <c r="V62" s="147"/>
      <c r="W62" s="147"/>
      <c r="X62" s="147"/>
      <c r="Y62" s="147"/>
      <c r="Z62" s="147"/>
    </row>
    <row r="63" spans="1:26" ht="17" customHeight="1">
      <c r="A63" s="55"/>
      <c r="B63" s="115"/>
      <c r="D63" s="122"/>
      <c r="G63" s="55"/>
      <c r="N63" s="151"/>
      <c r="O63" s="153" t="s">
        <v>161</v>
      </c>
      <c r="P63" s="147"/>
      <c r="Q63" s="147"/>
      <c r="R63" s="147"/>
      <c r="S63" s="147"/>
      <c r="T63" s="147"/>
      <c r="U63" s="147"/>
      <c r="V63" s="147"/>
      <c r="W63" s="147"/>
      <c r="X63" s="147"/>
      <c r="Y63" s="147"/>
      <c r="Z63" s="147"/>
    </row>
    <row r="64" spans="1:26" ht="17" customHeight="1">
      <c r="A64" s="55"/>
      <c r="B64" s="115"/>
      <c r="G64" s="55"/>
      <c r="N64" s="151"/>
      <c r="O64" s="153" t="s">
        <v>162</v>
      </c>
      <c r="P64" s="147"/>
      <c r="Q64" s="147"/>
      <c r="R64" s="147"/>
      <c r="S64" s="147"/>
      <c r="T64" s="147"/>
      <c r="U64" s="147"/>
      <c r="V64" s="147"/>
      <c r="W64" s="147"/>
      <c r="X64" s="147"/>
      <c r="Y64" s="147"/>
      <c r="Z64" s="147"/>
    </row>
    <row r="65" spans="1:25" ht="17" customHeight="1">
      <c r="A65" s="55"/>
      <c r="B65" s="115"/>
      <c r="G65" s="55"/>
    </row>
    <row r="66" spans="1:25" ht="17" customHeight="1">
      <c r="A66" s="55"/>
      <c r="B66" s="115"/>
      <c r="C66" s="199"/>
      <c r="G66" s="55"/>
    </row>
    <row r="67" spans="1:25" ht="17" customHeight="1">
      <c r="A67" s="55"/>
      <c r="B67" s="115"/>
      <c r="G67" s="55"/>
    </row>
    <row r="68" spans="1:25" ht="17" customHeight="1">
      <c r="A68" s="55"/>
      <c r="B68" s="115"/>
      <c r="C68" s="229" t="s">
        <v>192</v>
      </c>
      <c r="G68" s="55"/>
    </row>
    <row r="69" spans="1:25" ht="17" customHeight="1">
      <c r="A69" s="55"/>
      <c r="B69" s="115"/>
      <c r="G69" s="55"/>
      <c r="O69" s="167"/>
      <c r="P69" s="170"/>
      <c r="Q69" s="166"/>
      <c r="R69" s="169"/>
      <c r="S69" s="166"/>
      <c r="T69" s="166"/>
      <c r="U69" s="166"/>
      <c r="V69" s="166"/>
    </row>
    <row r="70" spans="1:25" ht="17" customHeight="1">
      <c r="A70" s="55"/>
      <c r="B70" s="115"/>
      <c r="G70" s="55"/>
      <c r="O70" s="167"/>
      <c r="P70" s="170"/>
      <c r="Q70" s="166"/>
      <c r="R70" s="169"/>
      <c r="S70" s="166"/>
      <c r="T70" s="166"/>
      <c r="U70" s="166"/>
      <c r="V70" s="166"/>
    </row>
    <row r="71" spans="1:25" ht="17" customHeight="1">
      <c r="A71" s="55"/>
      <c r="B71" s="115"/>
      <c r="F71" s="51" t="s">
        <v>193</v>
      </c>
      <c r="G71" s="55"/>
      <c r="W71" s="171"/>
      <c r="X71" s="171"/>
      <c r="Y71" s="171"/>
    </row>
    <row r="72" spans="1:25" ht="17" customHeight="1">
      <c r="A72" s="55"/>
      <c r="B72" s="115"/>
      <c r="C72" s="191" t="s">
        <v>216</v>
      </c>
      <c r="G72" s="55"/>
      <c r="J72" s="51" t="s">
        <v>167</v>
      </c>
      <c r="W72" s="162"/>
      <c r="X72" s="163"/>
      <c r="Y72" s="163"/>
    </row>
    <row r="73" spans="1:25">
      <c r="D73" s="122"/>
      <c r="W73" s="162"/>
      <c r="X73" s="163"/>
      <c r="Y73" s="163"/>
    </row>
    <row r="74" spans="1:25">
      <c r="F74" s="232" t="s">
        <v>213</v>
      </c>
      <c r="W74" s="161"/>
      <c r="X74" s="163"/>
      <c r="Y74" s="163"/>
    </row>
    <row r="75" spans="1:25">
      <c r="C75" s="199"/>
      <c r="F75" s="246" t="s">
        <v>214</v>
      </c>
      <c r="W75" s="164"/>
      <c r="X75" s="163"/>
      <c r="Y75" s="163"/>
    </row>
    <row r="76" spans="1:25">
      <c r="F76" s="246" t="s">
        <v>215</v>
      </c>
      <c r="W76" s="164"/>
      <c r="X76" s="163"/>
      <c r="Y76" s="163"/>
    </row>
    <row r="77" spans="1:25">
      <c r="D77" s="207"/>
      <c r="W77" s="161"/>
      <c r="X77" s="163"/>
      <c r="Y77" s="163"/>
    </row>
    <row r="78" spans="1:25">
      <c r="W78" s="165"/>
      <c r="X78" s="163"/>
      <c r="Y78" s="163"/>
    </row>
    <row r="79" spans="1:25">
      <c r="W79" s="165"/>
      <c r="X79" s="163"/>
      <c r="Y79" s="163"/>
    </row>
    <row r="80" spans="1:25">
      <c r="C80" s="230" t="s">
        <v>83</v>
      </c>
      <c r="D80" s="230" t="s">
        <v>218</v>
      </c>
      <c r="E80" s="230" t="s">
        <v>7</v>
      </c>
      <c r="F80" s="230" t="s">
        <v>194</v>
      </c>
      <c r="G80" s="230" t="s">
        <v>195</v>
      </c>
      <c r="H80" s="230" t="s">
        <v>7</v>
      </c>
      <c r="I80" s="231"/>
      <c r="J80" s="230" t="s">
        <v>82</v>
      </c>
      <c r="K80" s="230" t="s">
        <v>212</v>
      </c>
      <c r="W80" s="165"/>
      <c r="X80" s="163"/>
      <c r="Y80" s="163"/>
    </row>
    <row r="81" spans="3:25">
      <c r="C81" s="232" t="s">
        <v>196</v>
      </c>
      <c r="D81" s="233">
        <f>E35</f>
        <v>1</v>
      </c>
      <c r="E81" s="232" t="s">
        <v>197</v>
      </c>
      <c r="F81" s="232" t="s">
        <v>198</v>
      </c>
      <c r="G81" s="234">
        <f>D83</f>
        <v>0.1</v>
      </c>
      <c r="H81" s="232" t="s">
        <v>199</v>
      </c>
      <c r="J81" s="232" t="s">
        <v>200</v>
      </c>
      <c r="K81" s="235">
        <f>E30</f>
        <v>0.61</v>
      </c>
      <c r="W81" s="165"/>
      <c r="X81" s="163"/>
      <c r="Y81" s="163"/>
    </row>
    <row r="82" spans="3:25">
      <c r="C82" s="232" t="s">
        <v>201</v>
      </c>
      <c r="D82" s="236">
        <v>0.1</v>
      </c>
      <c r="E82" s="232" t="s">
        <v>202</v>
      </c>
      <c r="F82" s="237" t="s">
        <v>203</v>
      </c>
      <c r="G82" s="234">
        <f>SUM(K83)</f>
        <v>4.1967999999999998E-2</v>
      </c>
      <c r="H82" s="237" t="s">
        <v>199</v>
      </c>
      <c r="I82" s="232" t="s">
        <v>2</v>
      </c>
      <c r="J82" s="232" t="s">
        <v>201</v>
      </c>
      <c r="K82" s="236">
        <v>6.88E-2</v>
      </c>
      <c r="W82" s="165"/>
      <c r="X82" s="163"/>
      <c r="Y82" s="163"/>
    </row>
    <row r="83" spans="3:25">
      <c r="C83" s="232" t="s">
        <v>198</v>
      </c>
      <c r="D83" s="238">
        <f>D82*D81</f>
        <v>0.1</v>
      </c>
      <c r="E83" s="232" t="s">
        <v>199</v>
      </c>
      <c r="F83" s="232" t="s">
        <v>204</v>
      </c>
      <c r="G83" s="234">
        <f>G81-G82</f>
        <v>5.8032000000000007E-2</v>
      </c>
      <c r="H83" s="232" t="s">
        <v>199</v>
      </c>
      <c r="J83" s="232" t="s">
        <v>203</v>
      </c>
      <c r="K83" s="239">
        <f>K82*K81</f>
        <v>4.1967999999999998E-2</v>
      </c>
      <c r="W83" s="165"/>
      <c r="X83" s="163"/>
      <c r="Y83" s="163"/>
    </row>
    <row r="84" spans="3:25">
      <c r="C84" s="232"/>
      <c r="D84" s="232"/>
      <c r="E84" s="232"/>
      <c r="F84" s="232"/>
      <c r="G84" s="240"/>
      <c r="H84" s="232"/>
      <c r="J84" s="232"/>
      <c r="K84" s="232"/>
      <c r="W84" s="165"/>
      <c r="X84" s="163"/>
      <c r="Y84" s="163"/>
    </row>
    <row r="85" spans="3:25">
      <c r="C85" s="232" t="s">
        <v>205</v>
      </c>
      <c r="D85" s="232"/>
      <c r="E85" s="232"/>
      <c r="F85" s="232"/>
      <c r="G85" s="232"/>
      <c r="H85" s="232"/>
      <c r="J85" s="232"/>
      <c r="K85" s="232"/>
      <c r="W85" s="165"/>
      <c r="X85" s="163"/>
      <c r="Y85" s="163"/>
    </row>
    <row r="86" spans="3:25">
      <c r="C86" s="241"/>
      <c r="D86" s="232"/>
      <c r="E86" s="232"/>
      <c r="F86" s="232" t="s">
        <v>206</v>
      </c>
      <c r="G86" s="234">
        <f>G83*G90</f>
        <v>5.2228800000000006E-2</v>
      </c>
      <c r="H86" s="232" t="s">
        <v>199</v>
      </c>
      <c r="J86" s="232"/>
      <c r="K86" s="232"/>
      <c r="W86" s="161"/>
      <c r="X86" s="163"/>
      <c r="Y86" s="163"/>
    </row>
    <row r="87" spans="3:25">
      <c r="C87" s="232"/>
      <c r="D87" s="232"/>
      <c r="E87" s="232"/>
      <c r="F87" s="237" t="s">
        <v>207</v>
      </c>
      <c r="G87" s="242">
        <f>G83*(1-G90)</f>
        <v>5.8031999999999997E-3</v>
      </c>
      <c r="H87" s="237" t="s">
        <v>199</v>
      </c>
      <c r="J87" s="232"/>
      <c r="K87" s="232"/>
      <c r="W87" s="161"/>
      <c r="X87" s="163"/>
      <c r="Y87" s="163"/>
    </row>
    <row r="88" spans="3:25">
      <c r="C88" s="232"/>
      <c r="D88" s="232"/>
      <c r="E88" s="232"/>
      <c r="F88" s="232" t="s">
        <v>208</v>
      </c>
      <c r="G88" s="234">
        <f>G83</f>
        <v>5.8032000000000007E-2</v>
      </c>
      <c r="H88" s="232" t="s">
        <v>199</v>
      </c>
      <c r="J88" s="232"/>
      <c r="K88" s="232"/>
      <c r="W88" s="161"/>
      <c r="X88" s="163"/>
      <c r="Y88" s="163"/>
    </row>
    <row r="89" spans="3:25">
      <c r="C89" s="232"/>
      <c r="D89" s="232"/>
      <c r="E89" s="232"/>
      <c r="F89" s="232"/>
      <c r="G89" s="232"/>
      <c r="H89" s="232"/>
      <c r="J89" s="232"/>
      <c r="K89" s="232"/>
      <c r="W89" s="164"/>
      <c r="X89" s="163"/>
      <c r="Y89" s="163"/>
    </row>
    <row r="90" spans="3:25">
      <c r="C90" s="232"/>
      <c r="D90" s="232"/>
      <c r="E90" s="232"/>
      <c r="F90" s="232" t="s">
        <v>209</v>
      </c>
      <c r="G90" s="243">
        <v>0.9</v>
      </c>
      <c r="H90" s="232" t="s">
        <v>134</v>
      </c>
      <c r="J90" s="232"/>
      <c r="K90" s="232"/>
      <c r="W90" s="161"/>
      <c r="X90" s="163"/>
      <c r="Y90" s="163"/>
    </row>
    <row r="91" spans="3:25">
      <c r="C91" s="232"/>
      <c r="D91" s="232"/>
      <c r="E91" s="232"/>
      <c r="F91" s="232"/>
      <c r="G91" s="232"/>
      <c r="H91" s="232"/>
      <c r="I91" s="232"/>
      <c r="J91" s="232"/>
      <c r="K91" s="232"/>
      <c r="W91" s="161"/>
      <c r="X91" s="163"/>
      <c r="Y91" s="163"/>
    </row>
    <row r="92" spans="3:25">
      <c r="F92" s="244"/>
      <c r="G92" s="244"/>
      <c r="H92" s="244"/>
      <c r="I92" s="244"/>
      <c r="J92" s="244"/>
      <c r="K92" s="244"/>
      <c r="W92" s="164"/>
      <c r="X92" s="163"/>
      <c r="Y92" s="163"/>
    </row>
    <row r="93" spans="3:25">
      <c r="F93" s="244"/>
      <c r="G93" s="244"/>
      <c r="H93" s="244"/>
      <c r="I93" s="244"/>
      <c r="J93" s="244"/>
      <c r="K93" s="244"/>
      <c r="W93" s="164"/>
      <c r="X93" s="163"/>
      <c r="Y93" s="163"/>
    </row>
    <row r="94" spans="3:25">
      <c r="F94" s="244"/>
      <c r="G94" s="244"/>
      <c r="H94" s="244"/>
      <c r="I94" s="244"/>
      <c r="J94" s="244"/>
      <c r="K94" s="244"/>
      <c r="W94" s="161"/>
      <c r="X94" s="163"/>
      <c r="Y94" s="163"/>
    </row>
    <row r="95" spans="3:25">
      <c r="D95" s="244"/>
      <c r="E95" s="244"/>
      <c r="F95" s="244"/>
      <c r="G95" s="244"/>
      <c r="H95" s="244"/>
      <c r="I95" s="244"/>
      <c r="J95" s="244"/>
      <c r="K95" s="244"/>
      <c r="W95" s="165"/>
      <c r="X95" s="163"/>
      <c r="Y95" s="163"/>
    </row>
    <row r="96" spans="3:25">
      <c r="C96" s="244" t="s">
        <v>19</v>
      </c>
      <c r="D96" s="245">
        <f>ROUND(G86/D83,6)</f>
        <v>0.52228799999999997</v>
      </c>
      <c r="E96" s="244" t="s">
        <v>2</v>
      </c>
      <c r="F96" s="244" t="s">
        <v>210</v>
      </c>
      <c r="G96" s="244"/>
      <c r="H96" s="244"/>
      <c r="I96" s="244"/>
      <c r="J96" s="244"/>
      <c r="K96" s="244"/>
      <c r="W96" s="165"/>
      <c r="X96" s="163"/>
      <c r="Y96" s="163"/>
    </row>
    <row r="97" spans="3:25">
      <c r="C97" s="244" t="s">
        <v>187</v>
      </c>
      <c r="D97" s="203">
        <v>0.9</v>
      </c>
      <c r="E97" s="51" t="s">
        <v>2</v>
      </c>
      <c r="F97" s="260" t="s">
        <v>220</v>
      </c>
      <c r="G97" s="244"/>
      <c r="H97" s="244"/>
      <c r="I97" s="244"/>
      <c r="J97" s="244"/>
      <c r="K97" s="244"/>
      <c r="W97" s="165"/>
      <c r="X97" s="163"/>
      <c r="Y97" s="163"/>
    </row>
    <row r="98" spans="3:25">
      <c r="C98" s="247" t="s">
        <v>217</v>
      </c>
      <c r="D98" s="245">
        <f>ROUND(G88,6)</f>
        <v>5.8032E-2</v>
      </c>
      <c r="E98" s="244" t="s">
        <v>202</v>
      </c>
      <c r="F98" s="51" t="s">
        <v>211</v>
      </c>
      <c r="W98" s="164"/>
      <c r="X98" s="163"/>
      <c r="Y98" s="163"/>
    </row>
    <row r="99" spans="3:25">
      <c r="W99" s="161"/>
      <c r="X99" s="163"/>
      <c r="Y99" s="163"/>
    </row>
    <row r="100" spans="3:25">
      <c r="W100" s="161"/>
      <c r="X100" s="163"/>
      <c r="Y100" s="163"/>
    </row>
    <row r="101" spans="3:25">
      <c r="W101" s="164"/>
      <c r="X101" s="163"/>
      <c r="Y101" s="163"/>
    </row>
    <row r="102" spans="3:25">
      <c r="W102" s="164"/>
      <c r="X102" s="163"/>
      <c r="Y102" s="163"/>
    </row>
    <row r="103" spans="3:25">
      <c r="W103" s="161"/>
      <c r="X103" s="163"/>
      <c r="Y103" s="163"/>
    </row>
    <row r="104" spans="3:25">
      <c r="W104" s="167"/>
      <c r="X104" s="168"/>
      <c r="Y104" s="168"/>
    </row>
    <row r="105" spans="3:25">
      <c r="W105" s="166"/>
      <c r="X105" s="166"/>
      <c r="Y105" s="166"/>
    </row>
    <row r="106" spans="3:25">
      <c r="W106" s="166"/>
      <c r="X106" s="166"/>
      <c r="Y106" s="166"/>
    </row>
    <row r="107" spans="3:25">
      <c r="W107" s="166"/>
      <c r="X107" s="166"/>
      <c r="Y107" s="166"/>
    </row>
    <row r="108" spans="3:25">
      <c r="W108" s="166"/>
      <c r="X108" s="166"/>
      <c r="Y108" s="166"/>
    </row>
    <row r="109" spans="3:25">
      <c r="M109" s="167"/>
      <c r="N109" s="170"/>
      <c r="O109" s="166"/>
      <c r="P109" s="169"/>
      <c r="Q109" s="166"/>
      <c r="R109" s="166"/>
      <c r="S109" s="166"/>
      <c r="T109" s="166"/>
      <c r="U109" s="166"/>
      <c r="V109" s="166"/>
      <c r="W109" s="166"/>
      <c r="X109" s="166"/>
      <c r="Y109" s="166"/>
    </row>
    <row r="110" spans="3:25">
      <c r="M110" s="167"/>
      <c r="N110" s="170"/>
      <c r="O110" s="166"/>
      <c r="P110" s="169"/>
      <c r="Q110" s="166"/>
      <c r="R110" s="166"/>
      <c r="S110" s="166"/>
      <c r="T110" s="166"/>
      <c r="U110" s="166"/>
      <c r="V110" s="166"/>
      <c r="W110" s="166"/>
      <c r="X110" s="166"/>
      <c r="Y110" s="166"/>
    </row>
    <row r="111" spans="3:25">
      <c r="M111" s="167"/>
      <c r="N111" s="170"/>
      <c r="O111" s="166"/>
      <c r="P111" s="169"/>
      <c r="Q111" s="166"/>
      <c r="R111" s="166"/>
      <c r="S111" s="166"/>
      <c r="T111" s="166"/>
      <c r="U111" s="166"/>
      <c r="V111" s="166"/>
      <c r="W111" s="166"/>
      <c r="X111" s="166"/>
      <c r="Y111" s="166"/>
    </row>
    <row r="112" spans="3:25">
      <c r="U112" s="166"/>
      <c r="V112" s="166"/>
      <c r="W112" s="166"/>
      <c r="X112" s="166"/>
      <c r="Y112" s="166"/>
    </row>
    <row r="113" spans="21:25">
      <c r="U113" s="166"/>
      <c r="V113" s="166"/>
      <c r="W113" s="166"/>
      <c r="X113" s="166"/>
      <c r="Y113" s="166"/>
    </row>
  </sheetData>
  <mergeCells count="1">
    <mergeCell ref="P25:Z25"/>
  </mergeCells>
  <hyperlinks>
    <hyperlink ref="P25" location="INDEX" display="Bio Methanol" xr:uid="{829EE0E6-A9C9-8B46-A924-8108B67B4324}"/>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2026-05-21T09:27:33Z</dcterms:modified>
</cp:coreProperties>
</file>