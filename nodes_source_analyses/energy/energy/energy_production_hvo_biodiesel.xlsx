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28"/>
  <workbookPr showInkAnnotation="0" codeName="ThisWorkbook" autoCompressPictures="0"/>
  <mc:AlternateContent xmlns:mc="http://schemas.openxmlformats.org/markup-compatibility/2006">
    <mc:Choice Requires="x15">
      <x15ac:absPath xmlns:x15ac="http://schemas.microsoft.com/office/spreadsheetml/2010/11/ac" url="/Users/kyradehaan/github/etdataset/nodes_source_analyses/energy/energy/"/>
    </mc:Choice>
  </mc:AlternateContent>
  <xr:revisionPtr revIDLastSave="0" documentId="13_ncr:1_{15BB10E1-D947-1344-BFBC-E8A35AEE24FE}" xr6:coauthVersionLast="47" xr6:coauthVersionMax="47" xr10:uidLastSave="{00000000-0000-0000-0000-000000000000}"/>
  <bookViews>
    <workbookView xWindow="-5740" yWindow="-21600" windowWidth="38400" windowHeight="21600" tabRatio="762" activeTab="1" xr2:uid="{00000000-000D-0000-FFFF-FFFF00000000}"/>
  </bookViews>
  <sheets>
    <sheet name="Cover sheet" sheetId="14" r:id="rId1"/>
    <sheet name="Dashboard" sheetId="12" r:id="rId2"/>
    <sheet name="Research data" sheetId="13" r:id="rId3"/>
    <sheet name="Sources" sheetId="15" r:id="rId4"/>
    <sheet name="Notes" sheetId="20" r:id="rId5"/>
  </sheets>
  <definedNames>
    <definedName name="exchange_rate_2011_2010">#REF!</definedName>
    <definedName name="Final_demand_residences">#REF!</definedName>
    <definedName name="hours_a_year">#REF!</definedName>
    <definedName name="km2_to_m2">#REF!</definedName>
    <definedName name="kW_to_MW">#REF!</definedName>
    <definedName name="kW_to_W">#REF!</definedName>
    <definedName name="kWp_to_MWp">#REF!</definedName>
    <definedName name="m2_to_km2">#REF!</definedName>
    <definedName name="STC">#REF!</definedName>
    <definedName name="STC_insolation">#REF!</definedName>
    <definedName name="W_to_MW">#REF!</definedName>
    <definedName name="Wp_to_kWp">#REF!</definedName>
    <definedName name="WP_to_MWp">#REF!</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B27" i="20" l="1"/>
  <c r="C27" i="20" s="1"/>
  <c r="B28" i="20"/>
  <c r="B29" i="20"/>
  <c r="B26" i="20"/>
  <c r="C26" i="20" s="1"/>
  <c r="B24" i="20"/>
  <c r="B23" i="20"/>
  <c r="B22" i="20"/>
  <c r="B21" i="20"/>
  <c r="B25" i="20"/>
  <c r="C21" i="20"/>
  <c r="C22" i="20" s="1"/>
  <c r="E34" i="12"/>
  <c r="E24" i="13" l="1"/>
  <c r="E23" i="13"/>
  <c r="E27" i="12" s="1"/>
  <c r="E22" i="13"/>
  <c r="E26" i="12" s="1"/>
  <c r="E21" i="13"/>
  <c r="E25" i="12" s="1"/>
  <c r="E18" i="13"/>
  <c r="E22" i="12" s="1"/>
  <c r="B45" i="20" l="1"/>
  <c r="B15" i="20" s="1"/>
  <c r="G19" i="13" s="1"/>
  <c r="E19" i="13" s="1"/>
  <c r="E23" i="12" s="1"/>
  <c r="B3" i="20"/>
  <c r="G13" i="13" s="1"/>
  <c r="E13" i="13" s="1"/>
  <c r="E17" i="12" s="1"/>
  <c r="B52" i="20"/>
  <c r="B16" i="20" s="1"/>
  <c r="G20" i="13" s="1"/>
  <c r="E20" i="13" s="1"/>
  <c r="E24" i="12" s="1"/>
  <c r="B51" i="20"/>
  <c r="B36" i="20"/>
  <c r="B37" i="20"/>
  <c r="B39" i="20" s="1"/>
  <c r="B44" i="20"/>
  <c r="B14" i="20" s="1"/>
  <c r="G17" i="13" s="1"/>
  <c r="E17" i="13" s="1"/>
  <c r="E21" i="12" s="1"/>
  <c r="B42" i="20"/>
  <c r="B6" i="20" s="1"/>
  <c r="G28" i="13" s="1"/>
  <c r="E28" i="13" s="1"/>
  <c r="E33" i="12" s="1"/>
  <c r="B41" i="20"/>
  <c r="B5" i="20" s="1"/>
  <c r="G27" i="13" s="1"/>
  <c r="E27" i="13" s="1"/>
  <c r="E32" i="12" s="1"/>
  <c r="B40" i="20"/>
  <c r="B4" i="20" s="1"/>
  <c r="G14" i="13" s="1"/>
  <c r="E14" i="13" s="1"/>
  <c r="E18" i="12" s="1"/>
  <c r="B9" i="20"/>
  <c r="G9" i="13" s="1"/>
  <c r="E9" i="13" s="1"/>
  <c r="E14" i="12" s="1"/>
  <c r="R22" i="20"/>
  <c r="Q22" i="20"/>
  <c r="P22" i="20"/>
  <c r="B30" i="20" s="1"/>
  <c r="B31" i="20" s="1"/>
  <c r="C31" i="20" s="1"/>
  <c r="C32" i="20" s="1"/>
  <c r="O22" i="20"/>
  <c r="N22" i="20"/>
  <c r="B32" i="20" l="1"/>
  <c r="B11" i="20"/>
  <c r="G11" i="13" s="1"/>
  <c r="E11" i="13" s="1"/>
  <c r="E16" i="12" s="1"/>
  <c r="B46" i="20"/>
  <c r="B47" i="20" s="1"/>
  <c r="C25" i="20" l="1"/>
  <c r="B8" i="20"/>
  <c r="G8" i="13" s="1"/>
  <c r="E8" i="13" s="1"/>
  <c r="E13" i="12" s="1"/>
  <c r="B2" i="20"/>
  <c r="G7" i="13" s="1"/>
  <c r="E7" i="13" s="1"/>
  <c r="E12" i="12" s="1"/>
  <c r="B10" i="20"/>
  <c r="G10" i="13" s="1"/>
  <c r="E10" i="13" s="1"/>
  <c r="E15" i="12" s="1"/>
  <c r="B12" i="20" l="1"/>
  <c r="G12" i="13" s="1"/>
  <c r="E12" i="13" s="1"/>
</calcChain>
</file>

<file path=xl/sharedStrings.xml><?xml version="1.0" encoding="utf-8"?>
<sst xmlns="http://schemas.openxmlformats.org/spreadsheetml/2006/main" count="307" uniqueCount="200">
  <si>
    <t>Source</t>
  </si>
  <si>
    <t>-</t>
  </si>
  <si>
    <t>Value</t>
  </si>
  <si>
    <t>Definition</t>
  </si>
  <si>
    <t>Unit</t>
  </si>
  <si>
    <t>Link</t>
  </si>
  <si>
    <t>Cover Sheet</t>
  </si>
  <si>
    <t>Document</t>
  </si>
  <si>
    <t>Country</t>
  </si>
  <si>
    <t>Organization</t>
  </si>
  <si>
    <t>Quintel Intelligence</t>
  </si>
  <si>
    <t>Definition on the sources</t>
  </si>
  <si>
    <t>Type</t>
  </si>
  <si>
    <t>Date published</t>
  </si>
  <si>
    <t>Date retrieved</t>
  </si>
  <si>
    <t>Attribute</t>
  </si>
  <si>
    <t>free_co2_factor</t>
  </si>
  <si>
    <t>Legend</t>
  </si>
  <si>
    <t>Cells</t>
  </si>
  <si>
    <t>Intermediate (calculation)</t>
  </si>
  <si>
    <t>Result</t>
  </si>
  <si>
    <t>Manual input</t>
  </si>
  <si>
    <t>Reference to manual input or data input</t>
  </si>
  <si>
    <t>Tabs</t>
  </si>
  <si>
    <t>Introductory</t>
  </si>
  <si>
    <t>Dashboard</t>
  </si>
  <si>
    <t>Research data</t>
  </si>
  <si>
    <t>Sources</t>
  </si>
  <si>
    <t>Results</t>
  </si>
  <si>
    <t>Main calculations</t>
  </si>
  <si>
    <t>Additional calculations</t>
  </si>
  <si>
    <t>Output to csv</t>
  </si>
  <si>
    <t>Author</t>
  </si>
  <si>
    <t>Technical</t>
  </si>
  <si>
    <t>Comments</t>
  </si>
  <si>
    <t>ETM Library URL</t>
  </si>
  <si>
    <t>Values</t>
  </si>
  <si>
    <t xml:space="preserve">This sheet summarizes all node attributes formatted in the way they are used by the Energy Transition Model. Use the Excel formulas to find the original data and sources for these numbers. You can also use this document to update the attribute value. Once you have finished updating, save this document and run rake import:node NODE="nodename" to update the node attributes on ETSource. 
</t>
  </si>
  <si>
    <t>output.biodiesel</t>
  </si>
  <si>
    <t>energy_production_hvo_biodiesel.ad</t>
  </si>
  <si>
    <t>Kyra de Haan</t>
  </si>
  <si>
    <t>Technology</t>
  </si>
  <si>
    <t>HVO / renwable diesel</t>
  </si>
  <si>
    <t>year</t>
  </si>
  <si>
    <t>Note</t>
  </si>
  <si>
    <t>Ref</t>
  </si>
  <si>
    <t>est</t>
  </si>
  <si>
    <t>ctrl</t>
  </si>
  <si>
    <t>Lower</t>
  </si>
  <si>
    <t>Upper</t>
  </si>
  <si>
    <t>cat</t>
  </si>
  <si>
    <t>par</t>
  </si>
  <si>
    <t>Energy/technical data</t>
  </si>
  <si>
    <t>Typical total plant size [1,000 t HVO/year]</t>
  </si>
  <si>
    <t>A, B</t>
  </si>
  <si>
    <t>Typical total plant size [MW HVO]</t>
  </si>
  <si>
    <t>A, A1, B</t>
  </si>
  <si>
    <t>Input</t>
  </si>
  <si>
    <t>Feedstock Consumption [MWh/MWh Total Inputs]</t>
  </si>
  <si>
    <t>C</t>
  </si>
  <si>
    <t>3,4,11</t>
  </si>
  <si>
    <t>Hydrogen Consumption [MWh/MWh Total Inputs]</t>
  </si>
  <si>
    <t>C, D</t>
  </si>
  <si>
    <t>Electricity Consumption [MWh/MWh Total Inputs]</t>
  </si>
  <si>
    <t>Natural Gas Consumption [MWh/MWh Total Inputs]</t>
  </si>
  <si>
    <t>Output</t>
  </si>
  <si>
    <t>HVO Output [MWh/MWh Total Input]</t>
  </si>
  <si>
    <t>C, H</t>
  </si>
  <si>
    <t>Naphta Output [MWh/MWh Total Input]</t>
  </si>
  <si>
    <t>Fuel Gas Output [MWh/MWh Total Input]</t>
  </si>
  <si>
    <t>LPG Output [MWh/MWh Total Input]</t>
  </si>
  <si>
    <t>District Heating Output [MWh/MWh Total input]</t>
  </si>
  <si>
    <t>Forced outage [%]</t>
  </si>
  <si>
    <t>I</t>
  </si>
  <si>
    <t>Planned outage [weeks per year]</t>
  </si>
  <si>
    <t>Technical lifetime [years]</t>
  </si>
  <si>
    <t>Construction time [years]</t>
  </si>
  <si>
    <t>Financial data</t>
  </si>
  <si>
    <t>Specific investment [M €/MW]</t>
  </si>
  <si>
    <t>E, J, L</t>
  </si>
  <si>
    <t>10, 12</t>
  </si>
  <si>
    <t xml:space="preserve"> - equipment [%]</t>
  </si>
  <si>
    <t xml:space="preserve"> - installation [%]</t>
  </si>
  <si>
    <t>Fixed O&amp;M [M €/MW/year]</t>
  </si>
  <si>
    <t>F, K, L</t>
  </si>
  <si>
    <t>Variable O&amp;M [€/MWh]</t>
  </si>
  <si>
    <t>start up [M €/MW]</t>
  </si>
  <si>
    <t>Technology-specific data</t>
  </si>
  <si>
    <t xml:space="preserve">Specific energy content [GJ/ton] </t>
  </si>
  <si>
    <t>Specific density  [kg/l] or [ton/m3]</t>
  </si>
  <si>
    <t>Specific investment [M €/1,000 t HVO]</t>
  </si>
  <si>
    <t>Fixed O&amp;M [M €/1,000 t HVO]</t>
  </si>
  <si>
    <t>Variable O&amp;M [M €/1,000 t HVO]</t>
  </si>
  <si>
    <t>start up [M €/1,000 t HVO]</t>
  </si>
  <si>
    <t>Notes:</t>
  </si>
  <si>
    <r>
      <t>A.</t>
    </r>
    <r>
      <rPr>
        <sz val="8"/>
        <color rgb="FF000000"/>
        <rFont val="Calibri"/>
        <family val="2"/>
      </rPr>
      <t xml:space="preserve">     The plant size is assumed based on the plants sizes of existing HVO plants. </t>
    </r>
  </si>
  <si>
    <t>A1. This value is the hourly rating and has been calculated as if the unit produces at capacity and was in operations 8,000 h/year.</t>
  </si>
  <si>
    <r>
      <t>B.</t>
    </r>
    <r>
      <rPr>
        <sz val="8"/>
        <color rgb="FF000000"/>
        <rFont val="Calibri"/>
        <family val="2"/>
      </rPr>
      <t xml:space="preserve">     The plant size uncertainty represents the current range in the market. </t>
    </r>
  </si>
  <si>
    <t>C.     Performance is typical based on public data and confidential data reviewed by [S&amp;T)2 Consultants Inc.</t>
  </si>
  <si>
    <r>
      <t>D.</t>
    </r>
    <r>
      <rPr>
        <sz val="8"/>
        <color rgb="FF000000"/>
        <rFont val="Calibri"/>
        <family val="2"/>
      </rPr>
      <t>     Hydrogen consumption is also a function of the feedstock to a small degree.</t>
    </r>
  </si>
  <si>
    <t xml:space="preserve">E.     The total capital cost include total installed cost (total direct costs) and all indirect costs such as engineering, construction, contractor’s fee, contingency and working capital. </t>
  </si>
  <si>
    <r>
      <t>F.</t>
    </r>
    <r>
      <rPr>
        <sz val="8"/>
        <color rgb="FF000000"/>
        <rFont val="Calibri"/>
        <family val="2"/>
      </rPr>
      <t>     O&amp;M costs, costs for main raw materials are not included.</t>
    </r>
  </si>
  <si>
    <r>
      <t>G.</t>
    </r>
    <r>
      <rPr>
        <sz val="8"/>
        <color rgb="FF000000"/>
        <rFont val="Calibri"/>
        <family val="2"/>
      </rPr>
      <t>    There is limited potential for process improvements.</t>
    </r>
  </si>
  <si>
    <r>
      <t>H.</t>
    </r>
    <r>
      <rPr>
        <sz val="8"/>
        <color rgb="FF000000"/>
        <rFont val="Calibri"/>
        <family val="2"/>
      </rPr>
      <t>     Total output excludes the heat loss.</t>
    </r>
  </si>
  <si>
    <r>
      <t>I.</t>
    </r>
    <r>
      <rPr>
        <sz val="8"/>
        <color rgb="FF000000"/>
        <rFont val="Calibri"/>
        <family val="2"/>
      </rPr>
      <t>      Best plants operate at greater than 95% of capacity.</t>
    </r>
  </si>
  <si>
    <r>
      <t>J.</t>
    </r>
    <r>
      <rPr>
        <sz val="8"/>
        <color rgb="FF000000"/>
        <rFont val="Calibri"/>
        <family val="2"/>
      </rPr>
      <t>     Range of capital cost is +/- 25% of mean.</t>
    </r>
  </si>
  <si>
    <r>
      <t>K.</t>
    </r>
    <r>
      <rPr>
        <sz val="8"/>
        <color rgb="FF000000"/>
        <rFont val="Calibri"/>
        <family val="2"/>
      </rPr>
      <t>     Operating cost uncertainty is +/- 10% of mean.</t>
    </r>
  </si>
  <si>
    <r>
      <t>L.</t>
    </r>
    <r>
      <rPr>
        <sz val="8"/>
        <color rgb="FF000000"/>
        <rFont val="Calibri"/>
        <family val="2"/>
      </rPr>
      <t>      M €/k tonne is million euro per 1,000 tonnes</t>
    </r>
  </si>
  <si>
    <t xml:space="preserve">Data from Danish Energy Agency HVO renewable diesel: </t>
  </si>
  <si>
    <t>Danish Energy Agency</t>
  </si>
  <si>
    <t>Data from Danish Energy Agency</t>
  </si>
  <si>
    <t>feedstock</t>
  </si>
  <si>
    <t>input.oily_biomass</t>
  </si>
  <si>
    <t>input.hydrogen</t>
  </si>
  <si>
    <t>output.bionaphtha</t>
  </si>
  <si>
    <t>output.loss</t>
  </si>
  <si>
    <t>total</t>
  </si>
  <si>
    <t>original</t>
  </si>
  <si>
    <t>corrected for 1 MJ input</t>
  </si>
  <si>
    <t>Quintel assumption: minimal electricity and natural gas consumption ignored</t>
  </si>
  <si>
    <t>Quintel assumption: fuel gas, LPG and district heating output assumed as loss</t>
  </si>
  <si>
    <t>Plant specs</t>
  </si>
  <si>
    <t>Plant size (output)</t>
  </si>
  <si>
    <t>MW</t>
  </si>
  <si>
    <t>full load hours</t>
  </si>
  <si>
    <t>h/yr</t>
  </si>
  <si>
    <t>availability</t>
  </si>
  <si>
    <t>technical lifetime</t>
  </si>
  <si>
    <t>construction time</t>
  </si>
  <si>
    <t>yr</t>
  </si>
  <si>
    <t>investment costs</t>
  </si>
  <si>
    <t>fixed O&amp;M</t>
  </si>
  <si>
    <t>variable O&amp;M</t>
  </si>
  <si>
    <t>€</t>
  </si>
  <si>
    <t>€/y</t>
  </si>
  <si>
    <t>production</t>
  </si>
  <si>
    <t>MWh/yr</t>
  </si>
  <si>
    <t>€/flh</t>
  </si>
  <si>
    <t>kg HVO/yr</t>
  </si>
  <si>
    <t>value seems high, should be validated</t>
  </si>
  <si>
    <t>validation variable O&amp;M</t>
  </si>
  <si>
    <t>variable costs</t>
  </si>
  <si>
    <t>Tables from DEA report, pg. 274:</t>
  </si>
  <si>
    <t>production per year</t>
  </si>
  <si>
    <t>l HVO / yr</t>
  </si>
  <si>
    <t>€ / l HVO</t>
  </si>
  <si>
    <t>a bit lower, this value will be used</t>
  </si>
  <si>
    <t>Overview</t>
  </si>
  <si>
    <t>typical input capacity</t>
  </si>
  <si>
    <t>HVO renewable diesel</t>
  </si>
  <si>
    <t>DK</t>
  </si>
  <si>
    <t xml:space="preserve">Renewable fuels: Technology descriptions and projections for long-term energy system planning </t>
  </si>
  <si>
    <t>https://refman.energytransitionmodel.com/publications/2218</t>
  </si>
  <si>
    <t>Data Sheets for energy carrier generation and conversion</t>
  </si>
  <si>
    <t>https://refman.energytransitionmodel.com/publications/2219</t>
  </si>
  <si>
    <t>Subject</t>
  </si>
  <si>
    <t>typical_input_capacity</t>
  </si>
  <si>
    <t>full_load_hours</t>
  </si>
  <si>
    <t>Cost</t>
  </si>
  <si>
    <t>initial_investment</t>
  </si>
  <si>
    <t>euro</t>
  </si>
  <si>
    <t>ccs_investment</t>
  </si>
  <si>
    <t>fixed_operation_and_maintenance_costs_per_year</t>
  </si>
  <si>
    <t>euro/yr</t>
  </si>
  <si>
    <r>
      <t>variable_operation_and_maintenance_costs_per_</t>
    </r>
    <r>
      <rPr>
        <sz val="12"/>
        <color theme="1"/>
        <rFont val="Calibri"/>
        <family val="2"/>
        <scheme val="minor"/>
      </rPr>
      <t>full_load_hour</t>
    </r>
  </si>
  <si>
    <t>euro/flh</t>
  </si>
  <si>
    <t>variable_operation_and_maintenance_costs_for_ccs_per_full_load_hour</t>
  </si>
  <si>
    <t>cost_of_installing</t>
  </si>
  <si>
    <r>
      <t>decommis</t>
    </r>
    <r>
      <rPr>
        <sz val="12"/>
        <color theme="1"/>
        <rFont val="Calibri"/>
        <family val="2"/>
        <scheme val="minor"/>
      </rPr>
      <t>s</t>
    </r>
    <r>
      <rPr>
        <sz val="12"/>
        <color theme="1"/>
        <rFont val="Calibri"/>
        <family val="2"/>
        <scheme val="minor"/>
      </rPr>
      <t>ioning_costs</t>
    </r>
  </si>
  <si>
    <t>takes_part_in_ets</t>
  </si>
  <si>
    <t>yes=1, no=0</t>
  </si>
  <si>
    <t>Other</t>
  </si>
  <si>
    <t>technical_lifetime</t>
  </si>
  <si>
    <t>years</t>
  </si>
  <si>
    <t>construction_time</t>
  </si>
  <si>
    <t>DEA</t>
  </si>
  <si>
    <t>hrs</t>
  </si>
  <si>
    <t>h</t>
  </si>
  <si>
    <t>Initial investment costs</t>
  </si>
  <si>
    <r>
      <t>Fixed operational and maintenance costs per year</t>
    </r>
    <r>
      <rPr>
        <sz val="12"/>
        <color theme="1"/>
        <rFont val="Calibri"/>
        <family val="2"/>
        <scheme val="minor"/>
      </rPr>
      <t xml:space="preserve"> (incl. ccs)</t>
    </r>
  </si>
  <si>
    <r>
      <t xml:space="preserve">Variable operation and maintenance costs per </t>
    </r>
    <r>
      <rPr>
        <sz val="12"/>
        <color theme="1"/>
        <rFont val="Calibri"/>
        <family val="2"/>
        <scheme val="minor"/>
      </rPr>
      <t>flh</t>
    </r>
  </si>
  <si>
    <t>Installation costs</t>
  </si>
  <si>
    <t>Decommissioning costs</t>
  </si>
  <si>
    <t>wacc</t>
  </si>
  <si>
    <t>%</t>
  </si>
  <si>
    <t>Weighted average cost of capita</t>
  </si>
  <si>
    <t>See https://docs.energytransitionmodel.com/main/cost-wacc/</t>
  </si>
  <si>
    <t>Technical lifetime of the plant</t>
  </si>
  <si>
    <t xml:space="preserve">Construction time of the plant </t>
  </si>
  <si>
    <t>input.electricity</t>
  </si>
  <si>
    <t>input natural gas</t>
  </si>
  <si>
    <t>Minimal heat consumption ignored, input share added to hydrogen input</t>
  </si>
  <si>
    <t>Minimal electricity consumption ignored, input share added to hydrogen input</t>
  </si>
  <si>
    <t>output fuel gas</t>
  </si>
  <si>
    <t>output LPG</t>
  </si>
  <si>
    <t>output district heating</t>
  </si>
  <si>
    <t>DEA report states that fuel gas can be used as fuel, but not modelled in ETM. Therefore, other fuel output proportionally increased</t>
  </si>
  <si>
    <t>Minor heat output ignored, considered loss</t>
  </si>
  <si>
    <t>Bio-LPG not modelled, therefore other fuel output proportionally increased</t>
  </si>
  <si>
    <t>Quintel assumption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</si>
</sst>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 #,##0.00_ ;_ * \-#,##0.00_ ;_ * &quot;-&quot;??_ ;_ @_ "/>
    <numFmt numFmtId="164" formatCode="0.0"/>
    <numFmt numFmtId="165" formatCode="0.000"/>
    <numFmt numFmtId="166" formatCode="0.0000"/>
    <numFmt numFmtId="167" formatCode="_ * #,##0_ ;_ * \-#,##0_ ;_ * &quot;-&quot;??_ ;_ @_ "/>
    <numFmt numFmtId="168" formatCode="[$-413]mmm\-yy;@"/>
  </numFmts>
  <fonts count="35">
    <font>
      <sz val="12"/>
      <color theme="1"/>
      <name val="Lettertype hoofdtekst"/>
      <family val="2"/>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u/>
      <sz val="12"/>
      <color theme="10"/>
      <name val="Lettertype hoofdtekst"/>
      <family val="2"/>
    </font>
    <font>
      <u/>
      <sz val="12"/>
      <color theme="11"/>
      <name val="Lettertype hoofdtekst"/>
      <family val="2"/>
    </font>
    <font>
      <b/>
      <sz val="12"/>
      <color theme="1"/>
      <name val="Calibri"/>
      <family val="2"/>
      <scheme val="minor"/>
    </font>
    <font>
      <sz val="12"/>
      <color rgb="FF000000"/>
      <name val="Calibri"/>
      <family val="2"/>
      <scheme val="minor"/>
    </font>
    <font>
      <b/>
      <sz val="12"/>
      <color rgb="FF000000"/>
      <name val="Calibri"/>
      <family val="2"/>
      <scheme val="minor"/>
    </font>
    <font>
      <b/>
      <sz val="11"/>
      <color rgb="FF000000"/>
      <name val="Calibri"/>
      <family val="2"/>
      <scheme val="minor"/>
    </font>
    <font>
      <b/>
      <sz val="16"/>
      <color rgb="FF1F497D"/>
      <name val="Calibri"/>
      <family val="2"/>
      <scheme val="minor"/>
    </font>
    <font>
      <sz val="12"/>
      <name val="Calibri"/>
      <family val="2"/>
      <scheme val="minor"/>
    </font>
    <font>
      <b/>
      <sz val="12"/>
      <name val="Calibri"/>
      <family val="2"/>
      <scheme val="minor"/>
    </font>
    <font>
      <i/>
      <sz val="12"/>
      <color theme="1"/>
      <name val="Calibri"/>
      <family val="2"/>
      <scheme val="minor"/>
    </font>
    <font>
      <sz val="12"/>
      <color rgb="FF000000"/>
      <name val="Calibri"/>
      <family val="2"/>
    </font>
    <font>
      <sz val="8"/>
      <name val="Lettertype hoofdtekst"/>
      <family val="2"/>
    </font>
    <font>
      <sz val="12"/>
      <name val="Calibri"/>
      <family val="2"/>
    </font>
    <font>
      <b/>
      <sz val="12"/>
      <name val="Calibri"/>
      <family val="2"/>
    </font>
    <font>
      <sz val="12"/>
      <color theme="1"/>
      <name val="Lettertype hoofdtekst"/>
      <family val="2"/>
    </font>
    <font>
      <b/>
      <sz val="8"/>
      <color rgb="FF969696"/>
      <name val="Calibri"/>
      <family val="2"/>
      <scheme val="minor"/>
    </font>
    <font>
      <sz val="8"/>
      <color rgb="FF969696"/>
      <name val="Calibri"/>
      <family val="2"/>
      <scheme val="minor"/>
    </font>
    <font>
      <b/>
      <sz val="8"/>
      <color theme="1"/>
      <name val="Calibri"/>
      <family val="2"/>
    </font>
    <font>
      <b/>
      <sz val="8"/>
      <color theme="1"/>
      <name val="Calibri"/>
      <family val="2"/>
      <scheme val="minor"/>
    </font>
    <font>
      <sz val="8"/>
      <color theme="1"/>
      <name val="Calibri"/>
      <family val="2"/>
      <scheme val="minor"/>
    </font>
    <font>
      <b/>
      <sz val="8"/>
      <name val="Calibri"/>
      <family val="2"/>
    </font>
    <font>
      <b/>
      <sz val="8"/>
      <name val="Calibri"/>
      <family val="2"/>
      <scheme val="minor"/>
    </font>
    <font>
      <sz val="8"/>
      <color theme="1"/>
      <name val="Calibri"/>
      <family val="2"/>
    </font>
    <font>
      <sz val="8"/>
      <color rgb="FF000000"/>
      <name val="Calibri"/>
      <family val="2"/>
    </font>
    <font>
      <u/>
      <sz val="12"/>
      <name val="Calibri"/>
      <family val="2"/>
      <scheme val="minor"/>
    </font>
    <font>
      <b/>
      <sz val="14"/>
      <color theme="1"/>
      <name val="Calibri"/>
      <family val="2"/>
      <scheme val="minor"/>
    </font>
  </fonts>
  <fills count="14">
    <fill>
      <patternFill patternType="none"/>
    </fill>
    <fill>
      <patternFill patternType="gray125"/>
    </fill>
    <fill>
      <patternFill patternType="solid">
        <fgColor theme="0"/>
        <bgColor indexed="64"/>
      </patternFill>
    </fill>
    <fill>
      <patternFill patternType="solid">
        <fgColor theme="0"/>
        <bgColor rgb="FF000000"/>
      </patternFill>
    </fill>
    <fill>
      <patternFill patternType="solid">
        <fgColor theme="2"/>
        <bgColor indexed="64"/>
      </patternFill>
    </fill>
    <fill>
      <patternFill patternType="solid">
        <fgColor rgb="FFFFFF00"/>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7" tint="0.39997558519241921"/>
        <bgColor indexed="64"/>
      </patternFill>
    </fill>
    <fill>
      <patternFill patternType="solid">
        <fgColor rgb="FFFFFFFF"/>
        <bgColor rgb="FF000000"/>
      </patternFill>
    </fill>
    <fill>
      <patternFill patternType="solid">
        <fgColor rgb="FFF2F2F2"/>
        <bgColor indexed="64"/>
      </patternFill>
    </fill>
  </fills>
  <borders count="23">
    <border>
      <left/>
      <right/>
      <top/>
      <bottom/>
      <diagonal/>
    </border>
    <border>
      <left style="thin">
        <color auto="1"/>
      </left>
      <right/>
      <top/>
      <bottom style="thin">
        <color auto="1"/>
      </bottom>
      <diagonal/>
    </border>
    <border>
      <left/>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bottom/>
      <diagonal/>
    </border>
    <border>
      <left style="medium">
        <color auto="1"/>
      </left>
      <right/>
      <top/>
      <bottom/>
      <diagonal/>
    </border>
    <border>
      <left style="thin">
        <color auto="1"/>
      </left>
      <right/>
      <top/>
      <bottom/>
      <diagonal/>
    </border>
    <border>
      <left/>
      <right style="thin">
        <color auto="1"/>
      </right>
      <top/>
      <bottom/>
      <diagonal/>
    </border>
    <border>
      <left/>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style="thin">
        <color auto="1"/>
      </top>
      <bottom/>
      <diagonal/>
    </border>
    <border>
      <left/>
      <right style="thin">
        <color auto="1"/>
      </right>
      <top/>
      <bottom style="thin">
        <color auto="1"/>
      </bottom>
      <diagonal/>
    </border>
    <border>
      <left/>
      <right style="medium">
        <color auto="1"/>
      </right>
      <top style="medium">
        <color auto="1"/>
      </top>
      <bottom/>
      <diagonal/>
    </border>
    <border>
      <left style="medium">
        <color auto="1"/>
      </left>
      <right/>
      <top/>
      <bottom style="thin">
        <color auto="1"/>
      </bottom>
      <diagonal/>
    </border>
    <border>
      <left style="thin">
        <color auto="1"/>
      </left>
      <right/>
      <top style="thin">
        <color auto="1"/>
      </top>
      <bottom/>
      <diagonal/>
    </border>
    <border>
      <left style="medium">
        <color auto="1"/>
      </left>
      <right style="medium">
        <color auto="1"/>
      </right>
      <top style="medium">
        <color auto="1"/>
      </top>
      <bottom style="medium">
        <color auto="1"/>
      </bottom>
      <diagonal/>
    </border>
    <border>
      <left/>
      <right style="medium">
        <color auto="1"/>
      </right>
      <top/>
      <bottom style="thin">
        <color auto="1"/>
      </bottom>
      <diagonal/>
    </border>
    <border>
      <left style="thin">
        <color indexed="64"/>
      </left>
      <right/>
      <top style="medium">
        <color auto="1"/>
      </top>
      <bottom/>
      <diagonal/>
    </border>
    <border>
      <left style="medium">
        <color auto="1"/>
      </left>
      <right style="medium">
        <color auto="1"/>
      </right>
      <top/>
      <bottom style="medium">
        <color auto="1"/>
      </bottom>
      <diagonal/>
    </border>
    <border>
      <left style="medium">
        <color auto="1"/>
      </left>
      <right style="medium">
        <color auto="1"/>
      </right>
      <top style="medium">
        <color auto="1"/>
      </top>
      <bottom/>
      <diagonal/>
    </border>
  </borders>
  <cellStyleXfs count="359">
    <xf numFmtId="0" fontId="0" fillId="0" borderId="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43" fontId="23" fillId="0" borderId="0" applyFont="0" applyFill="0" applyBorder="0" applyAlignment="0" applyProtection="0"/>
    <xf numFmtId="9" fontId="23" fillId="0" borderId="0" applyFont="0" applyFill="0" applyBorder="0" applyAlignment="0" applyProtection="0"/>
    <xf numFmtId="0" fontId="9" fillId="0" borderId="0" applyNumberFormat="0" applyFill="0" applyBorder="0" applyAlignment="0" applyProtection="0"/>
  </cellStyleXfs>
  <cellXfs count="171">
    <xf numFmtId="0" fontId="0" fillId="0" borderId="0" xfId="0"/>
    <xf numFmtId="0" fontId="12" fillId="3" borderId="7" xfId="0" applyFont="1" applyFill="1" applyBorder="1"/>
    <xf numFmtId="0" fontId="13" fillId="3" borderId="17" xfId="0" applyFont="1" applyFill="1" applyBorder="1"/>
    <xf numFmtId="0" fontId="12" fillId="3" borderId="13" xfId="0" applyFont="1" applyFill="1" applyBorder="1"/>
    <xf numFmtId="0" fontId="14" fillId="3" borderId="7" xfId="0" applyFont="1" applyFill="1" applyBorder="1" applyAlignment="1">
      <alignment vertical="center"/>
    </xf>
    <xf numFmtId="49" fontId="12" fillId="2" borderId="8" xfId="0" applyNumberFormat="1" applyFont="1" applyFill="1" applyBorder="1" applyAlignment="1">
      <alignment horizontal="left"/>
    </xf>
    <xf numFmtId="0" fontId="14" fillId="3" borderId="1" xfId="0" applyFont="1" applyFill="1" applyBorder="1" applyAlignment="1">
      <alignment vertical="center"/>
    </xf>
    <xf numFmtId="0" fontId="12" fillId="3" borderId="14" xfId="0" applyFont="1" applyFill="1" applyBorder="1"/>
    <xf numFmtId="0" fontId="12" fillId="3" borderId="0" xfId="0" applyFont="1" applyFill="1"/>
    <xf numFmtId="1" fontId="11" fillId="2" borderId="0" xfId="0" applyNumberFormat="1" applyFont="1" applyFill="1" applyAlignment="1">
      <alignment horizontal="right" vertical="center"/>
    </xf>
    <xf numFmtId="0" fontId="11" fillId="2" borderId="0" xfId="0" applyFont="1" applyFill="1"/>
    <xf numFmtId="0" fontId="11" fillId="2" borderId="5" xfId="0" applyFont="1" applyFill="1" applyBorder="1"/>
    <xf numFmtId="0" fontId="11" fillId="2" borderId="9" xfId="0" applyFont="1" applyFill="1" applyBorder="1"/>
    <xf numFmtId="0" fontId="11" fillId="0" borderId="9" xfId="0" applyFont="1" applyBorder="1"/>
    <xf numFmtId="0" fontId="13" fillId="0" borderId="9" xfId="0" applyFont="1" applyBorder="1"/>
    <xf numFmtId="49" fontId="11" fillId="2" borderId="0" xfId="0" applyNumberFormat="1" applyFont="1" applyFill="1"/>
    <xf numFmtId="49" fontId="11" fillId="2" borderId="9" xfId="0" applyNumberFormat="1" applyFont="1" applyFill="1" applyBorder="1"/>
    <xf numFmtId="0" fontId="11" fillId="2" borderId="4" xfId="0" applyFont="1" applyFill="1" applyBorder="1"/>
    <xf numFmtId="0" fontId="8" fillId="2" borderId="0" xfId="0" applyFont="1" applyFill="1"/>
    <xf numFmtId="0" fontId="12" fillId="0" borderId="0" xfId="0" applyFont="1"/>
    <xf numFmtId="0" fontId="11" fillId="0" borderId="16" xfId="0" applyFont="1" applyBorder="1"/>
    <xf numFmtId="0" fontId="11" fillId="2" borderId="6" xfId="0" applyFont="1" applyFill="1" applyBorder="1"/>
    <xf numFmtId="0" fontId="12" fillId="3" borderId="17" xfId="0" applyFont="1" applyFill="1" applyBorder="1"/>
    <xf numFmtId="0" fontId="12" fillId="3" borderId="2" xfId="0" applyFont="1" applyFill="1" applyBorder="1"/>
    <xf numFmtId="0" fontId="8" fillId="2" borderId="2" xfId="0" applyFont="1" applyFill="1" applyBorder="1"/>
    <xf numFmtId="0" fontId="15" fillId="3" borderId="0" xfId="0" applyFont="1" applyFill="1"/>
    <xf numFmtId="0" fontId="8" fillId="2" borderId="7" xfId="0" applyFont="1" applyFill="1" applyBorder="1"/>
    <xf numFmtId="0" fontId="11" fillId="0" borderId="0" xfId="0" applyFont="1"/>
    <xf numFmtId="0" fontId="13" fillId="3" borderId="0" xfId="0" applyFont="1" applyFill="1"/>
    <xf numFmtId="0" fontId="11" fillId="2" borderId="0" xfId="0" applyFont="1" applyFill="1" applyAlignment="1">
      <alignment horizontal="left" vertical="center"/>
    </xf>
    <xf numFmtId="0" fontId="7" fillId="2" borderId="0" xfId="0" applyFont="1" applyFill="1"/>
    <xf numFmtId="0" fontId="6" fillId="2" borderId="0" xfId="0" applyFont="1" applyFill="1"/>
    <xf numFmtId="0" fontId="6" fillId="2" borderId="3" xfId="0" applyFont="1" applyFill="1" applyBorder="1"/>
    <xf numFmtId="0" fontId="6" fillId="2" borderId="4" xfId="0" applyFont="1" applyFill="1" applyBorder="1"/>
    <xf numFmtId="0" fontId="6" fillId="2" borderId="6" xfId="0" applyFont="1" applyFill="1" applyBorder="1"/>
    <xf numFmtId="2" fontId="6" fillId="2" borderId="0" xfId="0" applyNumberFormat="1" applyFont="1" applyFill="1" applyAlignment="1">
      <alignment horizontal="right" vertical="center"/>
    </xf>
    <xf numFmtId="10" fontId="6" fillId="2" borderId="0" xfId="0" applyNumberFormat="1" applyFont="1" applyFill="1" applyAlignment="1">
      <alignment horizontal="left" vertical="center" indent="2"/>
    </xf>
    <xf numFmtId="0" fontId="5" fillId="0" borderId="0" xfId="0" applyFont="1"/>
    <xf numFmtId="0" fontId="4" fillId="2" borderId="0" xfId="0" applyFont="1" applyFill="1"/>
    <xf numFmtId="0" fontId="4" fillId="2" borderId="4" xfId="0" applyFont="1" applyFill="1" applyBorder="1"/>
    <xf numFmtId="49" fontId="4" fillId="2" borderId="0" xfId="0" applyNumberFormat="1" applyFont="1" applyFill="1"/>
    <xf numFmtId="49" fontId="4" fillId="2" borderId="4" xfId="0" applyNumberFormat="1" applyFont="1" applyFill="1" applyBorder="1"/>
    <xf numFmtId="0" fontId="16" fillId="2" borderId="0" xfId="0" applyFont="1" applyFill="1"/>
    <xf numFmtId="0" fontId="17" fillId="2" borderId="0" xfId="0" applyFont="1" applyFill="1"/>
    <xf numFmtId="0" fontId="11" fillId="2" borderId="17" xfId="0" applyFont="1" applyFill="1" applyBorder="1"/>
    <xf numFmtId="0" fontId="3" fillId="2" borderId="2" xfId="0" applyFont="1" applyFill="1" applyBorder="1"/>
    <xf numFmtId="0" fontId="11" fillId="2" borderId="7" xfId="0" applyFont="1" applyFill="1" applyBorder="1"/>
    <xf numFmtId="0" fontId="3" fillId="2" borderId="0" xfId="0" applyFont="1" applyFill="1"/>
    <xf numFmtId="0" fontId="18" fillId="2" borderId="0" xfId="0" applyFont="1" applyFill="1"/>
    <xf numFmtId="0" fontId="3" fillId="2" borderId="18" xfId="0" applyFont="1" applyFill="1" applyBorder="1"/>
    <xf numFmtId="0" fontId="3" fillId="4" borderId="0" xfId="0" applyFont="1" applyFill="1"/>
    <xf numFmtId="0" fontId="3" fillId="5" borderId="0" xfId="0" applyFont="1" applyFill="1"/>
    <xf numFmtId="0" fontId="3" fillId="6" borderId="0" xfId="0" applyFont="1" applyFill="1"/>
    <xf numFmtId="0" fontId="3" fillId="7" borderId="0" xfId="0" applyFont="1" applyFill="1"/>
    <xf numFmtId="0" fontId="3" fillId="2" borderId="7" xfId="0" applyFont="1" applyFill="1" applyBorder="1"/>
    <xf numFmtId="0" fontId="3" fillId="8" borderId="0" xfId="0" applyFont="1" applyFill="1"/>
    <xf numFmtId="0" fontId="3" fillId="9" borderId="0" xfId="0" applyFont="1" applyFill="1"/>
    <xf numFmtId="0" fontId="3" fillId="10" borderId="0" xfId="0" applyFont="1" applyFill="1"/>
    <xf numFmtId="0" fontId="3" fillId="11" borderId="0" xfId="0" applyFont="1" applyFill="1"/>
    <xf numFmtId="0" fontId="11" fillId="2" borderId="9" xfId="0" applyFont="1" applyFill="1" applyBorder="1" applyAlignment="1">
      <alignment vertical="center"/>
    </xf>
    <xf numFmtId="0" fontId="11" fillId="2" borderId="19" xfId="0" applyFont="1" applyFill="1" applyBorder="1"/>
    <xf numFmtId="165" fontId="16" fillId="2" borderId="0" xfId="0" applyNumberFormat="1" applyFont="1" applyFill="1"/>
    <xf numFmtId="17" fontId="16" fillId="2" borderId="0" xfId="0" applyNumberFormat="1" applyFont="1" applyFill="1"/>
    <xf numFmtId="0" fontId="21" fillId="12" borderId="0" xfId="0" applyFont="1" applyFill="1"/>
    <xf numFmtId="0" fontId="22" fillId="12" borderId="0" xfId="0" applyFont="1" applyFill="1"/>
    <xf numFmtId="0" fontId="4" fillId="2" borderId="20" xfId="0" applyFont="1" applyFill="1" applyBorder="1"/>
    <xf numFmtId="0" fontId="4" fillId="2" borderId="7" xfId="0" applyFont="1" applyFill="1" applyBorder="1"/>
    <xf numFmtId="0" fontId="4" fillId="2" borderId="1" xfId="0" applyFont="1" applyFill="1" applyBorder="1"/>
    <xf numFmtId="0" fontId="24" fillId="13" borderId="2" xfId="0" applyFont="1" applyFill="1" applyBorder="1" applyAlignment="1">
      <alignment horizontal="left" vertical="top"/>
    </xf>
    <xf numFmtId="0" fontId="25" fillId="13" borderId="2" xfId="0" applyFont="1" applyFill="1" applyBorder="1" applyAlignment="1">
      <alignment horizontal="left" vertical="top"/>
    </xf>
    <xf numFmtId="0" fontId="25" fillId="13" borderId="0" xfId="0" applyFont="1" applyFill="1" applyAlignment="1">
      <alignment horizontal="left" vertical="top"/>
    </xf>
    <xf numFmtId="0" fontId="28" fillId="13" borderId="0" xfId="0" applyFont="1" applyFill="1" applyAlignment="1">
      <alignment horizontal="right" vertical="top"/>
    </xf>
    <xf numFmtId="0" fontId="29" fillId="13" borderId="0" xfId="0" applyFont="1" applyFill="1" applyAlignment="1">
      <alignment horizontal="right" vertical="top"/>
    </xf>
    <xf numFmtId="0" fontId="28" fillId="13" borderId="0" xfId="0" applyFont="1" applyFill="1" applyAlignment="1">
      <alignment horizontal="center" vertical="top"/>
    </xf>
    <xf numFmtId="0" fontId="24" fillId="13" borderId="11" xfId="0" applyFont="1" applyFill="1" applyBorder="1" applyAlignment="1">
      <alignment horizontal="left" vertical="top"/>
    </xf>
    <xf numFmtId="0" fontId="25" fillId="13" borderId="11" xfId="0" applyFont="1" applyFill="1" applyBorder="1" applyAlignment="1">
      <alignment horizontal="left" vertical="top"/>
    </xf>
    <xf numFmtId="0" fontId="30" fillId="13" borderId="11" xfId="0" applyFont="1" applyFill="1" applyBorder="1" applyAlignment="1">
      <alignment horizontal="right" vertical="top"/>
    </xf>
    <xf numFmtId="0" fontId="29" fillId="13" borderId="11" xfId="0" applyFont="1" applyFill="1" applyBorder="1" applyAlignment="1">
      <alignment horizontal="right" vertical="top"/>
    </xf>
    <xf numFmtId="0" fontId="28" fillId="13" borderId="11" xfId="0" applyFont="1" applyFill="1" applyBorder="1" applyAlignment="1">
      <alignment horizontal="center" vertical="top"/>
    </xf>
    <xf numFmtId="0" fontId="24" fillId="0" borderId="0" xfId="0" applyFont="1" applyAlignment="1">
      <alignment horizontal="left" vertical="top"/>
    </xf>
    <xf numFmtId="0" fontId="25" fillId="0" borderId="0" xfId="0" applyFont="1" applyAlignment="1">
      <alignment horizontal="left" vertical="top"/>
    </xf>
    <xf numFmtId="0" fontId="28" fillId="0" borderId="0" xfId="0" applyFont="1" applyAlignment="1">
      <alignment horizontal="right" vertical="top"/>
    </xf>
    <xf numFmtId="0" fontId="28" fillId="0" borderId="0" xfId="0" applyFont="1" applyAlignment="1">
      <alignment horizontal="center" vertical="top"/>
    </xf>
    <xf numFmtId="0" fontId="27" fillId="0" borderId="0" xfId="0" applyFont="1" applyAlignment="1">
      <alignment horizontal="left" vertical="top"/>
    </xf>
    <xf numFmtId="0" fontId="28" fillId="0" borderId="0" xfId="0" applyFont="1" applyAlignment="1">
      <alignment horizontal="left" vertical="top"/>
    </xf>
    <xf numFmtId="0" fontId="31" fillId="0" borderId="0" xfId="0" applyFont="1" applyAlignment="1">
      <alignment horizontal="right" vertical="top"/>
    </xf>
    <xf numFmtId="9" fontId="31" fillId="0" borderId="0" xfId="357" applyFont="1" applyBorder="1" applyAlignment="1">
      <alignment horizontal="right" vertical="top"/>
    </xf>
    <xf numFmtId="9" fontId="31" fillId="0" borderId="0" xfId="0" applyNumberFormat="1" applyFont="1" applyAlignment="1">
      <alignment horizontal="right" vertical="top"/>
    </xf>
    <xf numFmtId="165" fontId="31" fillId="0" borderId="0" xfId="0" applyNumberFormat="1" applyFont="1" applyAlignment="1">
      <alignment horizontal="right" vertical="top"/>
    </xf>
    <xf numFmtId="2" fontId="31" fillId="0" borderId="0" xfId="0" applyNumberFormat="1" applyFont="1" applyAlignment="1">
      <alignment horizontal="right" vertical="top"/>
    </xf>
    <xf numFmtId="0" fontId="28" fillId="0" borderId="0" xfId="0" applyFont="1"/>
    <xf numFmtId="164" fontId="31" fillId="0" borderId="0" xfId="0" applyNumberFormat="1" applyFont="1" applyAlignment="1">
      <alignment horizontal="right" vertical="top"/>
    </xf>
    <xf numFmtId="0" fontId="27" fillId="0" borderId="11" xfId="0" applyFont="1" applyBorder="1" applyAlignment="1">
      <alignment horizontal="left" vertical="top"/>
    </xf>
    <xf numFmtId="0" fontId="28" fillId="0" borderId="11" xfId="0" applyFont="1" applyBorder="1" applyAlignment="1">
      <alignment horizontal="left" vertical="top"/>
    </xf>
    <xf numFmtId="0" fontId="31" fillId="0" borderId="11" xfId="0" applyFont="1" applyBorder="1" applyAlignment="1">
      <alignment horizontal="right" vertical="top"/>
    </xf>
    <xf numFmtId="0" fontId="28" fillId="0" borderId="11" xfId="0" applyFont="1" applyBorder="1" applyAlignment="1">
      <alignment horizontal="center" vertical="top"/>
    </xf>
    <xf numFmtId="0" fontId="26" fillId="0" borderId="0" xfId="0" applyFont="1" applyAlignment="1">
      <alignment horizontal="left" vertical="center"/>
    </xf>
    <xf numFmtId="0" fontId="32" fillId="0" borderId="0" xfId="0" applyFont="1" applyAlignment="1">
      <alignment horizontal="justify" vertical="center"/>
    </xf>
    <xf numFmtId="0" fontId="31" fillId="0" borderId="0" xfId="0" applyFont="1"/>
    <xf numFmtId="0" fontId="31" fillId="0" borderId="0" xfId="0" applyFont="1" applyAlignment="1">
      <alignment horizontal="left" vertical="center"/>
    </xf>
    <xf numFmtId="0" fontId="27" fillId="13" borderId="0" xfId="0" applyFont="1" applyFill="1" applyAlignment="1">
      <alignment horizontal="right" vertical="top"/>
    </xf>
    <xf numFmtId="0" fontId="27" fillId="0" borderId="0" xfId="0" applyFont="1" applyAlignment="1">
      <alignment horizontal="right" vertical="top"/>
    </xf>
    <xf numFmtId="0" fontId="26" fillId="0" borderId="0" xfId="0" applyFont="1" applyAlignment="1">
      <alignment horizontal="right" vertical="top"/>
    </xf>
    <xf numFmtId="165" fontId="26" fillId="0" borderId="0" xfId="0" applyNumberFormat="1" applyFont="1" applyAlignment="1">
      <alignment horizontal="right" vertical="top"/>
    </xf>
    <xf numFmtId="2" fontId="26" fillId="0" borderId="0" xfId="0" applyNumberFormat="1" applyFont="1" applyAlignment="1">
      <alignment horizontal="right" vertical="top"/>
    </xf>
    <xf numFmtId="164" fontId="26" fillId="0" borderId="0" xfId="0" applyNumberFormat="1" applyFont="1" applyAlignment="1">
      <alignment horizontal="right" vertical="top"/>
    </xf>
    <xf numFmtId="0" fontId="26" fillId="0" borderId="11" xfId="0" applyFont="1" applyBorder="1" applyAlignment="1">
      <alignment horizontal="right" vertical="top"/>
    </xf>
    <xf numFmtId="167" fontId="16" fillId="2" borderId="0" xfId="356" applyNumberFormat="1" applyFont="1" applyFill="1"/>
    <xf numFmtId="0" fontId="33" fillId="2" borderId="0" xfId="0" applyFont="1" applyFill="1"/>
    <xf numFmtId="167" fontId="16" fillId="2" borderId="0" xfId="0" applyNumberFormat="1" applyFont="1" applyFill="1"/>
    <xf numFmtId="4" fontId="16" fillId="2" borderId="0" xfId="0" applyNumberFormat="1" applyFont="1" applyFill="1"/>
    <xf numFmtId="0" fontId="2" fillId="2" borderId="0" xfId="0" applyFont="1" applyFill="1"/>
    <xf numFmtId="168" fontId="2" fillId="2" borderId="0" xfId="0" applyNumberFormat="1" applyFont="1" applyFill="1"/>
    <xf numFmtId="49" fontId="9" fillId="2" borderId="0" xfId="358" applyNumberFormat="1" applyFill="1"/>
    <xf numFmtId="0" fontId="2" fillId="0" borderId="0" xfId="0" applyFont="1" applyAlignment="1">
      <alignment vertical="center"/>
    </xf>
    <xf numFmtId="0" fontId="12" fillId="0" borderId="0" xfId="0" applyFont="1" applyAlignment="1">
      <alignment vertical="center"/>
    </xf>
    <xf numFmtId="2" fontId="2" fillId="2" borderId="18" xfId="0" applyNumberFormat="1" applyFont="1" applyFill="1" applyBorder="1" applyAlignment="1">
      <alignment vertical="center"/>
    </xf>
    <xf numFmtId="165" fontId="2" fillId="2" borderId="0" xfId="0" applyNumberFormat="1" applyFont="1" applyFill="1" applyAlignment="1">
      <alignment vertical="center"/>
    </xf>
    <xf numFmtId="2" fontId="2" fillId="2" borderId="18" xfId="0" applyNumberFormat="1" applyFont="1" applyFill="1" applyBorder="1" applyAlignment="1">
      <alignment horizontal="right" vertical="center"/>
    </xf>
    <xf numFmtId="2" fontId="2" fillId="2" borderId="0" xfId="0" applyNumberFormat="1" applyFont="1" applyFill="1" applyAlignment="1">
      <alignment horizontal="right" vertical="center"/>
    </xf>
    <xf numFmtId="2" fontId="2" fillId="2" borderId="18" xfId="0" applyNumberFormat="1" applyFont="1" applyFill="1" applyBorder="1"/>
    <xf numFmtId="164" fontId="2" fillId="2" borderId="18" xfId="0" applyNumberFormat="1" applyFont="1" applyFill="1" applyBorder="1"/>
    <xf numFmtId="0" fontId="2" fillId="0" borderId="0" xfId="0" applyFont="1"/>
    <xf numFmtId="1" fontId="2" fillId="2" borderId="21" xfId="0" applyNumberFormat="1" applyFont="1" applyFill="1" applyBorder="1"/>
    <xf numFmtId="2" fontId="2" fillId="2" borderId="21" xfId="0" applyNumberFormat="1" applyFont="1" applyFill="1" applyBorder="1"/>
    <xf numFmtId="2" fontId="2" fillId="2" borderId="0" xfId="0" applyNumberFormat="1" applyFont="1" applyFill="1"/>
    <xf numFmtId="0" fontId="19" fillId="0" borderId="0" xfId="0" applyFont="1"/>
    <xf numFmtId="2" fontId="11" fillId="2" borderId="0" xfId="0" applyNumberFormat="1" applyFont="1" applyFill="1" applyAlignment="1">
      <alignment horizontal="right" vertical="center"/>
    </xf>
    <xf numFmtId="1" fontId="2" fillId="2" borderId="0" xfId="0" applyNumberFormat="1" applyFont="1" applyFill="1" applyAlignment="1">
      <alignment horizontal="right" vertical="center"/>
    </xf>
    <xf numFmtId="1" fontId="2" fillId="2" borderId="18" xfId="0" applyNumberFormat="1" applyFont="1" applyFill="1" applyBorder="1" applyAlignment="1">
      <alignment horizontal="right" vertical="center"/>
    </xf>
    <xf numFmtId="166" fontId="2" fillId="0" borderId="0" xfId="0" applyNumberFormat="1" applyFont="1"/>
    <xf numFmtId="166" fontId="12" fillId="0" borderId="0" xfId="0" applyNumberFormat="1" applyFont="1"/>
    <xf numFmtId="2" fontId="2" fillId="2" borderId="22" xfId="0" applyNumberFormat="1" applyFont="1" applyFill="1" applyBorder="1" applyAlignment="1">
      <alignment horizontal="right" vertical="center"/>
    </xf>
    <xf numFmtId="164" fontId="2" fillId="2" borderId="0" xfId="0" applyNumberFormat="1" applyFont="1" applyFill="1"/>
    <xf numFmtId="0" fontId="12" fillId="2" borderId="0" xfId="0" applyFont="1" applyFill="1"/>
    <xf numFmtId="0" fontId="2" fillId="2" borderId="18" xfId="0" applyFont="1" applyFill="1" applyBorder="1"/>
    <xf numFmtId="1" fontId="16" fillId="2" borderId="0" xfId="0" applyNumberFormat="1" applyFont="1" applyFill="1"/>
    <xf numFmtId="165" fontId="2" fillId="2" borderId="18" xfId="0" applyNumberFormat="1" applyFont="1" applyFill="1" applyBorder="1"/>
    <xf numFmtId="165" fontId="2" fillId="2" borderId="18" xfId="0" applyNumberFormat="1" applyFont="1" applyFill="1" applyBorder="1" applyAlignment="1">
      <alignment horizontal="right" vertical="center"/>
    </xf>
    <xf numFmtId="0" fontId="11" fillId="0" borderId="0" xfId="0" applyFont="1" applyAlignment="1">
      <alignment vertical="center"/>
    </xf>
    <xf numFmtId="0" fontId="34" fillId="2" borderId="0" xfId="0" applyFont="1" applyFill="1" applyAlignment="1">
      <alignment vertical="center"/>
    </xf>
    <xf numFmtId="0" fontId="2" fillId="2" borderId="0" xfId="0" applyFont="1" applyFill="1" applyAlignment="1">
      <alignment vertical="center"/>
    </xf>
    <xf numFmtId="0" fontId="19" fillId="12" borderId="18" xfId="0" applyFont="1" applyFill="1" applyBorder="1"/>
    <xf numFmtId="0" fontId="2" fillId="2" borderId="3" xfId="0" applyFont="1" applyFill="1" applyBorder="1"/>
    <xf numFmtId="0" fontId="2" fillId="2" borderId="15" xfId="0" applyFont="1" applyFill="1" applyBorder="1"/>
    <xf numFmtId="0" fontId="11" fillId="2" borderId="6" xfId="0" applyFont="1" applyFill="1" applyBorder="1" applyAlignment="1">
      <alignment vertical="center"/>
    </xf>
    <xf numFmtId="0" fontId="34" fillId="2" borderId="5" xfId="0" applyFont="1" applyFill="1" applyBorder="1" applyAlignment="1">
      <alignment vertical="center"/>
    </xf>
    <xf numFmtId="0" fontId="2" fillId="2" borderId="6" xfId="0" applyFont="1" applyFill="1" applyBorder="1"/>
    <xf numFmtId="0" fontId="2" fillId="2" borderId="5" xfId="0" applyFont="1" applyFill="1" applyBorder="1"/>
    <xf numFmtId="0" fontId="2" fillId="2" borderId="6" xfId="0" applyFont="1" applyFill="1" applyBorder="1" applyAlignment="1">
      <alignment vertical="center"/>
    </xf>
    <xf numFmtId="0" fontId="2" fillId="2" borderId="5" xfId="0" applyFont="1" applyFill="1" applyBorder="1" applyAlignment="1">
      <alignment vertical="center"/>
    </xf>
    <xf numFmtId="166" fontId="2" fillId="2" borderId="6" xfId="0" applyNumberFormat="1" applyFont="1" applyFill="1" applyBorder="1"/>
    <xf numFmtId="166" fontId="2" fillId="2" borderId="5" xfId="0" applyNumberFormat="1" applyFont="1" applyFill="1" applyBorder="1"/>
    <xf numFmtId="0" fontId="2" fillId="2" borderId="10" xfId="0" applyFont="1" applyFill="1" applyBorder="1"/>
    <xf numFmtId="0" fontId="2" fillId="2" borderId="11" xfId="0" applyFont="1" applyFill="1" applyBorder="1"/>
    <xf numFmtId="0" fontId="2" fillId="2" borderId="12" xfId="0" applyFont="1" applyFill="1" applyBorder="1"/>
    <xf numFmtId="165" fontId="2" fillId="2" borderId="18" xfId="0" applyNumberFormat="1" applyFont="1" applyFill="1" applyBorder="1" applyAlignment="1">
      <alignment vertical="center"/>
    </xf>
    <xf numFmtId="0" fontId="19" fillId="12" borderId="17" xfId="0" applyFont="1" applyFill="1" applyBorder="1" applyAlignment="1">
      <alignment horizontal="left" vertical="top" wrapText="1"/>
    </xf>
    <xf numFmtId="0" fontId="19" fillId="12" borderId="2" xfId="0" applyFont="1" applyFill="1" applyBorder="1" applyAlignment="1">
      <alignment horizontal="left" vertical="top" wrapText="1"/>
    </xf>
    <xf numFmtId="0" fontId="19" fillId="12" borderId="13" xfId="0" applyFont="1" applyFill="1" applyBorder="1" applyAlignment="1">
      <alignment horizontal="left" vertical="top" wrapText="1"/>
    </xf>
    <xf numFmtId="0" fontId="19" fillId="12" borderId="7" xfId="0" applyFont="1" applyFill="1" applyBorder="1" applyAlignment="1">
      <alignment horizontal="left" vertical="top" wrapText="1"/>
    </xf>
    <xf numFmtId="0" fontId="19" fillId="12" borderId="0" xfId="0" applyFont="1" applyFill="1" applyAlignment="1">
      <alignment horizontal="left" vertical="top" wrapText="1"/>
    </xf>
    <xf numFmtId="0" fontId="19" fillId="12" borderId="8" xfId="0" applyFont="1" applyFill="1" applyBorder="1" applyAlignment="1">
      <alignment horizontal="left" vertical="top" wrapText="1"/>
    </xf>
    <xf numFmtId="0" fontId="19" fillId="12" borderId="1" xfId="0" applyFont="1" applyFill="1" applyBorder="1" applyAlignment="1">
      <alignment horizontal="left" vertical="top" wrapText="1"/>
    </xf>
    <xf numFmtId="0" fontId="19" fillId="12" borderId="9" xfId="0" applyFont="1" applyFill="1" applyBorder="1" applyAlignment="1">
      <alignment horizontal="left" vertical="top" wrapText="1"/>
    </xf>
    <xf numFmtId="0" fontId="19" fillId="12" borderId="14" xfId="0" applyFont="1" applyFill="1" applyBorder="1" applyAlignment="1">
      <alignment horizontal="left" vertical="top" wrapText="1"/>
    </xf>
    <xf numFmtId="0" fontId="26" fillId="13" borderId="2" xfId="358" applyFont="1" applyFill="1" applyBorder="1" applyAlignment="1" applyProtection="1">
      <alignment horizontal="center" vertical="top" wrapText="1"/>
    </xf>
    <xf numFmtId="0" fontId="27" fillId="13" borderId="2" xfId="0" applyFont="1" applyFill="1" applyBorder="1" applyAlignment="1">
      <alignment horizontal="center" vertical="top" wrapText="1"/>
    </xf>
    <xf numFmtId="0" fontId="1" fillId="2" borderId="18" xfId="0" applyFont="1" applyFill="1" applyBorder="1" applyAlignment="1">
      <alignment vertical="center"/>
    </xf>
    <xf numFmtId="0" fontId="19" fillId="12" borderId="18" xfId="0" applyFont="1" applyFill="1" applyBorder="1" applyAlignment="1">
      <alignment vertical="center"/>
    </xf>
    <xf numFmtId="0" fontId="1" fillId="2" borderId="18" xfId="0" applyFont="1" applyFill="1" applyBorder="1"/>
  </cellXfs>
  <cellStyles count="359">
    <cellStyle name="Comma" xfId="356" builtinId="3"/>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7" builtinId="9" hidden="1"/>
    <cellStyle name="Followed Hyperlink" xfId="178" builtinId="9" hidden="1"/>
    <cellStyle name="Followed Hyperlink" xfId="179" builtinId="9" hidden="1"/>
    <cellStyle name="Followed Hyperlink" xfId="180" builtinId="9" hidden="1"/>
    <cellStyle name="Followed Hyperlink" xfId="181" builtinId="9" hidden="1"/>
    <cellStyle name="Followed Hyperlink" xfId="182" builtinId="9" hidden="1"/>
    <cellStyle name="Followed Hyperlink" xfId="183" builtinId="9" hidden="1"/>
    <cellStyle name="Followed Hyperlink" xfId="184" builtinId="9" hidden="1"/>
    <cellStyle name="Followed Hyperlink" xfId="185" builtinId="9" hidden="1"/>
    <cellStyle name="Followed Hyperlink" xfId="186" builtinId="9" hidden="1"/>
    <cellStyle name="Followed Hyperlink" xfId="187" builtinId="9" hidden="1"/>
    <cellStyle name="Followed Hyperlink" xfId="188" builtinId="9" hidden="1"/>
    <cellStyle name="Followed Hyperlink" xfId="189" builtinId="9" hidden="1"/>
    <cellStyle name="Followed Hyperlink" xfId="190" builtinId="9" hidden="1"/>
    <cellStyle name="Followed Hyperlink" xfId="191" builtinId="9" hidden="1"/>
    <cellStyle name="Followed Hyperlink" xfId="192" builtinId="9" hidden="1"/>
    <cellStyle name="Followed Hyperlink" xfId="193" builtinId="9" hidden="1"/>
    <cellStyle name="Followed Hyperlink" xfId="194" builtinId="9" hidden="1"/>
    <cellStyle name="Followed Hyperlink" xfId="195" builtinId="9" hidden="1"/>
    <cellStyle name="Followed Hyperlink" xfId="196" builtinId="9" hidden="1"/>
    <cellStyle name="Followed Hyperlink" xfId="197" builtinId="9" hidden="1"/>
    <cellStyle name="Followed Hyperlink" xfId="198" builtinId="9" hidden="1"/>
    <cellStyle name="Followed Hyperlink" xfId="199" builtinId="9" hidden="1"/>
    <cellStyle name="Followed Hyperlink" xfId="200" builtinId="9" hidden="1"/>
    <cellStyle name="Followed Hyperlink" xfId="201" builtinId="9" hidden="1"/>
    <cellStyle name="Followed Hyperlink" xfId="202" builtinId="9" hidden="1"/>
    <cellStyle name="Followed Hyperlink" xfId="203" builtinId="9" hidden="1"/>
    <cellStyle name="Followed Hyperlink" xfId="204" builtinId="9" hidden="1"/>
    <cellStyle name="Followed Hyperlink" xfId="205" builtinId="9" hidden="1"/>
    <cellStyle name="Followed Hyperlink" xfId="206" builtinId="9" hidden="1"/>
    <cellStyle name="Followed Hyperlink" xfId="207" builtinId="9" hidden="1"/>
    <cellStyle name="Followed Hyperlink" xfId="208" builtinId="9" hidden="1"/>
    <cellStyle name="Followed Hyperlink" xfId="209" builtinId="9" hidden="1"/>
    <cellStyle name="Followed Hyperlink" xfId="210" builtinId="9" hidden="1"/>
    <cellStyle name="Followed Hyperlink" xfId="211" builtinId="9" hidden="1"/>
    <cellStyle name="Followed Hyperlink" xfId="212" builtinId="9" hidden="1"/>
    <cellStyle name="Followed Hyperlink" xfId="213" builtinId="9" hidden="1"/>
    <cellStyle name="Followed Hyperlink" xfId="214" builtinId="9" hidden="1"/>
    <cellStyle name="Followed Hyperlink" xfId="215" builtinId="9" hidden="1"/>
    <cellStyle name="Followed Hyperlink" xfId="216" builtinId="9" hidden="1"/>
    <cellStyle name="Followed Hyperlink" xfId="217" builtinId="9" hidden="1"/>
    <cellStyle name="Followed Hyperlink" xfId="218" builtinId="9" hidden="1"/>
    <cellStyle name="Followed Hyperlink" xfId="219" builtinId="9" hidden="1"/>
    <cellStyle name="Followed Hyperlink" xfId="220" builtinId="9" hidden="1"/>
    <cellStyle name="Followed Hyperlink" xfId="221" builtinId="9" hidden="1"/>
    <cellStyle name="Followed Hyperlink" xfId="222" builtinId="9" hidden="1"/>
    <cellStyle name="Followed Hyperlink" xfId="223" builtinId="9" hidden="1"/>
    <cellStyle name="Followed Hyperlink" xfId="224" builtinId="9" hidden="1"/>
    <cellStyle name="Followed Hyperlink" xfId="225" builtinId="9" hidden="1"/>
    <cellStyle name="Followed Hyperlink" xfId="226" builtinId="9" hidden="1"/>
    <cellStyle name="Followed Hyperlink" xfId="227" builtinId="9" hidden="1"/>
    <cellStyle name="Followed Hyperlink" xfId="228" builtinId="9" hidden="1"/>
    <cellStyle name="Followed Hyperlink" xfId="229" builtinId="9" hidden="1"/>
    <cellStyle name="Followed Hyperlink" xfId="230" builtinId="9" hidden="1"/>
    <cellStyle name="Followed Hyperlink" xfId="231" builtinId="9" hidden="1"/>
    <cellStyle name="Followed Hyperlink" xfId="232" builtinId="9" hidden="1"/>
    <cellStyle name="Followed Hyperlink" xfId="233" builtinId="9" hidden="1"/>
    <cellStyle name="Followed Hyperlink" xfId="234" builtinId="9" hidden="1"/>
    <cellStyle name="Followed Hyperlink" xfId="235" builtinId="9" hidden="1"/>
    <cellStyle name="Followed Hyperlink" xfId="236" builtinId="9" hidden="1"/>
    <cellStyle name="Followed Hyperlink" xfId="237" builtinId="9" hidden="1"/>
    <cellStyle name="Followed Hyperlink" xfId="238" builtinId="9" hidden="1"/>
    <cellStyle name="Followed Hyperlink" xfId="239" builtinId="9" hidden="1"/>
    <cellStyle name="Followed Hyperlink" xfId="240" builtinId="9" hidden="1"/>
    <cellStyle name="Followed Hyperlink" xfId="241" builtinId="9" hidden="1"/>
    <cellStyle name="Followed Hyperlink" xfId="242" builtinId="9" hidden="1"/>
    <cellStyle name="Followed Hyperlink" xfId="243" builtinId="9" hidden="1"/>
    <cellStyle name="Followed Hyperlink" xfId="244" builtinId="9" hidden="1"/>
    <cellStyle name="Followed Hyperlink" xfId="245" builtinId="9" hidden="1"/>
    <cellStyle name="Followed Hyperlink" xfId="246" builtinId="9" hidden="1"/>
    <cellStyle name="Followed Hyperlink" xfId="247" builtinId="9" hidden="1"/>
    <cellStyle name="Followed Hyperlink" xfId="248" builtinId="9" hidden="1"/>
    <cellStyle name="Followed Hyperlink" xfId="249" builtinId="9" hidden="1"/>
    <cellStyle name="Followed Hyperlink" xfId="250" builtinId="9" hidden="1"/>
    <cellStyle name="Followed Hyperlink" xfId="251" builtinId="9" hidden="1"/>
    <cellStyle name="Followed Hyperlink" xfId="252" builtinId="9" hidden="1"/>
    <cellStyle name="Followed Hyperlink" xfId="253" builtinId="9" hidden="1"/>
    <cellStyle name="Followed Hyperlink" xfId="254" builtinId="9" hidden="1"/>
    <cellStyle name="Followed Hyperlink" xfId="255" builtinId="9" hidden="1"/>
    <cellStyle name="Followed Hyperlink" xfId="256" builtinId="9" hidden="1"/>
    <cellStyle name="Followed Hyperlink" xfId="257" builtinId="9" hidden="1"/>
    <cellStyle name="Followed Hyperlink" xfId="258" builtinId="9" hidden="1"/>
    <cellStyle name="Followed Hyperlink" xfId="259" builtinId="9" hidden="1"/>
    <cellStyle name="Followed Hyperlink" xfId="260" builtinId="9" hidden="1"/>
    <cellStyle name="Followed Hyperlink" xfId="261" builtinId="9" hidden="1"/>
    <cellStyle name="Followed Hyperlink" xfId="262" builtinId="9" hidden="1"/>
    <cellStyle name="Followed Hyperlink" xfId="263" builtinId="9" hidden="1"/>
    <cellStyle name="Followed Hyperlink" xfId="264" builtinId="9" hidden="1"/>
    <cellStyle name="Followed Hyperlink" xfId="265" builtinId="9" hidden="1"/>
    <cellStyle name="Followed Hyperlink" xfId="266" builtinId="9" hidden="1"/>
    <cellStyle name="Followed Hyperlink" xfId="267" builtinId="9" hidden="1"/>
    <cellStyle name="Followed Hyperlink" xfId="268" builtinId="9" hidden="1"/>
    <cellStyle name="Followed Hyperlink" xfId="269" builtinId="9" hidden="1"/>
    <cellStyle name="Followed Hyperlink" xfId="270" builtinId="9" hidden="1"/>
    <cellStyle name="Followed Hyperlink" xfId="271" builtinId="9" hidden="1"/>
    <cellStyle name="Followed Hyperlink" xfId="272" builtinId="9" hidden="1"/>
    <cellStyle name="Followed Hyperlink" xfId="273" builtinId="9" hidden="1"/>
    <cellStyle name="Followed Hyperlink" xfId="274" builtinId="9" hidden="1"/>
    <cellStyle name="Followed Hyperlink" xfId="275" builtinId="9" hidden="1"/>
    <cellStyle name="Followed Hyperlink" xfId="276" builtinId="9" hidden="1"/>
    <cellStyle name="Followed Hyperlink" xfId="277" builtinId="9" hidden="1"/>
    <cellStyle name="Followed Hyperlink" xfId="278" builtinId="9" hidden="1"/>
    <cellStyle name="Followed Hyperlink" xfId="279" builtinId="9" hidden="1"/>
    <cellStyle name="Followed Hyperlink" xfId="280" builtinId="9" hidden="1"/>
    <cellStyle name="Followed Hyperlink" xfId="281" builtinId="9" hidden="1"/>
    <cellStyle name="Followed Hyperlink" xfId="282" builtinId="9" hidden="1"/>
    <cellStyle name="Followed Hyperlink" xfId="283" builtinId="9" hidden="1"/>
    <cellStyle name="Followed Hyperlink" xfId="284" builtinId="9" hidden="1"/>
    <cellStyle name="Followed Hyperlink" xfId="285" builtinId="9" hidden="1"/>
    <cellStyle name="Followed Hyperlink" xfId="286" builtinId="9" hidden="1"/>
    <cellStyle name="Followed Hyperlink" xfId="287" builtinId="9" hidden="1"/>
    <cellStyle name="Followed Hyperlink" xfId="288" builtinId="9" hidden="1"/>
    <cellStyle name="Followed Hyperlink" xfId="289" builtinId="9" hidden="1"/>
    <cellStyle name="Followed Hyperlink" xfId="290" builtinId="9" hidden="1"/>
    <cellStyle name="Followed Hyperlink" xfId="291" builtinId="9" hidden="1"/>
    <cellStyle name="Followed Hyperlink" xfId="292" builtinId="9" hidden="1"/>
    <cellStyle name="Followed Hyperlink" xfId="293" builtinId="9" hidden="1"/>
    <cellStyle name="Followed Hyperlink" xfId="294" builtinId="9" hidden="1"/>
    <cellStyle name="Followed Hyperlink" xfId="295" builtinId="9" hidden="1"/>
    <cellStyle name="Followed Hyperlink" xfId="296" builtinId="9" hidden="1"/>
    <cellStyle name="Followed Hyperlink" xfId="297" builtinId="9" hidden="1"/>
    <cellStyle name="Followed Hyperlink" xfId="298" builtinId="9" hidden="1"/>
    <cellStyle name="Followed Hyperlink" xfId="299" builtinId="9" hidden="1"/>
    <cellStyle name="Followed Hyperlink" xfId="300" builtinId="9" hidden="1"/>
    <cellStyle name="Followed Hyperlink" xfId="301" builtinId="9" hidden="1"/>
    <cellStyle name="Followed Hyperlink" xfId="302" builtinId="9" hidden="1"/>
    <cellStyle name="Followed Hyperlink" xfId="303" builtinId="9" hidden="1"/>
    <cellStyle name="Followed Hyperlink" xfId="304" builtinId="9" hidden="1"/>
    <cellStyle name="Followed Hyperlink" xfId="305" builtinId="9" hidden="1"/>
    <cellStyle name="Followed Hyperlink" xfId="306" builtinId="9" hidden="1"/>
    <cellStyle name="Followed Hyperlink" xfId="307" builtinId="9" hidden="1"/>
    <cellStyle name="Followed Hyperlink" xfId="308" builtinId="9" hidden="1"/>
    <cellStyle name="Followed Hyperlink" xfId="309" builtinId="9" hidden="1"/>
    <cellStyle name="Followed Hyperlink" xfId="310" builtinId="9" hidden="1"/>
    <cellStyle name="Followed Hyperlink" xfId="311" builtinId="9" hidden="1"/>
    <cellStyle name="Followed Hyperlink" xfId="312" builtinId="9" hidden="1"/>
    <cellStyle name="Followed Hyperlink" xfId="313" builtinId="9" hidden="1"/>
    <cellStyle name="Followed Hyperlink" xfId="314" builtinId="9" hidden="1"/>
    <cellStyle name="Followed Hyperlink" xfId="315" builtinId="9" hidden="1"/>
    <cellStyle name="Followed Hyperlink" xfId="316" builtinId="9" hidden="1"/>
    <cellStyle name="Followed Hyperlink" xfId="317" builtinId="9" hidden="1"/>
    <cellStyle name="Followed Hyperlink" xfId="318" builtinId="9" hidden="1"/>
    <cellStyle name="Followed Hyperlink" xfId="319" builtinId="9" hidden="1"/>
    <cellStyle name="Followed Hyperlink" xfId="320" builtinId="9" hidden="1"/>
    <cellStyle name="Followed Hyperlink" xfId="321" builtinId="9" hidden="1"/>
    <cellStyle name="Followed Hyperlink" xfId="322" builtinId="9" hidden="1"/>
    <cellStyle name="Followed Hyperlink" xfId="323" builtinId="9" hidden="1"/>
    <cellStyle name="Followed Hyperlink" xfId="324" builtinId="9" hidden="1"/>
    <cellStyle name="Followed Hyperlink" xfId="325" builtinId="9" hidden="1"/>
    <cellStyle name="Followed Hyperlink" xfId="326" builtinId="9" hidden="1"/>
    <cellStyle name="Followed Hyperlink" xfId="327" builtinId="9" hidden="1"/>
    <cellStyle name="Followed Hyperlink" xfId="328" builtinId="9" hidden="1"/>
    <cellStyle name="Followed Hyperlink" xfId="329" builtinId="9" hidden="1"/>
    <cellStyle name="Followed Hyperlink" xfId="330" builtinId="9" hidden="1"/>
    <cellStyle name="Followed Hyperlink" xfId="331" builtinId="9" hidden="1"/>
    <cellStyle name="Followed Hyperlink" xfId="332" builtinId="9" hidden="1"/>
    <cellStyle name="Followed Hyperlink" xfId="333" builtinId="9" hidden="1"/>
    <cellStyle name="Followed Hyperlink" xfId="334" builtinId="9" hidden="1"/>
    <cellStyle name="Followed Hyperlink" xfId="335" builtinId="9" hidden="1"/>
    <cellStyle name="Followed Hyperlink" xfId="336" builtinId="9" hidden="1"/>
    <cellStyle name="Followed Hyperlink" xfId="337" builtinId="9" hidden="1"/>
    <cellStyle name="Followed Hyperlink" xfId="338" builtinId="9" hidden="1"/>
    <cellStyle name="Followed Hyperlink" xfId="339" builtinId="9" hidden="1"/>
    <cellStyle name="Followed Hyperlink" xfId="340" builtinId="9" hidden="1"/>
    <cellStyle name="Followed Hyperlink" xfId="341" builtinId="9" hidden="1"/>
    <cellStyle name="Followed Hyperlink" xfId="342" builtinId="9" hidden="1"/>
    <cellStyle name="Followed Hyperlink" xfId="343" builtinId="9" hidden="1"/>
    <cellStyle name="Followed Hyperlink" xfId="344" builtinId="9" hidden="1"/>
    <cellStyle name="Followed Hyperlink" xfId="345" builtinId="9" hidden="1"/>
    <cellStyle name="Followed Hyperlink" xfId="346" builtinId="9" hidden="1"/>
    <cellStyle name="Followed Hyperlink" xfId="347" builtinId="9" hidden="1"/>
    <cellStyle name="Followed Hyperlink" xfId="348" builtinId="9" hidden="1"/>
    <cellStyle name="Followed Hyperlink" xfId="349" builtinId="9" hidden="1"/>
    <cellStyle name="Followed Hyperlink" xfId="350" builtinId="9" hidden="1"/>
    <cellStyle name="Followed Hyperlink" xfId="351" builtinId="9" hidden="1"/>
    <cellStyle name="Followed Hyperlink" xfId="352" builtinId="9" hidden="1"/>
    <cellStyle name="Followed Hyperlink" xfId="353" builtinId="9" hidden="1"/>
    <cellStyle name="Followed Hyperlink" xfId="354" builtinId="9" hidden="1"/>
    <cellStyle name="Followed Hyperlink" xfId="355"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358" builtinId="8"/>
    <cellStyle name="Normal" xfId="0" builtinId="0"/>
    <cellStyle name="Per cent" xfId="357" builtinId="5"/>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xdr:col>
      <xdr:colOff>0</xdr:colOff>
      <xdr:row>60</xdr:row>
      <xdr:rowOff>0</xdr:rowOff>
    </xdr:from>
    <xdr:to>
      <xdr:col>13</xdr:col>
      <xdr:colOff>736600</xdr:colOff>
      <xdr:row>72</xdr:row>
      <xdr:rowOff>50800</xdr:rowOff>
    </xdr:to>
    <xdr:pic>
      <xdr:nvPicPr>
        <xdr:cNvPr id="3" name="Picture 2">
          <a:extLst>
            <a:ext uri="{FF2B5EF4-FFF2-40B4-BE49-F238E27FC236}">
              <a16:creationId xmlns:a16="http://schemas.microsoft.com/office/drawing/2014/main" id="{F99DC46E-C971-1543-B05E-C6C21B8586BF}"/>
            </a:ext>
          </a:extLst>
        </xdr:cNvPr>
        <xdr:cNvPicPr>
          <a:picLocks noChangeAspect="1"/>
        </xdr:cNvPicPr>
      </xdr:nvPicPr>
      <xdr:blipFill>
        <a:blip xmlns:r="http://schemas.openxmlformats.org/officeDocument/2006/relationships" r:embed="rId1"/>
        <a:stretch>
          <a:fillRect/>
        </a:stretch>
      </xdr:blipFill>
      <xdr:spPr>
        <a:xfrm>
          <a:off x="11849100" y="12217400"/>
          <a:ext cx="4343400" cy="2489200"/>
        </a:xfrm>
        <a:prstGeom prst="rect">
          <a:avLst/>
        </a:prstGeom>
      </xdr:spPr>
    </xdr:pic>
    <xdr:clientData/>
  </xdr:twoCellAnchor>
  <xdr:twoCellAnchor editAs="oneCell">
    <xdr:from>
      <xdr:col>11</xdr:col>
      <xdr:colOff>114300</xdr:colOff>
      <xdr:row>73</xdr:row>
      <xdr:rowOff>12700</xdr:rowOff>
    </xdr:from>
    <xdr:to>
      <xdr:col>13</xdr:col>
      <xdr:colOff>63500</xdr:colOff>
      <xdr:row>84</xdr:row>
      <xdr:rowOff>63500</xdr:rowOff>
    </xdr:to>
    <xdr:pic>
      <xdr:nvPicPr>
        <xdr:cNvPr id="4" name="Picture 3">
          <a:extLst>
            <a:ext uri="{FF2B5EF4-FFF2-40B4-BE49-F238E27FC236}">
              <a16:creationId xmlns:a16="http://schemas.microsoft.com/office/drawing/2014/main" id="{5DDE097B-34F6-C166-793B-FF90D5FA7325}"/>
            </a:ext>
          </a:extLst>
        </xdr:cNvPr>
        <xdr:cNvPicPr>
          <a:picLocks noChangeAspect="1"/>
        </xdr:cNvPicPr>
      </xdr:nvPicPr>
      <xdr:blipFill>
        <a:blip xmlns:r="http://schemas.openxmlformats.org/officeDocument/2006/relationships" r:embed="rId2"/>
        <a:stretch>
          <a:fillRect/>
        </a:stretch>
      </xdr:blipFill>
      <xdr:spPr>
        <a:xfrm>
          <a:off x="11963400" y="14871700"/>
          <a:ext cx="3556000" cy="2286000"/>
        </a:xfrm>
        <a:prstGeom prst="rect">
          <a:avLst/>
        </a:prstGeom>
      </xdr:spPr>
    </xdr:pic>
    <xdr:clientData/>
  </xdr:twoCellAnchor>
  <xdr:twoCellAnchor editAs="oneCell">
    <xdr:from>
      <xdr:col>11</xdr:col>
      <xdr:colOff>292100</xdr:colOff>
      <xdr:row>85</xdr:row>
      <xdr:rowOff>0</xdr:rowOff>
    </xdr:from>
    <xdr:to>
      <xdr:col>17</xdr:col>
      <xdr:colOff>647700</xdr:colOff>
      <xdr:row>90</xdr:row>
      <xdr:rowOff>46144</xdr:rowOff>
    </xdr:to>
    <xdr:pic>
      <xdr:nvPicPr>
        <xdr:cNvPr id="5" name="Picture 4">
          <a:extLst>
            <a:ext uri="{FF2B5EF4-FFF2-40B4-BE49-F238E27FC236}">
              <a16:creationId xmlns:a16="http://schemas.microsoft.com/office/drawing/2014/main" id="{AE167A07-8DD3-0003-9CD5-063A837C73AE}"/>
            </a:ext>
          </a:extLst>
        </xdr:cNvPr>
        <xdr:cNvPicPr>
          <a:picLocks noChangeAspect="1"/>
        </xdr:cNvPicPr>
      </xdr:nvPicPr>
      <xdr:blipFill>
        <a:blip xmlns:r="http://schemas.openxmlformats.org/officeDocument/2006/relationships" r:embed="rId3"/>
        <a:stretch>
          <a:fillRect/>
        </a:stretch>
      </xdr:blipFill>
      <xdr:spPr>
        <a:xfrm>
          <a:off x="12141200" y="17297400"/>
          <a:ext cx="7772400" cy="106214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hyperlink" Target="https://refman.energytransitionmodel.com/publications/2219" TargetMode="External"/><Relationship Id="rId1" Type="http://schemas.openxmlformats.org/officeDocument/2006/relationships/hyperlink" Target="https://refman.energytransitionmodel.com/publications/2218"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0"/>
  </sheetPr>
  <dimension ref="A1:C23"/>
  <sheetViews>
    <sheetView workbookViewId="0">
      <selection activeCell="C5" sqref="C5"/>
    </sheetView>
  </sheetViews>
  <sheetFormatPr baseColWidth="10" defaultColWidth="10.6640625" defaultRowHeight="16"/>
  <cols>
    <col min="1" max="1" width="3.5" style="26" customWidth="1"/>
    <col min="2" max="2" width="11.5" style="18" customWidth="1"/>
    <col min="3" max="3" width="38.5" style="18" customWidth="1"/>
    <col min="4" max="16384" width="10.6640625" style="18"/>
  </cols>
  <sheetData>
    <row r="1" spans="1:3" s="24" customFormat="1">
      <c r="A1" s="22"/>
      <c r="B1" s="23"/>
      <c r="C1" s="23"/>
    </row>
    <row r="2" spans="1:3" ht="21">
      <c r="A2" s="1"/>
      <c r="B2" s="25" t="s">
        <v>6</v>
      </c>
      <c r="C2" s="25"/>
    </row>
    <row r="3" spans="1:3">
      <c r="A3" s="1"/>
      <c r="B3" s="8"/>
      <c r="C3" s="8"/>
    </row>
    <row r="4" spans="1:3">
      <c r="A4" s="1"/>
      <c r="B4" s="2" t="s">
        <v>7</v>
      </c>
      <c r="C4" s="3" t="s">
        <v>39</v>
      </c>
    </row>
    <row r="5" spans="1:3">
      <c r="A5" s="1"/>
      <c r="B5" s="4" t="s">
        <v>32</v>
      </c>
      <c r="C5" s="5" t="s">
        <v>40</v>
      </c>
    </row>
    <row r="6" spans="1:3">
      <c r="A6" s="1"/>
      <c r="B6" s="6" t="s">
        <v>9</v>
      </c>
      <c r="C6" s="7" t="s">
        <v>10</v>
      </c>
    </row>
    <row r="7" spans="1:3">
      <c r="A7" s="1"/>
      <c r="B7" s="8"/>
      <c r="C7" s="8"/>
    </row>
    <row r="8" spans="1:3">
      <c r="A8" s="1"/>
      <c r="B8" s="8"/>
      <c r="C8" s="8"/>
    </row>
    <row r="9" spans="1:3">
      <c r="A9" s="1"/>
      <c r="B9" s="44" t="s">
        <v>17</v>
      </c>
      <c r="C9" s="45"/>
    </row>
    <row r="10" spans="1:3">
      <c r="A10" s="1"/>
      <c r="B10" s="46"/>
      <c r="C10" s="47"/>
    </row>
    <row r="11" spans="1:3">
      <c r="A11" s="1"/>
      <c r="B11" s="46" t="s">
        <v>18</v>
      </c>
      <c r="C11" s="48" t="s">
        <v>19</v>
      </c>
    </row>
    <row r="12" spans="1:3" ht="17" thickBot="1">
      <c r="A12" s="1"/>
      <c r="B12" s="46"/>
      <c r="C12" s="10" t="s">
        <v>20</v>
      </c>
    </row>
    <row r="13" spans="1:3" ht="17" thickBot="1">
      <c r="A13" s="1"/>
      <c r="B13" s="46"/>
      <c r="C13" s="49" t="s">
        <v>21</v>
      </c>
    </row>
    <row r="14" spans="1:3">
      <c r="A14" s="1"/>
      <c r="B14" s="46"/>
      <c r="C14" s="47" t="s">
        <v>22</v>
      </c>
    </row>
    <row r="15" spans="1:3">
      <c r="A15" s="1"/>
      <c r="B15" s="46"/>
      <c r="C15" s="47"/>
    </row>
    <row r="16" spans="1:3">
      <c r="A16" s="1"/>
      <c r="B16" s="46" t="s">
        <v>23</v>
      </c>
      <c r="C16" s="50" t="s">
        <v>24</v>
      </c>
    </row>
    <row r="17" spans="1:3">
      <c r="A17" s="1"/>
      <c r="B17" s="46"/>
      <c r="C17" s="51" t="s">
        <v>25</v>
      </c>
    </row>
    <row r="18" spans="1:3">
      <c r="A18" s="1"/>
      <c r="B18" s="46"/>
      <c r="C18" s="52" t="s">
        <v>26</v>
      </c>
    </row>
    <row r="19" spans="1:3">
      <c r="A19" s="1"/>
      <c r="B19" s="46"/>
      <c r="C19" s="53" t="s">
        <v>27</v>
      </c>
    </row>
    <row r="20" spans="1:3">
      <c r="A20" s="1"/>
      <c r="B20" s="54"/>
      <c r="C20" s="55" t="s">
        <v>28</v>
      </c>
    </row>
    <row r="21" spans="1:3">
      <c r="A21" s="1"/>
      <c r="B21" s="54"/>
      <c r="C21" s="56" t="s">
        <v>29</v>
      </c>
    </row>
    <row r="22" spans="1:3">
      <c r="A22" s="1"/>
      <c r="B22" s="54"/>
      <c r="C22" s="57" t="s">
        <v>30</v>
      </c>
    </row>
    <row r="23" spans="1:3">
      <c r="B23" s="54"/>
      <c r="C23" s="58" t="s">
        <v>31</v>
      </c>
    </row>
  </sheetData>
  <pageMargins left="0.75" right="0.75" top="1" bottom="1" header="0.5" footer="0.5"/>
  <pageSetup paperSize="9" orientation="portrait" horizontalDpi="4294967292" verticalDpi="429496729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00"/>
  </sheetPr>
  <dimension ref="B2:J35"/>
  <sheetViews>
    <sheetView tabSelected="1" topLeftCell="A2" workbookViewId="0">
      <selection activeCell="I35" sqref="I35"/>
    </sheetView>
  </sheetViews>
  <sheetFormatPr baseColWidth="10" defaultColWidth="10.6640625" defaultRowHeight="16"/>
  <cols>
    <col min="1" max="2" width="3.5" style="30" customWidth="1"/>
    <col min="3" max="3" width="36" style="30" customWidth="1"/>
    <col min="4" max="4" width="9.5" style="30" customWidth="1"/>
    <col min="5" max="5" width="15.5" style="30" customWidth="1"/>
    <col min="6" max="6" width="4.5" style="30" customWidth="1"/>
    <col min="7" max="7" width="47.5" style="30" customWidth="1"/>
    <col min="8" max="8" width="5.1640625" style="30" customWidth="1"/>
    <col min="9" max="9" width="48.83203125" style="30" customWidth="1"/>
    <col min="10" max="10" width="5.5" style="30" customWidth="1"/>
    <col min="11" max="16384" width="10.6640625" style="30"/>
  </cols>
  <sheetData>
    <row r="2" spans="2:10">
      <c r="B2" s="157" t="s">
        <v>37</v>
      </c>
      <c r="C2" s="158"/>
      <c r="D2" s="158"/>
      <c r="E2" s="159"/>
    </row>
    <row r="3" spans="2:10">
      <c r="B3" s="160"/>
      <c r="C3" s="161"/>
      <c r="D3" s="161"/>
      <c r="E3" s="162"/>
    </row>
    <row r="4" spans="2:10">
      <c r="B4" s="160"/>
      <c r="C4" s="161"/>
      <c r="D4" s="161"/>
      <c r="E4" s="162"/>
    </row>
    <row r="5" spans="2:10" ht="31" customHeight="1">
      <c r="B5" s="163"/>
      <c r="C5" s="164"/>
      <c r="D5" s="164"/>
      <c r="E5" s="165"/>
    </row>
    <row r="7" spans="2:10" ht="17" thickBot="1"/>
    <row r="8" spans="2:10">
      <c r="B8" s="143"/>
      <c r="C8" s="17"/>
      <c r="D8" s="17"/>
      <c r="E8" s="17"/>
      <c r="F8" s="17"/>
      <c r="G8" s="17"/>
      <c r="H8" s="17"/>
      <c r="I8" s="17"/>
      <c r="J8" s="144"/>
    </row>
    <row r="9" spans="2:10" s="10" customFormat="1">
      <c r="B9" s="20"/>
      <c r="C9" s="13" t="s">
        <v>15</v>
      </c>
      <c r="D9" s="14" t="s">
        <v>4</v>
      </c>
      <c r="E9" s="12" t="s">
        <v>2</v>
      </c>
      <c r="F9" s="13"/>
      <c r="G9" s="13" t="s">
        <v>3</v>
      </c>
      <c r="H9" s="13"/>
      <c r="I9" s="13" t="s">
        <v>0</v>
      </c>
      <c r="J9" s="60"/>
    </row>
    <row r="10" spans="2:10" s="10" customFormat="1">
      <c r="B10" s="21"/>
      <c r="D10" s="28"/>
      <c r="J10" s="11"/>
    </row>
    <row r="11" spans="2:10" s="10" customFormat="1" ht="17" thickBot="1">
      <c r="B11" s="21"/>
      <c r="C11" s="10" t="s">
        <v>33</v>
      </c>
      <c r="D11" s="28"/>
      <c r="J11" s="11"/>
    </row>
    <row r="12" spans="2:10" s="10" customFormat="1" ht="20" thickBot="1">
      <c r="B12" s="145"/>
      <c r="C12" s="114" t="s">
        <v>156</v>
      </c>
      <c r="D12" s="115" t="s">
        <v>123</v>
      </c>
      <c r="E12" s="116">
        <f>'Research data'!E7</f>
        <v>1126.47</v>
      </c>
      <c r="F12" s="114"/>
      <c r="G12" s="139"/>
      <c r="H12" s="140"/>
      <c r="I12" s="168" t="s">
        <v>109</v>
      </c>
      <c r="J12" s="146"/>
    </row>
    <row r="13" spans="2:10" ht="20" thickBot="1">
      <c r="B13" s="145"/>
      <c r="C13" s="114" t="s">
        <v>112</v>
      </c>
      <c r="D13" s="115" t="s">
        <v>1</v>
      </c>
      <c r="E13" s="156">
        <f>'Research data'!E8</f>
        <v>0.88100000000000001</v>
      </c>
      <c r="F13" s="114"/>
      <c r="G13" s="139"/>
      <c r="H13" s="140"/>
      <c r="I13" s="168" t="s">
        <v>109</v>
      </c>
      <c r="J13" s="146"/>
    </row>
    <row r="14" spans="2:10" ht="17" thickBot="1">
      <c r="B14" s="21"/>
      <c r="C14" s="122" t="s">
        <v>113</v>
      </c>
      <c r="D14" s="115" t="s">
        <v>1</v>
      </c>
      <c r="E14" s="156">
        <f>'Research data'!E9</f>
        <v>0.11899999999999999</v>
      </c>
      <c r="F14" s="122"/>
      <c r="G14" s="122"/>
      <c r="H14" s="27"/>
      <c r="I14" s="168" t="s">
        <v>109</v>
      </c>
      <c r="J14" s="11"/>
    </row>
    <row r="15" spans="2:10" ht="17" thickBot="1">
      <c r="B15" s="147"/>
      <c r="C15" s="122" t="s">
        <v>38</v>
      </c>
      <c r="D15" s="19" t="s">
        <v>1</v>
      </c>
      <c r="E15" s="156">
        <f>'Research data'!E10</f>
        <v>0.90600000000000003</v>
      </c>
      <c r="F15" s="122"/>
      <c r="G15" s="122"/>
      <c r="H15" s="122"/>
      <c r="I15" s="168" t="s">
        <v>109</v>
      </c>
      <c r="J15" s="148"/>
    </row>
    <row r="16" spans="2:10" ht="17" thickBot="1">
      <c r="B16" s="147"/>
      <c r="C16" s="122" t="s">
        <v>114</v>
      </c>
      <c r="D16" s="19" t="s">
        <v>1</v>
      </c>
      <c r="E16" s="156">
        <f>'Research data'!E11</f>
        <v>7.0000000000000007E-2</v>
      </c>
      <c r="F16" s="122"/>
      <c r="G16" s="122"/>
      <c r="H16" s="122"/>
      <c r="I16" s="168" t="s">
        <v>109</v>
      </c>
      <c r="J16" s="148"/>
    </row>
    <row r="17" spans="2:10" ht="17" thickBot="1">
      <c r="B17" s="149"/>
      <c r="C17" s="114" t="s">
        <v>157</v>
      </c>
      <c r="D17" s="115" t="s">
        <v>177</v>
      </c>
      <c r="E17" s="116">
        <f>'Research data'!E13</f>
        <v>8000</v>
      </c>
      <c r="F17" s="114"/>
      <c r="G17" s="114"/>
      <c r="H17" s="141"/>
      <c r="I17" s="168" t="s">
        <v>109</v>
      </c>
      <c r="J17" s="150"/>
    </row>
    <row r="18" spans="2:10" ht="17" thickBot="1">
      <c r="B18" s="149"/>
      <c r="C18" s="114" t="s">
        <v>126</v>
      </c>
      <c r="D18" s="115" t="s">
        <v>1</v>
      </c>
      <c r="E18" s="116">
        <f>'Research data'!E14</f>
        <v>0.96199999999999997</v>
      </c>
      <c r="F18" s="114"/>
      <c r="G18" s="114"/>
      <c r="H18" s="141"/>
      <c r="I18" s="141"/>
      <c r="J18" s="150"/>
    </row>
    <row r="19" spans="2:10">
      <c r="B19" s="147"/>
      <c r="C19" s="111"/>
      <c r="D19" s="111"/>
      <c r="E19" s="111"/>
      <c r="F19" s="111"/>
      <c r="G19" s="111"/>
      <c r="H19" s="111"/>
      <c r="I19" s="111"/>
      <c r="J19" s="148"/>
    </row>
    <row r="20" spans="2:10" ht="17" thickBot="1">
      <c r="B20" s="147"/>
      <c r="C20" s="10" t="s">
        <v>158</v>
      </c>
      <c r="D20" s="111"/>
      <c r="E20" s="111"/>
      <c r="F20" s="111"/>
      <c r="G20" s="111"/>
      <c r="H20" s="111"/>
      <c r="I20" s="111"/>
      <c r="J20" s="148"/>
    </row>
    <row r="21" spans="2:10" ht="17" thickBot="1">
      <c r="B21" s="147"/>
      <c r="C21" s="122" t="s">
        <v>159</v>
      </c>
      <c r="D21" s="19" t="s">
        <v>160</v>
      </c>
      <c r="E21" s="121">
        <f>'Research data'!E17</f>
        <v>745741908</v>
      </c>
      <c r="F21" s="122"/>
      <c r="G21" s="122" t="s">
        <v>178</v>
      </c>
      <c r="H21" s="122"/>
      <c r="I21" s="168" t="s">
        <v>109</v>
      </c>
      <c r="J21" s="148"/>
    </row>
    <row r="22" spans="2:10" ht="17" thickBot="1">
      <c r="B22" s="147"/>
      <c r="C22" s="122" t="s">
        <v>161</v>
      </c>
      <c r="D22" s="19" t="s">
        <v>160</v>
      </c>
      <c r="E22" s="121">
        <f>'Research data'!E18</f>
        <v>0</v>
      </c>
      <c r="F22" s="122"/>
      <c r="G22" s="122"/>
      <c r="H22" s="122"/>
      <c r="I22" s="142" t="s">
        <v>1</v>
      </c>
      <c r="J22" s="148"/>
    </row>
    <row r="23" spans="2:10" ht="17" thickBot="1">
      <c r="B23" s="147"/>
      <c r="C23" s="122" t="s">
        <v>162</v>
      </c>
      <c r="D23" s="19" t="s">
        <v>163</v>
      </c>
      <c r="E23" s="121">
        <f>'Research data'!E19</f>
        <v>41431169</v>
      </c>
      <c r="F23" s="122"/>
      <c r="G23" s="122" t="s">
        <v>179</v>
      </c>
      <c r="H23" s="122"/>
      <c r="I23" s="168" t="s">
        <v>109</v>
      </c>
      <c r="J23" s="148"/>
    </row>
    <row r="24" spans="2:10" ht="17" thickBot="1">
      <c r="B24" s="151"/>
      <c r="C24" s="130" t="s">
        <v>164</v>
      </c>
      <c r="D24" s="131" t="s">
        <v>165</v>
      </c>
      <c r="E24" s="121">
        <f>'Research data'!E20</f>
        <v>7200</v>
      </c>
      <c r="F24" s="130"/>
      <c r="G24" s="130" t="s">
        <v>180</v>
      </c>
      <c r="H24" s="130"/>
      <c r="I24" s="168" t="s">
        <v>109</v>
      </c>
      <c r="J24" s="152"/>
    </row>
    <row r="25" spans="2:10" ht="17" thickBot="1">
      <c r="B25" s="151"/>
      <c r="C25" s="130" t="s">
        <v>166</v>
      </c>
      <c r="D25" s="131" t="s">
        <v>165</v>
      </c>
      <c r="E25" s="121">
        <f>'Research data'!E21</f>
        <v>0</v>
      </c>
      <c r="F25" s="130"/>
      <c r="G25" s="130"/>
      <c r="H25" s="130"/>
      <c r="I25" s="142" t="s">
        <v>1</v>
      </c>
      <c r="J25" s="152"/>
    </row>
    <row r="26" spans="2:10" ht="17" thickBot="1">
      <c r="B26" s="151"/>
      <c r="C26" s="130" t="s">
        <v>167</v>
      </c>
      <c r="D26" s="19" t="s">
        <v>160</v>
      </c>
      <c r="E26" s="121">
        <f>'Research data'!E22</f>
        <v>0</v>
      </c>
      <c r="F26" s="130"/>
      <c r="G26" s="130" t="s">
        <v>181</v>
      </c>
      <c r="H26" s="130"/>
      <c r="I26" s="169" t="s">
        <v>1</v>
      </c>
      <c r="J26" s="152"/>
    </row>
    <row r="27" spans="2:10" ht="17" thickBot="1">
      <c r="B27" s="151"/>
      <c r="C27" s="130" t="s">
        <v>168</v>
      </c>
      <c r="D27" s="19" t="s">
        <v>160</v>
      </c>
      <c r="E27" s="121">
        <f>'Research data'!E23</f>
        <v>0</v>
      </c>
      <c r="F27" s="130"/>
      <c r="G27" s="130" t="s">
        <v>182</v>
      </c>
      <c r="H27" s="130"/>
      <c r="I27" s="169" t="s">
        <v>1</v>
      </c>
      <c r="J27" s="152"/>
    </row>
    <row r="28" spans="2:10" ht="17" thickBot="1">
      <c r="B28" s="147"/>
      <c r="C28" s="122" t="s">
        <v>183</v>
      </c>
      <c r="D28" s="19" t="s">
        <v>184</v>
      </c>
      <c r="E28" s="120">
        <v>7.0000000000000007E-2</v>
      </c>
      <c r="F28" s="122"/>
      <c r="G28" s="122" t="s">
        <v>185</v>
      </c>
      <c r="H28" s="122"/>
      <c r="I28" s="135" t="s">
        <v>186</v>
      </c>
      <c r="J28" s="148"/>
    </row>
    <row r="29" spans="2:10" ht="17" thickBot="1">
      <c r="B29" s="147"/>
      <c r="C29" s="122" t="s">
        <v>169</v>
      </c>
      <c r="D29" s="19" t="s">
        <v>170</v>
      </c>
      <c r="E29" s="121">
        <v>1</v>
      </c>
      <c r="F29" s="122"/>
      <c r="G29" s="122"/>
      <c r="H29" s="122"/>
      <c r="I29" s="170" t="s">
        <v>199</v>
      </c>
      <c r="J29" s="148"/>
    </row>
    <row r="30" spans="2:10">
      <c r="B30" s="147"/>
      <c r="C30" s="122"/>
      <c r="D30" s="19"/>
      <c r="E30" s="133"/>
      <c r="F30" s="122"/>
      <c r="G30" s="122"/>
      <c r="H30" s="122"/>
      <c r="I30" s="111"/>
      <c r="J30" s="148"/>
    </row>
    <row r="31" spans="2:10" ht="17" thickBot="1">
      <c r="B31" s="147"/>
      <c r="C31" s="10" t="s">
        <v>171</v>
      </c>
      <c r="D31" s="134"/>
      <c r="E31" s="133"/>
      <c r="F31" s="111"/>
      <c r="G31" s="111"/>
      <c r="H31" s="111"/>
      <c r="I31" s="111"/>
      <c r="J31" s="148"/>
    </row>
    <row r="32" spans="2:10" ht="17" thickBot="1">
      <c r="B32" s="147"/>
      <c r="C32" s="122" t="s">
        <v>172</v>
      </c>
      <c r="D32" s="19" t="s">
        <v>173</v>
      </c>
      <c r="E32" s="121">
        <f>'Research data'!E27</f>
        <v>25</v>
      </c>
      <c r="F32" s="122"/>
      <c r="G32" s="122" t="s">
        <v>187</v>
      </c>
      <c r="H32" s="122"/>
      <c r="I32" s="168" t="s">
        <v>109</v>
      </c>
      <c r="J32" s="148"/>
    </row>
    <row r="33" spans="2:10" ht="17" thickBot="1">
      <c r="B33" s="147"/>
      <c r="C33" s="122" t="s">
        <v>174</v>
      </c>
      <c r="D33" s="19" t="s">
        <v>173</v>
      </c>
      <c r="E33" s="121">
        <f>'Research data'!E28</f>
        <v>2</v>
      </c>
      <c r="F33" s="122"/>
      <c r="G33" s="122" t="s">
        <v>188</v>
      </c>
      <c r="H33" s="122"/>
      <c r="I33" s="168" t="s">
        <v>109</v>
      </c>
      <c r="J33" s="148"/>
    </row>
    <row r="34" spans="2:10" ht="17" thickBot="1">
      <c r="B34" s="147"/>
      <c r="C34" s="122" t="s">
        <v>16</v>
      </c>
      <c r="D34" s="19" t="s">
        <v>1</v>
      </c>
      <c r="E34" s="121">
        <f>'Research data'!E29</f>
        <v>0</v>
      </c>
      <c r="F34" s="122"/>
      <c r="G34" s="122"/>
      <c r="H34" s="122"/>
      <c r="I34" s="170" t="s">
        <v>199</v>
      </c>
      <c r="J34" s="148"/>
    </row>
    <row r="35" spans="2:10" ht="17" thickBot="1">
      <c r="B35" s="153"/>
      <c r="C35" s="154"/>
      <c r="D35" s="154"/>
      <c r="E35" s="154"/>
      <c r="F35" s="154"/>
      <c r="G35" s="154"/>
      <c r="H35" s="154"/>
      <c r="I35" s="154"/>
      <c r="J35" s="155"/>
    </row>
  </sheetData>
  <mergeCells count="1">
    <mergeCell ref="B2:E5"/>
  </mergeCells>
  <pageMargins left="0.75" right="0.75" top="1" bottom="1" header="0.5" footer="0.5"/>
  <pageSetup paperSize="9" orientation="portrait" horizontalDpi="4294967292" verticalDpi="429496729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6" tint="0.39997558519241921"/>
  </sheetPr>
  <dimension ref="B2:M29"/>
  <sheetViews>
    <sheetView workbookViewId="0">
      <selection activeCell="P16" sqref="P16"/>
    </sheetView>
  </sheetViews>
  <sheetFormatPr baseColWidth="10" defaultColWidth="10.6640625" defaultRowHeight="16"/>
  <cols>
    <col min="1" max="1" width="3.5" style="31" customWidth="1"/>
    <col min="2" max="2" width="3" style="31" customWidth="1"/>
    <col min="3" max="3" width="53.1640625" style="31" bestFit="1" customWidth="1"/>
    <col min="4" max="4" width="3" style="31" customWidth="1"/>
    <col min="5" max="5" width="14.83203125" style="31" customWidth="1"/>
    <col min="6" max="6" width="2.5" style="31" customWidth="1"/>
    <col min="7" max="7" width="10.83203125" style="31" bestFit="1" customWidth="1"/>
    <col min="8" max="9" width="2.5" style="31" customWidth="1"/>
    <col min="10" max="10" width="22.5" style="31" customWidth="1"/>
    <col min="11" max="11" width="11" style="31" customWidth="1"/>
    <col min="12" max="12" width="2.5" style="31" customWidth="1"/>
    <col min="13" max="13" width="22.5" style="31" customWidth="1"/>
    <col min="14" max="16384" width="10.6640625" style="31"/>
  </cols>
  <sheetData>
    <row r="2" spans="2:13" ht="17" thickBot="1"/>
    <row r="3" spans="2:13">
      <c r="B3" s="32"/>
      <c r="C3" s="33"/>
      <c r="D3" s="33"/>
      <c r="E3" s="33"/>
      <c r="F3" s="33"/>
      <c r="G3" s="33"/>
      <c r="H3" s="33"/>
      <c r="I3" s="33"/>
      <c r="J3" s="33"/>
      <c r="K3" s="33"/>
      <c r="L3" s="33"/>
      <c r="M3" s="33"/>
    </row>
    <row r="4" spans="2:13" s="10" customFormat="1">
      <c r="B4" s="21"/>
      <c r="C4" s="59" t="s">
        <v>15</v>
      </c>
      <c r="D4" s="59"/>
      <c r="E4" s="59" t="s">
        <v>36</v>
      </c>
      <c r="F4" s="59"/>
      <c r="G4" s="59" t="s">
        <v>175</v>
      </c>
      <c r="H4" s="59"/>
      <c r="I4" s="59"/>
      <c r="J4" s="59" t="s">
        <v>34</v>
      </c>
    </row>
    <row r="5" spans="2:13" ht="18" customHeight="1">
      <c r="B5" s="34"/>
      <c r="C5" s="36"/>
      <c r="E5" s="35"/>
      <c r="F5" s="35"/>
      <c r="G5" s="35"/>
      <c r="H5" s="35"/>
      <c r="J5" s="37"/>
    </row>
    <row r="6" spans="2:13" ht="18" customHeight="1" thickBot="1">
      <c r="B6" s="34"/>
      <c r="C6" s="10" t="s">
        <v>33</v>
      </c>
      <c r="D6" s="29"/>
      <c r="E6" s="9"/>
      <c r="F6" s="9"/>
      <c r="G6" s="9"/>
      <c r="H6" s="9"/>
      <c r="I6" s="111"/>
      <c r="J6" s="111"/>
    </row>
    <row r="7" spans="2:13" ht="17" thickBot="1">
      <c r="B7" s="34"/>
      <c r="C7" s="114" t="s">
        <v>156</v>
      </c>
      <c r="D7" s="117"/>
      <c r="E7" s="118">
        <f>ROUND(G7,2)</f>
        <v>1126.47</v>
      </c>
      <c r="F7" s="119"/>
      <c r="G7" s="120">
        <f>Notes!B2</f>
        <v>1126.4720942140298</v>
      </c>
      <c r="H7" s="119"/>
      <c r="I7" s="111"/>
      <c r="J7" s="111"/>
    </row>
    <row r="8" spans="2:13" ht="17" thickBot="1">
      <c r="B8" s="34"/>
      <c r="C8" s="114" t="s">
        <v>112</v>
      </c>
      <c r="D8" s="122"/>
      <c r="E8" s="138">
        <f>ROUND(G8,3)</f>
        <v>0.88100000000000001</v>
      </c>
      <c r="F8" s="111"/>
      <c r="G8" s="120">
        <f>Notes!B8</f>
        <v>0.88100000000000001</v>
      </c>
      <c r="H8" s="10"/>
      <c r="I8" s="111"/>
      <c r="J8" s="111"/>
    </row>
    <row r="9" spans="2:13" ht="17" thickBot="1">
      <c r="B9" s="34"/>
      <c r="C9" s="122" t="s">
        <v>113</v>
      </c>
      <c r="D9" s="122"/>
      <c r="E9" s="138">
        <f t="shared" ref="E9:E12" si="0">ROUND(G9,3)</f>
        <v>0.11899999999999999</v>
      </c>
      <c r="F9" s="111"/>
      <c r="G9" s="120">
        <f>Notes!B9</f>
        <v>0.11899999999999999</v>
      </c>
      <c r="H9" s="111"/>
      <c r="I9" s="111"/>
      <c r="J9" s="111"/>
    </row>
    <row r="10" spans="2:13" ht="17" thickBot="1">
      <c r="B10" s="34"/>
      <c r="C10" s="122" t="s">
        <v>38</v>
      </c>
      <c r="D10" s="122"/>
      <c r="E10" s="138">
        <f t="shared" si="0"/>
        <v>0.90600000000000003</v>
      </c>
      <c r="F10" s="111"/>
      <c r="G10" s="137">
        <f>Notes!B10</f>
        <v>0.90614082969432308</v>
      </c>
      <c r="H10" s="111"/>
      <c r="I10" s="111"/>
      <c r="J10" s="111"/>
    </row>
    <row r="11" spans="2:13" ht="17" thickBot="1">
      <c r="C11" s="122" t="s">
        <v>114</v>
      </c>
      <c r="D11" s="122"/>
      <c r="E11" s="138">
        <f t="shared" si="0"/>
        <v>7.0000000000000007E-2</v>
      </c>
      <c r="F11" s="111"/>
      <c r="G11" s="137">
        <f>Notes!B11</f>
        <v>7.0359170305676857E-2</v>
      </c>
      <c r="H11" s="111"/>
      <c r="I11" s="111"/>
      <c r="J11" s="111"/>
    </row>
    <row r="12" spans="2:13" ht="17" thickBot="1">
      <c r="C12" s="122" t="s">
        <v>115</v>
      </c>
      <c r="D12" s="122"/>
      <c r="E12" s="138">
        <f t="shared" si="0"/>
        <v>2.4E-2</v>
      </c>
      <c r="F12" s="111"/>
      <c r="G12" s="137">
        <f>Notes!B12</f>
        <v>2.3500000000000101E-2</v>
      </c>
      <c r="H12" s="111"/>
      <c r="I12" s="111"/>
      <c r="J12" s="111"/>
    </row>
    <row r="13" spans="2:13" ht="17" thickBot="1">
      <c r="C13" s="114" t="s">
        <v>157</v>
      </c>
      <c r="D13" s="111"/>
      <c r="E13" s="120">
        <f>ROUND(G13,2)</f>
        <v>8000</v>
      </c>
      <c r="F13" s="122"/>
      <c r="G13" s="123">
        <f>Notes!B3</f>
        <v>8000</v>
      </c>
      <c r="H13" s="111"/>
      <c r="I13" s="111"/>
      <c r="J13" s="111"/>
    </row>
    <row r="14" spans="2:13" ht="17" thickBot="1">
      <c r="C14" s="114" t="s">
        <v>126</v>
      </c>
      <c r="D14" s="111"/>
      <c r="E14" s="137">
        <f>ROUND(G14,3)</f>
        <v>0.96199999999999997</v>
      </c>
      <c r="F14" s="122"/>
      <c r="G14" s="124">
        <f>Notes!B4</f>
        <v>0.96153846153846156</v>
      </c>
      <c r="H14" s="111"/>
      <c r="I14" s="111"/>
      <c r="J14" s="111"/>
    </row>
    <row r="15" spans="2:13">
      <c r="C15" s="111"/>
      <c r="D15" s="111"/>
      <c r="E15" s="125"/>
      <c r="F15" s="122"/>
      <c r="G15" s="125"/>
      <c r="H15" s="111"/>
      <c r="I15" s="119"/>
      <c r="J15" s="126"/>
    </row>
    <row r="16" spans="2:13" ht="17" thickBot="1">
      <c r="C16" s="10" t="s">
        <v>158</v>
      </c>
      <c r="D16" s="111"/>
      <c r="E16" s="127"/>
      <c r="F16" s="128"/>
      <c r="G16" s="119"/>
      <c r="H16" s="128"/>
      <c r="I16" s="119"/>
      <c r="J16" s="122"/>
    </row>
    <row r="17" spans="3:10" ht="17" thickBot="1">
      <c r="C17" s="122" t="s">
        <v>159</v>
      </c>
      <c r="D17" s="111"/>
      <c r="E17" s="129">
        <f>ROUND(G17,0)</f>
        <v>745741908</v>
      </c>
      <c r="F17" s="127"/>
      <c r="G17" s="118">
        <f>Notes!B14</f>
        <v>745741907.53246748</v>
      </c>
      <c r="H17" s="127"/>
      <c r="I17" s="119"/>
      <c r="J17" s="122"/>
    </row>
    <row r="18" spans="3:10" ht="17" thickBot="1">
      <c r="C18" s="122" t="s">
        <v>161</v>
      </c>
      <c r="D18" s="111"/>
      <c r="E18" s="129">
        <f>ROUND(G18,0)</f>
        <v>0</v>
      </c>
      <c r="F18" s="127"/>
      <c r="G18" s="118">
        <v>0</v>
      </c>
      <c r="H18" s="127"/>
      <c r="I18" s="119"/>
      <c r="J18" s="122"/>
    </row>
    <row r="19" spans="3:10" ht="17" thickBot="1">
      <c r="C19" s="122" t="s">
        <v>162</v>
      </c>
      <c r="D19" s="111"/>
      <c r="E19" s="129">
        <f>ROUND(G19,0)</f>
        <v>41431169</v>
      </c>
      <c r="F19" s="119"/>
      <c r="G19" s="118">
        <f>Notes!B15</f>
        <v>41431168.831168823</v>
      </c>
      <c r="H19" s="119"/>
      <c r="I19" s="111"/>
      <c r="J19" s="122"/>
    </row>
    <row r="20" spans="3:10" ht="17" thickBot="1">
      <c r="C20" s="130" t="s">
        <v>164</v>
      </c>
      <c r="D20" s="111"/>
      <c r="E20" s="118">
        <f>ROUND(G20,2)</f>
        <v>7200</v>
      </c>
      <c r="F20" s="111"/>
      <c r="G20" s="118">
        <f>Notes!B16</f>
        <v>7200</v>
      </c>
      <c r="H20" s="111"/>
      <c r="I20" s="119"/>
      <c r="J20" s="122"/>
    </row>
    <row r="21" spans="3:10" ht="17" thickBot="1">
      <c r="C21" s="130" t="s">
        <v>166</v>
      </c>
      <c r="D21" s="111"/>
      <c r="E21" s="118">
        <f>G21</f>
        <v>0</v>
      </c>
      <c r="F21" s="125"/>
      <c r="G21" s="118">
        <v>0</v>
      </c>
      <c r="H21" s="125"/>
      <c r="I21" s="111"/>
      <c r="J21" s="122"/>
    </row>
    <row r="22" spans="3:10" ht="17" thickBot="1">
      <c r="C22" s="130" t="s">
        <v>167</v>
      </c>
      <c r="D22" s="111"/>
      <c r="E22" s="118">
        <f t="shared" ref="E22:E23" si="1">G22</f>
        <v>0</v>
      </c>
      <c r="F22" s="111"/>
      <c r="G22" s="132">
        <v>0</v>
      </c>
      <c r="H22" s="111"/>
      <c r="I22" s="125"/>
      <c r="J22" s="122"/>
    </row>
    <row r="23" spans="3:10" ht="17" thickBot="1">
      <c r="C23" s="130" t="s">
        <v>168</v>
      </c>
      <c r="D23" s="111"/>
      <c r="E23" s="118">
        <f t="shared" si="1"/>
        <v>0</v>
      </c>
      <c r="F23" s="111"/>
      <c r="G23" s="132">
        <v>0</v>
      </c>
      <c r="H23" s="111"/>
      <c r="I23" s="125"/>
      <c r="J23" s="122"/>
    </row>
    <row r="24" spans="3:10" ht="17" thickBot="1">
      <c r="C24" s="122" t="s">
        <v>169</v>
      </c>
      <c r="D24" s="111"/>
      <c r="E24" s="118">
        <f>G24</f>
        <v>0</v>
      </c>
      <c r="F24" s="125"/>
      <c r="G24" s="118">
        <v>0</v>
      </c>
      <c r="H24" s="125"/>
      <c r="I24" s="125"/>
      <c r="J24" s="122"/>
    </row>
    <row r="25" spans="3:10">
      <c r="C25" s="122"/>
      <c r="D25" s="111"/>
      <c r="E25" s="111"/>
      <c r="F25" s="111"/>
      <c r="G25" s="111"/>
      <c r="H25" s="125"/>
      <c r="I25" s="111"/>
      <c r="J25" s="126"/>
    </row>
    <row r="26" spans="3:10" ht="17" thickBot="1">
      <c r="C26" s="10" t="s">
        <v>171</v>
      </c>
      <c r="D26" s="111"/>
      <c r="E26" s="125"/>
      <c r="F26" s="111"/>
      <c r="G26" s="125"/>
      <c r="H26" s="111"/>
      <c r="I26" s="111"/>
      <c r="J26" s="122"/>
    </row>
    <row r="27" spans="3:10" ht="17" thickBot="1">
      <c r="C27" s="122" t="s">
        <v>172</v>
      </c>
      <c r="D27" s="111"/>
      <c r="E27" s="118">
        <f>G27</f>
        <v>25</v>
      </c>
      <c r="F27" s="111"/>
      <c r="G27" s="120">
        <f>Notes!B5</f>
        <v>25</v>
      </c>
      <c r="H27" s="111"/>
      <c r="I27" s="111"/>
      <c r="J27" s="122"/>
    </row>
    <row r="28" spans="3:10" ht="17" thickBot="1">
      <c r="C28" s="122" t="s">
        <v>174</v>
      </c>
      <c r="D28" s="111"/>
      <c r="E28" s="118">
        <f>G28</f>
        <v>2</v>
      </c>
      <c r="F28" s="127"/>
      <c r="G28" s="120">
        <f>Notes!B6</f>
        <v>2</v>
      </c>
      <c r="H28" s="127"/>
      <c r="I28" s="127"/>
      <c r="J28" s="126"/>
    </row>
    <row r="29" spans="3:10" ht="17" thickBot="1">
      <c r="C29" s="122" t="s">
        <v>16</v>
      </c>
      <c r="D29" s="111"/>
      <c r="E29" s="118">
        <v>0</v>
      </c>
      <c r="F29" s="128"/>
      <c r="G29" s="135">
        <v>0</v>
      </c>
      <c r="H29" s="128"/>
      <c r="I29" s="128"/>
      <c r="J29" s="126"/>
    </row>
  </sheetData>
  <pageMargins left="0.75" right="0.75" top="1" bottom="1" header="0.5" footer="0.5"/>
  <pageSetup paperSize="9" orientation="portrait" horizontalDpi="4294967292" verticalDpi="429496729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6" tint="0.79998168889431442"/>
  </sheetPr>
  <dimension ref="B1:J40"/>
  <sheetViews>
    <sheetView workbookViewId="0">
      <selection activeCell="D7" sqref="D7"/>
    </sheetView>
  </sheetViews>
  <sheetFormatPr baseColWidth="10" defaultColWidth="33.1640625" defaultRowHeight="16"/>
  <cols>
    <col min="1" max="1" width="3.5" style="38" customWidth="1"/>
    <col min="2" max="2" width="6.5" style="38" customWidth="1"/>
    <col min="3" max="3" width="27.83203125" style="38" customWidth="1"/>
    <col min="4" max="4" width="16.1640625" style="38" customWidth="1"/>
    <col min="5" max="5" width="10.1640625" style="38" customWidth="1"/>
    <col min="6" max="6" width="13.1640625" style="38" customWidth="1"/>
    <col min="7" max="7" width="70.33203125" style="38" bestFit="1" customWidth="1"/>
    <col min="8" max="8" width="12.5" style="40" customWidth="1"/>
    <col min="9" max="9" width="31.5" style="40" customWidth="1"/>
    <col min="10" max="10" width="98.5" style="38" customWidth="1"/>
    <col min="11" max="16384" width="33.1640625" style="38"/>
  </cols>
  <sheetData>
    <row r="1" spans="2:10" ht="17" thickBot="1"/>
    <row r="2" spans="2:10">
      <c r="B2" s="65"/>
      <c r="C2" s="39"/>
      <c r="D2" s="39"/>
      <c r="E2" s="39"/>
      <c r="F2" s="39"/>
      <c r="G2" s="39"/>
      <c r="H2" s="41"/>
      <c r="I2" s="41"/>
      <c r="J2" s="39"/>
    </row>
    <row r="3" spans="2:10">
      <c r="B3" s="66"/>
      <c r="C3" s="10" t="s">
        <v>11</v>
      </c>
      <c r="D3" s="10"/>
      <c r="E3" s="10"/>
      <c r="F3" s="10"/>
      <c r="G3" s="10"/>
      <c r="H3" s="15"/>
      <c r="I3" s="15"/>
    </row>
    <row r="4" spans="2:10">
      <c r="B4" s="66"/>
    </row>
    <row r="5" spans="2:10">
      <c r="B5" s="67"/>
      <c r="C5" s="12" t="s">
        <v>12</v>
      </c>
      <c r="D5" s="12" t="s">
        <v>0</v>
      </c>
      <c r="E5" s="12" t="s">
        <v>8</v>
      </c>
      <c r="F5" s="12" t="s">
        <v>13</v>
      </c>
      <c r="G5" s="12" t="s">
        <v>155</v>
      </c>
      <c r="H5" s="16" t="s">
        <v>14</v>
      </c>
      <c r="I5" s="16" t="s">
        <v>35</v>
      </c>
      <c r="J5" s="12" t="s">
        <v>5</v>
      </c>
    </row>
    <row r="6" spans="2:10">
      <c r="B6" s="66"/>
      <c r="C6" s="10"/>
      <c r="D6" s="10"/>
      <c r="E6" s="10"/>
      <c r="F6" s="10"/>
      <c r="G6" s="10"/>
      <c r="H6" s="15"/>
      <c r="I6" s="15"/>
      <c r="J6" s="10"/>
    </row>
    <row r="7" spans="2:10">
      <c r="B7" s="66"/>
      <c r="C7" s="111" t="s">
        <v>149</v>
      </c>
      <c r="D7" s="111" t="s">
        <v>109</v>
      </c>
      <c r="E7" s="111" t="s">
        <v>150</v>
      </c>
      <c r="F7" s="111">
        <v>2025</v>
      </c>
      <c r="G7" s="111" t="s">
        <v>151</v>
      </c>
      <c r="H7" s="112">
        <v>45887</v>
      </c>
      <c r="I7" s="113" t="s">
        <v>152</v>
      </c>
    </row>
    <row r="8" spans="2:10">
      <c r="B8" s="66"/>
      <c r="D8" s="111" t="s">
        <v>109</v>
      </c>
      <c r="E8" s="111" t="s">
        <v>150</v>
      </c>
      <c r="F8" s="111">
        <v>2025</v>
      </c>
      <c r="G8" s="111" t="s">
        <v>153</v>
      </c>
      <c r="H8" s="112">
        <v>45887</v>
      </c>
      <c r="I8" s="113" t="s">
        <v>154</v>
      </c>
    </row>
    <row r="9" spans="2:10">
      <c r="B9" s="66"/>
    </row>
    <row r="10" spans="2:10">
      <c r="B10" s="66"/>
    </row>
    <row r="11" spans="2:10">
      <c r="B11" s="66"/>
    </row>
    <row r="12" spans="2:10">
      <c r="B12" s="66"/>
    </row>
    <row r="13" spans="2:10">
      <c r="B13" s="66"/>
    </row>
    <row r="14" spans="2:10">
      <c r="B14" s="66"/>
    </row>
    <row r="15" spans="2:10">
      <c r="B15" s="66"/>
    </row>
    <row r="16" spans="2:10">
      <c r="B16" s="66"/>
    </row>
    <row r="17" spans="2:2">
      <c r="B17" s="66"/>
    </row>
    <row r="18" spans="2:2">
      <c r="B18" s="66"/>
    </row>
    <row r="19" spans="2:2">
      <c r="B19" s="66"/>
    </row>
    <row r="20" spans="2:2">
      <c r="B20" s="66"/>
    </row>
    <row r="21" spans="2:2">
      <c r="B21" s="66"/>
    </row>
    <row r="22" spans="2:2">
      <c r="B22" s="66"/>
    </row>
    <row r="23" spans="2:2">
      <c r="B23" s="66"/>
    </row>
    <row r="24" spans="2:2">
      <c r="B24" s="66"/>
    </row>
    <row r="25" spans="2:2">
      <c r="B25" s="66"/>
    </row>
    <row r="26" spans="2:2">
      <c r="B26" s="66"/>
    </row>
    <row r="27" spans="2:2">
      <c r="B27" s="66"/>
    </row>
    <row r="28" spans="2:2">
      <c r="B28" s="66"/>
    </row>
    <row r="29" spans="2:2">
      <c r="B29" s="66"/>
    </row>
    <row r="30" spans="2:2">
      <c r="B30" s="66"/>
    </row>
    <row r="31" spans="2:2">
      <c r="B31" s="66"/>
    </row>
    <row r="32" spans="2:2">
      <c r="B32" s="66"/>
    </row>
    <row r="33" spans="2:2">
      <c r="B33" s="66"/>
    </row>
    <row r="34" spans="2:2">
      <c r="B34" s="66"/>
    </row>
    <row r="35" spans="2:2">
      <c r="B35" s="66"/>
    </row>
    <row r="36" spans="2:2">
      <c r="B36" s="66"/>
    </row>
    <row r="37" spans="2:2">
      <c r="B37" s="66"/>
    </row>
    <row r="38" spans="2:2">
      <c r="B38" s="66"/>
    </row>
    <row r="39" spans="2:2">
      <c r="B39" s="66"/>
    </row>
    <row r="40" spans="2:2">
      <c r="B40" s="66"/>
    </row>
  </sheetData>
  <phoneticPr fontId="20" type="noConversion"/>
  <hyperlinks>
    <hyperlink ref="I7" r:id="rId1" xr:uid="{1A56D6AF-27CE-BE4E-914D-24D1FEEE7CD0}"/>
    <hyperlink ref="I8" r:id="rId2" xr:uid="{2E4DDF25-DEDC-8245-BE3B-8302A796949B}"/>
  </hyperlinks>
  <pageMargins left="0.75" right="0.75" top="1" bottom="1" header="0.5" footer="0.5"/>
  <pageSetup paperSize="9" orientation="portrait" horizontalDpi="4294967292" verticalDpi="429496729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79998168889431442"/>
  </sheetPr>
  <dimension ref="A1:X141"/>
  <sheetViews>
    <sheetView zoomScale="114" workbookViewId="0">
      <selection activeCell="B2" sqref="B2"/>
    </sheetView>
  </sheetViews>
  <sheetFormatPr baseColWidth="10" defaultColWidth="10.6640625" defaultRowHeight="16"/>
  <cols>
    <col min="1" max="1" width="17.6640625" style="42" customWidth="1"/>
    <col min="2" max="2" width="11.5" style="42" customWidth="1"/>
    <col min="3" max="4" width="10.6640625" style="42"/>
    <col min="5" max="5" width="13" style="42" customWidth="1"/>
    <col min="6" max="9" width="10.6640625" style="42"/>
    <col min="10" max="10" width="16.1640625" style="42" customWidth="1"/>
    <col min="11" max="11" width="10.6640625" style="42"/>
    <col min="12" max="12" width="18.33203125" style="42" customWidth="1"/>
    <col min="13" max="13" width="22.33203125" style="42" customWidth="1"/>
    <col min="14" max="16384" width="10.6640625" style="42"/>
  </cols>
  <sheetData>
    <row r="1" spans="1:24">
      <c r="A1" s="43" t="s">
        <v>147</v>
      </c>
    </row>
    <row r="2" spans="1:24">
      <c r="A2" s="42" t="s">
        <v>148</v>
      </c>
      <c r="B2" s="136">
        <f>B37/(1-C31)</f>
        <v>1126.4720942140298</v>
      </c>
      <c r="C2" s="42" t="s">
        <v>123</v>
      </c>
    </row>
    <row r="3" spans="1:24">
      <c r="A3" s="42" t="s">
        <v>124</v>
      </c>
      <c r="B3" s="42">
        <f>B38</f>
        <v>8000</v>
      </c>
      <c r="C3" s="42" t="s">
        <v>176</v>
      </c>
    </row>
    <row r="4" spans="1:24">
      <c r="A4" s="42" t="s">
        <v>126</v>
      </c>
      <c r="B4" s="61">
        <f>B40</f>
        <v>0.96153846153846156</v>
      </c>
      <c r="L4" s="42" t="s">
        <v>108</v>
      </c>
    </row>
    <row r="5" spans="1:24">
      <c r="A5" s="42" t="s">
        <v>127</v>
      </c>
      <c r="B5" s="136">
        <f>B41</f>
        <v>25</v>
      </c>
      <c r="C5" s="42" t="s">
        <v>129</v>
      </c>
      <c r="L5" s="68" t="s">
        <v>41</v>
      </c>
      <c r="M5" s="69"/>
      <c r="N5" s="166" t="s">
        <v>42</v>
      </c>
      <c r="O5" s="167"/>
      <c r="P5" s="167"/>
      <c r="Q5" s="167"/>
      <c r="R5" s="167"/>
      <c r="S5" s="167"/>
      <c r="T5" s="167"/>
      <c r="U5" s="167"/>
      <c r="V5" s="167"/>
      <c r="W5" s="167"/>
      <c r="X5" s="167"/>
    </row>
    <row r="6" spans="1:24">
      <c r="A6" s="42" t="s">
        <v>128</v>
      </c>
      <c r="B6" s="136">
        <f>B42</f>
        <v>2</v>
      </c>
      <c r="C6" s="42" t="s">
        <v>129</v>
      </c>
      <c r="L6" s="70" t="s">
        <v>43</v>
      </c>
      <c r="M6" s="70"/>
      <c r="N6" s="71">
        <v>2015</v>
      </c>
      <c r="O6" s="71">
        <v>2020</v>
      </c>
      <c r="P6" s="100">
        <v>2030</v>
      </c>
      <c r="Q6" s="71">
        <v>2040</v>
      </c>
      <c r="R6" s="71">
        <v>2050</v>
      </c>
      <c r="S6" s="72">
        <v>2020</v>
      </c>
      <c r="T6" s="72">
        <v>2020</v>
      </c>
      <c r="U6" s="72">
        <v>2050</v>
      </c>
      <c r="V6" s="72">
        <v>2050</v>
      </c>
      <c r="W6" s="73" t="s">
        <v>44</v>
      </c>
      <c r="X6" s="73" t="s">
        <v>45</v>
      </c>
    </row>
    <row r="7" spans="1:24" ht="17" thickBot="1">
      <c r="L7" s="74" t="s">
        <v>46</v>
      </c>
      <c r="M7" s="75"/>
      <c r="N7" s="76" t="s">
        <v>47</v>
      </c>
      <c r="O7" s="76" t="s">
        <v>47</v>
      </c>
      <c r="P7" s="76" t="s">
        <v>47</v>
      </c>
      <c r="Q7" s="76" t="s">
        <v>47</v>
      </c>
      <c r="R7" s="76" t="s">
        <v>47</v>
      </c>
      <c r="S7" s="77" t="s">
        <v>48</v>
      </c>
      <c r="T7" s="77" t="s">
        <v>49</v>
      </c>
      <c r="U7" s="77" t="s">
        <v>48</v>
      </c>
      <c r="V7" s="77" t="s">
        <v>49</v>
      </c>
      <c r="W7" s="78" t="s">
        <v>1</v>
      </c>
      <c r="X7" s="78" t="s">
        <v>1</v>
      </c>
    </row>
    <row r="8" spans="1:24">
      <c r="A8" s="42" t="s">
        <v>112</v>
      </c>
      <c r="B8" s="61">
        <f>C21</f>
        <v>0.88100000000000001</v>
      </c>
      <c r="L8" s="79" t="s">
        <v>50</v>
      </c>
      <c r="M8" s="80" t="s">
        <v>51</v>
      </c>
      <c r="N8" s="81"/>
      <c r="O8" s="81"/>
      <c r="P8" s="101"/>
      <c r="Q8" s="81"/>
      <c r="R8" s="81"/>
      <c r="S8" s="81"/>
      <c r="T8" s="81"/>
      <c r="U8" s="81"/>
      <c r="V8" s="81"/>
      <c r="W8" s="82"/>
      <c r="X8" s="82"/>
    </row>
    <row r="9" spans="1:24">
      <c r="A9" s="42" t="s">
        <v>113</v>
      </c>
      <c r="B9" s="61">
        <f>C22</f>
        <v>0.11899999999999999</v>
      </c>
      <c r="L9" s="83" t="s">
        <v>52</v>
      </c>
      <c r="M9" s="83"/>
      <c r="N9" s="81"/>
      <c r="O9" s="81"/>
      <c r="P9" s="101"/>
      <c r="Q9" s="81"/>
      <c r="R9" s="81"/>
      <c r="S9" s="81"/>
      <c r="T9" s="81"/>
      <c r="U9" s="81"/>
      <c r="V9" s="81"/>
      <c r="W9" s="82"/>
      <c r="X9" s="82"/>
    </row>
    <row r="10" spans="1:24">
      <c r="A10" s="42" t="s">
        <v>38</v>
      </c>
      <c r="B10" s="61">
        <f>C26</f>
        <v>0.90614082969432308</v>
      </c>
      <c r="L10" s="83"/>
      <c r="M10" s="84" t="s">
        <v>53</v>
      </c>
      <c r="N10" s="85">
        <v>500</v>
      </c>
      <c r="O10" s="85">
        <v>500</v>
      </c>
      <c r="P10" s="102">
        <v>750</v>
      </c>
      <c r="Q10" s="85">
        <v>850</v>
      </c>
      <c r="R10" s="85">
        <v>1000</v>
      </c>
      <c r="S10" s="86">
        <v>0.5</v>
      </c>
      <c r="T10" s="86">
        <v>2</v>
      </c>
      <c r="U10" s="86">
        <v>0.5</v>
      </c>
      <c r="V10" s="86">
        <v>1</v>
      </c>
      <c r="W10" s="82" t="s">
        <v>54</v>
      </c>
      <c r="X10" s="82"/>
    </row>
    <row r="11" spans="1:24">
      <c r="A11" s="42" t="s">
        <v>114</v>
      </c>
      <c r="B11" s="61">
        <f>C27</f>
        <v>7.0359170305676857E-2</v>
      </c>
      <c r="L11" s="83"/>
      <c r="M11" s="84" t="s">
        <v>55</v>
      </c>
      <c r="N11" s="85">
        <v>730</v>
      </c>
      <c r="O11" s="85">
        <v>730</v>
      </c>
      <c r="P11" s="102">
        <v>1100</v>
      </c>
      <c r="Q11" s="85">
        <v>1250</v>
      </c>
      <c r="R11" s="85">
        <v>1460</v>
      </c>
      <c r="S11" s="86">
        <v>0.5</v>
      </c>
      <c r="T11" s="86">
        <v>2</v>
      </c>
      <c r="U11" s="86">
        <v>0.5</v>
      </c>
      <c r="V11" s="86">
        <v>1</v>
      </c>
      <c r="W11" s="82" t="s">
        <v>56</v>
      </c>
      <c r="X11" s="82"/>
    </row>
    <row r="12" spans="1:24">
      <c r="A12" s="42" t="s">
        <v>115</v>
      </c>
      <c r="B12" s="61">
        <f>C31</f>
        <v>2.3500000000000101E-2</v>
      </c>
      <c r="L12" s="83"/>
      <c r="M12" s="83" t="s">
        <v>57</v>
      </c>
      <c r="N12" s="85"/>
      <c r="O12" s="85"/>
      <c r="P12" s="102"/>
      <c r="Q12" s="85"/>
      <c r="R12" s="85"/>
      <c r="S12" s="85"/>
      <c r="T12" s="85"/>
      <c r="U12" s="85"/>
      <c r="V12" s="85"/>
      <c r="W12" s="82"/>
      <c r="X12" s="82"/>
    </row>
    <row r="13" spans="1:24">
      <c r="L13" s="83"/>
      <c r="M13" s="84" t="s">
        <v>58</v>
      </c>
      <c r="N13" s="85">
        <v>0.88100000000000001</v>
      </c>
      <c r="O13" s="85">
        <v>0.88100000000000001</v>
      </c>
      <c r="P13" s="102">
        <v>0.88100000000000001</v>
      </c>
      <c r="Q13" s="85">
        <v>0.88100000000000001</v>
      </c>
      <c r="R13" s="85">
        <v>0.88100000000000001</v>
      </c>
      <c r="S13" s="87">
        <v>0.99</v>
      </c>
      <c r="T13" s="87">
        <v>1.01</v>
      </c>
      <c r="U13" s="87">
        <v>0.99</v>
      </c>
      <c r="V13" s="87">
        <v>1.01</v>
      </c>
      <c r="W13" s="82" t="s">
        <v>59</v>
      </c>
      <c r="X13" s="82" t="s">
        <v>60</v>
      </c>
    </row>
    <row r="14" spans="1:24">
      <c r="A14" s="42" t="s">
        <v>130</v>
      </c>
      <c r="B14" s="109">
        <f>B44</f>
        <v>745741907.53246748</v>
      </c>
      <c r="C14" s="42" t="s">
        <v>133</v>
      </c>
      <c r="L14" s="83"/>
      <c r="M14" s="84" t="s">
        <v>61</v>
      </c>
      <c r="N14" s="85">
        <v>0.105</v>
      </c>
      <c r="O14" s="85">
        <v>0.105</v>
      </c>
      <c r="P14" s="102">
        <v>0.105</v>
      </c>
      <c r="Q14" s="85">
        <v>0.105</v>
      </c>
      <c r="R14" s="85">
        <v>0.105</v>
      </c>
      <c r="S14" s="87">
        <v>0.93</v>
      </c>
      <c r="T14" s="87">
        <v>1.07</v>
      </c>
      <c r="U14" s="87">
        <v>0.93</v>
      </c>
      <c r="V14" s="87">
        <v>1.07</v>
      </c>
      <c r="W14" s="82" t="s">
        <v>62</v>
      </c>
      <c r="X14" s="82" t="s">
        <v>60</v>
      </c>
    </row>
    <row r="15" spans="1:24">
      <c r="A15" s="42" t="s">
        <v>131</v>
      </c>
      <c r="B15" s="109">
        <f>B45</f>
        <v>41431168.831168823</v>
      </c>
      <c r="C15" s="42" t="s">
        <v>134</v>
      </c>
      <c r="L15" s="83"/>
      <c r="M15" s="84" t="s">
        <v>63</v>
      </c>
      <c r="N15" s="85">
        <v>8.0000000000000002E-3</v>
      </c>
      <c r="O15" s="85">
        <v>8.0000000000000002E-3</v>
      </c>
      <c r="P15" s="102">
        <v>8.0000000000000002E-3</v>
      </c>
      <c r="Q15" s="85">
        <v>8.0000000000000002E-3</v>
      </c>
      <c r="R15" s="85">
        <v>8.0000000000000002E-3</v>
      </c>
      <c r="S15" s="87">
        <v>0.5</v>
      </c>
      <c r="T15" s="87">
        <v>1.5</v>
      </c>
      <c r="U15" s="87">
        <v>0.5</v>
      </c>
      <c r="V15" s="87">
        <v>1.5</v>
      </c>
      <c r="W15" s="82" t="s">
        <v>59</v>
      </c>
      <c r="X15" s="82" t="s">
        <v>60</v>
      </c>
    </row>
    <row r="16" spans="1:24">
      <c r="A16" s="42" t="s">
        <v>132</v>
      </c>
      <c r="B16" s="109">
        <f>B52</f>
        <v>7200</v>
      </c>
      <c r="C16" s="110" t="s">
        <v>137</v>
      </c>
      <c r="L16" s="83"/>
      <c r="M16" s="84" t="s">
        <v>64</v>
      </c>
      <c r="N16" s="85">
        <v>7.0000000000000001E-3</v>
      </c>
      <c r="O16" s="85">
        <v>7.0000000000000001E-3</v>
      </c>
      <c r="P16" s="102">
        <v>7.0000000000000001E-3</v>
      </c>
      <c r="Q16" s="85">
        <v>7.0000000000000001E-3</v>
      </c>
      <c r="R16" s="85">
        <v>7.0000000000000001E-3</v>
      </c>
      <c r="S16" s="87">
        <v>0.5</v>
      </c>
      <c r="T16" s="87">
        <v>0.5</v>
      </c>
      <c r="U16" s="87">
        <v>0.5</v>
      </c>
      <c r="V16" s="87">
        <v>0.5</v>
      </c>
      <c r="W16" s="82" t="s">
        <v>59</v>
      </c>
      <c r="X16" s="82" t="s">
        <v>60</v>
      </c>
    </row>
    <row r="17" spans="1:24">
      <c r="L17" s="83"/>
      <c r="M17" s="83" t="s">
        <v>65</v>
      </c>
      <c r="N17" s="85"/>
      <c r="O17" s="85"/>
      <c r="P17" s="102"/>
      <c r="Q17" s="85"/>
      <c r="R17" s="85"/>
      <c r="S17" s="85"/>
      <c r="T17" s="85"/>
      <c r="U17" s="85"/>
      <c r="V17" s="85"/>
      <c r="W17" s="82"/>
      <c r="X17" s="82"/>
    </row>
    <row r="18" spans="1:24">
      <c r="L18" s="83"/>
      <c r="M18" s="84" t="s">
        <v>66</v>
      </c>
      <c r="N18" s="88">
        <v>0.85</v>
      </c>
      <c r="O18" s="88">
        <v>0.85</v>
      </c>
      <c r="P18" s="103">
        <v>0.85</v>
      </c>
      <c r="Q18" s="88">
        <v>0.85</v>
      </c>
      <c r="R18" s="88">
        <v>0.85</v>
      </c>
      <c r="S18" s="87">
        <v>0.99</v>
      </c>
      <c r="T18" s="87">
        <v>1.01</v>
      </c>
      <c r="U18" s="87">
        <v>0.99</v>
      </c>
      <c r="V18" s="87">
        <v>1.01</v>
      </c>
      <c r="W18" s="82" t="s">
        <v>67</v>
      </c>
      <c r="X18" s="82"/>
    </row>
    <row r="19" spans="1:24">
      <c r="A19" s="43" t="s">
        <v>110</v>
      </c>
      <c r="L19" s="83"/>
      <c r="M19" s="84" t="s">
        <v>68</v>
      </c>
      <c r="N19" s="88">
        <v>6.6000000000000003E-2</v>
      </c>
      <c r="O19" s="88">
        <v>6.6000000000000003E-2</v>
      </c>
      <c r="P19" s="103">
        <v>6.6000000000000003E-2</v>
      </c>
      <c r="Q19" s="88">
        <v>6.6000000000000003E-2</v>
      </c>
      <c r="R19" s="88">
        <v>6.6000000000000003E-2</v>
      </c>
      <c r="S19" s="87">
        <v>0.99</v>
      </c>
      <c r="T19" s="87">
        <v>1.01</v>
      </c>
      <c r="U19" s="87">
        <v>0.99</v>
      </c>
      <c r="V19" s="87">
        <v>1.01</v>
      </c>
      <c r="W19" s="82" t="s">
        <v>67</v>
      </c>
      <c r="X19" s="82"/>
    </row>
    <row r="20" spans="1:24">
      <c r="A20" s="43" t="s">
        <v>111</v>
      </c>
      <c r="B20" s="43" t="s">
        <v>117</v>
      </c>
      <c r="C20" s="43" t="s">
        <v>118</v>
      </c>
      <c r="L20" s="83"/>
      <c r="M20" s="84" t="s">
        <v>69</v>
      </c>
      <c r="N20" s="88">
        <v>3.3000000000000002E-2</v>
      </c>
      <c r="O20" s="88">
        <v>3.3000000000000002E-2</v>
      </c>
      <c r="P20" s="103">
        <v>3.3000000000000002E-2</v>
      </c>
      <c r="Q20" s="88">
        <v>3.3000000000000002E-2</v>
      </c>
      <c r="R20" s="88">
        <v>3.3000000000000002E-2</v>
      </c>
      <c r="S20" s="87">
        <v>0.99</v>
      </c>
      <c r="T20" s="87">
        <v>1.01</v>
      </c>
      <c r="U20" s="87">
        <v>0.99</v>
      </c>
      <c r="V20" s="87">
        <v>1.01</v>
      </c>
      <c r="W20" s="82" t="s">
        <v>67</v>
      </c>
      <c r="X20" s="82"/>
    </row>
    <row r="21" spans="1:24">
      <c r="A21" s="42" t="s">
        <v>112</v>
      </c>
      <c r="B21" s="42">
        <f>P13</f>
        <v>0.88100000000000001</v>
      </c>
      <c r="C21" s="61">
        <f>B21</f>
        <v>0.88100000000000001</v>
      </c>
      <c r="E21" s="42" t="s">
        <v>119</v>
      </c>
      <c r="L21" s="83"/>
      <c r="M21" s="84" t="s">
        <v>70</v>
      </c>
      <c r="N21" s="88">
        <v>2.75E-2</v>
      </c>
      <c r="O21" s="88">
        <v>2.75E-2</v>
      </c>
      <c r="P21" s="103">
        <v>2.75E-2</v>
      </c>
      <c r="Q21" s="88">
        <v>2.75E-2</v>
      </c>
      <c r="R21" s="88">
        <v>2.75E-2</v>
      </c>
      <c r="S21" s="87">
        <v>0.99</v>
      </c>
      <c r="T21" s="87">
        <v>1.01</v>
      </c>
      <c r="U21" s="87">
        <v>0.99</v>
      </c>
      <c r="V21" s="87">
        <v>1.01</v>
      </c>
      <c r="W21" s="82" t="s">
        <v>67</v>
      </c>
      <c r="X21" s="82"/>
    </row>
    <row r="22" spans="1:24">
      <c r="A22" s="42" t="s">
        <v>113</v>
      </c>
      <c r="B22" s="42">
        <f>P14</f>
        <v>0.105</v>
      </c>
      <c r="C22" s="61">
        <f>1-C21</f>
        <v>0.11899999999999999</v>
      </c>
      <c r="L22" s="83"/>
      <c r="M22" s="84" t="s">
        <v>71</v>
      </c>
      <c r="N22" s="88">
        <f>0.0237*0.15</f>
        <v>3.5549999999999996E-3</v>
      </c>
      <c r="O22" s="88">
        <f t="shared" ref="O22:R22" si="0">0.0237*0.15</f>
        <v>3.5549999999999996E-3</v>
      </c>
      <c r="P22" s="103">
        <f t="shared" si="0"/>
        <v>3.5549999999999996E-3</v>
      </c>
      <c r="Q22" s="88">
        <f t="shared" si="0"/>
        <v>3.5549999999999996E-3</v>
      </c>
      <c r="R22" s="88">
        <f t="shared" si="0"/>
        <v>3.5549999999999996E-3</v>
      </c>
      <c r="S22" s="87">
        <v>0.99</v>
      </c>
      <c r="T22" s="87">
        <v>1.01</v>
      </c>
      <c r="U22" s="87">
        <v>0.99</v>
      </c>
      <c r="V22" s="87">
        <v>1.01</v>
      </c>
      <c r="W22" s="82" t="s">
        <v>67</v>
      </c>
      <c r="X22" s="82"/>
    </row>
    <row r="23" spans="1:24">
      <c r="A23" s="42" t="s">
        <v>189</v>
      </c>
      <c r="B23" s="42">
        <f>P15</f>
        <v>8.0000000000000002E-3</v>
      </c>
      <c r="E23" s="42" t="s">
        <v>192</v>
      </c>
      <c r="L23" s="83"/>
      <c r="M23" s="84" t="s">
        <v>72</v>
      </c>
      <c r="N23" s="85">
        <v>0</v>
      </c>
      <c r="O23" s="85">
        <v>0</v>
      </c>
      <c r="P23" s="102">
        <v>0</v>
      </c>
      <c r="Q23" s="85">
        <v>0</v>
      </c>
      <c r="R23" s="85">
        <v>0</v>
      </c>
      <c r="S23" s="85"/>
      <c r="T23" s="85"/>
      <c r="U23" s="85"/>
      <c r="V23" s="85"/>
      <c r="W23" s="82" t="s">
        <v>73</v>
      </c>
      <c r="X23" s="82"/>
    </row>
    <row r="24" spans="1:24">
      <c r="A24" s="42" t="s">
        <v>190</v>
      </c>
      <c r="B24" s="42">
        <f>P16</f>
        <v>7.0000000000000001E-3</v>
      </c>
      <c r="E24" s="42" t="s">
        <v>191</v>
      </c>
      <c r="L24" s="83"/>
      <c r="M24" s="84" t="s">
        <v>74</v>
      </c>
      <c r="N24" s="85">
        <v>2</v>
      </c>
      <c r="O24" s="85">
        <v>2</v>
      </c>
      <c r="P24" s="102">
        <v>2</v>
      </c>
      <c r="Q24" s="85">
        <v>2</v>
      </c>
      <c r="R24" s="85">
        <v>2</v>
      </c>
      <c r="S24" s="85"/>
      <c r="T24" s="85"/>
      <c r="U24" s="85"/>
      <c r="V24" s="85"/>
      <c r="W24" s="82"/>
      <c r="X24" s="82">
        <v>7</v>
      </c>
    </row>
    <row r="25" spans="1:24">
      <c r="A25" s="42" t="s">
        <v>116</v>
      </c>
      <c r="B25" s="42">
        <f>SUM(B21:B24)</f>
        <v>1.0009999999999999</v>
      </c>
      <c r="C25" s="61">
        <f>SUM(C21:C22)</f>
        <v>1</v>
      </c>
      <c r="L25" s="83"/>
      <c r="M25" s="84" t="s">
        <v>75</v>
      </c>
      <c r="N25" s="85">
        <v>25</v>
      </c>
      <c r="O25" s="85">
        <v>25</v>
      </c>
      <c r="P25" s="102">
        <v>25</v>
      </c>
      <c r="Q25" s="85">
        <v>25</v>
      </c>
      <c r="R25" s="85">
        <v>25</v>
      </c>
      <c r="S25" s="85"/>
      <c r="T25" s="85"/>
      <c r="U25" s="85"/>
      <c r="V25" s="85"/>
      <c r="W25" s="82"/>
      <c r="X25" s="82"/>
    </row>
    <row r="26" spans="1:24">
      <c r="A26" s="42" t="s">
        <v>38</v>
      </c>
      <c r="B26" s="61">
        <f>P18</f>
        <v>0.85</v>
      </c>
      <c r="C26" s="61">
        <f>B26+SUM($B$28:$B$29)*B26/SUM($B$26:$B$27)</f>
        <v>0.90614082969432308</v>
      </c>
      <c r="L26" s="83"/>
      <c r="M26" s="84" t="s">
        <v>76</v>
      </c>
      <c r="N26" s="85">
        <v>2</v>
      </c>
      <c r="O26" s="85">
        <v>2</v>
      </c>
      <c r="P26" s="102">
        <v>2</v>
      </c>
      <c r="Q26" s="85">
        <v>2</v>
      </c>
      <c r="R26" s="85">
        <v>2</v>
      </c>
      <c r="S26" s="85"/>
      <c r="T26" s="85"/>
      <c r="U26" s="85"/>
      <c r="V26" s="85"/>
      <c r="W26" s="82"/>
      <c r="X26" s="82"/>
    </row>
    <row r="27" spans="1:24">
      <c r="A27" s="42" t="s">
        <v>114</v>
      </c>
      <c r="B27" s="61">
        <f>P19</f>
        <v>6.6000000000000003E-2</v>
      </c>
      <c r="C27" s="61">
        <f>B27+SUM($B$28:$B$29)*B27/SUM($B$26:$B$27)</f>
        <v>7.0359170305676857E-2</v>
      </c>
      <c r="L27" s="83" t="s">
        <v>77</v>
      </c>
      <c r="M27" s="83"/>
      <c r="N27" s="85"/>
      <c r="O27" s="85"/>
      <c r="P27" s="102"/>
      <c r="Q27" s="85"/>
      <c r="R27" s="85"/>
      <c r="S27" s="85"/>
      <c r="T27" s="85"/>
      <c r="U27" s="85"/>
      <c r="V27" s="85"/>
      <c r="W27" s="82"/>
      <c r="X27" s="82"/>
    </row>
    <row r="28" spans="1:24">
      <c r="A28" s="42" t="s">
        <v>193</v>
      </c>
      <c r="B28" s="61">
        <f>P20</f>
        <v>3.3000000000000002E-2</v>
      </c>
      <c r="E28" s="42" t="s">
        <v>196</v>
      </c>
      <c r="L28" s="83"/>
      <c r="M28" s="84" t="s">
        <v>78</v>
      </c>
      <c r="N28" s="89">
        <v>0.81348870307774401</v>
      </c>
      <c r="O28" s="89">
        <v>0.8040295321117239</v>
      </c>
      <c r="P28" s="104">
        <v>0.67796458087367173</v>
      </c>
      <c r="Q28" s="89">
        <v>0.63633856</v>
      </c>
      <c r="R28" s="89">
        <v>0.61484611279131829</v>
      </c>
      <c r="S28" s="87">
        <v>0.9</v>
      </c>
      <c r="T28" s="87">
        <v>1.1000000000000001</v>
      </c>
      <c r="U28" s="87">
        <v>0.9</v>
      </c>
      <c r="V28" s="87">
        <v>1.1000000000000001</v>
      </c>
      <c r="W28" s="82" t="s">
        <v>79</v>
      </c>
      <c r="X28" s="82" t="s">
        <v>80</v>
      </c>
    </row>
    <row r="29" spans="1:24">
      <c r="A29" s="42" t="s">
        <v>194</v>
      </c>
      <c r="B29" s="61">
        <f>P21</f>
        <v>2.75E-2</v>
      </c>
      <c r="E29" s="42" t="s">
        <v>198</v>
      </c>
      <c r="L29" s="83"/>
      <c r="M29" s="84" t="s">
        <v>81</v>
      </c>
      <c r="N29" s="85">
        <v>75</v>
      </c>
      <c r="O29" s="85">
        <v>75</v>
      </c>
      <c r="P29" s="102">
        <v>75</v>
      </c>
      <c r="Q29" s="85">
        <v>75</v>
      </c>
      <c r="R29" s="85">
        <v>75</v>
      </c>
      <c r="S29" s="82"/>
      <c r="T29" s="82"/>
      <c r="U29" s="82"/>
      <c r="V29" s="82"/>
      <c r="W29" s="82"/>
      <c r="X29" s="82"/>
    </row>
    <row r="30" spans="1:24">
      <c r="A30" s="42" t="s">
        <v>195</v>
      </c>
      <c r="B30" s="61">
        <f>P22</f>
        <v>3.5549999999999996E-3</v>
      </c>
      <c r="E30" s="42" t="s">
        <v>197</v>
      </c>
      <c r="L30" s="83"/>
      <c r="M30" s="84" t="s">
        <v>82</v>
      </c>
      <c r="N30" s="85">
        <v>25</v>
      </c>
      <c r="O30" s="85">
        <v>25</v>
      </c>
      <c r="P30" s="102">
        <v>25</v>
      </c>
      <c r="Q30" s="85">
        <v>25</v>
      </c>
      <c r="R30" s="85">
        <v>25</v>
      </c>
      <c r="S30" s="82"/>
      <c r="T30" s="82"/>
      <c r="U30" s="82"/>
      <c r="V30" s="82"/>
      <c r="W30" s="82"/>
      <c r="X30" s="82"/>
    </row>
    <row r="31" spans="1:24">
      <c r="A31" s="42" t="s">
        <v>115</v>
      </c>
      <c r="B31" s="61">
        <f>1-SUM(B26:B30)</f>
        <v>1.9945000000000102E-2</v>
      </c>
      <c r="C31" s="61">
        <f>B31+B30</f>
        <v>2.3500000000000101E-2</v>
      </c>
      <c r="E31" s="42" t="s">
        <v>120</v>
      </c>
      <c r="L31" s="83"/>
      <c r="M31" s="84" t="s">
        <v>83</v>
      </c>
      <c r="N31" s="88">
        <v>3.7836683864081122E-2</v>
      </c>
      <c r="O31" s="88">
        <v>3.7836683864081122E-2</v>
      </c>
      <c r="P31" s="103">
        <v>3.7664698937426203E-2</v>
      </c>
      <c r="Q31" s="88">
        <v>3.7564259740259731E-2</v>
      </c>
      <c r="R31" s="88">
        <v>3.7836683864081122E-2</v>
      </c>
      <c r="S31" s="87">
        <v>0.9</v>
      </c>
      <c r="T31" s="87">
        <v>1.1000000000000001</v>
      </c>
      <c r="U31" s="87">
        <v>0.9</v>
      </c>
      <c r="V31" s="87">
        <v>1.1000000000000001</v>
      </c>
      <c r="W31" s="82" t="s">
        <v>84</v>
      </c>
      <c r="X31" s="82">
        <v>7</v>
      </c>
    </row>
    <row r="32" spans="1:24">
      <c r="A32" s="42" t="s">
        <v>116</v>
      </c>
      <c r="B32" s="61">
        <f>SUM(B26:B31)</f>
        <v>1</v>
      </c>
      <c r="C32" s="61">
        <f>SUM(C26:C31)</f>
        <v>1</v>
      </c>
      <c r="L32" s="83"/>
      <c r="M32" s="84" t="s">
        <v>85</v>
      </c>
      <c r="N32" s="89">
        <v>9.018957797979807</v>
      </c>
      <c r="O32" s="89">
        <v>9.018957797979807</v>
      </c>
      <c r="P32" s="104">
        <v>9.0189577979798106</v>
      </c>
      <c r="Q32" s="89">
        <v>9.0189577979798088</v>
      </c>
      <c r="R32" s="89">
        <v>9.018957797979807</v>
      </c>
      <c r="S32" s="87">
        <v>0.9</v>
      </c>
      <c r="T32" s="87">
        <v>1.1000000000000001</v>
      </c>
      <c r="U32" s="87">
        <v>0.9</v>
      </c>
      <c r="V32" s="87">
        <v>1.1000000000000001</v>
      </c>
      <c r="W32" s="82" t="s">
        <v>84</v>
      </c>
      <c r="X32" s="82">
        <v>7</v>
      </c>
    </row>
    <row r="33" spans="1:24">
      <c r="L33" s="83"/>
      <c r="M33" s="84" t="s">
        <v>86</v>
      </c>
      <c r="N33" s="85">
        <v>0</v>
      </c>
      <c r="O33" s="85">
        <v>0</v>
      </c>
      <c r="P33" s="102">
        <v>0</v>
      </c>
      <c r="Q33" s="85">
        <v>0</v>
      </c>
      <c r="R33" s="85">
        <v>0</v>
      </c>
      <c r="S33" s="87">
        <v>0</v>
      </c>
      <c r="T33" s="87">
        <v>0</v>
      </c>
      <c r="U33" s="87">
        <v>0</v>
      </c>
      <c r="V33" s="87">
        <v>0</v>
      </c>
      <c r="W33" s="82"/>
      <c r="X33" s="82"/>
    </row>
    <row r="34" spans="1:24">
      <c r="B34" s="61"/>
      <c r="L34" s="83" t="s">
        <v>87</v>
      </c>
      <c r="M34" s="90"/>
      <c r="N34" s="85"/>
      <c r="O34" s="85"/>
      <c r="P34" s="102"/>
      <c r="Q34" s="85"/>
      <c r="R34" s="85"/>
      <c r="S34" s="85"/>
      <c r="T34" s="85"/>
      <c r="U34" s="85"/>
      <c r="V34" s="85"/>
      <c r="W34" s="82"/>
      <c r="X34" s="82"/>
    </row>
    <row r="35" spans="1:24">
      <c r="A35" s="43" t="s">
        <v>121</v>
      </c>
      <c r="L35" s="83"/>
      <c r="M35" s="84" t="s">
        <v>88</v>
      </c>
      <c r="N35" s="91">
        <v>44.1</v>
      </c>
      <c r="O35" s="91">
        <v>44.1</v>
      </c>
      <c r="P35" s="105">
        <v>44.1</v>
      </c>
      <c r="Q35" s="91">
        <v>44.1</v>
      </c>
      <c r="R35" s="91">
        <v>44.1</v>
      </c>
      <c r="S35" s="85"/>
      <c r="T35" s="85"/>
      <c r="U35" s="85"/>
      <c r="V35" s="85"/>
      <c r="W35" s="82"/>
      <c r="X35" s="82"/>
    </row>
    <row r="36" spans="1:24">
      <c r="A36" s="42" t="s">
        <v>122</v>
      </c>
      <c r="B36" s="42">
        <f>P10*10^3</f>
        <v>750000</v>
      </c>
      <c r="C36" s="42" t="s">
        <v>138</v>
      </c>
      <c r="L36" s="83"/>
      <c r="M36" s="84" t="s">
        <v>89</v>
      </c>
      <c r="N36" s="85">
        <v>0.77</v>
      </c>
      <c r="O36" s="85">
        <v>0.77</v>
      </c>
      <c r="P36" s="102">
        <v>0.77</v>
      </c>
      <c r="Q36" s="85">
        <v>0.77</v>
      </c>
      <c r="R36" s="85">
        <v>0.77</v>
      </c>
      <c r="S36" s="85"/>
      <c r="T36" s="85"/>
      <c r="U36" s="85"/>
      <c r="V36" s="85"/>
      <c r="W36" s="82"/>
      <c r="X36" s="82"/>
    </row>
    <row r="37" spans="1:24">
      <c r="A37" s="42" t="s">
        <v>122</v>
      </c>
      <c r="B37" s="42">
        <f>P11</f>
        <v>1100</v>
      </c>
      <c r="C37" s="42" t="s">
        <v>123</v>
      </c>
      <c r="L37" s="83"/>
      <c r="M37" s="84" t="s">
        <v>90</v>
      </c>
      <c r="N37" s="89">
        <v>1.1876630379220778</v>
      </c>
      <c r="O37" s="89">
        <v>1.1738530025974028</v>
      </c>
      <c r="P37" s="104">
        <v>0.9943225433766234</v>
      </c>
      <c r="Q37" s="89">
        <v>0.93576799360000007</v>
      </c>
      <c r="R37" s="89">
        <v>0.89765229610389619</v>
      </c>
      <c r="S37" s="87">
        <v>0.9</v>
      </c>
      <c r="T37" s="87">
        <v>1.1000000000000001</v>
      </c>
      <c r="U37" s="87">
        <v>0.9</v>
      </c>
      <c r="V37" s="87">
        <v>1.1000000000000001</v>
      </c>
      <c r="W37" s="82" t="s">
        <v>79</v>
      </c>
      <c r="X37" s="82" t="s">
        <v>80</v>
      </c>
    </row>
    <row r="38" spans="1:24">
      <c r="A38" s="42" t="s">
        <v>124</v>
      </c>
      <c r="B38" s="42">
        <v>8000</v>
      </c>
      <c r="C38" s="42" t="s">
        <v>125</v>
      </c>
      <c r="L38" s="83"/>
      <c r="M38" s="84" t="s">
        <v>81</v>
      </c>
      <c r="N38" s="85">
        <v>75</v>
      </c>
      <c r="O38" s="85">
        <v>75</v>
      </c>
      <c r="P38" s="102">
        <v>75</v>
      </c>
      <c r="Q38" s="85">
        <v>75</v>
      </c>
      <c r="R38" s="85">
        <v>75</v>
      </c>
      <c r="S38" s="85"/>
      <c r="T38" s="85"/>
      <c r="U38" s="85"/>
      <c r="V38" s="85"/>
      <c r="W38" s="82"/>
      <c r="X38" s="82"/>
    </row>
    <row r="39" spans="1:24">
      <c r="A39" s="42" t="s">
        <v>135</v>
      </c>
      <c r="B39" s="42">
        <f>B37*B38</f>
        <v>8800000</v>
      </c>
      <c r="C39" s="42" t="s">
        <v>136</v>
      </c>
      <c r="L39" s="83"/>
      <c r="M39" s="84" t="s">
        <v>82</v>
      </c>
      <c r="N39" s="85">
        <v>25</v>
      </c>
      <c r="O39" s="85">
        <v>25</v>
      </c>
      <c r="P39" s="102">
        <v>25</v>
      </c>
      <c r="Q39" s="85">
        <v>25</v>
      </c>
      <c r="R39" s="85">
        <v>25</v>
      </c>
      <c r="S39" s="85"/>
      <c r="T39" s="85"/>
      <c r="U39" s="85"/>
      <c r="V39" s="85"/>
      <c r="W39" s="82"/>
      <c r="X39" s="82"/>
    </row>
    <row r="40" spans="1:24">
      <c r="A40" s="42" t="s">
        <v>126</v>
      </c>
      <c r="B40" s="61">
        <f>1-P24/52</f>
        <v>0.96153846153846156</v>
      </c>
      <c r="L40" s="83"/>
      <c r="M40" s="84" t="s">
        <v>91</v>
      </c>
      <c r="N40" s="88">
        <v>5.5240141298701299E-2</v>
      </c>
      <c r="O40" s="88">
        <v>5.5240141298701299E-2</v>
      </c>
      <c r="P40" s="103">
        <v>5.5240141298701299E-2</v>
      </c>
      <c r="Q40" s="88">
        <v>5.5240141298701299E-2</v>
      </c>
      <c r="R40" s="88">
        <v>5.5240141298701299E-2</v>
      </c>
      <c r="S40" s="87">
        <v>0.9</v>
      </c>
      <c r="T40" s="87">
        <v>1.1000000000000001</v>
      </c>
      <c r="U40" s="87">
        <v>0.9</v>
      </c>
      <c r="V40" s="87">
        <v>1.1000000000000001</v>
      </c>
      <c r="W40" s="82" t="s">
        <v>84</v>
      </c>
      <c r="X40" s="82">
        <v>7</v>
      </c>
    </row>
    <row r="41" spans="1:24">
      <c r="A41" s="42" t="s">
        <v>127</v>
      </c>
      <c r="B41" s="42">
        <f>P25</f>
        <v>25</v>
      </c>
      <c r="C41" s="42" t="s">
        <v>129</v>
      </c>
      <c r="L41" s="83"/>
      <c r="M41" s="84" t="s">
        <v>92</v>
      </c>
      <c r="N41" s="88">
        <v>0.1104802825974026</v>
      </c>
      <c r="O41" s="88">
        <v>0.1104802825974026</v>
      </c>
      <c r="P41" s="103">
        <v>0.1104802825974026</v>
      </c>
      <c r="Q41" s="88">
        <v>0.1104802825974026</v>
      </c>
      <c r="R41" s="88">
        <v>0.1104802825974026</v>
      </c>
      <c r="S41" s="87">
        <v>0.9</v>
      </c>
      <c r="T41" s="87">
        <v>1.1000000000000001</v>
      </c>
      <c r="U41" s="87">
        <v>0.9</v>
      </c>
      <c r="V41" s="87">
        <v>1.1000000000000001</v>
      </c>
      <c r="W41" s="82" t="s">
        <v>84</v>
      </c>
      <c r="X41" s="82">
        <v>7</v>
      </c>
    </row>
    <row r="42" spans="1:24" ht="17" thickBot="1">
      <c r="A42" s="42" t="s">
        <v>128</v>
      </c>
      <c r="B42" s="42">
        <f>P26</f>
        <v>2</v>
      </c>
      <c r="C42" s="42" t="s">
        <v>129</v>
      </c>
      <c r="L42" s="92"/>
      <c r="M42" s="93" t="s">
        <v>93</v>
      </c>
      <c r="N42" s="94">
        <v>0</v>
      </c>
      <c r="O42" s="94">
        <v>0</v>
      </c>
      <c r="P42" s="106">
        <v>0</v>
      </c>
      <c r="Q42" s="94">
        <v>0</v>
      </c>
      <c r="R42" s="94">
        <v>0</v>
      </c>
      <c r="S42" s="94"/>
      <c r="T42" s="94"/>
      <c r="U42" s="94"/>
      <c r="V42" s="94"/>
      <c r="W42" s="95"/>
      <c r="X42" s="95"/>
    </row>
    <row r="43" spans="1:24">
      <c r="L43" s="90"/>
      <c r="M43" s="90"/>
      <c r="N43" s="90"/>
      <c r="O43" s="90"/>
      <c r="P43" s="90"/>
      <c r="Q43" s="90"/>
      <c r="R43" s="90"/>
      <c r="S43" s="90"/>
      <c r="T43" s="90"/>
      <c r="U43" s="90"/>
      <c r="V43" s="90"/>
      <c r="W43" s="90"/>
      <c r="X43" s="90"/>
    </row>
    <row r="44" spans="1:24">
      <c r="A44" s="42" t="s">
        <v>130</v>
      </c>
      <c r="B44" s="107">
        <f>P37*$P$10*10^6</f>
        <v>745741907.53246748</v>
      </c>
      <c r="C44" s="42" t="s">
        <v>133</v>
      </c>
      <c r="L44" s="96" t="s">
        <v>94</v>
      </c>
      <c r="M44" s="90"/>
      <c r="N44" s="97"/>
      <c r="O44" s="90"/>
      <c r="P44" s="90"/>
      <c r="Q44" s="90"/>
      <c r="R44" s="90"/>
      <c r="S44" s="90"/>
      <c r="T44" s="90"/>
      <c r="U44" s="90"/>
      <c r="V44" s="90"/>
      <c r="W44" s="90"/>
      <c r="X44" s="90"/>
    </row>
    <row r="45" spans="1:24">
      <c r="A45" s="42" t="s">
        <v>131</v>
      </c>
      <c r="B45" s="107">
        <f>P31*P11*10^6</f>
        <v>41431168.831168823</v>
      </c>
      <c r="C45" s="42" t="s">
        <v>134</v>
      </c>
      <c r="L45" s="98"/>
      <c r="M45" s="99" t="s">
        <v>95</v>
      </c>
      <c r="N45" s="97"/>
      <c r="O45" s="90"/>
      <c r="P45" s="90"/>
      <c r="Q45" s="90"/>
      <c r="R45" s="90"/>
      <c r="S45" s="90"/>
      <c r="T45" s="90"/>
      <c r="U45" s="90"/>
      <c r="V45" s="90"/>
      <c r="W45" s="90"/>
      <c r="X45" s="90"/>
    </row>
    <row r="46" spans="1:24">
      <c r="A46" s="42" t="s">
        <v>132</v>
      </c>
      <c r="B46" s="107">
        <f>P32*B39</f>
        <v>79366828.622222334</v>
      </c>
      <c r="C46" s="42" t="s">
        <v>134</v>
      </c>
      <c r="L46" s="98"/>
      <c r="M46" s="99" t="s">
        <v>96</v>
      </c>
      <c r="N46" s="97"/>
      <c r="O46" s="90"/>
      <c r="P46" s="90"/>
      <c r="Q46" s="90"/>
      <c r="R46" s="90"/>
      <c r="S46" s="90"/>
      <c r="T46" s="90"/>
      <c r="U46" s="90"/>
      <c r="V46" s="90"/>
      <c r="W46" s="90"/>
      <c r="X46" s="90"/>
    </row>
    <row r="47" spans="1:24">
      <c r="A47" s="42" t="s">
        <v>132</v>
      </c>
      <c r="B47" s="107">
        <f>B46/B38</f>
        <v>9920.8535777777925</v>
      </c>
      <c r="C47" s="42" t="s">
        <v>137</v>
      </c>
      <c r="E47" s="42" t="s">
        <v>139</v>
      </c>
      <c r="L47" s="98"/>
      <c r="M47" s="99" t="s">
        <v>97</v>
      </c>
      <c r="N47" s="97"/>
      <c r="O47" s="90"/>
      <c r="P47" s="90"/>
      <c r="Q47" s="90"/>
      <c r="R47" s="90"/>
      <c r="S47" s="90"/>
      <c r="T47" s="90"/>
      <c r="U47" s="90"/>
      <c r="V47" s="90"/>
      <c r="W47" s="90"/>
      <c r="X47" s="90"/>
    </row>
    <row r="48" spans="1:24">
      <c r="L48" s="98"/>
      <c r="M48" s="99" t="s">
        <v>98</v>
      </c>
      <c r="N48" s="97"/>
      <c r="O48" s="90"/>
      <c r="P48" s="90"/>
      <c r="Q48" s="90"/>
      <c r="R48" s="90"/>
      <c r="S48" s="90"/>
      <c r="T48" s="90"/>
      <c r="U48" s="90"/>
      <c r="V48" s="90"/>
      <c r="W48" s="90"/>
      <c r="X48" s="90"/>
    </row>
    <row r="49" spans="1:24">
      <c r="A49" s="108" t="s">
        <v>140</v>
      </c>
      <c r="L49" s="98"/>
      <c r="M49" s="99" t="s">
        <v>99</v>
      </c>
      <c r="N49" s="90"/>
      <c r="O49" s="90"/>
      <c r="P49" s="90"/>
      <c r="Q49" s="90"/>
      <c r="R49" s="90"/>
      <c r="S49" s="90"/>
      <c r="T49" s="90"/>
      <c r="U49" s="90"/>
      <c r="V49" s="90"/>
      <c r="W49" s="90"/>
      <c r="X49" s="90"/>
    </row>
    <row r="50" spans="1:24">
      <c r="A50" s="42" t="s">
        <v>141</v>
      </c>
      <c r="B50" s="42">
        <v>0.09</v>
      </c>
      <c r="C50" s="42" t="s">
        <v>145</v>
      </c>
      <c r="L50" s="98"/>
      <c r="M50" s="99" t="s">
        <v>100</v>
      </c>
      <c r="N50" s="90"/>
      <c r="O50" s="90"/>
      <c r="P50" s="90"/>
      <c r="Q50" s="90"/>
      <c r="R50" s="90"/>
      <c r="S50" s="90"/>
      <c r="T50" s="90"/>
      <c r="U50" s="90"/>
      <c r="V50" s="90"/>
      <c r="W50" s="90"/>
      <c r="X50" s="90"/>
    </row>
    <row r="51" spans="1:24">
      <c r="A51" s="42" t="s">
        <v>143</v>
      </c>
      <c r="B51" s="107">
        <f>640*10^6</f>
        <v>640000000</v>
      </c>
      <c r="C51" s="42" t="s">
        <v>144</v>
      </c>
      <c r="L51" s="98"/>
      <c r="M51" s="99" t="s">
        <v>101</v>
      </c>
      <c r="N51" s="90"/>
      <c r="O51" s="90"/>
      <c r="P51" s="90"/>
      <c r="Q51" s="90"/>
      <c r="R51" s="90"/>
      <c r="S51" s="90"/>
      <c r="T51" s="90"/>
      <c r="U51" s="90"/>
      <c r="V51" s="90"/>
      <c r="W51" s="90"/>
      <c r="X51" s="90"/>
    </row>
    <row r="52" spans="1:24">
      <c r="A52" s="42" t="s">
        <v>141</v>
      </c>
      <c r="B52" s="107">
        <f>B50*B51/B38</f>
        <v>7200</v>
      </c>
      <c r="C52" s="42" t="s">
        <v>137</v>
      </c>
      <c r="E52" s="42" t="s">
        <v>146</v>
      </c>
      <c r="L52" s="98"/>
      <c r="M52" s="99" t="s">
        <v>102</v>
      </c>
      <c r="N52" s="90"/>
      <c r="O52" s="90"/>
      <c r="P52" s="90"/>
      <c r="Q52" s="90"/>
      <c r="R52" s="90"/>
      <c r="S52" s="90"/>
      <c r="T52" s="90"/>
      <c r="U52" s="90"/>
      <c r="V52" s="90"/>
      <c r="W52" s="90"/>
      <c r="X52" s="90"/>
    </row>
    <row r="53" spans="1:24">
      <c r="L53" s="98"/>
      <c r="M53" s="99" t="s">
        <v>103</v>
      </c>
      <c r="N53" s="90"/>
      <c r="O53" s="90"/>
      <c r="P53" s="90"/>
      <c r="Q53" s="90"/>
      <c r="R53" s="90"/>
      <c r="S53" s="90"/>
      <c r="T53" s="90"/>
      <c r="U53" s="90"/>
      <c r="V53" s="90"/>
      <c r="W53" s="90"/>
      <c r="X53" s="90"/>
    </row>
    <row r="54" spans="1:24">
      <c r="L54" s="98"/>
      <c r="M54" s="99" t="s">
        <v>104</v>
      </c>
      <c r="N54" s="90"/>
      <c r="O54" s="90"/>
      <c r="P54" s="90"/>
      <c r="Q54" s="90"/>
      <c r="R54" s="90"/>
      <c r="S54" s="90"/>
      <c r="T54" s="90"/>
      <c r="U54" s="90"/>
      <c r="V54" s="90"/>
      <c r="W54" s="90"/>
      <c r="X54" s="90"/>
    </row>
    <row r="55" spans="1:24">
      <c r="L55" s="98"/>
      <c r="M55" s="99" t="s">
        <v>105</v>
      </c>
      <c r="N55" s="90"/>
      <c r="O55" s="90"/>
      <c r="P55" s="90"/>
      <c r="Q55" s="90"/>
      <c r="R55" s="90"/>
      <c r="S55" s="90"/>
      <c r="T55" s="90"/>
      <c r="U55" s="90"/>
      <c r="V55" s="90"/>
      <c r="W55" s="90"/>
      <c r="X55" s="90"/>
    </row>
    <row r="56" spans="1:24">
      <c r="L56" s="98"/>
      <c r="M56" s="99" t="s">
        <v>106</v>
      </c>
      <c r="N56" s="90"/>
      <c r="O56" s="90"/>
      <c r="P56" s="90"/>
      <c r="Q56" s="90"/>
      <c r="R56" s="90"/>
      <c r="S56" s="90"/>
      <c r="T56" s="90"/>
      <c r="U56" s="90"/>
      <c r="V56" s="90"/>
      <c r="W56" s="90"/>
      <c r="X56" s="90"/>
    </row>
    <row r="57" spans="1:24">
      <c r="L57" s="98"/>
      <c r="M57" s="99" t="s">
        <v>107</v>
      </c>
      <c r="N57" s="90"/>
      <c r="O57" s="90"/>
      <c r="P57" s="90"/>
      <c r="Q57" s="90"/>
      <c r="R57" s="90"/>
      <c r="S57" s="90"/>
      <c r="T57" s="90"/>
      <c r="U57" s="90"/>
      <c r="V57" s="90"/>
      <c r="W57" s="90"/>
      <c r="X57" s="90"/>
    </row>
    <row r="59" spans="1:24">
      <c r="L59" s="42" t="s">
        <v>142</v>
      </c>
    </row>
    <row r="84" spans="1:3">
      <c r="A84" s="61"/>
    </row>
    <row r="85" spans="1:3">
      <c r="C85" s="43"/>
    </row>
    <row r="88" spans="1:3">
      <c r="C88" s="43"/>
    </row>
    <row r="93" spans="1:3">
      <c r="A93" s="61"/>
    </row>
    <row r="99" spans="3:3">
      <c r="C99" s="43"/>
    </row>
    <row r="109" spans="3:3">
      <c r="C109" s="43"/>
    </row>
    <row r="116" spans="1:4">
      <c r="C116" s="43"/>
    </row>
    <row r="121" spans="1:4">
      <c r="C121" s="43"/>
      <c r="D121" s="62"/>
    </row>
    <row r="128" spans="1:4">
      <c r="A128" s="63"/>
      <c r="B128" s="63"/>
      <c r="C128" s="64"/>
    </row>
    <row r="141" spans="6:8">
      <c r="F141" s="63"/>
      <c r="G141" s="63"/>
      <c r="H141" s="63"/>
    </row>
  </sheetData>
  <mergeCells count="1">
    <mergeCell ref="N5:X5"/>
  </mergeCells>
  <hyperlinks>
    <hyperlink ref="N5" location="INDEX" display="HVO / renwable diesel" xr:uid="{BF016304-D594-F74A-8B1C-380F012CD017}"/>
  </hyperlinks>
  <pageMargins left="0.75" right="0.75" top="1" bottom="1" header="0.5" footer="0.5"/>
  <pageSetup paperSize="9" orientation="portrait" horizontalDpi="4294967292" verticalDpi="4294967292"/>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Cover sheet</vt:lpstr>
      <vt:lpstr>Dashboard</vt:lpstr>
      <vt:lpstr>Research data</vt:lpstr>
      <vt:lpstr>Sources</vt:lpstr>
      <vt:lpstr>Notes</vt:lpstr>
    </vt:vector>
  </TitlesOfParts>
  <Company>Quintel Intelligence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Rothengatter</dc:creator>
  <cp:lastModifiedBy>Kyra de Haan</cp:lastModifiedBy>
  <cp:lastPrinted>2015-02-13T09:40:54Z</cp:lastPrinted>
  <dcterms:created xsi:type="dcterms:W3CDTF">2011-10-26T09:05:09Z</dcterms:created>
  <dcterms:modified xsi:type="dcterms:W3CDTF">2025-10-07T14:13:45Z</dcterms:modified>
</cp:coreProperties>
</file>