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03"/>
  <workbookPr showInkAnnotation="0" codeName="ThisWorkbook" autoCompressPictures="0"/>
  <mc:AlternateContent xmlns:mc="http://schemas.openxmlformats.org/markup-compatibility/2006">
    <mc:Choice Requires="x15">
      <x15ac:absPath xmlns:x15ac="http://schemas.microsoft.com/office/spreadsheetml/2010/11/ac" url="/Users/kyradehaan/github/etdataset/nodes_source_analyses/energy/energy/"/>
    </mc:Choice>
  </mc:AlternateContent>
  <xr:revisionPtr revIDLastSave="0" documentId="13_ncr:1_{1DF909E6-32A4-2C40-9765-85E71461DCC8}" xr6:coauthVersionLast="47" xr6:coauthVersionMax="47" xr10:uidLastSave="{00000000-0000-0000-0000-000000000000}"/>
  <bookViews>
    <workbookView xWindow="10480" yWindow="28800" windowWidth="28800" windowHeight="18000" tabRatio="762" activeTab="4" xr2:uid="{00000000-000D-0000-FFFF-FFFF00000000}"/>
  </bookViews>
  <sheets>
    <sheet name="Cover sheet" sheetId="14" r:id="rId1"/>
    <sheet name="Dashboard" sheetId="12" r:id="rId2"/>
    <sheet name="Research data" sheetId="13" r:id="rId3"/>
    <sheet name="Sources" sheetId="15" r:id="rId4"/>
    <sheet name="Notes" sheetId="20" r:id="rId5"/>
  </sheets>
  <definedNames>
    <definedName name="exchange_rate_2011_2010">#REF!</definedName>
    <definedName name="Final_demand_residences">#REF!</definedName>
    <definedName name="hours_a_year">#REF!</definedName>
    <definedName name="km2_to_m2">#REF!</definedName>
    <definedName name="kW_to_MW">#REF!</definedName>
    <definedName name="kW_to_W">#REF!</definedName>
    <definedName name="kWp_to_MWp">#REF!</definedName>
    <definedName name="m2_to_km2">#REF!</definedName>
    <definedName name="STC">#REF!</definedName>
    <definedName name="STC_insolation">#REF!</definedName>
    <definedName name="W_to_MW">#REF!</definedName>
    <definedName name="Wp_to_kWp">#REF!</definedName>
    <definedName name="WP_to_MWp">#REF!</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E15" i="12" l="1"/>
  <c r="F10" i="13"/>
  <c r="H10" i="13"/>
  <c r="B13" i="20"/>
  <c r="B12" i="20"/>
  <c r="B11" i="20"/>
  <c r="B10" i="20"/>
  <c r="C30" i="20"/>
  <c r="C29" i="20"/>
  <c r="B34" i="20"/>
  <c r="C34" i="20" s="1"/>
  <c r="B28" i="20"/>
  <c r="B33" i="20"/>
  <c r="B32" i="20"/>
  <c r="B31" i="20"/>
  <c r="B27" i="20"/>
  <c r="B30" i="20"/>
  <c r="B29" i="20"/>
  <c r="B35" i="20" l="1"/>
  <c r="B48" i="20"/>
  <c r="B47" i="20"/>
  <c r="B39" i="20" l="1"/>
  <c r="B26" i="20" l="1"/>
  <c r="C26" i="20" s="1"/>
  <c r="B25" i="20"/>
  <c r="C25" i="20" s="1"/>
  <c r="B9" i="20" s="1"/>
  <c r="B24" i="20"/>
  <c r="T22" i="20"/>
  <c r="S22" i="20"/>
  <c r="R22" i="20"/>
  <c r="Q22" i="20"/>
  <c r="P22" i="20"/>
  <c r="E35" i="12"/>
  <c r="C24" i="20" l="1"/>
  <c r="B8" i="20" s="1"/>
  <c r="F25" i="13"/>
  <c r="F24" i="13"/>
  <c r="E28" i="12" s="1"/>
  <c r="F23" i="13"/>
  <c r="E27" i="12" s="1"/>
  <c r="F22" i="13"/>
  <c r="E26" i="12" s="1"/>
  <c r="F19" i="13"/>
  <c r="E23" i="12" s="1"/>
  <c r="B16" i="20" l="1"/>
  <c r="H20" i="13" s="1"/>
  <c r="F20" i="13" s="1"/>
  <c r="E24" i="12" s="1"/>
  <c r="B5" i="20"/>
  <c r="H28" i="13" s="1"/>
  <c r="F28" i="13" s="1"/>
  <c r="E33" i="12" s="1"/>
  <c r="B4" i="20"/>
  <c r="H15" i="13" s="1"/>
  <c r="F15" i="13" s="1"/>
  <c r="E19" i="12" s="1"/>
  <c r="B3" i="20"/>
  <c r="H14" i="13" s="1"/>
  <c r="F14" i="13" s="1"/>
  <c r="E18" i="12" s="1"/>
  <c r="B40" i="20"/>
  <c r="B15" i="20"/>
  <c r="H18" i="13" s="1"/>
  <c r="F18" i="13" s="1"/>
  <c r="E22" i="12" s="1"/>
  <c r="B45" i="20"/>
  <c r="B6" i="20" s="1"/>
  <c r="H29" i="13" s="1"/>
  <c r="F29" i="13" s="1"/>
  <c r="E34" i="12" s="1"/>
  <c r="B44" i="20"/>
  <c r="B43" i="20"/>
  <c r="H9" i="13" l="1"/>
  <c r="F9" i="13" s="1"/>
  <c r="E14" i="12" s="1"/>
  <c r="B42" i="20"/>
  <c r="B49" i="20" s="1"/>
  <c r="B50" i="20" s="1"/>
  <c r="B17" i="20" s="1"/>
  <c r="H21" i="13" s="1"/>
  <c r="F21" i="13" s="1"/>
  <c r="E25" i="12" s="1"/>
  <c r="H12" i="13"/>
  <c r="F12" i="13" s="1"/>
  <c r="E17" i="12" s="1"/>
  <c r="C28" i="20"/>
  <c r="H8" i="13" l="1"/>
  <c r="F8" i="13" s="1"/>
  <c r="E13" i="12" s="1"/>
  <c r="B2" i="20"/>
  <c r="H7" i="13" s="1"/>
  <c r="F7" i="13" s="1"/>
  <c r="E12" i="12" s="1"/>
  <c r="H11" i="13"/>
  <c r="F11" i="13" s="1"/>
  <c r="E16" i="12" s="1"/>
  <c r="H13" i="13" l="1"/>
  <c r="F13" i="13" s="1"/>
</calcChain>
</file>

<file path=xl/sharedStrings.xml><?xml version="1.0" encoding="utf-8"?>
<sst xmlns="http://schemas.openxmlformats.org/spreadsheetml/2006/main" count="317" uniqueCount="190">
  <si>
    <t>Source</t>
  </si>
  <si>
    <t>-</t>
  </si>
  <si>
    <t>Value</t>
  </si>
  <si>
    <t>Definition</t>
  </si>
  <si>
    <t>Unit</t>
  </si>
  <si>
    <t>Link</t>
  </si>
  <si>
    <t>Cover Sheet</t>
  </si>
  <si>
    <t>Document</t>
  </si>
  <si>
    <t>Country</t>
  </si>
  <si>
    <t>Organization</t>
  </si>
  <si>
    <t>Quintel Intelligence</t>
  </si>
  <si>
    <t>Definition on the sources</t>
  </si>
  <si>
    <t>Type</t>
  </si>
  <si>
    <t>Date published</t>
  </si>
  <si>
    <t>Date retrieved</t>
  </si>
  <si>
    <t>Attribute</t>
  </si>
  <si>
    <t>free_co2_factor</t>
  </si>
  <si>
    <t>Legend</t>
  </si>
  <si>
    <t>Cells</t>
  </si>
  <si>
    <t>Intermediate (calculation)</t>
  </si>
  <si>
    <t>Result</t>
  </si>
  <si>
    <t>Manual input</t>
  </si>
  <si>
    <t>Reference to manual input or data input</t>
  </si>
  <si>
    <t>Tabs</t>
  </si>
  <si>
    <t>Introductory</t>
  </si>
  <si>
    <t>Dashboard</t>
  </si>
  <si>
    <t>Research data</t>
  </si>
  <si>
    <t>Sources</t>
  </si>
  <si>
    <t>Results</t>
  </si>
  <si>
    <t>Main calculations</t>
  </si>
  <si>
    <t>Additional calculations</t>
  </si>
  <si>
    <t>Output to csv</t>
  </si>
  <si>
    <t>Author</t>
  </si>
  <si>
    <t>Technical</t>
  </si>
  <si>
    <t>Comments</t>
  </si>
  <si>
    <t>ETM Library URL</t>
  </si>
  <si>
    <t>Values</t>
  </si>
  <si>
    <t xml:space="preserve">This sheet summarizes all node attributes formatted in the way they are used by the Energy Transition Model. Use the Excel formulas to find the original data and sources for these numbers. You can also use this document to update the attribute value. Once you have finished updating, save this document and run rake import:node NODE="nodename" to update the node attributes on ETSource. 
</t>
  </si>
  <si>
    <t>Kyra de Haan</t>
  </si>
  <si>
    <t>Technology</t>
  </si>
  <si>
    <t>year</t>
  </si>
  <si>
    <t>Note</t>
  </si>
  <si>
    <t>Ref</t>
  </si>
  <si>
    <t>est</t>
  </si>
  <si>
    <t>ctrl</t>
  </si>
  <si>
    <t>Lower</t>
  </si>
  <si>
    <t>Upper</t>
  </si>
  <si>
    <t>cat</t>
  </si>
  <si>
    <t>par</t>
  </si>
  <si>
    <t>Energy/technical data</t>
  </si>
  <si>
    <t>Typical total plant size [1,000 t HVO/year]</t>
  </si>
  <si>
    <t>A, B</t>
  </si>
  <si>
    <t>A, A1, B</t>
  </si>
  <si>
    <t>Input</t>
  </si>
  <si>
    <t>Feedstock Consumption [MWh/MWh Total Inputs]</t>
  </si>
  <si>
    <t>Hydrogen Consumption [MWh/MWh Total Inputs]</t>
  </si>
  <si>
    <t>Electricity Consumption [MWh/MWh Total Inputs]</t>
  </si>
  <si>
    <t>Natural Gas Consumption [MWh/MWh Total Inputs]</t>
  </si>
  <si>
    <t>Output</t>
  </si>
  <si>
    <t>C, H</t>
  </si>
  <si>
    <t>Naphta Output [MWh/MWh Total Input]</t>
  </si>
  <si>
    <t>Fuel Gas Output [MWh/MWh Total Input]</t>
  </si>
  <si>
    <t>LPG Output [MWh/MWh Total Input]</t>
  </si>
  <si>
    <t>District Heating Output [MWh/MWh Total input]</t>
  </si>
  <si>
    <t>Forced outage [%]</t>
  </si>
  <si>
    <t>I</t>
  </si>
  <si>
    <t>Planned outage [weeks per year]</t>
  </si>
  <si>
    <t>Technical lifetime [years]</t>
  </si>
  <si>
    <t>Construction time [years]</t>
  </si>
  <si>
    <t>Financial data</t>
  </si>
  <si>
    <t xml:space="preserve"> - installation [%]</t>
  </si>
  <si>
    <t>Fixed O&amp;M [M €/MW/year]</t>
  </si>
  <si>
    <t>F, K, L</t>
  </si>
  <si>
    <t>Variable O&amp;M [€/MWh]</t>
  </si>
  <si>
    <t>Technology-specific data</t>
  </si>
  <si>
    <t xml:space="preserve">Specific energy content [GJ/ton] </t>
  </si>
  <si>
    <t>Specific density  [kg/l] or [ton/m3]</t>
  </si>
  <si>
    <t>Fixed O&amp;M [M €/1,000 t HVO]</t>
  </si>
  <si>
    <t>Variable O&amp;M [M €/1,000 t HVO]</t>
  </si>
  <si>
    <t>start up [M €/1,000 t HVO]</t>
  </si>
  <si>
    <t>Notes:</t>
  </si>
  <si>
    <t>A1. This value is the hourly rating and has been calculated as if the unit produces at capacity and was in operations 8,000 h/year.</t>
  </si>
  <si>
    <r>
      <t>B.</t>
    </r>
    <r>
      <rPr>
        <sz val="8"/>
        <color rgb="FF000000"/>
        <rFont val="Calibri"/>
        <family val="2"/>
      </rPr>
      <t xml:space="preserve">     The plant size uncertainty represents the current range in the market. </t>
    </r>
  </si>
  <si>
    <r>
      <t>D.</t>
    </r>
    <r>
      <rPr>
        <sz val="8"/>
        <color rgb="FF000000"/>
        <rFont val="Calibri"/>
        <family val="2"/>
      </rPr>
      <t>     Hydrogen consumption is also a function of the feedstock to a small degree.</t>
    </r>
  </si>
  <si>
    <r>
      <t>F.</t>
    </r>
    <r>
      <rPr>
        <sz val="8"/>
        <color rgb="FF000000"/>
        <rFont val="Calibri"/>
        <family val="2"/>
      </rPr>
      <t>     O&amp;M costs, costs for main raw materials are not included.</t>
    </r>
  </si>
  <si>
    <r>
      <t>G.</t>
    </r>
    <r>
      <rPr>
        <sz val="8"/>
        <color rgb="FF000000"/>
        <rFont val="Calibri"/>
        <family val="2"/>
      </rPr>
      <t>    There is limited potential for process improvements.</t>
    </r>
  </si>
  <si>
    <r>
      <t>H.</t>
    </r>
    <r>
      <rPr>
        <sz val="8"/>
        <color rgb="FF000000"/>
        <rFont val="Calibri"/>
        <family val="2"/>
      </rPr>
      <t>     Total output excludes the heat loss.</t>
    </r>
  </si>
  <si>
    <r>
      <t>I.</t>
    </r>
    <r>
      <rPr>
        <sz val="8"/>
        <color rgb="FF000000"/>
        <rFont val="Calibri"/>
        <family val="2"/>
      </rPr>
      <t>      Best plants operate at greater than 95% of capacity.</t>
    </r>
  </si>
  <si>
    <r>
      <t>J.</t>
    </r>
    <r>
      <rPr>
        <sz val="8"/>
        <color rgb="FF000000"/>
        <rFont val="Calibri"/>
        <family val="2"/>
      </rPr>
      <t>     Range of capital cost is +/- 25% of mean.</t>
    </r>
  </si>
  <si>
    <r>
      <t>K.</t>
    </r>
    <r>
      <rPr>
        <sz val="8"/>
        <color rgb="FF000000"/>
        <rFont val="Calibri"/>
        <family val="2"/>
      </rPr>
      <t>     Operating cost uncertainty is +/- 10% of mean.</t>
    </r>
  </si>
  <si>
    <t>Danish Energy Agency</t>
  </si>
  <si>
    <t>Data from Danish Energy Agency</t>
  </si>
  <si>
    <t>feedstock</t>
  </si>
  <si>
    <t>input.oily_biomass</t>
  </si>
  <si>
    <t>input.hydrogen</t>
  </si>
  <si>
    <t>output.bionaphtha</t>
  </si>
  <si>
    <t>output.loss</t>
  </si>
  <si>
    <t>total</t>
  </si>
  <si>
    <t>original</t>
  </si>
  <si>
    <t>corrected for 1 MJ input</t>
  </si>
  <si>
    <t>Plant specs</t>
  </si>
  <si>
    <t>Plant size (output)</t>
  </si>
  <si>
    <t>MW</t>
  </si>
  <si>
    <t>full load hours</t>
  </si>
  <si>
    <t>h/yr</t>
  </si>
  <si>
    <t>availability</t>
  </si>
  <si>
    <t>technical lifetime</t>
  </si>
  <si>
    <t>construction time</t>
  </si>
  <si>
    <t>yr</t>
  </si>
  <si>
    <t>investment costs</t>
  </si>
  <si>
    <t>fixed O&amp;M</t>
  </si>
  <si>
    <t>variable O&amp;M</t>
  </si>
  <si>
    <t>€</t>
  </si>
  <si>
    <t>€/y</t>
  </si>
  <si>
    <t>production</t>
  </si>
  <si>
    <t>MWh/yr</t>
  </si>
  <si>
    <t>€/flh</t>
  </si>
  <si>
    <t>kg HVO/yr</t>
  </si>
  <si>
    <t>Overview</t>
  </si>
  <si>
    <t>typical input capacity</t>
  </si>
  <si>
    <t>DK</t>
  </si>
  <si>
    <t xml:space="preserve">Renewable fuels: Technology descriptions and projections for long-term energy system planning </t>
  </si>
  <si>
    <t>https://refman.energytransitionmodel.com/publications/2218</t>
  </si>
  <si>
    <t>Data Sheets for energy carrier generation and conversion</t>
  </si>
  <si>
    <t>https://refman.energytransitionmodel.com/publications/2219</t>
  </si>
  <si>
    <t>Subject</t>
  </si>
  <si>
    <t>typical_input_capacity</t>
  </si>
  <si>
    <t>output.bio_kerosene</t>
  </si>
  <si>
    <t>full_load_hours</t>
  </si>
  <si>
    <t>hrs/yr</t>
  </si>
  <si>
    <t>Cost</t>
  </si>
  <si>
    <t>initial_investment</t>
  </si>
  <si>
    <t>euro</t>
  </si>
  <si>
    <t>ccs_investment</t>
  </si>
  <si>
    <t>fixed_operation_and_maintenance_costs_per_year</t>
  </si>
  <si>
    <t>euro/yr</t>
  </si>
  <si>
    <r>
      <t>variable_operation_and_maintenance_costs_per_</t>
    </r>
    <r>
      <rPr>
        <sz val="12"/>
        <color theme="1"/>
        <rFont val="Calibri"/>
        <family val="2"/>
        <scheme val="minor"/>
      </rPr>
      <t>full_load_hour</t>
    </r>
  </si>
  <si>
    <t>euro/flh</t>
  </si>
  <si>
    <t>variable_operation_and_maintenance_costs_for_ccs_per_full_load_hour</t>
  </si>
  <si>
    <t>cost_of_installing</t>
  </si>
  <si>
    <r>
      <t>decommis</t>
    </r>
    <r>
      <rPr>
        <sz val="12"/>
        <color theme="1"/>
        <rFont val="Calibri"/>
        <family val="2"/>
        <scheme val="minor"/>
      </rPr>
      <t>s</t>
    </r>
    <r>
      <rPr>
        <sz val="12"/>
        <color theme="1"/>
        <rFont val="Calibri"/>
        <family val="2"/>
        <scheme val="minor"/>
      </rPr>
      <t>ioning_costs</t>
    </r>
  </si>
  <si>
    <t>takes_part_in_ets</t>
  </si>
  <si>
    <t>yes=1, no=0</t>
  </si>
  <si>
    <t>Other</t>
  </si>
  <si>
    <t>technical_lifetime</t>
  </si>
  <si>
    <t>years</t>
  </si>
  <si>
    <t>construction_time</t>
  </si>
  <si>
    <t>DEA</t>
  </si>
  <si>
    <t>hrs</t>
  </si>
  <si>
    <t>h</t>
  </si>
  <si>
    <t>Initial investment costs</t>
  </si>
  <si>
    <r>
      <t>Fixed operational and maintenance costs per year</t>
    </r>
    <r>
      <rPr>
        <sz val="12"/>
        <color theme="1"/>
        <rFont val="Calibri"/>
        <family val="2"/>
        <scheme val="minor"/>
      </rPr>
      <t xml:space="preserve"> (incl. ccs)</t>
    </r>
  </si>
  <si>
    <r>
      <t xml:space="preserve">Variable operation and maintenance costs per </t>
    </r>
    <r>
      <rPr>
        <sz val="12"/>
        <color theme="1"/>
        <rFont val="Calibri"/>
        <family val="2"/>
        <scheme val="minor"/>
      </rPr>
      <t>flh</t>
    </r>
  </si>
  <si>
    <t>Installation costs</t>
  </si>
  <si>
    <t>Decommissioning costs</t>
  </si>
  <si>
    <t>wacc</t>
  </si>
  <si>
    <t>%</t>
  </si>
  <si>
    <t>Weighted average cost of capita</t>
  </si>
  <si>
    <t>See https://docs.energytransitionmodel.com/main/cost-wacc/</t>
  </si>
  <si>
    <t>Technical lifetime of the plant</t>
  </si>
  <si>
    <t xml:space="preserve">Construction time of the plant </t>
  </si>
  <si>
    <t>energy_production_hvo_bio_kerosene.ad</t>
  </si>
  <si>
    <t>HVO Jet Fuel</t>
  </si>
  <si>
    <t>Typical total plant size MW HVO [MW]</t>
  </si>
  <si>
    <t>C, G</t>
  </si>
  <si>
    <t>2,3</t>
  </si>
  <si>
    <t>C,D, G</t>
  </si>
  <si>
    <t>HVO Jet Output [MWh/MWh Total Input]</t>
  </si>
  <si>
    <t>Specific investment [M €/MW HVO Jet]</t>
  </si>
  <si>
    <t>A, E, J, L</t>
  </si>
  <si>
    <t xml:space="preserve"> -equipment [%]</t>
  </si>
  <si>
    <t>Start-up [M €/1,000 t HVO Jet]</t>
  </si>
  <si>
    <t>Specific investment [M €/1000 t HVO Jet]</t>
  </si>
  <si>
    <r>
      <t>A.</t>
    </r>
    <r>
      <rPr>
        <sz val="8"/>
        <color rgb="FF000000"/>
        <rFont val="Calibri"/>
        <family val="2"/>
      </rPr>
      <t>     The plant size is assumed based on the plants sizes of existing HVO plants. Jet production is 80% of HVO diesel production with the other 20% representing increased co-products.</t>
    </r>
  </si>
  <si>
    <r>
      <t>C.</t>
    </r>
    <r>
      <rPr>
        <sz val="8"/>
        <color rgb="FF000000"/>
        <rFont val="Calibri"/>
        <family val="2"/>
      </rPr>
      <t>     Performance is typical based similar performance to HVO diesel but with less primary product and more co-products.</t>
    </r>
  </si>
  <si>
    <r>
      <t>E.</t>
    </r>
    <r>
      <rPr>
        <sz val="8"/>
        <color rgb="FF000000"/>
        <rFont val="Calibri"/>
        <family val="2"/>
      </rPr>
      <t xml:space="preserve">     The total capital cost include total installed cost (total direct costs) and all indirect costs such as engineering, construction, contractor’s fee, contingency and working capital. </t>
    </r>
  </si>
  <si>
    <r>
      <t>L.</t>
    </r>
    <r>
      <rPr>
        <sz val="8"/>
        <color rgb="FF000000"/>
        <rFont val="Calibri"/>
        <family val="2"/>
      </rPr>
      <t>     M €/k tonne is million euro per 1,000 tonnes.</t>
    </r>
  </si>
  <si>
    <t>HVO jet fuel</t>
  </si>
  <si>
    <t>input.network_gas</t>
  </si>
  <si>
    <t xml:space="preserve">Data from Danish Energy Agency HVO jet ffuel: </t>
  </si>
  <si>
    <t>Data based on specs table:</t>
  </si>
  <si>
    <t>input.electricity</t>
  </si>
  <si>
    <t>Quintel assumption: minimal electricity input ignored, input share added to network gas</t>
  </si>
  <si>
    <t>output LPG</t>
  </si>
  <si>
    <t>output fuel gas</t>
  </si>
  <si>
    <t>output district heating</t>
  </si>
  <si>
    <t>DEA report states that fuel gas can be used as fuel, but not modelled in ETM. Therefore, other fuel output proportionally increased</t>
  </si>
  <si>
    <t>Minor heat output ignored, considered loss</t>
  </si>
  <si>
    <t>Quintel assumption</t>
  </si>
  <si>
    <t>Bio-LPG not modelled, therefore other fuel output proportionally increased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</si>
</sst>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 #,##0.00_ ;_ * \-#,##0.00_ ;_ * &quot;-&quot;??_ ;_ @_ "/>
    <numFmt numFmtId="164" formatCode="0.0"/>
    <numFmt numFmtId="165" formatCode="0.000"/>
    <numFmt numFmtId="166" formatCode="0.0000"/>
    <numFmt numFmtId="167" formatCode="_ * #,##0_ ;_ * \-#,##0_ ;_ * &quot;-&quot;??_ ;_ @_ "/>
    <numFmt numFmtId="168" formatCode="[$-413]mmm\-yy;@"/>
  </numFmts>
  <fonts count="35">
    <font>
      <sz val="12"/>
      <color theme="1"/>
      <name val="Lettertype hoofdtekst"/>
      <family val="2"/>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2"/>
      <color theme="10"/>
      <name val="Lettertype hoofdtekst"/>
      <family val="2"/>
    </font>
    <font>
      <u/>
      <sz val="12"/>
      <color theme="11"/>
      <name val="Lettertype hoofdtekst"/>
      <family val="2"/>
    </font>
    <font>
      <b/>
      <sz val="12"/>
      <color theme="1"/>
      <name val="Calibri"/>
      <family val="2"/>
      <scheme val="minor"/>
    </font>
    <font>
      <sz val="12"/>
      <color rgb="FF000000"/>
      <name val="Calibri"/>
      <family val="2"/>
      <scheme val="minor"/>
    </font>
    <font>
      <b/>
      <sz val="12"/>
      <color rgb="FF000000"/>
      <name val="Calibri"/>
      <family val="2"/>
      <scheme val="minor"/>
    </font>
    <font>
      <b/>
      <sz val="11"/>
      <color rgb="FF000000"/>
      <name val="Calibri"/>
      <family val="2"/>
      <scheme val="minor"/>
    </font>
    <font>
      <b/>
      <sz val="16"/>
      <color rgb="FF1F497D"/>
      <name val="Calibri"/>
      <family val="2"/>
      <scheme val="minor"/>
    </font>
    <font>
      <sz val="12"/>
      <name val="Calibri"/>
      <family val="2"/>
      <scheme val="minor"/>
    </font>
    <font>
      <b/>
      <sz val="12"/>
      <name val="Calibri"/>
      <family val="2"/>
      <scheme val="minor"/>
    </font>
    <font>
      <i/>
      <sz val="12"/>
      <color theme="1"/>
      <name val="Calibri"/>
      <family val="2"/>
      <scheme val="minor"/>
    </font>
    <font>
      <sz val="12"/>
      <color rgb="FF000000"/>
      <name val="Calibri"/>
      <family val="2"/>
    </font>
    <font>
      <sz val="8"/>
      <name val="Lettertype hoofdtekst"/>
      <family val="2"/>
    </font>
    <font>
      <sz val="12"/>
      <name val="Calibri"/>
      <family val="2"/>
    </font>
    <font>
      <b/>
      <sz val="12"/>
      <name val="Calibri"/>
      <family val="2"/>
    </font>
    <font>
      <sz val="12"/>
      <color theme="1"/>
      <name val="Lettertype hoofdtekst"/>
      <family val="2"/>
    </font>
    <font>
      <b/>
      <sz val="8"/>
      <color rgb="FF969696"/>
      <name val="Calibri"/>
      <family val="2"/>
      <scheme val="minor"/>
    </font>
    <font>
      <sz val="8"/>
      <color rgb="FF969696"/>
      <name val="Calibri"/>
      <family val="2"/>
      <scheme val="minor"/>
    </font>
    <font>
      <b/>
      <sz val="8"/>
      <color theme="1"/>
      <name val="Calibri"/>
      <family val="2"/>
    </font>
    <font>
      <b/>
      <sz val="8"/>
      <color theme="1"/>
      <name val="Calibri"/>
      <family val="2"/>
      <scheme val="minor"/>
    </font>
    <font>
      <sz val="8"/>
      <color theme="1"/>
      <name val="Calibri"/>
      <family val="2"/>
      <scheme val="minor"/>
    </font>
    <font>
      <b/>
      <sz val="8"/>
      <name val="Calibri"/>
      <family val="2"/>
    </font>
    <font>
      <b/>
      <sz val="8"/>
      <name val="Calibri"/>
      <family val="2"/>
      <scheme val="minor"/>
    </font>
    <font>
      <sz val="8"/>
      <color theme="1"/>
      <name val="Calibri"/>
      <family val="2"/>
    </font>
    <font>
      <sz val="8"/>
      <color rgb="FF000000"/>
      <name val="Calibri"/>
      <family val="2"/>
    </font>
    <font>
      <b/>
      <sz val="14"/>
      <color theme="1"/>
      <name val="Calibri"/>
      <family val="2"/>
      <scheme val="minor"/>
    </font>
  </fonts>
  <fills count="14">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theme="2"/>
        <bgColor indexed="64"/>
      </patternFill>
    </fill>
    <fill>
      <patternFill patternType="solid">
        <fgColor rgb="FFFFFF00"/>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rgb="FFFFFFFF"/>
        <bgColor rgb="FF000000"/>
      </patternFill>
    </fill>
    <fill>
      <patternFill patternType="solid">
        <fgColor rgb="FFF2F2F2"/>
        <bgColor indexed="64"/>
      </patternFill>
    </fill>
  </fills>
  <borders count="23">
    <border>
      <left/>
      <right/>
      <top/>
      <bottom/>
      <diagonal/>
    </border>
    <border>
      <left style="thin">
        <color auto="1"/>
      </left>
      <right/>
      <top/>
      <bottom style="thin">
        <color auto="1"/>
      </bottom>
      <diagonal/>
    </border>
    <border>
      <left/>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bottom/>
      <diagonal/>
    </border>
    <border>
      <left style="medium">
        <color auto="1"/>
      </left>
      <right/>
      <top/>
      <bottom/>
      <diagonal/>
    </border>
    <border>
      <left style="thin">
        <color auto="1"/>
      </left>
      <right/>
      <top/>
      <bottom/>
      <diagonal/>
    </border>
    <border>
      <left/>
      <right style="thin">
        <color auto="1"/>
      </right>
      <top/>
      <bottom/>
      <diagonal/>
    </border>
    <border>
      <left/>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thin">
        <color auto="1"/>
      </top>
      <bottom/>
      <diagonal/>
    </border>
    <border>
      <left/>
      <right style="thin">
        <color auto="1"/>
      </right>
      <top/>
      <bottom style="thin">
        <color auto="1"/>
      </bottom>
      <diagonal/>
    </border>
    <border>
      <left/>
      <right style="medium">
        <color auto="1"/>
      </right>
      <top style="medium">
        <color auto="1"/>
      </top>
      <bottom/>
      <diagonal/>
    </border>
    <border>
      <left style="medium">
        <color auto="1"/>
      </left>
      <right/>
      <top/>
      <bottom style="thin">
        <color auto="1"/>
      </bottom>
      <diagonal/>
    </border>
    <border>
      <left style="thin">
        <color auto="1"/>
      </left>
      <right/>
      <top style="thin">
        <color auto="1"/>
      </top>
      <bottom/>
      <diagonal/>
    </border>
    <border>
      <left style="medium">
        <color auto="1"/>
      </left>
      <right style="medium">
        <color auto="1"/>
      </right>
      <top style="medium">
        <color auto="1"/>
      </top>
      <bottom style="medium">
        <color auto="1"/>
      </bottom>
      <diagonal/>
    </border>
    <border>
      <left/>
      <right style="medium">
        <color auto="1"/>
      </right>
      <top/>
      <bottom style="thin">
        <color auto="1"/>
      </bottom>
      <diagonal/>
    </border>
    <border>
      <left style="thin">
        <color indexed="64"/>
      </left>
      <right/>
      <top style="medium">
        <color auto="1"/>
      </top>
      <bottom/>
      <diagonal/>
    </border>
    <border>
      <left style="medium">
        <color auto="1"/>
      </left>
      <right style="medium">
        <color auto="1"/>
      </right>
      <top/>
      <bottom style="medium">
        <color auto="1"/>
      </bottom>
      <diagonal/>
    </border>
    <border>
      <left style="medium">
        <color auto="1"/>
      </left>
      <right style="medium">
        <color auto="1"/>
      </right>
      <top style="medium">
        <color auto="1"/>
      </top>
      <bottom/>
      <diagonal/>
    </border>
  </borders>
  <cellStyleXfs count="359">
    <xf numFmtId="0" fontId="0" fillId="0" borderId="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43" fontId="24" fillId="0" borderId="0" applyFont="0" applyFill="0" applyBorder="0" applyAlignment="0" applyProtection="0"/>
    <xf numFmtId="9" fontId="24" fillId="0" borderId="0" applyFont="0" applyFill="0" applyBorder="0" applyAlignment="0" applyProtection="0"/>
    <xf numFmtId="0" fontId="10" fillId="0" borderId="0" applyNumberFormat="0" applyFill="0" applyBorder="0" applyAlignment="0" applyProtection="0"/>
  </cellStyleXfs>
  <cellXfs count="170">
    <xf numFmtId="0" fontId="0" fillId="0" borderId="0" xfId="0"/>
    <xf numFmtId="0" fontId="13" fillId="3" borderId="7" xfId="0" applyFont="1" applyFill="1" applyBorder="1"/>
    <xf numFmtId="0" fontId="14" fillId="3" borderId="17" xfId="0" applyFont="1" applyFill="1" applyBorder="1"/>
    <xf numFmtId="0" fontId="13" fillId="3" borderId="13" xfId="0" applyFont="1" applyFill="1" applyBorder="1"/>
    <xf numFmtId="0" fontId="15" fillId="3" borderId="7" xfId="0" applyFont="1" applyFill="1" applyBorder="1" applyAlignment="1">
      <alignment vertical="center"/>
    </xf>
    <xf numFmtId="49" fontId="13" fillId="2" borderId="8" xfId="0" applyNumberFormat="1" applyFont="1" applyFill="1" applyBorder="1" applyAlignment="1">
      <alignment horizontal="left"/>
    </xf>
    <xf numFmtId="0" fontId="15" fillId="3" borderId="1" xfId="0" applyFont="1" applyFill="1" applyBorder="1" applyAlignment="1">
      <alignment vertical="center"/>
    </xf>
    <xf numFmtId="0" fontId="13" fillId="3" borderId="14" xfId="0" applyFont="1" applyFill="1" applyBorder="1"/>
    <xf numFmtId="0" fontId="13" fillId="3" borderId="0" xfId="0" applyFont="1" applyFill="1"/>
    <xf numFmtId="1" fontId="12" fillId="2" borderId="0" xfId="0" applyNumberFormat="1" applyFont="1" applyFill="1" applyAlignment="1">
      <alignment horizontal="right" vertical="center"/>
    </xf>
    <xf numFmtId="0" fontId="12" fillId="2" borderId="0" xfId="0" applyFont="1" applyFill="1"/>
    <xf numFmtId="0" fontId="12" fillId="2" borderId="5" xfId="0" applyFont="1" applyFill="1" applyBorder="1"/>
    <xf numFmtId="0" fontId="12" fillId="2" borderId="9" xfId="0" applyFont="1" applyFill="1" applyBorder="1"/>
    <xf numFmtId="0" fontId="12" fillId="0" borderId="9" xfId="0" applyFont="1" applyBorder="1"/>
    <xf numFmtId="0" fontId="14" fillId="0" borderId="9" xfId="0" applyFont="1" applyBorder="1"/>
    <xf numFmtId="49" fontId="12" fillId="2" borderId="0" xfId="0" applyNumberFormat="1" applyFont="1" applyFill="1"/>
    <xf numFmtId="49" fontId="12" fillId="2" borderId="9" xfId="0" applyNumberFormat="1" applyFont="1" applyFill="1" applyBorder="1"/>
    <xf numFmtId="0" fontId="12" fillId="2" borderId="4" xfId="0" applyFont="1" applyFill="1" applyBorder="1"/>
    <xf numFmtId="0" fontId="14" fillId="0" borderId="0" xfId="0" applyFont="1"/>
    <xf numFmtId="0" fontId="9" fillId="2" borderId="0" xfId="0" applyFont="1" applyFill="1"/>
    <xf numFmtId="0" fontId="13" fillId="0" borderId="0" xfId="0" applyFont="1"/>
    <xf numFmtId="0" fontId="12" fillId="0" borderId="16" xfId="0" applyFont="1" applyBorder="1"/>
    <xf numFmtId="0" fontId="12" fillId="2" borderId="6" xfId="0" applyFont="1" applyFill="1" applyBorder="1"/>
    <xf numFmtId="0" fontId="13" fillId="3" borderId="17" xfId="0" applyFont="1" applyFill="1" applyBorder="1"/>
    <xf numFmtId="0" fontId="13" fillId="3" borderId="2" xfId="0" applyFont="1" applyFill="1" applyBorder="1"/>
    <xf numFmtId="0" fontId="9" fillId="2" borderId="2" xfId="0" applyFont="1" applyFill="1" applyBorder="1"/>
    <xf numFmtId="0" fontId="16" fillId="3" borderId="0" xfId="0" applyFont="1" applyFill="1"/>
    <xf numFmtId="0" fontId="9" fillId="2" borderId="7" xfId="0" applyFont="1" applyFill="1" applyBorder="1"/>
    <xf numFmtId="0" fontId="12" fillId="0" borderId="0" xfId="0" applyFont="1"/>
    <xf numFmtId="0" fontId="14" fillId="3" borderId="0" xfId="0" applyFont="1" applyFill="1"/>
    <xf numFmtId="0" fontId="12" fillId="2" borderId="0" xfId="0" applyFont="1" applyFill="1" applyAlignment="1">
      <alignment horizontal="left" vertical="center"/>
    </xf>
    <xf numFmtId="0" fontId="8" fillId="2" borderId="0" xfId="0" applyFont="1" applyFill="1"/>
    <xf numFmtId="0" fontId="7" fillId="2" borderId="0" xfId="0" applyFont="1" applyFill="1"/>
    <xf numFmtId="0" fontId="7" fillId="2" borderId="3" xfId="0" applyFont="1" applyFill="1" applyBorder="1"/>
    <xf numFmtId="0" fontId="7" fillId="2" borderId="4" xfId="0" applyFont="1" applyFill="1" applyBorder="1"/>
    <xf numFmtId="0" fontId="7" fillId="2" borderId="6" xfId="0" applyFont="1" applyFill="1" applyBorder="1"/>
    <xf numFmtId="2" fontId="7" fillId="2" borderId="0" xfId="0" applyNumberFormat="1" applyFont="1" applyFill="1" applyAlignment="1">
      <alignment horizontal="right" vertical="center"/>
    </xf>
    <xf numFmtId="10" fontId="7" fillId="2" borderId="0" xfId="0" applyNumberFormat="1" applyFont="1" applyFill="1" applyAlignment="1">
      <alignment horizontal="left" vertical="center" indent="2"/>
    </xf>
    <xf numFmtId="0" fontId="6" fillId="0" borderId="0" xfId="0" applyFont="1"/>
    <xf numFmtId="0" fontId="5" fillId="2" borderId="0" xfId="0" applyFont="1" applyFill="1"/>
    <xf numFmtId="0" fontId="5" fillId="2" borderId="4" xfId="0" applyFont="1" applyFill="1" applyBorder="1"/>
    <xf numFmtId="49" fontId="5" fillId="2" borderId="0" xfId="0" applyNumberFormat="1" applyFont="1" applyFill="1"/>
    <xf numFmtId="49" fontId="5" fillId="2" borderId="4" xfId="0" applyNumberFormat="1" applyFont="1" applyFill="1" applyBorder="1"/>
    <xf numFmtId="0" fontId="17" fillId="2" borderId="0" xfId="0" applyFont="1" applyFill="1"/>
    <xf numFmtId="0" fontId="18" fillId="2" borderId="0" xfId="0" applyFont="1" applyFill="1"/>
    <xf numFmtId="0" fontId="12" fillId="2" borderId="17" xfId="0" applyFont="1" applyFill="1" applyBorder="1"/>
    <xf numFmtId="0" fontId="4" fillId="2" borderId="2" xfId="0" applyFont="1" applyFill="1" applyBorder="1"/>
    <xf numFmtId="0" fontId="12" fillId="2" borderId="7" xfId="0" applyFont="1" applyFill="1" applyBorder="1"/>
    <xf numFmtId="0" fontId="4" fillId="2" borderId="0" xfId="0" applyFont="1" applyFill="1"/>
    <xf numFmtId="0" fontId="19" fillId="2" borderId="0" xfId="0" applyFont="1" applyFill="1"/>
    <xf numFmtId="0" fontId="4" fillId="2" borderId="18" xfId="0" applyFont="1" applyFill="1" applyBorder="1"/>
    <xf numFmtId="0" fontId="4" fillId="4" borderId="0" xfId="0" applyFont="1" applyFill="1"/>
    <xf numFmtId="0" fontId="4" fillId="5" borderId="0" xfId="0" applyFont="1" applyFill="1"/>
    <xf numFmtId="0" fontId="4" fillId="6" borderId="0" xfId="0" applyFont="1" applyFill="1"/>
    <xf numFmtId="0" fontId="4" fillId="7" borderId="0" xfId="0" applyFont="1" applyFill="1"/>
    <xf numFmtId="0" fontId="4" fillId="2" borderId="7" xfId="0" applyFont="1" applyFill="1" applyBorder="1"/>
    <xf numFmtId="0" fontId="4" fillId="8" borderId="0" xfId="0" applyFont="1" applyFill="1"/>
    <xf numFmtId="0" fontId="4" fillId="9" borderId="0" xfId="0" applyFont="1" applyFill="1"/>
    <xf numFmtId="0" fontId="4" fillId="10" borderId="0" xfId="0" applyFont="1" applyFill="1"/>
    <xf numFmtId="0" fontId="4" fillId="11" borderId="0" xfId="0" applyFont="1" applyFill="1"/>
    <xf numFmtId="0" fontId="12" fillId="2" borderId="9" xfId="0" applyFont="1" applyFill="1" applyBorder="1" applyAlignment="1">
      <alignment vertical="center"/>
    </xf>
    <xf numFmtId="0" fontId="12" fillId="2" borderId="19" xfId="0" applyFont="1" applyFill="1" applyBorder="1"/>
    <xf numFmtId="165" fontId="17" fillId="2" borderId="0" xfId="0" applyNumberFormat="1" applyFont="1" applyFill="1"/>
    <xf numFmtId="17" fontId="17" fillId="2" borderId="0" xfId="0" applyNumberFormat="1" applyFont="1" applyFill="1"/>
    <xf numFmtId="0" fontId="22" fillId="12" borderId="0" xfId="0" applyFont="1" applyFill="1"/>
    <xf numFmtId="0" fontId="23" fillId="12" borderId="0" xfId="0" applyFont="1" applyFill="1"/>
    <xf numFmtId="0" fontId="5" fillId="2" borderId="20" xfId="0" applyFont="1" applyFill="1" applyBorder="1"/>
    <xf numFmtId="0" fontId="5" fillId="2" borderId="7" xfId="0" applyFont="1" applyFill="1" applyBorder="1"/>
    <xf numFmtId="0" fontId="5" fillId="2" borderId="1" xfId="0" applyFont="1" applyFill="1" applyBorder="1"/>
    <xf numFmtId="0" fontId="25" fillId="13" borderId="2" xfId="0" applyFont="1" applyFill="1" applyBorder="1" applyAlignment="1">
      <alignment horizontal="left" vertical="top"/>
    </xf>
    <xf numFmtId="0" fontId="26" fillId="13" borderId="2" xfId="0" applyFont="1" applyFill="1" applyBorder="1" applyAlignment="1">
      <alignment horizontal="left" vertical="top"/>
    </xf>
    <xf numFmtId="0" fontId="26" fillId="13" borderId="0" xfId="0" applyFont="1" applyFill="1" applyAlignment="1">
      <alignment horizontal="left" vertical="top"/>
    </xf>
    <xf numFmtId="0" fontId="30" fillId="13" borderId="0" xfId="0" applyFont="1" applyFill="1" applyAlignment="1">
      <alignment horizontal="right" vertical="top"/>
    </xf>
    <xf numFmtId="0" fontId="25" fillId="13" borderId="11" xfId="0" applyFont="1" applyFill="1" applyBorder="1" applyAlignment="1">
      <alignment horizontal="left" vertical="top"/>
    </xf>
    <xf numFmtId="0" fontId="26" fillId="13" borderId="11" xfId="0" applyFont="1" applyFill="1" applyBorder="1" applyAlignment="1">
      <alignment horizontal="left" vertical="top"/>
    </xf>
    <xf numFmtId="0" fontId="31" fillId="13" borderId="11" xfId="0" applyFont="1" applyFill="1" applyBorder="1" applyAlignment="1">
      <alignment horizontal="right" vertical="top"/>
    </xf>
    <xf numFmtId="0" fontId="30" fillId="13" borderId="11" xfId="0" applyFont="1" applyFill="1" applyBorder="1" applyAlignment="1">
      <alignment horizontal="right" vertical="top"/>
    </xf>
    <xf numFmtId="0" fontId="29" fillId="13" borderId="11" xfId="0" applyFont="1" applyFill="1" applyBorder="1" applyAlignment="1">
      <alignment horizontal="center" vertical="top"/>
    </xf>
    <xf numFmtId="0" fontId="25" fillId="0" borderId="0" xfId="0" applyFont="1" applyAlignment="1">
      <alignment horizontal="left" vertical="top"/>
    </xf>
    <xf numFmtId="0" fontId="26" fillId="0" borderId="0" xfId="0" applyFont="1" applyAlignment="1">
      <alignment horizontal="left" vertical="top"/>
    </xf>
    <xf numFmtId="0" fontId="29" fillId="0" borderId="0" xfId="0" applyFont="1" applyAlignment="1">
      <alignment horizontal="right" vertical="top"/>
    </xf>
    <xf numFmtId="0" fontId="29" fillId="0" borderId="0" xfId="0" applyFont="1" applyAlignment="1">
      <alignment horizontal="center" vertical="top"/>
    </xf>
    <xf numFmtId="0" fontId="28" fillId="0" borderId="0" xfId="0" applyFont="1" applyAlignment="1">
      <alignment horizontal="left" vertical="top"/>
    </xf>
    <xf numFmtId="0" fontId="29" fillId="0" borderId="0" xfId="0" applyFont="1" applyAlignment="1">
      <alignment horizontal="left" vertical="top"/>
    </xf>
    <xf numFmtId="0" fontId="32" fillId="0" borderId="0" xfId="0" applyFont="1" applyAlignment="1">
      <alignment horizontal="right" vertical="top"/>
    </xf>
    <xf numFmtId="9" fontId="32" fillId="0" borderId="0" xfId="357" applyFont="1" applyBorder="1" applyAlignment="1">
      <alignment horizontal="right" vertical="top"/>
    </xf>
    <xf numFmtId="9" fontId="32" fillId="0" borderId="0" xfId="0" applyNumberFormat="1" applyFont="1" applyAlignment="1">
      <alignment horizontal="right" vertical="top"/>
    </xf>
    <xf numFmtId="165" fontId="32" fillId="0" borderId="0" xfId="0" applyNumberFormat="1" applyFont="1" applyAlignment="1">
      <alignment horizontal="right" vertical="top"/>
    </xf>
    <xf numFmtId="2" fontId="32" fillId="0" borderId="0" xfId="0" applyNumberFormat="1" applyFont="1" applyAlignment="1">
      <alignment horizontal="right" vertical="top"/>
    </xf>
    <xf numFmtId="0" fontId="29" fillId="0" borderId="0" xfId="0" applyFont="1"/>
    <xf numFmtId="0" fontId="28" fillId="0" borderId="11" xfId="0" applyFont="1" applyBorder="1" applyAlignment="1">
      <alignment horizontal="left" vertical="top"/>
    </xf>
    <xf numFmtId="0" fontId="29" fillId="0" borderId="11" xfId="0" applyFont="1" applyBorder="1" applyAlignment="1">
      <alignment horizontal="left" vertical="top"/>
    </xf>
    <xf numFmtId="0" fontId="32" fillId="0" borderId="11" xfId="0" applyFont="1" applyBorder="1" applyAlignment="1">
      <alignment horizontal="right" vertical="top"/>
    </xf>
    <xf numFmtId="0" fontId="29" fillId="0" borderId="11" xfId="0" applyFont="1" applyBorder="1" applyAlignment="1">
      <alignment horizontal="center" vertical="top"/>
    </xf>
    <xf numFmtId="0" fontId="27" fillId="0" borderId="0" xfId="0" applyFont="1" applyAlignment="1">
      <alignment horizontal="left" vertical="center"/>
    </xf>
    <xf numFmtId="0" fontId="32" fillId="0" borderId="0" xfId="0" applyFont="1"/>
    <xf numFmtId="0" fontId="32" fillId="0" borderId="0" xfId="0" applyFont="1" applyAlignment="1">
      <alignment horizontal="left" vertical="center"/>
    </xf>
    <xf numFmtId="0" fontId="28" fillId="13" borderId="0" xfId="0" applyFont="1" applyFill="1" applyAlignment="1">
      <alignment horizontal="right" vertical="top"/>
    </xf>
    <xf numFmtId="0" fontId="28" fillId="0" borderId="0" xfId="0" applyFont="1" applyAlignment="1">
      <alignment horizontal="right" vertical="top"/>
    </xf>
    <xf numFmtId="0" fontId="27" fillId="0" borderId="0" xfId="0" applyFont="1" applyAlignment="1">
      <alignment horizontal="right" vertical="top"/>
    </xf>
    <xf numFmtId="165" fontId="27" fillId="0" borderId="0" xfId="0" applyNumberFormat="1" applyFont="1" applyAlignment="1">
      <alignment horizontal="right" vertical="top"/>
    </xf>
    <xf numFmtId="2" fontId="27" fillId="0" borderId="0" xfId="0" applyNumberFormat="1" applyFont="1" applyAlignment="1">
      <alignment horizontal="right" vertical="top"/>
    </xf>
    <xf numFmtId="0" fontId="27" fillId="0" borderId="11" xfId="0" applyFont="1" applyBorder="1" applyAlignment="1">
      <alignment horizontal="right" vertical="top"/>
    </xf>
    <xf numFmtId="167" fontId="17" fillId="2" borderId="0" xfId="356" applyNumberFormat="1" applyFont="1" applyFill="1"/>
    <xf numFmtId="167" fontId="17" fillId="2" borderId="0" xfId="0" applyNumberFormat="1" applyFont="1" applyFill="1"/>
    <xf numFmtId="4" fontId="17" fillId="2" borderId="0" xfId="0" applyNumberFormat="1" applyFont="1" applyFill="1"/>
    <xf numFmtId="0" fontId="3" fillId="2" borderId="0" xfId="0" applyFont="1" applyFill="1"/>
    <xf numFmtId="168" fontId="3" fillId="2" borderId="0" xfId="0" applyNumberFormat="1" applyFont="1" applyFill="1"/>
    <xf numFmtId="49" fontId="10" fillId="2" borderId="0" xfId="358" applyNumberFormat="1" applyFill="1"/>
    <xf numFmtId="0" fontId="3" fillId="0" borderId="0" xfId="0" applyFont="1" applyAlignment="1">
      <alignment vertical="center"/>
    </xf>
    <xf numFmtId="0" fontId="13" fillId="0" borderId="0" xfId="0" applyFont="1" applyAlignment="1">
      <alignment vertical="center"/>
    </xf>
    <xf numFmtId="2" fontId="3" fillId="2" borderId="18" xfId="0" applyNumberFormat="1" applyFont="1" applyFill="1" applyBorder="1" applyAlignment="1">
      <alignment vertical="center"/>
    </xf>
    <xf numFmtId="165" fontId="3" fillId="2" borderId="0" xfId="0" applyNumberFormat="1" applyFont="1" applyFill="1" applyAlignment="1">
      <alignment vertical="center"/>
    </xf>
    <xf numFmtId="2" fontId="3" fillId="2" borderId="18" xfId="0" applyNumberFormat="1" applyFont="1" applyFill="1" applyBorder="1" applyAlignment="1">
      <alignment horizontal="right" vertical="center"/>
    </xf>
    <xf numFmtId="2" fontId="3" fillId="2" borderId="0" xfId="0" applyNumberFormat="1" applyFont="1" applyFill="1" applyAlignment="1">
      <alignment horizontal="right" vertical="center"/>
    </xf>
    <xf numFmtId="2" fontId="3" fillId="2" borderId="18" xfId="0" applyNumberFormat="1" applyFont="1" applyFill="1" applyBorder="1"/>
    <xf numFmtId="164" fontId="3" fillId="2" borderId="18" xfId="0" applyNumberFormat="1" applyFont="1" applyFill="1" applyBorder="1"/>
    <xf numFmtId="0" fontId="3" fillId="0" borderId="0" xfId="0" applyFont="1"/>
    <xf numFmtId="1" fontId="3" fillId="2" borderId="21" xfId="0" applyNumberFormat="1" applyFont="1" applyFill="1" applyBorder="1"/>
    <xf numFmtId="2" fontId="3" fillId="2" borderId="21" xfId="0" applyNumberFormat="1" applyFont="1" applyFill="1" applyBorder="1"/>
    <xf numFmtId="2" fontId="3" fillId="2" borderId="0" xfId="0" applyNumberFormat="1" applyFont="1" applyFill="1"/>
    <xf numFmtId="0" fontId="20" fillId="0" borderId="0" xfId="0" applyFont="1"/>
    <xf numFmtId="2" fontId="12" fillId="2" borderId="0" xfId="0" applyNumberFormat="1" applyFont="1" applyFill="1" applyAlignment="1">
      <alignment horizontal="right" vertical="center"/>
    </xf>
    <xf numFmtId="1" fontId="3" fillId="2" borderId="0" xfId="0" applyNumberFormat="1" applyFont="1" applyFill="1" applyAlignment="1">
      <alignment horizontal="right" vertical="center"/>
    </xf>
    <xf numFmtId="1" fontId="3" fillId="2" borderId="18" xfId="0" applyNumberFormat="1" applyFont="1" applyFill="1" applyBorder="1" applyAlignment="1">
      <alignment horizontal="right" vertical="center"/>
    </xf>
    <xf numFmtId="166" fontId="3" fillId="0" borderId="0" xfId="0" applyNumberFormat="1" applyFont="1"/>
    <xf numFmtId="166" fontId="13" fillId="0" borderId="0" xfId="0" applyNumberFormat="1" applyFont="1"/>
    <xf numFmtId="2" fontId="3" fillId="2" borderId="22" xfId="0" applyNumberFormat="1" applyFont="1" applyFill="1" applyBorder="1" applyAlignment="1">
      <alignment horizontal="right" vertical="center"/>
    </xf>
    <xf numFmtId="164" fontId="3" fillId="2" borderId="0" xfId="0" applyNumberFormat="1" applyFont="1" applyFill="1"/>
    <xf numFmtId="0" fontId="13" fillId="2" borderId="0" xfId="0" applyFont="1" applyFill="1"/>
    <xf numFmtId="0" fontId="3" fillId="2" borderId="18" xfId="0" applyFont="1" applyFill="1" applyBorder="1"/>
    <xf numFmtId="1" fontId="17" fillId="2" borderId="0" xfId="0" applyNumberFormat="1" applyFont="1" applyFill="1"/>
    <xf numFmtId="165" fontId="3" fillId="2" borderId="18" xfId="0" applyNumberFormat="1" applyFont="1" applyFill="1" applyBorder="1"/>
    <xf numFmtId="165" fontId="3" fillId="2" borderId="18" xfId="0" applyNumberFormat="1" applyFont="1" applyFill="1" applyBorder="1" applyAlignment="1">
      <alignment horizontal="right" vertical="center"/>
    </xf>
    <xf numFmtId="0" fontId="12" fillId="0" borderId="0" xfId="0" applyFont="1" applyAlignment="1">
      <alignment vertical="center"/>
    </xf>
    <xf numFmtId="0" fontId="34" fillId="2" borderId="0" xfId="0" applyFont="1" applyFill="1" applyAlignment="1">
      <alignment vertical="center"/>
    </xf>
    <xf numFmtId="0" fontId="3" fillId="2" borderId="0" xfId="0" applyFont="1" applyFill="1" applyAlignment="1">
      <alignment vertical="center"/>
    </xf>
    <xf numFmtId="0" fontId="20" fillId="12" borderId="18" xfId="0" applyFont="1" applyFill="1" applyBorder="1"/>
    <xf numFmtId="0" fontId="3" fillId="2" borderId="3" xfId="0" applyFont="1" applyFill="1" applyBorder="1"/>
    <xf numFmtId="0" fontId="3" fillId="2" borderId="15" xfId="0" applyFont="1" applyFill="1" applyBorder="1"/>
    <xf numFmtId="0" fontId="12" fillId="2" borderId="6" xfId="0" applyFont="1" applyFill="1" applyBorder="1" applyAlignment="1">
      <alignment vertical="center"/>
    </xf>
    <xf numFmtId="0" fontId="34" fillId="2" borderId="5" xfId="0" applyFont="1" applyFill="1" applyBorder="1" applyAlignment="1">
      <alignment vertical="center"/>
    </xf>
    <xf numFmtId="0" fontId="3" fillId="2" borderId="6" xfId="0" applyFont="1" applyFill="1" applyBorder="1"/>
    <xf numFmtId="0" fontId="3" fillId="2" borderId="5" xfId="0" applyFont="1" applyFill="1" applyBorder="1"/>
    <xf numFmtId="0" fontId="3" fillId="2" borderId="6" xfId="0" applyFont="1" applyFill="1" applyBorder="1" applyAlignment="1">
      <alignment vertical="center"/>
    </xf>
    <xf numFmtId="0" fontId="3" fillId="2" borderId="5" xfId="0" applyFont="1" applyFill="1" applyBorder="1" applyAlignment="1">
      <alignment vertical="center"/>
    </xf>
    <xf numFmtId="166" fontId="3" fillId="2" borderId="6" xfId="0" applyNumberFormat="1" applyFont="1" applyFill="1" applyBorder="1"/>
    <xf numFmtId="166" fontId="3" fillId="2" borderId="5" xfId="0" applyNumberFormat="1" applyFont="1" applyFill="1" applyBorder="1"/>
    <xf numFmtId="0" fontId="3" fillId="2" borderId="10" xfId="0" applyFont="1" applyFill="1" applyBorder="1"/>
    <xf numFmtId="0" fontId="3" fillId="2" borderId="11" xfId="0" applyFont="1" applyFill="1" applyBorder="1"/>
    <xf numFmtId="0" fontId="3" fillId="2" borderId="12" xfId="0" applyFont="1" applyFill="1" applyBorder="1"/>
    <xf numFmtId="165" fontId="3" fillId="2" borderId="18" xfId="0" applyNumberFormat="1" applyFont="1" applyFill="1" applyBorder="1" applyAlignment="1">
      <alignment vertical="center"/>
    </xf>
    <xf numFmtId="0" fontId="25" fillId="13" borderId="0" xfId="0" applyFont="1" applyFill="1" applyAlignment="1">
      <alignment horizontal="left" vertical="top"/>
    </xf>
    <xf numFmtId="0" fontId="28" fillId="13" borderId="0" xfId="0" applyFont="1" applyFill="1" applyAlignment="1">
      <alignment horizontal="center" vertical="top"/>
    </xf>
    <xf numFmtId="0" fontId="29" fillId="0" borderId="0" xfId="0" applyFont="1" applyAlignment="1">
      <alignment horizontal="center"/>
    </xf>
    <xf numFmtId="0" fontId="27" fillId="13" borderId="2" xfId="358" applyFont="1" applyFill="1" applyBorder="1" applyAlignment="1" applyProtection="1">
      <alignment horizontal="center" vertical="top" wrapText="1"/>
    </xf>
    <xf numFmtId="0" fontId="28" fillId="13" borderId="2" xfId="0" applyFont="1" applyFill="1" applyBorder="1" applyAlignment="1">
      <alignment horizontal="center" vertical="top" wrapText="1"/>
    </xf>
    <xf numFmtId="0" fontId="2" fillId="0" borderId="0" xfId="0" applyFont="1"/>
    <xf numFmtId="0" fontId="2" fillId="2" borderId="18" xfId="0" applyFont="1" applyFill="1" applyBorder="1" applyAlignment="1">
      <alignment vertical="center"/>
    </xf>
    <xf numFmtId="166" fontId="2" fillId="2" borderId="18" xfId="0" applyNumberFormat="1" applyFont="1" applyFill="1" applyBorder="1"/>
    <xf numFmtId="0" fontId="2" fillId="2" borderId="18" xfId="0" applyFont="1" applyFill="1" applyBorder="1"/>
    <xf numFmtId="0" fontId="20" fillId="12" borderId="17" xfId="0" applyFont="1" applyFill="1" applyBorder="1" applyAlignment="1">
      <alignment horizontal="left" vertical="top" wrapText="1"/>
    </xf>
    <xf numFmtId="0" fontId="20" fillId="12" borderId="2" xfId="0" applyFont="1" applyFill="1" applyBorder="1" applyAlignment="1">
      <alignment horizontal="left" vertical="top" wrapText="1"/>
    </xf>
    <xf numFmtId="0" fontId="20" fillId="12" borderId="13" xfId="0" applyFont="1" applyFill="1" applyBorder="1" applyAlignment="1">
      <alignment horizontal="left" vertical="top" wrapText="1"/>
    </xf>
    <xf numFmtId="0" fontId="20" fillId="12" borderId="7" xfId="0" applyFont="1" applyFill="1" applyBorder="1" applyAlignment="1">
      <alignment horizontal="left" vertical="top" wrapText="1"/>
    </xf>
    <xf numFmtId="0" fontId="20" fillId="12" borderId="0" xfId="0" applyFont="1" applyFill="1" applyAlignment="1">
      <alignment horizontal="left" vertical="top" wrapText="1"/>
    </xf>
    <xf numFmtId="0" fontId="20" fillId="12" borderId="8" xfId="0" applyFont="1" applyFill="1" applyBorder="1" applyAlignment="1">
      <alignment horizontal="left" vertical="top" wrapText="1"/>
    </xf>
    <xf numFmtId="0" fontId="20" fillId="12" borderId="1" xfId="0" applyFont="1" applyFill="1" applyBorder="1" applyAlignment="1">
      <alignment horizontal="left" vertical="top" wrapText="1"/>
    </xf>
    <xf numFmtId="0" fontId="20" fillId="12" borderId="9" xfId="0" applyFont="1" applyFill="1" applyBorder="1" applyAlignment="1">
      <alignment horizontal="left" vertical="top" wrapText="1"/>
    </xf>
    <xf numFmtId="0" fontId="20" fillId="12" borderId="14" xfId="0" applyFont="1" applyFill="1" applyBorder="1" applyAlignment="1">
      <alignment horizontal="left" vertical="top" wrapText="1"/>
    </xf>
  </cellXfs>
  <cellStyles count="359">
    <cellStyle name="Comma" xfId="356" builtinId="3"/>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7" builtinId="9" hidden="1"/>
    <cellStyle name="Followed Hyperlink" xfId="178" builtinId="9" hidden="1"/>
    <cellStyle name="Followed Hyperlink" xfId="179" builtinId="9" hidden="1"/>
    <cellStyle name="Followed Hyperlink" xfId="180" builtinId="9" hidden="1"/>
    <cellStyle name="Followed Hyperlink" xfId="181" builtinId="9" hidden="1"/>
    <cellStyle name="Followed Hyperlink" xfId="182" builtinId="9" hidden="1"/>
    <cellStyle name="Followed Hyperlink" xfId="183" builtinId="9" hidden="1"/>
    <cellStyle name="Followed Hyperlink" xfId="184" builtinId="9" hidden="1"/>
    <cellStyle name="Followed Hyperlink" xfId="185" builtinId="9" hidden="1"/>
    <cellStyle name="Followed Hyperlink" xfId="186" builtinId="9" hidden="1"/>
    <cellStyle name="Followed Hyperlink" xfId="187" builtinId="9" hidden="1"/>
    <cellStyle name="Followed Hyperlink" xfId="188" builtinId="9" hidden="1"/>
    <cellStyle name="Followed Hyperlink" xfId="189" builtinId="9" hidden="1"/>
    <cellStyle name="Followed Hyperlink" xfId="190" builtinId="9" hidden="1"/>
    <cellStyle name="Followed Hyperlink" xfId="191" builtinId="9" hidden="1"/>
    <cellStyle name="Followed Hyperlink" xfId="192" builtinId="9" hidden="1"/>
    <cellStyle name="Followed Hyperlink" xfId="193" builtinId="9" hidden="1"/>
    <cellStyle name="Followed Hyperlink" xfId="194" builtinId="9" hidden="1"/>
    <cellStyle name="Followed Hyperlink" xfId="195" builtinId="9" hidden="1"/>
    <cellStyle name="Followed Hyperlink" xfId="196" builtinId="9" hidden="1"/>
    <cellStyle name="Followed Hyperlink" xfId="197" builtinId="9" hidden="1"/>
    <cellStyle name="Followed Hyperlink" xfId="198" builtinId="9" hidden="1"/>
    <cellStyle name="Followed Hyperlink" xfId="199" builtinId="9" hidden="1"/>
    <cellStyle name="Followed Hyperlink" xfId="200" builtinId="9" hidden="1"/>
    <cellStyle name="Followed Hyperlink" xfId="201" builtinId="9" hidden="1"/>
    <cellStyle name="Followed Hyperlink" xfId="202" builtinId="9" hidden="1"/>
    <cellStyle name="Followed Hyperlink" xfId="203" builtinId="9" hidden="1"/>
    <cellStyle name="Followed Hyperlink" xfId="204" builtinId="9" hidden="1"/>
    <cellStyle name="Followed Hyperlink" xfId="205" builtinId="9" hidden="1"/>
    <cellStyle name="Followed Hyperlink" xfId="206" builtinId="9" hidden="1"/>
    <cellStyle name="Followed Hyperlink" xfId="207" builtinId="9" hidden="1"/>
    <cellStyle name="Followed Hyperlink" xfId="208" builtinId="9" hidden="1"/>
    <cellStyle name="Followed Hyperlink" xfId="209" builtinId="9" hidden="1"/>
    <cellStyle name="Followed Hyperlink" xfId="210" builtinId="9" hidden="1"/>
    <cellStyle name="Followed Hyperlink" xfId="211" builtinId="9" hidden="1"/>
    <cellStyle name="Followed Hyperlink" xfId="212" builtinId="9" hidden="1"/>
    <cellStyle name="Followed Hyperlink" xfId="213" builtinId="9" hidden="1"/>
    <cellStyle name="Followed Hyperlink" xfId="214" builtinId="9" hidden="1"/>
    <cellStyle name="Followed Hyperlink" xfId="215" builtinId="9" hidden="1"/>
    <cellStyle name="Followed Hyperlink" xfId="216" builtinId="9" hidden="1"/>
    <cellStyle name="Followed Hyperlink" xfId="217" builtinId="9" hidden="1"/>
    <cellStyle name="Followed Hyperlink" xfId="218" builtinId="9" hidden="1"/>
    <cellStyle name="Followed Hyperlink" xfId="219" builtinId="9" hidden="1"/>
    <cellStyle name="Followed Hyperlink" xfId="220" builtinId="9" hidden="1"/>
    <cellStyle name="Followed Hyperlink" xfId="221" builtinId="9" hidden="1"/>
    <cellStyle name="Followed Hyperlink" xfId="222" builtinId="9" hidden="1"/>
    <cellStyle name="Followed Hyperlink" xfId="223" builtinId="9" hidden="1"/>
    <cellStyle name="Followed Hyperlink" xfId="224" builtinId="9" hidden="1"/>
    <cellStyle name="Followed Hyperlink" xfId="225" builtinId="9" hidden="1"/>
    <cellStyle name="Followed Hyperlink" xfId="226" builtinId="9" hidden="1"/>
    <cellStyle name="Followed Hyperlink" xfId="227" builtinId="9" hidden="1"/>
    <cellStyle name="Followed Hyperlink" xfId="228" builtinId="9" hidden="1"/>
    <cellStyle name="Followed Hyperlink" xfId="229" builtinId="9" hidden="1"/>
    <cellStyle name="Followed Hyperlink" xfId="230" builtinId="9" hidden="1"/>
    <cellStyle name="Followed Hyperlink" xfId="231" builtinId="9" hidden="1"/>
    <cellStyle name="Followed Hyperlink" xfId="232" builtinId="9" hidden="1"/>
    <cellStyle name="Followed Hyperlink" xfId="233" builtinId="9" hidden="1"/>
    <cellStyle name="Followed Hyperlink" xfId="234" builtinId="9" hidden="1"/>
    <cellStyle name="Followed Hyperlink" xfId="235" builtinId="9" hidden="1"/>
    <cellStyle name="Followed Hyperlink" xfId="236" builtinId="9" hidden="1"/>
    <cellStyle name="Followed Hyperlink" xfId="237" builtinId="9" hidden="1"/>
    <cellStyle name="Followed Hyperlink" xfId="238" builtinId="9" hidden="1"/>
    <cellStyle name="Followed Hyperlink" xfId="239" builtinId="9" hidden="1"/>
    <cellStyle name="Followed Hyperlink" xfId="240" builtinId="9" hidden="1"/>
    <cellStyle name="Followed Hyperlink" xfId="241" builtinId="9" hidden="1"/>
    <cellStyle name="Followed Hyperlink" xfId="242" builtinId="9" hidden="1"/>
    <cellStyle name="Followed Hyperlink" xfId="243" builtinId="9" hidden="1"/>
    <cellStyle name="Followed Hyperlink" xfId="244" builtinId="9" hidden="1"/>
    <cellStyle name="Followed Hyperlink" xfId="245" builtinId="9" hidden="1"/>
    <cellStyle name="Followed Hyperlink" xfId="246" builtinId="9" hidden="1"/>
    <cellStyle name="Followed Hyperlink" xfId="247" builtinId="9" hidden="1"/>
    <cellStyle name="Followed Hyperlink" xfId="248" builtinId="9" hidden="1"/>
    <cellStyle name="Followed Hyperlink" xfId="249" builtinId="9" hidden="1"/>
    <cellStyle name="Followed Hyperlink" xfId="250" builtinId="9" hidden="1"/>
    <cellStyle name="Followed Hyperlink" xfId="251" builtinId="9" hidden="1"/>
    <cellStyle name="Followed Hyperlink" xfId="252" builtinId="9" hidden="1"/>
    <cellStyle name="Followed Hyperlink" xfId="253" builtinId="9" hidden="1"/>
    <cellStyle name="Followed Hyperlink" xfId="254" builtinId="9" hidden="1"/>
    <cellStyle name="Followed Hyperlink" xfId="255" builtinId="9" hidden="1"/>
    <cellStyle name="Followed Hyperlink" xfId="256" builtinId="9" hidden="1"/>
    <cellStyle name="Followed Hyperlink" xfId="257" builtinId="9" hidden="1"/>
    <cellStyle name="Followed Hyperlink" xfId="258" builtinId="9" hidden="1"/>
    <cellStyle name="Followed Hyperlink" xfId="259" builtinId="9" hidden="1"/>
    <cellStyle name="Followed Hyperlink" xfId="260" builtinId="9" hidden="1"/>
    <cellStyle name="Followed Hyperlink" xfId="261" builtinId="9" hidden="1"/>
    <cellStyle name="Followed Hyperlink" xfId="262" builtinId="9" hidden="1"/>
    <cellStyle name="Followed Hyperlink" xfId="263" builtinId="9" hidden="1"/>
    <cellStyle name="Followed Hyperlink" xfId="264" builtinId="9" hidden="1"/>
    <cellStyle name="Followed Hyperlink" xfId="265" builtinId="9" hidden="1"/>
    <cellStyle name="Followed Hyperlink" xfId="266" builtinId="9" hidden="1"/>
    <cellStyle name="Followed Hyperlink" xfId="267" builtinId="9" hidden="1"/>
    <cellStyle name="Followed Hyperlink" xfId="268" builtinId="9" hidden="1"/>
    <cellStyle name="Followed Hyperlink" xfId="269" builtinId="9" hidden="1"/>
    <cellStyle name="Followed Hyperlink" xfId="270" builtinId="9" hidden="1"/>
    <cellStyle name="Followed Hyperlink" xfId="271" builtinId="9" hidden="1"/>
    <cellStyle name="Followed Hyperlink" xfId="272" builtinId="9" hidden="1"/>
    <cellStyle name="Followed Hyperlink" xfId="273" builtinId="9" hidden="1"/>
    <cellStyle name="Followed Hyperlink" xfId="274" builtinId="9" hidden="1"/>
    <cellStyle name="Followed Hyperlink" xfId="275" builtinId="9" hidden="1"/>
    <cellStyle name="Followed Hyperlink" xfId="276" builtinId="9" hidden="1"/>
    <cellStyle name="Followed Hyperlink" xfId="277" builtinId="9" hidden="1"/>
    <cellStyle name="Followed Hyperlink" xfId="278" builtinId="9" hidden="1"/>
    <cellStyle name="Followed Hyperlink" xfId="279" builtinId="9" hidden="1"/>
    <cellStyle name="Followed Hyperlink" xfId="280" builtinId="9" hidden="1"/>
    <cellStyle name="Followed Hyperlink" xfId="281" builtinId="9" hidden="1"/>
    <cellStyle name="Followed Hyperlink" xfId="282" builtinId="9" hidden="1"/>
    <cellStyle name="Followed Hyperlink" xfId="283" builtinId="9" hidden="1"/>
    <cellStyle name="Followed Hyperlink" xfId="284" builtinId="9" hidden="1"/>
    <cellStyle name="Followed Hyperlink" xfId="285" builtinId="9" hidden="1"/>
    <cellStyle name="Followed Hyperlink" xfId="286" builtinId="9" hidden="1"/>
    <cellStyle name="Followed Hyperlink" xfId="287" builtinId="9" hidden="1"/>
    <cellStyle name="Followed Hyperlink" xfId="288" builtinId="9" hidden="1"/>
    <cellStyle name="Followed Hyperlink" xfId="289" builtinId="9" hidden="1"/>
    <cellStyle name="Followed Hyperlink" xfId="290" builtinId="9" hidden="1"/>
    <cellStyle name="Followed Hyperlink" xfId="291" builtinId="9" hidden="1"/>
    <cellStyle name="Followed Hyperlink" xfId="292" builtinId="9" hidden="1"/>
    <cellStyle name="Followed Hyperlink" xfId="293" builtinId="9" hidden="1"/>
    <cellStyle name="Followed Hyperlink" xfId="294" builtinId="9" hidden="1"/>
    <cellStyle name="Followed Hyperlink" xfId="295" builtinId="9" hidden="1"/>
    <cellStyle name="Followed Hyperlink" xfId="296" builtinId="9" hidden="1"/>
    <cellStyle name="Followed Hyperlink" xfId="297" builtinId="9" hidden="1"/>
    <cellStyle name="Followed Hyperlink" xfId="298" builtinId="9" hidden="1"/>
    <cellStyle name="Followed Hyperlink" xfId="299" builtinId="9" hidden="1"/>
    <cellStyle name="Followed Hyperlink" xfId="300" builtinId="9" hidden="1"/>
    <cellStyle name="Followed Hyperlink" xfId="301" builtinId="9" hidden="1"/>
    <cellStyle name="Followed Hyperlink" xfId="302" builtinId="9" hidden="1"/>
    <cellStyle name="Followed Hyperlink" xfId="303" builtinId="9" hidden="1"/>
    <cellStyle name="Followed Hyperlink" xfId="304" builtinId="9" hidden="1"/>
    <cellStyle name="Followed Hyperlink" xfId="305" builtinId="9" hidden="1"/>
    <cellStyle name="Followed Hyperlink" xfId="306" builtinId="9" hidden="1"/>
    <cellStyle name="Followed Hyperlink" xfId="307" builtinId="9" hidden="1"/>
    <cellStyle name="Followed Hyperlink" xfId="308" builtinId="9" hidden="1"/>
    <cellStyle name="Followed Hyperlink" xfId="309" builtinId="9" hidden="1"/>
    <cellStyle name="Followed Hyperlink" xfId="310" builtinId="9" hidden="1"/>
    <cellStyle name="Followed Hyperlink" xfId="311" builtinId="9" hidden="1"/>
    <cellStyle name="Followed Hyperlink" xfId="312" builtinId="9" hidden="1"/>
    <cellStyle name="Followed Hyperlink" xfId="313" builtinId="9" hidden="1"/>
    <cellStyle name="Followed Hyperlink" xfId="314" builtinId="9" hidden="1"/>
    <cellStyle name="Followed Hyperlink" xfId="315" builtinId="9" hidden="1"/>
    <cellStyle name="Followed Hyperlink" xfId="316" builtinId="9" hidden="1"/>
    <cellStyle name="Followed Hyperlink" xfId="317" builtinId="9" hidden="1"/>
    <cellStyle name="Followed Hyperlink" xfId="318" builtinId="9" hidden="1"/>
    <cellStyle name="Followed Hyperlink" xfId="319" builtinId="9" hidden="1"/>
    <cellStyle name="Followed Hyperlink" xfId="320" builtinId="9" hidden="1"/>
    <cellStyle name="Followed Hyperlink" xfId="321" builtinId="9" hidden="1"/>
    <cellStyle name="Followed Hyperlink" xfId="322" builtinId="9" hidden="1"/>
    <cellStyle name="Followed Hyperlink" xfId="323" builtinId="9" hidden="1"/>
    <cellStyle name="Followed Hyperlink" xfId="324" builtinId="9" hidden="1"/>
    <cellStyle name="Followed Hyperlink" xfId="325" builtinId="9" hidden="1"/>
    <cellStyle name="Followed Hyperlink" xfId="326" builtinId="9" hidden="1"/>
    <cellStyle name="Followed Hyperlink" xfId="327" builtinId="9" hidden="1"/>
    <cellStyle name="Followed Hyperlink" xfId="328" builtinId="9" hidden="1"/>
    <cellStyle name="Followed Hyperlink" xfId="329" builtinId="9" hidden="1"/>
    <cellStyle name="Followed Hyperlink" xfId="330" builtinId="9" hidden="1"/>
    <cellStyle name="Followed Hyperlink" xfId="331" builtinId="9" hidden="1"/>
    <cellStyle name="Followed Hyperlink" xfId="332" builtinId="9" hidden="1"/>
    <cellStyle name="Followed Hyperlink" xfId="333" builtinId="9" hidden="1"/>
    <cellStyle name="Followed Hyperlink" xfId="334" builtinId="9" hidden="1"/>
    <cellStyle name="Followed Hyperlink" xfId="335" builtinId="9" hidden="1"/>
    <cellStyle name="Followed Hyperlink" xfId="336" builtinId="9" hidden="1"/>
    <cellStyle name="Followed Hyperlink" xfId="337" builtinId="9" hidden="1"/>
    <cellStyle name="Followed Hyperlink" xfId="338" builtinId="9" hidden="1"/>
    <cellStyle name="Followed Hyperlink" xfId="339" builtinId="9" hidden="1"/>
    <cellStyle name="Followed Hyperlink" xfId="340" builtinId="9" hidden="1"/>
    <cellStyle name="Followed Hyperlink" xfId="341" builtinId="9" hidden="1"/>
    <cellStyle name="Followed Hyperlink" xfId="342" builtinId="9" hidden="1"/>
    <cellStyle name="Followed Hyperlink" xfId="343" builtinId="9" hidden="1"/>
    <cellStyle name="Followed Hyperlink" xfId="344" builtinId="9" hidden="1"/>
    <cellStyle name="Followed Hyperlink" xfId="345" builtinId="9" hidden="1"/>
    <cellStyle name="Followed Hyperlink" xfId="346" builtinId="9" hidden="1"/>
    <cellStyle name="Followed Hyperlink" xfId="347" builtinId="9" hidden="1"/>
    <cellStyle name="Followed Hyperlink" xfId="348" builtinId="9" hidden="1"/>
    <cellStyle name="Followed Hyperlink" xfId="349" builtinId="9" hidden="1"/>
    <cellStyle name="Followed Hyperlink" xfId="350" builtinId="9" hidden="1"/>
    <cellStyle name="Followed Hyperlink" xfId="351" builtinId="9" hidden="1"/>
    <cellStyle name="Followed Hyperlink" xfId="352" builtinId="9" hidden="1"/>
    <cellStyle name="Followed Hyperlink" xfId="353" builtinId="9" hidden="1"/>
    <cellStyle name="Followed Hyperlink" xfId="354" builtinId="9" hidden="1"/>
    <cellStyle name="Followed Hyperlink" xfId="355"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358" builtinId="8"/>
    <cellStyle name="Normal" xfId="0" builtinId="0"/>
    <cellStyle name="Per cent" xfId="357" builtinId="5"/>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hyperlink" Target="https://refman.energytransitionmodel.com/publications/2219" TargetMode="External"/><Relationship Id="rId1" Type="http://schemas.openxmlformats.org/officeDocument/2006/relationships/hyperlink" Target="https://refman.energytransitionmodel.com/publications/221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0"/>
  </sheetPr>
  <dimension ref="A1:C23"/>
  <sheetViews>
    <sheetView workbookViewId="0">
      <selection activeCell="C4" sqref="C4"/>
    </sheetView>
  </sheetViews>
  <sheetFormatPr baseColWidth="10" defaultColWidth="10.6640625" defaultRowHeight="16"/>
  <cols>
    <col min="1" max="1" width="3.5" style="27" customWidth="1"/>
    <col min="2" max="2" width="11.5" style="19" customWidth="1"/>
    <col min="3" max="3" width="38.5" style="19" customWidth="1"/>
    <col min="4" max="16384" width="10.6640625" style="19"/>
  </cols>
  <sheetData>
    <row r="1" spans="1:3" s="25" customFormat="1">
      <c r="A1" s="23"/>
      <c r="B1" s="24"/>
      <c r="C1" s="24"/>
    </row>
    <row r="2" spans="1:3" ht="21">
      <c r="A2" s="1"/>
      <c r="B2" s="26" t="s">
        <v>6</v>
      </c>
      <c r="C2" s="26"/>
    </row>
    <row r="3" spans="1:3">
      <c r="A3" s="1"/>
      <c r="B3" s="8"/>
      <c r="C3" s="8"/>
    </row>
    <row r="4" spans="1:3">
      <c r="A4" s="1"/>
      <c r="B4" s="2" t="s">
        <v>7</v>
      </c>
      <c r="C4" s="3" t="s">
        <v>161</v>
      </c>
    </row>
    <row r="5" spans="1:3">
      <c r="A5" s="1"/>
      <c r="B5" s="4" t="s">
        <v>32</v>
      </c>
      <c r="C5" s="5" t="s">
        <v>38</v>
      </c>
    </row>
    <row r="6" spans="1:3">
      <c r="A6" s="1"/>
      <c r="B6" s="6" t="s">
        <v>9</v>
      </c>
      <c r="C6" s="7" t="s">
        <v>10</v>
      </c>
    </row>
    <row r="7" spans="1:3">
      <c r="A7" s="1"/>
      <c r="B7" s="8"/>
      <c r="C7" s="8"/>
    </row>
    <row r="8" spans="1:3">
      <c r="A8" s="1"/>
      <c r="B8" s="8"/>
      <c r="C8" s="8"/>
    </row>
    <row r="9" spans="1:3">
      <c r="A9" s="1"/>
      <c r="B9" s="45" t="s">
        <v>17</v>
      </c>
      <c r="C9" s="46"/>
    </row>
    <row r="10" spans="1:3">
      <c r="A10" s="1"/>
      <c r="B10" s="47"/>
      <c r="C10" s="48"/>
    </row>
    <row r="11" spans="1:3">
      <c r="A11" s="1"/>
      <c r="B11" s="47" t="s">
        <v>18</v>
      </c>
      <c r="C11" s="49" t="s">
        <v>19</v>
      </c>
    </row>
    <row r="12" spans="1:3" ht="17" thickBot="1">
      <c r="A12" s="1"/>
      <c r="B12" s="47"/>
      <c r="C12" s="10" t="s">
        <v>20</v>
      </c>
    </row>
    <row r="13" spans="1:3" ht="17" thickBot="1">
      <c r="A13" s="1"/>
      <c r="B13" s="47"/>
      <c r="C13" s="50" t="s">
        <v>21</v>
      </c>
    </row>
    <row r="14" spans="1:3">
      <c r="A14" s="1"/>
      <c r="B14" s="47"/>
      <c r="C14" s="48" t="s">
        <v>22</v>
      </c>
    </row>
    <row r="15" spans="1:3">
      <c r="A15" s="1"/>
      <c r="B15" s="47"/>
      <c r="C15" s="48"/>
    </row>
    <row r="16" spans="1:3">
      <c r="A16" s="1"/>
      <c r="B16" s="47" t="s">
        <v>23</v>
      </c>
      <c r="C16" s="51" t="s">
        <v>24</v>
      </c>
    </row>
    <row r="17" spans="1:3">
      <c r="A17" s="1"/>
      <c r="B17" s="47"/>
      <c r="C17" s="52" t="s">
        <v>25</v>
      </c>
    </row>
    <row r="18" spans="1:3">
      <c r="A18" s="1"/>
      <c r="B18" s="47"/>
      <c r="C18" s="53" t="s">
        <v>26</v>
      </c>
    </row>
    <row r="19" spans="1:3">
      <c r="A19" s="1"/>
      <c r="B19" s="47"/>
      <c r="C19" s="54" t="s">
        <v>27</v>
      </c>
    </row>
    <row r="20" spans="1:3">
      <c r="A20" s="1"/>
      <c r="B20" s="55"/>
      <c r="C20" s="56" t="s">
        <v>28</v>
      </c>
    </row>
    <row r="21" spans="1:3">
      <c r="A21" s="1"/>
      <c r="B21" s="55"/>
      <c r="C21" s="57" t="s">
        <v>29</v>
      </c>
    </row>
    <row r="22" spans="1:3">
      <c r="A22" s="1"/>
      <c r="B22" s="55"/>
      <c r="C22" s="58" t="s">
        <v>30</v>
      </c>
    </row>
    <row r="23" spans="1:3">
      <c r="B23" s="55"/>
      <c r="C23" s="59" t="s">
        <v>31</v>
      </c>
    </row>
  </sheetData>
  <pageMargins left="0.75" right="0.75" top="1" bottom="1" header="0.5" footer="0.5"/>
  <pageSetup paperSize="9" orientation="portrait"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sheetPr>
  <dimension ref="B2:J36"/>
  <sheetViews>
    <sheetView workbookViewId="0">
      <selection activeCell="E17" sqref="E17"/>
    </sheetView>
  </sheetViews>
  <sheetFormatPr baseColWidth="10" defaultColWidth="10.6640625" defaultRowHeight="16"/>
  <cols>
    <col min="1" max="2" width="3.5" style="31" customWidth="1"/>
    <col min="3" max="3" width="36" style="31" customWidth="1"/>
    <col min="4" max="4" width="9.5" style="31" customWidth="1"/>
    <col min="5" max="5" width="15.5" style="31" customWidth="1"/>
    <col min="6" max="6" width="4.5" style="31" customWidth="1"/>
    <col min="7" max="7" width="47.5" style="31" customWidth="1"/>
    <col min="8" max="8" width="5.1640625" style="31" customWidth="1"/>
    <col min="9" max="9" width="48.83203125" style="31" customWidth="1"/>
    <col min="10" max="10" width="5.5" style="31" customWidth="1"/>
    <col min="11" max="16384" width="10.6640625" style="31"/>
  </cols>
  <sheetData>
    <row r="2" spans="2:10">
      <c r="B2" s="161" t="s">
        <v>37</v>
      </c>
      <c r="C2" s="162"/>
      <c r="D2" s="162"/>
      <c r="E2" s="163"/>
    </row>
    <row r="3" spans="2:10">
      <c r="B3" s="164"/>
      <c r="C3" s="165"/>
      <c r="D3" s="165"/>
      <c r="E3" s="166"/>
    </row>
    <row r="4" spans="2:10">
      <c r="B4" s="164"/>
      <c r="C4" s="165"/>
      <c r="D4" s="165"/>
      <c r="E4" s="166"/>
    </row>
    <row r="5" spans="2:10" ht="31" customHeight="1">
      <c r="B5" s="167"/>
      <c r="C5" s="168"/>
      <c r="D5" s="168"/>
      <c r="E5" s="169"/>
    </row>
    <row r="7" spans="2:10" ht="17" thickBot="1"/>
    <row r="8" spans="2:10">
      <c r="B8" s="138"/>
      <c r="C8" s="17"/>
      <c r="D8" s="17"/>
      <c r="E8" s="17"/>
      <c r="F8" s="17"/>
      <c r="G8" s="17"/>
      <c r="H8" s="17"/>
      <c r="I8" s="17"/>
      <c r="J8" s="139"/>
    </row>
    <row r="9" spans="2:10" s="10" customFormat="1">
      <c r="B9" s="21"/>
      <c r="C9" s="13" t="s">
        <v>15</v>
      </c>
      <c r="D9" s="14" t="s">
        <v>4</v>
      </c>
      <c r="E9" s="12" t="s">
        <v>2</v>
      </c>
      <c r="F9" s="13"/>
      <c r="G9" s="13" t="s">
        <v>3</v>
      </c>
      <c r="H9" s="13"/>
      <c r="I9" s="13" t="s">
        <v>0</v>
      </c>
      <c r="J9" s="61"/>
    </row>
    <row r="10" spans="2:10" s="10" customFormat="1">
      <c r="B10" s="22"/>
      <c r="D10" s="29"/>
      <c r="J10" s="11"/>
    </row>
    <row r="11" spans="2:10" s="10" customFormat="1" ht="17" thickBot="1">
      <c r="B11" s="22"/>
      <c r="C11" s="10" t="s">
        <v>33</v>
      </c>
      <c r="D11" s="29"/>
      <c r="J11" s="11"/>
    </row>
    <row r="12" spans="2:10" s="10" customFormat="1" ht="20" thickBot="1">
      <c r="B12" s="140"/>
      <c r="C12" s="109" t="s">
        <v>126</v>
      </c>
      <c r="D12" s="110" t="s">
        <v>102</v>
      </c>
      <c r="E12" s="111">
        <f>'Research data'!F7</f>
        <v>953.68</v>
      </c>
      <c r="F12" s="109"/>
      <c r="G12" s="134"/>
      <c r="H12" s="135"/>
      <c r="I12" s="158" t="s">
        <v>90</v>
      </c>
      <c r="J12" s="141"/>
    </row>
    <row r="13" spans="2:10" ht="20" thickBot="1">
      <c r="B13" s="140"/>
      <c r="C13" s="109" t="s">
        <v>93</v>
      </c>
      <c r="D13" s="110" t="s">
        <v>1</v>
      </c>
      <c r="E13" s="151">
        <f>'Research data'!F8</f>
        <v>0.77900000000000003</v>
      </c>
      <c r="F13" s="109"/>
      <c r="G13" s="134"/>
      <c r="H13" s="135"/>
      <c r="I13" s="158" t="s">
        <v>90</v>
      </c>
      <c r="J13" s="141"/>
    </row>
    <row r="14" spans="2:10" ht="17" thickBot="1">
      <c r="B14" s="22"/>
      <c r="C14" s="117" t="s">
        <v>94</v>
      </c>
      <c r="D14" s="110" t="s">
        <v>1</v>
      </c>
      <c r="E14" s="151">
        <f>'Research data'!F9</f>
        <v>9.9000000000000005E-2</v>
      </c>
      <c r="F14" s="117"/>
      <c r="G14" s="117"/>
      <c r="H14" s="28"/>
      <c r="I14" s="158" t="s">
        <v>90</v>
      </c>
      <c r="J14" s="11"/>
    </row>
    <row r="15" spans="2:10" ht="17" thickBot="1">
      <c r="B15" s="22"/>
      <c r="C15" s="157" t="s">
        <v>178</v>
      </c>
      <c r="D15" s="110" t="s">
        <v>1</v>
      </c>
      <c r="E15" s="151">
        <f>'Research data'!F10</f>
        <v>0.122</v>
      </c>
      <c r="F15" s="117"/>
      <c r="G15" s="117"/>
      <c r="H15" s="28"/>
      <c r="I15" s="158" t="s">
        <v>90</v>
      </c>
      <c r="J15" s="11"/>
    </row>
    <row r="16" spans="2:10" ht="17" thickBot="1">
      <c r="B16" s="142"/>
      <c r="C16" s="117" t="s">
        <v>127</v>
      </c>
      <c r="D16" s="20" t="s">
        <v>1</v>
      </c>
      <c r="E16" s="151">
        <f>'Research data'!F11</f>
        <v>0.83499999999999996</v>
      </c>
      <c r="F16" s="117"/>
      <c r="G16" s="117"/>
      <c r="H16" s="117"/>
      <c r="I16" s="158" t="s">
        <v>90</v>
      </c>
      <c r="J16" s="143"/>
    </row>
    <row r="17" spans="2:10" ht="17" thickBot="1">
      <c r="B17" s="142"/>
      <c r="C17" s="117" t="s">
        <v>95</v>
      </c>
      <c r="D17" s="20" t="s">
        <v>1</v>
      </c>
      <c r="E17" s="151">
        <f>'Research data'!F12</f>
        <v>8.2000000000000003E-2</v>
      </c>
      <c r="F17" s="117"/>
      <c r="G17" s="117"/>
      <c r="H17" s="117"/>
      <c r="I17" s="158" t="s">
        <v>90</v>
      </c>
      <c r="J17" s="143"/>
    </row>
    <row r="18" spans="2:10" ht="17" thickBot="1">
      <c r="B18" s="144"/>
      <c r="C18" s="109" t="s">
        <v>128</v>
      </c>
      <c r="D18" s="110" t="s">
        <v>149</v>
      </c>
      <c r="E18" s="111">
        <f>'Research data'!F14</f>
        <v>8000</v>
      </c>
      <c r="F18" s="109"/>
      <c r="G18" s="109"/>
      <c r="H18" s="136"/>
      <c r="I18" s="158" t="s">
        <v>90</v>
      </c>
      <c r="J18" s="145"/>
    </row>
    <row r="19" spans="2:10" ht="17" thickBot="1">
      <c r="B19" s="144"/>
      <c r="C19" s="109" t="s">
        <v>105</v>
      </c>
      <c r="D19" s="110" t="s">
        <v>1</v>
      </c>
      <c r="E19" s="111">
        <f>'Research data'!F15</f>
        <v>0.96199999999999997</v>
      </c>
      <c r="F19" s="109"/>
      <c r="G19" s="109"/>
      <c r="H19" s="136"/>
      <c r="I19" s="136"/>
      <c r="J19" s="145"/>
    </row>
    <row r="20" spans="2:10">
      <c r="B20" s="142"/>
      <c r="C20" s="106"/>
      <c r="D20" s="106"/>
      <c r="E20" s="106"/>
      <c r="F20" s="106"/>
      <c r="G20" s="106"/>
      <c r="H20" s="106"/>
      <c r="I20" s="106"/>
      <c r="J20" s="143"/>
    </row>
    <row r="21" spans="2:10" ht="17" thickBot="1">
      <c r="B21" s="142"/>
      <c r="C21" s="10" t="s">
        <v>130</v>
      </c>
      <c r="D21" s="106"/>
      <c r="E21" s="106"/>
      <c r="F21" s="106"/>
      <c r="G21" s="106"/>
      <c r="H21" s="106"/>
      <c r="I21" s="106"/>
      <c r="J21" s="143"/>
    </row>
    <row r="22" spans="2:10" ht="17" thickBot="1">
      <c r="B22" s="142"/>
      <c r="C22" s="117" t="s">
        <v>131</v>
      </c>
      <c r="D22" s="20" t="s">
        <v>132</v>
      </c>
      <c r="E22" s="116">
        <f>'Research data'!F18</f>
        <v>754027929</v>
      </c>
      <c r="F22" s="117"/>
      <c r="G22" s="117" t="s">
        <v>150</v>
      </c>
      <c r="H22" s="117"/>
      <c r="I22" s="158" t="s">
        <v>90</v>
      </c>
      <c r="J22" s="143"/>
    </row>
    <row r="23" spans="2:10" ht="17" thickBot="1">
      <c r="B23" s="142"/>
      <c r="C23" s="117" t="s">
        <v>133</v>
      </c>
      <c r="D23" s="20" t="s">
        <v>132</v>
      </c>
      <c r="E23" s="116">
        <f>'Research data'!F19</f>
        <v>0</v>
      </c>
      <c r="F23" s="117"/>
      <c r="G23" s="117"/>
      <c r="H23" s="117"/>
      <c r="I23" s="137" t="s">
        <v>1</v>
      </c>
      <c r="J23" s="143"/>
    </row>
    <row r="24" spans="2:10" ht="17" thickBot="1">
      <c r="B24" s="142"/>
      <c r="C24" s="117" t="s">
        <v>134</v>
      </c>
      <c r="D24" s="20" t="s">
        <v>135</v>
      </c>
      <c r="E24" s="116">
        <f>'Research data'!F20</f>
        <v>33144935</v>
      </c>
      <c r="F24" s="117"/>
      <c r="G24" s="117" t="s">
        <v>151</v>
      </c>
      <c r="H24" s="117"/>
      <c r="I24" s="158" t="s">
        <v>90</v>
      </c>
      <c r="J24" s="143"/>
    </row>
    <row r="25" spans="2:10" ht="17" thickBot="1">
      <c r="B25" s="146"/>
      <c r="C25" s="125" t="s">
        <v>136</v>
      </c>
      <c r="D25" s="126" t="s">
        <v>137</v>
      </c>
      <c r="E25" s="116">
        <f>'Research data'!F21</f>
        <v>7909.52</v>
      </c>
      <c r="F25" s="125"/>
      <c r="G25" s="125" t="s">
        <v>152</v>
      </c>
      <c r="H25" s="125"/>
      <c r="I25" s="158" t="s">
        <v>90</v>
      </c>
      <c r="J25" s="147"/>
    </row>
    <row r="26" spans="2:10" ht="17" thickBot="1">
      <c r="B26" s="146"/>
      <c r="C26" s="125" t="s">
        <v>138</v>
      </c>
      <c r="D26" s="126" t="s">
        <v>137</v>
      </c>
      <c r="E26" s="116">
        <f>'Research data'!F22</f>
        <v>0</v>
      </c>
      <c r="F26" s="125"/>
      <c r="G26" s="125"/>
      <c r="H26" s="125"/>
      <c r="I26" s="137" t="s">
        <v>1</v>
      </c>
      <c r="J26" s="147"/>
    </row>
    <row r="27" spans="2:10" ht="17" thickBot="1">
      <c r="B27" s="146"/>
      <c r="C27" s="125" t="s">
        <v>139</v>
      </c>
      <c r="D27" s="20" t="s">
        <v>132</v>
      </c>
      <c r="E27" s="116">
        <f>'Research data'!F23</f>
        <v>0</v>
      </c>
      <c r="F27" s="125"/>
      <c r="G27" s="125" t="s">
        <v>153</v>
      </c>
      <c r="H27" s="125"/>
      <c r="I27" s="159" t="s">
        <v>1</v>
      </c>
      <c r="J27" s="147"/>
    </row>
    <row r="28" spans="2:10" ht="17" thickBot="1">
      <c r="B28" s="146"/>
      <c r="C28" s="125" t="s">
        <v>140</v>
      </c>
      <c r="D28" s="20" t="s">
        <v>132</v>
      </c>
      <c r="E28" s="116">
        <f>'Research data'!F24</f>
        <v>0</v>
      </c>
      <c r="F28" s="125"/>
      <c r="G28" s="125" t="s">
        <v>154</v>
      </c>
      <c r="H28" s="125"/>
      <c r="I28" s="159" t="s">
        <v>1</v>
      </c>
      <c r="J28" s="147"/>
    </row>
    <row r="29" spans="2:10" ht="17" thickBot="1">
      <c r="B29" s="142"/>
      <c r="C29" s="117" t="s">
        <v>155</v>
      </c>
      <c r="D29" s="20" t="s">
        <v>156</v>
      </c>
      <c r="E29" s="115">
        <v>7.0000000000000007E-2</v>
      </c>
      <c r="F29" s="117"/>
      <c r="G29" s="117" t="s">
        <v>157</v>
      </c>
      <c r="H29" s="117"/>
      <c r="I29" s="130" t="s">
        <v>158</v>
      </c>
      <c r="J29" s="143"/>
    </row>
    <row r="30" spans="2:10" ht="17" thickBot="1">
      <c r="B30" s="142"/>
      <c r="C30" s="117" t="s">
        <v>141</v>
      </c>
      <c r="D30" s="20" t="s">
        <v>142</v>
      </c>
      <c r="E30" s="116">
        <v>1</v>
      </c>
      <c r="F30" s="117"/>
      <c r="G30" s="117"/>
      <c r="H30" s="117"/>
      <c r="I30" s="160" t="s">
        <v>188</v>
      </c>
      <c r="J30" s="143"/>
    </row>
    <row r="31" spans="2:10">
      <c r="B31" s="142"/>
      <c r="C31" s="117"/>
      <c r="D31" s="20"/>
      <c r="E31" s="128"/>
      <c r="F31" s="117"/>
      <c r="G31" s="117"/>
      <c r="H31" s="117"/>
      <c r="I31" s="106"/>
      <c r="J31" s="143"/>
    </row>
    <row r="32" spans="2:10" ht="17" thickBot="1">
      <c r="B32" s="142"/>
      <c r="C32" s="10" t="s">
        <v>143</v>
      </c>
      <c r="D32" s="129"/>
      <c r="E32" s="128"/>
      <c r="F32" s="106"/>
      <c r="G32" s="106"/>
      <c r="H32" s="106"/>
      <c r="I32" s="106"/>
      <c r="J32" s="143"/>
    </row>
    <row r="33" spans="2:10" ht="17" thickBot="1">
      <c r="B33" s="142"/>
      <c r="C33" s="117" t="s">
        <v>144</v>
      </c>
      <c r="D33" s="20" t="s">
        <v>145</v>
      </c>
      <c r="E33" s="116">
        <f>'Research data'!F28</f>
        <v>25</v>
      </c>
      <c r="F33" s="117"/>
      <c r="G33" s="117" t="s">
        <v>159</v>
      </c>
      <c r="H33" s="117"/>
      <c r="I33" s="158" t="s">
        <v>90</v>
      </c>
      <c r="J33" s="143"/>
    </row>
    <row r="34" spans="2:10" ht="17" thickBot="1">
      <c r="B34" s="142"/>
      <c r="C34" s="117" t="s">
        <v>146</v>
      </c>
      <c r="D34" s="20" t="s">
        <v>145</v>
      </c>
      <c r="E34" s="116">
        <f>'Research data'!F29</f>
        <v>2</v>
      </c>
      <c r="F34" s="117"/>
      <c r="G34" s="117" t="s">
        <v>160</v>
      </c>
      <c r="H34" s="117"/>
      <c r="I34" s="158" t="s">
        <v>90</v>
      </c>
      <c r="J34" s="143"/>
    </row>
    <row r="35" spans="2:10" ht="17" thickBot="1">
      <c r="B35" s="142"/>
      <c r="C35" s="117" t="s">
        <v>16</v>
      </c>
      <c r="D35" s="20" t="s">
        <v>1</v>
      </c>
      <c r="E35" s="116">
        <f>'Research data'!F30</f>
        <v>0</v>
      </c>
      <c r="F35" s="117"/>
      <c r="G35" s="117"/>
      <c r="H35" s="117"/>
      <c r="I35" s="160" t="s">
        <v>1</v>
      </c>
      <c r="J35" s="143"/>
    </row>
    <row r="36" spans="2:10" ht="17" thickBot="1">
      <c r="B36" s="148"/>
      <c r="C36" s="149"/>
      <c r="D36" s="149"/>
      <c r="E36" s="149"/>
      <c r="F36" s="149"/>
      <c r="G36" s="149"/>
      <c r="H36" s="149"/>
      <c r="I36" s="149"/>
      <c r="J36" s="150"/>
    </row>
  </sheetData>
  <mergeCells count="1">
    <mergeCell ref="B2:E5"/>
  </mergeCells>
  <pageMargins left="0.75" right="0.75" top="1" bottom="1" header="0.5" footer="0.5"/>
  <pageSetup paperSize="9" orientation="portrait"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6" tint="0.39997558519241921"/>
  </sheetPr>
  <dimension ref="B2:N30"/>
  <sheetViews>
    <sheetView topLeftCell="A2" workbookViewId="0">
      <selection activeCell="F10" sqref="F10"/>
    </sheetView>
  </sheetViews>
  <sheetFormatPr baseColWidth="10" defaultColWidth="10.6640625" defaultRowHeight="16"/>
  <cols>
    <col min="1" max="1" width="3.5" style="32" customWidth="1"/>
    <col min="2" max="2" width="3" style="32" customWidth="1"/>
    <col min="3" max="3" width="62.1640625" style="32" bestFit="1" customWidth="1"/>
    <col min="4" max="4" width="10.83203125" style="32" bestFit="1" customWidth="1"/>
    <col min="5" max="5" width="3" style="32" customWidth="1"/>
    <col min="6" max="6" width="14.83203125" style="32" customWidth="1"/>
    <col min="7" max="7" width="2.5" style="32" customWidth="1"/>
    <col min="8" max="8" width="10.83203125" style="32" bestFit="1" customWidth="1"/>
    <col min="9" max="10" width="2.5" style="32" customWidth="1"/>
    <col min="11" max="11" width="22.5" style="32" customWidth="1"/>
    <col min="12" max="12" width="11" style="32" customWidth="1"/>
    <col min="13" max="13" width="2.5" style="32" customWidth="1"/>
    <col min="14" max="14" width="22.5" style="32" customWidth="1"/>
    <col min="15" max="16384" width="10.6640625" style="32"/>
  </cols>
  <sheetData>
    <row r="2" spans="2:14" ht="17" thickBot="1"/>
    <row r="3" spans="2:14">
      <c r="B3" s="33"/>
      <c r="C3" s="34"/>
      <c r="D3" s="34"/>
      <c r="E3" s="34"/>
      <c r="F3" s="34"/>
      <c r="G3" s="34"/>
      <c r="H3" s="34"/>
      <c r="I3" s="34"/>
      <c r="J3" s="34"/>
      <c r="K3" s="34"/>
      <c r="L3" s="34"/>
      <c r="M3" s="34"/>
      <c r="N3" s="34"/>
    </row>
    <row r="4" spans="2:14" s="10" customFormat="1">
      <c r="B4" s="22"/>
      <c r="C4" s="60" t="s">
        <v>15</v>
      </c>
      <c r="D4" s="60" t="s">
        <v>4</v>
      </c>
      <c r="E4" s="60"/>
      <c r="F4" s="60" t="s">
        <v>36</v>
      </c>
      <c r="G4" s="60"/>
      <c r="H4" s="60" t="s">
        <v>147</v>
      </c>
      <c r="I4" s="60"/>
      <c r="J4" s="60"/>
      <c r="K4" s="60" t="s">
        <v>34</v>
      </c>
    </row>
    <row r="5" spans="2:14" ht="18" customHeight="1">
      <c r="B5" s="35"/>
      <c r="C5" s="37"/>
      <c r="F5" s="36"/>
      <c r="G5" s="36"/>
      <c r="H5" s="36"/>
      <c r="I5" s="36"/>
      <c r="K5" s="38"/>
    </row>
    <row r="6" spans="2:14" ht="18" customHeight="1" thickBot="1">
      <c r="B6" s="35"/>
      <c r="C6" s="10" t="s">
        <v>33</v>
      </c>
      <c r="D6" s="29"/>
      <c r="E6" s="30"/>
      <c r="F6" s="9"/>
      <c r="G6" s="9"/>
      <c r="H6" s="9"/>
      <c r="I6" s="9"/>
      <c r="J6" s="106"/>
      <c r="K6" s="106"/>
    </row>
    <row r="7" spans="2:14" ht="17" thickBot="1">
      <c r="B7" s="35"/>
      <c r="C7" s="109" t="s">
        <v>126</v>
      </c>
      <c r="D7" s="110" t="s">
        <v>102</v>
      </c>
      <c r="E7" s="112"/>
      <c r="F7" s="113">
        <f>ROUND(H7,2)</f>
        <v>953.68</v>
      </c>
      <c r="G7" s="114"/>
      <c r="H7" s="115">
        <f>Notes!B2</f>
        <v>953.67847411444131</v>
      </c>
      <c r="I7" s="114"/>
      <c r="J7" s="106"/>
      <c r="K7" s="106"/>
    </row>
    <row r="8" spans="2:14" ht="17" thickBot="1">
      <c r="B8" s="35"/>
      <c r="C8" s="109" t="s">
        <v>93</v>
      </c>
      <c r="D8" s="18" t="s">
        <v>1</v>
      </c>
      <c r="E8" s="117"/>
      <c r="F8" s="133">
        <f>ROUND(H8,3)</f>
        <v>0.77900000000000003</v>
      </c>
      <c r="G8" s="106"/>
      <c r="H8" s="115">
        <f>Notes!B8</f>
        <v>0.77900000000000003</v>
      </c>
      <c r="I8" s="10"/>
      <c r="J8" s="106"/>
      <c r="K8" s="106"/>
    </row>
    <row r="9" spans="2:14" ht="17" thickBot="1">
      <c r="B9" s="35"/>
      <c r="C9" s="117" t="s">
        <v>94</v>
      </c>
      <c r="D9" s="20" t="s">
        <v>1</v>
      </c>
      <c r="E9" s="117"/>
      <c r="F9" s="133">
        <f t="shared" ref="F9:F13" si="0">ROUND(H9,3)</f>
        <v>9.9000000000000005E-2</v>
      </c>
      <c r="G9" s="106"/>
      <c r="H9" s="115">
        <f>Notes!B9</f>
        <v>9.9000000000000005E-2</v>
      </c>
      <c r="I9" s="106"/>
      <c r="J9" s="106"/>
      <c r="K9" s="106"/>
    </row>
    <row r="10" spans="2:14" ht="17" thickBot="1">
      <c r="B10" s="35"/>
      <c r="C10" s="157" t="s">
        <v>178</v>
      </c>
      <c r="D10" s="20" t="s">
        <v>1</v>
      </c>
      <c r="E10" s="117"/>
      <c r="F10" s="133">
        <f t="shared" si="0"/>
        <v>0.122</v>
      </c>
      <c r="G10" s="106"/>
      <c r="H10" s="115">
        <f>Notes!B10</f>
        <v>0.122</v>
      </c>
      <c r="I10" s="106"/>
      <c r="J10" s="106"/>
      <c r="K10" s="106"/>
    </row>
    <row r="11" spans="2:14" ht="17" thickBot="1">
      <c r="B11" s="35"/>
      <c r="C11" s="117" t="s">
        <v>127</v>
      </c>
      <c r="D11" s="20" t="s">
        <v>1</v>
      </c>
      <c r="E11" s="117"/>
      <c r="F11" s="133">
        <f t="shared" si="0"/>
        <v>0.83499999999999996</v>
      </c>
      <c r="G11" s="106"/>
      <c r="H11" s="132">
        <f>Notes!B11</f>
        <v>0.83512618949110473</v>
      </c>
      <c r="I11" s="106"/>
      <c r="J11" s="106"/>
      <c r="K11" s="106"/>
    </row>
    <row r="12" spans="2:14" ht="17" thickBot="1">
      <c r="C12" s="117" t="s">
        <v>95</v>
      </c>
      <c r="D12" s="20"/>
      <c r="E12" s="117"/>
      <c r="F12" s="133">
        <f t="shared" si="0"/>
        <v>8.2000000000000003E-2</v>
      </c>
      <c r="G12" s="106"/>
      <c r="H12" s="132">
        <f>Notes!B12</f>
        <v>8.2373810508895334E-2</v>
      </c>
      <c r="I12" s="106"/>
      <c r="J12" s="106"/>
      <c r="K12" s="106"/>
    </row>
    <row r="13" spans="2:14" ht="17" thickBot="1">
      <c r="C13" s="117" t="s">
        <v>96</v>
      </c>
      <c r="D13" s="20" t="s">
        <v>1</v>
      </c>
      <c r="E13" s="117"/>
      <c r="F13" s="133">
        <f t="shared" si="0"/>
        <v>8.2000000000000003E-2</v>
      </c>
      <c r="G13" s="106"/>
      <c r="H13" s="132">
        <f>Notes!B13</f>
        <v>8.2499999999999934E-2</v>
      </c>
      <c r="I13" s="106"/>
      <c r="J13" s="106"/>
      <c r="K13" s="106"/>
    </row>
    <row r="14" spans="2:14" ht="17" thickBot="1">
      <c r="C14" s="109" t="s">
        <v>128</v>
      </c>
      <c r="D14" s="110" t="s">
        <v>129</v>
      </c>
      <c r="E14" s="106"/>
      <c r="F14" s="115">
        <f>ROUND(H14,2)</f>
        <v>8000</v>
      </c>
      <c r="G14" s="117"/>
      <c r="H14" s="118">
        <f>Notes!B3</f>
        <v>8000</v>
      </c>
      <c r="I14" s="106"/>
      <c r="J14" s="106"/>
      <c r="K14" s="106"/>
    </row>
    <row r="15" spans="2:14" ht="17" thickBot="1">
      <c r="C15" s="109" t="s">
        <v>105</v>
      </c>
      <c r="D15" s="110"/>
      <c r="E15" s="106"/>
      <c r="F15" s="132">
        <f>ROUND(H15,3)</f>
        <v>0.96199999999999997</v>
      </c>
      <c r="G15" s="117"/>
      <c r="H15" s="119">
        <f>Notes!B4</f>
        <v>0.96153846153846156</v>
      </c>
      <c r="I15" s="106"/>
      <c r="J15" s="106"/>
      <c r="K15" s="106"/>
    </row>
    <row r="16" spans="2:14">
      <c r="C16" s="106"/>
      <c r="D16" s="106"/>
      <c r="E16" s="106"/>
      <c r="F16" s="120"/>
      <c r="G16" s="117"/>
      <c r="H16" s="120"/>
      <c r="I16" s="106"/>
      <c r="J16" s="114"/>
      <c r="K16" s="121"/>
    </row>
    <row r="17" spans="3:11" ht="17" thickBot="1">
      <c r="C17" s="10" t="s">
        <v>130</v>
      </c>
      <c r="D17" s="106"/>
      <c r="E17" s="106"/>
      <c r="F17" s="122"/>
      <c r="G17" s="123"/>
      <c r="H17" s="114"/>
      <c r="I17" s="123"/>
      <c r="J17" s="114"/>
      <c r="K17" s="117"/>
    </row>
    <row r="18" spans="3:11" ht="17" thickBot="1">
      <c r="C18" s="117" t="s">
        <v>131</v>
      </c>
      <c r="D18" s="20" t="s">
        <v>132</v>
      </c>
      <c r="E18" s="106"/>
      <c r="F18" s="124">
        <f>ROUND(H18,0)</f>
        <v>754027929</v>
      </c>
      <c r="G18" s="122"/>
      <c r="H18" s="113">
        <f>Notes!B15</f>
        <v>754027928.72727287</v>
      </c>
      <c r="I18" s="122"/>
      <c r="J18" s="114"/>
      <c r="K18" s="117"/>
    </row>
    <row r="19" spans="3:11" ht="17" thickBot="1">
      <c r="C19" s="117" t="s">
        <v>133</v>
      </c>
      <c r="D19" s="20" t="s">
        <v>132</v>
      </c>
      <c r="E19" s="106"/>
      <c r="F19" s="124">
        <f>ROUND(H19,0)</f>
        <v>0</v>
      </c>
      <c r="G19" s="122"/>
      <c r="H19" s="113">
        <v>0</v>
      </c>
      <c r="I19" s="122"/>
      <c r="J19" s="114"/>
      <c r="K19" s="117"/>
    </row>
    <row r="20" spans="3:11" ht="17" thickBot="1">
      <c r="C20" s="117" t="s">
        <v>134</v>
      </c>
      <c r="D20" s="20" t="s">
        <v>135</v>
      </c>
      <c r="E20" s="106"/>
      <c r="F20" s="124">
        <f>ROUND(H20,0)</f>
        <v>33144935</v>
      </c>
      <c r="G20" s="114"/>
      <c r="H20" s="113">
        <f>Notes!B16</f>
        <v>33144935.064935055</v>
      </c>
      <c r="I20" s="114"/>
      <c r="J20" s="106"/>
      <c r="K20" s="117"/>
    </row>
    <row r="21" spans="3:11" ht="17" thickBot="1">
      <c r="C21" s="125" t="s">
        <v>136</v>
      </c>
      <c r="D21" s="126" t="s">
        <v>137</v>
      </c>
      <c r="E21" s="106"/>
      <c r="F21" s="113">
        <f>ROUND(H21,2)</f>
        <v>7909.52</v>
      </c>
      <c r="G21" s="106"/>
      <c r="H21" s="113">
        <f>Notes!B17</f>
        <v>7909.5235006714956</v>
      </c>
      <c r="I21" s="106"/>
      <c r="J21" s="114"/>
      <c r="K21" s="117"/>
    </row>
    <row r="22" spans="3:11" ht="17" thickBot="1">
      <c r="C22" s="125" t="s">
        <v>138</v>
      </c>
      <c r="D22" s="126" t="s">
        <v>137</v>
      </c>
      <c r="E22" s="106"/>
      <c r="F22" s="113">
        <f>H22</f>
        <v>0</v>
      </c>
      <c r="G22" s="120"/>
      <c r="H22" s="113">
        <v>0</v>
      </c>
      <c r="I22" s="120"/>
      <c r="J22" s="106"/>
      <c r="K22" s="117"/>
    </row>
    <row r="23" spans="3:11" ht="17" thickBot="1">
      <c r="C23" s="125" t="s">
        <v>139</v>
      </c>
      <c r="D23" s="20" t="s">
        <v>132</v>
      </c>
      <c r="E23" s="106"/>
      <c r="F23" s="113">
        <f t="shared" ref="F23:F24" si="1">H23</f>
        <v>0</v>
      </c>
      <c r="G23" s="106"/>
      <c r="H23" s="127">
        <v>0</v>
      </c>
      <c r="I23" s="106"/>
      <c r="J23" s="120"/>
      <c r="K23" s="117"/>
    </row>
    <row r="24" spans="3:11" ht="17" thickBot="1">
      <c r="C24" s="125" t="s">
        <v>140</v>
      </c>
      <c r="D24" s="20" t="s">
        <v>132</v>
      </c>
      <c r="E24" s="106"/>
      <c r="F24" s="113">
        <f t="shared" si="1"/>
        <v>0</v>
      </c>
      <c r="G24" s="106"/>
      <c r="H24" s="127">
        <v>0</v>
      </c>
      <c r="I24" s="106"/>
      <c r="J24" s="120"/>
      <c r="K24" s="117"/>
    </row>
    <row r="25" spans="3:11" ht="17" thickBot="1">
      <c r="C25" s="117" t="s">
        <v>141</v>
      </c>
      <c r="D25" s="20" t="s">
        <v>142</v>
      </c>
      <c r="E25" s="106"/>
      <c r="F25" s="113">
        <f>H25</f>
        <v>0</v>
      </c>
      <c r="G25" s="120"/>
      <c r="H25" s="113">
        <v>0</v>
      </c>
      <c r="I25" s="120"/>
      <c r="J25" s="120"/>
      <c r="K25" s="117"/>
    </row>
    <row r="26" spans="3:11">
      <c r="C26" s="117"/>
      <c r="D26" s="20"/>
      <c r="E26" s="106"/>
      <c r="F26" s="106"/>
      <c r="G26" s="106"/>
      <c r="H26" s="106"/>
      <c r="I26" s="120"/>
      <c r="J26" s="106"/>
      <c r="K26" s="121"/>
    </row>
    <row r="27" spans="3:11" ht="17" thickBot="1">
      <c r="C27" s="10" t="s">
        <v>143</v>
      </c>
      <c r="D27" s="129"/>
      <c r="E27" s="106"/>
      <c r="F27" s="120"/>
      <c r="G27" s="106"/>
      <c r="H27" s="120"/>
      <c r="I27" s="106"/>
      <c r="J27" s="106"/>
      <c r="K27" s="117"/>
    </row>
    <row r="28" spans="3:11" ht="17" thickBot="1">
      <c r="C28" s="117" t="s">
        <v>144</v>
      </c>
      <c r="D28" s="20" t="s">
        <v>145</v>
      </c>
      <c r="E28" s="106"/>
      <c r="F28" s="113">
        <f>H28</f>
        <v>25</v>
      </c>
      <c r="G28" s="106"/>
      <c r="H28" s="115">
        <f>Notes!B5</f>
        <v>25</v>
      </c>
      <c r="I28" s="106"/>
      <c r="J28" s="106"/>
      <c r="K28" s="117"/>
    </row>
    <row r="29" spans="3:11" ht="17" thickBot="1">
      <c r="C29" s="117" t="s">
        <v>146</v>
      </c>
      <c r="D29" s="20" t="s">
        <v>145</v>
      </c>
      <c r="E29" s="106"/>
      <c r="F29" s="113">
        <f>H29</f>
        <v>2</v>
      </c>
      <c r="G29" s="122"/>
      <c r="H29" s="115">
        <f>Notes!B6</f>
        <v>2</v>
      </c>
      <c r="I29" s="122"/>
      <c r="J29" s="122"/>
      <c r="K29" s="121"/>
    </row>
    <row r="30" spans="3:11" ht="17" thickBot="1">
      <c r="C30" s="117" t="s">
        <v>16</v>
      </c>
      <c r="D30" s="20" t="s">
        <v>1</v>
      </c>
      <c r="E30" s="106"/>
      <c r="F30" s="113">
        <v>0</v>
      </c>
      <c r="G30" s="123"/>
      <c r="H30" s="130">
        <v>0</v>
      </c>
      <c r="I30" s="123"/>
      <c r="J30" s="123"/>
      <c r="K30" s="121"/>
    </row>
  </sheetData>
  <pageMargins left="0.75" right="0.75" top="1" bottom="1" header="0.5" footer="0.5"/>
  <pageSetup paperSize="9"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6" tint="0.79998168889431442"/>
  </sheetPr>
  <dimension ref="B1:J40"/>
  <sheetViews>
    <sheetView workbookViewId="0">
      <selection activeCell="D7" sqref="D7"/>
    </sheetView>
  </sheetViews>
  <sheetFormatPr baseColWidth="10" defaultColWidth="33.1640625" defaultRowHeight="16"/>
  <cols>
    <col min="1" max="1" width="3.5" style="39" customWidth="1"/>
    <col min="2" max="2" width="6.5" style="39" customWidth="1"/>
    <col min="3" max="3" width="27.83203125" style="39" customWidth="1"/>
    <col min="4" max="4" width="16.1640625" style="39" customWidth="1"/>
    <col min="5" max="5" width="10.1640625" style="39" customWidth="1"/>
    <col min="6" max="6" width="13.1640625" style="39" customWidth="1"/>
    <col min="7" max="7" width="70.33203125" style="39" bestFit="1" customWidth="1"/>
    <col min="8" max="8" width="12.5" style="41" customWidth="1"/>
    <col min="9" max="9" width="31.5" style="41" customWidth="1"/>
    <col min="10" max="10" width="98.5" style="39" customWidth="1"/>
    <col min="11" max="16384" width="33.1640625" style="39"/>
  </cols>
  <sheetData>
    <row r="1" spans="2:10" ht="17" thickBot="1"/>
    <row r="2" spans="2:10">
      <c r="B2" s="66"/>
      <c r="C2" s="40"/>
      <c r="D2" s="40"/>
      <c r="E2" s="40"/>
      <c r="F2" s="40"/>
      <c r="G2" s="40"/>
      <c r="H2" s="42"/>
      <c r="I2" s="42"/>
      <c r="J2" s="40"/>
    </row>
    <row r="3" spans="2:10">
      <c r="B3" s="67"/>
      <c r="C3" s="10" t="s">
        <v>11</v>
      </c>
      <c r="D3" s="10"/>
      <c r="E3" s="10"/>
      <c r="F3" s="10"/>
      <c r="G3" s="10"/>
      <c r="H3" s="15"/>
      <c r="I3" s="15"/>
    </row>
    <row r="4" spans="2:10">
      <c r="B4" s="67"/>
    </row>
    <row r="5" spans="2:10">
      <c r="B5" s="68"/>
      <c r="C5" s="12" t="s">
        <v>12</v>
      </c>
      <c r="D5" s="12" t="s">
        <v>0</v>
      </c>
      <c r="E5" s="12" t="s">
        <v>8</v>
      </c>
      <c r="F5" s="12" t="s">
        <v>13</v>
      </c>
      <c r="G5" s="12" t="s">
        <v>125</v>
      </c>
      <c r="H5" s="16" t="s">
        <v>14</v>
      </c>
      <c r="I5" s="16" t="s">
        <v>35</v>
      </c>
      <c r="J5" s="12" t="s">
        <v>5</v>
      </c>
    </row>
    <row r="6" spans="2:10">
      <c r="B6" s="67"/>
      <c r="C6" s="10"/>
      <c r="D6" s="10"/>
      <c r="E6" s="10"/>
      <c r="F6" s="10"/>
      <c r="G6" s="10"/>
      <c r="H6" s="15"/>
      <c r="I6" s="15"/>
      <c r="J6" s="10"/>
    </row>
    <row r="7" spans="2:10">
      <c r="B7" s="67"/>
      <c r="C7" s="106" t="s">
        <v>177</v>
      </c>
      <c r="D7" s="106" t="s">
        <v>90</v>
      </c>
      <c r="E7" s="106" t="s">
        <v>120</v>
      </c>
      <c r="F7" s="106">
        <v>2025</v>
      </c>
      <c r="G7" s="106" t="s">
        <v>121</v>
      </c>
      <c r="H7" s="107">
        <v>45887</v>
      </c>
      <c r="I7" s="108" t="s">
        <v>122</v>
      </c>
    </row>
    <row r="8" spans="2:10">
      <c r="B8" s="67"/>
      <c r="D8" s="106" t="s">
        <v>90</v>
      </c>
      <c r="E8" s="106" t="s">
        <v>120</v>
      </c>
      <c r="F8" s="106">
        <v>2025</v>
      </c>
      <c r="G8" s="106" t="s">
        <v>123</v>
      </c>
      <c r="H8" s="107">
        <v>45887</v>
      </c>
      <c r="I8" s="108" t="s">
        <v>124</v>
      </c>
    </row>
    <row r="9" spans="2:10">
      <c r="B9" s="67"/>
    </row>
    <row r="10" spans="2:10">
      <c r="B10" s="67"/>
    </row>
    <row r="11" spans="2:10">
      <c r="B11" s="67"/>
    </row>
    <row r="12" spans="2:10">
      <c r="B12" s="67"/>
    </row>
    <row r="13" spans="2:10">
      <c r="B13" s="67"/>
    </row>
    <row r="14" spans="2:10">
      <c r="B14" s="67"/>
    </row>
    <row r="15" spans="2:10">
      <c r="B15" s="67"/>
    </row>
    <row r="16" spans="2:10">
      <c r="B16" s="67"/>
    </row>
    <row r="17" spans="2:2">
      <c r="B17" s="67"/>
    </row>
    <row r="18" spans="2:2">
      <c r="B18" s="67"/>
    </row>
    <row r="19" spans="2:2">
      <c r="B19" s="67"/>
    </row>
    <row r="20" spans="2:2">
      <c r="B20" s="67"/>
    </row>
    <row r="21" spans="2:2">
      <c r="B21" s="67"/>
    </row>
    <row r="22" spans="2:2">
      <c r="B22" s="67"/>
    </row>
    <row r="23" spans="2:2">
      <c r="B23" s="67"/>
    </row>
    <row r="24" spans="2:2">
      <c r="B24" s="67"/>
    </row>
    <row r="25" spans="2:2">
      <c r="B25" s="67"/>
    </row>
    <row r="26" spans="2:2">
      <c r="B26" s="67"/>
    </row>
    <row r="27" spans="2:2">
      <c r="B27" s="67"/>
    </row>
    <row r="28" spans="2:2">
      <c r="B28" s="67"/>
    </row>
    <row r="29" spans="2:2">
      <c r="B29" s="67"/>
    </row>
    <row r="30" spans="2:2">
      <c r="B30" s="67"/>
    </row>
    <row r="31" spans="2:2">
      <c r="B31" s="67"/>
    </row>
    <row r="32" spans="2:2">
      <c r="B32" s="67"/>
    </row>
    <row r="33" spans="2:2">
      <c r="B33" s="67"/>
    </row>
    <row r="34" spans="2:2">
      <c r="B34" s="67"/>
    </row>
    <row r="35" spans="2:2">
      <c r="B35" s="67"/>
    </row>
    <row r="36" spans="2:2">
      <c r="B36" s="67"/>
    </row>
    <row r="37" spans="2:2">
      <c r="B37" s="67"/>
    </row>
    <row r="38" spans="2:2">
      <c r="B38" s="67"/>
    </row>
    <row r="39" spans="2:2">
      <c r="B39" s="67"/>
    </row>
    <row r="40" spans="2:2">
      <c r="B40" s="67"/>
    </row>
  </sheetData>
  <phoneticPr fontId="21" type="noConversion"/>
  <hyperlinks>
    <hyperlink ref="I7" r:id="rId1" xr:uid="{1A56D6AF-27CE-BE4E-914D-24D1FEEE7CD0}"/>
    <hyperlink ref="I8" r:id="rId2" xr:uid="{2E4DDF25-DEDC-8245-BE3B-8302A796949B}"/>
  </hyperlinks>
  <pageMargins left="0.75" right="0.75" top="1" bottom="1" header="0.5" footer="0.5"/>
  <pageSetup paperSize="9" orientation="portrait" horizontalDpi="4294967292" verticalDpi="42949672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79998168889431442"/>
  </sheetPr>
  <dimension ref="A1:Z141"/>
  <sheetViews>
    <sheetView tabSelected="1" topLeftCell="A10" zoomScale="115" workbookViewId="0">
      <selection activeCell="C34" sqref="C34"/>
    </sheetView>
  </sheetViews>
  <sheetFormatPr baseColWidth="10" defaultColWidth="10.6640625" defaultRowHeight="16"/>
  <cols>
    <col min="1" max="1" width="23.33203125" style="43" customWidth="1"/>
    <col min="2" max="2" width="12.1640625" style="43" bestFit="1" customWidth="1"/>
    <col min="3" max="4" width="10.6640625" style="43"/>
    <col min="5" max="5" width="13" style="43" customWidth="1"/>
    <col min="6" max="9" width="10.6640625" style="43"/>
    <col min="10" max="10" width="16.1640625" style="43" customWidth="1"/>
    <col min="11" max="11" width="10.6640625" style="43"/>
    <col min="12" max="12" width="18.33203125" style="43" customWidth="1"/>
    <col min="13" max="13" width="22.33203125" style="43" customWidth="1"/>
    <col min="14" max="16384" width="10.6640625" style="43"/>
  </cols>
  <sheetData>
    <row r="1" spans="1:26">
      <c r="A1" s="44" t="s">
        <v>118</v>
      </c>
    </row>
    <row r="2" spans="1:26">
      <c r="A2" s="43" t="s">
        <v>119</v>
      </c>
      <c r="B2" s="131">
        <f>B40/(1-C34)</f>
        <v>953.67847411444131</v>
      </c>
      <c r="C2" s="43" t="s">
        <v>102</v>
      </c>
    </row>
    <row r="3" spans="1:26">
      <c r="A3" s="43" t="s">
        <v>103</v>
      </c>
      <c r="B3" s="43">
        <f>B41</f>
        <v>8000</v>
      </c>
      <c r="C3" s="43" t="s">
        <v>148</v>
      </c>
    </row>
    <row r="4" spans="1:26">
      <c r="A4" s="43" t="s">
        <v>105</v>
      </c>
      <c r="B4" s="62">
        <f>B43</f>
        <v>0.96153846153846156</v>
      </c>
      <c r="N4" s="43" t="s">
        <v>179</v>
      </c>
    </row>
    <row r="5" spans="1:26" ht="16" customHeight="1">
      <c r="A5" s="43" t="s">
        <v>106</v>
      </c>
      <c r="B5" s="131">
        <f>B44</f>
        <v>25</v>
      </c>
      <c r="C5" s="43" t="s">
        <v>108</v>
      </c>
      <c r="N5" s="69" t="s">
        <v>39</v>
      </c>
      <c r="O5" s="70"/>
      <c r="P5" s="155" t="s">
        <v>162</v>
      </c>
      <c r="Q5" s="156"/>
      <c r="R5" s="156"/>
      <c r="S5" s="156"/>
      <c r="T5" s="156"/>
      <c r="U5" s="156"/>
      <c r="V5" s="156"/>
      <c r="W5" s="156"/>
      <c r="X5" s="156"/>
      <c r="Y5" s="156"/>
      <c r="Z5" s="156"/>
    </row>
    <row r="6" spans="1:26">
      <c r="A6" s="43" t="s">
        <v>107</v>
      </c>
      <c r="B6" s="131">
        <f>B45</f>
        <v>2</v>
      </c>
      <c r="C6" s="43" t="s">
        <v>108</v>
      </c>
      <c r="N6" s="152" t="s">
        <v>40</v>
      </c>
      <c r="O6" s="71"/>
      <c r="P6" s="97">
        <v>2015</v>
      </c>
      <c r="Q6" s="97">
        <v>2020</v>
      </c>
      <c r="R6" s="97">
        <v>2030</v>
      </c>
      <c r="S6" s="97">
        <v>2040</v>
      </c>
      <c r="T6" s="97">
        <v>2050</v>
      </c>
      <c r="U6" s="72">
        <v>2020</v>
      </c>
      <c r="V6" s="72">
        <v>2020</v>
      </c>
      <c r="W6" s="72">
        <v>2050</v>
      </c>
      <c r="X6" s="72">
        <v>2050</v>
      </c>
      <c r="Y6" s="153" t="s">
        <v>41</v>
      </c>
      <c r="Z6" s="153" t="s">
        <v>42</v>
      </c>
    </row>
    <row r="7" spans="1:26" ht="17" thickBot="1">
      <c r="N7" s="73" t="s">
        <v>43</v>
      </c>
      <c r="O7" s="74"/>
      <c r="P7" s="75" t="s">
        <v>44</v>
      </c>
      <c r="Q7" s="75" t="s">
        <v>44</v>
      </c>
      <c r="R7" s="75" t="s">
        <v>44</v>
      </c>
      <c r="S7" s="75" t="s">
        <v>44</v>
      </c>
      <c r="T7" s="75" t="s">
        <v>44</v>
      </c>
      <c r="U7" s="76" t="s">
        <v>45</v>
      </c>
      <c r="V7" s="76" t="s">
        <v>46</v>
      </c>
      <c r="W7" s="76" t="s">
        <v>45</v>
      </c>
      <c r="X7" s="76" t="s">
        <v>46</v>
      </c>
      <c r="Y7" s="77" t="s">
        <v>1</v>
      </c>
      <c r="Z7" s="77" t="s">
        <v>1</v>
      </c>
    </row>
    <row r="8" spans="1:26">
      <c r="A8" s="43" t="s">
        <v>93</v>
      </c>
      <c r="B8" s="62">
        <f>C24</f>
        <v>0.77900000000000003</v>
      </c>
      <c r="N8" s="78" t="s">
        <v>47</v>
      </c>
      <c r="O8" s="79" t="s">
        <v>48</v>
      </c>
      <c r="P8" s="80"/>
      <c r="Q8" s="80"/>
      <c r="R8" s="98"/>
      <c r="S8" s="80"/>
      <c r="T8" s="80"/>
      <c r="U8" s="80"/>
      <c r="V8" s="80"/>
      <c r="W8" s="80"/>
      <c r="X8" s="80"/>
      <c r="Y8" s="81"/>
      <c r="Z8" s="81"/>
    </row>
    <row r="9" spans="1:26">
      <c r="A9" s="43" t="s">
        <v>94</v>
      </c>
      <c r="B9" s="62">
        <f>C25</f>
        <v>9.9000000000000005E-2</v>
      </c>
      <c r="N9" s="82" t="s">
        <v>49</v>
      </c>
      <c r="O9" s="82"/>
      <c r="P9" s="80"/>
      <c r="Q9" s="80"/>
      <c r="R9" s="98"/>
      <c r="S9" s="80"/>
      <c r="T9" s="80"/>
      <c r="U9" s="80"/>
      <c r="V9" s="80"/>
      <c r="W9" s="80"/>
      <c r="X9" s="80"/>
      <c r="Y9" s="81"/>
      <c r="Z9" s="81"/>
    </row>
    <row r="10" spans="1:26">
      <c r="A10" s="43" t="s">
        <v>178</v>
      </c>
      <c r="B10" s="62">
        <f>C26</f>
        <v>0.122</v>
      </c>
      <c r="N10" s="82"/>
      <c r="O10" s="83" t="s">
        <v>50</v>
      </c>
      <c r="P10" s="84">
        <v>400</v>
      </c>
      <c r="Q10" s="84">
        <v>400</v>
      </c>
      <c r="R10" s="99">
        <v>600</v>
      </c>
      <c r="S10" s="84">
        <v>700</v>
      </c>
      <c r="T10" s="84">
        <v>800</v>
      </c>
      <c r="U10" s="85">
        <v>0.5</v>
      </c>
      <c r="V10" s="85">
        <v>2</v>
      </c>
      <c r="W10" s="85">
        <v>0.5</v>
      </c>
      <c r="X10" s="85">
        <v>1</v>
      </c>
      <c r="Y10" s="81" t="s">
        <v>51</v>
      </c>
      <c r="Z10" s="81"/>
    </row>
    <row r="11" spans="1:26">
      <c r="A11" s="43" t="s">
        <v>127</v>
      </c>
      <c r="B11" s="62">
        <f>C29</f>
        <v>0.83512618949110473</v>
      </c>
      <c r="N11" s="82"/>
      <c r="O11" s="83" t="s">
        <v>163</v>
      </c>
      <c r="P11" s="84">
        <v>580</v>
      </c>
      <c r="Q11" s="84">
        <v>580</v>
      </c>
      <c r="R11" s="99">
        <v>875</v>
      </c>
      <c r="S11" s="84">
        <v>1020</v>
      </c>
      <c r="T11" s="84">
        <v>1165</v>
      </c>
      <c r="U11" s="85">
        <v>0.5</v>
      </c>
      <c r="V11" s="85">
        <v>2</v>
      </c>
      <c r="W11" s="85">
        <v>0.5</v>
      </c>
      <c r="X11" s="85">
        <v>1</v>
      </c>
      <c r="Y11" s="81" t="s">
        <v>52</v>
      </c>
      <c r="Z11" s="81"/>
    </row>
    <row r="12" spans="1:26">
      <c r="A12" s="43" t="s">
        <v>95</v>
      </c>
      <c r="B12" s="62">
        <f>C30</f>
        <v>8.2373810508895334E-2</v>
      </c>
      <c r="N12" s="82"/>
      <c r="O12" s="82" t="s">
        <v>53</v>
      </c>
      <c r="P12" s="84"/>
      <c r="Q12" s="84"/>
      <c r="R12" s="99"/>
      <c r="S12" s="84"/>
      <c r="T12" s="84"/>
      <c r="U12" s="84"/>
      <c r="V12" s="84"/>
      <c r="W12" s="84"/>
      <c r="X12" s="84"/>
      <c r="Y12" s="81"/>
      <c r="Z12" s="81"/>
    </row>
    <row r="13" spans="1:26">
      <c r="A13" s="43" t="s">
        <v>96</v>
      </c>
      <c r="B13" s="62">
        <f>C34</f>
        <v>8.2499999999999934E-2</v>
      </c>
      <c r="N13" s="82"/>
      <c r="O13" s="83" t="s">
        <v>54</v>
      </c>
      <c r="P13" s="84">
        <v>0.77900000000000003</v>
      </c>
      <c r="Q13" s="84">
        <v>0.77900000000000003</v>
      </c>
      <c r="R13" s="99">
        <v>0.77900000000000003</v>
      </c>
      <c r="S13" s="84">
        <v>0.77900000000000003</v>
      </c>
      <c r="T13" s="84">
        <v>0.77900000000000003</v>
      </c>
      <c r="U13" s="86">
        <v>0.9</v>
      </c>
      <c r="V13" s="86">
        <v>1.1000000000000001</v>
      </c>
      <c r="W13" s="86">
        <v>0.9</v>
      </c>
      <c r="X13" s="86">
        <v>1.1000000000000001</v>
      </c>
      <c r="Y13" s="81" t="s">
        <v>164</v>
      </c>
      <c r="Z13" s="81" t="s">
        <v>165</v>
      </c>
    </row>
    <row r="14" spans="1:26">
      <c r="N14" s="82"/>
      <c r="O14" s="83" t="s">
        <v>55</v>
      </c>
      <c r="P14" s="84">
        <v>9.9000000000000005E-2</v>
      </c>
      <c r="Q14" s="84">
        <v>9.9000000000000005E-2</v>
      </c>
      <c r="R14" s="99">
        <v>9.9000000000000005E-2</v>
      </c>
      <c r="S14" s="84">
        <v>9.9000000000000005E-2</v>
      </c>
      <c r="T14" s="84">
        <v>9.9000000000000005E-2</v>
      </c>
      <c r="U14" s="86">
        <v>0.9</v>
      </c>
      <c r="V14" s="86">
        <v>1.1000000000000001</v>
      </c>
      <c r="W14" s="86">
        <v>0.9</v>
      </c>
      <c r="X14" s="86">
        <v>1.1000000000000001</v>
      </c>
      <c r="Y14" s="81" t="s">
        <v>166</v>
      </c>
      <c r="Z14" s="81" t="s">
        <v>165</v>
      </c>
    </row>
    <row r="15" spans="1:26">
      <c r="A15" s="43" t="s">
        <v>109</v>
      </c>
      <c r="B15" s="104">
        <f>B47</f>
        <v>754027928.72727287</v>
      </c>
      <c r="C15" s="43" t="s">
        <v>112</v>
      </c>
      <c r="N15" s="82"/>
      <c r="O15" s="83" t="s">
        <v>56</v>
      </c>
      <c r="P15" s="84">
        <v>3.0000000000000001E-3</v>
      </c>
      <c r="Q15" s="84">
        <v>3.0000000000000001E-3</v>
      </c>
      <c r="R15" s="99">
        <v>3.0000000000000001E-3</v>
      </c>
      <c r="S15" s="84">
        <v>3.0000000000000001E-3</v>
      </c>
      <c r="T15" s="84">
        <v>3.0000000000000001E-3</v>
      </c>
      <c r="U15" s="86">
        <v>0.9</v>
      </c>
      <c r="V15" s="86">
        <v>1.1000000000000001</v>
      </c>
      <c r="W15" s="86">
        <v>0.9</v>
      </c>
      <c r="X15" s="86">
        <v>1.1000000000000001</v>
      </c>
      <c r="Y15" s="81" t="s">
        <v>164</v>
      </c>
      <c r="Z15" s="81" t="s">
        <v>165</v>
      </c>
    </row>
    <row r="16" spans="1:26">
      <c r="A16" s="43" t="s">
        <v>110</v>
      </c>
      <c r="B16" s="104">
        <f>B48</f>
        <v>33144935.064935055</v>
      </c>
      <c r="C16" s="43" t="s">
        <v>113</v>
      </c>
      <c r="N16" s="82"/>
      <c r="O16" s="83" t="s">
        <v>57</v>
      </c>
      <c r="P16" s="84">
        <v>0.11899999999999999</v>
      </c>
      <c r="Q16" s="84">
        <v>0.11899999999999999</v>
      </c>
      <c r="R16" s="99">
        <v>0.11899999999999999</v>
      </c>
      <c r="S16" s="84">
        <v>0.11899999999999999</v>
      </c>
      <c r="T16" s="84">
        <v>0.11899999999999999</v>
      </c>
      <c r="U16" s="86">
        <v>0.9</v>
      </c>
      <c r="V16" s="86">
        <v>1.1000000000000001</v>
      </c>
      <c r="W16" s="86">
        <v>0.9</v>
      </c>
      <c r="X16" s="86">
        <v>1.1000000000000001</v>
      </c>
      <c r="Y16" s="81" t="s">
        <v>164</v>
      </c>
      <c r="Z16" s="81" t="s">
        <v>165</v>
      </c>
    </row>
    <row r="17" spans="1:26">
      <c r="A17" s="43" t="s">
        <v>111</v>
      </c>
      <c r="B17" s="104">
        <f>B50</f>
        <v>7909.5235006714956</v>
      </c>
      <c r="C17" s="105" t="s">
        <v>116</v>
      </c>
      <c r="N17" s="82"/>
      <c r="O17" s="82" t="s">
        <v>58</v>
      </c>
      <c r="P17" s="84"/>
      <c r="Q17" s="84"/>
      <c r="R17" s="99"/>
      <c r="S17" s="84"/>
      <c r="T17" s="84"/>
      <c r="U17" s="84"/>
      <c r="V17" s="84"/>
      <c r="W17" s="84"/>
      <c r="X17" s="84"/>
      <c r="Y17" s="81"/>
      <c r="Z17" s="81"/>
    </row>
    <row r="18" spans="1:26">
      <c r="N18" s="82"/>
      <c r="O18" s="83" t="s">
        <v>167</v>
      </c>
      <c r="P18" s="84">
        <v>0.66</v>
      </c>
      <c r="Q18" s="84">
        <v>0.66</v>
      </c>
      <c r="R18" s="99">
        <v>0.66</v>
      </c>
      <c r="S18" s="84">
        <v>0.66</v>
      </c>
      <c r="T18" s="84">
        <v>0.66</v>
      </c>
      <c r="U18" s="86">
        <v>0.9</v>
      </c>
      <c r="V18" s="86">
        <v>1.1000000000000001</v>
      </c>
      <c r="W18" s="86">
        <v>0.9</v>
      </c>
      <c r="X18" s="86">
        <v>1.1000000000000001</v>
      </c>
      <c r="Y18" s="81" t="s">
        <v>59</v>
      </c>
      <c r="Z18" s="81"/>
    </row>
    <row r="19" spans="1:26">
      <c r="N19" s="82"/>
      <c r="O19" s="83" t="s">
        <v>60</v>
      </c>
      <c r="P19" s="87">
        <v>6.5100000000000005E-2</v>
      </c>
      <c r="Q19" s="87">
        <v>6.5100000000000005E-2</v>
      </c>
      <c r="R19" s="100">
        <v>6.5100000000000005E-2</v>
      </c>
      <c r="S19" s="87">
        <v>6.5100000000000005E-2</v>
      </c>
      <c r="T19" s="87">
        <v>6.5100000000000005E-2</v>
      </c>
      <c r="U19" s="86">
        <v>0.9</v>
      </c>
      <c r="V19" s="86">
        <v>1.1000000000000001</v>
      </c>
      <c r="W19" s="86">
        <v>0.9</v>
      </c>
      <c r="X19" s="86">
        <v>1.1000000000000001</v>
      </c>
      <c r="Y19" s="81" t="s">
        <v>59</v>
      </c>
      <c r="Z19" s="81"/>
    </row>
    <row r="20" spans="1:26">
      <c r="A20" s="44" t="s">
        <v>91</v>
      </c>
      <c r="N20" s="82"/>
      <c r="O20" s="83" t="s">
        <v>62</v>
      </c>
      <c r="P20" s="87">
        <v>9.2399999999999996E-2</v>
      </c>
      <c r="Q20" s="87">
        <v>9.2399999999999996E-2</v>
      </c>
      <c r="R20" s="100">
        <v>9.2399999999999996E-2</v>
      </c>
      <c r="S20" s="87">
        <v>9.2399999999999996E-2</v>
      </c>
      <c r="T20" s="87">
        <v>9.2399999999999996E-2</v>
      </c>
      <c r="U20" s="86">
        <v>0.9</v>
      </c>
      <c r="V20" s="86">
        <v>1.1000000000000001</v>
      </c>
      <c r="W20" s="86">
        <v>0.9</v>
      </c>
      <c r="X20" s="86">
        <v>1.1000000000000001</v>
      </c>
      <c r="Y20" s="81" t="s">
        <v>59</v>
      </c>
      <c r="Z20" s="81"/>
    </row>
    <row r="21" spans="1:26">
      <c r="N21" s="82"/>
      <c r="O21" s="83" t="s">
        <v>61</v>
      </c>
      <c r="P21" s="87">
        <v>0.1</v>
      </c>
      <c r="Q21" s="87">
        <v>0.1</v>
      </c>
      <c r="R21" s="100">
        <v>0.1</v>
      </c>
      <c r="S21" s="87">
        <v>0.1</v>
      </c>
      <c r="T21" s="87">
        <v>0.1</v>
      </c>
      <c r="U21" s="86">
        <v>0.9</v>
      </c>
      <c r="V21" s="86">
        <v>1.1000000000000001</v>
      </c>
      <c r="W21" s="86">
        <v>0.9</v>
      </c>
      <c r="X21" s="86">
        <v>1.1000000000000001</v>
      </c>
      <c r="Y21" s="81" t="s">
        <v>59</v>
      </c>
      <c r="Z21" s="81"/>
    </row>
    <row r="22" spans="1:26">
      <c r="A22" s="43" t="s">
        <v>180</v>
      </c>
      <c r="F22" s="44"/>
      <c r="N22" s="82"/>
      <c r="O22" s="83" t="s">
        <v>63</v>
      </c>
      <c r="P22" s="87">
        <f t="shared" ref="P22:T22" si="0">0.177*0.15</f>
        <v>2.6549999999999997E-2</v>
      </c>
      <c r="Q22" s="87">
        <f t="shared" si="0"/>
        <v>2.6549999999999997E-2</v>
      </c>
      <c r="R22" s="100">
        <f t="shared" si="0"/>
        <v>2.6549999999999997E-2</v>
      </c>
      <c r="S22" s="87">
        <f t="shared" si="0"/>
        <v>2.6549999999999997E-2</v>
      </c>
      <c r="T22" s="87">
        <f t="shared" si="0"/>
        <v>2.6549999999999997E-2</v>
      </c>
      <c r="U22" s="86">
        <v>0.9</v>
      </c>
      <c r="V22" s="86">
        <v>1.1000000000000001</v>
      </c>
      <c r="W22" s="86">
        <v>0.9</v>
      </c>
      <c r="X22" s="86">
        <v>1.1000000000000001</v>
      </c>
      <c r="Y22" s="81" t="s">
        <v>59</v>
      </c>
      <c r="Z22" s="81"/>
    </row>
    <row r="23" spans="1:26">
      <c r="A23" s="44" t="s">
        <v>92</v>
      </c>
      <c r="B23" s="44" t="s">
        <v>98</v>
      </c>
      <c r="C23" s="44" t="s">
        <v>99</v>
      </c>
      <c r="E23" s="44"/>
      <c r="F23" s="62"/>
      <c r="N23" s="82"/>
      <c r="O23" s="83" t="s">
        <v>64</v>
      </c>
      <c r="P23" s="84">
        <v>0</v>
      </c>
      <c r="Q23" s="84">
        <v>0</v>
      </c>
      <c r="R23" s="99">
        <v>0</v>
      </c>
      <c r="S23" s="84">
        <v>0</v>
      </c>
      <c r="T23" s="84">
        <v>0</v>
      </c>
      <c r="U23" s="84"/>
      <c r="V23" s="84"/>
      <c r="W23" s="84"/>
      <c r="X23" s="84"/>
      <c r="Y23" s="81" t="s">
        <v>65</v>
      </c>
      <c r="Z23" s="81"/>
    </row>
    <row r="24" spans="1:26">
      <c r="A24" s="43" t="s">
        <v>93</v>
      </c>
      <c r="B24" s="43">
        <f>R13</f>
        <v>0.77900000000000003</v>
      </c>
      <c r="C24" s="62">
        <f>B24</f>
        <v>0.77900000000000003</v>
      </c>
      <c r="F24" s="62"/>
      <c r="N24" s="82"/>
      <c r="O24" s="83" t="s">
        <v>66</v>
      </c>
      <c r="P24" s="84">
        <v>2</v>
      </c>
      <c r="Q24" s="84">
        <v>2</v>
      </c>
      <c r="R24" s="99">
        <v>2</v>
      </c>
      <c r="S24" s="84">
        <v>2</v>
      </c>
      <c r="T24" s="84">
        <v>2</v>
      </c>
      <c r="U24" s="84"/>
      <c r="V24" s="84"/>
      <c r="W24" s="84"/>
      <c r="X24" s="84"/>
      <c r="Y24" s="81"/>
      <c r="Z24" s="81"/>
    </row>
    <row r="25" spans="1:26">
      <c r="A25" s="43" t="s">
        <v>94</v>
      </c>
      <c r="B25" s="43">
        <f>R14</f>
        <v>9.9000000000000005E-2</v>
      </c>
      <c r="C25" s="62">
        <f>B25</f>
        <v>9.9000000000000005E-2</v>
      </c>
      <c r="F25" s="62"/>
      <c r="N25" s="82"/>
      <c r="O25" s="83" t="s">
        <v>67</v>
      </c>
      <c r="P25" s="84">
        <v>25</v>
      </c>
      <c r="Q25" s="84">
        <v>25</v>
      </c>
      <c r="R25" s="99">
        <v>25</v>
      </c>
      <c r="S25" s="84">
        <v>25</v>
      </c>
      <c r="T25" s="84">
        <v>25</v>
      </c>
      <c r="U25" s="84"/>
      <c r="V25" s="84"/>
      <c r="W25" s="84"/>
      <c r="X25" s="84"/>
      <c r="Y25" s="81"/>
      <c r="Z25" s="81"/>
    </row>
    <row r="26" spans="1:26">
      <c r="A26" s="43" t="s">
        <v>178</v>
      </c>
      <c r="B26" s="43">
        <f>R16</f>
        <v>0.11899999999999999</v>
      </c>
      <c r="C26" s="62">
        <f>B26+B27</f>
        <v>0.122</v>
      </c>
      <c r="F26" s="62"/>
      <c r="N26" s="82"/>
      <c r="O26" s="83" t="s">
        <v>68</v>
      </c>
      <c r="P26" s="84">
        <v>2</v>
      </c>
      <c r="Q26" s="84">
        <v>2</v>
      </c>
      <c r="R26" s="99">
        <v>2</v>
      </c>
      <c r="S26" s="84">
        <v>2</v>
      </c>
      <c r="T26" s="84">
        <v>2</v>
      </c>
      <c r="U26" s="84"/>
      <c r="V26" s="84"/>
      <c r="W26" s="84"/>
      <c r="X26" s="84"/>
      <c r="Y26" s="81"/>
      <c r="Z26" s="81"/>
    </row>
    <row r="27" spans="1:26">
      <c r="A27" s="43" t="s">
        <v>181</v>
      </c>
      <c r="B27" s="43">
        <f>R15</f>
        <v>3.0000000000000001E-3</v>
      </c>
      <c r="C27" s="62"/>
      <c r="E27" s="43" t="s">
        <v>182</v>
      </c>
      <c r="F27" s="62"/>
      <c r="N27" s="82" t="s">
        <v>69</v>
      </c>
      <c r="O27" s="82"/>
      <c r="P27" s="84"/>
      <c r="Q27" s="84"/>
      <c r="R27" s="99"/>
      <c r="S27" s="84"/>
      <c r="T27" s="84"/>
      <c r="U27" s="84"/>
      <c r="V27" s="84"/>
      <c r="W27" s="84"/>
      <c r="X27" s="84"/>
      <c r="Y27" s="81"/>
      <c r="Z27" s="81"/>
    </row>
    <row r="28" spans="1:26">
      <c r="A28" s="43" t="s">
        <v>97</v>
      </c>
      <c r="B28" s="43">
        <f>SUM(B24:B27)</f>
        <v>1</v>
      </c>
      <c r="C28" s="62">
        <f>SUM(C24:C26)</f>
        <v>1</v>
      </c>
      <c r="F28" s="62"/>
      <c r="N28" s="82"/>
      <c r="O28" s="83" t="s">
        <v>168</v>
      </c>
      <c r="P28" s="88">
        <v>1.0191115091804748</v>
      </c>
      <c r="Q28" s="88">
        <v>1.0191115091804748</v>
      </c>
      <c r="R28" s="101">
        <v>0.86176831168831169</v>
      </c>
      <c r="S28" s="88">
        <v>0.80276274509803924</v>
      </c>
      <c r="T28" s="88">
        <v>0.75868234769522325</v>
      </c>
      <c r="U28" s="85">
        <v>0.5</v>
      </c>
      <c r="V28" s="85">
        <v>1.5</v>
      </c>
      <c r="W28" s="85">
        <v>0.5</v>
      </c>
      <c r="X28" s="85">
        <v>1.5</v>
      </c>
      <c r="Y28" s="81" t="s">
        <v>169</v>
      </c>
      <c r="Z28" s="81"/>
    </row>
    <row r="29" spans="1:26">
      <c r="A29" s="43" t="s">
        <v>127</v>
      </c>
      <c r="B29" s="62">
        <f>R18</f>
        <v>0.66</v>
      </c>
      <c r="C29" s="62">
        <f>B29+SUM($B$31:$B$32)*B29/SUM($B$29:$B$30)</f>
        <v>0.83512618949110473</v>
      </c>
      <c r="F29" s="62"/>
      <c r="N29" s="82"/>
      <c r="O29" s="83" t="s">
        <v>170</v>
      </c>
      <c r="P29" s="84">
        <v>75</v>
      </c>
      <c r="Q29" s="84">
        <v>75</v>
      </c>
      <c r="R29" s="99">
        <v>75</v>
      </c>
      <c r="S29" s="84">
        <v>75</v>
      </c>
      <c r="T29" s="84">
        <v>75</v>
      </c>
      <c r="U29" s="84">
        <v>0</v>
      </c>
      <c r="V29" s="84">
        <v>0</v>
      </c>
      <c r="W29" s="84">
        <v>0</v>
      </c>
      <c r="X29" s="84">
        <v>0</v>
      </c>
      <c r="Y29" s="81"/>
      <c r="Z29" s="81"/>
    </row>
    <row r="30" spans="1:26">
      <c r="A30" s="43" t="s">
        <v>95</v>
      </c>
      <c r="B30" s="62">
        <f>R19</f>
        <v>6.5100000000000005E-2</v>
      </c>
      <c r="C30" s="62">
        <f>B30+SUM($B$31:$B$32)*B30/SUM($B$29:$B$30)</f>
        <v>8.2373810508895334E-2</v>
      </c>
      <c r="N30" s="82"/>
      <c r="O30" s="83" t="s">
        <v>70</v>
      </c>
      <c r="P30" s="84">
        <v>25</v>
      </c>
      <c r="Q30" s="84">
        <v>25</v>
      </c>
      <c r="R30" s="99">
        <v>25</v>
      </c>
      <c r="S30" s="84">
        <v>25</v>
      </c>
      <c r="T30" s="84">
        <v>25</v>
      </c>
      <c r="U30" s="84">
        <v>0</v>
      </c>
      <c r="V30" s="84">
        <v>0</v>
      </c>
      <c r="W30" s="84">
        <v>0</v>
      </c>
      <c r="X30" s="84">
        <v>0</v>
      </c>
      <c r="Y30" s="81"/>
      <c r="Z30" s="81"/>
    </row>
    <row r="31" spans="1:26">
      <c r="A31" s="43" t="s">
        <v>183</v>
      </c>
      <c r="B31" s="62">
        <f>R20</f>
        <v>9.2399999999999996E-2</v>
      </c>
      <c r="C31" s="43">
        <v>0</v>
      </c>
      <c r="E31" s="43" t="s">
        <v>189</v>
      </c>
      <c r="N31" s="82"/>
      <c r="O31" s="83" t="s">
        <v>71</v>
      </c>
      <c r="P31" s="87">
        <v>3.8097626511419611E-2</v>
      </c>
      <c r="Q31" s="87">
        <v>3.8097626511419611E-2</v>
      </c>
      <c r="R31" s="100">
        <v>3.7879925788497207E-2</v>
      </c>
      <c r="S31" s="87">
        <v>3.7910873440285195E-2</v>
      </c>
      <c r="T31" s="87">
        <v>3.7934117384761157E-2</v>
      </c>
      <c r="U31" s="86">
        <v>0.9</v>
      </c>
      <c r="V31" s="86">
        <v>1.1000000000000001</v>
      </c>
      <c r="W31" s="86">
        <v>0.9</v>
      </c>
      <c r="X31" s="86">
        <v>1.1000000000000001</v>
      </c>
      <c r="Y31" s="81" t="s">
        <v>72</v>
      </c>
      <c r="Z31" s="81"/>
    </row>
    <row r="32" spans="1:26">
      <c r="A32" s="43" t="s">
        <v>184</v>
      </c>
      <c r="B32" s="62">
        <f>R21</f>
        <v>0.1</v>
      </c>
      <c r="C32" s="43">
        <v>0</v>
      </c>
      <c r="E32" s="43" t="s">
        <v>186</v>
      </c>
      <c r="N32" s="82"/>
      <c r="O32" s="83" t="s">
        <v>73</v>
      </c>
      <c r="P32" s="87">
        <v>9.0394554293388527</v>
      </c>
      <c r="Q32" s="87">
        <v>9.0394554293388527</v>
      </c>
      <c r="R32" s="100">
        <v>9.0394554293388527</v>
      </c>
      <c r="S32" s="87">
        <v>9.0394554293388527</v>
      </c>
      <c r="T32" s="87">
        <v>9.0394554293388527</v>
      </c>
      <c r="U32" s="86">
        <v>0.9</v>
      </c>
      <c r="V32" s="86">
        <v>1.1000000000000001</v>
      </c>
      <c r="W32" s="86">
        <v>0.9</v>
      </c>
      <c r="X32" s="86">
        <v>1.1000000000000001</v>
      </c>
      <c r="Y32" s="81" t="s">
        <v>72</v>
      </c>
      <c r="Z32" s="81"/>
    </row>
    <row r="33" spans="1:26">
      <c r="A33" s="43" t="s">
        <v>185</v>
      </c>
      <c r="B33" s="62">
        <f>R22</f>
        <v>2.6549999999999997E-2</v>
      </c>
      <c r="C33" s="43">
        <v>0</v>
      </c>
      <c r="E33" s="43" t="s">
        <v>187</v>
      </c>
      <c r="N33" s="82"/>
      <c r="O33" s="83" t="s">
        <v>171</v>
      </c>
      <c r="P33" s="84">
        <v>0</v>
      </c>
      <c r="Q33" s="84">
        <v>0</v>
      </c>
      <c r="R33" s="99">
        <v>0</v>
      </c>
      <c r="S33" s="84">
        <v>0</v>
      </c>
      <c r="T33" s="84">
        <v>0</v>
      </c>
      <c r="U33" s="84">
        <v>0</v>
      </c>
      <c r="V33" s="84">
        <v>0</v>
      </c>
      <c r="W33" s="84">
        <v>0</v>
      </c>
      <c r="X33" s="84">
        <v>0</v>
      </c>
      <c r="Y33" s="81"/>
      <c r="Z33" s="81"/>
    </row>
    <row r="34" spans="1:26">
      <c r="A34" s="43" t="s">
        <v>96</v>
      </c>
      <c r="B34" s="62">
        <f>1-SUM(B29:B33)</f>
        <v>5.5949999999999944E-2</v>
      </c>
      <c r="C34" s="62">
        <f>B34+B33</f>
        <v>8.2499999999999934E-2</v>
      </c>
      <c r="N34" s="82" t="s">
        <v>74</v>
      </c>
      <c r="O34" s="89"/>
      <c r="P34" s="84"/>
      <c r="Q34" s="84"/>
      <c r="R34" s="99"/>
      <c r="S34" s="84"/>
      <c r="T34" s="84"/>
      <c r="U34" s="84"/>
      <c r="V34" s="84"/>
      <c r="W34" s="84"/>
      <c r="X34" s="84"/>
      <c r="Y34" s="81"/>
      <c r="Z34" s="81"/>
    </row>
    <row r="35" spans="1:26">
      <c r="A35" s="43" t="s">
        <v>97</v>
      </c>
      <c r="B35" s="62">
        <f>SUM(B29:B34)</f>
        <v>1</v>
      </c>
      <c r="C35" s="62">
        <v>1</v>
      </c>
      <c r="N35" s="82"/>
      <c r="O35" s="83" t="s">
        <v>75</v>
      </c>
      <c r="P35" s="84">
        <v>44</v>
      </c>
      <c r="Q35" s="84">
        <v>44</v>
      </c>
      <c r="R35" s="99">
        <v>44</v>
      </c>
      <c r="S35" s="84">
        <v>44</v>
      </c>
      <c r="T35" s="84">
        <v>44</v>
      </c>
      <c r="U35" s="84"/>
      <c r="V35" s="84"/>
      <c r="W35" s="84"/>
      <c r="X35" s="84"/>
      <c r="Y35" s="81"/>
      <c r="Z35" s="81"/>
    </row>
    <row r="36" spans="1:26">
      <c r="N36" s="82"/>
      <c r="O36" s="83" t="s">
        <v>76</v>
      </c>
      <c r="P36" s="84">
        <v>0.77</v>
      </c>
      <c r="Q36" s="84">
        <v>0.77</v>
      </c>
      <c r="R36" s="99">
        <v>0.77</v>
      </c>
      <c r="S36" s="84">
        <v>0.77</v>
      </c>
      <c r="T36" s="84">
        <v>0.77</v>
      </c>
      <c r="U36" s="84"/>
      <c r="V36" s="84"/>
      <c r="W36" s="84"/>
      <c r="X36" s="84"/>
      <c r="Y36" s="81"/>
      <c r="Z36" s="81"/>
    </row>
    <row r="37" spans="1:26">
      <c r="N37" s="82"/>
      <c r="O37" s="83" t="s">
        <v>172</v>
      </c>
      <c r="P37" s="88">
        <v>1.4776737797402599</v>
      </c>
      <c r="Q37" s="88">
        <v>1.4776737797402599</v>
      </c>
      <c r="R37" s="101">
        <v>1.2567132145454547</v>
      </c>
      <c r="S37" s="88">
        <v>1.1697099920000003</v>
      </c>
      <c r="T37" s="88">
        <v>1.1048028259740261</v>
      </c>
      <c r="U37" s="85">
        <v>0.5</v>
      </c>
      <c r="V37" s="85">
        <v>1.5</v>
      </c>
      <c r="W37" s="85">
        <v>0.5</v>
      </c>
      <c r="X37" s="85">
        <v>1.5</v>
      </c>
      <c r="Y37" s="81" t="s">
        <v>169</v>
      </c>
      <c r="Z37" s="81"/>
    </row>
    <row r="38" spans="1:26">
      <c r="A38" s="44" t="s">
        <v>100</v>
      </c>
      <c r="N38" s="82"/>
      <c r="O38" s="83" t="s">
        <v>170</v>
      </c>
      <c r="P38" s="84">
        <v>75</v>
      </c>
      <c r="Q38" s="84">
        <v>75</v>
      </c>
      <c r="R38" s="99">
        <v>75</v>
      </c>
      <c r="S38" s="84">
        <v>75</v>
      </c>
      <c r="T38" s="84">
        <v>75</v>
      </c>
      <c r="U38" s="84"/>
      <c r="V38" s="84"/>
      <c r="W38" s="84"/>
      <c r="X38" s="84"/>
      <c r="Y38" s="81"/>
      <c r="Z38" s="81"/>
    </row>
    <row r="39" spans="1:26">
      <c r="A39" s="43" t="s">
        <v>101</v>
      </c>
      <c r="B39" s="43">
        <f>R10*10^3</f>
        <v>600000</v>
      </c>
      <c r="C39" s="43" t="s">
        <v>117</v>
      </c>
      <c r="N39" s="82"/>
      <c r="O39" s="83" t="s">
        <v>70</v>
      </c>
      <c r="P39" s="84">
        <v>25</v>
      </c>
      <c r="Q39" s="84">
        <v>25</v>
      </c>
      <c r="R39" s="99">
        <v>25</v>
      </c>
      <c r="S39" s="84">
        <v>25</v>
      </c>
      <c r="T39" s="84">
        <v>25</v>
      </c>
      <c r="U39" s="84"/>
      <c r="V39" s="84"/>
      <c r="W39" s="84"/>
      <c r="X39" s="84"/>
      <c r="Y39" s="81"/>
      <c r="Z39" s="81"/>
    </row>
    <row r="40" spans="1:26">
      <c r="A40" s="43" t="s">
        <v>101</v>
      </c>
      <c r="B40" s="43">
        <f>R11</f>
        <v>875</v>
      </c>
      <c r="C40" s="43" t="s">
        <v>102</v>
      </c>
      <c r="N40" s="82"/>
      <c r="O40" s="83" t="s">
        <v>77</v>
      </c>
      <c r="P40" s="87">
        <v>5.5240141298701299E-2</v>
      </c>
      <c r="Q40" s="87">
        <v>5.5240141298701299E-2</v>
      </c>
      <c r="R40" s="100">
        <v>5.5240141298701299E-2</v>
      </c>
      <c r="S40" s="87">
        <v>5.5240141298701299E-2</v>
      </c>
      <c r="T40" s="87">
        <v>5.5240141298701299E-2</v>
      </c>
      <c r="U40" s="86">
        <v>0.9</v>
      </c>
      <c r="V40" s="86">
        <v>1.1000000000000001</v>
      </c>
      <c r="W40" s="86">
        <v>0.9</v>
      </c>
      <c r="X40" s="86">
        <v>1.1000000000000001</v>
      </c>
      <c r="Y40" s="81" t="s">
        <v>72</v>
      </c>
      <c r="Z40" s="81"/>
    </row>
    <row r="41" spans="1:26">
      <c r="A41" s="43" t="s">
        <v>103</v>
      </c>
      <c r="B41" s="43">
        <v>8000</v>
      </c>
      <c r="C41" s="43" t="s">
        <v>104</v>
      </c>
      <c r="N41" s="82"/>
      <c r="O41" s="83" t="s">
        <v>78</v>
      </c>
      <c r="P41" s="87">
        <v>0.1104802825974026</v>
      </c>
      <c r="Q41" s="87">
        <v>0.1104802825974026</v>
      </c>
      <c r="R41" s="100">
        <v>0.1104802825974026</v>
      </c>
      <c r="S41" s="87">
        <v>0.1104802825974026</v>
      </c>
      <c r="T41" s="87">
        <v>0.1104802825974026</v>
      </c>
      <c r="U41" s="86">
        <v>0.9</v>
      </c>
      <c r="V41" s="86">
        <v>1.1000000000000001</v>
      </c>
      <c r="W41" s="86">
        <v>0.9</v>
      </c>
      <c r="X41" s="86">
        <v>1.1000000000000001</v>
      </c>
      <c r="Y41" s="81" t="s">
        <v>72</v>
      </c>
      <c r="Z41" s="81"/>
    </row>
    <row r="42" spans="1:26" ht="17" thickBot="1">
      <c r="A42" s="43" t="s">
        <v>114</v>
      </c>
      <c r="B42" s="43">
        <f>B40*B41</f>
        <v>7000000</v>
      </c>
      <c r="C42" s="43" t="s">
        <v>115</v>
      </c>
      <c r="N42" s="90"/>
      <c r="O42" s="91" t="s">
        <v>79</v>
      </c>
      <c r="P42" s="92">
        <v>0</v>
      </c>
      <c r="Q42" s="92">
        <v>0</v>
      </c>
      <c r="R42" s="102">
        <v>0</v>
      </c>
      <c r="S42" s="92">
        <v>0</v>
      </c>
      <c r="T42" s="92">
        <v>0</v>
      </c>
      <c r="U42" s="92"/>
      <c r="V42" s="92"/>
      <c r="W42" s="92"/>
      <c r="X42" s="92"/>
      <c r="Y42" s="93"/>
      <c r="Z42" s="93"/>
    </row>
    <row r="43" spans="1:26">
      <c r="A43" s="43" t="s">
        <v>105</v>
      </c>
      <c r="B43" s="62">
        <f>1-R24/52</f>
        <v>0.96153846153846156</v>
      </c>
      <c r="N43" s="89"/>
      <c r="O43" s="89"/>
      <c r="P43" s="89"/>
      <c r="Q43" s="89"/>
      <c r="R43" s="89"/>
      <c r="S43" s="89"/>
      <c r="T43" s="89"/>
      <c r="U43" s="89"/>
      <c r="V43" s="89"/>
      <c r="W43" s="89"/>
      <c r="X43" s="89"/>
      <c r="Y43" s="154"/>
      <c r="Z43" s="89"/>
    </row>
    <row r="44" spans="1:26">
      <c r="A44" s="43" t="s">
        <v>106</v>
      </c>
      <c r="B44" s="43">
        <f>R25</f>
        <v>25</v>
      </c>
      <c r="C44" s="43" t="s">
        <v>108</v>
      </c>
      <c r="N44" s="94" t="s">
        <v>80</v>
      </c>
      <c r="O44" s="89"/>
      <c r="P44" s="89"/>
      <c r="Q44" s="89"/>
      <c r="R44" s="89"/>
      <c r="S44" s="89"/>
      <c r="T44" s="89"/>
      <c r="U44" s="89"/>
      <c r="V44" s="89"/>
      <c r="W44" s="89"/>
      <c r="X44" s="89"/>
      <c r="Y44" s="89"/>
      <c r="Z44" s="89"/>
    </row>
    <row r="45" spans="1:26">
      <c r="A45" s="43" t="s">
        <v>107</v>
      </c>
      <c r="B45" s="43">
        <f>R26</f>
        <v>2</v>
      </c>
      <c r="C45" s="43" t="s">
        <v>108</v>
      </c>
      <c r="N45" s="95"/>
      <c r="O45" s="96" t="s">
        <v>173</v>
      </c>
      <c r="P45" s="89"/>
      <c r="Q45" s="89"/>
      <c r="R45" s="89"/>
      <c r="S45" s="89"/>
      <c r="T45" s="89"/>
      <c r="U45" s="89"/>
      <c r="V45" s="89"/>
      <c r="W45" s="89"/>
      <c r="X45" s="89"/>
      <c r="Y45" s="89"/>
      <c r="Z45" s="89"/>
    </row>
    <row r="46" spans="1:26">
      <c r="N46" s="95"/>
      <c r="O46" s="96" t="s">
        <v>81</v>
      </c>
      <c r="P46" s="89"/>
      <c r="Q46" s="89"/>
      <c r="R46" s="89"/>
      <c r="S46" s="89"/>
      <c r="T46" s="89"/>
      <c r="U46" s="89"/>
      <c r="V46" s="89"/>
      <c r="W46" s="89"/>
      <c r="X46" s="89"/>
      <c r="Y46" s="89"/>
      <c r="Z46" s="89"/>
    </row>
    <row r="47" spans="1:26">
      <c r="A47" s="43" t="s">
        <v>109</v>
      </c>
      <c r="B47" s="103">
        <f>R37*$R$10*10^6</f>
        <v>754027928.72727287</v>
      </c>
      <c r="C47" s="43" t="s">
        <v>112</v>
      </c>
      <c r="N47" s="95"/>
      <c r="O47" s="96" t="s">
        <v>82</v>
      </c>
      <c r="P47" s="89"/>
      <c r="Q47" s="89"/>
      <c r="R47" s="89"/>
      <c r="S47" s="89"/>
      <c r="T47" s="89"/>
      <c r="U47" s="89"/>
      <c r="V47" s="89"/>
      <c r="W47" s="89"/>
      <c r="X47" s="89"/>
      <c r="Y47" s="89"/>
      <c r="Z47" s="89"/>
    </row>
    <row r="48" spans="1:26">
      <c r="A48" s="43" t="s">
        <v>110</v>
      </c>
      <c r="B48" s="103">
        <f>R31*R11*10^6</f>
        <v>33144935.064935055</v>
      </c>
      <c r="C48" s="43" t="s">
        <v>113</v>
      </c>
      <c r="N48" s="95"/>
      <c r="O48" s="96" t="s">
        <v>174</v>
      </c>
      <c r="P48" s="89"/>
      <c r="Q48" s="89"/>
      <c r="R48" s="89"/>
      <c r="S48" s="89"/>
      <c r="T48" s="89"/>
      <c r="U48" s="89"/>
      <c r="V48" s="89"/>
      <c r="W48" s="89"/>
      <c r="X48" s="89"/>
      <c r="Y48" s="89"/>
      <c r="Z48" s="89"/>
    </row>
    <row r="49" spans="1:26">
      <c r="A49" s="43" t="s">
        <v>111</v>
      </c>
      <c r="B49" s="103">
        <f>R32*B42</f>
        <v>63276188.005371965</v>
      </c>
      <c r="C49" s="43" t="s">
        <v>113</v>
      </c>
      <c r="N49" s="95"/>
      <c r="O49" s="96" t="s">
        <v>83</v>
      </c>
      <c r="P49" s="89"/>
      <c r="Q49" s="89"/>
      <c r="R49" s="89"/>
      <c r="S49" s="89"/>
      <c r="T49" s="89"/>
      <c r="U49" s="89"/>
      <c r="V49" s="89"/>
      <c r="W49" s="89"/>
      <c r="X49" s="89"/>
      <c r="Y49" s="89"/>
      <c r="Z49" s="89"/>
    </row>
    <row r="50" spans="1:26">
      <c r="A50" s="43" t="s">
        <v>111</v>
      </c>
      <c r="B50" s="103">
        <f>B49/B41</f>
        <v>7909.5235006714956</v>
      </c>
      <c r="C50" s="43" t="s">
        <v>116</v>
      </c>
      <c r="N50" s="95"/>
      <c r="O50" s="96" t="s">
        <v>175</v>
      </c>
      <c r="P50" s="89"/>
      <c r="Q50" s="89"/>
      <c r="R50" s="89"/>
      <c r="S50" s="89"/>
      <c r="T50" s="89"/>
      <c r="U50" s="89"/>
      <c r="V50" s="89"/>
      <c r="W50" s="89"/>
      <c r="X50" s="89"/>
      <c r="Y50" s="89"/>
      <c r="Z50" s="89"/>
    </row>
    <row r="51" spans="1:26">
      <c r="N51" s="95"/>
      <c r="O51" s="96" t="s">
        <v>84</v>
      </c>
      <c r="P51" s="89"/>
      <c r="Q51" s="89"/>
      <c r="R51" s="89"/>
      <c r="S51" s="89"/>
      <c r="T51" s="89"/>
      <c r="U51" s="89"/>
      <c r="V51" s="89"/>
      <c r="W51" s="89"/>
      <c r="X51" s="89"/>
      <c r="Y51" s="89"/>
      <c r="Z51" s="89"/>
    </row>
    <row r="52" spans="1:26">
      <c r="N52" s="95"/>
      <c r="O52" s="96" t="s">
        <v>85</v>
      </c>
      <c r="P52" s="89"/>
      <c r="Q52" s="89"/>
      <c r="R52" s="89"/>
      <c r="S52" s="89"/>
      <c r="T52" s="89"/>
      <c r="U52" s="89"/>
      <c r="V52" s="89"/>
      <c r="W52" s="89"/>
      <c r="X52" s="89"/>
      <c r="Y52" s="89"/>
      <c r="Z52" s="89"/>
    </row>
    <row r="53" spans="1:26">
      <c r="N53" s="95"/>
      <c r="O53" s="96" t="s">
        <v>86</v>
      </c>
      <c r="P53" s="89"/>
      <c r="Q53" s="89"/>
      <c r="R53" s="89"/>
      <c r="S53" s="89"/>
      <c r="T53" s="89"/>
      <c r="U53" s="89"/>
      <c r="V53" s="89"/>
      <c r="W53" s="89"/>
      <c r="X53" s="89"/>
      <c r="Y53" s="89"/>
      <c r="Z53" s="89"/>
    </row>
    <row r="54" spans="1:26">
      <c r="N54" s="95"/>
      <c r="O54" s="96" t="s">
        <v>87</v>
      </c>
      <c r="P54" s="89"/>
      <c r="Q54" s="89"/>
      <c r="R54" s="89"/>
      <c r="S54" s="89"/>
      <c r="T54" s="89"/>
      <c r="U54" s="89"/>
      <c r="V54" s="89"/>
      <c r="W54" s="89"/>
      <c r="X54" s="89"/>
      <c r="Y54" s="89"/>
      <c r="Z54" s="89"/>
    </row>
    <row r="55" spans="1:26">
      <c r="N55" s="95"/>
      <c r="O55" s="96" t="s">
        <v>88</v>
      </c>
      <c r="P55" s="89"/>
      <c r="Q55" s="89"/>
      <c r="R55" s="89"/>
      <c r="S55" s="89"/>
      <c r="T55" s="89"/>
      <c r="U55" s="89"/>
      <c r="V55" s="89"/>
      <c r="W55" s="89"/>
      <c r="X55" s="89"/>
      <c r="Y55" s="89"/>
      <c r="Z55" s="89"/>
    </row>
    <row r="56" spans="1:26">
      <c r="N56" s="95"/>
      <c r="O56" s="96" t="s">
        <v>89</v>
      </c>
      <c r="P56" s="89"/>
      <c r="Q56" s="89"/>
      <c r="R56" s="89"/>
      <c r="S56" s="89"/>
      <c r="T56" s="89"/>
      <c r="U56" s="89"/>
      <c r="V56" s="89"/>
      <c r="W56" s="89"/>
      <c r="X56" s="89"/>
      <c r="Y56" s="89"/>
      <c r="Z56" s="89"/>
    </row>
    <row r="57" spans="1:26">
      <c r="N57" s="95"/>
      <c r="O57" s="96" t="s">
        <v>176</v>
      </c>
      <c r="P57" s="89"/>
      <c r="Q57" s="89"/>
      <c r="R57" s="89"/>
      <c r="S57" s="89"/>
      <c r="T57" s="89"/>
      <c r="U57" s="89"/>
      <c r="V57" s="89"/>
      <c r="W57" s="89"/>
      <c r="X57" s="89"/>
      <c r="Y57" s="89"/>
      <c r="Z57" s="89"/>
    </row>
    <row r="63" spans="1:26">
      <c r="B63" s="103"/>
    </row>
    <row r="84" spans="1:3">
      <c r="A84" s="62"/>
    </row>
    <row r="85" spans="1:3">
      <c r="C85" s="44"/>
    </row>
    <row r="88" spans="1:3">
      <c r="C88" s="44"/>
    </row>
    <row r="93" spans="1:3">
      <c r="A93" s="62"/>
    </row>
    <row r="99" spans="3:3">
      <c r="C99" s="44"/>
    </row>
    <row r="109" spans="3:3">
      <c r="C109" s="44"/>
    </row>
    <row r="116" spans="1:4">
      <c r="C116" s="44"/>
    </row>
    <row r="121" spans="1:4">
      <c r="C121" s="44"/>
      <c r="D121" s="63"/>
    </row>
    <row r="128" spans="1:4">
      <c r="A128" s="64"/>
      <c r="B128" s="64"/>
      <c r="C128" s="65"/>
    </row>
    <row r="141" spans="6:8">
      <c r="F141" s="64"/>
      <c r="G141" s="64"/>
      <c r="H141" s="64"/>
    </row>
  </sheetData>
  <hyperlinks>
    <hyperlink ref="P5" location="INDEX" display="HVO Jet Fuel" xr:uid="{A90BC52B-85C1-6C40-B0AF-FDE7F01F1731}"/>
  </hyperlinks>
  <pageMargins left="0.75" right="0.75" top="1" bottom="1" header="0.5" footer="0.5"/>
  <pageSetup paperSize="9" orientation="portrait" horizontalDpi="4294967292" verticalDpi="429496729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Cover sheet</vt:lpstr>
      <vt:lpstr>Dashboard</vt:lpstr>
      <vt:lpstr>Research data</vt:lpstr>
      <vt:lpstr>Sources</vt:lpstr>
      <vt:lpstr>Notes</vt:lpstr>
    </vt:vector>
  </TitlesOfParts>
  <Company>Quintel Intelligence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Rothengatter</dc:creator>
  <cp:lastModifiedBy>Kyra de Haan</cp:lastModifiedBy>
  <cp:lastPrinted>2015-02-13T09:40:54Z</cp:lastPrinted>
  <dcterms:created xsi:type="dcterms:W3CDTF">2011-10-26T09:05:09Z</dcterms:created>
  <dcterms:modified xsi:type="dcterms:W3CDTF">2025-10-08T12:27:33Z</dcterms:modified>
</cp:coreProperties>
</file>