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energy/energy/"/>
    </mc:Choice>
  </mc:AlternateContent>
  <xr:revisionPtr revIDLastSave="0" documentId="13_ncr:1_{46777010-7B4B-3A45-AD03-AE259D2770A9}" xr6:coauthVersionLast="47" xr6:coauthVersionMax="47" xr10:uidLastSave="{00000000-0000-0000-0000-000000000000}"/>
  <bookViews>
    <workbookView xWindow="-6260" yWindow="-28300" windowWidth="51200" windowHeight="27340" tabRatio="762" activeTab="1"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4" i="12" l="1"/>
  <c r="E15" i="12"/>
  <c r="E13" i="12"/>
  <c r="E34" i="12"/>
  <c r="E19" i="12" l="1"/>
  <c r="D36" i="20"/>
  <c r="H21" i="20"/>
  <c r="E21" i="20"/>
  <c r="D41" i="20" l="1"/>
  <c r="E33" i="20" l="1"/>
  <c r="E40" i="20"/>
  <c r="D22" i="20" s="1"/>
  <c r="E38" i="20"/>
  <c r="E39" i="20"/>
  <c r="E34" i="20"/>
  <c r="D8" i="20"/>
  <c r="E33" i="12" s="1"/>
  <c r="D64" i="20"/>
  <c r="E54" i="20" s="1"/>
  <c r="D65" i="20"/>
  <c r="E55" i="20" s="1"/>
  <c r="D17" i="20" l="1"/>
  <c r="E17" i="20"/>
  <c r="E16" i="12" s="1"/>
  <c r="E41" i="20"/>
  <c r="D66" i="20"/>
  <c r="D20" i="20"/>
  <c r="D21" i="20"/>
  <c r="E56" i="20" l="1"/>
  <c r="D67" i="20"/>
  <c r="E57" i="20" s="1"/>
  <c r="E35" i="20"/>
  <c r="D18" i="20"/>
  <c r="D6" i="20" l="1"/>
  <c r="E12" i="12" s="1"/>
  <c r="E36" i="20"/>
  <c r="E18" i="20"/>
  <c r="E17" i="12" s="1"/>
  <c r="D19" i="20"/>
  <c r="E19" i="20" l="1"/>
  <c r="D55" i="20"/>
  <c r="F55" i="20" s="1"/>
  <c r="D13" i="20" s="1"/>
  <c r="E24" i="12" s="1"/>
  <c r="D54" i="20"/>
  <c r="D56" i="20" l="1"/>
  <c r="F54" i="20"/>
  <c r="D12" i="20" s="1"/>
  <c r="E22" i="12" s="1"/>
  <c r="D57" i="20" l="1"/>
  <c r="F57" i="20" s="1"/>
  <c r="D14" i="20" s="1"/>
  <c r="E25" i="12" s="1"/>
  <c r="F56" i="20"/>
  <c r="D7" i="20" l="1"/>
  <c r="E18" i="12" s="1"/>
</calcChain>
</file>

<file path=xl/sharedStrings.xml><?xml version="1.0" encoding="utf-8"?>
<sst xmlns="http://schemas.openxmlformats.org/spreadsheetml/2006/main" count="207" uniqueCount="147">
  <si>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</si>
  <si>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</si>
  <si>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</si>
  <si>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</si>
  <si>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</si>
  <si>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</si>
  <si>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</si>
  <si>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</si>
  <si>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</si>
  <si>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</si>
  <si>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</si>
  <si>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</si>
  <si>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</si>
  <si>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</si>
  <si>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</si>
  <si>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</si>
  <si>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</si>
  <si>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</si>
  <si>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</si>
  <si>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</si>
  <si>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</si>
  <si>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</si>
  <si>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</si>
  <si>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</si>
  <si>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</si>
  <si>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</si>
  <si>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</si>
  <si>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</si>
  <si>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</si>
  <si>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</si>
  <si>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</si>
  <si>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</si>
  <si>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</si>
  <si>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</si>
  <si>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</si>
  <si>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</si>
  <si>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</si>
  <si>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</si>
  <si>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</si>
  <si>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</si>
  <si>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</si>
  <si>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</si>
  <si>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</si>
  <si>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ETM Library URL</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</si>
  <si>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</si>
  <si>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</si>
  <si>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</si>
  <si>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</si>
  <si>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</si>
  <si>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</si>
  <si>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</si>
  <si>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</si>
  <si>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</si>
  <si>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</si>
  <si>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</si>
  <si>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</si>
  <si>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</si>
  <si>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</si>
  <si>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</si>
  <si>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</si>
  <si>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</si>
  <si>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</si>
  <si>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</si>
  <si>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</si>
  <si>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</si>
  <si>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</si>
  <si>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</si>
  <si>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t>
  </si>
  <si>
    <t>Subject</t>
  </si>
  <si>
    <t>Investment</t>
  </si>
  <si>
    <t>Full load hours</t>
  </si>
  <si>
    <t>Technical lifetime</t>
  </si>
  <si>
    <t>MW</t>
  </si>
  <si>
    <t>hours</t>
  </si>
  <si>
    <t>All specs</t>
  </si>
  <si>
    <t>NL</t>
  </si>
  <si>
    <t>TNO - Energy.nl</t>
  </si>
  <si>
    <t>Original</t>
  </si>
  <si>
    <t>loss</t>
  </si>
  <si>
    <t>Converted to output for 1 PJ input</t>
  </si>
  <si>
    <t>Output</t>
  </si>
  <si>
    <t>Input</t>
  </si>
  <si>
    <t>Plant specs</t>
  </si>
  <si>
    <t>y</t>
  </si>
  <si>
    <t>Fixed O&amp;M</t>
  </si>
  <si>
    <t>Variable O&amp;M</t>
  </si>
  <si>
    <t>€/y</t>
  </si>
  <si>
    <t>h</t>
  </si>
  <si>
    <t>€/flh</t>
  </si>
  <si>
    <t>Overview</t>
  </si>
  <si>
    <t>euro/y</t>
  </si>
  <si>
    <t>Input/output</t>
  </si>
  <si>
    <t>Input capacity</t>
  </si>
  <si>
    <t>See https://docs.energytransitionmodel.com/main/cost-wacc/</t>
  </si>
  <si>
    <t>Kyra de Haan</t>
  </si>
  <si>
    <t>ccs_investment</t>
  </si>
  <si>
    <t>availability</t>
  </si>
  <si>
    <t>Pyrolysis oil production</t>
  </si>
  <si>
    <t>Production of pyrolysis bio-oil from solid biomass via fast pyrolysis</t>
  </si>
  <si>
    <t>https://energy.nl/data/production-of-pyrolysis-bio-oil-from-solid-biomass-via-fast-pyrolysis/</t>
  </si>
  <si>
    <t>Pyrolysis oil upgrade</t>
  </si>
  <si>
    <t>Upgrade of pyrolysis bio-oil from fast pyrolysis to biofuels</t>
  </si>
  <si>
    <t>https://energy.nl/data/upgrade-of-pyrolysis-bio-oil-from-fast-pyrolysis-to-biofuels/</t>
  </si>
  <si>
    <t>Pyrolysis oil production from energy.nl:</t>
  </si>
  <si>
    <t>steam</t>
  </si>
  <si>
    <t>MWth</t>
  </si>
  <si>
    <t>values for 'current' are taken, lower costs in 2030 are expected to be insignificant compared to inflation effect from 2015 unitl now</t>
  </si>
  <si>
    <t>pyrolysis oil</t>
  </si>
  <si>
    <t>hydrogen</t>
  </si>
  <si>
    <t>Plant size (output)</t>
  </si>
  <si>
    <t>Construction period</t>
  </si>
  <si>
    <t>Pyrolysis oil fractionation, from energy.nl:</t>
  </si>
  <si>
    <t>based on energy.nl</t>
  </si>
  <si>
    <t>Costs</t>
  </si>
  <si>
    <t>pyrolysis + fractionation</t>
  </si>
  <si>
    <t>pyrolysis</t>
  </si>
  <si>
    <t>fractionation</t>
  </si>
  <si>
    <t>Costs for pyrolysis process are deducted from this, also found in factsheet of energy.nl, see below</t>
  </si>
  <si>
    <t>Plant specs for pyrolysis only</t>
  </si>
  <si>
    <t>Plant size</t>
  </si>
  <si>
    <t>input.pyrolysis_oil</t>
  </si>
  <si>
    <t>input.hydrogen</t>
  </si>
  <si>
    <t>input.steam_hot_water</t>
  </si>
  <si>
    <t>value</t>
  </si>
  <si>
    <t>input values slightly tweaked to get the same ratio pyrolysis oil / steam hot water as pyrolysis process</t>
  </si>
  <si>
    <t>ratio</t>
  </si>
  <si>
    <t>corrected value</t>
  </si>
  <si>
    <t>naphtha</t>
  </si>
  <si>
    <t>In- and output fractions</t>
  </si>
  <si>
    <t xml:space="preserve">Note that costs from energy.nl include both pyrolysis and hydrotreating system to final products. </t>
  </si>
  <si>
    <t>total</t>
  </si>
  <si>
    <t>output.naphtha</t>
  </si>
  <si>
    <t>copied from energy_production_pyrolysis_non_biogenic_waste</t>
  </si>
  <si>
    <t>energy.nl (TNO)</t>
  </si>
  <si>
    <t>energy.nl (TNO), CTM and export from Kalavasta</t>
  </si>
  <si>
    <t>No CCS</t>
  </si>
  <si>
    <t>No data, assumed zero</t>
  </si>
  <si>
    <t>Quintel assumption</t>
  </si>
  <si>
    <t>energy_production_fractionation_pyrolysis_oil</t>
  </si>
  <si>
    <t>Based on specs from energy.nl and output of the CTM</t>
  </si>
  <si>
    <t>energy.nl assumes that output of biofuels is composed of diesel and gasoline</t>
  </si>
  <si>
    <t>The CTM focusees on output of kerosene and naphtha, as these are considered to be more relevant fuels in the future.</t>
  </si>
  <si>
    <t>According to an expert from Kalavasta (maintainer of the CTM), the output of gasoline (which is reported in specs from energy.nl) can be considered a product with carbon range similar to gasoline, but this can also be considered as naphtha</t>
  </si>
  <si>
    <t>Output fractions per process, exported from the CTM (via client) on 28-10-2025:</t>
  </si>
  <si>
    <t>kerosene</t>
  </si>
  <si>
    <t>output.kerosene</t>
  </si>
  <si>
    <t>Therefore, the output fractions are aligned with the output fractions from the CTM (see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</si>
</sst>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00"/>
    <numFmt numFmtId="166" formatCode="0.0000"/>
    <numFmt numFmtId="167" formatCode="[$-413]mmm\-yy;@"/>
    <numFmt numFmtId="168" formatCode="_ * #,##0_ ;_ * \-#,##0_ ;_ * &quot;-&quot;??_ ;_ @_ "/>
  </numFmts>
  <fonts count="47">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b/>
      <sz val="8"/>
      <name val="Calibri"/>
      <family val="2"/>
    </font>
    <font>
      <b/>
      <sz val="8"/>
      <name val="Calibri"/>
      <family val="2"/>
      <scheme val="minor"/>
    </font>
    <font>
      <sz val="8"/>
      <color theme="1"/>
      <name val="Calibri"/>
      <family val="2"/>
      <scheme val="minor"/>
    </font>
    <font>
      <sz val="8"/>
      <color theme="1"/>
      <name val="Calibri"/>
      <family val="2"/>
    </font>
    <font>
      <u/>
      <sz val="12"/>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499">
    <xf numFmtId="0" fontId="0" fillId="0" borderId="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3"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43" fontId="36" fillId="0" borderId="0" applyFont="0" applyFill="0" applyBorder="0" applyAlignment="0" applyProtection="0"/>
    <xf numFmtId="0" fontId="21" fillId="0" borderId="0" applyNumberFormat="0" applyFill="0" applyBorder="0" applyAlignment="0" applyProtection="0"/>
    <xf numFmtId="9" fontId="36" fillId="0" borderId="0" applyFont="0" applyFill="0" applyBorder="0" applyAlignment="0" applyProtection="0"/>
  </cellStyleXfs>
  <cellXfs count="166">
    <xf numFmtId="0" fontId="0" fillId="0" borderId="0" xfId="0"/>
    <xf numFmtId="0" fontId="24" fillId="3" borderId="7" xfId="0" applyFont="1" applyFill="1" applyBorder="1"/>
    <xf numFmtId="0" fontId="25" fillId="3" borderId="17" xfId="0" applyFont="1" applyFill="1" applyBorder="1"/>
    <xf numFmtId="0" fontId="24" fillId="3" borderId="13" xfId="0" applyFont="1" applyFill="1" applyBorder="1"/>
    <xf numFmtId="0" fontId="26" fillId="3" borderId="7" xfId="0" applyFont="1" applyFill="1" applyBorder="1" applyAlignment="1">
      <alignment vertical="center"/>
    </xf>
    <xf numFmtId="49" fontId="24" fillId="2" borderId="8" xfId="0" applyNumberFormat="1" applyFont="1" applyFill="1" applyBorder="1" applyAlignment="1">
      <alignment horizontal="left"/>
    </xf>
    <xf numFmtId="0" fontId="26" fillId="3" borderId="1" xfId="0" applyFont="1" applyFill="1" applyBorder="1" applyAlignment="1">
      <alignment vertical="center"/>
    </xf>
    <xf numFmtId="0" fontId="24" fillId="3" borderId="14" xfId="0" applyFont="1" applyFill="1" applyBorder="1"/>
    <xf numFmtId="0" fontId="24" fillId="3" borderId="0" xfId="0" applyFont="1" applyFill="1"/>
    <xf numFmtId="0" fontId="23" fillId="2" borderId="0" xfId="0" applyFont="1" applyFill="1"/>
    <xf numFmtId="0" fontId="23" fillId="2" borderId="5" xfId="0" applyFont="1" applyFill="1" applyBorder="1"/>
    <xf numFmtId="0" fontId="23" fillId="2" borderId="9" xfId="0" applyFont="1" applyFill="1" applyBorder="1"/>
    <xf numFmtId="0" fontId="23" fillId="0" borderId="9" xfId="0" applyFont="1" applyBorder="1"/>
    <xf numFmtId="0" fontId="25" fillId="0" borderId="9" xfId="0" applyFont="1" applyBorder="1"/>
    <xf numFmtId="49" fontId="23" fillId="2" borderId="0" xfId="0" applyNumberFormat="1" applyFont="1" applyFill="1"/>
    <xf numFmtId="49" fontId="23" fillId="2" borderId="9" xfId="0" applyNumberFormat="1" applyFont="1" applyFill="1" applyBorder="1"/>
    <xf numFmtId="0" fontId="23" fillId="2" borderId="4" xfId="0" applyFont="1" applyFill="1" applyBorder="1"/>
    <xf numFmtId="0" fontId="20" fillId="2" borderId="0" xfId="0" applyFont="1" applyFill="1"/>
    <xf numFmtId="0" fontId="24" fillId="0" borderId="0" xfId="0" applyFont="1"/>
    <xf numFmtId="0" fontId="23" fillId="0" borderId="16" xfId="0" applyFont="1" applyBorder="1"/>
    <xf numFmtId="0" fontId="23" fillId="2" borderId="6" xfId="0" applyFont="1" applyFill="1" applyBorder="1"/>
    <xf numFmtId="0" fontId="24" fillId="3" borderId="17" xfId="0" applyFont="1" applyFill="1" applyBorder="1"/>
    <xf numFmtId="0" fontId="24" fillId="3" borderId="2" xfId="0" applyFont="1" applyFill="1" applyBorder="1"/>
    <xf numFmtId="0" fontId="20" fillId="2" borderId="2" xfId="0" applyFont="1" applyFill="1" applyBorder="1"/>
    <xf numFmtId="0" fontId="27" fillId="3" borderId="0" xfId="0" applyFont="1" applyFill="1"/>
    <xf numFmtId="0" fontId="20" fillId="2" borderId="7" xfId="0" applyFont="1" applyFill="1" applyBorder="1"/>
    <xf numFmtId="0" fontId="25" fillId="3" borderId="0" xfId="0" applyFont="1" applyFill="1"/>
    <xf numFmtId="0" fontId="19" fillId="2" borderId="0" xfId="0" applyFont="1" applyFill="1"/>
    <xf numFmtId="0" fontId="19" fillId="2" borderId="3" xfId="0" applyFont="1" applyFill="1" applyBorder="1"/>
    <xf numFmtId="0" fontId="19" fillId="2" borderId="15" xfId="0" applyFont="1" applyFill="1" applyBorder="1"/>
    <xf numFmtId="0" fontId="19" fillId="0" borderId="0" xfId="0" applyFont="1"/>
    <xf numFmtId="0" fontId="19" fillId="2" borderId="6" xfId="0" applyFont="1" applyFill="1" applyBorder="1"/>
    <xf numFmtId="164" fontId="19" fillId="2" borderId="18" xfId="0" applyNumberFormat="1" applyFont="1" applyFill="1" applyBorder="1"/>
    <xf numFmtId="0" fontId="18" fillId="2" borderId="0" xfId="0" applyFont="1" applyFill="1"/>
    <xf numFmtId="0" fontId="18" fillId="2" borderId="3" xfId="0" applyFont="1" applyFill="1" applyBorder="1"/>
    <xf numFmtId="0" fontId="18" fillId="2" borderId="4" xfId="0" applyFont="1" applyFill="1" applyBorder="1"/>
    <xf numFmtId="0" fontId="18" fillId="2" borderId="6" xfId="0" applyFont="1" applyFill="1" applyBorder="1"/>
    <xf numFmtId="49" fontId="18" fillId="2" borderId="0" xfId="0" applyNumberFormat="1" applyFont="1" applyFill="1"/>
    <xf numFmtId="49" fontId="18" fillId="2" borderId="4" xfId="0" applyNumberFormat="1" applyFont="1" applyFill="1" applyBorder="1"/>
    <xf numFmtId="0" fontId="18" fillId="2" borderId="16" xfId="0" applyFont="1" applyFill="1" applyBorder="1"/>
    <xf numFmtId="0" fontId="28" fillId="2" borderId="0" xfId="0" applyFont="1" applyFill="1"/>
    <xf numFmtId="0" fontId="28" fillId="2" borderId="3" xfId="0" applyFont="1" applyFill="1" applyBorder="1"/>
    <xf numFmtId="0" fontId="28" fillId="2" borderId="4" xfId="0" applyFont="1" applyFill="1" applyBorder="1"/>
    <xf numFmtId="0" fontId="28" fillId="2" borderId="15" xfId="0" applyFont="1" applyFill="1" applyBorder="1"/>
    <xf numFmtId="0" fontId="29" fillId="2" borderId="0" xfId="0" applyFont="1" applyFill="1"/>
    <xf numFmtId="0" fontId="28" fillId="2" borderId="9" xfId="0" applyFont="1" applyFill="1" applyBorder="1"/>
    <xf numFmtId="0" fontId="29" fillId="2" borderId="9" xfId="0" applyFont="1" applyFill="1" applyBorder="1"/>
    <xf numFmtId="0" fontId="23" fillId="2" borderId="17" xfId="0" applyFont="1" applyFill="1" applyBorder="1"/>
    <xf numFmtId="0" fontId="17" fillId="2" borderId="2" xfId="0" applyFont="1" applyFill="1" applyBorder="1"/>
    <xf numFmtId="0" fontId="23" fillId="2" borderId="7" xfId="0" applyFont="1" applyFill="1" applyBorder="1"/>
    <xf numFmtId="0" fontId="17" fillId="2" borderId="0" xfId="0" applyFont="1" applyFill="1"/>
    <xf numFmtId="0" fontId="30" fillId="2" borderId="0" xfId="0" applyFont="1" applyFill="1"/>
    <xf numFmtId="0" fontId="17" fillId="2" borderId="18" xfId="0" applyFont="1" applyFill="1" applyBorder="1"/>
    <xf numFmtId="0" fontId="17" fillId="4" borderId="0" xfId="0" applyFont="1" applyFill="1"/>
    <xf numFmtId="0" fontId="17" fillId="5" borderId="0" xfId="0" applyFont="1" applyFill="1"/>
    <xf numFmtId="0" fontId="17" fillId="6" borderId="0" xfId="0" applyFont="1" applyFill="1"/>
    <xf numFmtId="0" fontId="17" fillId="7" borderId="0" xfId="0" applyFont="1" applyFill="1"/>
    <xf numFmtId="0" fontId="17" fillId="2" borderId="7" xfId="0" applyFont="1" applyFill="1" applyBorder="1"/>
    <xf numFmtId="0" fontId="17" fillId="8" borderId="0" xfId="0" applyFont="1" applyFill="1"/>
    <xf numFmtId="0" fontId="17" fillId="9" borderId="0" xfId="0" applyFont="1" applyFill="1"/>
    <xf numFmtId="0" fontId="17" fillId="10" borderId="0" xfId="0" applyFont="1" applyFill="1"/>
    <xf numFmtId="0" fontId="17" fillId="11" borderId="0" xfId="0" applyFont="1" applyFill="1"/>
    <xf numFmtId="0" fontId="23" fillId="2" borderId="19" xfId="0" applyFont="1" applyFill="1" applyBorder="1"/>
    <xf numFmtId="0" fontId="19" fillId="2" borderId="5" xfId="0" applyFont="1" applyFill="1" applyBorder="1"/>
    <xf numFmtId="0" fontId="24" fillId="2" borderId="0" xfId="0" applyFont="1" applyFill="1"/>
    <xf numFmtId="0" fontId="29" fillId="2" borderId="16" xfId="0" applyFont="1" applyFill="1" applyBorder="1"/>
    <xf numFmtId="0" fontId="28" fillId="2" borderId="19" xfId="0" applyFont="1" applyFill="1" applyBorder="1"/>
    <xf numFmtId="0" fontId="16" fillId="0" borderId="0" xfId="0" applyFont="1"/>
    <xf numFmtId="0" fontId="16" fillId="2" borderId="0" xfId="0" applyFont="1" applyFill="1"/>
    <xf numFmtId="0" fontId="16" fillId="2" borderId="6" xfId="0" applyFont="1" applyFill="1" applyBorder="1"/>
    <xf numFmtId="0" fontId="16" fillId="2" borderId="5" xfId="0" applyFont="1" applyFill="1" applyBorder="1"/>
    <xf numFmtId="164" fontId="16" fillId="2" borderId="18" xfId="0" applyNumberFormat="1" applyFont="1" applyFill="1" applyBorder="1"/>
    <xf numFmtId="164" fontId="16" fillId="2" borderId="0" xfId="0" applyNumberFormat="1" applyFont="1" applyFill="1"/>
    <xf numFmtId="0" fontId="16" fillId="2" borderId="10" xfId="0" applyFont="1" applyFill="1" applyBorder="1"/>
    <xf numFmtId="0" fontId="16" fillId="2" borderId="11" xfId="0" applyFont="1" applyFill="1" applyBorder="1"/>
    <xf numFmtId="0" fontId="16" fillId="2" borderId="12" xfId="0" applyFont="1" applyFill="1" applyBorder="1"/>
    <xf numFmtId="1" fontId="28" fillId="2" borderId="0" xfId="0" applyNumberFormat="1" applyFont="1" applyFill="1"/>
    <xf numFmtId="166" fontId="19" fillId="2" borderId="6" xfId="0" applyNumberFormat="1" applyFont="1" applyFill="1" applyBorder="1"/>
    <xf numFmtId="166" fontId="16" fillId="0" borderId="0" xfId="0" applyNumberFormat="1" applyFont="1"/>
    <xf numFmtId="166" fontId="24" fillId="0" borderId="0" xfId="0" applyNumberFormat="1" applyFont="1"/>
    <xf numFmtId="166" fontId="19" fillId="0" borderId="0" xfId="0" applyNumberFormat="1" applyFont="1"/>
    <xf numFmtId="166" fontId="19" fillId="2" borderId="5" xfId="0" applyNumberFormat="1" applyFont="1" applyFill="1" applyBorder="1"/>
    <xf numFmtId="166" fontId="15" fillId="0" borderId="0" xfId="0" applyNumberFormat="1" applyFont="1"/>
    <xf numFmtId="0" fontId="15" fillId="0" borderId="0" xfId="0" applyFont="1"/>
    <xf numFmtId="166" fontId="14" fillId="0" borderId="0" xfId="0" applyNumberFormat="1" applyFont="1"/>
    <xf numFmtId="0" fontId="13" fillId="0" borderId="0" xfId="0" applyFont="1"/>
    <xf numFmtId="0" fontId="31" fillId="12" borderId="18" xfId="0" applyFont="1" applyFill="1" applyBorder="1"/>
    <xf numFmtId="0" fontId="12" fillId="2" borderId="0" xfId="0" applyFont="1" applyFill="1" applyAlignment="1">
      <alignment vertical="center"/>
    </xf>
    <xf numFmtId="0" fontId="12" fillId="2" borderId="6" xfId="0" applyFont="1" applyFill="1" applyBorder="1" applyAlignment="1">
      <alignment vertical="center"/>
    </xf>
    <xf numFmtId="0" fontId="12" fillId="0" borderId="0" xfId="0" applyFont="1" applyAlignment="1">
      <alignment vertical="center"/>
    </xf>
    <xf numFmtId="0" fontId="24" fillId="0" borderId="0" xfId="0" applyFont="1" applyAlignment="1">
      <alignment vertical="center"/>
    </xf>
    <xf numFmtId="0" fontId="12" fillId="2" borderId="5" xfId="0" applyFont="1" applyFill="1" applyBorder="1" applyAlignment="1">
      <alignment vertical="center"/>
    </xf>
    <xf numFmtId="164" fontId="12" fillId="2" borderId="18" xfId="0" applyNumberFormat="1" applyFont="1" applyFill="1" applyBorder="1"/>
    <xf numFmtId="0" fontId="34" fillId="2" borderId="0" xfId="0" applyFont="1" applyFill="1" applyAlignment="1">
      <alignment vertical="center"/>
    </xf>
    <xf numFmtId="0" fontId="23" fillId="2" borderId="6" xfId="0" applyFont="1" applyFill="1" applyBorder="1" applyAlignment="1">
      <alignment vertical="center"/>
    </xf>
    <xf numFmtId="2" fontId="12" fillId="2" borderId="18" xfId="0" applyNumberFormat="1" applyFont="1" applyFill="1" applyBorder="1" applyAlignment="1">
      <alignment vertical="center"/>
    </xf>
    <xf numFmtId="0" fontId="23" fillId="0" borderId="0" xfId="0" applyFont="1" applyAlignment="1">
      <alignment vertical="center"/>
    </xf>
    <xf numFmtId="0" fontId="34" fillId="2" borderId="5" xfId="0" applyFont="1" applyFill="1" applyBorder="1" applyAlignment="1">
      <alignment vertical="center"/>
    </xf>
    <xf numFmtId="0" fontId="29" fillId="2" borderId="6" xfId="0" applyFont="1" applyFill="1" applyBorder="1"/>
    <xf numFmtId="2" fontId="28" fillId="2" borderId="0" xfId="0" applyNumberFormat="1" applyFont="1" applyFill="1"/>
    <xf numFmtId="0" fontId="29" fillId="2" borderId="7" xfId="0" applyFont="1" applyFill="1" applyBorder="1"/>
    <xf numFmtId="165" fontId="28" fillId="2" borderId="0" xfId="0" applyNumberFormat="1" applyFont="1" applyFill="1"/>
    <xf numFmtId="2" fontId="16" fillId="2" borderId="18" xfId="0" applyNumberFormat="1" applyFont="1" applyFill="1" applyBorder="1"/>
    <xf numFmtId="167" fontId="11" fillId="2" borderId="0" xfId="0" applyNumberFormat="1" applyFont="1" applyFill="1"/>
    <xf numFmtId="0" fontId="35" fillId="2" borderId="0" xfId="0" applyFont="1" applyFill="1"/>
    <xf numFmtId="0" fontId="10" fillId="2" borderId="0" xfId="0" applyFont="1" applyFill="1"/>
    <xf numFmtId="0" fontId="37" fillId="2" borderId="0" xfId="0" applyFont="1" applyFill="1"/>
    <xf numFmtId="0" fontId="21" fillId="2" borderId="0" xfId="497" applyFill="1"/>
    <xf numFmtId="168" fontId="28" fillId="2" borderId="0" xfId="496" applyNumberFormat="1" applyFont="1" applyFill="1"/>
    <xf numFmtId="168" fontId="28" fillId="2" borderId="0" xfId="0" applyNumberFormat="1" applyFont="1" applyFill="1"/>
    <xf numFmtId="0" fontId="9" fillId="2" borderId="18" xfId="0" applyFont="1" applyFill="1" applyBorder="1"/>
    <xf numFmtId="0" fontId="8" fillId="0" borderId="0" xfId="0" applyFont="1"/>
    <xf numFmtId="0" fontId="7" fillId="0" borderId="0" xfId="0" applyFont="1" applyAlignment="1">
      <alignment vertical="center"/>
    </xf>
    <xf numFmtId="0" fontId="6" fillId="2" borderId="0" xfId="0" applyFont="1" applyFill="1"/>
    <xf numFmtId="0" fontId="5" fillId="2" borderId="0" xfId="0" applyFont="1" applyFill="1"/>
    <xf numFmtId="167" fontId="5" fillId="2" borderId="0" xfId="0" applyNumberFormat="1" applyFont="1" applyFill="1"/>
    <xf numFmtId="49" fontId="21" fillId="2" borderId="0" xfId="497" applyNumberFormat="1" applyFill="1"/>
    <xf numFmtId="0" fontId="46" fillId="2" borderId="0" xfId="0" applyFont="1" applyFill="1"/>
    <xf numFmtId="0" fontId="5" fillId="0" borderId="0" xfId="0" applyFont="1" applyAlignment="1">
      <alignment vertical="center"/>
    </xf>
    <xf numFmtId="165" fontId="12" fillId="2" borderId="18" xfId="0" applyNumberFormat="1" applyFont="1" applyFill="1" applyBorder="1" applyAlignment="1">
      <alignment vertical="center"/>
    </xf>
    <xf numFmtId="0" fontId="4" fillId="2" borderId="0" xfId="0" applyFont="1" applyFill="1"/>
    <xf numFmtId="0" fontId="38" fillId="2" borderId="0" xfId="0" applyFont="1" applyFill="1" applyAlignment="1">
      <alignment horizontal="left" vertical="top"/>
    </xf>
    <xf numFmtId="0" fontId="39" fillId="2" borderId="0" xfId="0" applyFont="1" applyFill="1" applyAlignment="1">
      <alignment horizontal="left" vertical="top"/>
    </xf>
    <xf numFmtId="0" fontId="40" fillId="2" borderId="0" xfId="497" applyFont="1" applyFill="1" applyBorder="1" applyAlignment="1" applyProtection="1">
      <alignment horizontal="center" vertical="top" wrapText="1"/>
    </xf>
    <xf numFmtId="0" fontId="41" fillId="2" borderId="0" xfId="0" applyFont="1" applyFill="1" applyAlignment="1">
      <alignment horizontal="center" vertical="top" wrapText="1"/>
    </xf>
    <xf numFmtId="0" fontId="41" fillId="2" borderId="0" xfId="0" applyFont="1" applyFill="1" applyAlignment="1">
      <alignment horizontal="right" vertical="top"/>
    </xf>
    <xf numFmtId="0" fontId="42" fillId="2" borderId="0" xfId="0" applyFont="1" applyFill="1" applyAlignment="1">
      <alignment horizontal="right" vertical="top"/>
    </xf>
    <xf numFmtId="0" fontId="41" fillId="2" borderId="0" xfId="0" applyFont="1" applyFill="1" applyAlignment="1">
      <alignment horizontal="center" vertical="top"/>
    </xf>
    <xf numFmtId="0" fontId="43" fillId="2" borderId="0" xfId="0" applyFont="1" applyFill="1" applyAlignment="1">
      <alignment horizontal="right" vertical="top"/>
    </xf>
    <xf numFmtId="0" fontId="44" fillId="2" borderId="0" xfId="0" applyFont="1" applyFill="1" applyAlignment="1">
      <alignment horizontal="center" vertical="top"/>
    </xf>
    <xf numFmtId="0" fontId="44" fillId="2" borderId="0" xfId="0" applyFont="1" applyFill="1" applyAlignment="1">
      <alignment horizontal="right" vertical="top"/>
    </xf>
    <xf numFmtId="0" fontId="41" fillId="2" borderId="0" xfId="0" applyFont="1" applyFill="1" applyAlignment="1">
      <alignment horizontal="left" vertical="top"/>
    </xf>
    <xf numFmtId="0" fontId="44" fillId="2" borderId="0" xfId="0" applyFont="1" applyFill="1" applyAlignment="1">
      <alignment horizontal="left" vertical="top"/>
    </xf>
    <xf numFmtId="0" fontId="45" fillId="2" borderId="0" xfId="0" applyFont="1" applyFill="1" applyAlignment="1">
      <alignment horizontal="right" vertical="top"/>
    </xf>
    <xf numFmtId="0" fontId="40" fillId="2" borderId="0" xfId="0" applyFont="1" applyFill="1" applyAlignment="1">
      <alignment horizontal="right" vertical="top"/>
    </xf>
    <xf numFmtId="9" fontId="45" fillId="2" borderId="0" xfId="498" applyFont="1" applyFill="1" applyBorder="1" applyAlignment="1">
      <alignment horizontal="right" vertical="top"/>
    </xf>
    <xf numFmtId="9" fontId="45" fillId="2" borderId="0" xfId="0" applyNumberFormat="1" applyFont="1" applyFill="1" applyAlignment="1">
      <alignment horizontal="right" vertical="top"/>
    </xf>
    <xf numFmtId="164" fontId="45" fillId="2" borderId="0" xfId="0" applyNumberFormat="1" applyFont="1" applyFill="1" applyAlignment="1">
      <alignment horizontal="right" vertical="top"/>
    </xf>
    <xf numFmtId="164" fontId="40" fillId="2" borderId="0" xfId="0" applyNumberFormat="1" applyFont="1" applyFill="1" applyAlignment="1">
      <alignment horizontal="right" vertical="top"/>
    </xf>
    <xf numFmtId="1" fontId="45" fillId="2" borderId="0" xfId="0" applyNumberFormat="1" applyFont="1" applyFill="1" applyAlignment="1">
      <alignment horizontal="right" vertical="top"/>
    </xf>
    <xf numFmtId="1" fontId="40" fillId="2" borderId="0" xfId="0" applyNumberFormat="1" applyFont="1" applyFill="1" applyAlignment="1">
      <alignment horizontal="right" vertical="top"/>
    </xf>
    <xf numFmtId="165" fontId="40" fillId="2" borderId="0" xfId="0" applyNumberFormat="1" applyFont="1" applyFill="1" applyAlignment="1">
      <alignment horizontal="right" vertical="top"/>
    </xf>
    <xf numFmtId="165" fontId="45" fillId="2" borderId="0" xfId="0" applyNumberFormat="1" applyFont="1" applyFill="1" applyAlignment="1">
      <alignment horizontal="right" vertical="top"/>
    </xf>
    <xf numFmtId="2" fontId="45" fillId="2" borderId="0" xfId="0" applyNumberFormat="1" applyFont="1" applyFill="1" applyAlignment="1">
      <alignment horizontal="right" vertical="top"/>
    </xf>
    <xf numFmtId="2" fontId="40" fillId="2" borderId="0" xfId="0" applyNumberFormat="1" applyFont="1" applyFill="1" applyAlignment="1">
      <alignment horizontal="right" vertical="top"/>
    </xf>
    <xf numFmtId="0" fontId="44" fillId="2" borderId="0" xfId="0" applyFont="1" applyFill="1"/>
    <xf numFmtId="165" fontId="44" fillId="2" borderId="0" xfId="0" applyNumberFormat="1" applyFont="1" applyFill="1"/>
    <xf numFmtId="9" fontId="44" fillId="2" borderId="0" xfId="0" applyNumberFormat="1" applyFont="1" applyFill="1"/>
    <xf numFmtId="0" fontId="44" fillId="2" borderId="0" xfId="0" applyFont="1" applyFill="1" applyAlignment="1">
      <alignment horizontal="center"/>
    </xf>
    <xf numFmtId="0" fontId="40" fillId="2" borderId="0" xfId="0" applyFont="1" applyFill="1" applyAlignment="1">
      <alignment horizontal="left" vertical="center"/>
    </xf>
    <xf numFmtId="0" fontId="45" fillId="2" borderId="0" xfId="0" applyFont="1" applyFill="1"/>
    <xf numFmtId="0" fontId="45" fillId="2" borderId="0" xfId="0" applyFont="1" applyFill="1" applyAlignment="1">
      <alignment horizontal="left" vertical="center"/>
    </xf>
    <xf numFmtId="0" fontId="3" fillId="0" borderId="0" xfId="0" applyFont="1"/>
    <xf numFmtId="0" fontId="3" fillId="2" borderId="18" xfId="0" applyFont="1" applyFill="1" applyBorder="1" applyAlignment="1">
      <alignment vertical="center"/>
    </xf>
    <xf numFmtId="166" fontId="3" fillId="2" borderId="18" xfId="0" applyNumberFormat="1" applyFont="1" applyFill="1" applyBorder="1"/>
    <xf numFmtId="0" fontId="3" fillId="2" borderId="18" xfId="0" applyFont="1" applyFill="1" applyBorder="1"/>
    <xf numFmtId="0" fontId="2" fillId="0" borderId="0" xfId="0" applyFont="1"/>
    <xf numFmtId="0" fontId="31" fillId="12" borderId="17" xfId="0" applyFont="1" applyFill="1" applyBorder="1" applyAlignment="1">
      <alignment horizontal="left" vertical="top" wrapText="1"/>
    </xf>
    <xf numFmtId="0" fontId="31" fillId="12" borderId="2" xfId="0" applyFont="1" applyFill="1" applyBorder="1" applyAlignment="1">
      <alignment horizontal="left" vertical="top" wrapText="1"/>
    </xf>
    <xf numFmtId="0" fontId="31" fillId="12" borderId="13" xfId="0" applyFont="1" applyFill="1" applyBorder="1" applyAlignment="1">
      <alignment horizontal="left" vertical="top" wrapText="1"/>
    </xf>
    <xf numFmtId="0" fontId="31" fillId="12" borderId="7" xfId="0" applyFont="1" applyFill="1" applyBorder="1" applyAlignment="1">
      <alignment horizontal="left" vertical="top" wrapText="1"/>
    </xf>
    <xf numFmtId="0" fontId="31" fillId="12" borderId="0" xfId="0" applyFont="1" applyFill="1" applyAlignment="1">
      <alignment horizontal="left" vertical="top" wrapText="1"/>
    </xf>
    <xf numFmtId="0" fontId="31" fillId="12" borderId="8" xfId="0" applyFont="1" applyFill="1" applyBorder="1" applyAlignment="1">
      <alignment horizontal="left" vertical="top" wrapText="1"/>
    </xf>
    <xf numFmtId="0" fontId="31" fillId="12" borderId="1" xfId="0" applyFont="1" applyFill="1" applyBorder="1" applyAlignment="1">
      <alignment horizontal="left" vertical="top" wrapText="1"/>
    </xf>
    <xf numFmtId="0" fontId="31" fillId="12" borderId="9" xfId="0" applyFont="1" applyFill="1" applyBorder="1" applyAlignment="1">
      <alignment horizontal="left" vertical="top" wrapText="1"/>
    </xf>
    <xf numFmtId="0" fontId="31" fillId="12" borderId="14" xfId="0" applyFont="1" applyFill="1" applyBorder="1" applyAlignment="1">
      <alignment horizontal="left" vertical="top" wrapText="1"/>
    </xf>
  </cellXfs>
  <cellStyles count="499">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8"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13</xdr:col>
      <xdr:colOff>10160</xdr:colOff>
      <xdr:row>134</xdr:row>
      <xdr:rowOff>30480</xdr:rowOff>
    </xdr:from>
    <xdr:to>
      <xdr:col>18</xdr:col>
      <xdr:colOff>234149</xdr:colOff>
      <xdr:row>136</xdr:row>
      <xdr:rowOff>67997</xdr:rowOff>
    </xdr:to>
    <xdr:pic>
      <xdr:nvPicPr>
        <xdr:cNvPr id="10" name="Picture 9">
          <a:extLst>
            <a:ext uri="{FF2B5EF4-FFF2-40B4-BE49-F238E27FC236}">
              <a16:creationId xmlns:a16="http://schemas.microsoft.com/office/drawing/2014/main" id="{181D51DF-445B-B248-B9E2-64126A8865C9}"/>
            </a:ext>
          </a:extLst>
        </xdr:cNvPr>
        <xdr:cNvPicPr>
          <a:picLocks noChangeAspect="1"/>
        </xdr:cNvPicPr>
      </xdr:nvPicPr>
      <xdr:blipFill>
        <a:blip xmlns:r="http://schemas.openxmlformats.org/officeDocument/2006/relationships" r:embed="rId1"/>
        <a:stretch>
          <a:fillRect/>
        </a:stretch>
      </xdr:blipFill>
      <xdr:spPr>
        <a:xfrm>
          <a:off x="16235680" y="27035760"/>
          <a:ext cx="7752549" cy="443919"/>
        </a:xfrm>
        <a:prstGeom prst="rect">
          <a:avLst/>
        </a:prstGeom>
      </xdr:spPr>
    </xdr:pic>
    <xdr:clientData/>
  </xdr:twoCellAnchor>
  <xdr:twoCellAnchor editAs="oneCell">
    <xdr:from>
      <xdr:col>13</xdr:col>
      <xdr:colOff>10160</xdr:colOff>
      <xdr:row>137</xdr:row>
      <xdr:rowOff>30480</xdr:rowOff>
    </xdr:from>
    <xdr:to>
      <xdr:col>20</xdr:col>
      <xdr:colOff>69775</xdr:colOff>
      <xdr:row>147</xdr:row>
      <xdr:rowOff>96521</xdr:rowOff>
    </xdr:to>
    <xdr:pic>
      <xdr:nvPicPr>
        <xdr:cNvPr id="11" name="Picture 10">
          <a:extLst>
            <a:ext uri="{FF2B5EF4-FFF2-40B4-BE49-F238E27FC236}">
              <a16:creationId xmlns:a16="http://schemas.microsoft.com/office/drawing/2014/main" id="{2A877561-6880-5A4C-968E-75D3B3795D1B}"/>
            </a:ext>
          </a:extLst>
        </xdr:cNvPr>
        <xdr:cNvPicPr>
          <a:picLocks noChangeAspect="1"/>
        </xdr:cNvPicPr>
      </xdr:nvPicPr>
      <xdr:blipFill>
        <a:blip xmlns:r="http://schemas.openxmlformats.org/officeDocument/2006/relationships" r:embed="rId2"/>
        <a:stretch>
          <a:fillRect/>
        </a:stretch>
      </xdr:blipFill>
      <xdr:spPr>
        <a:xfrm>
          <a:off x="16235680" y="27645360"/>
          <a:ext cx="9518575" cy="2098041"/>
        </a:xfrm>
        <a:prstGeom prst="rect">
          <a:avLst/>
        </a:prstGeom>
      </xdr:spPr>
    </xdr:pic>
    <xdr:clientData/>
  </xdr:twoCellAnchor>
  <xdr:twoCellAnchor editAs="oneCell">
    <xdr:from>
      <xdr:col>13</xdr:col>
      <xdr:colOff>0</xdr:colOff>
      <xdr:row>8</xdr:row>
      <xdr:rowOff>0</xdr:rowOff>
    </xdr:from>
    <xdr:to>
      <xdr:col>20</xdr:col>
      <xdr:colOff>197104</xdr:colOff>
      <xdr:row>34</xdr:row>
      <xdr:rowOff>78545</xdr:rowOff>
    </xdr:to>
    <xdr:pic>
      <xdr:nvPicPr>
        <xdr:cNvPr id="12" name="Picture 11">
          <a:extLst>
            <a:ext uri="{FF2B5EF4-FFF2-40B4-BE49-F238E27FC236}">
              <a16:creationId xmlns:a16="http://schemas.microsoft.com/office/drawing/2014/main" id="{546E3A4B-388B-854B-A7A3-858F4BA75891}"/>
            </a:ext>
          </a:extLst>
        </xdr:cNvPr>
        <xdr:cNvPicPr>
          <a:picLocks noChangeAspect="1"/>
        </xdr:cNvPicPr>
      </xdr:nvPicPr>
      <xdr:blipFill>
        <a:blip xmlns:r="http://schemas.openxmlformats.org/officeDocument/2006/relationships" r:embed="rId3"/>
        <a:stretch>
          <a:fillRect/>
        </a:stretch>
      </xdr:blipFill>
      <xdr:spPr>
        <a:xfrm>
          <a:off x="15961360" y="1696720"/>
          <a:ext cx="9656064" cy="5625905"/>
        </a:xfrm>
        <a:prstGeom prst="rect">
          <a:avLst/>
        </a:prstGeom>
      </xdr:spPr>
    </xdr:pic>
    <xdr:clientData/>
  </xdr:twoCellAnchor>
  <xdr:twoCellAnchor editAs="oneCell">
    <xdr:from>
      <xdr:col>13</xdr:col>
      <xdr:colOff>0</xdr:colOff>
      <xdr:row>37</xdr:row>
      <xdr:rowOff>13368</xdr:rowOff>
    </xdr:from>
    <xdr:to>
      <xdr:col>20</xdr:col>
      <xdr:colOff>238294</xdr:colOff>
      <xdr:row>47</xdr:row>
      <xdr:rowOff>179622</xdr:rowOff>
    </xdr:to>
    <xdr:pic>
      <xdr:nvPicPr>
        <xdr:cNvPr id="13" name="Picture 12">
          <a:extLst>
            <a:ext uri="{FF2B5EF4-FFF2-40B4-BE49-F238E27FC236}">
              <a16:creationId xmlns:a16="http://schemas.microsoft.com/office/drawing/2014/main" id="{0B085DF7-882F-E941-9A22-870122E84E17}"/>
            </a:ext>
          </a:extLst>
        </xdr:cNvPr>
        <xdr:cNvPicPr>
          <a:picLocks noChangeAspect="1"/>
        </xdr:cNvPicPr>
      </xdr:nvPicPr>
      <xdr:blipFill>
        <a:blip xmlns:r="http://schemas.openxmlformats.org/officeDocument/2006/relationships" r:embed="rId4"/>
        <a:stretch>
          <a:fillRect/>
        </a:stretch>
      </xdr:blipFill>
      <xdr:spPr>
        <a:xfrm>
          <a:off x="16215895" y="7700210"/>
          <a:ext cx="9689767" cy="2305201"/>
        </a:xfrm>
        <a:prstGeom prst="rect">
          <a:avLst/>
        </a:prstGeom>
      </xdr:spPr>
    </xdr:pic>
    <xdr:clientData/>
  </xdr:twoCellAnchor>
  <xdr:twoCellAnchor editAs="oneCell">
    <xdr:from>
      <xdr:col>13</xdr:col>
      <xdr:colOff>0</xdr:colOff>
      <xdr:row>102</xdr:row>
      <xdr:rowOff>0</xdr:rowOff>
    </xdr:from>
    <xdr:to>
      <xdr:col>19</xdr:col>
      <xdr:colOff>510811</xdr:colOff>
      <xdr:row>132</xdr:row>
      <xdr:rowOff>16190</xdr:rowOff>
    </xdr:to>
    <xdr:pic>
      <xdr:nvPicPr>
        <xdr:cNvPr id="14" name="Picture 13">
          <a:extLst>
            <a:ext uri="{FF2B5EF4-FFF2-40B4-BE49-F238E27FC236}">
              <a16:creationId xmlns:a16="http://schemas.microsoft.com/office/drawing/2014/main" id="{ABA79A79-EA71-6649-8D13-90B96F9BA8A6}"/>
            </a:ext>
          </a:extLst>
        </xdr:cNvPr>
        <xdr:cNvPicPr>
          <a:picLocks noChangeAspect="1"/>
        </xdr:cNvPicPr>
      </xdr:nvPicPr>
      <xdr:blipFill>
        <a:blip xmlns:r="http://schemas.openxmlformats.org/officeDocument/2006/relationships" r:embed="rId5"/>
        <a:stretch>
          <a:fillRect/>
        </a:stretch>
      </xdr:blipFill>
      <xdr:spPr>
        <a:xfrm>
          <a:off x="16225520" y="20502880"/>
          <a:ext cx="9004571" cy="6112190"/>
        </a:xfrm>
        <a:prstGeom prst="rect">
          <a:avLst/>
        </a:prstGeom>
      </xdr:spPr>
    </xdr:pic>
    <xdr:clientData/>
  </xdr:twoCellAnchor>
  <xdr:twoCellAnchor editAs="oneCell">
    <xdr:from>
      <xdr:col>12</xdr:col>
      <xdr:colOff>934720</xdr:colOff>
      <xdr:row>51</xdr:row>
      <xdr:rowOff>203200</xdr:rowOff>
    </xdr:from>
    <xdr:to>
      <xdr:col>18</xdr:col>
      <xdr:colOff>213360</xdr:colOff>
      <xdr:row>57</xdr:row>
      <xdr:rowOff>204875</xdr:rowOff>
    </xdr:to>
    <xdr:pic>
      <xdr:nvPicPr>
        <xdr:cNvPr id="2" name="Picture 1">
          <a:extLst>
            <a:ext uri="{FF2B5EF4-FFF2-40B4-BE49-F238E27FC236}">
              <a16:creationId xmlns:a16="http://schemas.microsoft.com/office/drawing/2014/main" id="{D2337357-A872-A425-D2CC-7D5DB7E961B5}"/>
            </a:ext>
          </a:extLst>
        </xdr:cNvPr>
        <xdr:cNvPicPr>
          <a:picLocks noChangeAspect="1"/>
        </xdr:cNvPicPr>
      </xdr:nvPicPr>
      <xdr:blipFill>
        <a:blip xmlns:r="http://schemas.openxmlformats.org/officeDocument/2006/relationships" r:embed="rId6"/>
        <a:stretch>
          <a:fillRect/>
        </a:stretch>
      </xdr:blipFill>
      <xdr:spPr>
        <a:xfrm>
          <a:off x="16195040" y="11074400"/>
          <a:ext cx="7772400" cy="12818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energy.nl/data/upgrade-of-pyrolysis-bio-oil-from-fast-pyrolysis-to-biofuels/" TargetMode="External"/><Relationship Id="rId1" Type="http://schemas.openxmlformats.org/officeDocument/2006/relationships/hyperlink" Target="https://energy.nl/data/production-of-pyrolysis-bio-oil-from-solid-biomass-via-fast-pyrolysi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E23"/>
  <sheetViews>
    <sheetView workbookViewId="0">
      <selection activeCell="O17" sqref="O17"/>
    </sheetView>
  </sheetViews>
  <sheetFormatPr baseColWidth="10" defaultColWidth="10.83203125" defaultRowHeight="16"/>
  <cols>
    <col min="1" max="1" width="3.5" style="25" customWidth="1"/>
    <col min="2" max="2" width="11.5" style="17" customWidth="1"/>
    <col min="3" max="3" width="38.5" style="17" customWidth="1"/>
    <col min="4" max="16384" width="10.83203125" style="17"/>
  </cols>
  <sheetData>
    <row r="1" spans="1:5" s="23" customFormat="1">
      <c r="A1" s="21"/>
      <c r="B1" s="22"/>
      <c r="C1" s="22"/>
    </row>
    <row r="2" spans="1:5" ht="21">
      <c r="A2" s="1"/>
      <c r="B2" s="24" t="s">
        <v>9</v>
      </c>
      <c r="C2" s="24"/>
    </row>
    <row r="3" spans="1:5">
      <c r="A3" s="1"/>
      <c r="B3" s="8"/>
      <c r="C3" s="8"/>
    </row>
    <row r="4" spans="1:5">
      <c r="A4" s="1"/>
      <c r="B4" s="2" t="s">
        <v>10</v>
      </c>
      <c r="C4" s="3" t="s">
        <v>138</v>
      </c>
      <c r="E4" s="120"/>
    </row>
    <row r="5" spans="1:5">
      <c r="A5" s="1"/>
      <c r="B5" s="4" t="s">
        <v>40</v>
      </c>
      <c r="C5" s="5" t="s">
        <v>94</v>
      </c>
    </row>
    <row r="6" spans="1:5">
      <c r="A6" s="1"/>
      <c r="B6" s="6" t="s">
        <v>12</v>
      </c>
      <c r="C6" s="7" t="s">
        <v>13</v>
      </c>
    </row>
    <row r="7" spans="1:5">
      <c r="A7" s="1"/>
      <c r="B7" s="8"/>
      <c r="C7" s="8"/>
    </row>
    <row r="8" spans="1:5">
      <c r="A8" s="1"/>
      <c r="B8" s="8"/>
      <c r="C8" s="8"/>
    </row>
    <row r="9" spans="1:5">
      <c r="A9" s="1"/>
      <c r="B9" s="47" t="s">
        <v>25</v>
      </c>
      <c r="C9" s="48"/>
    </row>
    <row r="10" spans="1:5">
      <c r="A10" s="1"/>
      <c r="B10" s="49"/>
      <c r="C10" s="50"/>
    </row>
    <row r="11" spans="1:5">
      <c r="A11" s="1"/>
      <c r="B11" s="49" t="s">
        <v>26</v>
      </c>
      <c r="C11" s="51" t="s">
        <v>27</v>
      </c>
    </row>
    <row r="12" spans="1:5" ht="17" thickBot="1">
      <c r="A12" s="1"/>
      <c r="B12" s="49"/>
      <c r="C12" s="9" t="s">
        <v>28</v>
      </c>
    </row>
    <row r="13" spans="1:5" ht="17" thickBot="1">
      <c r="A13" s="1"/>
      <c r="B13" s="49"/>
      <c r="C13" s="52" t="s">
        <v>29</v>
      </c>
    </row>
    <row r="14" spans="1:5">
      <c r="A14" s="1"/>
      <c r="B14" s="49"/>
      <c r="C14" s="50" t="s">
        <v>30</v>
      </c>
    </row>
    <row r="15" spans="1:5">
      <c r="A15" s="1"/>
      <c r="B15" s="49"/>
      <c r="C15" s="50"/>
    </row>
    <row r="16" spans="1:5">
      <c r="A16" s="1"/>
      <c r="B16" s="49" t="s">
        <v>31</v>
      </c>
      <c r="C16" s="53" t="s">
        <v>32</v>
      </c>
    </row>
    <row r="17" spans="1:3">
      <c r="A17" s="1"/>
      <c r="B17" s="49"/>
      <c r="C17" s="54" t="s">
        <v>33</v>
      </c>
    </row>
    <row r="18" spans="1:3">
      <c r="A18" s="1"/>
      <c r="B18" s="49"/>
      <c r="C18" s="55" t="s">
        <v>34</v>
      </c>
    </row>
    <row r="19" spans="1:3">
      <c r="A19" s="1"/>
      <c r="B19" s="49"/>
      <c r="C19" s="56" t="s">
        <v>35</v>
      </c>
    </row>
    <row r="20" spans="1:3">
      <c r="A20" s="1"/>
      <c r="B20" s="57"/>
      <c r="C20" s="58" t="s">
        <v>36</v>
      </c>
    </row>
    <row r="21" spans="1:3">
      <c r="A21" s="1"/>
      <c r="B21" s="57"/>
      <c r="C21" s="59" t="s">
        <v>37</v>
      </c>
    </row>
    <row r="22" spans="1:3">
      <c r="A22" s="1"/>
      <c r="B22" s="57"/>
      <c r="C22" s="60" t="s">
        <v>38</v>
      </c>
    </row>
    <row r="23" spans="1:3">
      <c r="B23" s="57"/>
      <c r="C23" s="61"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6"/>
  <sheetViews>
    <sheetView tabSelected="1" zoomScale="117" workbookViewId="0">
      <selection activeCell="C25" sqref="C25"/>
    </sheetView>
  </sheetViews>
  <sheetFormatPr baseColWidth="10" defaultColWidth="10.83203125" defaultRowHeight="16"/>
  <cols>
    <col min="1" max="2" width="3.5" style="27" customWidth="1"/>
    <col min="3" max="3" width="51.5" style="27" customWidth="1"/>
    <col min="4" max="5" width="14.6640625" style="27" customWidth="1"/>
    <col min="6" max="6" width="4.5" style="27" customWidth="1"/>
    <col min="7" max="7" width="49.5" style="27" customWidth="1"/>
    <col min="8" max="8" width="20.83203125" style="27" customWidth="1"/>
    <col min="9" max="9" width="42.5" style="27" customWidth="1"/>
    <col min="10" max="10" width="5.5" style="27" customWidth="1"/>
    <col min="11" max="16384" width="10.83203125" style="27"/>
  </cols>
  <sheetData>
    <row r="2" spans="1:10">
      <c r="B2" s="157" t="s">
        <v>65</v>
      </c>
      <c r="C2" s="158"/>
      <c r="D2" s="158"/>
      <c r="E2" s="159"/>
    </row>
    <row r="3" spans="1:10">
      <c r="B3" s="160"/>
      <c r="C3" s="161"/>
      <c r="D3" s="161"/>
      <c r="E3" s="162"/>
    </row>
    <row r="4" spans="1:10">
      <c r="B4" s="160"/>
      <c r="C4" s="161"/>
      <c r="D4" s="161"/>
      <c r="E4" s="162"/>
    </row>
    <row r="5" spans="1:10">
      <c r="B5" s="163"/>
      <c r="C5" s="164"/>
      <c r="D5" s="164"/>
      <c r="E5" s="165"/>
    </row>
    <row r="7" spans="1:10" ht="17" thickBot="1"/>
    <row r="8" spans="1:10">
      <c r="B8" s="28"/>
      <c r="C8" s="16"/>
      <c r="D8" s="16"/>
      <c r="E8" s="16"/>
      <c r="F8" s="16"/>
      <c r="G8" s="16"/>
      <c r="H8" s="16"/>
      <c r="I8" s="16"/>
      <c r="J8" s="29"/>
    </row>
    <row r="9" spans="1:10" s="9" customFormat="1">
      <c r="B9" s="19"/>
      <c r="C9" s="12" t="s">
        <v>18</v>
      </c>
      <c r="D9" s="13" t="s">
        <v>7</v>
      </c>
      <c r="E9" s="11" t="s">
        <v>3</v>
      </c>
      <c r="F9" s="12"/>
      <c r="G9" s="12" t="s">
        <v>6</v>
      </c>
      <c r="H9" s="12"/>
      <c r="I9" s="12" t="s">
        <v>0</v>
      </c>
      <c r="J9" s="62"/>
    </row>
    <row r="10" spans="1:10" s="9" customFormat="1">
      <c r="B10" s="20"/>
      <c r="D10" s="26"/>
      <c r="J10" s="10"/>
    </row>
    <row r="11" spans="1:10" s="9" customFormat="1" ht="17" thickBot="1">
      <c r="B11" s="20"/>
      <c r="C11" s="9" t="s">
        <v>42</v>
      </c>
      <c r="D11" s="26"/>
      <c r="J11" s="10"/>
    </row>
    <row r="12" spans="1:10" s="93" customFormat="1" ht="16" customHeight="1" thickBot="1">
      <c r="B12" s="94"/>
      <c r="C12" s="89" t="s">
        <v>64</v>
      </c>
      <c r="D12" s="90" t="s">
        <v>72</v>
      </c>
      <c r="E12" s="95">
        <f>ROUND(Notes!D6,2)</f>
        <v>44.22</v>
      </c>
      <c r="F12" s="89"/>
      <c r="G12" s="96"/>
      <c r="I12" s="153" t="s">
        <v>133</v>
      </c>
      <c r="J12" s="97"/>
    </row>
    <row r="13" spans="1:10" s="93" customFormat="1" ht="16" customHeight="1" thickBot="1">
      <c r="B13" s="94"/>
      <c r="C13" s="118" t="s">
        <v>120</v>
      </c>
      <c r="D13" s="90"/>
      <c r="E13" s="119">
        <f>ROUND(Notes!E20,53)</f>
        <v>0.56000000000000005</v>
      </c>
      <c r="F13" s="89"/>
      <c r="G13" s="96"/>
      <c r="I13" s="153" t="s">
        <v>133</v>
      </c>
      <c r="J13" s="97"/>
    </row>
    <row r="14" spans="1:10" s="93" customFormat="1" ht="16" customHeight="1" thickBot="1">
      <c r="B14" s="94"/>
      <c r="C14" s="118" t="s">
        <v>121</v>
      </c>
      <c r="D14" s="90"/>
      <c r="E14" s="119">
        <f>ROUND(Notes!E21,53)</f>
        <v>0.28000000000000003</v>
      </c>
      <c r="F14" s="89"/>
      <c r="G14" s="96"/>
      <c r="I14" s="153" t="s">
        <v>133</v>
      </c>
      <c r="J14" s="97"/>
    </row>
    <row r="15" spans="1:10" s="93" customFormat="1" ht="16" customHeight="1" thickBot="1">
      <c r="B15" s="94"/>
      <c r="C15" s="118" t="s">
        <v>122</v>
      </c>
      <c r="D15" s="90" t="s">
        <v>2</v>
      </c>
      <c r="E15" s="119">
        <f>ROUND(Notes!E22,53)</f>
        <v>0.16</v>
      </c>
      <c r="F15" s="89"/>
      <c r="G15" s="96"/>
      <c r="I15" s="153" t="s">
        <v>133</v>
      </c>
      <c r="J15" s="97"/>
    </row>
    <row r="16" spans="1:10" ht="17" thickBot="1">
      <c r="A16" s="68"/>
      <c r="B16" s="69"/>
      <c r="C16" s="156" t="s">
        <v>145</v>
      </c>
      <c r="D16" s="18" t="s">
        <v>2</v>
      </c>
      <c r="E16" s="119">
        <f>ROUND(Notes!E17,3)</f>
        <v>0.32800000000000001</v>
      </c>
      <c r="F16" s="67"/>
      <c r="G16" s="85"/>
      <c r="H16" s="67"/>
      <c r="I16" s="153" t="s">
        <v>134</v>
      </c>
      <c r="J16" s="70"/>
    </row>
    <row r="17" spans="1:10" ht="17" thickBot="1">
      <c r="A17" s="68"/>
      <c r="B17" s="69"/>
      <c r="C17" s="152" t="s">
        <v>131</v>
      </c>
      <c r="D17" s="18" t="s">
        <v>2</v>
      </c>
      <c r="E17" s="119">
        <f>ROUND(Notes!E18,3)</f>
        <v>0.16900000000000001</v>
      </c>
      <c r="F17" s="67"/>
      <c r="G17" s="85"/>
      <c r="H17" s="67"/>
      <c r="I17" s="153" t="s">
        <v>134</v>
      </c>
      <c r="J17" s="70"/>
    </row>
    <row r="18" spans="1:10" s="87" customFormat="1" ht="16" customHeight="1" thickBot="1">
      <c r="B18" s="88"/>
      <c r="C18" s="89" t="s">
        <v>56</v>
      </c>
      <c r="D18" s="90" t="s">
        <v>87</v>
      </c>
      <c r="E18" s="95">
        <f>Notes!D7</f>
        <v>7500</v>
      </c>
      <c r="F18" s="89"/>
      <c r="G18" s="89"/>
      <c r="I18" s="153" t="s">
        <v>133</v>
      </c>
      <c r="J18" s="91"/>
    </row>
    <row r="19" spans="1:10" s="87" customFormat="1" ht="16" customHeight="1" thickBot="1">
      <c r="B19" s="88"/>
      <c r="C19" s="112" t="s">
        <v>96</v>
      </c>
      <c r="D19" s="90" t="s">
        <v>2</v>
      </c>
      <c r="E19" s="95">
        <f>Notes!D10</f>
        <v>0.92300000000000004</v>
      </c>
      <c r="F19" s="89"/>
      <c r="G19" s="89"/>
      <c r="I19" s="153" t="s">
        <v>132</v>
      </c>
      <c r="J19" s="91"/>
    </row>
    <row r="20" spans="1:10">
      <c r="B20" s="31"/>
      <c r="J20" s="63"/>
    </row>
    <row r="21" spans="1:10" ht="17" thickBot="1">
      <c r="B21" s="31"/>
      <c r="C21" s="9" t="s">
        <v>41</v>
      </c>
      <c r="J21" s="63"/>
    </row>
    <row r="22" spans="1:10" ht="17" thickBot="1">
      <c r="B22" s="31"/>
      <c r="C22" s="30" t="s">
        <v>21</v>
      </c>
      <c r="D22" s="18" t="s">
        <v>19</v>
      </c>
      <c r="E22" s="92">
        <f>ROUND(Notes!D12,0)</f>
        <v>10440000</v>
      </c>
      <c r="F22" s="30"/>
      <c r="G22" s="30" t="s">
        <v>5</v>
      </c>
      <c r="H22" s="30"/>
      <c r="I22" s="153" t="s">
        <v>133</v>
      </c>
      <c r="J22" s="63"/>
    </row>
    <row r="23" spans="1:10" ht="17" thickBot="1">
      <c r="B23" s="31"/>
      <c r="C23" s="111" t="s">
        <v>95</v>
      </c>
      <c r="D23" s="18" t="s">
        <v>19</v>
      </c>
      <c r="E23" s="92">
        <v>0</v>
      </c>
      <c r="F23" s="30"/>
      <c r="G23" s="30"/>
      <c r="H23" s="30"/>
      <c r="I23" s="86" t="s">
        <v>135</v>
      </c>
      <c r="J23" s="63"/>
    </row>
    <row r="24" spans="1:10" ht="15" customHeight="1" thickBot="1">
      <c r="B24" s="31"/>
      <c r="C24" s="30" t="s">
        <v>22</v>
      </c>
      <c r="D24" s="18" t="s">
        <v>44</v>
      </c>
      <c r="E24" s="92">
        <f>ROUND(Notes!D13,0)</f>
        <v>560000</v>
      </c>
      <c r="F24" s="30"/>
      <c r="G24" s="83" t="s">
        <v>62</v>
      </c>
      <c r="H24" s="30"/>
      <c r="I24" s="153" t="s">
        <v>133</v>
      </c>
      <c r="J24" s="63"/>
    </row>
    <row r="25" spans="1:10" ht="17" thickBot="1">
      <c r="B25" s="77"/>
      <c r="C25" s="82" t="s">
        <v>58</v>
      </c>
      <c r="D25" s="79" t="s">
        <v>54</v>
      </c>
      <c r="E25" s="92">
        <f>ROUND(Notes!D14,2)</f>
        <v>69.599999999999994</v>
      </c>
      <c r="F25" s="80"/>
      <c r="G25" s="78" t="s">
        <v>55</v>
      </c>
      <c r="H25" s="80"/>
      <c r="I25" s="153" t="s">
        <v>133</v>
      </c>
      <c r="J25" s="81"/>
    </row>
    <row r="26" spans="1:10" ht="17" thickBot="1">
      <c r="B26" s="77"/>
      <c r="C26" s="82" t="s">
        <v>59</v>
      </c>
      <c r="D26" s="79" t="s">
        <v>54</v>
      </c>
      <c r="E26" s="92">
        <v>0</v>
      </c>
      <c r="F26" s="80"/>
      <c r="G26" s="78"/>
      <c r="H26" s="80"/>
      <c r="I26" s="86" t="s">
        <v>135</v>
      </c>
      <c r="J26" s="81"/>
    </row>
    <row r="27" spans="1:10" ht="17" thickBot="1">
      <c r="B27" s="77"/>
      <c r="C27" s="82" t="s">
        <v>57</v>
      </c>
      <c r="D27" s="18" t="s">
        <v>19</v>
      </c>
      <c r="E27" s="92">
        <v>0</v>
      </c>
      <c r="F27" s="80"/>
      <c r="G27" s="82" t="s">
        <v>60</v>
      </c>
      <c r="H27" s="80"/>
      <c r="I27" s="154" t="s">
        <v>136</v>
      </c>
      <c r="J27" s="81"/>
    </row>
    <row r="28" spans="1:10" ht="17" thickBot="1">
      <c r="B28" s="77"/>
      <c r="C28" s="84" t="s">
        <v>63</v>
      </c>
      <c r="D28" s="18" t="s">
        <v>19</v>
      </c>
      <c r="E28" s="32">
        <v>0</v>
      </c>
      <c r="F28" s="80"/>
      <c r="G28" s="82" t="s">
        <v>61</v>
      </c>
      <c r="H28" s="80"/>
      <c r="I28" s="154" t="s">
        <v>136</v>
      </c>
      <c r="J28" s="81"/>
    </row>
    <row r="29" spans="1:10" ht="17" thickBot="1">
      <c r="A29" s="68"/>
      <c r="B29" s="69"/>
      <c r="C29" s="67" t="s">
        <v>46</v>
      </c>
      <c r="D29" s="18" t="s">
        <v>47</v>
      </c>
      <c r="E29" s="102">
        <v>7.0000000000000007E-2</v>
      </c>
      <c r="F29" s="67"/>
      <c r="G29" s="67" t="s">
        <v>48</v>
      </c>
      <c r="H29" s="67"/>
      <c r="I29" s="110" t="s">
        <v>93</v>
      </c>
      <c r="J29" s="70"/>
    </row>
    <row r="30" spans="1:10" ht="17" thickBot="1">
      <c r="A30" s="68"/>
      <c r="B30" s="69"/>
      <c r="C30" s="67" t="s">
        <v>49</v>
      </c>
      <c r="D30" s="18" t="s">
        <v>50</v>
      </c>
      <c r="E30" s="71">
        <v>1</v>
      </c>
      <c r="F30" s="67"/>
      <c r="G30" s="67"/>
      <c r="H30" s="67"/>
      <c r="I30" s="155" t="s">
        <v>137</v>
      </c>
      <c r="J30" s="70"/>
    </row>
    <row r="31" spans="1:10">
      <c r="A31" s="68"/>
      <c r="B31" s="69"/>
      <c r="C31" s="67"/>
      <c r="D31" s="18"/>
      <c r="E31" s="72"/>
      <c r="F31" s="67"/>
      <c r="G31" s="67"/>
      <c r="H31" s="67"/>
      <c r="I31" s="68"/>
      <c r="J31" s="70"/>
    </row>
    <row r="32" spans="1:10" ht="17" thickBot="1">
      <c r="A32" s="68"/>
      <c r="B32" s="69"/>
      <c r="C32" s="9" t="s">
        <v>4</v>
      </c>
      <c r="D32" s="64"/>
      <c r="E32" s="72"/>
      <c r="F32" s="68"/>
      <c r="H32" s="68"/>
      <c r="I32" s="68"/>
      <c r="J32" s="70"/>
    </row>
    <row r="33" spans="1:10" ht="17" thickBot="1">
      <c r="A33" s="68"/>
      <c r="B33" s="69"/>
      <c r="C33" s="67" t="s">
        <v>23</v>
      </c>
      <c r="D33" s="18" t="s">
        <v>1</v>
      </c>
      <c r="E33" s="71">
        <f>Notes!D8</f>
        <v>30</v>
      </c>
      <c r="F33" s="67"/>
      <c r="G33" s="67" t="s">
        <v>53</v>
      </c>
      <c r="H33" s="67"/>
      <c r="I33" s="153" t="s">
        <v>133</v>
      </c>
      <c r="J33" s="70"/>
    </row>
    <row r="34" spans="1:10" ht="17" thickBot="1">
      <c r="A34" s="68"/>
      <c r="B34" s="69"/>
      <c r="C34" s="67" t="s">
        <v>51</v>
      </c>
      <c r="D34" s="18" t="s">
        <v>1</v>
      </c>
      <c r="E34" s="71">
        <f>Notes!D9</f>
        <v>2</v>
      </c>
      <c r="F34" s="67"/>
      <c r="G34" s="67" t="s">
        <v>52</v>
      </c>
      <c r="H34" s="67"/>
      <c r="I34" s="153" t="s">
        <v>132</v>
      </c>
      <c r="J34" s="70"/>
    </row>
    <row r="35" spans="1:10" ht="17" thickBot="1">
      <c r="A35" s="68"/>
      <c r="B35" s="69"/>
      <c r="C35" s="67" t="s">
        <v>20</v>
      </c>
      <c r="D35" s="18" t="s">
        <v>2</v>
      </c>
      <c r="E35" s="71">
        <v>0</v>
      </c>
      <c r="F35" s="67"/>
      <c r="G35" s="67"/>
      <c r="H35" s="67"/>
      <c r="I35" s="155" t="s">
        <v>137</v>
      </c>
      <c r="J35" s="70"/>
    </row>
    <row r="36" spans="1:10" ht="17" thickBot="1">
      <c r="A36" s="68"/>
      <c r="B36" s="73"/>
      <c r="C36" s="74"/>
      <c r="D36" s="74"/>
      <c r="E36" s="74"/>
      <c r="F36" s="74"/>
      <c r="G36" s="74"/>
      <c r="H36" s="74"/>
      <c r="I36" s="74"/>
      <c r="J36" s="75"/>
    </row>
    <row r="37" spans="1:10">
      <c r="A37" s="68"/>
      <c r="B37" s="68"/>
      <c r="C37" s="68"/>
      <c r="D37" s="68"/>
      <c r="E37" s="68"/>
      <c r="F37" s="68"/>
      <c r="G37" s="68"/>
      <c r="H37" s="68"/>
      <c r="I37" s="68"/>
      <c r="J37" s="68"/>
    </row>
    <row r="38" spans="1:10">
      <c r="A38" s="68"/>
      <c r="B38" s="68"/>
      <c r="C38" s="68"/>
      <c r="D38" s="68"/>
      <c r="E38" s="68"/>
      <c r="F38" s="68"/>
      <c r="G38" s="68"/>
      <c r="H38" s="68"/>
      <c r="I38" s="68"/>
      <c r="J38" s="68"/>
    </row>
    <row r="39" spans="1:10">
      <c r="A39" s="68"/>
      <c r="B39" s="68"/>
      <c r="C39" s="68"/>
      <c r="D39" s="68"/>
      <c r="E39" s="68"/>
      <c r="F39" s="68"/>
      <c r="G39" s="68"/>
      <c r="H39" s="68"/>
      <c r="I39" s="68"/>
      <c r="J39" s="68"/>
    </row>
    <row r="40" spans="1:10">
      <c r="A40" s="68"/>
      <c r="B40" s="68"/>
      <c r="E40" s="68"/>
      <c r="F40" s="68"/>
      <c r="G40" s="68"/>
      <c r="H40" s="68"/>
      <c r="I40" s="68"/>
      <c r="J40" s="68"/>
    </row>
    <row r="41" spans="1:10">
      <c r="A41" s="68"/>
      <c r="B41" s="68"/>
      <c r="C41" s="68"/>
      <c r="D41" s="68"/>
      <c r="E41" s="68"/>
      <c r="F41" s="68"/>
      <c r="G41" s="68"/>
      <c r="H41" s="68"/>
      <c r="I41" s="68"/>
      <c r="J41" s="68"/>
    </row>
    <row r="42" spans="1:10">
      <c r="A42" s="68"/>
      <c r="B42" s="68"/>
      <c r="C42" s="68"/>
      <c r="D42" s="68"/>
      <c r="E42" s="68"/>
      <c r="F42" s="68"/>
      <c r="G42" s="68"/>
      <c r="H42" s="68"/>
      <c r="I42" s="68"/>
      <c r="J42" s="68"/>
    </row>
    <row r="43" spans="1:10">
      <c r="A43" s="68"/>
      <c r="B43" s="68"/>
      <c r="C43" s="68"/>
      <c r="D43" s="68"/>
      <c r="E43" s="68"/>
      <c r="F43" s="68"/>
      <c r="G43" s="68"/>
      <c r="H43" s="68"/>
      <c r="I43" s="68"/>
      <c r="J43" s="68"/>
    </row>
    <row r="44" spans="1:10">
      <c r="A44" s="68"/>
      <c r="B44" s="68"/>
      <c r="C44" s="68"/>
      <c r="D44" s="68"/>
      <c r="E44" s="68"/>
      <c r="F44" s="68"/>
      <c r="G44" s="68"/>
      <c r="H44" s="68"/>
      <c r="I44" s="68"/>
      <c r="J44" s="68"/>
    </row>
    <row r="45" spans="1:10">
      <c r="A45" s="68"/>
    </row>
    <row r="46" spans="1:10">
      <c r="A46" s="68"/>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9"/>
  <sheetViews>
    <sheetView zoomScale="119" workbookViewId="0">
      <selection activeCell="C11" sqref="A11:XFD11"/>
    </sheetView>
  </sheetViews>
  <sheetFormatPr baseColWidth="10" defaultColWidth="33.1640625" defaultRowHeight="16"/>
  <cols>
    <col min="1" max="1" width="3.5" style="33" customWidth="1"/>
    <col min="2" max="2" width="48.1640625" style="33" bestFit="1" customWidth="1"/>
    <col min="3" max="3" width="24.5" style="33" customWidth="1"/>
    <col min="4" max="4" width="32.83203125" style="33" customWidth="1"/>
    <col min="5" max="5" width="6.1640625" style="33" customWidth="1"/>
    <col min="6" max="6" width="16.33203125" style="33" customWidth="1"/>
    <col min="7" max="7" width="78" style="33" customWidth="1"/>
    <col min="8" max="8" width="12.5" style="37" customWidth="1"/>
    <col min="9" max="9" width="31.5" style="37" customWidth="1"/>
    <col min="10" max="10" width="98.5" style="33" customWidth="1"/>
    <col min="11" max="16384" width="33.1640625" style="33"/>
  </cols>
  <sheetData>
    <row r="1" spans="2:10" ht="17" thickBot="1"/>
    <row r="2" spans="2:10">
      <c r="B2" s="34"/>
      <c r="C2" s="35"/>
      <c r="D2" s="35"/>
      <c r="E2" s="35"/>
      <c r="F2" s="35"/>
      <c r="G2" s="35"/>
      <c r="H2" s="38"/>
      <c r="I2" s="38"/>
      <c r="J2" s="35"/>
    </row>
    <row r="3" spans="2:10">
      <c r="B3" s="36"/>
      <c r="C3" s="9" t="s">
        <v>14</v>
      </c>
      <c r="D3" s="9"/>
      <c r="E3" s="9"/>
      <c r="F3" s="9"/>
      <c r="G3" s="9"/>
      <c r="H3" s="14"/>
      <c r="I3" s="14"/>
    </row>
    <row r="4" spans="2:10">
      <c r="B4" s="36"/>
    </row>
    <row r="5" spans="2:10">
      <c r="B5" s="39"/>
      <c r="C5" s="11" t="s">
        <v>15</v>
      </c>
      <c r="D5" s="11" t="s">
        <v>0</v>
      </c>
      <c r="E5" s="11" t="s">
        <v>11</v>
      </c>
      <c r="F5" s="11" t="s">
        <v>16</v>
      </c>
      <c r="G5" s="11" t="s">
        <v>68</v>
      </c>
      <c r="H5" s="15" t="s">
        <v>17</v>
      </c>
      <c r="I5" s="15" t="s">
        <v>43</v>
      </c>
      <c r="J5" s="11" t="s">
        <v>8</v>
      </c>
    </row>
    <row r="6" spans="2:10">
      <c r="C6" s="9"/>
      <c r="D6" s="9"/>
      <c r="E6" s="9"/>
      <c r="F6" s="9"/>
      <c r="G6" s="9"/>
      <c r="H6" s="14"/>
      <c r="I6" s="14"/>
      <c r="J6" s="9"/>
    </row>
    <row r="7" spans="2:10">
      <c r="B7" s="113" t="s">
        <v>97</v>
      </c>
      <c r="C7" s="105" t="s">
        <v>74</v>
      </c>
      <c r="D7" s="105" t="s">
        <v>76</v>
      </c>
      <c r="E7" s="105" t="s">
        <v>75</v>
      </c>
      <c r="F7" s="33">
        <v>2024</v>
      </c>
      <c r="G7" s="113" t="s">
        <v>98</v>
      </c>
      <c r="H7" s="103">
        <v>45888</v>
      </c>
      <c r="J7" s="107" t="s">
        <v>99</v>
      </c>
    </row>
    <row r="8" spans="2:10">
      <c r="B8" s="114"/>
      <c r="C8" s="114"/>
      <c r="D8" s="114"/>
      <c r="E8" s="114"/>
      <c r="F8" s="114"/>
      <c r="G8" s="114"/>
      <c r="H8" s="115"/>
      <c r="I8" s="116"/>
      <c r="J8" s="114"/>
    </row>
    <row r="9" spans="2:10">
      <c r="B9" s="113" t="s">
        <v>100</v>
      </c>
      <c r="C9" s="105" t="s">
        <v>74</v>
      </c>
      <c r="D9" s="105" t="s">
        <v>76</v>
      </c>
      <c r="E9" s="105" t="s">
        <v>75</v>
      </c>
      <c r="F9" s="33">
        <v>2024</v>
      </c>
      <c r="G9" s="113" t="s">
        <v>101</v>
      </c>
      <c r="H9" s="103">
        <v>45888</v>
      </c>
      <c r="J9" s="107" t="s">
        <v>102</v>
      </c>
    </row>
  </sheetData>
  <phoneticPr fontId="32" type="noConversion"/>
  <hyperlinks>
    <hyperlink ref="J7" r:id="rId1" xr:uid="{B3788B51-CEDE-3C40-AD9E-B67B6EFA3AEC}"/>
    <hyperlink ref="J9" r:id="rId2" xr:uid="{51C1DA0E-8D66-E44B-ABEC-8410B71B3EB8}"/>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01"/>
  <sheetViews>
    <sheetView zoomScale="125" zoomScaleNormal="100" workbookViewId="0">
      <selection activeCell="F36" sqref="F36"/>
    </sheetView>
  </sheetViews>
  <sheetFormatPr baseColWidth="10" defaultColWidth="10.83203125" defaultRowHeight="16"/>
  <cols>
    <col min="1" max="2" width="3.5" style="40" customWidth="1"/>
    <col min="3" max="3" width="33.33203125" style="40" customWidth="1"/>
    <col min="4" max="4" width="17.83203125" style="40" bestFit="1" customWidth="1"/>
    <col min="5" max="5" width="26.6640625" style="40" customWidth="1"/>
    <col min="6" max="6" width="21.83203125" style="40" bestFit="1" customWidth="1"/>
    <col min="7" max="13" width="10.83203125" style="40"/>
    <col min="14" max="14" width="28.1640625" style="40" customWidth="1"/>
    <col min="15" max="15" width="22.6640625" style="40" customWidth="1"/>
    <col min="16" max="16" width="12.1640625" style="40" customWidth="1"/>
    <col min="17" max="16384" width="10.83203125" style="40"/>
  </cols>
  <sheetData>
    <row r="1" spans="1:14" ht="17" thickBot="1"/>
    <row r="2" spans="1:14">
      <c r="B2" s="41"/>
      <c r="C2" s="42"/>
      <c r="D2" s="42"/>
      <c r="E2" s="42"/>
      <c r="F2" s="42"/>
      <c r="G2" s="42"/>
      <c r="H2" s="42"/>
      <c r="I2" s="42"/>
      <c r="J2" s="42"/>
      <c r="K2" s="42"/>
      <c r="L2" s="42"/>
      <c r="M2" s="42"/>
      <c r="N2" s="43"/>
    </row>
    <row r="3" spans="1:14" ht="17" customHeight="1">
      <c r="A3" s="44"/>
      <c r="B3" s="65"/>
      <c r="C3" s="46" t="s">
        <v>0</v>
      </c>
      <c r="D3" s="46" t="s">
        <v>45</v>
      </c>
      <c r="E3" s="46" t="s">
        <v>24</v>
      </c>
      <c r="F3" s="46"/>
      <c r="G3" s="46"/>
      <c r="H3" s="45"/>
      <c r="I3" s="45"/>
      <c r="J3" s="45"/>
      <c r="K3" s="45"/>
      <c r="L3" s="45"/>
      <c r="M3" s="45"/>
      <c r="N3" s="66"/>
    </row>
    <row r="4" spans="1:14" ht="17" customHeight="1">
      <c r="A4" s="44"/>
      <c r="B4" s="98"/>
      <c r="C4" s="44"/>
      <c r="D4" s="44"/>
      <c r="E4" s="44"/>
      <c r="F4" s="44"/>
      <c r="G4" s="44"/>
    </row>
    <row r="5" spans="1:14" ht="17" customHeight="1">
      <c r="A5" s="44"/>
      <c r="B5" s="98"/>
      <c r="C5" s="44" t="s">
        <v>89</v>
      </c>
      <c r="D5" s="44"/>
      <c r="E5" s="44"/>
      <c r="F5" s="44"/>
      <c r="G5" s="44"/>
    </row>
    <row r="6" spans="1:14" ht="17" customHeight="1">
      <c r="A6" s="44"/>
      <c r="B6" s="98"/>
      <c r="C6" s="40" t="s">
        <v>92</v>
      </c>
      <c r="D6" s="99">
        <f>D45/(1-E35)</f>
        <v>44.219999999999992</v>
      </c>
      <c r="E6" s="40" t="s">
        <v>72</v>
      </c>
      <c r="F6" s="104"/>
      <c r="G6" s="44"/>
    </row>
    <row r="7" spans="1:14" ht="17" customHeight="1">
      <c r="A7" s="44"/>
      <c r="B7" s="98"/>
      <c r="C7" s="40" t="s">
        <v>70</v>
      </c>
      <c r="D7" s="76">
        <f>D62</f>
        <v>7500</v>
      </c>
      <c r="E7" s="40" t="s">
        <v>73</v>
      </c>
      <c r="F7" s="104"/>
      <c r="G7" s="44"/>
      <c r="N7" s="40" t="s">
        <v>111</v>
      </c>
    </row>
    <row r="8" spans="1:14" ht="17" customHeight="1">
      <c r="A8" s="44"/>
      <c r="B8" s="98"/>
      <c r="C8" s="40" t="s">
        <v>71</v>
      </c>
      <c r="D8" s="76">
        <f>D47</f>
        <v>30</v>
      </c>
      <c r="E8" s="40" t="s">
        <v>83</v>
      </c>
      <c r="F8" s="104"/>
      <c r="G8" s="44"/>
    </row>
    <row r="9" spans="1:14" ht="17" customHeight="1">
      <c r="A9" s="44"/>
      <c r="B9" s="98"/>
      <c r="C9" s="40" t="s">
        <v>110</v>
      </c>
      <c r="D9" s="76">
        <v>2</v>
      </c>
      <c r="E9" s="40" t="s">
        <v>83</v>
      </c>
      <c r="F9" s="40" t="s">
        <v>132</v>
      </c>
      <c r="G9" s="44"/>
    </row>
    <row r="10" spans="1:14" ht="17" customHeight="1">
      <c r="A10" s="44"/>
      <c r="B10" s="98"/>
      <c r="C10" s="40" t="s">
        <v>96</v>
      </c>
      <c r="D10" s="101">
        <v>0.92300000000000004</v>
      </c>
      <c r="F10" s="40" t="s">
        <v>132</v>
      </c>
      <c r="G10" s="44"/>
    </row>
    <row r="11" spans="1:14" ht="17" customHeight="1">
      <c r="A11" s="44"/>
      <c r="B11" s="98"/>
      <c r="F11" s="44"/>
      <c r="G11" s="44"/>
    </row>
    <row r="12" spans="1:14" ht="17" customHeight="1">
      <c r="A12" s="44"/>
      <c r="B12" s="98"/>
      <c r="C12" s="40" t="s">
        <v>69</v>
      </c>
      <c r="D12" s="108">
        <f>F54</f>
        <v>10440000</v>
      </c>
      <c r="E12" s="40" t="s">
        <v>19</v>
      </c>
      <c r="F12" s="44"/>
      <c r="G12" s="44"/>
    </row>
    <row r="13" spans="1:14" ht="17" customHeight="1">
      <c r="A13" s="44"/>
      <c r="B13" s="98"/>
      <c r="C13" s="40" t="s">
        <v>84</v>
      </c>
      <c r="D13" s="108">
        <f>F55</f>
        <v>560000</v>
      </c>
      <c r="E13" s="40" t="s">
        <v>90</v>
      </c>
      <c r="F13" s="44"/>
      <c r="G13" s="44"/>
    </row>
    <row r="14" spans="1:14" ht="17" customHeight="1">
      <c r="A14" s="44"/>
      <c r="B14" s="98"/>
      <c r="C14" s="40" t="s">
        <v>85</v>
      </c>
      <c r="D14" s="108">
        <f>F57</f>
        <v>69.599999999999994</v>
      </c>
      <c r="E14" s="40" t="s">
        <v>54</v>
      </c>
      <c r="F14" s="44"/>
      <c r="G14" s="44"/>
    </row>
    <row r="15" spans="1:14" ht="17" customHeight="1">
      <c r="A15" s="44"/>
      <c r="B15" s="100"/>
      <c r="D15" s="101"/>
      <c r="G15" s="44"/>
    </row>
    <row r="16" spans="1:14" ht="17" customHeight="1">
      <c r="A16" s="44"/>
      <c r="B16" s="98"/>
      <c r="C16" s="44" t="s">
        <v>91</v>
      </c>
      <c r="D16" s="99" t="s">
        <v>123</v>
      </c>
      <c r="E16" s="40" t="s">
        <v>126</v>
      </c>
      <c r="G16" s="44"/>
    </row>
    <row r="17" spans="1:8" ht="17" customHeight="1">
      <c r="A17" s="44"/>
      <c r="B17" s="98"/>
      <c r="C17" s="40" t="s">
        <v>145</v>
      </c>
      <c r="D17" s="99">
        <f>E33</f>
        <v>0.32835820895522394</v>
      </c>
      <c r="E17" s="99">
        <f>D17</f>
        <v>0.32835820895522394</v>
      </c>
      <c r="G17" s="44"/>
    </row>
    <row r="18" spans="1:8" ht="17" customHeight="1">
      <c r="A18" s="44"/>
      <c r="B18" s="98"/>
      <c r="C18" s="40" t="s">
        <v>131</v>
      </c>
      <c r="D18" s="99">
        <f>E34</f>
        <v>0.16915422885572143</v>
      </c>
      <c r="E18" s="99">
        <f t="shared" ref="E18:E19" si="0">D18</f>
        <v>0.16915422885572143</v>
      </c>
      <c r="G18" s="44"/>
    </row>
    <row r="19" spans="1:8" ht="17" customHeight="1">
      <c r="A19" s="44"/>
      <c r="B19" s="98"/>
      <c r="C19" s="40" t="s">
        <v>66</v>
      </c>
      <c r="D19" s="99">
        <f>E35</f>
        <v>0.50248756218905466</v>
      </c>
      <c r="E19" s="99">
        <f t="shared" si="0"/>
        <v>0.50248756218905466</v>
      </c>
      <c r="F19" s="44"/>
      <c r="G19" s="44"/>
    </row>
    <row r="20" spans="1:8" ht="17" customHeight="1">
      <c r="A20" s="44"/>
      <c r="B20" s="98"/>
      <c r="C20" s="40" t="s">
        <v>120</v>
      </c>
      <c r="D20" s="99">
        <f>E38</f>
        <v>0.56218905472636815</v>
      </c>
      <c r="E20" s="99">
        <v>0.56000000000000005</v>
      </c>
      <c r="F20" s="40" t="s">
        <v>124</v>
      </c>
      <c r="G20" s="44"/>
    </row>
    <row r="21" spans="1:8" ht="17" customHeight="1">
      <c r="A21" s="44"/>
      <c r="B21" s="98"/>
      <c r="C21" s="40" t="s">
        <v>121</v>
      </c>
      <c r="D21" s="99">
        <f>E39</f>
        <v>0.28855721393034828</v>
      </c>
      <c r="E21" s="99">
        <f>1-(E20+E22)</f>
        <v>0.27999999999999992</v>
      </c>
      <c r="F21" s="44"/>
      <c r="G21" s="40" t="s">
        <v>125</v>
      </c>
      <c r="H21" s="40">
        <f>E20/E22</f>
        <v>3.5000000000000004</v>
      </c>
    </row>
    <row r="22" spans="1:8" ht="17" customHeight="1">
      <c r="A22" s="44"/>
      <c r="B22" s="98"/>
      <c r="C22" s="40" t="s">
        <v>122</v>
      </c>
      <c r="D22" s="99">
        <f>E40</f>
        <v>0.1492537313432836</v>
      </c>
      <c r="E22" s="40">
        <v>0.16</v>
      </c>
      <c r="F22" s="44"/>
      <c r="G22" s="44"/>
    </row>
    <row r="23" spans="1:8" ht="17" customHeight="1">
      <c r="A23" s="44"/>
      <c r="B23" s="98"/>
      <c r="D23" s="99"/>
      <c r="E23" s="44"/>
      <c r="F23" s="44"/>
      <c r="G23" s="44"/>
    </row>
    <row r="24" spans="1:8" ht="17" customHeight="1">
      <c r="A24" s="44"/>
      <c r="B24" s="98"/>
      <c r="C24" s="44"/>
      <c r="D24" s="44"/>
      <c r="E24" s="44"/>
      <c r="F24" s="44"/>
      <c r="G24" s="44"/>
    </row>
    <row r="25" spans="1:8" ht="17" customHeight="1">
      <c r="A25" s="44"/>
      <c r="B25" s="98"/>
      <c r="C25" s="44" t="s">
        <v>128</v>
      </c>
      <c r="G25" s="44"/>
    </row>
    <row r="26" spans="1:8" ht="17" customHeight="1">
      <c r="A26" s="44"/>
      <c r="B26" s="98"/>
      <c r="C26" s="40" t="s">
        <v>139</v>
      </c>
      <c r="G26" s="44"/>
    </row>
    <row r="27" spans="1:8" ht="17" customHeight="1">
      <c r="A27" s="44"/>
      <c r="B27" s="98"/>
      <c r="C27" s="40" t="s">
        <v>140</v>
      </c>
      <c r="G27" s="44"/>
    </row>
    <row r="28" spans="1:8" ht="17" customHeight="1">
      <c r="A28" s="44"/>
      <c r="B28" s="98"/>
      <c r="C28" s="40" t="s">
        <v>141</v>
      </c>
      <c r="G28" s="44"/>
    </row>
    <row r="29" spans="1:8" ht="17" customHeight="1">
      <c r="A29" s="44"/>
      <c r="B29" s="98"/>
      <c r="C29" s="40" t="s">
        <v>142</v>
      </c>
      <c r="G29" s="44"/>
    </row>
    <row r="30" spans="1:8" ht="17" customHeight="1">
      <c r="A30" s="44"/>
      <c r="B30" s="98"/>
      <c r="C30" s="40" t="s">
        <v>146</v>
      </c>
      <c r="G30" s="44"/>
    </row>
    <row r="31" spans="1:8" ht="17" customHeight="1">
      <c r="A31" s="44"/>
      <c r="B31" s="98"/>
      <c r="G31" s="44"/>
    </row>
    <row r="32" spans="1:8" ht="17" customHeight="1">
      <c r="A32" s="44"/>
      <c r="B32" s="98"/>
      <c r="C32" s="117" t="s">
        <v>80</v>
      </c>
      <c r="D32" s="40" t="s">
        <v>77</v>
      </c>
      <c r="E32" s="40" t="s">
        <v>79</v>
      </c>
      <c r="G32" s="44"/>
    </row>
    <row r="33" spans="1:7" ht="17" customHeight="1">
      <c r="B33" s="98"/>
      <c r="C33" s="40" t="s">
        <v>144</v>
      </c>
      <c r="D33" s="40">
        <v>0.66</v>
      </c>
      <c r="E33" s="99">
        <f>D33/$D$41</f>
        <v>0.32835820895522394</v>
      </c>
      <c r="G33" s="44"/>
    </row>
    <row r="34" spans="1:7" ht="17" customHeight="1">
      <c r="A34" s="44"/>
      <c r="B34" s="98"/>
      <c r="C34" s="40" t="s">
        <v>127</v>
      </c>
      <c r="D34" s="40">
        <v>0.34</v>
      </c>
      <c r="E34" s="99">
        <f>D34/$D$41</f>
        <v>0.16915422885572143</v>
      </c>
    </row>
    <row r="35" spans="1:7" ht="17" customHeight="1">
      <c r="A35" s="44"/>
      <c r="B35" s="98"/>
      <c r="C35" s="40" t="s">
        <v>78</v>
      </c>
      <c r="E35" s="99">
        <f>1-SUM(E33:E34)</f>
        <v>0.50248756218905466</v>
      </c>
    </row>
    <row r="36" spans="1:7" ht="17" customHeight="1">
      <c r="A36" s="44"/>
      <c r="B36" s="98"/>
      <c r="C36" s="40" t="s">
        <v>130</v>
      </c>
      <c r="D36" s="40">
        <f>SUM(D33:D35)</f>
        <v>1</v>
      </c>
      <c r="E36" s="40">
        <f>SUM(E33:E35)</f>
        <v>1</v>
      </c>
    </row>
    <row r="37" spans="1:7" ht="17" customHeight="1">
      <c r="A37" s="44"/>
      <c r="B37" s="98"/>
      <c r="C37" s="117" t="s">
        <v>81</v>
      </c>
      <c r="G37" s="44"/>
    </row>
    <row r="38" spans="1:7" ht="17" customHeight="1">
      <c r="A38" s="44"/>
      <c r="B38" s="98"/>
      <c r="C38" s="40" t="s">
        <v>107</v>
      </c>
      <c r="D38" s="40">
        <v>1.1299999999999999</v>
      </c>
      <c r="E38" s="99">
        <f>D38/$D$41</f>
        <v>0.56218905472636815</v>
      </c>
      <c r="G38" s="44"/>
    </row>
    <row r="39" spans="1:7" ht="17" customHeight="1">
      <c r="A39" s="44"/>
      <c r="B39" s="98"/>
      <c r="C39" s="40" t="s">
        <v>108</v>
      </c>
      <c r="D39" s="40">
        <v>0.57999999999999996</v>
      </c>
      <c r="E39" s="99">
        <f t="shared" ref="E39:E40" si="1">D39/$D$41</f>
        <v>0.28855721393034828</v>
      </c>
      <c r="G39" s="44"/>
    </row>
    <row r="40" spans="1:7" ht="17" customHeight="1">
      <c r="A40" s="44"/>
      <c r="B40" s="98"/>
      <c r="C40" s="40" t="s">
        <v>104</v>
      </c>
      <c r="D40" s="40">
        <v>0.3</v>
      </c>
      <c r="E40" s="99">
        <f t="shared" si="1"/>
        <v>0.1492537313432836</v>
      </c>
    </row>
    <row r="41" spans="1:7" ht="17" customHeight="1">
      <c r="A41" s="44"/>
      <c r="B41" s="98"/>
      <c r="C41" s="40" t="s">
        <v>130</v>
      </c>
      <c r="D41" s="40">
        <f>SUM(D38:D40)</f>
        <v>2.0099999999999998</v>
      </c>
      <c r="E41" s="40">
        <f>SUM(E38:E40)</f>
        <v>1</v>
      </c>
    </row>
    <row r="42" spans="1:7" ht="17" customHeight="1">
      <c r="A42" s="44"/>
      <c r="B42" s="98"/>
      <c r="G42" s="44"/>
    </row>
    <row r="43" spans="1:7" ht="17" customHeight="1">
      <c r="A43" s="44"/>
      <c r="B43" s="98"/>
      <c r="C43" s="44" t="s">
        <v>82</v>
      </c>
      <c r="F43" s="106"/>
      <c r="G43" s="44"/>
    </row>
    <row r="44" spans="1:7" ht="17" customHeight="1">
      <c r="A44" s="44"/>
      <c r="B44" s="98"/>
      <c r="C44" s="40" t="s">
        <v>112</v>
      </c>
    </row>
    <row r="45" spans="1:7" ht="17" customHeight="1">
      <c r="A45" s="44"/>
      <c r="B45" s="98"/>
      <c r="C45" s="40" t="s">
        <v>109</v>
      </c>
      <c r="D45" s="40">
        <v>22</v>
      </c>
      <c r="E45" s="40" t="s">
        <v>72</v>
      </c>
    </row>
    <row r="46" spans="1:7" ht="17" customHeight="1">
      <c r="A46" s="44"/>
      <c r="B46" s="98"/>
      <c r="C46" s="40" t="s">
        <v>70</v>
      </c>
      <c r="D46" s="40">
        <v>7500</v>
      </c>
      <c r="E46" s="40" t="s">
        <v>87</v>
      </c>
    </row>
    <row r="47" spans="1:7" ht="17" customHeight="1">
      <c r="A47" s="44"/>
      <c r="B47" s="98"/>
      <c r="C47" s="40" t="s">
        <v>71</v>
      </c>
      <c r="D47" s="40">
        <v>30</v>
      </c>
      <c r="E47" s="40" t="s">
        <v>83</v>
      </c>
    </row>
    <row r="48" spans="1:7" ht="17" customHeight="1">
      <c r="A48" s="44"/>
      <c r="B48" s="98"/>
    </row>
    <row r="49" spans="1:26" ht="17" customHeight="1">
      <c r="A49" s="44"/>
      <c r="B49" s="98"/>
      <c r="C49" s="44" t="s">
        <v>113</v>
      </c>
    </row>
    <row r="50" spans="1:26" ht="17" customHeight="1">
      <c r="A50" s="44"/>
      <c r="B50" s="98"/>
      <c r="C50" s="40" t="s">
        <v>129</v>
      </c>
    </row>
    <row r="51" spans="1:26" ht="17" customHeight="1">
      <c r="A51" s="44"/>
      <c r="B51" s="98"/>
      <c r="C51" s="40" t="s">
        <v>117</v>
      </c>
      <c r="N51" s="40" t="s">
        <v>143</v>
      </c>
    </row>
    <row r="52" spans="1:26" ht="17" customHeight="1">
      <c r="A52" s="44"/>
      <c r="B52" s="98"/>
    </row>
    <row r="53" spans="1:26" ht="17" customHeight="1">
      <c r="A53" s="44"/>
      <c r="B53" s="98"/>
      <c r="D53" s="40" t="s">
        <v>114</v>
      </c>
      <c r="E53" s="40" t="s">
        <v>115</v>
      </c>
      <c r="F53" s="40" t="s">
        <v>116</v>
      </c>
    </row>
    <row r="54" spans="1:26" ht="17" customHeight="1">
      <c r="A54" s="44"/>
      <c r="B54" s="98"/>
      <c r="C54" s="40" t="s">
        <v>69</v>
      </c>
      <c r="D54" s="108">
        <f>1.62*$D$45*10^6</f>
        <v>35640000</v>
      </c>
      <c r="E54" s="109">
        <f>D64</f>
        <v>25200000</v>
      </c>
      <c r="F54" s="109">
        <f>D54-E54</f>
        <v>10440000</v>
      </c>
      <c r="G54" s="40" t="s">
        <v>67</v>
      </c>
    </row>
    <row r="55" spans="1:26" ht="17" customHeight="1">
      <c r="A55" s="44"/>
      <c r="B55" s="98"/>
      <c r="C55" s="40" t="s">
        <v>84</v>
      </c>
      <c r="D55" s="108">
        <f>0.08*$D$45*10^6</f>
        <v>1760000</v>
      </c>
      <c r="E55" s="109">
        <f t="shared" ref="E55:E57" si="2">D65</f>
        <v>1200000</v>
      </c>
      <c r="F55" s="109">
        <f t="shared" ref="F55:F57" si="3">D55-E55</f>
        <v>560000</v>
      </c>
      <c r="G55" s="40" t="s">
        <v>86</v>
      </c>
    </row>
    <row r="56" spans="1:26" ht="17" customHeight="1">
      <c r="A56" s="44"/>
      <c r="B56" s="98"/>
      <c r="C56" s="40" t="s">
        <v>85</v>
      </c>
      <c r="D56" s="108">
        <f>0.05*D54</f>
        <v>1782000</v>
      </c>
      <c r="E56" s="109">
        <f t="shared" si="2"/>
        <v>1260000</v>
      </c>
      <c r="F56" s="109">
        <f t="shared" si="3"/>
        <v>522000</v>
      </c>
      <c r="G56" s="40" t="s">
        <v>86</v>
      </c>
    </row>
    <row r="57" spans="1:26" ht="17" customHeight="1">
      <c r="A57" s="44"/>
      <c r="B57" s="98"/>
      <c r="C57" s="40" t="s">
        <v>85</v>
      </c>
      <c r="D57" s="99">
        <f>D56/D46</f>
        <v>237.6</v>
      </c>
      <c r="E57" s="109">
        <f t="shared" si="2"/>
        <v>168</v>
      </c>
      <c r="F57" s="109">
        <f t="shared" si="3"/>
        <v>69.599999999999994</v>
      </c>
      <c r="G57" s="40" t="s">
        <v>88</v>
      </c>
      <c r="N57" s="121"/>
      <c r="O57" s="122"/>
      <c r="P57" s="123"/>
      <c r="Q57" s="124"/>
      <c r="R57" s="124"/>
      <c r="S57" s="124"/>
      <c r="T57" s="124"/>
      <c r="U57" s="124"/>
      <c r="V57" s="124"/>
      <c r="W57" s="124"/>
      <c r="X57" s="124"/>
      <c r="Y57" s="124"/>
      <c r="Z57" s="124"/>
    </row>
    <row r="58" spans="1:26" ht="17" customHeight="1">
      <c r="A58" s="44"/>
      <c r="B58" s="98"/>
      <c r="N58" s="121"/>
      <c r="O58" s="122"/>
      <c r="P58" s="125"/>
      <c r="Q58" s="125"/>
      <c r="R58" s="125"/>
      <c r="S58" s="125"/>
      <c r="T58" s="125"/>
      <c r="U58" s="126"/>
      <c r="V58" s="126"/>
      <c r="W58" s="126"/>
      <c r="X58" s="126"/>
      <c r="Y58" s="127"/>
      <c r="Z58" s="127"/>
    </row>
    <row r="59" spans="1:26" ht="17" customHeight="1">
      <c r="A59" s="44"/>
      <c r="B59" s="98"/>
      <c r="E59" s="99"/>
      <c r="F59" s="106"/>
      <c r="G59" s="44"/>
      <c r="N59" s="121"/>
      <c r="O59" s="122"/>
      <c r="P59" s="128"/>
      <c r="Q59" s="128"/>
      <c r="R59" s="128"/>
      <c r="S59" s="128"/>
      <c r="T59" s="128"/>
      <c r="U59" s="126"/>
      <c r="V59" s="126"/>
      <c r="W59" s="126"/>
      <c r="X59" s="126"/>
      <c r="Y59" s="129"/>
      <c r="Z59" s="129"/>
    </row>
    <row r="60" spans="1:26" ht="17" customHeight="1">
      <c r="A60" s="44"/>
      <c r="B60" s="98"/>
      <c r="C60" s="44" t="s">
        <v>118</v>
      </c>
      <c r="F60" s="106"/>
      <c r="G60" s="44"/>
      <c r="N60" s="121"/>
      <c r="O60" s="122"/>
      <c r="P60" s="130"/>
      <c r="Q60" s="130"/>
      <c r="R60" s="130"/>
      <c r="S60" s="130"/>
      <c r="T60" s="130"/>
      <c r="U60" s="130"/>
      <c r="V60" s="130"/>
      <c r="W60" s="130"/>
      <c r="X60" s="130"/>
      <c r="Y60" s="129"/>
      <c r="Z60" s="129"/>
    </row>
    <row r="61" spans="1:26" ht="17" customHeight="1">
      <c r="A61" s="44"/>
      <c r="B61" s="98"/>
      <c r="C61" s="40" t="s">
        <v>119</v>
      </c>
      <c r="D61" s="40">
        <v>15</v>
      </c>
      <c r="E61" s="40" t="s">
        <v>105</v>
      </c>
      <c r="G61" s="44"/>
      <c r="N61" s="131"/>
      <c r="O61" s="131"/>
      <c r="P61" s="130"/>
      <c r="Q61" s="130"/>
      <c r="R61" s="130"/>
      <c r="S61" s="130"/>
      <c r="T61" s="130"/>
      <c r="U61" s="130"/>
      <c r="V61" s="130"/>
      <c r="W61" s="130"/>
      <c r="X61" s="130"/>
      <c r="Y61" s="129"/>
      <c r="Z61" s="129"/>
    </row>
    <row r="62" spans="1:26" ht="17" customHeight="1">
      <c r="A62" s="44"/>
      <c r="B62" s="98"/>
      <c r="C62" s="40" t="s">
        <v>70</v>
      </c>
      <c r="D62" s="40">
        <v>7500</v>
      </c>
      <c r="E62" s="40" t="s">
        <v>87</v>
      </c>
      <c r="G62" s="44"/>
      <c r="N62" s="131"/>
      <c r="O62" s="132"/>
      <c r="P62" s="133"/>
      <c r="Q62" s="133"/>
      <c r="R62" s="134"/>
      <c r="S62" s="133"/>
      <c r="T62" s="133"/>
      <c r="U62" s="135"/>
      <c r="V62" s="135"/>
      <c r="W62" s="135"/>
      <c r="X62" s="135"/>
      <c r="Y62" s="129"/>
      <c r="Z62" s="129"/>
    </row>
    <row r="63" spans="1:26">
      <c r="G63" s="44"/>
      <c r="N63" s="131"/>
      <c r="O63" s="132"/>
      <c r="P63" s="133"/>
      <c r="Q63" s="133"/>
      <c r="R63" s="134"/>
      <c r="S63" s="133"/>
      <c r="T63" s="133"/>
      <c r="U63" s="135"/>
      <c r="V63" s="135"/>
      <c r="W63" s="135"/>
      <c r="X63" s="135"/>
      <c r="Y63" s="129"/>
      <c r="Z63" s="129"/>
    </row>
    <row r="64" spans="1:26">
      <c r="C64" s="40" t="s">
        <v>69</v>
      </c>
      <c r="D64" s="108">
        <f>1.68*10^6*D61</f>
        <v>25200000</v>
      </c>
      <c r="E64" s="40" t="s">
        <v>67</v>
      </c>
      <c r="F64" s="40" t="s">
        <v>106</v>
      </c>
      <c r="G64" s="44"/>
      <c r="N64" s="131"/>
      <c r="O64" s="131"/>
      <c r="P64" s="133"/>
      <c r="Q64" s="133"/>
      <c r="R64" s="134"/>
      <c r="S64" s="133"/>
      <c r="T64" s="133"/>
      <c r="U64" s="133"/>
      <c r="V64" s="133"/>
      <c r="W64" s="133"/>
      <c r="X64" s="133"/>
      <c r="Y64" s="129"/>
      <c r="Z64" s="129"/>
    </row>
    <row r="65" spans="3:26">
      <c r="C65" s="40" t="s">
        <v>84</v>
      </c>
      <c r="D65" s="108">
        <f>0.08*D61*10^6</f>
        <v>1200000</v>
      </c>
      <c r="E65" s="40" t="s">
        <v>86</v>
      </c>
      <c r="G65" s="44"/>
      <c r="N65" s="131"/>
      <c r="O65" s="132"/>
      <c r="P65" s="133"/>
      <c r="Q65" s="133"/>
      <c r="R65" s="134"/>
      <c r="S65" s="133"/>
      <c r="T65" s="133"/>
      <c r="U65" s="136"/>
      <c r="V65" s="136"/>
      <c r="W65" s="136"/>
      <c r="X65" s="136"/>
      <c r="Y65" s="129"/>
      <c r="Z65" s="129"/>
    </row>
    <row r="66" spans="3:26">
      <c r="C66" s="40" t="s">
        <v>85</v>
      </c>
      <c r="D66" s="108">
        <f>0.05*D64</f>
        <v>1260000</v>
      </c>
      <c r="E66" s="40" t="s">
        <v>86</v>
      </c>
      <c r="G66" s="44"/>
      <c r="N66" s="131"/>
      <c r="O66" s="131"/>
      <c r="P66" s="133"/>
      <c r="Q66" s="133"/>
      <c r="R66" s="134"/>
      <c r="S66" s="133"/>
      <c r="T66" s="133"/>
      <c r="U66" s="136"/>
      <c r="V66" s="136"/>
      <c r="W66" s="136"/>
      <c r="X66" s="136"/>
      <c r="Y66" s="129"/>
      <c r="Z66" s="129"/>
    </row>
    <row r="67" spans="3:26">
      <c r="C67" s="40" t="s">
        <v>85</v>
      </c>
      <c r="D67" s="99">
        <f>D66/D62</f>
        <v>168</v>
      </c>
      <c r="E67" s="40" t="s">
        <v>88</v>
      </c>
      <c r="G67" s="44"/>
      <c r="N67" s="131"/>
      <c r="O67" s="132"/>
      <c r="P67" s="133"/>
      <c r="Q67" s="133"/>
      <c r="R67" s="134"/>
      <c r="S67" s="133"/>
      <c r="T67" s="133"/>
      <c r="U67" s="136"/>
      <c r="V67" s="136"/>
      <c r="W67" s="136"/>
      <c r="X67" s="136"/>
      <c r="Y67" s="129"/>
      <c r="Z67" s="129"/>
    </row>
    <row r="68" spans="3:26">
      <c r="G68" s="44"/>
      <c r="N68" s="131"/>
      <c r="O68" s="132"/>
      <c r="P68" s="133"/>
      <c r="Q68" s="133"/>
      <c r="R68" s="134"/>
      <c r="S68" s="133"/>
      <c r="T68" s="133"/>
      <c r="U68" s="136"/>
      <c r="V68" s="136"/>
      <c r="W68" s="136"/>
      <c r="X68" s="136"/>
      <c r="Y68" s="129"/>
      <c r="Z68" s="129"/>
    </row>
    <row r="69" spans="3:26">
      <c r="G69" s="44"/>
      <c r="N69" s="131"/>
      <c r="O69" s="132"/>
      <c r="P69" s="133"/>
      <c r="Q69" s="133"/>
      <c r="R69" s="134"/>
      <c r="S69" s="133"/>
      <c r="T69" s="133"/>
      <c r="U69" s="133"/>
      <c r="V69" s="133"/>
      <c r="W69" s="133"/>
      <c r="X69" s="133"/>
      <c r="Y69" s="129"/>
      <c r="Z69" s="129"/>
    </row>
    <row r="70" spans="3:26">
      <c r="C70" s="44"/>
      <c r="D70" s="99"/>
      <c r="E70" s="76"/>
      <c r="G70" s="44"/>
      <c r="N70" s="131"/>
      <c r="O70" s="132"/>
      <c r="P70" s="133"/>
      <c r="Q70" s="133"/>
      <c r="R70" s="134"/>
      <c r="S70" s="133"/>
      <c r="T70" s="133"/>
      <c r="U70" s="133"/>
      <c r="V70" s="133"/>
      <c r="W70" s="133"/>
      <c r="X70" s="133"/>
      <c r="Y70" s="129"/>
      <c r="Z70" s="129"/>
    </row>
    <row r="71" spans="3:26">
      <c r="E71" s="99"/>
      <c r="G71" s="44"/>
      <c r="N71" s="131"/>
      <c r="O71" s="132"/>
      <c r="P71" s="133"/>
      <c r="Q71" s="133"/>
      <c r="R71" s="134"/>
      <c r="S71" s="133"/>
      <c r="T71" s="133"/>
      <c r="U71" s="133"/>
      <c r="V71" s="133"/>
      <c r="W71" s="133"/>
      <c r="X71" s="133"/>
      <c r="Y71" s="129"/>
      <c r="Z71" s="129"/>
    </row>
    <row r="72" spans="3:26">
      <c r="D72" s="99"/>
      <c r="E72" s="99"/>
      <c r="G72" s="44"/>
      <c r="N72" s="131"/>
      <c r="O72" s="132"/>
      <c r="P72" s="133"/>
      <c r="Q72" s="133"/>
      <c r="R72" s="134"/>
      <c r="S72" s="133"/>
      <c r="T72" s="133"/>
      <c r="U72" s="133"/>
      <c r="V72" s="133"/>
      <c r="W72" s="133"/>
      <c r="X72" s="133"/>
      <c r="Y72" s="129"/>
      <c r="Z72" s="129"/>
    </row>
    <row r="73" spans="3:26">
      <c r="N73" s="131"/>
      <c r="O73" s="132"/>
      <c r="P73" s="133"/>
      <c r="Q73" s="133"/>
      <c r="R73" s="134"/>
      <c r="S73" s="133"/>
      <c r="T73" s="133"/>
      <c r="U73" s="133"/>
      <c r="V73" s="133"/>
      <c r="W73" s="133"/>
      <c r="X73" s="133"/>
      <c r="Y73" s="129"/>
      <c r="Z73" s="129"/>
    </row>
    <row r="74" spans="3:26">
      <c r="N74" s="131"/>
      <c r="O74" s="131"/>
      <c r="P74" s="133"/>
      <c r="Q74" s="133"/>
      <c r="R74" s="134"/>
      <c r="S74" s="133"/>
      <c r="T74" s="133"/>
      <c r="U74" s="133"/>
      <c r="V74" s="133"/>
      <c r="W74" s="133"/>
      <c r="X74" s="133"/>
      <c r="Y74" s="129"/>
      <c r="Z74" s="129"/>
    </row>
    <row r="75" spans="3:26">
      <c r="N75" s="131"/>
      <c r="O75" s="132"/>
      <c r="P75" s="137"/>
      <c r="Q75" s="137"/>
      <c r="R75" s="138"/>
      <c r="S75" s="137"/>
      <c r="T75" s="137"/>
      <c r="U75" s="133"/>
      <c r="V75" s="133"/>
      <c r="W75" s="133"/>
      <c r="X75" s="133"/>
      <c r="Y75" s="129"/>
      <c r="Z75" s="129"/>
    </row>
    <row r="76" spans="3:26">
      <c r="N76" s="131"/>
      <c r="O76" s="132"/>
      <c r="P76" s="139"/>
      <c r="Q76" s="139"/>
      <c r="R76" s="140"/>
      <c r="S76" s="139"/>
      <c r="T76" s="139"/>
      <c r="U76" s="129"/>
      <c r="V76" s="129"/>
      <c r="W76" s="129"/>
      <c r="X76" s="129"/>
      <c r="Y76" s="129"/>
      <c r="Z76" s="129"/>
    </row>
    <row r="77" spans="3:26">
      <c r="N77" s="131"/>
      <c r="O77" s="132"/>
      <c r="P77" s="139"/>
      <c r="Q77" s="139"/>
      <c r="R77" s="140"/>
      <c r="S77" s="139"/>
      <c r="T77" s="139"/>
      <c r="U77" s="129"/>
      <c r="V77" s="129"/>
      <c r="W77" s="129"/>
      <c r="X77" s="129"/>
      <c r="Y77" s="129"/>
      <c r="Z77" s="129"/>
    </row>
    <row r="78" spans="3:26">
      <c r="N78" s="131"/>
      <c r="O78" s="132"/>
      <c r="P78" s="133"/>
      <c r="Q78" s="133"/>
      <c r="R78" s="141"/>
      <c r="S78" s="142"/>
      <c r="T78" s="142"/>
      <c r="U78" s="133"/>
      <c r="V78" s="133"/>
      <c r="W78" s="133"/>
      <c r="X78" s="133"/>
      <c r="Y78" s="129"/>
      <c r="Z78" s="129"/>
    </row>
    <row r="79" spans="3:26">
      <c r="N79" s="131"/>
      <c r="O79" s="132"/>
      <c r="P79" s="143"/>
      <c r="Q79" s="143"/>
      <c r="R79" s="144"/>
      <c r="S79" s="143"/>
      <c r="T79" s="143"/>
      <c r="U79" s="135"/>
      <c r="V79" s="135"/>
      <c r="W79" s="135"/>
      <c r="X79" s="135"/>
      <c r="Y79" s="129"/>
      <c r="Z79" s="129"/>
    </row>
    <row r="80" spans="3:26">
      <c r="N80" s="131"/>
      <c r="O80" s="132"/>
      <c r="P80" s="142"/>
      <c r="Q80" s="142"/>
      <c r="R80" s="141"/>
      <c r="S80" s="142"/>
      <c r="T80" s="142"/>
      <c r="U80" s="136"/>
      <c r="V80" s="136"/>
      <c r="W80" s="136"/>
      <c r="X80" s="136"/>
      <c r="Y80" s="129"/>
      <c r="Z80" s="129"/>
    </row>
    <row r="81" spans="14:26">
      <c r="N81" s="131"/>
      <c r="O81" s="145"/>
      <c r="P81" s="133"/>
      <c r="Q81" s="133"/>
      <c r="R81" s="134"/>
      <c r="S81" s="133"/>
      <c r="T81" s="133"/>
      <c r="U81" s="136"/>
      <c r="V81" s="136"/>
      <c r="W81" s="136"/>
      <c r="X81" s="136"/>
      <c r="Y81" s="129"/>
      <c r="Z81" s="129"/>
    </row>
    <row r="82" spans="14:26">
      <c r="N82" s="131"/>
      <c r="O82" s="132"/>
      <c r="P82" s="133"/>
      <c r="Q82" s="133"/>
      <c r="R82" s="134"/>
      <c r="S82" s="133"/>
      <c r="T82" s="133"/>
      <c r="U82" s="133"/>
      <c r="V82" s="133"/>
      <c r="W82" s="133"/>
      <c r="X82" s="133"/>
      <c r="Y82" s="129"/>
      <c r="Z82" s="129"/>
    </row>
    <row r="83" spans="14:26">
      <c r="N83" s="131"/>
      <c r="O83" s="132"/>
      <c r="P83" s="133"/>
      <c r="Q83" s="133"/>
      <c r="R83" s="134"/>
      <c r="S83" s="133"/>
      <c r="T83" s="133"/>
      <c r="U83" s="133"/>
      <c r="V83" s="133"/>
      <c r="W83" s="133"/>
      <c r="X83" s="133"/>
      <c r="Y83" s="129"/>
      <c r="Z83" s="129"/>
    </row>
    <row r="84" spans="14:26">
      <c r="N84" s="131"/>
      <c r="O84" s="132"/>
      <c r="P84" s="133"/>
      <c r="Q84" s="133"/>
      <c r="R84" s="134"/>
      <c r="S84" s="133"/>
      <c r="T84" s="133"/>
      <c r="U84" s="133"/>
      <c r="V84" s="133"/>
      <c r="W84" s="133"/>
      <c r="X84" s="133"/>
      <c r="Y84" s="129"/>
      <c r="Z84" s="129"/>
    </row>
    <row r="85" spans="14:26">
      <c r="N85" s="131"/>
      <c r="O85" s="132"/>
      <c r="P85" s="139"/>
      <c r="Q85" s="139"/>
      <c r="R85" s="140"/>
      <c r="S85" s="139"/>
      <c r="T85" s="139"/>
      <c r="U85" s="135"/>
      <c r="V85" s="135"/>
      <c r="W85" s="135"/>
      <c r="X85" s="135"/>
      <c r="Y85" s="129"/>
      <c r="Z85" s="129"/>
    </row>
    <row r="86" spans="14:26">
      <c r="N86" s="131"/>
      <c r="O86" s="132"/>
      <c r="P86" s="133"/>
      <c r="Q86" s="133"/>
      <c r="R86" s="134"/>
      <c r="S86" s="133"/>
      <c r="T86" s="133"/>
      <c r="U86" s="133"/>
      <c r="V86" s="133"/>
      <c r="W86" s="133"/>
      <c r="X86" s="133"/>
      <c r="Y86" s="129"/>
      <c r="Z86" s="129"/>
    </row>
    <row r="87" spans="14:26">
      <c r="N87" s="131"/>
      <c r="O87" s="132"/>
      <c r="P87" s="133"/>
      <c r="Q87" s="133"/>
      <c r="R87" s="134"/>
      <c r="S87" s="133"/>
      <c r="T87" s="133"/>
      <c r="U87" s="133"/>
      <c r="V87" s="133"/>
      <c r="W87" s="133"/>
      <c r="X87" s="133"/>
      <c r="Y87" s="129"/>
      <c r="Z87" s="129"/>
    </row>
    <row r="88" spans="14:26">
      <c r="N88" s="131"/>
      <c r="O88" s="132"/>
      <c r="P88" s="142"/>
      <c r="Q88" s="142"/>
      <c r="R88" s="141"/>
      <c r="S88" s="142"/>
      <c r="T88" s="142"/>
      <c r="U88" s="133"/>
      <c r="V88" s="135"/>
      <c r="W88" s="135"/>
      <c r="X88" s="135"/>
      <c r="Y88" s="129"/>
      <c r="Z88" s="129"/>
    </row>
    <row r="89" spans="14:26">
      <c r="N89" s="131"/>
      <c r="O89" s="132"/>
      <c r="P89" s="142"/>
      <c r="Q89" s="142"/>
      <c r="R89" s="141"/>
      <c r="S89" s="142"/>
      <c r="T89" s="142"/>
      <c r="U89" s="136"/>
      <c r="V89" s="136"/>
      <c r="W89" s="136"/>
      <c r="X89" s="136"/>
      <c r="Y89" s="129"/>
      <c r="Z89" s="129"/>
    </row>
    <row r="90" spans="14:26">
      <c r="N90" s="145"/>
      <c r="O90" s="145"/>
      <c r="P90" s="146"/>
      <c r="Q90" s="146"/>
      <c r="R90" s="146"/>
      <c r="S90" s="146"/>
      <c r="T90" s="146"/>
      <c r="U90" s="147"/>
      <c r="V90" s="147"/>
      <c r="W90" s="147"/>
      <c r="X90" s="147"/>
      <c r="Y90" s="148"/>
      <c r="Z90" s="148"/>
    </row>
    <row r="91" spans="14:26">
      <c r="N91" s="149"/>
      <c r="O91" s="145"/>
      <c r="P91" s="145"/>
      <c r="Q91" s="145"/>
      <c r="R91" s="145"/>
      <c r="S91" s="145"/>
      <c r="T91" s="145"/>
      <c r="U91" s="145"/>
      <c r="V91" s="145"/>
      <c r="W91" s="145"/>
      <c r="X91" s="145"/>
      <c r="Y91" s="145"/>
      <c r="Z91" s="145"/>
    </row>
    <row r="92" spans="14:26">
      <c r="N92" s="150"/>
      <c r="O92" s="151"/>
      <c r="P92" s="145"/>
      <c r="Q92" s="145"/>
      <c r="R92" s="145"/>
      <c r="S92" s="145"/>
      <c r="T92" s="145"/>
      <c r="U92" s="145"/>
      <c r="V92" s="145"/>
      <c r="W92" s="145"/>
      <c r="X92" s="145"/>
      <c r="Y92" s="145"/>
      <c r="Z92" s="145"/>
    </row>
    <row r="93" spans="14:26">
      <c r="N93" s="150"/>
      <c r="O93" s="151"/>
      <c r="P93" s="145"/>
      <c r="Q93" s="145"/>
      <c r="R93" s="145"/>
      <c r="S93" s="145"/>
      <c r="T93" s="145"/>
      <c r="U93" s="145"/>
      <c r="V93" s="145"/>
      <c r="W93" s="145"/>
      <c r="X93" s="145"/>
      <c r="Y93" s="145"/>
      <c r="Z93" s="145"/>
    </row>
    <row r="94" spans="14:26">
      <c r="N94" s="150"/>
      <c r="O94" s="151"/>
      <c r="P94" s="145"/>
      <c r="Q94" s="145"/>
      <c r="R94" s="145"/>
      <c r="S94" s="145"/>
      <c r="T94" s="145"/>
      <c r="U94" s="145"/>
      <c r="V94" s="145"/>
      <c r="W94" s="145"/>
      <c r="X94" s="145"/>
      <c r="Y94" s="145"/>
      <c r="Z94" s="145"/>
    </row>
    <row r="95" spans="14:26">
      <c r="N95" s="150"/>
      <c r="O95" s="151"/>
      <c r="P95" s="145"/>
      <c r="Q95" s="145"/>
      <c r="R95" s="145"/>
      <c r="S95" s="145"/>
      <c r="T95" s="145"/>
      <c r="U95" s="145"/>
      <c r="V95" s="145"/>
      <c r="W95" s="145"/>
      <c r="X95" s="145"/>
      <c r="Y95" s="145"/>
      <c r="Z95" s="145"/>
    </row>
    <row r="96" spans="14:26">
      <c r="N96" s="150"/>
      <c r="O96" s="151"/>
      <c r="P96" s="145"/>
      <c r="Q96" s="145"/>
      <c r="R96" s="145"/>
      <c r="S96" s="145"/>
      <c r="T96" s="145"/>
      <c r="U96" s="145"/>
      <c r="V96" s="145"/>
      <c r="W96" s="145"/>
      <c r="X96" s="145"/>
      <c r="Y96" s="145"/>
      <c r="Z96" s="145"/>
    </row>
    <row r="97" spans="14:26">
      <c r="N97" s="150"/>
      <c r="O97" s="151"/>
      <c r="P97" s="145"/>
      <c r="Q97" s="145"/>
      <c r="R97" s="145"/>
      <c r="S97" s="145"/>
      <c r="T97" s="145"/>
      <c r="U97" s="145"/>
      <c r="V97" s="145"/>
      <c r="W97" s="145"/>
      <c r="X97" s="145"/>
      <c r="Y97" s="145"/>
      <c r="Z97" s="145"/>
    </row>
    <row r="98" spans="14:26">
      <c r="N98" s="150"/>
      <c r="O98" s="151"/>
      <c r="P98" s="145"/>
      <c r="Q98" s="145"/>
      <c r="R98" s="145"/>
      <c r="S98" s="145"/>
      <c r="T98" s="145"/>
      <c r="U98" s="145"/>
      <c r="V98" s="145"/>
      <c r="W98" s="145"/>
      <c r="X98" s="145"/>
      <c r="Y98" s="145"/>
      <c r="Z98" s="145"/>
    </row>
    <row r="99" spans="14:26">
      <c r="N99" s="150"/>
      <c r="O99" s="151"/>
      <c r="P99" s="145"/>
      <c r="Q99" s="145"/>
      <c r="R99" s="145"/>
      <c r="S99" s="145"/>
      <c r="T99" s="145"/>
      <c r="U99" s="145"/>
      <c r="V99" s="145"/>
      <c r="W99" s="145"/>
      <c r="X99" s="145"/>
      <c r="Y99" s="145"/>
      <c r="Z99" s="145"/>
    </row>
    <row r="101" spans="14:26">
      <c r="N101" s="40" t="s">
        <v>103</v>
      </c>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2025-11-12T08:37:59Z</dcterms:modified>
</cp:coreProperties>
</file>