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18"/>
  <workbookPr showInkAnnotation="0" codeName="ThisWorkbook" autoCompressPictures="0"/>
  <mc:AlternateContent xmlns:mc="http://schemas.openxmlformats.org/markup-compatibility/2006">
    <mc:Choice Requires="x15">
      <x15ac:absPath xmlns:x15ac="http://schemas.microsoft.com/office/spreadsheetml/2010/11/ac" url="/Users/kyradehaan/github/etdataset/nodes_source_analyses/energy/energy/"/>
    </mc:Choice>
  </mc:AlternateContent>
  <xr:revisionPtr revIDLastSave="0" documentId="13_ncr:1_{729AAA16-A91B-FD4A-925B-D9D293430FBA}" xr6:coauthVersionLast="47" xr6:coauthVersionMax="47" xr10:uidLastSave="{00000000-0000-0000-0000-000000000000}"/>
  <bookViews>
    <workbookView xWindow="0" yWindow="0" windowWidth="51200" windowHeight="28800" tabRatio="762" activeTab="4" xr2:uid="{00000000-000D-0000-FFFF-FFFF00000000}"/>
  </bookViews>
  <sheets>
    <sheet name="Cover sheet" sheetId="14" r:id="rId1"/>
    <sheet name="Dashboard" sheetId="12" r:id="rId2"/>
    <sheet name="Research data" sheetId="13" r:id="rId3"/>
    <sheet name="Sources" sheetId="15" r:id="rId4"/>
    <sheet name="Notes" sheetId="20" r:id="rId5"/>
  </sheets>
  <externalReferences>
    <externalReference r:id="rId6"/>
    <externalReference r:id="rId7"/>
  </externalReferences>
  <definedNames>
    <definedName name="exchange_rate_2011_2010">#REF!</definedName>
    <definedName name="Final_demand_residences">'[1]Fuel aggregation'!$L$11</definedName>
    <definedName name="hours_a_year">#REF!</definedName>
    <definedName name="km2_to_m2">#REF!</definedName>
    <definedName name="kW_to_MW">#REF!</definedName>
    <definedName name="kW_to_W">#REF!</definedName>
    <definedName name="kWp_to_MWp">#REF!</definedName>
    <definedName name="labor_cost">Notes!#REF!</definedName>
    <definedName name="licensing">Notes!#REF!</definedName>
    <definedName name="m2_to_km2">#REF!</definedName>
    <definedName name="overhead_GA">Notes!#REF!</definedName>
    <definedName name="sensitivity_07">'[2]Tornado Charts'!$I$48</definedName>
    <definedName name="STC">#REF!</definedName>
    <definedName name="STC_insolation">#REF!</definedName>
    <definedName name="tax_insurance">Notes!#REF!</definedName>
    <definedName name="W_to_MW">#REF!</definedName>
    <definedName name="Wp_to_kWp">#REF!</definedName>
    <definedName name="WP_to_MWp">#REF!</definedName>
  </definedName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K81" i="20" l="1"/>
  <c r="D81" i="20"/>
  <c r="K83" i="20"/>
  <c r="G82" i="20" s="1"/>
  <c r="D83" i="20"/>
  <c r="G81" i="20" s="1"/>
  <c r="D45" i="20"/>
  <c r="E16" i="12" s="1"/>
  <c r="D7" i="20"/>
  <c r="E15" i="12" s="1"/>
  <c r="G83" i="20" l="1"/>
  <c r="G86" i="20" l="1"/>
  <c r="G88" i="20"/>
  <c r="D98" i="20" s="1"/>
  <c r="G87" i="20"/>
  <c r="D97" i="20" l="1"/>
  <c r="E33" i="12" s="1"/>
  <c r="D96" i="20"/>
  <c r="E32" i="12" s="1"/>
  <c r="J12" i="13" l="1"/>
  <c r="H12" i="13" s="1"/>
  <c r="D49" i="20" l="1"/>
  <c r="D48" i="20"/>
  <c r="D12" i="20" s="1"/>
  <c r="E21" i="12" s="1"/>
  <c r="D47" i="20"/>
  <c r="D11" i="20" s="1"/>
  <c r="E19" i="12" s="1"/>
  <c r="D44" i="20"/>
  <c r="D43" i="20"/>
  <c r="D41" i="20"/>
  <c r="D40" i="20"/>
  <c r="D35" i="20"/>
  <c r="E35" i="20" s="1"/>
  <c r="D18" i="20" s="1"/>
  <c r="E13" i="12" s="1"/>
  <c r="D32" i="20"/>
  <c r="D31" i="20"/>
  <c r="D30" i="20"/>
  <c r="E30" i="20" s="1"/>
  <c r="D16" i="20" s="1"/>
  <c r="E14" i="12" s="1"/>
  <c r="D33" i="20" l="1"/>
  <c r="E33" i="20" s="1"/>
  <c r="D17" i="20" s="1"/>
  <c r="D6" i="20"/>
  <c r="E12" i="12" l="1"/>
  <c r="D61" i="20"/>
  <c r="D21" i="20" s="1"/>
  <c r="E20" i="12" l="1"/>
  <c r="J16" i="13"/>
  <c r="H16" i="13" s="1"/>
  <c r="J11" i="13"/>
  <c r="H11" i="13" s="1"/>
  <c r="D50" i="20"/>
  <c r="J17" i="13"/>
  <c r="H17" i="13" s="1"/>
  <c r="J15" i="13"/>
  <c r="H15" i="13" s="1"/>
  <c r="D9" i="20"/>
  <c r="D8" i="20"/>
  <c r="J26" i="13" l="1"/>
  <c r="H26" i="13" s="1"/>
  <c r="E31" i="12"/>
  <c r="D13" i="20"/>
  <c r="E22" i="12" s="1"/>
  <c r="J25" i="13"/>
  <c r="E30" i="12"/>
  <c r="H20" i="13"/>
  <c r="H21" i="13"/>
  <c r="H19" i="13"/>
  <c r="J18" i="13" l="1"/>
  <c r="H18" i="13" s="1"/>
  <c r="H25" i="13"/>
  <c r="E19" i="13"/>
  <c r="E21" i="13"/>
  <c r="H22" i="13"/>
  <c r="J9" i="13" l="1"/>
  <c r="H9" i="13" s="1"/>
  <c r="E20" i="13"/>
  <c r="J8" i="13" l="1"/>
  <c r="H8" i="13" s="1"/>
  <c r="J10" i="13"/>
  <c r="H10" i="13" s="1"/>
  <c r="J7" i="13" l="1"/>
  <c r="E18" i="13"/>
  <c r="H7" i="13" l="1"/>
</calcChain>
</file>

<file path=xl/sharedStrings.xml><?xml version="1.0" encoding="utf-8"?>
<sst xmlns="http://schemas.openxmlformats.org/spreadsheetml/2006/main" count="358" uniqueCount="223">
  <si>
    <t>Source</t>
  </si>
  <si>
    <t>years</t>
  </si>
  <si>
    <t>-</t>
  </si>
  <si>
    <t>Value</t>
  </si>
  <si>
    <t>Other</t>
  </si>
  <si>
    <t>Initial investment costs</t>
  </si>
  <si>
    <t>Definition</t>
  </si>
  <si>
    <t>Unit</t>
  </si>
  <si>
    <t>Link</t>
  </si>
  <si>
    <t>Cover Sheet</t>
  </si>
  <si>
    <t>Document</t>
  </si>
  <si>
    <t>Country</t>
  </si>
  <si>
    <t>Organization</t>
  </si>
  <si>
    <t>Definition on the sources</t>
  </si>
  <si>
    <t>Type</t>
  </si>
  <si>
    <t>Date published</t>
  </si>
  <si>
    <t>Date retrieved</t>
  </si>
  <si>
    <t>Attribute</t>
  </si>
  <si>
    <t>euro</t>
  </si>
  <si>
    <t>free_co2_factor</t>
  </si>
  <si>
    <t>initial_investment</t>
  </si>
  <si>
    <t>fixed_operation_and_maintenance_costs_per_year</t>
  </si>
  <si>
    <t>technical_lifetime</t>
  </si>
  <si>
    <t>Notes</t>
  </si>
  <si>
    <t>Legend</t>
  </si>
  <si>
    <t>Cells</t>
  </si>
  <si>
    <t>Intermediate (calculation)</t>
  </si>
  <si>
    <t>Result</t>
  </si>
  <si>
    <t>Manual input</t>
  </si>
  <si>
    <t>Reference to manual input or data input</t>
  </si>
  <si>
    <t>Tabs</t>
  </si>
  <si>
    <t>Introductory</t>
  </si>
  <si>
    <t>Dashboard</t>
  </si>
  <si>
    <t>Research data</t>
  </si>
  <si>
    <t>Sources</t>
  </si>
  <si>
    <t>Results</t>
  </si>
  <si>
    <t>Main calculations</t>
  </si>
  <si>
    <t>Additional calculations</t>
  </si>
  <si>
    <t>Output to csv</t>
  </si>
  <si>
    <t>Author</t>
  </si>
  <si>
    <t>Cost</t>
  </si>
  <si>
    <t>Technical</t>
  </si>
  <si>
    <t>Comments</t>
  </si>
  <si>
    <t>ETM Library URL</t>
  </si>
  <si>
    <t>Values</t>
  </si>
  <si>
    <t>euro/yr</t>
  </si>
  <si>
    <t>Page</t>
  </si>
  <si>
    <t>wacc</t>
  </si>
  <si>
    <t>%</t>
  </si>
  <si>
    <t>Weighted average cost of capita</t>
  </si>
  <si>
    <t>takes_part_in_ets</t>
  </si>
  <si>
    <t>yes=1, no=0</t>
  </si>
  <si>
    <t>construction_time</t>
  </si>
  <si>
    <t xml:space="preserve">Construction time of the plant </t>
  </si>
  <si>
    <t>Technical lifetime of the plant</t>
  </si>
  <si>
    <t>euro/flh</t>
  </si>
  <si>
    <r>
      <t xml:space="preserve">Variable operation and maintenance costs per </t>
    </r>
    <r>
      <rPr>
        <sz val="12"/>
        <color theme="1"/>
        <rFont val="Calibri"/>
        <family val="2"/>
        <scheme val="minor"/>
      </rPr>
      <t>flh</t>
    </r>
  </si>
  <si>
    <t>full_load_hours</t>
  </si>
  <si>
    <t>hrs/yr</t>
  </si>
  <si>
    <t>cost_of_installing</t>
  </si>
  <si>
    <r>
      <t>variable_operation_and_maintenance_costs_per_</t>
    </r>
    <r>
      <rPr>
        <sz val="12"/>
        <color theme="1"/>
        <rFont val="Calibri"/>
        <family val="2"/>
        <scheme val="minor"/>
      </rPr>
      <t>full_load_hour</t>
    </r>
  </si>
  <si>
    <t>variable_operation_and_maintenance_costs_for_ccs_per_full_load_hour</t>
  </si>
  <si>
    <t>Installation costs</t>
  </si>
  <si>
    <t>Decommissioning costs</t>
  </si>
  <si>
    <r>
      <t>Fixed operational and maintenance costs per year</t>
    </r>
    <r>
      <rPr>
        <sz val="12"/>
        <color theme="1"/>
        <rFont val="Calibri"/>
        <family val="2"/>
        <scheme val="minor"/>
      </rPr>
      <t xml:space="preserve"> (incl. ccs)</t>
    </r>
  </si>
  <si>
    <r>
      <t>decommis</t>
    </r>
    <r>
      <rPr>
        <sz val="12"/>
        <color theme="1"/>
        <rFont val="Calibri"/>
        <family val="2"/>
        <scheme val="minor"/>
      </rPr>
      <t>s</t>
    </r>
    <r>
      <rPr>
        <sz val="12"/>
        <color theme="1"/>
        <rFont val="Calibri"/>
        <family val="2"/>
        <scheme val="minor"/>
      </rPr>
      <t>ioning_costs</t>
    </r>
  </si>
  <si>
    <t>typical_input_capacity</t>
  </si>
  <si>
    <t xml:space="preserve">This sheet summarizes all node attributes formatted in the way they are used by the Energy Transition Model. Use the Excel formulas to find the original data and sources for these numbers. You can also use this document to update the attribute value. Once you have finished updating, save this document and run rake import:node NODE="nodename" to update the node attributes on ETSource. 
</t>
  </si>
  <si>
    <t>output.loss</t>
  </si>
  <si>
    <t>MWe</t>
  </si>
  <si>
    <t>€</t>
  </si>
  <si>
    <t>Subject</t>
  </si>
  <si>
    <t>Investment</t>
  </si>
  <si>
    <t>DK</t>
  </si>
  <si>
    <t>electricity</t>
  </si>
  <si>
    <t>Full load hours</t>
  </si>
  <si>
    <t>Technical lifetime</t>
  </si>
  <si>
    <t>MW</t>
  </si>
  <si>
    <t>hours</t>
  </si>
  <si>
    <t>All specs</t>
  </si>
  <si>
    <t>loss</t>
  </si>
  <si>
    <t>biomass</t>
  </si>
  <si>
    <t>Output</t>
  </si>
  <si>
    <t>Input</t>
  </si>
  <si>
    <t>Danish Energy Agency</t>
  </si>
  <si>
    <t xml:space="preserve">Renewable fuels: Technology descriptions and projections for long-term energy system planning </t>
  </si>
  <si>
    <t>https://refman.energytransitionmodel.com/publications/2218</t>
  </si>
  <si>
    <t>Data Sheets for energy carrier generation and conversion</t>
  </si>
  <si>
    <t>https://refman.energytransitionmodel.com/publications/2219</t>
  </si>
  <si>
    <t>year</t>
  </si>
  <si>
    <t>Note</t>
  </si>
  <si>
    <t>Ref</t>
  </si>
  <si>
    <t>est</t>
  </si>
  <si>
    <t>ctrl</t>
  </si>
  <si>
    <t>Lower</t>
  </si>
  <si>
    <t>Upper</t>
  </si>
  <si>
    <t>Energy/technical data</t>
  </si>
  <si>
    <t>A, B</t>
  </si>
  <si>
    <t>Typical total plant size [MW]</t>
  </si>
  <si>
    <t>A, A1, B</t>
  </si>
  <si>
    <t>D</t>
  </si>
  <si>
    <t>Electricity Output [MWh/MWh Total Input]</t>
  </si>
  <si>
    <t>Forced outage [%]</t>
  </si>
  <si>
    <t>Planned outage [weeks per year]</t>
  </si>
  <si>
    <t>Technical lifetime [years]</t>
  </si>
  <si>
    <t>Construction time [years]</t>
  </si>
  <si>
    <t>Financial data</t>
  </si>
  <si>
    <t xml:space="preserve"> - equipment [%]</t>
  </si>
  <si>
    <t xml:space="preserve"> - installation [%]</t>
  </si>
  <si>
    <t>F</t>
  </si>
  <si>
    <t>Technology-specific data</t>
  </si>
  <si>
    <t>Specific density  [kg/l] or [ton/m3]</t>
  </si>
  <si>
    <t>Notes:</t>
  </si>
  <si>
    <r>
      <t>B.</t>
    </r>
    <r>
      <rPr>
        <sz val="8"/>
        <color rgb="FF000000"/>
        <rFont val="Calibri"/>
        <family val="2"/>
      </rPr>
      <t>     Feedstock availability is likely to determine the maximum plant size.</t>
    </r>
  </si>
  <si>
    <t>Plant size</t>
  </si>
  <si>
    <t>Plant specs</t>
  </si>
  <si>
    <t>Construction time</t>
  </si>
  <si>
    <t>Based on DEA data, year 2030 is taken</t>
  </si>
  <si>
    <t>y</t>
  </si>
  <si>
    <t>Fixed O&amp;M</t>
  </si>
  <si>
    <t>Variable O&amp;M</t>
  </si>
  <si>
    <t>€/y</t>
  </si>
  <si>
    <t>h</t>
  </si>
  <si>
    <t>€/flh</t>
  </si>
  <si>
    <t>Overview</t>
  </si>
  <si>
    <t>euro/y</t>
  </si>
  <si>
    <t>Input/output</t>
  </si>
  <si>
    <t>input.dry_biomass</t>
  </si>
  <si>
    <t>Plant size (production output)</t>
  </si>
  <si>
    <t>Input capacity</t>
  </si>
  <si>
    <t>See https://docs.energytransitionmodel.com/main/cost-wacc/</t>
  </si>
  <si>
    <t>Kyra de Haan</t>
  </si>
  <si>
    <t>CCS</t>
  </si>
  <si>
    <t>ccs_investment</t>
  </si>
  <si>
    <t>taken from energy_hydrogen_biomass_gasification_ccs</t>
  </si>
  <si>
    <t>Technology</t>
  </si>
  <si>
    <t>Bio Methanol</t>
  </si>
  <si>
    <t>cat</t>
  </si>
  <si>
    <t>par</t>
  </si>
  <si>
    <t>Typical total plant size [1,000 t Methanol/year]</t>
  </si>
  <si>
    <t>3, 5, 6</t>
  </si>
  <si>
    <t>Feedstock Consumption, [MWh/MWh Total Input]</t>
  </si>
  <si>
    <t>Methanol Output [MWh/MWh Total Input]</t>
  </si>
  <si>
    <t>District Heating Output [MWh/MWh Total Input]</t>
  </si>
  <si>
    <t>2.5</t>
  </si>
  <si>
    <t>Specific investment [M€/MW Methanol]</t>
  </si>
  <si>
    <t>1, 3, 5, 6</t>
  </si>
  <si>
    <t>75</t>
  </si>
  <si>
    <t>Fixed O&amp;M [M€/MW/year Methanol]</t>
  </si>
  <si>
    <t>E, F</t>
  </si>
  <si>
    <t>Variable O&amp;M [€/MWh methanol]</t>
  </si>
  <si>
    <t>E,,F</t>
  </si>
  <si>
    <t>Start up [M€/1,000 t Methanoll]</t>
  </si>
  <si>
    <t>Specific energy content [GJ/ton] methanol]</t>
  </si>
  <si>
    <t>Specific investment [M€/1,000 t Methanol]</t>
  </si>
  <si>
    <t>Fixed O&amp;M [M€/1,000 t Methanol]</t>
  </si>
  <si>
    <t>Variable O&amp;M [M€/1,000 t Methanol]</t>
  </si>
  <si>
    <r>
      <t>A.</t>
    </r>
    <r>
      <rPr>
        <sz val="8"/>
        <color rgb="FF000000"/>
        <rFont val="Calibri"/>
        <family val="2"/>
      </rPr>
      <t>     The plant size range is assumed based on the proposed Värmlands plant and the NREL n</t>
    </r>
    <r>
      <rPr>
        <vertAlign val="superscript"/>
        <sz val="8"/>
        <color rgb="FF000000"/>
        <rFont val="Calibri"/>
        <family val="2"/>
      </rPr>
      <t>th</t>
    </r>
    <r>
      <rPr>
        <sz val="8"/>
        <color rgb="FF000000"/>
        <rFont val="Calibri"/>
        <family val="2"/>
      </rPr>
      <t xml:space="preserve"> plant.</t>
    </r>
  </si>
  <si>
    <t xml:space="preserve">A1. This value is the hourly rating and has been calculated as if the unit produces at capacity and was in operations 8,000 h/year. </t>
  </si>
  <si>
    <r>
      <t>C.</t>
    </r>
    <r>
      <rPr>
        <sz val="8"/>
        <color rgb="FF000000"/>
        <rFont val="Calibri"/>
        <family val="2"/>
      </rPr>
      <t>     Some plants may produce their own power and have no power imports.</t>
    </r>
  </si>
  <si>
    <r>
      <t>D.</t>
    </r>
    <r>
      <rPr>
        <sz val="8"/>
        <color rgb="FF000000"/>
        <rFont val="Calibri"/>
        <family val="2"/>
      </rPr>
      <t>     Plants that produce their own power will have much lower heat available to district heat.</t>
    </r>
  </si>
  <si>
    <r>
      <t>E.</t>
    </r>
    <r>
      <rPr>
        <sz val="8"/>
        <color rgb="FF000000"/>
        <rFont val="Calibri"/>
        <family val="2"/>
      </rPr>
      <t>     Assumed a 25/75 split on fixed to variable operating costs.</t>
    </r>
  </si>
  <si>
    <r>
      <t>F.</t>
    </r>
    <r>
      <rPr>
        <sz val="8"/>
        <color rgb="FF000000"/>
        <rFont val="Calibri"/>
        <family val="2"/>
      </rPr>
      <t>     M €/k tonne is million euro per 1,000 tonnes</t>
    </r>
  </si>
  <si>
    <t>From DEA, methanol from biomass gasification</t>
  </si>
  <si>
    <t>Biomethanol from biomass gasification</t>
  </si>
  <si>
    <t>in- and output fractions</t>
  </si>
  <si>
    <t>Based on specs from Danish Energy Agency, 2030 values taken</t>
  </si>
  <si>
    <t>biomethanol</t>
  </si>
  <si>
    <t>heat</t>
  </si>
  <si>
    <t>original</t>
  </si>
  <si>
    <t>corrected</t>
  </si>
  <si>
    <t>assumption that heat will be used for internal process</t>
  </si>
  <si>
    <t>assumption that electricity will be used for internal process</t>
  </si>
  <si>
    <t>t methanol/y</t>
  </si>
  <si>
    <t>availability</t>
  </si>
  <si>
    <t>output.biomethanol</t>
  </si>
  <si>
    <t>Biomass gassification for biomethanol production</t>
  </si>
  <si>
    <t>DEA</t>
  </si>
  <si>
    <t>The biomass gassification process emits CO2 which is assumed to be captured</t>
  </si>
  <si>
    <t>CCS costs</t>
  </si>
  <si>
    <t>CCS costs are copied from energy_hydrogen_biomass_gasification_ccs which represents a similar process</t>
  </si>
  <si>
    <t>Correction for typical capacity of the technology needs to be done</t>
  </si>
  <si>
    <t>typical input capacity</t>
  </si>
  <si>
    <t>from energy_hydrogen_biomass_gasification_ccs</t>
  </si>
  <si>
    <t>ccs_investment corrected</t>
  </si>
  <si>
    <t>ccs investment for this node</t>
  </si>
  <si>
    <t>Quintel</t>
  </si>
  <si>
    <t>ccs_capture_rate</t>
  </si>
  <si>
    <t>Calculated using carbon balance</t>
  </si>
  <si>
    <t>Quintel assumption</t>
  </si>
  <si>
    <t>No data available, assumed to be part of initial investment</t>
  </si>
  <si>
    <t>Construction period</t>
  </si>
  <si>
    <t>Carbon in- and output</t>
  </si>
  <si>
    <t>syngas</t>
  </si>
  <si>
    <t>CO2 stream</t>
  </si>
  <si>
    <t>Total</t>
  </si>
  <si>
    <t>Energy input</t>
  </si>
  <si>
    <t>MJ</t>
  </si>
  <si>
    <t>Carbon input</t>
  </si>
  <si>
    <t>kg CO2</t>
  </si>
  <si>
    <t>Energy output</t>
  </si>
  <si>
    <t>Emission factor</t>
  </si>
  <si>
    <t>kg CO2/MJ</t>
  </si>
  <si>
    <t>Carbon output</t>
  </si>
  <si>
    <t>Carbon difference</t>
  </si>
  <si>
    <t>Emission factors taken from ETSource</t>
  </si>
  <si>
    <t>CO2 captured</t>
  </si>
  <si>
    <t>CO2 emitted</t>
  </si>
  <si>
    <t>CO2 total</t>
  </si>
  <si>
    <t>CO2 capture rate</t>
  </si>
  <si>
    <t>Share of CO2 captured in sum of (CO2 emitted, CO2 captured, CO2 in products)</t>
  </si>
  <si>
    <t>This is what goes to the molecule graph</t>
  </si>
  <si>
    <t>co2</t>
  </si>
  <si>
    <t>- emitted</t>
  </si>
  <si>
    <t>- captured</t>
  </si>
  <si>
    <t>output.methanol</t>
  </si>
  <si>
    <t>input.non_biogenic_waste</t>
  </si>
  <si>
    <t>non-biogenic waste</t>
  </si>
  <si>
    <t>methanol</t>
  </si>
  <si>
    <t>from_energy.conversion.non_biogenic_waste</t>
  </si>
  <si>
    <t>energy_production_methanol_synthesis_non_biogenic_waste_ccs</t>
  </si>
  <si>
    <t>Non biogenic waste</t>
  </si>
  <si>
    <t>Methanol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</si>
</sst>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 #,##0.00_ ;_ * \-#,##0.00_ ;_ * &quot;-&quot;??_ ;_ @_ "/>
    <numFmt numFmtId="164" formatCode="0.0"/>
    <numFmt numFmtId="165" formatCode="0.000"/>
    <numFmt numFmtId="166" formatCode="0.0000"/>
    <numFmt numFmtId="167" formatCode="[$-413]mmm\-yy;@"/>
    <numFmt numFmtId="168" formatCode="_ * #,##0_ ;_ * \-#,##0_ ;_ * &quot;-&quot;??_ ;_ @_ "/>
    <numFmt numFmtId="169" formatCode="0.000000"/>
  </numFmts>
  <fonts count="61">
    <font>
      <sz val="12"/>
      <color theme="1"/>
      <name val="Lettertype hoofdtekst"/>
      <family val="2"/>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2"/>
      <color theme="10"/>
      <name val="Lettertype hoofdtekst"/>
      <family val="2"/>
    </font>
    <font>
      <u/>
      <sz val="12"/>
      <color theme="11"/>
      <name val="Lettertype hoofdtekst"/>
      <family val="2"/>
    </font>
    <font>
      <b/>
      <sz val="12"/>
      <color theme="1"/>
      <name val="Calibri"/>
      <family val="2"/>
      <scheme val="minor"/>
    </font>
    <font>
      <sz val="12"/>
      <color rgb="FF000000"/>
      <name val="Calibri"/>
      <family val="2"/>
      <scheme val="minor"/>
    </font>
    <font>
      <b/>
      <sz val="12"/>
      <color rgb="FF000000"/>
      <name val="Calibri"/>
      <family val="2"/>
      <scheme val="minor"/>
    </font>
    <font>
      <b/>
      <sz val="11"/>
      <color rgb="FF000000"/>
      <name val="Calibri"/>
      <family val="2"/>
      <scheme val="minor"/>
    </font>
    <font>
      <b/>
      <sz val="16"/>
      <color rgb="FF1F497D"/>
      <name val="Calibri"/>
      <family val="2"/>
      <scheme val="minor"/>
    </font>
    <font>
      <sz val="12"/>
      <name val="Calibri"/>
      <family val="2"/>
      <scheme val="minor"/>
    </font>
    <font>
      <b/>
      <sz val="12"/>
      <name val="Calibri"/>
      <family val="2"/>
      <scheme val="minor"/>
    </font>
    <font>
      <i/>
      <sz val="12"/>
      <color theme="1"/>
      <name val="Calibri"/>
      <family val="2"/>
      <scheme val="minor"/>
    </font>
    <font>
      <sz val="12"/>
      <color rgb="FF000000"/>
      <name val="Calibri"/>
      <family val="2"/>
    </font>
    <font>
      <sz val="8"/>
      <name val="Lettertype hoofdtekst"/>
      <family val="2"/>
    </font>
    <font>
      <sz val="10"/>
      <name val="Arial"/>
      <family val="2"/>
    </font>
    <font>
      <b/>
      <sz val="14"/>
      <color theme="1"/>
      <name val="Calibri"/>
      <family val="2"/>
      <scheme val="minor"/>
    </font>
    <font>
      <b/>
      <sz val="12"/>
      <color rgb="FFFF0000"/>
      <name val="Calibri"/>
      <family val="2"/>
      <scheme val="minor"/>
    </font>
    <font>
      <sz val="12"/>
      <color theme="1"/>
      <name val="Lettertype hoofdtekst"/>
      <family val="2"/>
    </font>
    <font>
      <i/>
      <sz val="12"/>
      <name val="Calibri"/>
      <family val="2"/>
      <scheme val="minor"/>
    </font>
    <font>
      <b/>
      <sz val="8"/>
      <color rgb="FF969696"/>
      <name val="Calibri"/>
      <family val="2"/>
      <scheme val="minor"/>
    </font>
    <font>
      <sz val="8"/>
      <color rgb="FF969696"/>
      <name val="Calibri"/>
      <family val="2"/>
      <scheme val="minor"/>
    </font>
    <font>
      <b/>
      <sz val="8"/>
      <color theme="1"/>
      <name val="Calibri"/>
      <family val="2"/>
    </font>
    <font>
      <sz val="8"/>
      <color theme="1"/>
      <name val="Calibri"/>
      <family val="2"/>
    </font>
    <font>
      <b/>
      <sz val="8"/>
      <name val="Calibri"/>
      <family val="2"/>
    </font>
    <font>
      <sz val="8"/>
      <color theme="1"/>
      <name val="Calibri"/>
      <family val="2"/>
      <scheme val="minor"/>
    </font>
    <font>
      <b/>
      <sz val="8"/>
      <color theme="1"/>
      <name val="Calibri"/>
      <family val="2"/>
      <scheme val="minor"/>
    </font>
    <font>
      <sz val="8"/>
      <color rgb="FF000000"/>
      <name val="Calibri"/>
      <family val="2"/>
    </font>
    <font>
      <vertAlign val="superscript"/>
      <sz val="8"/>
      <color rgb="FF000000"/>
      <name val="Calibri"/>
      <family val="2"/>
    </font>
    <font>
      <b/>
      <sz val="8"/>
      <name val="Calibri"/>
      <family val="2"/>
      <scheme val="minor"/>
    </font>
    <font>
      <u/>
      <sz val="12"/>
      <name val="Calibri"/>
      <family val="2"/>
      <scheme val="minor"/>
    </font>
    <font>
      <sz val="12"/>
      <color rgb="FF3F3F76"/>
      <name val="Calibri"/>
      <family val="2"/>
      <scheme val="minor"/>
    </font>
    <font>
      <b/>
      <sz val="12"/>
      <color rgb="FF3F3F3F"/>
      <name val="Calibri"/>
      <family val="2"/>
      <scheme val="minor"/>
    </font>
    <font>
      <b/>
      <sz val="12"/>
      <name val="Calibri"/>
      <family val="2"/>
    </font>
    <font>
      <sz val="12"/>
      <color theme="1"/>
      <name val="Calibri"/>
      <family val="2"/>
    </font>
    <font>
      <u/>
      <sz val="12"/>
      <color theme="1"/>
      <name val="Calibri (Body)"/>
    </font>
    <font>
      <u/>
      <sz val="12"/>
      <name val="Calibri (Body)"/>
    </font>
    <font>
      <b/>
      <sz val="12"/>
      <color theme="1"/>
      <name val="Calibri"/>
      <family val="2"/>
    </font>
    <font>
      <sz val="12"/>
      <name val="Calibri"/>
      <family val="2"/>
    </font>
  </fonts>
  <fills count="16">
    <fill>
      <patternFill patternType="none"/>
    </fill>
    <fill>
      <patternFill patternType="gray125"/>
    </fill>
    <fill>
      <patternFill patternType="solid">
        <fgColor theme="0"/>
        <bgColor indexed="64"/>
      </patternFill>
    </fill>
    <fill>
      <patternFill patternType="solid">
        <fgColor theme="0"/>
        <bgColor rgb="FF000000"/>
      </patternFill>
    </fill>
    <fill>
      <patternFill patternType="solid">
        <fgColor theme="2"/>
        <bgColor indexed="64"/>
      </patternFill>
    </fill>
    <fill>
      <patternFill patternType="solid">
        <fgColor rgb="FFFFFF0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7" tint="0.39997558519241921"/>
        <bgColor indexed="64"/>
      </patternFill>
    </fill>
    <fill>
      <patternFill patternType="solid">
        <fgColor rgb="FFFFFFFF"/>
        <bgColor rgb="FF000000"/>
      </patternFill>
    </fill>
    <fill>
      <patternFill patternType="solid">
        <fgColor rgb="FFF2F2F2"/>
        <bgColor indexed="64"/>
      </patternFill>
    </fill>
    <fill>
      <patternFill patternType="solid">
        <fgColor rgb="FFFFCC99"/>
      </patternFill>
    </fill>
    <fill>
      <patternFill patternType="solid">
        <fgColor rgb="FFF2F2F2"/>
      </patternFill>
    </fill>
  </fills>
  <borders count="25">
    <border>
      <left/>
      <right/>
      <top/>
      <bottom/>
      <diagonal/>
    </border>
    <border>
      <left style="thin">
        <color auto="1"/>
      </left>
      <right/>
      <top/>
      <bottom style="thin">
        <color auto="1"/>
      </bottom>
      <diagonal/>
    </border>
    <border>
      <left/>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bottom/>
      <diagonal/>
    </border>
    <border>
      <left style="medium">
        <color auto="1"/>
      </left>
      <right/>
      <top/>
      <bottom/>
      <diagonal/>
    </border>
    <border>
      <left style="thin">
        <color auto="1"/>
      </left>
      <right/>
      <top/>
      <bottom/>
      <diagonal/>
    </border>
    <border>
      <left/>
      <right style="thin">
        <color auto="1"/>
      </right>
      <top/>
      <bottom/>
      <diagonal/>
    </border>
    <border>
      <left/>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style="thin">
        <color auto="1"/>
      </right>
      <top style="thin">
        <color auto="1"/>
      </top>
      <bottom/>
      <diagonal/>
    </border>
    <border>
      <left/>
      <right style="thin">
        <color auto="1"/>
      </right>
      <top/>
      <bottom style="thin">
        <color auto="1"/>
      </bottom>
      <diagonal/>
    </border>
    <border>
      <left/>
      <right style="medium">
        <color auto="1"/>
      </right>
      <top style="medium">
        <color auto="1"/>
      </top>
      <bottom/>
      <diagonal/>
    </border>
    <border>
      <left style="medium">
        <color auto="1"/>
      </left>
      <right/>
      <top/>
      <bottom style="thin">
        <color auto="1"/>
      </bottom>
      <diagonal/>
    </border>
    <border>
      <left style="thin">
        <color auto="1"/>
      </left>
      <right/>
      <top style="thin">
        <color auto="1"/>
      </top>
      <bottom/>
      <diagonal/>
    </border>
    <border>
      <left style="medium">
        <color auto="1"/>
      </left>
      <right style="medium">
        <color auto="1"/>
      </right>
      <top style="medium">
        <color auto="1"/>
      </top>
      <bottom style="medium">
        <color auto="1"/>
      </bottom>
      <diagonal/>
    </border>
    <border>
      <left/>
      <right style="medium">
        <color auto="1"/>
      </right>
      <top/>
      <bottom style="thin">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3F3F3F"/>
      </left>
      <right style="thin">
        <color rgb="FF3F3F3F"/>
      </right>
      <top style="thin">
        <color rgb="FF3F3F3F"/>
      </top>
      <bottom style="thin">
        <color indexed="64"/>
      </bottom>
      <diagonal/>
    </border>
  </borders>
  <cellStyleXfs count="501">
    <xf numFmtId="0" fontId="0" fillId="0" borderId="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37" fillId="0" borderId="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43" fontId="40" fillId="0" borderId="0" applyFont="0" applyFill="0" applyBorder="0" applyAlignment="0" applyProtection="0"/>
    <xf numFmtId="9" fontId="40" fillId="0" borderId="0" applyFont="0" applyFill="0" applyBorder="0" applyAlignment="0" applyProtection="0"/>
    <xf numFmtId="0" fontId="25" fillId="0" borderId="0" applyNumberFormat="0" applyFill="0" applyBorder="0" applyAlignment="0" applyProtection="0"/>
    <xf numFmtId="0" fontId="53" fillId="14" borderId="22" applyNumberFormat="0" applyAlignment="0" applyProtection="0"/>
    <xf numFmtId="0" fontId="54" fillId="15" borderId="23" applyNumberFormat="0" applyAlignment="0" applyProtection="0"/>
  </cellStyleXfs>
  <cellXfs count="261">
    <xf numFmtId="0" fontId="0" fillId="0" borderId="0" xfId="0"/>
    <xf numFmtId="0" fontId="28" fillId="3" borderId="7" xfId="0" applyFont="1" applyFill="1" applyBorder="1"/>
    <xf numFmtId="0" fontId="29" fillId="3" borderId="17" xfId="0" applyFont="1" applyFill="1" applyBorder="1"/>
    <xf numFmtId="0" fontId="30" fillId="3" borderId="7" xfId="0" applyFont="1" applyFill="1" applyBorder="1" applyAlignment="1">
      <alignment vertical="center"/>
    </xf>
    <xf numFmtId="0" fontId="30" fillId="3" borderId="1" xfId="0" applyFont="1" applyFill="1" applyBorder="1" applyAlignment="1">
      <alignment vertical="center"/>
    </xf>
    <xf numFmtId="0" fontId="28" fillId="3" borderId="0" xfId="0" applyFont="1" applyFill="1"/>
    <xf numFmtId="0" fontId="27" fillId="2" borderId="0" xfId="0" applyFont="1" applyFill="1" applyAlignment="1">
      <alignment vertical="center"/>
    </xf>
    <xf numFmtId="1" fontId="27" fillId="2" borderId="0" xfId="0" applyNumberFormat="1" applyFont="1" applyFill="1" applyAlignment="1">
      <alignment horizontal="right" vertical="center"/>
    </xf>
    <xf numFmtId="2" fontId="27" fillId="2" borderId="0" xfId="0" applyNumberFormat="1" applyFont="1" applyFill="1" applyAlignment="1">
      <alignment horizontal="right" vertical="center"/>
    </xf>
    <xf numFmtId="0" fontId="27" fillId="2" borderId="0" xfId="0" applyFont="1" applyFill="1"/>
    <xf numFmtId="0" fontId="27" fillId="2" borderId="5" xfId="0" applyFont="1" applyFill="1" applyBorder="1"/>
    <xf numFmtId="0" fontId="27" fillId="2" borderId="9" xfId="0" applyFont="1" applyFill="1" applyBorder="1"/>
    <xf numFmtId="0" fontId="27" fillId="0" borderId="9" xfId="0" applyFont="1" applyBorder="1"/>
    <xf numFmtId="0" fontId="29" fillId="0" borderId="9" xfId="0" applyFont="1" applyBorder="1"/>
    <xf numFmtId="49" fontId="27" fillId="2" borderId="0" xfId="0" applyNumberFormat="1" applyFont="1" applyFill="1"/>
    <xf numFmtId="49" fontId="27" fillId="2" borderId="9" xfId="0" applyNumberFormat="1" applyFont="1" applyFill="1" applyBorder="1"/>
    <xf numFmtId="0" fontId="27" fillId="2" borderId="4" xfId="0" applyFont="1" applyFill="1" applyBorder="1"/>
    <xf numFmtId="0" fontId="29" fillId="0" borderId="0" xfId="0" applyFont="1"/>
    <xf numFmtId="0" fontId="24" fillId="2" borderId="0" xfId="0" applyFont="1" applyFill="1"/>
    <xf numFmtId="0" fontId="28" fillId="0" borderId="0" xfId="0" applyFont="1"/>
    <xf numFmtId="0" fontId="27" fillId="0" borderId="16" xfId="0" applyFont="1" applyBorder="1"/>
    <xf numFmtId="0" fontId="27" fillId="2" borderId="6" xfId="0" applyFont="1" applyFill="1" applyBorder="1"/>
    <xf numFmtId="0" fontId="28" fillId="3" borderId="17" xfId="0" applyFont="1" applyFill="1" applyBorder="1"/>
    <xf numFmtId="0" fontId="28" fillId="3" borderId="2" xfId="0" applyFont="1" applyFill="1" applyBorder="1"/>
    <xf numFmtId="0" fontId="24" fillId="2" borderId="2" xfId="0" applyFont="1" applyFill="1" applyBorder="1"/>
    <xf numFmtId="0" fontId="31" fillId="3" borderId="0" xfId="0" applyFont="1" applyFill="1"/>
    <xf numFmtId="0" fontId="24" fillId="2" borderId="7" xfId="0" applyFont="1" applyFill="1" applyBorder="1"/>
    <xf numFmtId="0" fontId="29" fillId="3" borderId="0" xfId="0" applyFont="1" applyFill="1"/>
    <xf numFmtId="0" fontId="27" fillId="2" borderId="0" xfId="0" applyFont="1" applyFill="1" applyAlignment="1">
      <alignment horizontal="left" vertical="center"/>
    </xf>
    <xf numFmtId="0" fontId="23" fillId="2" borderId="0" xfId="0" applyFont="1" applyFill="1"/>
    <xf numFmtId="0" fontId="23" fillId="2" borderId="3" xfId="0" applyFont="1" applyFill="1" applyBorder="1"/>
    <xf numFmtId="0" fontId="23" fillId="2" borderId="15" xfId="0" applyFont="1" applyFill="1" applyBorder="1"/>
    <xf numFmtId="0" fontId="23" fillId="0" borderId="0" xfId="0" applyFont="1"/>
    <xf numFmtId="0" fontId="23" fillId="2" borderId="6" xfId="0" applyFont="1" applyFill="1" applyBorder="1"/>
    <xf numFmtId="164" fontId="23" fillId="2" borderId="18" xfId="0" applyNumberFormat="1" applyFont="1" applyFill="1" applyBorder="1"/>
    <xf numFmtId="0" fontId="22" fillId="2" borderId="0" xfId="0" applyFont="1" applyFill="1"/>
    <xf numFmtId="0" fontId="22" fillId="2" borderId="3" xfId="0" applyFont="1" applyFill="1" applyBorder="1"/>
    <xf numFmtId="0" fontId="22" fillId="2" borderId="4" xfId="0" applyFont="1" applyFill="1" applyBorder="1"/>
    <xf numFmtId="0" fontId="22" fillId="2" borderId="6" xfId="0" applyFont="1" applyFill="1" applyBorder="1"/>
    <xf numFmtId="2" fontId="22" fillId="2" borderId="0" xfId="0" applyNumberFormat="1" applyFont="1" applyFill="1" applyAlignment="1">
      <alignment horizontal="right" vertical="center"/>
    </xf>
    <xf numFmtId="2" fontId="22" fillId="2" borderId="0" xfId="0" applyNumberFormat="1" applyFont="1" applyFill="1"/>
    <xf numFmtId="10" fontId="22" fillId="2" borderId="0" xfId="0" applyNumberFormat="1" applyFont="1" applyFill="1" applyAlignment="1">
      <alignment horizontal="left" vertical="center" indent="2"/>
    </xf>
    <xf numFmtId="0" fontId="21" fillId="0" borderId="0" xfId="0" applyFont="1"/>
    <xf numFmtId="0" fontId="20" fillId="0" borderId="0" xfId="0" applyFont="1"/>
    <xf numFmtId="0" fontId="19" fillId="2" borderId="0" xfId="0" applyFont="1" applyFill="1"/>
    <xf numFmtId="0" fontId="19" fillId="2" borderId="3" xfId="0" applyFont="1" applyFill="1" applyBorder="1"/>
    <xf numFmtId="0" fontId="19" fillId="2" borderId="4" xfId="0" applyFont="1" applyFill="1" applyBorder="1"/>
    <xf numFmtId="0" fontId="19" fillId="2" borderId="6" xfId="0" applyFont="1" applyFill="1" applyBorder="1"/>
    <xf numFmtId="49" fontId="19" fillId="2" borderId="0" xfId="0" applyNumberFormat="1" applyFont="1" applyFill="1"/>
    <xf numFmtId="49" fontId="19" fillId="2" borderId="4" xfId="0" applyNumberFormat="1" applyFont="1" applyFill="1" applyBorder="1"/>
    <xf numFmtId="0" fontId="19" fillId="2" borderId="16" xfId="0" applyFont="1" applyFill="1" applyBorder="1"/>
    <xf numFmtId="0" fontId="32" fillId="2" borderId="0" xfId="0" applyFont="1" applyFill="1"/>
    <xf numFmtId="0" fontId="32" fillId="2" borderId="3" xfId="0" applyFont="1" applyFill="1" applyBorder="1"/>
    <xf numFmtId="0" fontId="32" fillId="2" borderId="4" xfId="0" applyFont="1" applyFill="1" applyBorder="1"/>
    <xf numFmtId="0" fontId="32" fillId="2" borderId="15" xfId="0" applyFont="1" applyFill="1" applyBorder="1"/>
    <xf numFmtId="0" fontId="33" fillId="2" borderId="0" xfId="0" applyFont="1" applyFill="1"/>
    <xf numFmtId="0" fontId="32" fillId="2" borderId="9" xfId="0" applyFont="1" applyFill="1" applyBorder="1"/>
    <xf numFmtId="0" fontId="33" fillId="2" borderId="9" xfId="0" applyFont="1" applyFill="1" applyBorder="1"/>
    <xf numFmtId="0" fontId="27" fillId="2" borderId="17" xfId="0" applyFont="1" applyFill="1" applyBorder="1"/>
    <xf numFmtId="0" fontId="18" fillId="2" borderId="2" xfId="0" applyFont="1" applyFill="1" applyBorder="1"/>
    <xf numFmtId="0" fontId="27" fillId="2" borderId="7" xfId="0" applyFont="1" applyFill="1" applyBorder="1"/>
    <xf numFmtId="0" fontId="18" fillId="2" borderId="18" xfId="0" applyFont="1" applyFill="1" applyBorder="1"/>
    <xf numFmtId="0" fontId="18" fillId="2" borderId="7" xfId="0" applyFont="1" applyFill="1" applyBorder="1"/>
    <xf numFmtId="0" fontId="27" fillId="2" borderId="9" xfId="0" applyFont="1" applyFill="1" applyBorder="1" applyAlignment="1">
      <alignment vertical="center"/>
    </xf>
    <xf numFmtId="165" fontId="22" fillId="2" borderId="0" xfId="0" applyNumberFormat="1" applyFont="1" applyFill="1" applyAlignment="1">
      <alignment vertical="center"/>
    </xf>
    <xf numFmtId="0" fontId="27" fillId="2" borderId="19" xfId="0" applyFont="1" applyFill="1" applyBorder="1"/>
    <xf numFmtId="0" fontId="23" fillId="2" borderId="5" xfId="0" applyFont="1" applyFill="1" applyBorder="1"/>
    <xf numFmtId="0" fontId="28" fillId="2" borderId="0" xfId="0" applyFont="1" applyFill="1"/>
    <xf numFmtId="0" fontId="33" fillId="2" borderId="16" xfId="0" applyFont="1" applyFill="1" applyBorder="1"/>
    <xf numFmtId="0" fontId="32" fillId="2" borderId="19" xfId="0" applyFont="1" applyFill="1" applyBorder="1"/>
    <xf numFmtId="0" fontId="17" fillId="0" borderId="0" xfId="0" applyFont="1"/>
    <xf numFmtId="0" fontId="16" fillId="0" borderId="0" xfId="0" applyFont="1"/>
    <xf numFmtId="0" fontId="16" fillId="2" borderId="0" xfId="0" applyFont="1" applyFill="1"/>
    <xf numFmtId="0" fontId="16" fillId="2" borderId="6" xfId="0" applyFont="1" applyFill="1" applyBorder="1"/>
    <xf numFmtId="0" fontId="16" fillId="2" borderId="5" xfId="0" applyFont="1" applyFill="1" applyBorder="1"/>
    <xf numFmtId="164" fontId="16" fillId="2" borderId="18" xfId="0" applyNumberFormat="1" applyFont="1" applyFill="1" applyBorder="1"/>
    <xf numFmtId="2" fontId="16" fillId="2" borderId="0" xfId="0" applyNumberFormat="1" applyFont="1" applyFill="1"/>
    <xf numFmtId="164" fontId="16" fillId="2" borderId="0" xfId="0" applyNumberFormat="1" applyFont="1" applyFill="1"/>
    <xf numFmtId="0" fontId="16" fillId="2" borderId="10" xfId="0" applyFont="1" applyFill="1" applyBorder="1"/>
    <xf numFmtId="0" fontId="16" fillId="2" borderId="11" xfId="0" applyFont="1" applyFill="1" applyBorder="1"/>
    <xf numFmtId="0" fontId="16" fillId="2" borderId="12" xfId="0" applyFont="1" applyFill="1" applyBorder="1"/>
    <xf numFmtId="2" fontId="16" fillId="2" borderId="0" xfId="0" applyNumberFormat="1" applyFont="1" applyFill="1" applyAlignment="1">
      <alignment horizontal="right" vertical="center"/>
    </xf>
    <xf numFmtId="1" fontId="16" fillId="2" borderId="0" xfId="0" applyNumberFormat="1" applyFont="1" applyFill="1" applyAlignment="1">
      <alignment horizontal="right" vertical="center"/>
    </xf>
    <xf numFmtId="2" fontId="16" fillId="2" borderId="18" xfId="0" applyNumberFormat="1" applyFont="1" applyFill="1" applyBorder="1" applyAlignment="1">
      <alignment horizontal="right" vertical="center"/>
    </xf>
    <xf numFmtId="1" fontId="32" fillId="2" borderId="0" xfId="0" applyNumberFormat="1" applyFont="1" applyFill="1"/>
    <xf numFmtId="166" fontId="23" fillId="2" borderId="6" xfId="0" applyNumberFormat="1" applyFont="1" applyFill="1" applyBorder="1"/>
    <xf numFmtId="166" fontId="16" fillId="0" borderId="0" xfId="0" applyNumberFormat="1" applyFont="1"/>
    <xf numFmtId="166" fontId="28" fillId="0" borderId="0" xfId="0" applyNumberFormat="1" applyFont="1"/>
    <xf numFmtId="166" fontId="23" fillId="0" borderId="0" xfId="0" applyNumberFormat="1" applyFont="1"/>
    <xf numFmtId="166" fontId="23" fillId="2" borderId="5" xfId="0" applyNumberFormat="1" applyFont="1" applyFill="1" applyBorder="1"/>
    <xf numFmtId="0" fontId="35" fillId="0" borderId="0" xfId="0" applyFont="1"/>
    <xf numFmtId="166" fontId="15" fillId="0" borderId="0" xfId="0" applyNumberFormat="1" applyFont="1"/>
    <xf numFmtId="0" fontId="15" fillId="0" borderId="0" xfId="0" applyFont="1"/>
    <xf numFmtId="0" fontId="14" fillId="2" borderId="0" xfId="0" applyFont="1" applyFill="1"/>
    <xf numFmtId="0" fontId="14" fillId="2" borderId="6" xfId="0" applyFont="1" applyFill="1" applyBorder="1"/>
    <xf numFmtId="2" fontId="14" fillId="2" borderId="18" xfId="0" applyNumberFormat="1" applyFont="1" applyFill="1" applyBorder="1" applyAlignment="1">
      <alignment horizontal="right" vertical="center"/>
    </xf>
    <xf numFmtId="2" fontId="14" fillId="2" borderId="0" xfId="0" applyNumberFormat="1" applyFont="1" applyFill="1"/>
    <xf numFmtId="0" fontId="14" fillId="0" borderId="0" xfId="0" applyFont="1"/>
    <xf numFmtId="166" fontId="13" fillId="0" borderId="0" xfId="0" applyNumberFormat="1" applyFont="1"/>
    <xf numFmtId="0" fontId="12" fillId="0" borderId="0" xfId="0" applyFont="1"/>
    <xf numFmtId="2" fontId="22" fillId="2" borderId="18" xfId="0" applyNumberFormat="1" applyFont="1" applyFill="1" applyBorder="1" applyAlignment="1">
      <alignment horizontal="right" vertical="center"/>
    </xf>
    <xf numFmtId="2" fontId="16" fillId="2" borderId="20" xfId="0" applyNumberFormat="1" applyFont="1" applyFill="1" applyBorder="1" applyAlignment="1">
      <alignment horizontal="right" vertical="center"/>
    </xf>
    <xf numFmtId="0" fontId="35" fillId="12" borderId="18" xfId="0" applyFont="1" applyFill="1" applyBorder="1"/>
    <xf numFmtId="0" fontId="10" fillId="2" borderId="0" xfId="0" applyFont="1" applyFill="1" applyAlignment="1">
      <alignment vertical="center"/>
    </xf>
    <xf numFmtId="0" fontId="10" fillId="2" borderId="6" xfId="0" applyFont="1" applyFill="1" applyBorder="1" applyAlignment="1">
      <alignment vertical="center"/>
    </xf>
    <xf numFmtId="0" fontId="10" fillId="0" borderId="0" xfId="0" applyFont="1" applyAlignment="1">
      <alignment vertical="center"/>
    </xf>
    <xf numFmtId="0" fontId="28" fillId="0" borderId="0" xfId="0" applyFont="1" applyAlignment="1">
      <alignment vertical="center"/>
    </xf>
    <xf numFmtId="166" fontId="10" fillId="2" borderId="18" xfId="0" applyNumberFormat="1" applyFont="1" applyFill="1" applyBorder="1"/>
    <xf numFmtId="0" fontId="10" fillId="2" borderId="5" xfId="0" applyFont="1" applyFill="1" applyBorder="1" applyAlignment="1">
      <alignment vertical="center"/>
    </xf>
    <xf numFmtId="164" fontId="10" fillId="2" borderId="18" xfId="0" applyNumberFormat="1" applyFont="1" applyFill="1" applyBorder="1"/>
    <xf numFmtId="0" fontId="38" fillId="2" borderId="0" xfId="0" applyFont="1" applyFill="1" applyAlignment="1">
      <alignment vertical="center"/>
    </xf>
    <xf numFmtId="0" fontId="27" fillId="2" borderId="6" xfId="0" applyFont="1" applyFill="1" applyBorder="1" applyAlignment="1">
      <alignment vertical="center"/>
    </xf>
    <xf numFmtId="2" fontId="10" fillId="2" borderId="18" xfId="0" applyNumberFormat="1" applyFont="1" applyFill="1" applyBorder="1" applyAlignment="1">
      <alignment vertical="center"/>
    </xf>
    <xf numFmtId="0" fontId="27" fillId="0" borderId="0" xfId="0" applyFont="1" applyAlignment="1">
      <alignment vertical="center"/>
    </xf>
    <xf numFmtId="0" fontId="38" fillId="2" borderId="5" xfId="0" applyFont="1" applyFill="1" applyBorder="1" applyAlignment="1">
      <alignment vertical="center"/>
    </xf>
    <xf numFmtId="0" fontId="33" fillId="2" borderId="6" xfId="0" applyFont="1" applyFill="1" applyBorder="1"/>
    <xf numFmtId="1" fontId="16" fillId="2" borderId="18" xfId="0" applyNumberFormat="1" applyFont="1" applyFill="1" applyBorder="1" applyAlignment="1">
      <alignment horizontal="right" vertical="center"/>
    </xf>
    <xf numFmtId="0" fontId="22" fillId="2" borderId="18" xfId="0" applyFont="1" applyFill="1" applyBorder="1"/>
    <xf numFmtId="2" fontId="22" fillId="2" borderId="18" xfId="0" applyNumberFormat="1" applyFont="1" applyFill="1" applyBorder="1"/>
    <xf numFmtId="2" fontId="11" fillId="2" borderId="18" xfId="0" applyNumberFormat="1" applyFont="1" applyFill="1" applyBorder="1"/>
    <xf numFmtId="2" fontId="32" fillId="2" borderId="0" xfId="0" applyNumberFormat="1" applyFont="1" applyFill="1"/>
    <xf numFmtId="0" fontId="33" fillId="2" borderId="7" xfId="0" applyFont="1" applyFill="1" applyBorder="1"/>
    <xf numFmtId="165" fontId="32" fillId="2" borderId="0" xfId="0" applyNumberFormat="1" applyFont="1" applyFill="1"/>
    <xf numFmtId="2" fontId="16" fillId="2" borderId="18" xfId="0" applyNumberFormat="1" applyFont="1" applyFill="1" applyBorder="1"/>
    <xf numFmtId="167" fontId="9" fillId="2" borderId="0" xfId="0" applyNumberFormat="1" applyFont="1" applyFill="1"/>
    <xf numFmtId="0" fontId="39" fillId="2" borderId="0" xfId="0" applyFont="1" applyFill="1"/>
    <xf numFmtId="1" fontId="22" fillId="2" borderId="21" xfId="0" applyNumberFormat="1" applyFont="1" applyFill="1" applyBorder="1"/>
    <xf numFmtId="0" fontId="41" fillId="2" borderId="0" xfId="0" applyFont="1" applyFill="1"/>
    <xf numFmtId="0" fontId="8" fillId="2" borderId="0" xfId="0" applyFont="1" applyFill="1"/>
    <xf numFmtId="0" fontId="25" fillId="2" borderId="0" xfId="498" applyFill="1"/>
    <xf numFmtId="49" fontId="25" fillId="2" borderId="0" xfId="498" applyNumberFormat="1" applyFill="1"/>
    <xf numFmtId="0" fontId="42" fillId="13" borderId="2" xfId="0" applyFont="1" applyFill="1" applyBorder="1" applyAlignment="1">
      <alignment horizontal="left" vertical="top"/>
    </xf>
    <xf numFmtId="0" fontId="43" fillId="13" borderId="2" xfId="0" applyFont="1" applyFill="1" applyBorder="1" applyAlignment="1">
      <alignment horizontal="left" vertical="top"/>
    </xf>
    <xf numFmtId="0" fontId="43" fillId="13" borderId="0" xfId="0" applyFont="1" applyFill="1" applyAlignment="1">
      <alignment horizontal="left" vertical="top"/>
    </xf>
    <xf numFmtId="0" fontId="46" fillId="13" borderId="0" xfId="0" applyFont="1" applyFill="1" applyAlignment="1">
      <alignment horizontal="right" vertical="top"/>
    </xf>
    <xf numFmtId="0" fontId="42" fillId="13" borderId="11" xfId="0" applyFont="1" applyFill="1" applyBorder="1" applyAlignment="1">
      <alignment horizontal="left" vertical="top"/>
    </xf>
    <xf numFmtId="0" fontId="43" fillId="13" borderId="11" xfId="0" applyFont="1" applyFill="1" applyBorder="1" applyAlignment="1">
      <alignment horizontal="left" vertical="top"/>
    </xf>
    <xf numFmtId="0" fontId="46" fillId="13" borderId="11" xfId="0" applyFont="1" applyFill="1" applyBorder="1" applyAlignment="1">
      <alignment horizontal="right" vertical="top"/>
    </xf>
    <xf numFmtId="0" fontId="44" fillId="0" borderId="0" xfId="0" applyFont="1" applyAlignment="1">
      <alignment horizontal="right" vertical="top"/>
    </xf>
    <xf numFmtId="0" fontId="45" fillId="0" borderId="0" xfId="0" applyFont="1" applyAlignment="1">
      <alignment horizontal="right" vertical="top"/>
    </xf>
    <xf numFmtId="0" fontId="48" fillId="0" borderId="0" xfId="0" applyFont="1" applyAlignment="1">
      <alignment horizontal="left" vertical="top"/>
    </xf>
    <xf numFmtId="9" fontId="45" fillId="0" borderId="0" xfId="497" applyFont="1" applyBorder="1" applyAlignment="1">
      <alignment horizontal="right" vertical="top"/>
    </xf>
    <xf numFmtId="9" fontId="45" fillId="0" borderId="0" xfId="0" applyNumberFormat="1" applyFont="1" applyAlignment="1">
      <alignment horizontal="right" vertical="top"/>
    </xf>
    <xf numFmtId="165" fontId="45" fillId="0" borderId="0" xfId="0" applyNumberFormat="1" applyFont="1" applyAlignment="1">
      <alignment horizontal="right" vertical="top"/>
    </xf>
    <xf numFmtId="165" fontId="44" fillId="0" borderId="0" xfId="0" applyNumberFormat="1" applyFont="1" applyAlignment="1">
      <alignment horizontal="right" vertical="top"/>
    </xf>
    <xf numFmtId="2" fontId="45" fillId="0" borderId="0" xfId="0" applyNumberFormat="1" applyFont="1" applyAlignment="1">
      <alignment horizontal="right" vertical="top"/>
    </xf>
    <xf numFmtId="2" fontId="44" fillId="0" borderId="0" xfId="0" applyNumberFormat="1" applyFont="1" applyAlignment="1">
      <alignment horizontal="right" vertical="top"/>
    </xf>
    <xf numFmtId="0" fontId="47" fillId="0" borderId="0" xfId="0" applyFont="1"/>
    <xf numFmtId="0" fontId="48" fillId="0" borderId="11" xfId="0" applyFont="1" applyBorder="1" applyAlignment="1">
      <alignment horizontal="left" vertical="top"/>
    </xf>
    <xf numFmtId="0" fontId="45" fillId="0" borderId="11" xfId="0" applyFont="1" applyBorder="1" applyAlignment="1">
      <alignment horizontal="right" vertical="top"/>
    </xf>
    <xf numFmtId="0" fontId="44" fillId="0" borderId="11" xfId="0" applyFont="1" applyBorder="1" applyAlignment="1">
      <alignment horizontal="right" vertical="top"/>
    </xf>
    <xf numFmtId="0" fontId="45" fillId="0" borderId="0" xfId="0" applyFont="1"/>
    <xf numFmtId="0" fontId="44" fillId="0" borderId="0" xfId="0" applyFont="1" applyAlignment="1">
      <alignment horizontal="left" vertical="center"/>
    </xf>
    <xf numFmtId="0" fontId="45" fillId="0" borderId="0" xfId="0" applyFont="1" applyAlignment="1">
      <alignment horizontal="left" vertical="center"/>
    </xf>
    <xf numFmtId="43" fontId="32" fillId="2" borderId="0" xfId="496" applyFont="1" applyFill="1"/>
    <xf numFmtId="168" fontId="32" fillId="2" borderId="0" xfId="496" applyNumberFormat="1" applyFont="1" applyFill="1"/>
    <xf numFmtId="168" fontId="32" fillId="2" borderId="0" xfId="0" applyNumberFormat="1" applyFont="1" applyFill="1"/>
    <xf numFmtId="0" fontId="8" fillId="0" borderId="0" xfId="0" applyFont="1" applyAlignment="1">
      <alignment vertical="center"/>
    </xf>
    <xf numFmtId="2" fontId="8" fillId="2" borderId="18" xfId="0" applyNumberFormat="1" applyFont="1" applyFill="1" applyBorder="1" applyAlignment="1">
      <alignment horizontal="right" vertical="center"/>
    </xf>
    <xf numFmtId="0" fontId="8" fillId="2" borderId="18" xfId="0" applyFont="1" applyFill="1" applyBorder="1"/>
    <xf numFmtId="0" fontId="7" fillId="0" borderId="0" xfId="0" applyFont="1"/>
    <xf numFmtId="0" fontId="45" fillId="2" borderId="0" xfId="0" applyFont="1" applyFill="1" applyAlignment="1">
      <alignment horizontal="right" vertical="top"/>
    </xf>
    <xf numFmtId="0" fontId="46" fillId="2" borderId="0" xfId="0" applyFont="1" applyFill="1" applyAlignment="1">
      <alignment horizontal="right" vertical="top"/>
    </xf>
    <xf numFmtId="0" fontId="45" fillId="2" borderId="0" xfId="0" applyFont="1" applyFill="1" applyAlignment="1">
      <alignment horizontal="center" vertical="top"/>
    </xf>
    <xf numFmtId="9" fontId="45" fillId="2" borderId="0" xfId="497" applyFont="1" applyFill="1" applyBorder="1" applyAlignment="1">
      <alignment horizontal="right" vertical="top"/>
    </xf>
    <xf numFmtId="9" fontId="45" fillId="2" borderId="0" xfId="0" applyNumberFormat="1" applyFont="1" applyFill="1" applyAlignment="1">
      <alignment horizontal="right" vertical="top"/>
    </xf>
    <xf numFmtId="0" fontId="47" fillId="2" borderId="0" xfId="0" applyFont="1" applyFill="1"/>
    <xf numFmtId="0" fontId="45" fillId="2" borderId="0" xfId="0" applyFont="1" applyFill="1"/>
    <xf numFmtId="0" fontId="45" fillId="2" borderId="0" xfId="0" applyFont="1" applyFill="1" applyAlignment="1">
      <alignment horizontal="center"/>
    </xf>
    <xf numFmtId="0" fontId="48" fillId="2" borderId="0" xfId="0" applyFont="1" applyFill="1"/>
    <xf numFmtId="0" fontId="45" fillId="2" borderId="0" xfId="0" applyFont="1" applyFill="1" applyAlignment="1">
      <alignment horizontal="left" vertical="center"/>
    </xf>
    <xf numFmtId="0" fontId="44" fillId="2" borderId="0" xfId="0" applyFont="1" applyFill="1" applyAlignment="1">
      <alignment vertical="top" wrapText="1"/>
    </xf>
    <xf numFmtId="0" fontId="47" fillId="13" borderId="0" xfId="0" applyFont="1" applyFill="1" applyAlignment="1">
      <alignment horizontal="right" vertical="top"/>
    </xf>
    <xf numFmtId="0" fontId="47" fillId="13" borderId="0" xfId="0" applyFont="1" applyFill="1" applyAlignment="1">
      <alignment horizontal="center" vertical="top"/>
    </xf>
    <xf numFmtId="0" fontId="51" fillId="13" borderId="11" xfId="0" applyFont="1" applyFill="1" applyBorder="1" applyAlignment="1">
      <alignment horizontal="right" vertical="top"/>
    </xf>
    <xf numFmtId="0" fontId="47" fillId="13" borderId="11" xfId="0" applyFont="1" applyFill="1" applyBorder="1" applyAlignment="1">
      <alignment horizontal="center" vertical="top"/>
    </xf>
    <xf numFmtId="0" fontId="42" fillId="0" borderId="0" xfId="0" applyFont="1" applyAlignment="1">
      <alignment horizontal="left" vertical="top"/>
    </xf>
    <xf numFmtId="0" fontId="43" fillId="0" borderId="0" xfId="0" applyFont="1" applyAlignment="1">
      <alignment horizontal="left" vertical="top"/>
    </xf>
    <xf numFmtId="0" fontId="47" fillId="0" borderId="0" xfId="0" applyFont="1" applyAlignment="1">
      <alignment horizontal="right" vertical="top"/>
    </xf>
    <xf numFmtId="0" fontId="47" fillId="0" borderId="0" xfId="0" applyFont="1" applyAlignment="1">
      <alignment horizontal="center" vertical="top"/>
    </xf>
    <xf numFmtId="0" fontId="47" fillId="0" borderId="0" xfId="0" applyFont="1" applyAlignment="1">
      <alignment horizontal="left" vertical="top"/>
    </xf>
    <xf numFmtId="16" fontId="45" fillId="0" borderId="0" xfId="0" quotePrefix="1" applyNumberFormat="1" applyFont="1" applyAlignment="1">
      <alignment horizontal="right" vertical="top"/>
    </xf>
    <xf numFmtId="164" fontId="45" fillId="0" borderId="0" xfId="0" applyNumberFormat="1" applyFont="1" applyAlignment="1">
      <alignment horizontal="right" vertical="top"/>
    </xf>
    <xf numFmtId="0" fontId="47" fillId="0" borderId="11" xfId="0" applyFont="1" applyBorder="1" applyAlignment="1">
      <alignment horizontal="left" vertical="top"/>
    </xf>
    <xf numFmtId="0" fontId="47" fillId="0" borderId="11" xfId="0" applyFont="1" applyBorder="1" applyAlignment="1">
      <alignment horizontal="center" vertical="top"/>
    </xf>
    <xf numFmtId="0" fontId="47" fillId="0" borderId="0" xfId="0" applyFont="1" applyAlignment="1">
      <alignment horizontal="right"/>
    </xf>
    <xf numFmtId="0" fontId="47" fillId="0" borderId="0" xfId="0" applyFont="1" applyAlignment="1">
      <alignment horizontal="center"/>
    </xf>
    <xf numFmtId="0" fontId="48" fillId="13" borderId="0" xfId="0" applyFont="1" applyFill="1" applyAlignment="1">
      <alignment horizontal="right" vertical="top"/>
    </xf>
    <xf numFmtId="0" fontId="48" fillId="0" borderId="0" xfId="0" applyFont="1" applyAlignment="1">
      <alignment horizontal="right" vertical="top"/>
    </xf>
    <xf numFmtId="16" fontId="44" fillId="0" borderId="0" xfId="0" quotePrefix="1" applyNumberFormat="1" applyFont="1" applyAlignment="1">
      <alignment horizontal="right" vertical="top"/>
    </xf>
    <xf numFmtId="164" fontId="44" fillId="0" borderId="0" xfId="0" applyNumberFormat="1" applyFont="1" applyAlignment="1">
      <alignment horizontal="right" vertical="top"/>
    </xf>
    <xf numFmtId="0" fontId="32" fillId="2" borderId="0" xfId="0" applyFont="1" applyFill="1" applyAlignment="1">
      <alignment horizontal="right"/>
    </xf>
    <xf numFmtId="1" fontId="32" fillId="2" borderId="0" xfId="0" applyNumberFormat="1" applyFont="1" applyFill="1" applyAlignment="1">
      <alignment horizontal="right"/>
    </xf>
    <xf numFmtId="0" fontId="6" fillId="2" borderId="0" xfId="0" applyFont="1" applyFill="1"/>
    <xf numFmtId="0" fontId="6" fillId="0" borderId="0" xfId="0" applyFont="1"/>
    <xf numFmtId="166" fontId="10" fillId="2" borderId="0" xfId="0" applyNumberFormat="1" applyFont="1" applyFill="1"/>
    <xf numFmtId="0" fontId="6" fillId="0" borderId="0" xfId="0" applyFont="1" applyAlignment="1">
      <alignment vertical="center"/>
    </xf>
    <xf numFmtId="2" fontId="22" fillId="2" borderId="21" xfId="0" applyNumberFormat="1" applyFont="1" applyFill="1" applyBorder="1"/>
    <xf numFmtId="164" fontId="16" fillId="2" borderId="18" xfId="0" applyNumberFormat="1" applyFont="1" applyFill="1" applyBorder="1" applyAlignment="1">
      <alignment horizontal="right"/>
    </xf>
    <xf numFmtId="0" fontId="52" fillId="2" borderId="0" xfId="0" applyFont="1" applyFill="1"/>
    <xf numFmtId="0" fontId="5" fillId="2" borderId="0" xfId="0" applyFont="1" applyFill="1"/>
    <xf numFmtId="167" fontId="5" fillId="2" borderId="0" xfId="0" applyNumberFormat="1" applyFont="1" applyFill="1"/>
    <xf numFmtId="49" fontId="5" fillId="2" borderId="0" xfId="0" applyNumberFormat="1" applyFont="1" applyFill="1"/>
    <xf numFmtId="164" fontId="32" fillId="2" borderId="0" xfId="0" applyNumberFormat="1" applyFont="1" applyFill="1"/>
    <xf numFmtId="0" fontId="4" fillId="2" borderId="0" xfId="0" applyFont="1" applyFill="1"/>
    <xf numFmtId="167" fontId="4" fillId="2" borderId="0" xfId="0" applyNumberFormat="1" applyFont="1" applyFill="1"/>
    <xf numFmtId="49" fontId="4" fillId="2" borderId="0" xfId="0" applyNumberFormat="1" applyFont="1" applyFill="1"/>
    <xf numFmtId="166" fontId="32" fillId="2" borderId="0" xfId="0" applyNumberFormat="1" applyFont="1" applyFill="1"/>
    <xf numFmtId="49" fontId="28" fillId="2" borderId="0" xfId="0" applyNumberFormat="1" applyFont="1" applyFill="1" applyAlignment="1">
      <alignment horizontal="left"/>
    </xf>
    <xf numFmtId="0" fontId="28" fillId="3" borderId="9" xfId="0" applyFont="1" applyFill="1" applyBorder="1"/>
    <xf numFmtId="0" fontId="24" fillId="2" borderId="13" xfId="0" applyFont="1" applyFill="1" applyBorder="1"/>
    <xf numFmtId="0" fontId="24" fillId="2" borderId="8" xfId="0" applyFont="1" applyFill="1" applyBorder="1"/>
    <xf numFmtId="0" fontId="24" fillId="2" borderId="14" xfId="0" applyFont="1" applyFill="1" applyBorder="1"/>
    <xf numFmtId="0" fontId="18" fillId="2" borderId="0" xfId="0" applyFont="1" applyFill="1"/>
    <xf numFmtId="0" fontId="34" fillId="2" borderId="0" xfId="0" applyFont="1" applyFill="1"/>
    <xf numFmtId="0" fontId="18" fillId="4" borderId="0" xfId="0" applyFont="1" applyFill="1"/>
    <xf numFmtId="0" fontId="18" fillId="5" borderId="0" xfId="0" applyFont="1" applyFill="1"/>
    <xf numFmtId="0" fontId="18" fillId="6" borderId="0" xfId="0" applyFont="1" applyFill="1"/>
    <xf numFmtId="0" fontId="18" fillId="7" borderId="0" xfId="0" applyFont="1" applyFill="1"/>
    <xf numFmtId="0" fontId="18" fillId="8" borderId="0" xfId="0" applyFont="1" applyFill="1"/>
    <xf numFmtId="0" fontId="18" fillId="9" borderId="0" xfId="0" applyFont="1" applyFill="1"/>
    <xf numFmtId="0" fontId="18" fillId="10" borderId="0" xfId="0" applyFont="1" applyFill="1"/>
    <xf numFmtId="0" fontId="18" fillId="11" borderId="0" xfId="0" applyFont="1" applyFill="1"/>
    <xf numFmtId="0" fontId="24" fillId="2" borderId="1" xfId="0" applyFont="1" applyFill="1" applyBorder="1"/>
    <xf numFmtId="0" fontId="24" fillId="2" borderId="9" xfId="0" applyFont="1" applyFill="1" applyBorder="1"/>
    <xf numFmtId="0" fontId="3" fillId="0" borderId="0" xfId="0" applyFont="1"/>
    <xf numFmtId="0" fontId="3" fillId="2" borderId="18" xfId="0" applyFont="1" applyFill="1" applyBorder="1"/>
    <xf numFmtId="166" fontId="3" fillId="2" borderId="18" xfId="0" applyNumberFormat="1" applyFont="1" applyFill="1" applyBorder="1"/>
    <xf numFmtId="0" fontId="3" fillId="2" borderId="18" xfId="0" applyFont="1" applyFill="1" applyBorder="1" applyAlignment="1">
      <alignment vertical="center"/>
    </xf>
    <xf numFmtId="0" fontId="55" fillId="2" borderId="0" xfId="0" applyFont="1" applyFill="1"/>
    <xf numFmtId="0" fontId="57" fillId="2" borderId="0" xfId="0" applyFont="1" applyFill="1"/>
    <xf numFmtId="0" fontId="58" fillId="2" borderId="0" xfId="0" applyFont="1" applyFill="1"/>
    <xf numFmtId="0" fontId="56" fillId="2" borderId="0" xfId="0" applyFont="1" applyFill="1"/>
    <xf numFmtId="2" fontId="53" fillId="14" borderId="22" xfId="499" applyNumberFormat="1"/>
    <xf numFmtId="165" fontId="54" fillId="15" borderId="23" xfId="500" applyNumberFormat="1"/>
    <xf numFmtId="165" fontId="53" fillId="14" borderId="22" xfId="499" applyNumberFormat="1"/>
    <xf numFmtId="0" fontId="53" fillId="14" borderId="22" xfId="499"/>
    <xf numFmtId="0" fontId="56" fillId="2" borderId="9" xfId="0" applyFont="1" applyFill="1" applyBorder="1"/>
    <xf numFmtId="0" fontId="54" fillId="15" borderId="23" xfId="500"/>
    <xf numFmtId="166" fontId="54" fillId="15" borderId="23" xfId="500" applyNumberFormat="1"/>
    <xf numFmtId="165" fontId="56" fillId="2" borderId="0" xfId="0" applyNumberFormat="1" applyFont="1" applyFill="1"/>
    <xf numFmtId="0" fontId="59" fillId="2" borderId="0" xfId="0" applyFont="1" applyFill="1"/>
    <xf numFmtId="165" fontId="54" fillId="15" borderId="24" xfId="500" applyNumberFormat="1" applyBorder="1"/>
    <xf numFmtId="9" fontId="53" fillId="14" borderId="22" xfId="499" applyNumberFormat="1"/>
    <xf numFmtId="0" fontId="60" fillId="2" borderId="0" xfId="0" applyFont="1" applyFill="1"/>
    <xf numFmtId="169" fontId="60" fillId="2" borderId="0" xfId="0" applyNumberFormat="1" applyFont="1" applyFill="1"/>
    <xf numFmtId="169" fontId="32" fillId="2" borderId="0" xfId="0" applyNumberFormat="1" applyFont="1" applyFill="1"/>
    <xf numFmtId="0" fontId="56" fillId="2" borderId="0" xfId="0" quotePrefix="1" applyFont="1" applyFill="1"/>
    <xf numFmtId="0" fontId="2" fillId="0" borderId="0" xfId="0" applyFont="1"/>
    <xf numFmtId="0" fontId="2" fillId="0" borderId="0" xfId="0" applyFont="1" applyAlignment="1">
      <alignment vertical="center"/>
    </xf>
    <xf numFmtId="0" fontId="35" fillId="12" borderId="17" xfId="0" applyFont="1" applyFill="1" applyBorder="1" applyAlignment="1">
      <alignment horizontal="left" vertical="top" wrapText="1"/>
    </xf>
    <xf numFmtId="0" fontId="35" fillId="12" borderId="2" xfId="0" applyFont="1" applyFill="1" applyBorder="1" applyAlignment="1">
      <alignment horizontal="left" vertical="top" wrapText="1"/>
    </xf>
    <xf numFmtId="0" fontId="35" fillId="12" borderId="13" xfId="0" applyFont="1" applyFill="1" applyBorder="1" applyAlignment="1">
      <alignment horizontal="left" vertical="top" wrapText="1"/>
    </xf>
    <xf numFmtId="0" fontId="35" fillId="12" borderId="7" xfId="0" applyFont="1" applyFill="1" applyBorder="1" applyAlignment="1">
      <alignment horizontal="left" vertical="top" wrapText="1"/>
    </xf>
    <xf numFmtId="0" fontId="35" fillId="12" borderId="0" xfId="0" applyFont="1" applyFill="1" applyAlignment="1">
      <alignment horizontal="left" vertical="top" wrapText="1"/>
    </xf>
    <xf numFmtId="0" fontId="35" fillId="12" borderId="8" xfId="0" applyFont="1" applyFill="1" applyBorder="1" applyAlignment="1">
      <alignment horizontal="left" vertical="top" wrapText="1"/>
    </xf>
    <xf numFmtId="0" fontId="35" fillId="12" borderId="1" xfId="0" applyFont="1" applyFill="1" applyBorder="1" applyAlignment="1">
      <alignment horizontal="left" vertical="top" wrapText="1"/>
    </xf>
    <xf numFmtId="0" fontId="35" fillId="12" borderId="9" xfId="0" applyFont="1" applyFill="1" applyBorder="1" applyAlignment="1">
      <alignment horizontal="left" vertical="top" wrapText="1"/>
    </xf>
    <xf numFmtId="0" fontId="35" fillId="12" borderId="14" xfId="0" applyFont="1" applyFill="1" applyBorder="1" applyAlignment="1">
      <alignment horizontal="left" vertical="top" wrapText="1"/>
    </xf>
    <xf numFmtId="0" fontId="44" fillId="13" borderId="2" xfId="498" applyFont="1" applyFill="1" applyBorder="1" applyAlignment="1" applyProtection="1">
      <alignment horizontal="center" vertical="top" wrapText="1"/>
    </xf>
    <xf numFmtId="0" fontId="48" fillId="13" borderId="2" xfId="0" applyFont="1" applyFill="1" applyBorder="1" applyAlignment="1">
      <alignment horizontal="center" vertical="top" wrapText="1"/>
    </xf>
  </cellXfs>
  <cellStyles count="501">
    <cellStyle name="Comma" xfId="496" builtinId="3"/>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7" builtinId="9" hidden="1"/>
    <cellStyle name="Followed Hyperlink" xfId="178" builtinId="9" hidden="1"/>
    <cellStyle name="Followed Hyperlink" xfId="179" builtinId="9" hidden="1"/>
    <cellStyle name="Followed Hyperlink" xfId="180" builtinId="9" hidden="1"/>
    <cellStyle name="Followed Hyperlink" xfId="181" builtinId="9" hidden="1"/>
    <cellStyle name="Followed Hyperlink" xfId="182" builtinId="9" hidden="1"/>
    <cellStyle name="Followed Hyperlink" xfId="183" builtinId="9" hidden="1"/>
    <cellStyle name="Followed Hyperlink" xfId="184" builtinId="9" hidden="1"/>
    <cellStyle name="Followed Hyperlink" xfId="185" builtinId="9" hidden="1"/>
    <cellStyle name="Followed Hyperlink" xfId="186" builtinId="9" hidden="1"/>
    <cellStyle name="Followed Hyperlink" xfId="187" builtinId="9" hidden="1"/>
    <cellStyle name="Followed Hyperlink" xfId="188" builtinId="9" hidden="1"/>
    <cellStyle name="Followed Hyperlink" xfId="189" builtinId="9" hidden="1"/>
    <cellStyle name="Followed Hyperlink" xfId="190" builtinId="9" hidden="1"/>
    <cellStyle name="Followed Hyperlink" xfId="191" builtinId="9" hidden="1"/>
    <cellStyle name="Followed Hyperlink" xfId="192" builtinId="9" hidden="1"/>
    <cellStyle name="Followed Hyperlink" xfId="193" builtinId="9" hidden="1"/>
    <cellStyle name="Followed Hyperlink" xfId="194" builtinId="9" hidden="1"/>
    <cellStyle name="Followed Hyperlink" xfId="195" builtinId="9" hidden="1"/>
    <cellStyle name="Followed Hyperlink" xfId="196" builtinId="9" hidden="1"/>
    <cellStyle name="Followed Hyperlink" xfId="197" builtinId="9" hidden="1"/>
    <cellStyle name="Followed Hyperlink" xfId="198" builtinId="9" hidden="1"/>
    <cellStyle name="Followed Hyperlink" xfId="199" builtinId="9" hidden="1"/>
    <cellStyle name="Followed Hyperlink" xfId="200" builtinId="9" hidden="1"/>
    <cellStyle name="Followed Hyperlink" xfId="201" builtinId="9" hidden="1"/>
    <cellStyle name="Followed Hyperlink" xfId="202" builtinId="9" hidden="1"/>
    <cellStyle name="Followed Hyperlink" xfId="203" builtinId="9" hidden="1"/>
    <cellStyle name="Followed Hyperlink" xfId="204" builtinId="9" hidden="1"/>
    <cellStyle name="Followed Hyperlink" xfId="205" builtinId="9" hidden="1"/>
    <cellStyle name="Followed Hyperlink" xfId="206" builtinId="9" hidden="1"/>
    <cellStyle name="Followed Hyperlink" xfId="207" builtinId="9" hidden="1"/>
    <cellStyle name="Followed Hyperlink" xfId="208" builtinId="9" hidden="1"/>
    <cellStyle name="Followed Hyperlink" xfId="209" builtinId="9" hidden="1"/>
    <cellStyle name="Followed Hyperlink" xfId="210" builtinId="9" hidden="1"/>
    <cellStyle name="Followed Hyperlink" xfId="211" builtinId="9" hidden="1"/>
    <cellStyle name="Followed Hyperlink" xfId="212" builtinId="9" hidden="1"/>
    <cellStyle name="Followed Hyperlink" xfId="213" builtinId="9" hidden="1"/>
    <cellStyle name="Followed Hyperlink" xfId="214" builtinId="9" hidden="1"/>
    <cellStyle name="Followed Hyperlink" xfId="215" builtinId="9" hidden="1"/>
    <cellStyle name="Followed Hyperlink" xfId="216" builtinId="9" hidden="1"/>
    <cellStyle name="Followed Hyperlink" xfId="217" builtinId="9" hidden="1"/>
    <cellStyle name="Followed Hyperlink" xfId="218" builtinId="9" hidden="1"/>
    <cellStyle name="Followed Hyperlink" xfId="219" builtinId="9" hidden="1"/>
    <cellStyle name="Followed Hyperlink" xfId="220" builtinId="9" hidden="1"/>
    <cellStyle name="Followed Hyperlink" xfId="221" builtinId="9" hidden="1"/>
    <cellStyle name="Followed Hyperlink" xfId="222" builtinId="9" hidden="1"/>
    <cellStyle name="Followed Hyperlink" xfId="223" builtinId="9" hidden="1"/>
    <cellStyle name="Followed Hyperlink" xfId="224" builtinId="9" hidden="1"/>
    <cellStyle name="Followed Hyperlink" xfId="225" builtinId="9" hidden="1"/>
    <cellStyle name="Followed Hyperlink" xfId="226" builtinId="9" hidden="1"/>
    <cellStyle name="Followed Hyperlink" xfId="227" builtinId="9" hidden="1"/>
    <cellStyle name="Followed Hyperlink" xfId="228" builtinId="9" hidden="1"/>
    <cellStyle name="Followed Hyperlink" xfId="229" builtinId="9" hidden="1"/>
    <cellStyle name="Followed Hyperlink" xfId="230" builtinId="9" hidden="1"/>
    <cellStyle name="Followed Hyperlink" xfId="231" builtinId="9" hidden="1"/>
    <cellStyle name="Followed Hyperlink" xfId="232" builtinId="9" hidden="1"/>
    <cellStyle name="Followed Hyperlink" xfId="233" builtinId="9" hidden="1"/>
    <cellStyle name="Followed Hyperlink" xfId="234" builtinId="9" hidden="1"/>
    <cellStyle name="Followed Hyperlink" xfId="235" builtinId="9" hidden="1"/>
    <cellStyle name="Followed Hyperlink" xfId="236" builtinId="9" hidden="1"/>
    <cellStyle name="Followed Hyperlink" xfId="237" builtinId="9" hidden="1"/>
    <cellStyle name="Followed Hyperlink" xfId="238" builtinId="9" hidden="1"/>
    <cellStyle name="Followed Hyperlink" xfId="239" builtinId="9" hidden="1"/>
    <cellStyle name="Followed Hyperlink" xfId="240" builtinId="9" hidden="1"/>
    <cellStyle name="Followed Hyperlink" xfId="241" builtinId="9" hidden="1"/>
    <cellStyle name="Followed Hyperlink" xfId="242" builtinId="9" hidden="1"/>
    <cellStyle name="Followed Hyperlink" xfId="243" builtinId="9" hidden="1"/>
    <cellStyle name="Followed Hyperlink" xfId="244" builtinId="9" hidden="1"/>
    <cellStyle name="Followed Hyperlink" xfId="245" builtinId="9" hidden="1"/>
    <cellStyle name="Followed Hyperlink" xfId="246" builtinId="9" hidden="1"/>
    <cellStyle name="Followed Hyperlink" xfId="247" builtinId="9" hidden="1"/>
    <cellStyle name="Followed Hyperlink" xfId="248" builtinId="9" hidden="1"/>
    <cellStyle name="Followed Hyperlink" xfId="249" builtinId="9" hidden="1"/>
    <cellStyle name="Followed Hyperlink" xfId="250" builtinId="9" hidden="1"/>
    <cellStyle name="Followed Hyperlink" xfId="251" builtinId="9" hidden="1"/>
    <cellStyle name="Followed Hyperlink" xfId="252" builtinId="9" hidden="1"/>
    <cellStyle name="Followed Hyperlink" xfId="253" builtinId="9" hidden="1"/>
    <cellStyle name="Followed Hyperlink" xfId="254" builtinId="9" hidden="1"/>
    <cellStyle name="Followed Hyperlink" xfId="255" builtinId="9" hidden="1"/>
    <cellStyle name="Followed Hyperlink" xfId="256" builtinId="9" hidden="1"/>
    <cellStyle name="Followed Hyperlink" xfId="257" builtinId="9" hidden="1"/>
    <cellStyle name="Followed Hyperlink" xfId="258" builtinId="9" hidden="1"/>
    <cellStyle name="Followed Hyperlink" xfId="259" builtinId="9" hidden="1"/>
    <cellStyle name="Followed Hyperlink" xfId="260" builtinId="9" hidden="1"/>
    <cellStyle name="Followed Hyperlink" xfId="261" builtinId="9" hidden="1"/>
    <cellStyle name="Followed Hyperlink" xfId="262" builtinId="9" hidden="1"/>
    <cellStyle name="Followed Hyperlink" xfId="263" builtinId="9" hidden="1"/>
    <cellStyle name="Followed Hyperlink" xfId="264" builtinId="9" hidden="1"/>
    <cellStyle name="Followed Hyperlink" xfId="265" builtinId="9" hidden="1"/>
    <cellStyle name="Followed Hyperlink" xfId="266" builtinId="9" hidden="1"/>
    <cellStyle name="Followed Hyperlink" xfId="267" builtinId="9" hidden="1"/>
    <cellStyle name="Followed Hyperlink" xfId="268" builtinId="9" hidden="1"/>
    <cellStyle name="Followed Hyperlink" xfId="269" builtinId="9" hidden="1"/>
    <cellStyle name="Followed Hyperlink" xfId="270" builtinId="9" hidden="1"/>
    <cellStyle name="Followed Hyperlink" xfId="271" builtinId="9" hidden="1"/>
    <cellStyle name="Followed Hyperlink" xfId="272" builtinId="9" hidden="1"/>
    <cellStyle name="Followed Hyperlink" xfId="273" builtinId="9" hidden="1"/>
    <cellStyle name="Followed Hyperlink" xfId="275" builtinId="9" hidden="1"/>
    <cellStyle name="Followed Hyperlink" xfId="276" builtinId="9" hidden="1"/>
    <cellStyle name="Followed Hyperlink" xfId="277" builtinId="9" hidden="1"/>
    <cellStyle name="Followed Hyperlink" xfId="278" builtinId="9" hidden="1"/>
    <cellStyle name="Followed Hyperlink" xfId="279" builtinId="9" hidden="1"/>
    <cellStyle name="Followed Hyperlink" xfId="280" builtinId="9" hidden="1"/>
    <cellStyle name="Followed Hyperlink" xfId="281" builtinId="9" hidden="1"/>
    <cellStyle name="Followed Hyperlink" xfId="282" builtinId="9" hidden="1"/>
    <cellStyle name="Followed Hyperlink" xfId="283" builtinId="9" hidden="1"/>
    <cellStyle name="Followed Hyperlink" xfId="284" builtinId="9" hidden="1"/>
    <cellStyle name="Followed Hyperlink" xfId="285" builtinId="9" hidden="1"/>
    <cellStyle name="Followed Hyperlink" xfId="286" builtinId="9" hidden="1"/>
    <cellStyle name="Followed Hyperlink" xfId="287" builtinId="9" hidden="1"/>
    <cellStyle name="Followed Hyperlink" xfId="288" builtinId="9" hidden="1"/>
    <cellStyle name="Followed Hyperlink" xfId="289" builtinId="9" hidden="1"/>
    <cellStyle name="Followed Hyperlink" xfId="290" builtinId="9" hidden="1"/>
    <cellStyle name="Followed Hyperlink" xfId="291" builtinId="9" hidden="1"/>
    <cellStyle name="Followed Hyperlink" xfId="292" builtinId="9" hidden="1"/>
    <cellStyle name="Followed Hyperlink" xfId="293" builtinId="9" hidden="1"/>
    <cellStyle name="Followed Hyperlink" xfId="294" builtinId="9" hidden="1"/>
    <cellStyle name="Followed Hyperlink" xfId="295" builtinId="9" hidden="1"/>
    <cellStyle name="Followed Hyperlink" xfId="296" builtinId="9" hidden="1"/>
    <cellStyle name="Followed Hyperlink" xfId="297" builtinId="9" hidden="1"/>
    <cellStyle name="Followed Hyperlink" xfId="298" builtinId="9" hidden="1"/>
    <cellStyle name="Followed Hyperlink" xfId="299" builtinId="9" hidden="1"/>
    <cellStyle name="Followed Hyperlink" xfId="300" builtinId="9" hidden="1"/>
    <cellStyle name="Followed Hyperlink" xfId="301" builtinId="9" hidden="1"/>
    <cellStyle name="Followed Hyperlink" xfId="302" builtinId="9" hidden="1"/>
    <cellStyle name="Followed Hyperlink" xfId="303" builtinId="9" hidden="1"/>
    <cellStyle name="Followed Hyperlink" xfId="304" builtinId="9" hidden="1"/>
    <cellStyle name="Followed Hyperlink" xfId="305" builtinId="9" hidden="1"/>
    <cellStyle name="Followed Hyperlink" xfId="306" builtinId="9" hidden="1"/>
    <cellStyle name="Followed Hyperlink" xfId="307" builtinId="9" hidden="1"/>
    <cellStyle name="Followed Hyperlink" xfId="308" builtinId="9" hidden="1"/>
    <cellStyle name="Followed Hyperlink" xfId="309" builtinId="9" hidden="1"/>
    <cellStyle name="Followed Hyperlink" xfId="310" builtinId="9" hidden="1"/>
    <cellStyle name="Followed Hyperlink" xfId="311" builtinId="9" hidden="1"/>
    <cellStyle name="Followed Hyperlink" xfId="312" builtinId="9" hidden="1"/>
    <cellStyle name="Followed Hyperlink" xfId="313" builtinId="9" hidden="1"/>
    <cellStyle name="Followed Hyperlink" xfId="314" builtinId="9" hidden="1"/>
    <cellStyle name="Followed Hyperlink" xfId="315" builtinId="9" hidden="1"/>
    <cellStyle name="Followed Hyperlink" xfId="316" builtinId="9" hidden="1"/>
    <cellStyle name="Followed Hyperlink" xfId="317" builtinId="9" hidden="1"/>
    <cellStyle name="Followed Hyperlink" xfId="318" builtinId="9" hidden="1"/>
    <cellStyle name="Followed Hyperlink" xfId="319" builtinId="9" hidden="1"/>
    <cellStyle name="Followed Hyperlink" xfId="320" builtinId="9" hidden="1"/>
    <cellStyle name="Followed Hyperlink" xfId="321" builtinId="9" hidden="1"/>
    <cellStyle name="Followed Hyperlink" xfId="322" builtinId="9" hidden="1"/>
    <cellStyle name="Followed Hyperlink" xfId="323" builtinId="9" hidden="1"/>
    <cellStyle name="Followed Hyperlink" xfId="324" builtinId="9" hidden="1"/>
    <cellStyle name="Followed Hyperlink" xfId="325" builtinId="9" hidden="1"/>
    <cellStyle name="Followed Hyperlink" xfId="326" builtinId="9" hidden="1"/>
    <cellStyle name="Followed Hyperlink" xfId="327" builtinId="9" hidden="1"/>
    <cellStyle name="Followed Hyperlink" xfId="328" builtinId="9" hidden="1"/>
    <cellStyle name="Followed Hyperlink" xfId="329" builtinId="9" hidden="1"/>
    <cellStyle name="Followed Hyperlink" xfId="330" builtinId="9" hidden="1"/>
    <cellStyle name="Followed Hyperlink" xfId="331" builtinId="9" hidden="1"/>
    <cellStyle name="Followed Hyperlink" xfId="332" builtinId="9" hidden="1"/>
    <cellStyle name="Followed Hyperlink" xfId="333" builtinId="9" hidden="1"/>
    <cellStyle name="Followed Hyperlink" xfId="334" builtinId="9" hidden="1"/>
    <cellStyle name="Followed Hyperlink" xfId="335" builtinId="9" hidden="1"/>
    <cellStyle name="Followed Hyperlink" xfId="336" builtinId="9" hidden="1"/>
    <cellStyle name="Followed Hyperlink" xfId="337" builtinId="9" hidden="1"/>
    <cellStyle name="Followed Hyperlink" xfId="338" builtinId="9" hidden="1"/>
    <cellStyle name="Followed Hyperlink" xfId="339" builtinId="9" hidden="1"/>
    <cellStyle name="Followed Hyperlink" xfId="340" builtinId="9" hidden="1"/>
    <cellStyle name="Followed Hyperlink" xfId="341" builtinId="9" hidden="1"/>
    <cellStyle name="Followed Hyperlink" xfId="342" builtinId="9" hidden="1"/>
    <cellStyle name="Followed Hyperlink" xfId="343" builtinId="9" hidden="1"/>
    <cellStyle name="Followed Hyperlink" xfId="344" builtinId="9" hidden="1"/>
    <cellStyle name="Followed Hyperlink" xfId="345" builtinId="9" hidden="1"/>
    <cellStyle name="Followed Hyperlink" xfId="346" builtinId="9" hidden="1"/>
    <cellStyle name="Followed Hyperlink" xfId="347" builtinId="9" hidden="1"/>
    <cellStyle name="Followed Hyperlink" xfId="348" builtinId="9" hidden="1"/>
    <cellStyle name="Followed Hyperlink" xfId="349" builtinId="9" hidden="1"/>
    <cellStyle name="Followed Hyperlink" xfId="350" builtinId="9" hidden="1"/>
    <cellStyle name="Followed Hyperlink" xfId="351" builtinId="9" hidden="1"/>
    <cellStyle name="Followed Hyperlink" xfId="352" builtinId="9" hidden="1"/>
    <cellStyle name="Followed Hyperlink" xfId="353" builtinId="9" hidden="1"/>
    <cellStyle name="Followed Hyperlink" xfId="354" builtinId="9" hidden="1"/>
    <cellStyle name="Followed Hyperlink" xfId="355" builtinId="9" hidden="1"/>
    <cellStyle name="Followed Hyperlink" xfId="356" builtinId="9" hidden="1"/>
    <cellStyle name="Followed Hyperlink" xfId="357" builtinId="9" hidden="1"/>
    <cellStyle name="Followed Hyperlink" xfId="358" builtinId="9" hidden="1"/>
    <cellStyle name="Followed Hyperlink" xfId="359" builtinId="9" hidden="1"/>
    <cellStyle name="Followed Hyperlink" xfId="360" builtinId="9" hidden="1"/>
    <cellStyle name="Followed Hyperlink" xfId="361" builtinId="9" hidden="1"/>
    <cellStyle name="Followed Hyperlink" xfId="362" builtinId="9" hidden="1"/>
    <cellStyle name="Followed Hyperlink" xfId="363" builtinId="9" hidden="1"/>
    <cellStyle name="Followed Hyperlink" xfId="364" builtinId="9" hidden="1"/>
    <cellStyle name="Followed Hyperlink" xfId="365" builtinId="9" hidden="1"/>
    <cellStyle name="Followed Hyperlink" xfId="366" builtinId="9" hidden="1"/>
    <cellStyle name="Followed Hyperlink" xfId="367" builtinId="9" hidden="1"/>
    <cellStyle name="Followed Hyperlink" xfId="368" builtinId="9" hidden="1"/>
    <cellStyle name="Followed Hyperlink" xfId="369" builtinId="9" hidden="1"/>
    <cellStyle name="Followed Hyperlink" xfId="370" builtinId="9" hidden="1"/>
    <cellStyle name="Followed Hyperlink" xfId="371" builtinId="9" hidden="1"/>
    <cellStyle name="Followed Hyperlink" xfId="372" builtinId="9" hidden="1"/>
    <cellStyle name="Followed Hyperlink" xfId="373" builtinId="9" hidden="1"/>
    <cellStyle name="Followed Hyperlink" xfId="374" builtinId="9" hidden="1"/>
    <cellStyle name="Followed Hyperlink" xfId="375" builtinId="9" hidden="1"/>
    <cellStyle name="Followed Hyperlink" xfId="376" builtinId="9" hidden="1"/>
    <cellStyle name="Followed Hyperlink" xfId="377" builtinId="9" hidden="1"/>
    <cellStyle name="Followed Hyperlink" xfId="378" builtinId="9" hidden="1"/>
    <cellStyle name="Followed Hyperlink" xfId="379" builtinId="9" hidden="1"/>
    <cellStyle name="Followed Hyperlink" xfId="380" builtinId="9" hidden="1"/>
    <cellStyle name="Followed Hyperlink" xfId="381" builtinId="9" hidden="1"/>
    <cellStyle name="Followed Hyperlink" xfId="382" builtinId="9" hidden="1"/>
    <cellStyle name="Followed Hyperlink" xfId="383" builtinId="9" hidden="1"/>
    <cellStyle name="Followed Hyperlink" xfId="384" builtinId="9" hidden="1"/>
    <cellStyle name="Followed Hyperlink" xfId="385" builtinId="9" hidden="1"/>
    <cellStyle name="Followed Hyperlink" xfId="386" builtinId="9" hidden="1"/>
    <cellStyle name="Followed Hyperlink" xfId="387" builtinId="9" hidden="1"/>
    <cellStyle name="Followed Hyperlink" xfId="388" builtinId="9" hidden="1"/>
    <cellStyle name="Followed Hyperlink" xfId="389" builtinId="9" hidden="1"/>
    <cellStyle name="Followed Hyperlink" xfId="390" builtinId="9" hidden="1"/>
    <cellStyle name="Followed Hyperlink" xfId="391" builtinId="9" hidden="1"/>
    <cellStyle name="Followed Hyperlink" xfId="392" builtinId="9" hidden="1"/>
    <cellStyle name="Followed Hyperlink" xfId="393" builtinId="9" hidden="1"/>
    <cellStyle name="Followed Hyperlink" xfId="394" builtinId="9" hidden="1"/>
    <cellStyle name="Followed Hyperlink" xfId="395" builtinId="9" hidden="1"/>
    <cellStyle name="Followed Hyperlink" xfId="396" builtinId="9" hidden="1"/>
    <cellStyle name="Followed Hyperlink" xfId="397" builtinId="9" hidden="1"/>
    <cellStyle name="Followed Hyperlink" xfId="398" builtinId="9" hidden="1"/>
    <cellStyle name="Followed Hyperlink" xfId="399" builtinId="9" hidden="1"/>
    <cellStyle name="Followed Hyperlink" xfId="400" builtinId="9" hidden="1"/>
    <cellStyle name="Followed Hyperlink" xfId="401" builtinId="9" hidden="1"/>
    <cellStyle name="Followed Hyperlink" xfId="402" builtinId="9" hidden="1"/>
    <cellStyle name="Followed Hyperlink" xfId="403" builtinId="9" hidden="1"/>
    <cellStyle name="Followed Hyperlink" xfId="404" builtinId="9" hidden="1"/>
    <cellStyle name="Followed Hyperlink" xfId="405" builtinId="9" hidden="1"/>
    <cellStyle name="Followed Hyperlink" xfId="406" builtinId="9" hidden="1"/>
    <cellStyle name="Followed Hyperlink" xfId="407" builtinId="9" hidden="1"/>
    <cellStyle name="Followed Hyperlink" xfId="408" builtinId="9" hidden="1"/>
    <cellStyle name="Followed Hyperlink" xfId="409" builtinId="9" hidden="1"/>
    <cellStyle name="Followed Hyperlink" xfId="410" builtinId="9" hidden="1"/>
    <cellStyle name="Followed Hyperlink" xfId="411" builtinId="9" hidden="1"/>
    <cellStyle name="Followed Hyperlink" xfId="412" builtinId="9" hidden="1"/>
    <cellStyle name="Followed Hyperlink" xfId="413" builtinId="9" hidden="1"/>
    <cellStyle name="Followed Hyperlink" xfId="414" builtinId="9" hidden="1"/>
    <cellStyle name="Followed Hyperlink" xfId="415" builtinId="9" hidden="1"/>
    <cellStyle name="Followed Hyperlink" xfId="416" builtinId="9" hidden="1"/>
    <cellStyle name="Followed Hyperlink" xfId="417" builtinId="9" hidden="1"/>
    <cellStyle name="Followed Hyperlink" xfId="418" builtinId="9" hidden="1"/>
    <cellStyle name="Followed Hyperlink" xfId="419" builtinId="9" hidden="1"/>
    <cellStyle name="Followed Hyperlink" xfId="420" builtinId="9" hidden="1"/>
    <cellStyle name="Followed Hyperlink" xfId="421" builtinId="9" hidden="1"/>
    <cellStyle name="Followed Hyperlink" xfId="422" builtinId="9" hidden="1"/>
    <cellStyle name="Followed Hyperlink" xfId="423" builtinId="9" hidden="1"/>
    <cellStyle name="Followed Hyperlink" xfId="424" builtinId="9" hidden="1"/>
    <cellStyle name="Followed Hyperlink" xfId="425" builtinId="9" hidden="1"/>
    <cellStyle name="Followed Hyperlink" xfId="426" builtinId="9" hidden="1"/>
    <cellStyle name="Followed Hyperlink" xfId="427" builtinId="9" hidden="1"/>
    <cellStyle name="Followed Hyperlink" xfId="428" builtinId="9" hidden="1"/>
    <cellStyle name="Followed Hyperlink" xfId="429" builtinId="9" hidden="1"/>
    <cellStyle name="Followed Hyperlink" xfId="430" builtinId="9" hidden="1"/>
    <cellStyle name="Followed Hyperlink" xfId="431" builtinId="9" hidden="1"/>
    <cellStyle name="Followed Hyperlink" xfId="432" builtinId="9" hidden="1"/>
    <cellStyle name="Followed Hyperlink" xfId="433" builtinId="9" hidden="1"/>
    <cellStyle name="Followed Hyperlink" xfId="434" builtinId="9" hidden="1"/>
    <cellStyle name="Followed Hyperlink" xfId="435" builtinId="9" hidden="1"/>
    <cellStyle name="Followed Hyperlink" xfId="436" builtinId="9" hidden="1"/>
    <cellStyle name="Followed Hyperlink" xfId="437" builtinId="9" hidden="1"/>
    <cellStyle name="Followed Hyperlink" xfId="438" builtinId="9" hidden="1"/>
    <cellStyle name="Followed Hyperlink" xfId="439" builtinId="9" hidden="1"/>
    <cellStyle name="Followed Hyperlink" xfId="440" builtinId="9" hidden="1"/>
    <cellStyle name="Followed Hyperlink" xfId="441" builtinId="9" hidden="1"/>
    <cellStyle name="Followed Hyperlink" xfId="442" builtinId="9" hidden="1"/>
    <cellStyle name="Followed Hyperlink" xfId="443" builtinId="9" hidden="1"/>
    <cellStyle name="Followed Hyperlink" xfId="444" builtinId="9" hidden="1"/>
    <cellStyle name="Followed Hyperlink" xfId="445" builtinId="9" hidden="1"/>
    <cellStyle name="Followed Hyperlink" xfId="446" builtinId="9" hidden="1"/>
    <cellStyle name="Followed Hyperlink" xfId="447" builtinId="9" hidden="1"/>
    <cellStyle name="Followed Hyperlink" xfId="448" builtinId="9" hidden="1"/>
    <cellStyle name="Followed Hyperlink" xfId="449" builtinId="9" hidden="1"/>
    <cellStyle name="Followed Hyperlink" xfId="450" builtinId="9" hidden="1"/>
    <cellStyle name="Followed Hyperlink" xfId="451" builtinId="9" hidden="1"/>
    <cellStyle name="Followed Hyperlink" xfId="452" builtinId="9" hidden="1"/>
    <cellStyle name="Followed Hyperlink" xfId="453" builtinId="9" hidden="1"/>
    <cellStyle name="Followed Hyperlink" xfId="454" builtinId="9" hidden="1"/>
    <cellStyle name="Followed Hyperlink" xfId="455" builtinId="9" hidden="1"/>
    <cellStyle name="Followed Hyperlink" xfId="456" builtinId="9" hidden="1"/>
    <cellStyle name="Followed Hyperlink" xfId="457" builtinId="9" hidden="1"/>
    <cellStyle name="Followed Hyperlink" xfId="458" builtinId="9" hidden="1"/>
    <cellStyle name="Followed Hyperlink" xfId="459" builtinId="9" hidden="1"/>
    <cellStyle name="Followed Hyperlink" xfId="460" builtinId="9" hidden="1"/>
    <cellStyle name="Followed Hyperlink" xfId="461" builtinId="9" hidden="1"/>
    <cellStyle name="Followed Hyperlink" xfId="462" builtinId="9" hidden="1"/>
    <cellStyle name="Followed Hyperlink" xfId="463" builtinId="9" hidden="1"/>
    <cellStyle name="Followed Hyperlink" xfId="464" builtinId="9" hidden="1"/>
    <cellStyle name="Followed Hyperlink" xfId="465" builtinId="9" hidden="1"/>
    <cellStyle name="Followed Hyperlink" xfId="466" builtinId="9" hidden="1"/>
    <cellStyle name="Followed Hyperlink" xfId="467" builtinId="9" hidden="1"/>
    <cellStyle name="Followed Hyperlink" xfId="468" builtinId="9" hidden="1"/>
    <cellStyle name="Followed Hyperlink" xfId="469" builtinId="9" hidden="1"/>
    <cellStyle name="Followed Hyperlink" xfId="470" builtinId="9" hidden="1"/>
    <cellStyle name="Followed Hyperlink" xfId="471" builtinId="9" hidden="1"/>
    <cellStyle name="Followed Hyperlink" xfId="472" builtinId="9" hidden="1"/>
    <cellStyle name="Followed Hyperlink" xfId="473" builtinId="9" hidden="1"/>
    <cellStyle name="Followed Hyperlink" xfId="474" builtinId="9" hidden="1"/>
    <cellStyle name="Followed Hyperlink" xfId="475" builtinId="9" hidden="1"/>
    <cellStyle name="Followed Hyperlink" xfId="476" builtinId="9" hidden="1"/>
    <cellStyle name="Followed Hyperlink" xfId="477" builtinId="9" hidden="1"/>
    <cellStyle name="Followed Hyperlink" xfId="478" builtinId="9" hidden="1"/>
    <cellStyle name="Followed Hyperlink" xfId="479" builtinId="9" hidden="1"/>
    <cellStyle name="Followed Hyperlink" xfId="480" builtinId="9" hidden="1"/>
    <cellStyle name="Followed Hyperlink" xfId="481" builtinId="9" hidden="1"/>
    <cellStyle name="Followed Hyperlink" xfId="482" builtinId="9" hidden="1"/>
    <cellStyle name="Followed Hyperlink" xfId="483" builtinId="9" hidden="1"/>
    <cellStyle name="Followed Hyperlink" xfId="484" builtinId="9" hidden="1"/>
    <cellStyle name="Followed Hyperlink" xfId="485" builtinId="9" hidden="1"/>
    <cellStyle name="Followed Hyperlink" xfId="486" builtinId="9" hidden="1"/>
    <cellStyle name="Followed Hyperlink" xfId="487" builtinId="9" hidden="1"/>
    <cellStyle name="Followed Hyperlink" xfId="488" builtinId="9" hidden="1"/>
    <cellStyle name="Followed Hyperlink" xfId="489" builtinId="9" hidden="1"/>
    <cellStyle name="Followed Hyperlink" xfId="490" builtinId="9" hidden="1"/>
    <cellStyle name="Followed Hyperlink" xfId="491" builtinId="9" hidden="1"/>
    <cellStyle name="Followed Hyperlink" xfId="493" builtinId="9" hidden="1"/>
    <cellStyle name="Followed Hyperlink" xfId="495"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492" builtinId="8" hidden="1"/>
    <cellStyle name="Hyperlink" xfId="494" builtinId="8" hidden="1"/>
    <cellStyle name="Hyperlink" xfId="498" builtinId="8"/>
    <cellStyle name="Input" xfId="499" builtinId="20"/>
    <cellStyle name="Normal" xfId="0" builtinId="0"/>
    <cellStyle name="Normal 2" xfId="274" xr:uid="{00000000-0005-0000-0000-0000EF010000}"/>
    <cellStyle name="Output" xfId="500" builtinId="21"/>
    <cellStyle name="Per cent" xfId="497" builtinId="5"/>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3</xdr:col>
      <xdr:colOff>863600</xdr:colOff>
      <xdr:row>69</xdr:row>
      <xdr:rowOff>114300</xdr:rowOff>
    </xdr:from>
    <xdr:to>
      <xdr:col>4</xdr:col>
      <xdr:colOff>1385048</xdr:colOff>
      <xdr:row>74</xdr:row>
      <xdr:rowOff>25400</xdr:rowOff>
    </xdr:to>
    <xdr:sp macro="" textlink="">
      <xdr:nvSpPr>
        <xdr:cNvPr id="2" name="Rounded Rectangle 1">
          <a:extLst>
            <a:ext uri="{FF2B5EF4-FFF2-40B4-BE49-F238E27FC236}">
              <a16:creationId xmlns:a16="http://schemas.microsoft.com/office/drawing/2014/main" id="{980640B7-4C19-D142-AC9D-9E4FA5FC0FB0}"/>
            </a:ext>
          </a:extLst>
        </xdr:cNvPr>
        <xdr:cNvSpPr/>
      </xdr:nvSpPr>
      <xdr:spPr>
        <a:xfrm>
          <a:off x="3937000" y="14998700"/>
          <a:ext cx="1651748" cy="965200"/>
        </a:xfrm>
        <a:prstGeom prst="roundRect">
          <a:avLst/>
        </a:prstGeom>
        <a:solidFill>
          <a:srgbClr val="08B0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Gasification + CCS</a:t>
          </a:r>
        </a:p>
      </xdr:txBody>
    </xdr:sp>
    <xdr:clientData/>
  </xdr:twoCellAnchor>
  <xdr:twoCellAnchor>
    <xdr:from>
      <xdr:col>3</xdr:col>
      <xdr:colOff>190500</xdr:colOff>
      <xdr:row>71</xdr:row>
      <xdr:rowOff>139700</xdr:rowOff>
    </xdr:from>
    <xdr:to>
      <xdr:col>3</xdr:col>
      <xdr:colOff>884838</xdr:colOff>
      <xdr:row>71</xdr:row>
      <xdr:rowOff>139700</xdr:rowOff>
    </xdr:to>
    <xdr:cxnSp macro="">
      <xdr:nvCxnSpPr>
        <xdr:cNvPr id="3" name="Straight Arrow Connector 2">
          <a:extLst>
            <a:ext uri="{FF2B5EF4-FFF2-40B4-BE49-F238E27FC236}">
              <a16:creationId xmlns:a16="http://schemas.microsoft.com/office/drawing/2014/main" id="{727EE5A3-C976-8F42-BB55-75C0FECE30A8}"/>
            </a:ext>
          </a:extLst>
        </xdr:cNvPr>
        <xdr:cNvCxnSpPr/>
      </xdr:nvCxnSpPr>
      <xdr:spPr>
        <a:xfrm>
          <a:off x="3263900" y="15455900"/>
          <a:ext cx="694338" cy="0"/>
        </a:xfrm>
        <a:prstGeom prst="straightConnector1">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1422400</xdr:colOff>
      <xdr:row>69</xdr:row>
      <xdr:rowOff>114300</xdr:rowOff>
    </xdr:from>
    <xdr:to>
      <xdr:col>7</xdr:col>
      <xdr:colOff>584948</xdr:colOff>
      <xdr:row>74</xdr:row>
      <xdr:rowOff>25400</xdr:rowOff>
    </xdr:to>
    <xdr:sp macro="" textlink="">
      <xdr:nvSpPr>
        <xdr:cNvPr id="5" name="Rounded Rectangle 4">
          <a:extLst>
            <a:ext uri="{FF2B5EF4-FFF2-40B4-BE49-F238E27FC236}">
              <a16:creationId xmlns:a16="http://schemas.microsoft.com/office/drawing/2014/main" id="{E698702E-EAF0-F644-9066-55DB06CCBCED}"/>
            </a:ext>
          </a:extLst>
        </xdr:cNvPr>
        <xdr:cNvSpPr/>
      </xdr:nvSpPr>
      <xdr:spPr>
        <a:xfrm>
          <a:off x="7658100" y="14998700"/>
          <a:ext cx="1651748" cy="965200"/>
        </a:xfrm>
        <a:prstGeom prst="roundRect">
          <a:avLst/>
        </a:prstGeom>
        <a:solidFill>
          <a:srgbClr val="08B0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MeOH synthesis</a:t>
          </a:r>
        </a:p>
      </xdr:txBody>
    </xdr:sp>
    <xdr:clientData/>
  </xdr:twoCellAnchor>
  <xdr:twoCellAnchor>
    <xdr:from>
      <xdr:col>4</xdr:col>
      <xdr:colOff>1397000</xdr:colOff>
      <xdr:row>71</xdr:row>
      <xdr:rowOff>165100</xdr:rowOff>
    </xdr:from>
    <xdr:to>
      <xdr:col>5</xdr:col>
      <xdr:colOff>1422400</xdr:colOff>
      <xdr:row>71</xdr:row>
      <xdr:rowOff>165100</xdr:rowOff>
    </xdr:to>
    <xdr:cxnSp macro="">
      <xdr:nvCxnSpPr>
        <xdr:cNvPr id="6" name="Straight Arrow Connector 5">
          <a:extLst>
            <a:ext uri="{FF2B5EF4-FFF2-40B4-BE49-F238E27FC236}">
              <a16:creationId xmlns:a16="http://schemas.microsoft.com/office/drawing/2014/main" id="{1D199371-ABCE-FE40-B783-8D4DFEC22501}"/>
            </a:ext>
          </a:extLst>
        </xdr:cNvPr>
        <xdr:cNvCxnSpPr>
          <a:endCxn id="5" idx="1"/>
        </xdr:cNvCxnSpPr>
      </xdr:nvCxnSpPr>
      <xdr:spPr>
        <a:xfrm>
          <a:off x="5600700" y="15481300"/>
          <a:ext cx="2057400" cy="0"/>
        </a:xfrm>
        <a:prstGeom prst="straightConnector1">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584200</xdr:colOff>
      <xdr:row>71</xdr:row>
      <xdr:rowOff>190500</xdr:rowOff>
    </xdr:from>
    <xdr:to>
      <xdr:col>8</xdr:col>
      <xdr:colOff>453038</xdr:colOff>
      <xdr:row>71</xdr:row>
      <xdr:rowOff>190500</xdr:rowOff>
    </xdr:to>
    <xdr:cxnSp macro="">
      <xdr:nvCxnSpPr>
        <xdr:cNvPr id="9" name="Straight Arrow Connector 8">
          <a:extLst>
            <a:ext uri="{FF2B5EF4-FFF2-40B4-BE49-F238E27FC236}">
              <a16:creationId xmlns:a16="http://schemas.microsoft.com/office/drawing/2014/main" id="{ED126E5E-6C50-B845-B081-584D50055761}"/>
            </a:ext>
          </a:extLst>
        </xdr:cNvPr>
        <xdr:cNvCxnSpPr/>
      </xdr:nvCxnSpPr>
      <xdr:spPr>
        <a:xfrm>
          <a:off x="9309100" y="15506700"/>
          <a:ext cx="694338" cy="0"/>
        </a:xfrm>
        <a:prstGeom prst="straightConnector1">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1384300</xdr:colOff>
      <xdr:row>71</xdr:row>
      <xdr:rowOff>165100</xdr:rowOff>
    </xdr:from>
    <xdr:to>
      <xdr:col>4</xdr:col>
      <xdr:colOff>1917700</xdr:colOff>
      <xdr:row>73</xdr:row>
      <xdr:rowOff>101600</xdr:rowOff>
    </xdr:to>
    <xdr:cxnSp macro="">
      <xdr:nvCxnSpPr>
        <xdr:cNvPr id="4" name="Straight Arrow Connector 3">
          <a:extLst>
            <a:ext uri="{FF2B5EF4-FFF2-40B4-BE49-F238E27FC236}">
              <a16:creationId xmlns:a16="http://schemas.microsoft.com/office/drawing/2014/main" id="{9460FC52-1B13-2C4E-91E3-C611A51BE913}"/>
            </a:ext>
          </a:extLst>
        </xdr:cNvPr>
        <xdr:cNvCxnSpPr/>
      </xdr:nvCxnSpPr>
      <xdr:spPr>
        <a:xfrm>
          <a:off x="5588000" y="15481300"/>
          <a:ext cx="533400" cy="355600"/>
        </a:xfrm>
        <a:prstGeom prst="straightConnector1">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dorinevandervlies/Projects/etdataset/nodes_source_analyses/industry/6_residences_analysi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obterwel/Downloads/01D_Current_Central_Hydrogen_Production_from_Natural_Gas_without_CO2_Sequestration_version_3.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hangelog"/>
      <sheetName val="Contents"/>
      <sheetName val="Introduction"/>
      <sheetName val="Dataflow"/>
      <sheetName val="Assumptions"/>
      <sheetName val="Dashboard"/>
      <sheetName val="Corrected energy balance step 2"/>
      <sheetName val="technical_specs"/>
      <sheetName val="Application Shares"/>
      <sheetName val="Technology Shares"/>
      <sheetName val="Houses Shares"/>
      <sheetName val="Final demand per energy carrier"/>
      <sheetName val="Technology split final demand"/>
      <sheetName val="Electricity producer Shares"/>
      <sheetName val="Fuel aggregation"/>
      <sheetName val="Useful-final demand percentage"/>
      <sheetName val="csv_final_demand_coal"/>
      <sheetName val="csv_final_demand_crude_oil"/>
      <sheetName val="csv_final_demand_network_gas"/>
      <sheetName val="csv_final_demand_woodpellets"/>
      <sheetName val="csv_final_demand_electricity"/>
      <sheetName val="csv_final_demand_steam"/>
      <sheetName val="csv_cooling_electricity"/>
      <sheetName val="csv_heating_network_gas"/>
      <sheetName val="csv_heating_electricity"/>
      <sheetName val="csv_heating_heat_pump"/>
      <sheetName val="csv_water_network_gas"/>
      <sheetName val="csv_water_electricity"/>
      <sheetName val="csv_cooking_electricity"/>
      <sheetName val="csv_lighting_electricity"/>
      <sheetName val="csv_appliances_electricity"/>
      <sheetName val="csv_solar_thermal_heater"/>
      <sheetName val="csv_cooling_old-new"/>
      <sheetName val="csv_heating_old-new"/>
      <sheetName val="csv_cooling_insulation_old"/>
      <sheetName val="csv_cooling_insulation_new"/>
      <sheetName val="csv_heating_insulation_new"/>
      <sheetName val="csv_heating_insulation_old"/>
      <sheetName val="csv_heating_micro_chp_gas"/>
      <sheetName val="csv_water_micro_chp_gas"/>
      <sheetName val="csv_water_fuell_cell_gas"/>
      <sheetName val="csv_solar_space_heating_chld"/>
      <sheetName val="csv_solar_hot_water_chld"/>
      <sheetName val="csv_add_on_space_heating_child"/>
      <sheetName val="csv_add_on_hot water_child"/>
      <sheetName val="csv_hot_water_from_el_add_on"/>
      <sheetName val="csv_export_to_area_analys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ow r="11">
          <cell r="L11">
            <v>0</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sheetName val="Description"/>
      <sheetName val="ProcessFlow"/>
      <sheetName val="Input_Sheet_Template"/>
      <sheetName val="Replacement Costs"/>
      <sheetName val="Capital Costs"/>
      <sheetName val="Plant Scaling"/>
      <sheetName val="Carbon Sequestration"/>
      <sheetName val="Results"/>
      <sheetName val="Tornado Charts"/>
      <sheetName val="Cash Flow Analysis"/>
      <sheetName val="Energy Feed &amp; Utility Prices"/>
      <sheetName val="Non-Energy Material Prices"/>
      <sheetName val="AEO Data"/>
      <sheetName val="HyARC Physical Property Data"/>
      <sheetName val="Debt Financing Calculations"/>
      <sheetName val="Depreciation"/>
      <sheetName val="Constants and Conversions"/>
      <sheetName val="Lists"/>
      <sheetName val="ProcessFlow - blank"/>
      <sheetName val="Description - blank"/>
      <sheetName val="Title - blank"/>
    </sheetNames>
    <sheetDataSet>
      <sheetData sheetId="0"/>
      <sheetData sheetId="1"/>
      <sheetData sheetId="2"/>
      <sheetData sheetId="3"/>
      <sheetData sheetId="4"/>
      <sheetData sheetId="5"/>
      <sheetData sheetId="6"/>
      <sheetData sheetId="7"/>
      <sheetData sheetId="8"/>
      <sheetData sheetId="9">
        <row r="48">
          <cell r="I48">
            <v>1</v>
          </cell>
        </row>
      </sheetData>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hyperlink" Target="https://refman.energytransitionmodel.com/publications/2219" TargetMode="External"/><Relationship Id="rId1" Type="http://schemas.openxmlformats.org/officeDocument/2006/relationships/hyperlink" Target="https://refman.energytransitionmodel.com/publications/2218"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0"/>
  </sheetPr>
  <dimension ref="A1:D24"/>
  <sheetViews>
    <sheetView workbookViewId="0">
      <selection activeCell="C5" sqref="C5"/>
    </sheetView>
  </sheetViews>
  <sheetFormatPr baseColWidth="10" defaultColWidth="10.85546875" defaultRowHeight="16"/>
  <cols>
    <col min="1" max="1" width="3.42578125" style="26" customWidth="1"/>
    <col min="2" max="2" width="11.42578125" style="18" customWidth="1"/>
    <col min="3" max="3" width="38.42578125" style="18" customWidth="1"/>
    <col min="4" max="16384" width="10.85546875" style="18"/>
  </cols>
  <sheetData>
    <row r="1" spans="1:4" s="24" customFormat="1">
      <c r="A1" s="22"/>
      <c r="B1" s="23"/>
      <c r="C1" s="23"/>
    </row>
    <row r="2" spans="1:4" ht="21">
      <c r="A2" s="1"/>
      <c r="B2" s="25" t="s">
        <v>9</v>
      </c>
      <c r="C2" s="25"/>
    </row>
    <row r="3" spans="1:4">
      <c r="A3" s="1"/>
      <c r="B3" s="5"/>
      <c r="C3" s="5"/>
    </row>
    <row r="4" spans="1:4">
      <c r="A4" s="1"/>
      <c r="B4" s="2" t="s">
        <v>10</v>
      </c>
      <c r="C4" s="23" t="s">
        <v>220</v>
      </c>
      <c r="D4" s="210"/>
    </row>
    <row r="5" spans="1:4">
      <c r="A5" s="1"/>
      <c r="B5" s="3" t="s">
        <v>39</v>
      </c>
      <c r="C5" s="208" t="s">
        <v>131</v>
      </c>
      <c r="D5" s="211"/>
    </row>
    <row r="6" spans="1:4">
      <c r="A6" s="1"/>
      <c r="B6" s="4" t="s">
        <v>12</v>
      </c>
      <c r="C6" s="209" t="s">
        <v>186</v>
      </c>
      <c r="D6" s="212"/>
    </row>
    <row r="7" spans="1:4">
      <c r="A7" s="1"/>
      <c r="B7" s="5"/>
      <c r="C7" s="5"/>
    </row>
    <row r="8" spans="1:4">
      <c r="A8" s="1"/>
      <c r="B8" s="5"/>
      <c r="C8" s="5"/>
    </row>
    <row r="9" spans="1:4">
      <c r="A9" s="1"/>
      <c r="B9" s="58" t="s">
        <v>24</v>
      </c>
      <c r="C9" s="59"/>
      <c r="D9" s="210"/>
    </row>
    <row r="10" spans="1:4">
      <c r="A10" s="1"/>
      <c r="B10" s="60"/>
      <c r="C10" s="213"/>
      <c r="D10" s="211"/>
    </row>
    <row r="11" spans="1:4">
      <c r="A11" s="1"/>
      <c r="B11" s="60" t="s">
        <v>25</v>
      </c>
      <c r="C11" s="214" t="s">
        <v>26</v>
      </c>
      <c r="D11" s="211"/>
    </row>
    <row r="12" spans="1:4" ht="17" thickBot="1">
      <c r="A12" s="1"/>
      <c r="B12" s="60"/>
      <c r="C12" s="9" t="s">
        <v>27</v>
      </c>
      <c r="D12" s="211"/>
    </row>
    <row r="13" spans="1:4" ht="17" thickBot="1">
      <c r="A13" s="1"/>
      <c r="B13" s="60"/>
      <c r="C13" s="61" t="s">
        <v>28</v>
      </c>
      <c r="D13" s="211"/>
    </row>
    <row r="14" spans="1:4">
      <c r="A14" s="1"/>
      <c r="B14" s="60"/>
      <c r="C14" s="213" t="s">
        <v>29</v>
      </c>
      <c r="D14" s="211"/>
    </row>
    <row r="15" spans="1:4">
      <c r="A15" s="1"/>
      <c r="B15" s="60"/>
      <c r="C15" s="213"/>
      <c r="D15" s="211"/>
    </row>
    <row r="16" spans="1:4">
      <c r="A16" s="1"/>
      <c r="B16" s="60" t="s">
        <v>30</v>
      </c>
      <c r="C16" s="215" t="s">
        <v>31</v>
      </c>
      <c r="D16" s="211"/>
    </row>
    <row r="17" spans="1:4">
      <c r="A17" s="1"/>
      <c r="B17" s="60"/>
      <c r="C17" s="216" t="s">
        <v>32</v>
      </c>
      <c r="D17" s="211"/>
    </row>
    <row r="18" spans="1:4">
      <c r="A18" s="1"/>
      <c r="B18" s="60"/>
      <c r="C18" s="217" t="s">
        <v>33</v>
      </c>
      <c r="D18" s="211"/>
    </row>
    <row r="19" spans="1:4">
      <c r="A19" s="1"/>
      <c r="B19" s="60"/>
      <c r="C19" s="218" t="s">
        <v>34</v>
      </c>
      <c r="D19" s="211"/>
    </row>
    <row r="20" spans="1:4">
      <c r="A20" s="1"/>
      <c r="B20" s="62"/>
      <c r="C20" s="219" t="s">
        <v>35</v>
      </c>
      <c r="D20" s="211"/>
    </row>
    <row r="21" spans="1:4">
      <c r="A21" s="1"/>
      <c r="B21" s="62"/>
      <c r="C21" s="220" t="s">
        <v>36</v>
      </c>
      <c r="D21" s="211"/>
    </row>
    <row r="22" spans="1:4">
      <c r="A22" s="1"/>
      <c r="B22" s="62"/>
      <c r="C22" s="221" t="s">
        <v>37</v>
      </c>
      <c r="D22" s="211"/>
    </row>
    <row r="23" spans="1:4">
      <c r="B23" s="62"/>
      <c r="C23" s="222" t="s">
        <v>38</v>
      </c>
      <c r="D23" s="211"/>
    </row>
    <row r="24" spans="1:4">
      <c r="B24" s="223"/>
      <c r="C24" s="224"/>
      <c r="D24" s="212"/>
    </row>
  </sheetData>
  <pageMargins left="0.75" right="0.75" top="1" bottom="1" header="0.5" footer="0.5"/>
  <pageSetup paperSize="9" orientation="portrait" horizontalDpi="4294967292" verticalDpi="429496729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FF00"/>
  </sheetPr>
  <dimension ref="A2:J44"/>
  <sheetViews>
    <sheetView zoomScaleNormal="100" workbookViewId="0">
      <selection activeCell="G16" sqref="G16"/>
    </sheetView>
  </sheetViews>
  <sheetFormatPr baseColWidth="10" defaultColWidth="10.85546875" defaultRowHeight="16"/>
  <cols>
    <col min="1" max="2" width="3.42578125" style="29" customWidth="1"/>
    <col min="3" max="3" width="51.42578125" style="29" customWidth="1"/>
    <col min="4" max="5" width="14.7109375" style="29" customWidth="1"/>
    <col min="6" max="6" width="4.42578125" style="29" customWidth="1"/>
    <col min="7" max="7" width="49.42578125" style="29" customWidth="1"/>
    <col min="8" max="8" width="20.85546875" style="29" customWidth="1"/>
    <col min="9" max="9" width="42.42578125" style="29" customWidth="1"/>
    <col min="10" max="10" width="5.42578125" style="29" customWidth="1"/>
    <col min="11" max="16384" width="10.85546875" style="29"/>
  </cols>
  <sheetData>
    <row r="2" spans="1:10">
      <c r="B2" s="250" t="s">
        <v>67</v>
      </c>
      <c r="C2" s="251"/>
      <c r="D2" s="251"/>
      <c r="E2" s="252"/>
    </row>
    <row r="3" spans="1:10">
      <c r="B3" s="253"/>
      <c r="C3" s="254"/>
      <c r="D3" s="254"/>
      <c r="E3" s="255"/>
    </row>
    <row r="4" spans="1:10">
      <c r="B4" s="253"/>
      <c r="C4" s="254"/>
      <c r="D4" s="254"/>
      <c r="E4" s="255"/>
    </row>
    <row r="5" spans="1:10">
      <c r="B5" s="256"/>
      <c r="C5" s="257"/>
      <c r="D5" s="257"/>
      <c r="E5" s="258"/>
    </row>
    <row r="7" spans="1:10" ht="17" thickBot="1"/>
    <row r="8" spans="1:10">
      <c r="B8" s="30"/>
      <c r="C8" s="16"/>
      <c r="D8" s="16"/>
      <c r="E8" s="16"/>
      <c r="F8" s="16"/>
      <c r="G8" s="16"/>
      <c r="H8" s="16"/>
      <c r="I8" s="16"/>
      <c r="J8" s="31"/>
    </row>
    <row r="9" spans="1:10" s="9" customFormat="1">
      <c r="B9" s="20"/>
      <c r="C9" s="12" t="s">
        <v>17</v>
      </c>
      <c r="D9" s="13" t="s">
        <v>7</v>
      </c>
      <c r="E9" s="11" t="s">
        <v>3</v>
      </c>
      <c r="F9" s="12"/>
      <c r="G9" s="12" t="s">
        <v>6</v>
      </c>
      <c r="H9" s="12"/>
      <c r="I9" s="12" t="s">
        <v>0</v>
      </c>
      <c r="J9" s="65"/>
    </row>
    <row r="10" spans="1:10" s="9" customFormat="1">
      <c r="B10" s="21"/>
      <c r="D10" s="27"/>
      <c r="J10" s="10"/>
    </row>
    <row r="11" spans="1:10" s="9" customFormat="1" ht="17" thickBot="1">
      <c r="B11" s="21"/>
      <c r="C11" s="9" t="s">
        <v>41</v>
      </c>
      <c r="D11" s="27"/>
      <c r="J11" s="10"/>
    </row>
    <row r="12" spans="1:10" s="110" customFormat="1" ht="16" customHeight="1" thickBot="1">
      <c r="B12" s="111"/>
      <c r="C12" s="105" t="s">
        <v>66</v>
      </c>
      <c r="D12" s="106" t="s">
        <v>69</v>
      </c>
      <c r="E12" s="112">
        <f>Notes!D6</f>
        <v>213.11</v>
      </c>
      <c r="F12" s="105"/>
      <c r="G12" s="113"/>
      <c r="I12" s="228" t="s">
        <v>84</v>
      </c>
      <c r="J12" s="114"/>
    </row>
    <row r="13" spans="1:10" s="110" customFormat="1" ht="16" customHeight="1" thickBot="1">
      <c r="B13" s="111"/>
      <c r="C13" s="249" t="s">
        <v>216</v>
      </c>
      <c r="D13" s="106"/>
      <c r="E13" s="112">
        <f>Notes!D18</f>
        <v>1</v>
      </c>
      <c r="F13" s="105"/>
      <c r="G13" s="113"/>
      <c r="I13" s="228" t="s">
        <v>84</v>
      </c>
      <c r="J13" s="114"/>
    </row>
    <row r="14" spans="1:10" ht="17" thickBot="1">
      <c r="A14" s="72"/>
      <c r="B14" s="73"/>
      <c r="C14" s="248" t="s">
        <v>215</v>
      </c>
      <c r="D14" s="19" t="s">
        <v>2</v>
      </c>
      <c r="E14" s="112">
        <f>Notes!D16</f>
        <v>0.61</v>
      </c>
      <c r="F14" s="71"/>
      <c r="G14" s="99"/>
      <c r="H14" s="71"/>
      <c r="I14" s="228" t="s">
        <v>84</v>
      </c>
      <c r="J14" s="74"/>
    </row>
    <row r="15" spans="1:10" s="103" customFormat="1" ht="16" customHeight="1" thickBot="1">
      <c r="B15" s="104"/>
      <c r="C15" s="105" t="s">
        <v>57</v>
      </c>
      <c r="D15" s="106" t="s">
        <v>122</v>
      </c>
      <c r="E15" s="112">
        <f>Notes!D7</f>
        <v>8000</v>
      </c>
      <c r="F15" s="105"/>
      <c r="G15" s="105"/>
      <c r="I15" s="228" t="s">
        <v>84</v>
      </c>
      <c r="J15" s="108"/>
    </row>
    <row r="16" spans="1:10" s="103" customFormat="1" ht="16" customHeight="1" thickBot="1">
      <c r="B16" s="104"/>
      <c r="C16" s="196" t="s">
        <v>174</v>
      </c>
      <c r="D16" s="106" t="s">
        <v>2</v>
      </c>
      <c r="E16" s="112">
        <f>Notes!D45</f>
        <v>0.96</v>
      </c>
      <c r="F16" s="105"/>
      <c r="G16" s="105"/>
      <c r="J16" s="108"/>
    </row>
    <row r="17" spans="1:10">
      <c r="B17" s="33"/>
      <c r="J17" s="66"/>
    </row>
    <row r="18" spans="1:10" ht="17" thickBot="1">
      <c r="B18" s="33"/>
      <c r="C18" s="9" t="s">
        <v>40</v>
      </c>
      <c r="J18" s="66"/>
    </row>
    <row r="19" spans="1:10" ht="17" thickBot="1">
      <c r="B19" s="33"/>
      <c r="C19" s="32" t="s">
        <v>20</v>
      </c>
      <c r="D19" s="19" t="s">
        <v>18</v>
      </c>
      <c r="E19" s="109">
        <f>Notes!D11</f>
        <v>403812425</v>
      </c>
      <c r="F19" s="32"/>
      <c r="G19" s="32" t="s">
        <v>5</v>
      </c>
      <c r="H19" s="32"/>
      <c r="I19" s="228" t="s">
        <v>84</v>
      </c>
      <c r="J19" s="66"/>
    </row>
    <row r="20" spans="1:10" ht="17" thickBot="1">
      <c r="B20" s="33"/>
      <c r="C20" s="160" t="s">
        <v>133</v>
      </c>
      <c r="D20" s="19" t="s">
        <v>18</v>
      </c>
      <c r="E20" s="109">
        <f>Notes!D21</f>
        <v>38988246</v>
      </c>
      <c r="F20" s="32"/>
      <c r="G20" s="32"/>
      <c r="H20" s="32"/>
      <c r="I20" s="102" t="s">
        <v>134</v>
      </c>
      <c r="J20" s="66"/>
    </row>
    <row r="21" spans="1:10" ht="15" customHeight="1" thickBot="1">
      <c r="B21" s="33"/>
      <c r="C21" s="32" t="s">
        <v>21</v>
      </c>
      <c r="D21" s="19" t="s">
        <v>45</v>
      </c>
      <c r="E21" s="109">
        <f>Notes!D12</f>
        <v>5384166</v>
      </c>
      <c r="F21" s="32"/>
      <c r="G21" s="92" t="s">
        <v>64</v>
      </c>
      <c r="H21" s="32"/>
      <c r="I21" s="228" t="s">
        <v>84</v>
      </c>
      <c r="J21" s="66"/>
    </row>
    <row r="22" spans="1:10" ht="17" thickBot="1">
      <c r="B22" s="85"/>
      <c r="C22" s="91" t="s">
        <v>60</v>
      </c>
      <c r="D22" s="87" t="s">
        <v>55</v>
      </c>
      <c r="E22" s="109">
        <f>Notes!D13</f>
        <v>2019.06</v>
      </c>
      <c r="F22" s="88"/>
      <c r="G22" s="86" t="s">
        <v>56</v>
      </c>
      <c r="H22" s="88"/>
      <c r="I22" s="228" t="s">
        <v>84</v>
      </c>
      <c r="J22" s="89"/>
    </row>
    <row r="23" spans="1:10" ht="17" thickBot="1">
      <c r="B23" s="85"/>
      <c r="C23" s="91" t="s">
        <v>61</v>
      </c>
      <c r="D23" s="87" t="s">
        <v>55</v>
      </c>
      <c r="E23" s="109">
        <v>0</v>
      </c>
      <c r="F23" s="88"/>
      <c r="G23" s="86"/>
      <c r="H23" s="88"/>
      <c r="I23" s="102" t="s">
        <v>189</v>
      </c>
      <c r="J23" s="89"/>
    </row>
    <row r="24" spans="1:10" ht="17" thickBot="1">
      <c r="B24" s="85"/>
      <c r="C24" s="91" t="s">
        <v>59</v>
      </c>
      <c r="D24" s="87"/>
      <c r="E24" s="109">
        <v>0</v>
      </c>
      <c r="F24" s="88"/>
      <c r="G24" s="91" t="s">
        <v>62</v>
      </c>
      <c r="H24" s="88"/>
      <c r="I24" s="227" t="s">
        <v>190</v>
      </c>
      <c r="J24" s="89"/>
    </row>
    <row r="25" spans="1:10" ht="17" thickBot="1">
      <c r="B25" s="85"/>
      <c r="C25" s="98" t="s">
        <v>65</v>
      </c>
      <c r="D25" s="87"/>
      <c r="E25" s="34">
        <v>0</v>
      </c>
      <c r="F25" s="88"/>
      <c r="G25" s="91" t="s">
        <v>63</v>
      </c>
      <c r="H25" s="88"/>
      <c r="I25" s="227" t="s">
        <v>190</v>
      </c>
      <c r="J25" s="89"/>
    </row>
    <row r="26" spans="1:10" ht="17" thickBot="1">
      <c r="A26" s="72"/>
      <c r="B26" s="73"/>
      <c r="C26" s="71" t="s">
        <v>47</v>
      </c>
      <c r="D26" s="19" t="s">
        <v>48</v>
      </c>
      <c r="E26" s="123">
        <v>7.0000000000000007E-2</v>
      </c>
      <c r="F26" s="71"/>
      <c r="G26" s="71" t="s">
        <v>49</v>
      </c>
      <c r="H26" s="71"/>
      <c r="I26" s="159" t="s">
        <v>130</v>
      </c>
      <c r="J26" s="74"/>
    </row>
    <row r="27" spans="1:10" ht="17" thickBot="1">
      <c r="A27" s="72"/>
      <c r="B27" s="73"/>
      <c r="C27" s="71" t="s">
        <v>50</v>
      </c>
      <c r="D27" s="19" t="s">
        <v>51</v>
      </c>
      <c r="E27" s="75">
        <v>1</v>
      </c>
      <c r="F27" s="71"/>
      <c r="G27" s="71"/>
      <c r="H27" s="71"/>
      <c r="I27" s="226" t="s">
        <v>189</v>
      </c>
      <c r="J27" s="74"/>
    </row>
    <row r="28" spans="1:10">
      <c r="A28" s="72"/>
      <c r="B28" s="73"/>
      <c r="C28" s="71"/>
      <c r="D28" s="19"/>
      <c r="E28" s="77"/>
      <c r="F28" s="71"/>
      <c r="G28" s="71"/>
      <c r="H28" s="71"/>
      <c r="I28" s="72"/>
      <c r="J28" s="74"/>
    </row>
    <row r="29" spans="1:10" ht="17" thickBot="1">
      <c r="A29" s="72"/>
      <c r="B29" s="73"/>
      <c r="C29" s="9" t="s">
        <v>4</v>
      </c>
      <c r="D29" s="67"/>
      <c r="E29" s="77"/>
      <c r="F29" s="72"/>
      <c r="H29" s="72"/>
      <c r="I29" s="72"/>
      <c r="J29" s="74"/>
    </row>
    <row r="30" spans="1:10" ht="17" thickBot="1">
      <c r="A30" s="72"/>
      <c r="B30" s="73"/>
      <c r="C30" s="71" t="s">
        <v>22</v>
      </c>
      <c r="D30" s="19" t="s">
        <v>1</v>
      </c>
      <c r="E30" s="75">
        <f>Notes!D8</f>
        <v>20</v>
      </c>
      <c r="F30" s="71"/>
      <c r="G30" s="71" t="s">
        <v>54</v>
      </c>
      <c r="H30" s="71"/>
      <c r="I30" s="228" t="s">
        <v>84</v>
      </c>
      <c r="J30" s="74"/>
    </row>
    <row r="31" spans="1:10" ht="17" thickBot="1">
      <c r="A31" s="72"/>
      <c r="B31" s="73"/>
      <c r="C31" s="71" t="s">
        <v>52</v>
      </c>
      <c r="D31" s="19" t="s">
        <v>1</v>
      </c>
      <c r="E31" s="198" t="str">
        <f>Notes!D9</f>
        <v>2.5</v>
      </c>
      <c r="F31" s="71"/>
      <c r="G31" s="71" t="s">
        <v>53</v>
      </c>
      <c r="H31" s="71"/>
      <c r="I31" s="228" t="s">
        <v>84</v>
      </c>
      <c r="J31" s="74"/>
    </row>
    <row r="32" spans="1:10" ht="17" thickBot="1">
      <c r="A32" s="72"/>
      <c r="B32" s="73"/>
      <c r="C32" s="71" t="s">
        <v>19</v>
      </c>
      <c r="D32" s="19" t="s">
        <v>2</v>
      </c>
      <c r="E32" s="75">
        <f>Notes!D96</f>
        <v>0.53939300000000001</v>
      </c>
      <c r="F32" s="71"/>
      <c r="G32" s="71"/>
      <c r="H32" s="71"/>
      <c r="I32" s="102" t="s">
        <v>188</v>
      </c>
      <c r="J32" s="74"/>
    </row>
    <row r="33" spans="1:10" ht="17" thickBot="1">
      <c r="A33" s="72"/>
      <c r="B33" s="73"/>
      <c r="C33" s="225" t="s">
        <v>187</v>
      </c>
      <c r="D33" s="19" t="s">
        <v>2</v>
      </c>
      <c r="E33" s="75">
        <f>Notes!D97</f>
        <v>0.53939300000000001</v>
      </c>
      <c r="F33" s="71"/>
      <c r="G33" s="71"/>
      <c r="H33" s="71"/>
      <c r="I33" s="102" t="s">
        <v>188</v>
      </c>
      <c r="J33" s="74"/>
    </row>
    <row r="34" spans="1:10" ht="17" thickBot="1">
      <c r="A34" s="72"/>
      <c r="B34" s="78"/>
      <c r="C34" s="79"/>
      <c r="D34" s="79"/>
      <c r="E34" s="79"/>
      <c r="F34" s="79"/>
      <c r="G34" s="79"/>
      <c r="H34" s="79"/>
      <c r="I34" s="79"/>
      <c r="J34" s="80"/>
    </row>
    <row r="35" spans="1:10">
      <c r="A35" s="72"/>
      <c r="B35" s="72"/>
      <c r="C35" s="72"/>
      <c r="D35" s="72"/>
      <c r="E35" s="72"/>
      <c r="F35" s="72"/>
      <c r="G35" s="72"/>
      <c r="H35" s="72"/>
      <c r="I35" s="72"/>
      <c r="J35" s="72"/>
    </row>
    <row r="36" spans="1:10">
      <c r="A36" s="72"/>
      <c r="B36" s="72"/>
      <c r="C36" s="72"/>
      <c r="D36" s="72"/>
      <c r="E36" s="72"/>
      <c r="F36" s="72"/>
      <c r="G36" s="72"/>
      <c r="H36" s="72"/>
      <c r="I36" s="72"/>
      <c r="J36" s="72"/>
    </row>
    <row r="37" spans="1:10">
      <c r="A37" s="72"/>
      <c r="B37" s="72"/>
      <c r="C37" s="72"/>
      <c r="D37" s="72"/>
      <c r="E37" s="72"/>
      <c r="F37" s="72"/>
      <c r="G37" s="72"/>
      <c r="H37" s="72"/>
      <c r="I37" s="72"/>
      <c r="J37" s="72"/>
    </row>
    <row r="38" spans="1:10">
      <c r="A38" s="72"/>
      <c r="B38" s="72"/>
      <c r="E38" s="72"/>
      <c r="F38" s="72"/>
      <c r="G38" s="72"/>
      <c r="H38" s="72"/>
      <c r="I38" s="72"/>
      <c r="J38" s="72"/>
    </row>
    <row r="39" spans="1:10">
      <c r="A39" s="72"/>
      <c r="B39" s="72"/>
      <c r="C39" s="72"/>
      <c r="D39" s="72"/>
      <c r="E39" s="72"/>
      <c r="F39" s="72"/>
      <c r="G39" s="72"/>
      <c r="H39" s="72"/>
      <c r="I39" s="72"/>
      <c r="J39" s="72"/>
    </row>
    <row r="40" spans="1:10">
      <c r="A40" s="72"/>
      <c r="B40" s="72"/>
      <c r="C40" s="72"/>
      <c r="D40" s="72"/>
      <c r="E40" s="72"/>
      <c r="F40" s="72"/>
      <c r="G40" s="72"/>
      <c r="H40" s="72"/>
      <c r="I40" s="72"/>
      <c r="J40" s="72"/>
    </row>
    <row r="41" spans="1:10">
      <c r="A41" s="72"/>
      <c r="B41" s="72"/>
      <c r="C41" s="72"/>
      <c r="D41" s="72"/>
      <c r="E41" s="72"/>
      <c r="F41" s="72"/>
      <c r="G41" s="72"/>
      <c r="H41" s="72"/>
      <c r="I41" s="72"/>
      <c r="J41" s="72"/>
    </row>
    <row r="42" spans="1:10">
      <c r="A42" s="72"/>
      <c r="B42" s="72"/>
      <c r="C42" s="72"/>
      <c r="D42" s="72"/>
      <c r="E42" s="72"/>
      <c r="F42" s="72"/>
      <c r="G42" s="72"/>
      <c r="H42" s="72"/>
      <c r="I42" s="72"/>
      <c r="J42" s="72"/>
    </row>
    <row r="43" spans="1:10">
      <c r="A43" s="72"/>
    </row>
    <row r="44" spans="1:10">
      <c r="A44" s="72"/>
    </row>
  </sheetData>
  <mergeCells count="1">
    <mergeCell ref="B2:E5"/>
  </mergeCells>
  <pageMargins left="0.75" right="0.75" top="1" bottom="1" header="0.5" footer="0.5"/>
  <pageSetup paperSize="9" orientation="portrait" horizontalDpi="4294967292" verticalDpi="429496729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6" tint="0.39997558519241921"/>
  </sheetPr>
  <dimension ref="A2:P27"/>
  <sheetViews>
    <sheetView zoomScale="119" workbookViewId="0">
      <selection activeCell="J19" sqref="J19"/>
    </sheetView>
  </sheetViews>
  <sheetFormatPr baseColWidth="10" defaultColWidth="10.85546875" defaultRowHeight="16"/>
  <cols>
    <col min="1" max="1" width="3.42578125" style="35" customWidth="1"/>
    <col min="2" max="2" width="3" style="35" customWidth="1"/>
    <col min="3" max="3" width="61" style="35" customWidth="1"/>
    <col min="4" max="4" width="16.42578125" style="35" hidden="1" customWidth="1"/>
    <col min="5" max="5" width="13.85546875" style="35" hidden="1" customWidth="1"/>
    <col min="6" max="6" width="10" style="35" customWidth="1"/>
    <col min="7" max="7" width="3" style="35" customWidth="1"/>
    <col min="8" max="8" width="14.85546875" style="35" customWidth="1"/>
    <col min="9" max="9" width="2.42578125" style="35" customWidth="1"/>
    <col min="10" max="10" width="13.42578125" style="35" customWidth="1"/>
    <col min="11" max="12" width="2.42578125" style="35" customWidth="1"/>
    <col min="13" max="13" width="23.42578125" style="35" customWidth="1"/>
    <col min="14" max="14" width="11" style="35" customWidth="1"/>
    <col min="15" max="15" width="2.42578125" style="35" customWidth="1"/>
    <col min="16" max="16" width="22.42578125" style="35" customWidth="1"/>
    <col min="17" max="16384" width="10.85546875" style="35"/>
  </cols>
  <sheetData>
    <row r="2" spans="1:16" ht="17" thickBot="1"/>
    <row r="3" spans="1:16">
      <c r="B3" s="36"/>
      <c r="C3" s="37"/>
      <c r="D3" s="37"/>
      <c r="E3" s="37"/>
      <c r="F3" s="37"/>
      <c r="G3" s="37"/>
      <c r="H3" s="37"/>
      <c r="I3" s="37"/>
      <c r="J3" s="37"/>
      <c r="K3" s="37"/>
      <c r="L3" s="37"/>
      <c r="M3" s="37"/>
      <c r="N3" s="37"/>
      <c r="O3" s="37"/>
      <c r="P3" s="37"/>
    </row>
    <row r="4" spans="1:16" s="9" customFormat="1">
      <c r="B4" s="21"/>
      <c r="C4" s="63" t="s">
        <v>17</v>
      </c>
      <c r="D4" s="6"/>
      <c r="E4" s="6"/>
      <c r="F4" s="63" t="s">
        <v>7</v>
      </c>
      <c r="G4" s="63"/>
      <c r="H4" s="63" t="s">
        <v>44</v>
      </c>
      <c r="I4" s="63"/>
      <c r="J4" s="63" t="s">
        <v>177</v>
      </c>
      <c r="K4" s="63"/>
      <c r="L4" s="63"/>
      <c r="M4" s="63" t="s">
        <v>42</v>
      </c>
    </row>
    <row r="5" spans="1:16" ht="18" customHeight="1">
      <c r="B5" s="38"/>
      <c r="C5" s="41"/>
      <c r="D5" s="41"/>
      <c r="E5" s="41"/>
      <c r="H5" s="39"/>
      <c r="I5" s="39"/>
      <c r="J5" s="39"/>
      <c r="K5" s="39"/>
      <c r="L5" s="39"/>
      <c r="M5" s="43"/>
    </row>
    <row r="6" spans="1:16" ht="18" customHeight="1" thickBot="1">
      <c r="B6" s="38"/>
      <c r="C6" s="9" t="s">
        <v>41</v>
      </c>
      <c r="D6" s="27"/>
      <c r="E6" s="9"/>
      <c r="F6" s="27"/>
      <c r="G6" s="28"/>
      <c r="H6" s="7"/>
      <c r="I6" s="7"/>
      <c r="J6" s="7"/>
      <c r="K6" s="7"/>
    </row>
    <row r="7" spans="1:16" ht="18" customHeight="1" thickBot="1">
      <c r="B7" s="38"/>
      <c r="C7" s="105" t="s">
        <v>66</v>
      </c>
      <c r="D7" s="106" t="s">
        <v>69</v>
      </c>
      <c r="E7" s="112"/>
      <c r="F7" s="106" t="s">
        <v>69</v>
      </c>
      <c r="G7" s="64"/>
      <c r="H7" s="100">
        <f>ROUND(J7,2)</f>
        <v>213.11</v>
      </c>
      <c r="I7" s="39"/>
      <c r="J7" s="118">
        <f>Notes!D6</f>
        <v>213.11</v>
      </c>
      <c r="K7" s="39"/>
    </row>
    <row r="8" spans="1:16" s="29" customFormat="1" ht="17" thickBot="1">
      <c r="A8" s="9"/>
      <c r="B8" s="21"/>
      <c r="C8" s="157" t="s">
        <v>127</v>
      </c>
      <c r="D8" s="17" t="s">
        <v>2</v>
      </c>
      <c r="E8" s="34"/>
      <c r="F8" s="17" t="s">
        <v>2</v>
      </c>
      <c r="G8" s="71"/>
      <c r="H8" s="100">
        <f>ROUND(J8,3)</f>
        <v>1</v>
      </c>
      <c r="J8" s="118">
        <f>Notes!D18</f>
        <v>1</v>
      </c>
      <c r="K8" s="9"/>
    </row>
    <row r="9" spans="1:16" s="29" customFormat="1" ht="17" thickBot="1">
      <c r="A9" s="72"/>
      <c r="B9" s="73"/>
      <c r="C9" s="194" t="s">
        <v>175</v>
      </c>
      <c r="D9" s="19" t="s">
        <v>2</v>
      </c>
      <c r="E9" s="34"/>
      <c r="F9" s="19" t="s">
        <v>2</v>
      </c>
      <c r="G9" s="71"/>
      <c r="H9" s="100">
        <f t="shared" ref="H9:H10" si="0">ROUND(J9,3)</f>
        <v>0.61</v>
      </c>
      <c r="J9" s="118">
        <f>Notes!D16</f>
        <v>0.61</v>
      </c>
    </row>
    <row r="10" spans="1:16" s="29" customFormat="1" ht="17" thickBot="1">
      <c r="B10" s="73"/>
      <c r="C10" s="71" t="s">
        <v>68</v>
      </c>
      <c r="D10" s="19"/>
      <c r="E10" s="34"/>
      <c r="F10" s="19" t="s">
        <v>2</v>
      </c>
      <c r="G10" s="71"/>
      <c r="H10" s="100">
        <f t="shared" si="0"/>
        <v>0.39</v>
      </c>
      <c r="J10" s="118">
        <f>Notes!D17</f>
        <v>0.39</v>
      </c>
    </row>
    <row r="11" spans="1:16" ht="17" thickBot="1">
      <c r="A11" s="72"/>
      <c r="B11" s="73"/>
      <c r="C11" s="105" t="s">
        <v>57</v>
      </c>
      <c r="D11" s="106" t="s">
        <v>2</v>
      </c>
      <c r="E11" s="107"/>
      <c r="F11" s="106" t="s">
        <v>58</v>
      </c>
      <c r="H11" s="119">
        <f>ROUND(J11,2)</f>
        <v>8000</v>
      </c>
      <c r="I11" s="71"/>
      <c r="J11" s="126">
        <f>Notes!D7</f>
        <v>8000</v>
      </c>
      <c r="K11" s="72"/>
    </row>
    <row r="12" spans="1:16" ht="17" thickBot="1">
      <c r="A12" s="72"/>
      <c r="B12" s="73"/>
      <c r="C12" s="196" t="s">
        <v>174</v>
      </c>
      <c r="D12" s="106"/>
      <c r="E12" s="195"/>
      <c r="F12" s="106"/>
      <c r="H12" s="119">
        <f>ROUND(J12,2)</f>
        <v>0.96</v>
      </c>
      <c r="I12" s="71"/>
      <c r="J12" s="197">
        <f>Notes!D45</f>
        <v>0.96</v>
      </c>
      <c r="K12" s="72"/>
    </row>
    <row r="13" spans="1:16">
      <c r="B13" s="38"/>
      <c r="C13" s="29"/>
      <c r="D13" s="29"/>
      <c r="E13" s="29"/>
      <c r="F13" s="29"/>
      <c r="H13" s="40"/>
      <c r="I13" s="71"/>
      <c r="J13" s="76"/>
      <c r="K13" s="72"/>
      <c r="L13" s="39"/>
      <c r="M13" s="90"/>
    </row>
    <row r="14" spans="1:16" ht="17" thickBot="1">
      <c r="A14" s="72"/>
      <c r="B14" s="73"/>
      <c r="C14" s="9" t="s">
        <v>40</v>
      </c>
      <c r="D14" s="29"/>
      <c r="E14" s="29"/>
      <c r="F14" s="29"/>
      <c r="H14" s="8"/>
      <c r="I14" s="82"/>
      <c r="J14" s="81"/>
      <c r="K14" s="82"/>
      <c r="L14" s="81"/>
      <c r="M14" s="43"/>
    </row>
    <row r="15" spans="1:16" ht="17" thickBot="1">
      <c r="A15" s="72"/>
      <c r="B15" s="73"/>
      <c r="C15" s="32" t="s">
        <v>20</v>
      </c>
      <c r="D15" s="19" t="s">
        <v>18</v>
      </c>
      <c r="E15" s="109"/>
      <c r="F15" s="19" t="s">
        <v>18</v>
      </c>
      <c r="H15" s="116">
        <f>ROUND(J15,0)</f>
        <v>403812425</v>
      </c>
      <c r="I15" s="8"/>
      <c r="J15" s="100">
        <f>Notes!D11</f>
        <v>403812425</v>
      </c>
      <c r="K15" s="8"/>
      <c r="L15" s="81"/>
      <c r="M15" s="70"/>
    </row>
    <row r="16" spans="1:16" ht="17" thickBot="1">
      <c r="A16" s="72"/>
      <c r="B16" s="73"/>
      <c r="C16" s="160" t="s">
        <v>133</v>
      </c>
      <c r="D16" s="19"/>
      <c r="E16" s="109"/>
      <c r="F16" s="19" t="s">
        <v>18</v>
      </c>
      <c r="H16" s="116">
        <f>ROUND(J16,0)</f>
        <v>38988246</v>
      </c>
      <c r="I16" s="8"/>
      <c r="J16" s="100">
        <f>Notes!D21</f>
        <v>38988246</v>
      </c>
      <c r="K16" s="8"/>
      <c r="L16" s="81"/>
      <c r="M16" s="160" t="s">
        <v>134</v>
      </c>
    </row>
    <row r="17" spans="1:13" ht="17" thickBot="1">
      <c r="A17" s="72"/>
      <c r="B17" s="73"/>
      <c r="C17" s="32" t="s">
        <v>21</v>
      </c>
      <c r="D17" s="19" t="s">
        <v>45</v>
      </c>
      <c r="E17" s="34">
        <v>0</v>
      </c>
      <c r="F17" s="19" t="s">
        <v>45</v>
      </c>
      <c r="H17" s="116">
        <f>ROUND(J17,0)</f>
        <v>5384166</v>
      </c>
      <c r="I17" s="81"/>
      <c r="J17" s="100">
        <f>Notes!D12</f>
        <v>5384166</v>
      </c>
      <c r="K17" s="81"/>
      <c r="M17" s="70"/>
    </row>
    <row r="18" spans="1:13" ht="17" thickBot="1">
      <c r="A18" s="72"/>
      <c r="B18" s="73"/>
      <c r="C18" s="91" t="s">
        <v>60</v>
      </c>
      <c r="D18" s="87" t="s">
        <v>55</v>
      </c>
      <c r="E18" s="34">
        <f>'Research data'!H15</f>
        <v>403812425</v>
      </c>
      <c r="F18" s="87" t="s">
        <v>55</v>
      </c>
      <c r="H18" s="83">
        <f>ROUND(J18,2)</f>
        <v>2019.06</v>
      </c>
      <c r="J18" s="100">
        <f>Notes!D13</f>
        <v>2019.06</v>
      </c>
      <c r="L18" s="81"/>
      <c r="M18" s="71"/>
    </row>
    <row r="19" spans="1:13" ht="17" thickBot="1">
      <c r="A19" s="93"/>
      <c r="B19" s="94"/>
      <c r="C19" s="91" t="s">
        <v>61</v>
      </c>
      <c r="D19" s="87"/>
      <c r="E19" s="34">
        <f>'Research data'!H20</f>
        <v>0</v>
      </c>
      <c r="F19" s="87"/>
      <c r="G19" s="93"/>
      <c r="H19" s="83">
        <f>J19</f>
        <v>0</v>
      </c>
      <c r="I19" s="96"/>
      <c r="J19" s="95">
        <v>0</v>
      </c>
      <c r="K19" s="96"/>
      <c r="L19" s="93"/>
      <c r="M19" s="97"/>
    </row>
    <row r="20" spans="1:13" ht="17" thickBot="1">
      <c r="A20" s="72"/>
      <c r="B20" s="73"/>
      <c r="C20" s="91" t="s">
        <v>59</v>
      </c>
      <c r="D20" s="87"/>
      <c r="E20" s="34">
        <f>'Research data'!H18</f>
        <v>2019.06</v>
      </c>
      <c r="F20" s="87"/>
      <c r="H20" s="83">
        <f t="shared" ref="H20:H21" si="1">J20</f>
        <v>0</v>
      </c>
      <c r="J20" s="101">
        <v>0</v>
      </c>
      <c r="L20" s="76"/>
      <c r="M20" s="71"/>
    </row>
    <row r="21" spans="1:13" ht="17" thickBot="1">
      <c r="A21" s="72"/>
      <c r="B21" s="73"/>
      <c r="C21" s="98" t="s">
        <v>65</v>
      </c>
      <c r="D21" s="87"/>
      <c r="E21" s="34" t="e">
        <f>'Research data'!#REF!</f>
        <v>#REF!</v>
      </c>
      <c r="F21" s="87"/>
      <c r="H21" s="83">
        <f t="shared" si="1"/>
        <v>0</v>
      </c>
      <c r="J21" s="101">
        <v>0</v>
      </c>
      <c r="L21" s="76"/>
      <c r="M21" s="71"/>
    </row>
    <row r="22" spans="1:13" ht="17" thickBot="1">
      <c r="A22" s="72"/>
      <c r="B22" s="73"/>
      <c r="C22" s="71" t="s">
        <v>50</v>
      </c>
      <c r="D22" s="19" t="s">
        <v>51</v>
      </c>
      <c r="E22" s="75">
        <v>0</v>
      </c>
      <c r="F22" s="19" t="s">
        <v>51</v>
      </c>
      <c r="H22" s="83">
        <f>J22</f>
        <v>0</v>
      </c>
      <c r="I22" s="76"/>
      <c r="J22" s="83">
        <v>0</v>
      </c>
      <c r="K22" s="76"/>
      <c r="L22" s="76"/>
      <c r="M22" s="71"/>
    </row>
    <row r="23" spans="1:13">
      <c r="A23" s="93"/>
      <c r="B23" s="94"/>
      <c r="C23" s="71"/>
      <c r="D23" s="19"/>
      <c r="E23" s="77"/>
      <c r="F23" s="19"/>
      <c r="G23" s="93"/>
      <c r="K23" s="96"/>
      <c r="L23" s="93"/>
      <c r="M23" s="90"/>
    </row>
    <row r="24" spans="1:13" ht="17" thickBot="1">
      <c r="C24" s="9" t="s">
        <v>4</v>
      </c>
      <c r="D24" s="67"/>
      <c r="E24" s="77"/>
      <c r="F24" s="67"/>
      <c r="H24" s="40"/>
      <c r="J24" s="40"/>
      <c r="M24" s="42"/>
    </row>
    <row r="25" spans="1:13" ht="17" thickBot="1">
      <c r="B25" s="38"/>
      <c r="C25" s="71" t="s">
        <v>22</v>
      </c>
      <c r="D25" s="19" t="s">
        <v>1</v>
      </c>
      <c r="E25" s="75"/>
      <c r="F25" s="19" t="s">
        <v>1</v>
      </c>
      <c r="H25" s="83">
        <f>J25</f>
        <v>20</v>
      </c>
      <c r="J25" s="118">
        <f>Notes!D8</f>
        <v>20</v>
      </c>
      <c r="M25" s="70"/>
    </row>
    <row r="26" spans="1:13" ht="17" thickBot="1">
      <c r="A26" s="72"/>
      <c r="B26" s="73"/>
      <c r="C26" s="71" t="s">
        <v>52</v>
      </c>
      <c r="D26" s="19" t="s">
        <v>1</v>
      </c>
      <c r="E26" s="75"/>
      <c r="F26" s="19" t="s">
        <v>1</v>
      </c>
      <c r="H26" s="83" t="str">
        <f>J26</f>
        <v>2.5</v>
      </c>
      <c r="I26" s="8"/>
      <c r="J26" s="158" t="str">
        <f>Notes!D9</f>
        <v>2.5</v>
      </c>
      <c r="K26" s="8"/>
      <c r="L26" s="8"/>
      <c r="M26" s="90"/>
    </row>
    <row r="27" spans="1:13" ht="17" thickBot="1">
      <c r="A27" s="72"/>
      <c r="B27" s="73"/>
      <c r="C27" s="71" t="s">
        <v>19</v>
      </c>
      <c r="D27" s="19" t="s">
        <v>2</v>
      </c>
      <c r="E27" s="75">
        <v>0</v>
      </c>
      <c r="F27" s="19" t="s">
        <v>2</v>
      </c>
      <c r="H27" s="83">
        <v>0</v>
      </c>
      <c r="I27" s="82"/>
      <c r="J27" s="117">
        <v>0</v>
      </c>
      <c r="K27" s="82"/>
      <c r="L27" s="82"/>
      <c r="M27" s="90"/>
    </row>
  </sheetData>
  <pageMargins left="0.75" right="0.75" top="1" bottom="1" header="0.5" footer="0.5"/>
  <pageSetup paperSize="9" orientation="portrait" horizontalDpi="4294967292" verticalDpi="429496729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6" tint="0.79998168889431442"/>
  </sheetPr>
  <dimension ref="B1:J15"/>
  <sheetViews>
    <sheetView workbookViewId="0">
      <selection activeCell="F11" sqref="F11"/>
    </sheetView>
  </sheetViews>
  <sheetFormatPr baseColWidth="10" defaultColWidth="33.140625" defaultRowHeight="16"/>
  <cols>
    <col min="1" max="1" width="3.42578125" style="44" customWidth="1"/>
    <col min="2" max="2" width="37.28515625" style="44" customWidth="1"/>
    <col min="3" max="3" width="24.42578125" style="44" customWidth="1"/>
    <col min="4" max="4" width="32.85546875" style="44" customWidth="1"/>
    <col min="5" max="5" width="6.140625" style="44" customWidth="1"/>
    <col min="6" max="6" width="16.28515625" style="44" customWidth="1"/>
    <col min="7" max="7" width="78" style="44" customWidth="1"/>
    <col min="8" max="8" width="12.42578125" style="48" customWidth="1"/>
    <col min="9" max="9" width="31.42578125" style="48" customWidth="1"/>
    <col min="10" max="10" width="98.42578125" style="44" customWidth="1"/>
    <col min="11" max="16384" width="33.140625" style="44"/>
  </cols>
  <sheetData>
    <row r="1" spans="2:10" ht="17" thickBot="1"/>
    <row r="2" spans="2:10">
      <c r="B2" s="45"/>
      <c r="C2" s="46"/>
      <c r="D2" s="46"/>
      <c r="E2" s="46"/>
      <c r="F2" s="46"/>
      <c r="G2" s="46"/>
      <c r="H2" s="49"/>
      <c r="I2" s="49"/>
      <c r="J2" s="46"/>
    </row>
    <row r="3" spans="2:10">
      <c r="B3" s="47"/>
      <c r="C3" s="9" t="s">
        <v>13</v>
      </c>
      <c r="D3" s="9"/>
      <c r="E3" s="9"/>
      <c r="F3" s="9"/>
      <c r="G3" s="9"/>
      <c r="H3" s="14"/>
      <c r="I3" s="14"/>
    </row>
    <row r="4" spans="2:10">
      <c r="B4" s="47"/>
    </row>
    <row r="5" spans="2:10">
      <c r="B5" s="50"/>
      <c r="C5" s="11" t="s">
        <v>14</v>
      </c>
      <c r="D5" s="11" t="s">
        <v>0</v>
      </c>
      <c r="E5" s="11" t="s">
        <v>11</v>
      </c>
      <c r="F5" s="11" t="s">
        <v>15</v>
      </c>
      <c r="G5" s="11" t="s">
        <v>71</v>
      </c>
      <c r="H5" s="15" t="s">
        <v>16</v>
      </c>
      <c r="I5" s="15" t="s">
        <v>43</v>
      </c>
      <c r="J5" s="11" t="s">
        <v>8</v>
      </c>
    </row>
    <row r="6" spans="2:10">
      <c r="C6" s="9"/>
      <c r="D6" s="9"/>
      <c r="E6" s="9"/>
      <c r="F6" s="9"/>
      <c r="G6" s="9"/>
      <c r="H6" s="14"/>
      <c r="I6" s="14"/>
      <c r="J6" s="9"/>
    </row>
    <row r="8" spans="2:10">
      <c r="B8" s="193" t="s">
        <v>176</v>
      </c>
      <c r="C8" s="128" t="s">
        <v>79</v>
      </c>
      <c r="D8" s="128" t="s">
        <v>84</v>
      </c>
      <c r="E8" s="128" t="s">
        <v>73</v>
      </c>
      <c r="F8" s="44">
        <v>2025</v>
      </c>
      <c r="G8" s="128" t="s">
        <v>85</v>
      </c>
      <c r="H8" s="124">
        <v>45887</v>
      </c>
      <c r="I8" s="130" t="s">
        <v>86</v>
      </c>
    </row>
    <row r="9" spans="2:10">
      <c r="C9" s="128" t="s">
        <v>79</v>
      </c>
      <c r="D9" s="128" t="s">
        <v>84</v>
      </c>
      <c r="E9" s="128" t="s">
        <v>73</v>
      </c>
      <c r="F9" s="44">
        <v>2025</v>
      </c>
      <c r="G9" s="128" t="s">
        <v>87</v>
      </c>
      <c r="H9" s="124">
        <v>45887</v>
      </c>
      <c r="I9" s="130" t="s">
        <v>88</v>
      </c>
    </row>
    <row r="11" spans="2:10">
      <c r="B11" s="200"/>
      <c r="C11" s="200"/>
      <c r="D11" s="200"/>
      <c r="E11" s="200"/>
      <c r="F11" s="200"/>
      <c r="G11" s="200"/>
      <c r="H11" s="201"/>
      <c r="I11" s="202"/>
      <c r="J11" s="129"/>
    </row>
    <row r="12" spans="2:10">
      <c r="B12" s="200"/>
      <c r="C12" s="200"/>
      <c r="D12" s="200"/>
      <c r="E12" s="200"/>
      <c r="F12" s="200"/>
      <c r="G12" s="200"/>
      <c r="H12" s="202"/>
      <c r="I12" s="202"/>
      <c r="J12" s="200"/>
    </row>
    <row r="13" spans="2:10">
      <c r="B13" s="200"/>
      <c r="C13" s="200"/>
      <c r="D13" s="200"/>
      <c r="E13" s="200"/>
      <c r="F13" s="200"/>
      <c r="G13" s="200"/>
      <c r="H13" s="201"/>
      <c r="I13" s="202"/>
      <c r="J13" s="129"/>
    </row>
    <row r="15" spans="2:10">
      <c r="B15" s="204"/>
      <c r="C15" s="204"/>
      <c r="D15" s="204"/>
      <c r="E15" s="204"/>
      <c r="F15" s="204"/>
      <c r="G15" s="204"/>
      <c r="H15" s="205"/>
      <c r="I15" s="206"/>
      <c r="J15" s="129"/>
    </row>
  </sheetData>
  <phoneticPr fontId="36" type="noConversion"/>
  <hyperlinks>
    <hyperlink ref="I8" r:id="rId1" xr:uid="{FA8C3BBC-A8FF-6D40-80B4-3BA63BE6F28C}"/>
    <hyperlink ref="I9" r:id="rId2" xr:uid="{11A83299-D918-9A46-B33A-E5DE288689BA}"/>
  </hyperlinks>
  <pageMargins left="0.75" right="0.75" top="1" bottom="1" header="0.5" footer="0.5"/>
  <pageSetup paperSize="9" orientation="portrait" horizontalDpi="4294967292" verticalDpi="429496729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79998168889431442"/>
  </sheetPr>
  <dimension ref="A1:Z113"/>
  <sheetViews>
    <sheetView tabSelected="1" topLeftCell="A41" zoomScaleNormal="100" workbookViewId="0">
      <selection activeCell="I78" sqref="I78"/>
    </sheetView>
  </sheetViews>
  <sheetFormatPr baseColWidth="10" defaultColWidth="10.85546875" defaultRowHeight="16"/>
  <cols>
    <col min="1" max="2" width="3.42578125" style="51" customWidth="1"/>
    <col min="3" max="3" width="33.28515625" style="51" customWidth="1"/>
    <col min="4" max="4" width="14.85546875" style="51" customWidth="1"/>
    <col min="5" max="5" width="26.7109375" style="51" customWidth="1"/>
    <col min="6" max="6" width="21.85546875" style="51" bestFit="1" customWidth="1"/>
    <col min="7" max="9" width="10.85546875" style="51"/>
    <col min="10" max="10" width="23.42578125" style="51" customWidth="1"/>
    <col min="11" max="13" width="10.85546875" style="51"/>
    <col min="14" max="14" width="28.140625" style="51" customWidth="1"/>
    <col min="15" max="15" width="23.42578125" style="51" customWidth="1"/>
    <col min="16" max="16" width="12.140625" style="51" customWidth="1"/>
    <col min="17" max="16384" width="10.85546875" style="51"/>
  </cols>
  <sheetData>
    <row r="1" spans="1:14" ht="17" thickBot="1"/>
    <row r="2" spans="1:14">
      <c r="B2" s="52"/>
      <c r="C2" s="53"/>
      <c r="D2" s="53"/>
      <c r="E2" s="53"/>
      <c r="F2" s="53"/>
      <c r="G2" s="53"/>
      <c r="H2" s="53"/>
      <c r="I2" s="53"/>
      <c r="J2" s="53"/>
      <c r="K2" s="53"/>
      <c r="L2" s="53"/>
      <c r="M2" s="53"/>
      <c r="N2" s="54"/>
    </row>
    <row r="3" spans="1:14" ht="17" customHeight="1">
      <c r="A3" s="55"/>
      <c r="B3" s="68"/>
      <c r="C3" s="57" t="s">
        <v>0</v>
      </c>
      <c r="D3" s="57" t="s">
        <v>46</v>
      </c>
      <c r="E3" s="57" t="s">
        <v>23</v>
      </c>
      <c r="F3" s="57"/>
      <c r="G3" s="57"/>
      <c r="H3" s="56"/>
      <c r="I3" s="56"/>
      <c r="J3" s="56"/>
      <c r="K3" s="56"/>
      <c r="L3" s="56"/>
      <c r="M3" s="56"/>
      <c r="N3" s="69"/>
    </row>
    <row r="4" spans="1:14" ht="17" customHeight="1">
      <c r="A4" s="55"/>
      <c r="B4" s="115"/>
      <c r="C4" s="55"/>
      <c r="D4" s="55"/>
      <c r="E4" s="55"/>
      <c r="F4" s="55"/>
      <c r="G4" s="55"/>
    </row>
    <row r="5" spans="1:14" ht="17" customHeight="1">
      <c r="A5" s="55"/>
      <c r="B5" s="115"/>
      <c r="C5" s="55" t="s">
        <v>124</v>
      </c>
      <c r="D5" s="55"/>
      <c r="E5" s="55"/>
      <c r="F5" s="55"/>
      <c r="G5" s="55"/>
    </row>
    <row r="6" spans="1:14" ht="17" customHeight="1">
      <c r="A6" s="55"/>
      <c r="B6" s="115"/>
      <c r="C6" s="51" t="s">
        <v>129</v>
      </c>
      <c r="D6" s="120">
        <f>ROUND(D41/D16,2)</f>
        <v>213.11</v>
      </c>
      <c r="E6" s="51" t="s">
        <v>77</v>
      </c>
      <c r="F6" s="125"/>
      <c r="G6" s="55"/>
    </row>
    <row r="7" spans="1:14" ht="17" customHeight="1">
      <c r="A7" s="55"/>
      <c r="B7" s="115"/>
      <c r="C7" s="51" t="s">
        <v>75</v>
      </c>
      <c r="D7" s="84">
        <f>ROUND(D42,2)</f>
        <v>8000</v>
      </c>
      <c r="E7" s="51" t="s">
        <v>78</v>
      </c>
      <c r="F7" s="125"/>
      <c r="G7" s="55"/>
    </row>
    <row r="8" spans="1:14" ht="17" customHeight="1">
      <c r="A8" s="55"/>
      <c r="B8" s="115"/>
      <c r="C8" s="51" t="s">
        <v>76</v>
      </c>
      <c r="D8" s="84">
        <f>D43</f>
        <v>20</v>
      </c>
      <c r="E8" s="51" t="s">
        <v>118</v>
      </c>
      <c r="F8" s="125"/>
      <c r="G8" s="55"/>
    </row>
    <row r="9" spans="1:14" ht="17" customHeight="1">
      <c r="A9" s="55"/>
      <c r="B9" s="115"/>
      <c r="C9" s="51" t="s">
        <v>191</v>
      </c>
      <c r="D9" s="192" t="str">
        <f>D44</f>
        <v>2.5</v>
      </c>
      <c r="E9" s="51" t="s">
        <v>118</v>
      </c>
      <c r="F9" s="125"/>
      <c r="G9" s="55"/>
    </row>
    <row r="10" spans="1:14" ht="17" customHeight="1">
      <c r="A10" s="55"/>
      <c r="B10" s="115"/>
      <c r="D10" s="84"/>
      <c r="F10" s="125"/>
      <c r="G10" s="55"/>
    </row>
    <row r="11" spans="1:14" ht="17" customHeight="1">
      <c r="A11" s="55"/>
      <c r="B11" s="115"/>
      <c r="C11" s="51" t="s">
        <v>72</v>
      </c>
      <c r="D11" s="154">
        <f>ROUND(D47,0)</f>
        <v>403812425</v>
      </c>
      <c r="E11" s="51" t="s">
        <v>18</v>
      </c>
      <c r="F11" s="55"/>
      <c r="G11" s="55"/>
    </row>
    <row r="12" spans="1:14" ht="17" customHeight="1">
      <c r="A12" s="55"/>
      <c r="B12" s="115"/>
      <c r="C12" s="51" t="s">
        <v>119</v>
      </c>
      <c r="D12" s="156">
        <f>ROUND(D48,0)</f>
        <v>5384166</v>
      </c>
      <c r="E12" s="51" t="s">
        <v>125</v>
      </c>
      <c r="F12" s="55"/>
      <c r="G12" s="55"/>
    </row>
    <row r="13" spans="1:14" ht="17" customHeight="1">
      <c r="A13" s="55"/>
      <c r="B13" s="115"/>
      <c r="C13" s="51" t="s">
        <v>120</v>
      </c>
      <c r="D13" s="120">
        <f>ROUND(D50,2)</f>
        <v>2019.06</v>
      </c>
      <c r="E13" s="51" t="s">
        <v>55</v>
      </c>
      <c r="F13" s="55"/>
      <c r="G13" s="55"/>
    </row>
    <row r="14" spans="1:14" ht="17" customHeight="1">
      <c r="A14" s="55"/>
      <c r="B14" s="115"/>
      <c r="D14" s="122"/>
      <c r="F14" s="55"/>
      <c r="G14" s="55"/>
    </row>
    <row r="15" spans="1:14" ht="17" customHeight="1">
      <c r="A15" s="55"/>
      <c r="B15" s="121"/>
      <c r="C15" s="55" t="s">
        <v>126</v>
      </c>
      <c r="D15" s="120"/>
      <c r="G15" s="55"/>
    </row>
    <row r="16" spans="1:14" ht="17" customHeight="1">
      <c r="A16" s="55"/>
      <c r="B16" s="115"/>
      <c r="C16" s="51" t="s">
        <v>215</v>
      </c>
      <c r="D16" s="120">
        <f>ROUND(E30,3)</f>
        <v>0.61</v>
      </c>
      <c r="G16" s="55"/>
    </row>
    <row r="17" spans="1:26" ht="17" customHeight="1">
      <c r="A17" s="55"/>
      <c r="B17" s="115"/>
      <c r="C17" s="51" t="s">
        <v>68</v>
      </c>
      <c r="D17" s="120">
        <f>ROUND(E33,3)</f>
        <v>0.39</v>
      </c>
      <c r="G17" s="55"/>
    </row>
    <row r="18" spans="1:26" ht="17" customHeight="1">
      <c r="A18" s="55"/>
      <c r="B18" s="115"/>
      <c r="C18" s="51" t="s">
        <v>216</v>
      </c>
      <c r="D18" s="120">
        <f>ROUND(E35,3)</f>
        <v>1</v>
      </c>
      <c r="G18" s="55"/>
    </row>
    <row r="19" spans="1:26" ht="17" customHeight="1">
      <c r="A19" s="55"/>
      <c r="B19" s="115"/>
      <c r="C19" s="55"/>
      <c r="D19" s="55"/>
      <c r="E19" s="55"/>
      <c r="F19" s="55"/>
      <c r="G19" s="55"/>
    </row>
    <row r="20" spans="1:26" ht="17" customHeight="1">
      <c r="A20" s="55"/>
      <c r="B20" s="115"/>
      <c r="C20" s="55" t="s">
        <v>132</v>
      </c>
      <c r="D20" s="55"/>
      <c r="E20" s="55"/>
      <c r="F20" s="55"/>
      <c r="G20" s="55"/>
    </row>
    <row r="21" spans="1:26" ht="17" customHeight="1">
      <c r="A21" s="55"/>
      <c r="B21" s="115"/>
      <c r="C21" s="51" t="s">
        <v>133</v>
      </c>
      <c r="D21" s="203">
        <f>ROUND(D61,0)</f>
        <v>38988246</v>
      </c>
      <c r="E21" s="51" t="s">
        <v>70</v>
      </c>
      <c r="F21" s="55"/>
      <c r="G21" s="55"/>
    </row>
    <row r="22" spans="1:26" ht="17" customHeight="1">
      <c r="A22" s="55"/>
      <c r="B22" s="115"/>
      <c r="G22" s="55"/>
    </row>
    <row r="23" spans="1:26" ht="17" customHeight="1">
      <c r="A23" s="55"/>
      <c r="B23" s="115"/>
      <c r="G23" s="55"/>
      <c r="N23" s="51" t="s">
        <v>163</v>
      </c>
    </row>
    <row r="24" spans="1:26" ht="17" customHeight="1">
      <c r="A24" s="55"/>
      <c r="B24" s="115"/>
      <c r="C24" s="55"/>
      <c r="D24" s="55"/>
      <c r="E24" s="55"/>
      <c r="F24" s="55"/>
      <c r="G24" s="55"/>
    </row>
    <row r="25" spans="1:26" ht="17" customHeight="1">
      <c r="A25" s="55"/>
      <c r="B25" s="115"/>
      <c r="C25" s="55" t="s">
        <v>164</v>
      </c>
      <c r="D25" s="55"/>
      <c r="E25" s="55"/>
      <c r="N25" s="131" t="s">
        <v>135</v>
      </c>
      <c r="O25" s="132"/>
      <c r="P25" s="259" t="s">
        <v>136</v>
      </c>
      <c r="Q25" s="260"/>
      <c r="R25" s="260"/>
      <c r="S25" s="260"/>
      <c r="T25" s="260"/>
      <c r="U25" s="260"/>
      <c r="V25" s="260"/>
      <c r="W25" s="260"/>
      <c r="X25" s="260"/>
      <c r="Y25" s="260"/>
      <c r="Z25" s="260"/>
    </row>
    <row r="26" spans="1:26" ht="17" customHeight="1">
      <c r="A26" s="55"/>
      <c r="B26" s="115"/>
      <c r="C26" s="51" t="s">
        <v>166</v>
      </c>
      <c r="D26" s="55"/>
      <c r="E26" s="55"/>
      <c r="N26" s="133" t="s">
        <v>89</v>
      </c>
      <c r="O26" s="133"/>
      <c r="P26" s="172">
        <v>2015</v>
      </c>
      <c r="Q26" s="172">
        <v>2020</v>
      </c>
      <c r="R26" s="187">
        <v>2030</v>
      </c>
      <c r="S26" s="172">
        <v>2040</v>
      </c>
      <c r="T26" s="172">
        <v>2050</v>
      </c>
      <c r="U26" s="134">
        <v>2020</v>
      </c>
      <c r="V26" s="134">
        <v>2020</v>
      </c>
      <c r="W26" s="134">
        <v>2050</v>
      </c>
      <c r="X26" s="134">
        <v>2050</v>
      </c>
      <c r="Y26" s="173" t="s">
        <v>90</v>
      </c>
      <c r="Z26" s="173" t="s">
        <v>91</v>
      </c>
    </row>
    <row r="27" spans="1:26" ht="17" customHeight="1" thickBot="1">
      <c r="A27" s="55"/>
      <c r="B27" s="115"/>
      <c r="D27" s="55"/>
      <c r="E27" s="55"/>
      <c r="F27" s="55"/>
      <c r="N27" s="135" t="s">
        <v>92</v>
      </c>
      <c r="O27" s="136"/>
      <c r="P27" s="174" t="s">
        <v>93</v>
      </c>
      <c r="Q27" s="174" t="s">
        <v>93</v>
      </c>
      <c r="R27" s="174" t="s">
        <v>93</v>
      </c>
      <c r="S27" s="174" t="s">
        <v>93</v>
      </c>
      <c r="T27" s="174" t="s">
        <v>93</v>
      </c>
      <c r="U27" s="137" t="s">
        <v>94</v>
      </c>
      <c r="V27" s="137" t="s">
        <v>95</v>
      </c>
      <c r="W27" s="137" t="s">
        <v>94</v>
      </c>
      <c r="X27" s="137" t="s">
        <v>95</v>
      </c>
      <c r="Y27" s="175" t="s">
        <v>2</v>
      </c>
      <c r="Z27" s="175" t="s">
        <v>2</v>
      </c>
    </row>
    <row r="28" spans="1:26" ht="17" customHeight="1">
      <c r="A28" s="55"/>
      <c r="B28" s="115"/>
      <c r="C28" s="51" t="s">
        <v>165</v>
      </c>
      <c r="G28" s="55"/>
      <c r="N28" s="176" t="s">
        <v>137</v>
      </c>
      <c r="O28" s="177" t="s">
        <v>138</v>
      </c>
      <c r="P28" s="178"/>
      <c r="Q28" s="178"/>
      <c r="R28" s="188"/>
      <c r="S28" s="178"/>
      <c r="T28" s="178"/>
      <c r="U28" s="178"/>
      <c r="V28" s="178"/>
      <c r="W28" s="178"/>
      <c r="X28" s="178"/>
      <c r="Y28" s="179"/>
      <c r="Z28" s="179"/>
    </row>
    <row r="29" spans="1:26" ht="17" customHeight="1">
      <c r="A29" s="55"/>
      <c r="B29" s="115"/>
      <c r="C29" s="55" t="s">
        <v>82</v>
      </c>
      <c r="D29" s="51" t="s">
        <v>169</v>
      </c>
      <c r="E29" s="51" t="s">
        <v>170</v>
      </c>
      <c r="N29" s="140" t="s">
        <v>96</v>
      </c>
      <c r="O29" s="140"/>
      <c r="P29" s="178"/>
      <c r="Q29" s="178"/>
      <c r="R29" s="188"/>
      <c r="S29" s="178"/>
      <c r="T29" s="178"/>
      <c r="U29" s="178"/>
      <c r="V29" s="178"/>
      <c r="W29" s="178"/>
      <c r="X29" s="178"/>
      <c r="Y29" s="179"/>
      <c r="Z29" s="179"/>
    </row>
    <row r="30" spans="1:26" ht="17" customHeight="1">
      <c r="B30" s="115"/>
      <c r="C30" s="51" t="s">
        <v>167</v>
      </c>
      <c r="D30" s="51">
        <f>R35</f>
        <v>0.61</v>
      </c>
      <c r="E30" s="120">
        <f>D30</f>
        <v>0.61</v>
      </c>
      <c r="F30" s="120"/>
      <c r="G30" s="55"/>
      <c r="N30" s="140"/>
      <c r="O30" s="180" t="s">
        <v>139</v>
      </c>
      <c r="P30" s="139">
        <v>100</v>
      </c>
      <c r="Q30" s="139">
        <v>100</v>
      </c>
      <c r="R30" s="138">
        <v>200</v>
      </c>
      <c r="S30" s="139">
        <v>250</v>
      </c>
      <c r="T30" s="139">
        <v>300</v>
      </c>
      <c r="U30" s="141">
        <v>0.5</v>
      </c>
      <c r="V30" s="141">
        <v>2</v>
      </c>
      <c r="W30" s="141">
        <v>0.5</v>
      </c>
      <c r="X30" s="141">
        <v>1.25</v>
      </c>
      <c r="Y30" s="179" t="s">
        <v>97</v>
      </c>
      <c r="Z30" s="179" t="s">
        <v>140</v>
      </c>
    </row>
    <row r="31" spans="1:26" ht="17" customHeight="1">
      <c r="A31" s="55"/>
      <c r="B31" s="115"/>
      <c r="C31" s="51" t="s">
        <v>168</v>
      </c>
      <c r="D31" s="51">
        <f>R36</f>
        <v>0.22</v>
      </c>
      <c r="E31" s="120">
        <v>0</v>
      </c>
      <c r="F31" s="120" t="s">
        <v>171</v>
      </c>
      <c r="G31" s="55"/>
      <c r="N31" s="140"/>
      <c r="O31" s="180" t="s">
        <v>98</v>
      </c>
      <c r="P31" s="139">
        <v>65</v>
      </c>
      <c r="Q31" s="139">
        <v>65</v>
      </c>
      <c r="R31" s="138">
        <v>130</v>
      </c>
      <c r="S31" s="139">
        <v>165</v>
      </c>
      <c r="T31" s="139">
        <v>195</v>
      </c>
      <c r="U31" s="141">
        <v>0.5</v>
      </c>
      <c r="V31" s="141">
        <v>2</v>
      </c>
      <c r="W31" s="141">
        <v>0.5</v>
      </c>
      <c r="X31" s="141">
        <v>1.25</v>
      </c>
      <c r="Y31" s="179" t="s">
        <v>99</v>
      </c>
      <c r="Z31" s="179" t="s">
        <v>140</v>
      </c>
    </row>
    <row r="32" spans="1:26" ht="17" customHeight="1">
      <c r="A32" s="55"/>
      <c r="B32" s="115"/>
      <c r="C32" s="51" t="s">
        <v>74</v>
      </c>
      <c r="D32" s="51">
        <f>R37</f>
        <v>0.02</v>
      </c>
      <c r="E32" s="120">
        <v>0</v>
      </c>
      <c r="F32" s="120" t="s">
        <v>172</v>
      </c>
      <c r="N32" s="140"/>
      <c r="O32" s="140" t="s">
        <v>83</v>
      </c>
      <c r="P32" s="139"/>
      <c r="Q32" s="139"/>
      <c r="R32" s="138"/>
      <c r="S32" s="139"/>
      <c r="T32" s="139"/>
      <c r="U32" s="139"/>
      <c r="V32" s="139"/>
      <c r="W32" s="139"/>
      <c r="X32" s="139"/>
      <c r="Y32" s="179"/>
      <c r="Z32" s="179"/>
    </row>
    <row r="33" spans="1:26" ht="17" customHeight="1">
      <c r="A33" s="55"/>
      <c r="B33" s="115"/>
      <c r="C33" s="51" t="s">
        <v>80</v>
      </c>
      <c r="D33" s="51">
        <f>1-SUM(D30:D32)</f>
        <v>0.15000000000000002</v>
      </c>
      <c r="E33" s="120">
        <f>SUM(D31:D33)</f>
        <v>0.39</v>
      </c>
      <c r="F33" s="120"/>
      <c r="G33" s="55"/>
      <c r="N33" s="140"/>
      <c r="O33" s="180" t="s">
        <v>141</v>
      </c>
      <c r="P33" s="139">
        <v>1</v>
      </c>
      <c r="Q33" s="139">
        <v>1</v>
      </c>
      <c r="R33" s="138">
        <v>1</v>
      </c>
      <c r="S33" s="139">
        <v>1</v>
      </c>
      <c r="T33" s="139">
        <v>1</v>
      </c>
      <c r="U33" s="142">
        <v>0.9</v>
      </c>
      <c r="V33" s="142">
        <v>1.5</v>
      </c>
      <c r="W33" s="142">
        <v>0.9</v>
      </c>
      <c r="X33" s="142">
        <v>1.2</v>
      </c>
      <c r="Y33" s="179"/>
      <c r="Z33" s="179">
        <v>1</v>
      </c>
    </row>
    <row r="34" spans="1:26" ht="17" customHeight="1">
      <c r="A34" s="55"/>
      <c r="B34" s="115"/>
      <c r="C34" s="55" t="s">
        <v>83</v>
      </c>
      <c r="E34" s="120"/>
      <c r="G34" s="55"/>
      <c r="N34" s="140"/>
      <c r="O34" s="140" t="s">
        <v>82</v>
      </c>
      <c r="P34" s="139"/>
      <c r="Q34" s="139"/>
      <c r="R34" s="138"/>
      <c r="S34" s="139"/>
      <c r="T34" s="139"/>
      <c r="U34" s="142"/>
      <c r="V34" s="142"/>
      <c r="W34" s="142"/>
      <c r="X34" s="142"/>
      <c r="Y34" s="179"/>
      <c r="Z34" s="179"/>
    </row>
    <row r="35" spans="1:26" ht="17" customHeight="1">
      <c r="A35" s="55"/>
      <c r="B35" s="115"/>
      <c r="C35" s="51" t="s">
        <v>81</v>
      </c>
      <c r="D35" s="51">
        <f>R33</f>
        <v>1</v>
      </c>
      <c r="E35" s="120">
        <f>D35</f>
        <v>1</v>
      </c>
      <c r="F35" s="127"/>
      <c r="G35" s="55"/>
      <c r="N35" s="140"/>
      <c r="O35" s="180" t="s">
        <v>142</v>
      </c>
      <c r="P35" s="139">
        <v>0.57999999999999996</v>
      </c>
      <c r="Q35" s="139">
        <v>0.57999999999999996</v>
      </c>
      <c r="R35" s="138">
        <v>0.61</v>
      </c>
      <c r="S35" s="139">
        <v>0.63</v>
      </c>
      <c r="T35" s="139">
        <v>0.65</v>
      </c>
      <c r="U35" s="142">
        <v>1</v>
      </c>
      <c r="V35" s="142">
        <v>1.33</v>
      </c>
      <c r="W35" s="142">
        <v>1</v>
      </c>
      <c r="X35" s="142">
        <v>1.33</v>
      </c>
      <c r="Y35" s="179" t="s">
        <v>100</v>
      </c>
      <c r="Z35" s="179">
        <v>1</v>
      </c>
    </row>
    <row r="36" spans="1:26" ht="17" customHeight="1">
      <c r="A36" s="55"/>
      <c r="B36" s="115"/>
      <c r="F36" s="127"/>
      <c r="G36" s="55"/>
      <c r="N36" s="140"/>
      <c r="O36" s="180" t="s">
        <v>143</v>
      </c>
      <c r="P36" s="139">
        <v>0.22</v>
      </c>
      <c r="Q36" s="139">
        <v>0.22</v>
      </c>
      <c r="R36" s="138">
        <v>0.22</v>
      </c>
      <c r="S36" s="139">
        <v>0.22</v>
      </c>
      <c r="T36" s="139">
        <v>0.22</v>
      </c>
      <c r="U36" s="142">
        <v>0.8</v>
      </c>
      <c r="V36" s="142">
        <v>1.25</v>
      </c>
      <c r="W36" s="142">
        <v>0.8</v>
      </c>
      <c r="X36" s="142">
        <v>1.25</v>
      </c>
      <c r="Y36" s="179" t="s">
        <v>100</v>
      </c>
      <c r="Z36" s="179">
        <v>1</v>
      </c>
    </row>
    <row r="37" spans="1:26" ht="17" customHeight="1">
      <c r="A37" s="55"/>
      <c r="B37" s="115"/>
      <c r="E37" s="120"/>
      <c r="G37" s="55"/>
      <c r="N37" s="140"/>
      <c r="O37" s="180" t="s">
        <v>101</v>
      </c>
      <c r="P37" s="139">
        <v>0.02</v>
      </c>
      <c r="Q37" s="139">
        <v>0.02</v>
      </c>
      <c r="R37" s="138">
        <v>0.02</v>
      </c>
      <c r="S37" s="139">
        <v>0.02</v>
      </c>
      <c r="T37" s="139">
        <v>0.02</v>
      </c>
      <c r="U37" s="142">
        <v>0.8</v>
      </c>
      <c r="V37" s="142">
        <v>1.25</v>
      </c>
      <c r="W37" s="142">
        <v>0.8</v>
      </c>
      <c r="X37" s="142">
        <v>1.25</v>
      </c>
      <c r="Y37" s="179" t="s">
        <v>100</v>
      </c>
      <c r="Z37" s="179">
        <v>1</v>
      </c>
    </row>
    <row r="38" spans="1:26" ht="17" customHeight="1">
      <c r="A38" s="55"/>
      <c r="B38" s="115"/>
      <c r="C38" s="55" t="s">
        <v>115</v>
      </c>
      <c r="G38" s="55"/>
      <c r="N38" s="140"/>
      <c r="O38" s="180" t="s">
        <v>102</v>
      </c>
      <c r="P38" s="139">
        <v>4</v>
      </c>
      <c r="Q38" s="139">
        <v>4</v>
      </c>
      <c r="R38" s="138">
        <v>0</v>
      </c>
      <c r="S38" s="139">
        <v>0</v>
      </c>
      <c r="T38" s="139">
        <v>0</v>
      </c>
      <c r="U38" s="139"/>
      <c r="V38" s="142"/>
      <c r="W38" s="142"/>
      <c r="X38" s="142"/>
      <c r="Y38" s="179"/>
      <c r="Z38" s="179"/>
    </row>
    <row r="39" spans="1:26" ht="17" customHeight="1">
      <c r="A39" s="55"/>
      <c r="B39" s="115"/>
      <c r="C39" s="51" t="s">
        <v>117</v>
      </c>
      <c r="N39" s="140"/>
      <c r="O39" s="180" t="s">
        <v>103</v>
      </c>
      <c r="P39" s="139">
        <v>2</v>
      </c>
      <c r="Q39" s="139">
        <v>2</v>
      </c>
      <c r="R39" s="138">
        <v>2</v>
      </c>
      <c r="S39" s="139">
        <v>2</v>
      </c>
      <c r="T39" s="139">
        <v>2</v>
      </c>
      <c r="U39" s="142"/>
      <c r="V39" s="142"/>
      <c r="W39" s="142"/>
      <c r="X39" s="142"/>
      <c r="Y39" s="179"/>
      <c r="Z39" s="179"/>
    </row>
    <row r="40" spans="1:26" ht="17" customHeight="1">
      <c r="A40" s="55"/>
      <c r="B40" s="115"/>
      <c r="C40" s="51" t="s">
        <v>114</v>
      </c>
      <c r="D40" s="51">
        <f>R30*10^3</f>
        <v>200000</v>
      </c>
      <c r="E40" s="51" t="s">
        <v>173</v>
      </c>
      <c r="N40" s="140"/>
      <c r="O40" s="180" t="s">
        <v>104</v>
      </c>
      <c r="P40" s="139">
        <v>25</v>
      </c>
      <c r="Q40" s="139">
        <v>20</v>
      </c>
      <c r="R40" s="138">
        <v>20</v>
      </c>
      <c r="S40" s="139">
        <v>20</v>
      </c>
      <c r="T40" s="139">
        <v>20</v>
      </c>
      <c r="U40" s="139"/>
      <c r="V40" s="139"/>
      <c r="W40" s="139"/>
      <c r="X40" s="139"/>
      <c r="Y40" s="179"/>
      <c r="Z40" s="179"/>
    </row>
    <row r="41" spans="1:26" ht="17" customHeight="1">
      <c r="A41" s="55"/>
      <c r="B41" s="115"/>
      <c r="C41" s="51" t="s">
        <v>128</v>
      </c>
      <c r="D41" s="51">
        <f>R31</f>
        <v>130</v>
      </c>
      <c r="E41" s="51" t="s">
        <v>77</v>
      </c>
      <c r="G41" s="55"/>
      <c r="N41" s="140"/>
      <c r="O41" s="180" t="s">
        <v>105</v>
      </c>
      <c r="P41" s="181" t="s">
        <v>144</v>
      </c>
      <c r="Q41" s="181" t="s">
        <v>144</v>
      </c>
      <c r="R41" s="189" t="s">
        <v>144</v>
      </c>
      <c r="S41" s="181" t="s">
        <v>144</v>
      </c>
      <c r="T41" s="181" t="s">
        <v>144</v>
      </c>
      <c r="U41" s="139"/>
      <c r="V41" s="139"/>
      <c r="W41" s="139"/>
      <c r="X41" s="139"/>
      <c r="Y41" s="179"/>
      <c r="Z41" s="179"/>
    </row>
    <row r="42" spans="1:26" ht="17" customHeight="1">
      <c r="A42" s="55"/>
      <c r="B42" s="115"/>
      <c r="C42" s="51" t="s">
        <v>75</v>
      </c>
      <c r="D42" s="51">
        <v>8000</v>
      </c>
      <c r="E42" s="51" t="s">
        <v>122</v>
      </c>
      <c r="G42" s="55"/>
      <c r="N42" s="140" t="s">
        <v>106</v>
      </c>
      <c r="O42" s="140"/>
      <c r="P42" s="139"/>
      <c r="Q42" s="139"/>
      <c r="R42" s="138"/>
      <c r="S42" s="139"/>
      <c r="T42" s="139"/>
      <c r="U42" s="139"/>
      <c r="V42" s="139"/>
      <c r="W42" s="139"/>
      <c r="X42" s="139"/>
      <c r="Y42" s="179"/>
      <c r="Z42" s="179"/>
    </row>
    <row r="43" spans="1:26" ht="17" customHeight="1">
      <c r="A43" s="55"/>
      <c r="B43" s="115"/>
      <c r="C43" s="51" t="s">
        <v>76</v>
      </c>
      <c r="D43" s="51">
        <f>R40</f>
        <v>20</v>
      </c>
      <c r="E43" s="51" t="s">
        <v>118</v>
      </c>
      <c r="G43" s="55"/>
      <c r="N43" s="140"/>
      <c r="O43" s="180" t="s">
        <v>145</v>
      </c>
      <c r="P43" s="145">
        <v>5.5913924050632913</v>
      </c>
      <c r="Q43" s="145">
        <v>5.5913924050632913</v>
      </c>
      <c r="R43" s="146">
        <v>3.1063291139240503</v>
      </c>
      <c r="S43" s="145">
        <v>2.2556969696969693</v>
      </c>
      <c r="T43" s="145">
        <v>1.5531645569620252</v>
      </c>
      <c r="U43" s="141">
        <v>0.5</v>
      </c>
      <c r="V43" s="141">
        <v>1.0633999999999999</v>
      </c>
      <c r="W43" s="141">
        <v>0.85071999999999992</v>
      </c>
      <c r="X43" s="141">
        <v>1.2</v>
      </c>
      <c r="Y43" s="179" t="s">
        <v>109</v>
      </c>
      <c r="Z43" s="179" t="s">
        <v>146</v>
      </c>
    </row>
    <row r="44" spans="1:26" ht="17" customHeight="1">
      <c r="A44" s="55"/>
      <c r="B44" s="115"/>
      <c r="C44" s="51" t="s">
        <v>116</v>
      </c>
      <c r="D44" s="191" t="str">
        <f>R41</f>
        <v>2.5</v>
      </c>
      <c r="E44" s="51" t="s">
        <v>118</v>
      </c>
      <c r="G44" s="55"/>
      <c r="N44" s="140"/>
      <c r="O44" s="180" t="s">
        <v>107</v>
      </c>
      <c r="P44" s="139" t="s">
        <v>147</v>
      </c>
      <c r="Q44" s="139">
        <v>75</v>
      </c>
      <c r="R44" s="138">
        <v>75</v>
      </c>
      <c r="S44" s="139">
        <v>75</v>
      </c>
      <c r="T44" s="139">
        <v>75</v>
      </c>
      <c r="U44" s="179"/>
      <c r="V44" s="179"/>
      <c r="W44" s="179"/>
      <c r="X44" s="179"/>
      <c r="Y44" s="179"/>
      <c r="Z44" s="179"/>
    </row>
    <row r="45" spans="1:26" ht="17" customHeight="1">
      <c r="A45" s="55"/>
      <c r="B45" s="115"/>
      <c r="C45" s="51" t="s">
        <v>174</v>
      </c>
      <c r="D45" s="120">
        <f>ROUND(1-R39/52,2)</f>
        <v>0.96</v>
      </c>
      <c r="G45" s="55"/>
      <c r="N45" s="140"/>
      <c r="O45" s="180" t="s">
        <v>108</v>
      </c>
      <c r="P45" s="139">
        <v>25</v>
      </c>
      <c r="Q45" s="139">
        <v>25</v>
      </c>
      <c r="R45" s="138">
        <v>25</v>
      </c>
      <c r="S45" s="139">
        <v>25</v>
      </c>
      <c r="T45" s="139">
        <v>25</v>
      </c>
      <c r="U45" s="179"/>
      <c r="V45" s="179"/>
      <c r="W45" s="179"/>
      <c r="X45" s="179"/>
      <c r="Y45" s="179"/>
      <c r="Z45" s="179"/>
    </row>
    <row r="46" spans="1:26" ht="17" customHeight="1">
      <c r="A46" s="55"/>
      <c r="B46" s="115"/>
      <c r="G46" s="55"/>
      <c r="N46" s="140"/>
      <c r="O46" s="180" t="s">
        <v>148</v>
      </c>
      <c r="P46" s="143">
        <v>6.2126582278480995E-2</v>
      </c>
      <c r="Q46" s="143">
        <v>6.2126582278480995E-2</v>
      </c>
      <c r="R46" s="144">
        <v>4.1417721518987344E-2</v>
      </c>
      <c r="S46" s="143">
        <v>4.0790180283851167E-2</v>
      </c>
      <c r="T46" s="143">
        <v>4.1417721518987337E-2</v>
      </c>
      <c r="U46" s="141">
        <v>0.9</v>
      </c>
      <c r="V46" s="141">
        <v>1.1000000000000001</v>
      </c>
      <c r="W46" s="141">
        <v>0.9</v>
      </c>
      <c r="X46" s="141">
        <v>1.1000000000000001</v>
      </c>
      <c r="Y46" s="179" t="s">
        <v>149</v>
      </c>
      <c r="Z46" s="179">
        <v>1</v>
      </c>
    </row>
    <row r="47" spans="1:26" ht="17" customHeight="1">
      <c r="A47" s="55"/>
      <c r="B47" s="115"/>
      <c r="C47" s="51" t="s">
        <v>72</v>
      </c>
      <c r="D47" s="155">
        <f>R52*$R$30*10^6</f>
        <v>403812425.31645566</v>
      </c>
      <c r="E47" s="51" t="s">
        <v>70</v>
      </c>
      <c r="G47" s="55"/>
      <c r="N47" s="140"/>
      <c r="O47" s="180" t="s">
        <v>150</v>
      </c>
      <c r="P47" s="182">
        <v>21.697940676365008</v>
      </c>
      <c r="Q47" s="182">
        <v>21.697940676365008</v>
      </c>
      <c r="R47" s="190">
        <v>14.465293784243334</v>
      </c>
      <c r="S47" s="182">
        <v>14.46529378424334</v>
      </c>
      <c r="T47" s="182">
        <v>14.465293784243338</v>
      </c>
      <c r="U47" s="141">
        <v>0.9</v>
      </c>
      <c r="V47" s="141">
        <v>1.1000000000000001</v>
      </c>
      <c r="W47" s="141">
        <v>0.9</v>
      </c>
      <c r="X47" s="141">
        <v>1.1000000000000001</v>
      </c>
      <c r="Y47" s="179" t="s">
        <v>151</v>
      </c>
      <c r="Z47" s="179">
        <v>1</v>
      </c>
    </row>
    <row r="48" spans="1:26" ht="17" customHeight="1">
      <c r="A48" s="55"/>
      <c r="B48" s="115"/>
      <c r="C48" s="51" t="s">
        <v>119</v>
      </c>
      <c r="D48" s="155">
        <f>R53*$R$30*10^6</f>
        <v>5384165.670886077</v>
      </c>
      <c r="E48" s="51" t="s">
        <v>121</v>
      </c>
      <c r="G48" s="55"/>
      <c r="N48" s="140"/>
      <c r="O48" s="180" t="s">
        <v>152</v>
      </c>
      <c r="P48" s="139">
        <v>0</v>
      </c>
      <c r="Q48" s="139">
        <v>0</v>
      </c>
      <c r="R48" s="138">
        <v>0</v>
      </c>
      <c r="S48" s="139">
        <v>0</v>
      </c>
      <c r="T48" s="139">
        <v>0</v>
      </c>
      <c r="U48" s="141">
        <v>0</v>
      </c>
      <c r="V48" s="141">
        <v>0</v>
      </c>
      <c r="W48" s="141">
        <v>0</v>
      </c>
      <c r="X48" s="141">
        <v>0</v>
      </c>
      <c r="Y48" s="179"/>
      <c r="Z48" s="179"/>
    </row>
    <row r="49" spans="1:26" ht="17" customHeight="1">
      <c r="A49" s="55"/>
      <c r="B49" s="115"/>
      <c r="C49" s="51" t="s">
        <v>120</v>
      </c>
      <c r="D49" s="155">
        <f>R54*$R$30*10^6</f>
        <v>16152497.012658227</v>
      </c>
      <c r="E49" s="51" t="s">
        <v>121</v>
      </c>
      <c r="G49" s="55"/>
      <c r="N49" s="140" t="s">
        <v>110</v>
      </c>
      <c r="O49" s="147"/>
      <c r="P49" s="139"/>
      <c r="Q49" s="139"/>
      <c r="R49" s="138"/>
      <c r="S49" s="139"/>
      <c r="T49" s="139"/>
      <c r="U49" s="141"/>
      <c r="V49" s="141"/>
      <c r="W49" s="141"/>
      <c r="X49" s="141"/>
      <c r="Y49" s="179"/>
      <c r="Z49" s="179"/>
    </row>
    <row r="50" spans="1:26" ht="17" customHeight="1">
      <c r="A50" s="55"/>
      <c r="B50" s="115"/>
      <c r="C50" s="51" t="s">
        <v>120</v>
      </c>
      <c r="D50" s="120">
        <f>D49/D42</f>
        <v>2019.0621265822783</v>
      </c>
      <c r="E50" s="51" t="s">
        <v>123</v>
      </c>
      <c r="G50" s="55"/>
      <c r="N50" s="140"/>
      <c r="O50" s="180" t="s">
        <v>153</v>
      </c>
      <c r="P50" s="139">
        <v>20.100000000000001</v>
      </c>
      <c r="Q50" s="139">
        <v>20.100000000000001</v>
      </c>
      <c r="R50" s="138">
        <v>20.100000000000001</v>
      </c>
      <c r="S50" s="139">
        <v>20.100000000000001</v>
      </c>
      <c r="T50" s="139">
        <v>20.100000000000001</v>
      </c>
      <c r="U50" s="141"/>
      <c r="V50" s="141"/>
      <c r="W50" s="141"/>
      <c r="X50" s="141"/>
      <c r="Y50" s="179"/>
      <c r="Z50" s="179"/>
    </row>
    <row r="51" spans="1:26" ht="17" customHeight="1">
      <c r="A51" s="55"/>
      <c r="B51" s="115"/>
      <c r="G51" s="55"/>
      <c r="N51" s="140"/>
      <c r="O51" s="180" t="s">
        <v>111</v>
      </c>
      <c r="P51" s="139">
        <v>0.79</v>
      </c>
      <c r="Q51" s="139">
        <v>0.79</v>
      </c>
      <c r="R51" s="138">
        <v>0.79</v>
      </c>
      <c r="S51" s="139">
        <v>0.79</v>
      </c>
      <c r="T51" s="139">
        <v>0.79</v>
      </c>
      <c r="U51" s="141"/>
      <c r="V51" s="141"/>
      <c r="W51" s="141"/>
      <c r="X51" s="141"/>
      <c r="Y51" s="179"/>
      <c r="Z51" s="179"/>
    </row>
    <row r="52" spans="1:26" ht="17" customHeight="1">
      <c r="A52" s="55"/>
      <c r="B52" s="115"/>
      <c r="C52" s="55" t="s">
        <v>132</v>
      </c>
      <c r="G52" s="55"/>
      <c r="N52" s="140"/>
      <c r="O52" s="180" t="s">
        <v>154</v>
      </c>
      <c r="P52" s="145">
        <v>3.6343118278481015</v>
      </c>
      <c r="Q52" s="145">
        <v>3.6343118278481015</v>
      </c>
      <c r="R52" s="146">
        <v>2.0190621265822783</v>
      </c>
      <c r="S52" s="145">
        <v>1.488721808</v>
      </c>
      <c r="T52" s="145">
        <v>1.0095310632911392</v>
      </c>
      <c r="U52" s="141">
        <v>0.5</v>
      </c>
      <c r="V52" s="141">
        <v>1</v>
      </c>
      <c r="W52" s="141">
        <v>0.8</v>
      </c>
      <c r="X52" s="141">
        <v>1.2</v>
      </c>
      <c r="Y52" s="179" t="s">
        <v>109</v>
      </c>
      <c r="Z52" s="179" t="s">
        <v>146</v>
      </c>
    </row>
    <row r="53" spans="1:26" ht="17" customHeight="1">
      <c r="A53" s="55"/>
      <c r="B53" s="115"/>
      <c r="C53" s="51" t="s">
        <v>178</v>
      </c>
      <c r="G53" s="55"/>
      <c r="N53" s="140"/>
      <c r="O53" s="180" t="s">
        <v>155</v>
      </c>
      <c r="P53" s="143">
        <v>4.0381242531645566E-2</v>
      </c>
      <c r="Q53" s="143">
        <v>4.0381242531645566E-2</v>
      </c>
      <c r="R53" s="144">
        <v>2.6920828354430382E-2</v>
      </c>
      <c r="S53" s="143">
        <v>2.6920828354430382E-2</v>
      </c>
      <c r="T53" s="143">
        <v>2.6920828354430382E-2</v>
      </c>
      <c r="U53" s="141">
        <v>0.9</v>
      </c>
      <c r="V53" s="141">
        <v>1.1000000000000001</v>
      </c>
      <c r="W53" s="141">
        <v>0.9</v>
      </c>
      <c r="X53" s="141">
        <v>1.1000000000000001</v>
      </c>
      <c r="Y53" s="179" t="s">
        <v>149</v>
      </c>
      <c r="Z53" s="179">
        <v>1</v>
      </c>
    </row>
    <row r="54" spans="1:26" ht="17" customHeight="1">
      <c r="A54" s="55"/>
      <c r="B54" s="115"/>
      <c r="G54" s="55"/>
      <c r="N54" s="140"/>
      <c r="O54" s="180" t="s">
        <v>156</v>
      </c>
      <c r="P54" s="143">
        <v>0.12114372759493672</v>
      </c>
      <c r="Q54" s="143">
        <v>0.12114372759493672</v>
      </c>
      <c r="R54" s="144">
        <v>8.0762485063291131E-2</v>
      </c>
      <c r="S54" s="143">
        <v>8.0762485063291131E-2</v>
      </c>
      <c r="T54" s="143">
        <v>8.0762485063291131E-2</v>
      </c>
      <c r="U54" s="141">
        <v>0.9</v>
      </c>
      <c r="V54" s="141">
        <v>1.1000000000000001</v>
      </c>
      <c r="W54" s="141">
        <v>0.9</v>
      </c>
      <c r="X54" s="141">
        <v>1.1000000000000001</v>
      </c>
      <c r="Y54" s="179" t="s">
        <v>151</v>
      </c>
      <c r="Z54" s="179">
        <v>1</v>
      </c>
    </row>
    <row r="55" spans="1:26" ht="17" customHeight="1" thickBot="1">
      <c r="A55" s="55"/>
      <c r="B55" s="115"/>
      <c r="C55" s="199" t="s">
        <v>179</v>
      </c>
      <c r="N55" s="148"/>
      <c r="O55" s="183" t="s">
        <v>152</v>
      </c>
      <c r="P55" s="149">
        <v>0</v>
      </c>
      <c r="Q55" s="149">
        <v>0</v>
      </c>
      <c r="R55" s="150">
        <v>0</v>
      </c>
      <c r="S55" s="149">
        <v>0</v>
      </c>
      <c r="T55" s="149">
        <v>0</v>
      </c>
      <c r="U55" s="149"/>
      <c r="V55" s="149"/>
      <c r="W55" s="149"/>
      <c r="X55" s="149"/>
      <c r="Y55" s="184"/>
      <c r="Z55" s="184"/>
    </row>
    <row r="56" spans="1:26" ht="17" customHeight="1">
      <c r="A56" s="55"/>
      <c r="B56" s="115"/>
      <c r="C56" s="51" t="s">
        <v>180</v>
      </c>
      <c r="N56" s="147"/>
      <c r="O56" s="147"/>
      <c r="P56" s="185"/>
      <c r="Q56" s="185"/>
      <c r="R56" s="185"/>
      <c r="S56" s="185"/>
      <c r="T56" s="185"/>
      <c r="U56" s="185"/>
      <c r="V56" s="185"/>
      <c r="W56" s="185"/>
      <c r="X56" s="185"/>
      <c r="Y56" s="186"/>
      <c r="Z56" s="186"/>
    </row>
    <row r="57" spans="1:26" ht="17" customHeight="1">
      <c r="A57" s="55"/>
      <c r="B57" s="115"/>
      <c r="C57" s="51" t="s">
        <v>181</v>
      </c>
      <c r="N57" s="152" t="s">
        <v>112</v>
      </c>
      <c r="O57" s="147"/>
      <c r="P57" s="147"/>
      <c r="Q57" s="147"/>
      <c r="R57" s="147"/>
      <c r="S57" s="147"/>
      <c r="T57" s="147"/>
      <c r="U57" s="147"/>
      <c r="V57" s="147"/>
      <c r="W57" s="147"/>
      <c r="X57" s="147"/>
      <c r="Y57" s="147"/>
      <c r="Z57" s="147"/>
    </row>
    <row r="58" spans="1:26" ht="17" customHeight="1">
      <c r="A58" s="55"/>
      <c r="B58" s="115"/>
      <c r="N58" s="151"/>
      <c r="O58" s="153" t="s">
        <v>157</v>
      </c>
      <c r="P58" s="147"/>
      <c r="Q58" s="147"/>
      <c r="R58" s="147"/>
      <c r="S58" s="147"/>
      <c r="T58" s="147"/>
      <c r="U58" s="147"/>
      <c r="V58" s="147"/>
      <c r="W58" s="147"/>
      <c r="X58" s="147"/>
      <c r="Y58" s="147"/>
      <c r="Z58" s="147"/>
    </row>
    <row r="59" spans="1:26" ht="17" customHeight="1">
      <c r="A59" s="55"/>
      <c r="B59" s="115"/>
      <c r="C59" s="51" t="s">
        <v>182</v>
      </c>
      <c r="D59" s="120">
        <v>481.66345279431198</v>
      </c>
      <c r="E59" s="51" t="s">
        <v>77</v>
      </c>
      <c r="F59" s="51" t="s">
        <v>183</v>
      </c>
      <c r="N59" s="151"/>
      <c r="O59" s="153" t="s">
        <v>158</v>
      </c>
      <c r="P59" s="147"/>
      <c r="Q59" s="147"/>
      <c r="R59" s="147"/>
      <c r="S59" s="147"/>
      <c r="T59" s="147"/>
      <c r="U59" s="147"/>
      <c r="V59" s="147"/>
      <c r="W59" s="147"/>
      <c r="X59" s="147"/>
      <c r="Y59" s="147"/>
      <c r="Z59" s="147"/>
    </row>
    <row r="60" spans="1:26" ht="17" customHeight="1">
      <c r="A60" s="55"/>
      <c r="B60" s="115"/>
      <c r="C60" s="51" t="s">
        <v>133</v>
      </c>
      <c r="D60" s="51">
        <v>88119813.296903402</v>
      </c>
      <c r="E60" s="51" t="s">
        <v>70</v>
      </c>
      <c r="F60" s="51" t="s">
        <v>183</v>
      </c>
      <c r="N60" s="151"/>
      <c r="O60" s="153" t="s">
        <v>113</v>
      </c>
      <c r="P60" s="147"/>
      <c r="Q60" s="147"/>
      <c r="R60" s="147"/>
      <c r="S60" s="147"/>
      <c r="T60" s="147"/>
      <c r="U60" s="147"/>
      <c r="V60" s="147"/>
      <c r="W60" s="147"/>
      <c r="X60" s="147"/>
      <c r="Y60" s="147"/>
      <c r="Z60" s="147"/>
    </row>
    <row r="61" spans="1:26" ht="17" customHeight="1">
      <c r="A61" s="55"/>
      <c r="B61" s="115"/>
      <c r="C61" s="51" t="s">
        <v>184</v>
      </c>
      <c r="D61" s="203">
        <f>D60/D59*$D$6</f>
        <v>38988246.467025392</v>
      </c>
      <c r="E61" s="51" t="s">
        <v>70</v>
      </c>
      <c r="F61" s="51" t="s">
        <v>185</v>
      </c>
      <c r="N61" s="151"/>
      <c r="O61" s="153" t="s">
        <v>159</v>
      </c>
      <c r="P61" s="147"/>
      <c r="Q61" s="147"/>
      <c r="R61" s="147"/>
      <c r="S61" s="147"/>
      <c r="T61" s="147"/>
      <c r="U61" s="147"/>
      <c r="V61" s="147"/>
      <c r="W61" s="147"/>
      <c r="X61" s="147"/>
      <c r="Y61" s="147"/>
      <c r="Z61" s="147"/>
    </row>
    <row r="62" spans="1:26" ht="17" customHeight="1">
      <c r="A62" s="55"/>
      <c r="B62" s="115"/>
      <c r="N62" s="151"/>
      <c r="O62" s="153" t="s">
        <v>160</v>
      </c>
      <c r="P62" s="147"/>
      <c r="Q62" s="147"/>
      <c r="R62" s="147"/>
      <c r="S62" s="147"/>
      <c r="T62" s="147"/>
      <c r="U62" s="147"/>
      <c r="V62" s="147"/>
      <c r="W62" s="147"/>
      <c r="X62" s="147"/>
      <c r="Y62" s="147"/>
      <c r="Z62" s="147"/>
    </row>
    <row r="63" spans="1:26" ht="17" customHeight="1">
      <c r="A63" s="55"/>
      <c r="B63" s="115"/>
      <c r="D63" s="122"/>
      <c r="G63" s="55"/>
      <c r="N63" s="151"/>
      <c r="O63" s="153" t="s">
        <v>161</v>
      </c>
      <c r="P63" s="147"/>
      <c r="Q63" s="147"/>
      <c r="R63" s="147"/>
      <c r="S63" s="147"/>
      <c r="T63" s="147"/>
      <c r="U63" s="147"/>
      <c r="V63" s="147"/>
      <c r="W63" s="147"/>
      <c r="X63" s="147"/>
      <c r="Y63" s="147"/>
      <c r="Z63" s="147"/>
    </row>
    <row r="64" spans="1:26" ht="17" customHeight="1">
      <c r="A64" s="55"/>
      <c r="B64" s="115"/>
      <c r="G64" s="55"/>
      <c r="N64" s="151"/>
      <c r="O64" s="153" t="s">
        <v>162</v>
      </c>
      <c r="P64" s="147"/>
      <c r="Q64" s="147"/>
      <c r="R64" s="147"/>
      <c r="S64" s="147"/>
      <c r="T64" s="147"/>
      <c r="U64" s="147"/>
      <c r="V64" s="147"/>
      <c r="W64" s="147"/>
      <c r="X64" s="147"/>
      <c r="Y64" s="147"/>
      <c r="Z64" s="147"/>
    </row>
    <row r="65" spans="1:25" ht="17" customHeight="1">
      <c r="A65" s="55"/>
      <c r="B65" s="115"/>
      <c r="G65" s="55"/>
    </row>
    <row r="66" spans="1:25" ht="17" customHeight="1">
      <c r="A66" s="55"/>
      <c r="B66" s="115"/>
      <c r="C66" s="199"/>
      <c r="G66" s="55"/>
    </row>
    <row r="67" spans="1:25" ht="17" customHeight="1">
      <c r="A67" s="55"/>
      <c r="B67" s="115"/>
      <c r="G67" s="55"/>
    </row>
    <row r="68" spans="1:25" ht="17" customHeight="1">
      <c r="A68" s="55"/>
      <c r="B68" s="115"/>
      <c r="C68" s="229" t="s">
        <v>192</v>
      </c>
      <c r="G68" s="55"/>
    </row>
    <row r="69" spans="1:25" ht="17" customHeight="1">
      <c r="A69" s="55"/>
      <c r="B69" s="115"/>
      <c r="G69" s="55"/>
      <c r="O69" s="167"/>
      <c r="P69" s="170"/>
      <c r="Q69" s="166"/>
      <c r="R69" s="169"/>
      <c r="S69" s="166"/>
      <c r="T69" s="166"/>
      <c r="U69" s="166"/>
      <c r="V69" s="166"/>
    </row>
    <row r="70" spans="1:25" ht="17" customHeight="1">
      <c r="A70" s="55"/>
      <c r="B70" s="115"/>
      <c r="G70" s="55"/>
      <c r="O70" s="167"/>
      <c r="P70" s="170"/>
      <c r="Q70" s="166"/>
      <c r="R70" s="169"/>
      <c r="S70" s="166"/>
      <c r="T70" s="166"/>
      <c r="U70" s="166"/>
      <c r="V70" s="166"/>
    </row>
    <row r="71" spans="1:25" ht="17" customHeight="1">
      <c r="A71" s="55"/>
      <c r="B71" s="115"/>
      <c r="F71" s="51" t="s">
        <v>193</v>
      </c>
      <c r="G71" s="55"/>
      <c r="W71" s="171"/>
      <c r="X71" s="171"/>
      <c r="Y71" s="171"/>
    </row>
    <row r="72" spans="1:25" ht="17" customHeight="1">
      <c r="A72" s="55"/>
      <c r="B72" s="115"/>
      <c r="C72" s="191" t="s">
        <v>217</v>
      </c>
      <c r="G72" s="55"/>
      <c r="J72" s="51" t="s">
        <v>218</v>
      </c>
      <c r="W72" s="162"/>
      <c r="X72" s="163"/>
      <c r="Y72" s="163"/>
    </row>
    <row r="73" spans="1:25">
      <c r="D73" s="122"/>
      <c r="W73" s="162"/>
      <c r="X73" s="163"/>
      <c r="Y73" s="163"/>
    </row>
    <row r="74" spans="1:25">
      <c r="F74" s="232" t="s">
        <v>212</v>
      </c>
      <c r="W74" s="161"/>
      <c r="X74" s="163"/>
      <c r="Y74" s="163"/>
    </row>
    <row r="75" spans="1:25">
      <c r="C75" s="199"/>
      <c r="F75" s="247" t="s">
        <v>213</v>
      </c>
      <c r="W75" s="164"/>
      <c r="X75" s="163"/>
      <c r="Y75" s="163"/>
    </row>
    <row r="76" spans="1:25">
      <c r="F76" s="247" t="s">
        <v>214</v>
      </c>
      <c r="W76" s="164"/>
      <c r="X76" s="163"/>
      <c r="Y76" s="163"/>
    </row>
    <row r="77" spans="1:25">
      <c r="D77" s="207"/>
      <c r="W77" s="161"/>
      <c r="X77" s="163"/>
      <c r="Y77" s="163"/>
    </row>
    <row r="78" spans="1:25">
      <c r="W78" s="165"/>
      <c r="X78" s="163"/>
      <c r="Y78" s="163"/>
    </row>
    <row r="79" spans="1:25">
      <c r="W79" s="165"/>
      <c r="X79" s="163"/>
      <c r="Y79" s="163"/>
    </row>
    <row r="80" spans="1:25">
      <c r="C80" s="230" t="s">
        <v>83</v>
      </c>
      <c r="D80" s="230" t="s">
        <v>221</v>
      </c>
      <c r="E80" s="230" t="s">
        <v>7</v>
      </c>
      <c r="F80" s="230" t="s">
        <v>194</v>
      </c>
      <c r="G80" s="230" t="s">
        <v>195</v>
      </c>
      <c r="H80" s="230" t="s">
        <v>7</v>
      </c>
      <c r="I80" s="231"/>
      <c r="J80" s="230" t="s">
        <v>82</v>
      </c>
      <c r="K80" s="230" t="s">
        <v>222</v>
      </c>
      <c r="W80" s="165"/>
      <c r="X80" s="163"/>
      <c r="Y80" s="163"/>
    </row>
    <row r="81" spans="3:25">
      <c r="C81" s="232" t="s">
        <v>196</v>
      </c>
      <c r="D81" s="233">
        <f>E35</f>
        <v>1</v>
      </c>
      <c r="E81" s="232" t="s">
        <v>197</v>
      </c>
      <c r="F81" s="232" t="s">
        <v>198</v>
      </c>
      <c r="G81" s="234">
        <f>D83</f>
        <v>0.1052</v>
      </c>
      <c r="H81" s="232" t="s">
        <v>199</v>
      </c>
      <c r="J81" s="232" t="s">
        <v>200</v>
      </c>
      <c r="K81" s="235">
        <f>E30</f>
        <v>0.61</v>
      </c>
      <c r="W81" s="165"/>
      <c r="X81" s="163"/>
      <c r="Y81" s="163"/>
    </row>
    <row r="82" spans="3:25">
      <c r="C82" s="232" t="s">
        <v>201</v>
      </c>
      <c r="D82" s="236">
        <v>0.1052</v>
      </c>
      <c r="E82" s="232" t="s">
        <v>202</v>
      </c>
      <c r="F82" s="237" t="s">
        <v>203</v>
      </c>
      <c r="G82" s="234">
        <f>SUM(K83)</f>
        <v>4.2150999999999994E-2</v>
      </c>
      <c r="H82" s="237" t="s">
        <v>199</v>
      </c>
      <c r="I82" s="232" t="s">
        <v>2</v>
      </c>
      <c r="J82" s="232" t="s">
        <v>201</v>
      </c>
      <c r="K82" s="236">
        <v>6.9099999999999995E-2</v>
      </c>
      <c r="W82" s="165"/>
      <c r="X82" s="163"/>
      <c r="Y82" s="163"/>
    </row>
    <row r="83" spans="3:25">
      <c r="C83" s="232" t="s">
        <v>198</v>
      </c>
      <c r="D83" s="238">
        <f>D82*D81</f>
        <v>0.1052</v>
      </c>
      <c r="E83" s="232" t="s">
        <v>199</v>
      </c>
      <c r="F83" s="232" t="s">
        <v>204</v>
      </c>
      <c r="G83" s="234">
        <f>G81-G82</f>
        <v>6.3049000000000008E-2</v>
      </c>
      <c r="H83" s="232" t="s">
        <v>199</v>
      </c>
      <c r="J83" s="232" t="s">
        <v>203</v>
      </c>
      <c r="K83" s="239">
        <f>K82*K81</f>
        <v>4.2150999999999994E-2</v>
      </c>
      <c r="W83" s="165"/>
      <c r="X83" s="163"/>
      <c r="Y83" s="163"/>
    </row>
    <row r="84" spans="3:25">
      <c r="C84" s="232"/>
      <c r="D84" s="232"/>
      <c r="E84" s="232"/>
      <c r="F84" s="232"/>
      <c r="G84" s="240"/>
      <c r="H84" s="232"/>
      <c r="J84" s="232"/>
      <c r="K84" s="232"/>
      <c r="W84" s="165"/>
      <c r="X84" s="163"/>
      <c r="Y84" s="163"/>
    </row>
    <row r="85" spans="3:25">
      <c r="C85" s="232" t="s">
        <v>205</v>
      </c>
      <c r="D85" s="232"/>
      <c r="E85" s="232"/>
      <c r="F85" s="232"/>
      <c r="G85" s="232"/>
      <c r="H85" s="232"/>
      <c r="J85" s="232"/>
      <c r="K85" s="232"/>
      <c r="W85" s="165"/>
      <c r="X85" s="163"/>
      <c r="Y85" s="163"/>
    </row>
    <row r="86" spans="3:25">
      <c r="C86" s="241"/>
      <c r="D86" s="232"/>
      <c r="E86" s="232"/>
      <c r="F86" s="232" t="s">
        <v>206</v>
      </c>
      <c r="G86" s="234">
        <f>G83*G90</f>
        <v>5.6744100000000006E-2</v>
      </c>
      <c r="H86" s="232" t="s">
        <v>199</v>
      </c>
      <c r="J86" s="232"/>
      <c r="K86" s="232"/>
      <c r="W86" s="161"/>
      <c r="X86" s="163"/>
      <c r="Y86" s="163"/>
    </row>
    <row r="87" spans="3:25">
      <c r="C87" s="232"/>
      <c r="D87" s="232"/>
      <c r="E87" s="232"/>
      <c r="F87" s="237" t="s">
        <v>207</v>
      </c>
      <c r="G87" s="242">
        <f>G83*(1-G90)</f>
        <v>6.3048999999999996E-3</v>
      </c>
      <c r="H87" s="237" t="s">
        <v>199</v>
      </c>
      <c r="J87" s="232"/>
      <c r="K87" s="232"/>
      <c r="W87" s="161"/>
      <c r="X87" s="163"/>
      <c r="Y87" s="163"/>
    </row>
    <row r="88" spans="3:25">
      <c r="C88" s="232"/>
      <c r="D88" s="232"/>
      <c r="E88" s="232"/>
      <c r="F88" s="232" t="s">
        <v>208</v>
      </c>
      <c r="G88" s="234">
        <f>G83</f>
        <v>6.3049000000000008E-2</v>
      </c>
      <c r="H88" s="232" t="s">
        <v>199</v>
      </c>
      <c r="J88" s="232"/>
      <c r="K88" s="232"/>
      <c r="W88" s="161"/>
      <c r="X88" s="163"/>
      <c r="Y88" s="163"/>
    </row>
    <row r="89" spans="3:25">
      <c r="C89" s="232"/>
      <c r="D89" s="232"/>
      <c r="E89" s="232"/>
      <c r="F89" s="232"/>
      <c r="G89" s="232"/>
      <c r="H89" s="232"/>
      <c r="J89" s="232"/>
      <c r="K89" s="232"/>
      <c r="W89" s="164"/>
      <c r="X89" s="163"/>
      <c r="Y89" s="163"/>
    </row>
    <row r="90" spans="3:25">
      <c r="C90" s="232"/>
      <c r="D90" s="232"/>
      <c r="E90" s="232"/>
      <c r="F90" s="232" t="s">
        <v>209</v>
      </c>
      <c r="G90" s="243">
        <v>0.9</v>
      </c>
      <c r="H90" s="232" t="s">
        <v>134</v>
      </c>
      <c r="J90" s="232"/>
      <c r="K90" s="232"/>
      <c r="W90" s="161"/>
      <c r="X90" s="163"/>
      <c r="Y90" s="163"/>
    </row>
    <row r="91" spans="3:25">
      <c r="C91" s="232"/>
      <c r="D91" s="232"/>
      <c r="E91" s="232"/>
      <c r="F91" s="232"/>
      <c r="G91" s="232"/>
      <c r="H91" s="232"/>
      <c r="I91" s="232"/>
      <c r="J91" s="232"/>
      <c r="K91" s="232"/>
      <c r="W91" s="161"/>
      <c r="X91" s="163"/>
      <c r="Y91" s="163"/>
    </row>
    <row r="92" spans="3:25">
      <c r="F92" s="244"/>
      <c r="G92" s="244"/>
      <c r="H92" s="244"/>
      <c r="I92" s="244"/>
      <c r="J92" s="244"/>
      <c r="K92" s="244"/>
      <c r="W92" s="164"/>
      <c r="X92" s="163"/>
      <c r="Y92" s="163"/>
    </row>
    <row r="93" spans="3:25">
      <c r="F93" s="244"/>
      <c r="G93" s="244"/>
      <c r="H93" s="244"/>
      <c r="I93" s="244"/>
      <c r="J93" s="244"/>
      <c r="K93" s="244"/>
      <c r="W93" s="164"/>
      <c r="X93" s="163"/>
      <c r="Y93" s="163"/>
    </row>
    <row r="94" spans="3:25">
      <c r="F94" s="244"/>
      <c r="G94" s="244"/>
      <c r="H94" s="244"/>
      <c r="I94" s="244"/>
      <c r="J94" s="244"/>
      <c r="K94" s="244"/>
      <c r="W94" s="161"/>
      <c r="X94" s="163"/>
      <c r="Y94" s="163"/>
    </row>
    <row r="95" spans="3:25">
      <c r="D95" s="244"/>
      <c r="E95" s="244"/>
      <c r="F95" s="244"/>
      <c r="G95" s="244"/>
      <c r="H95" s="244"/>
      <c r="I95" s="244"/>
      <c r="J95" s="244"/>
      <c r="K95" s="244"/>
      <c r="W95" s="165"/>
      <c r="X95" s="163"/>
      <c r="Y95" s="163"/>
    </row>
    <row r="96" spans="3:25">
      <c r="C96" s="244" t="s">
        <v>19</v>
      </c>
      <c r="D96" s="245">
        <f>ROUND(G86/D83,6)</f>
        <v>0.53939300000000001</v>
      </c>
      <c r="E96" s="244" t="s">
        <v>2</v>
      </c>
      <c r="F96" s="244" t="s">
        <v>210</v>
      </c>
      <c r="G96" s="244"/>
      <c r="H96" s="244"/>
      <c r="I96" s="244"/>
      <c r="J96" s="244"/>
      <c r="K96" s="244"/>
      <c r="W96" s="165"/>
      <c r="X96" s="163"/>
      <c r="Y96" s="163"/>
    </row>
    <row r="97" spans="3:25">
      <c r="C97" s="244" t="s">
        <v>187</v>
      </c>
      <c r="D97" s="246">
        <f>ROUND(G86/D83,6)</f>
        <v>0.53939300000000001</v>
      </c>
      <c r="E97" s="51" t="s">
        <v>2</v>
      </c>
      <c r="F97" s="244" t="s">
        <v>210</v>
      </c>
      <c r="G97" s="244"/>
      <c r="H97" s="244"/>
      <c r="I97" s="244"/>
      <c r="J97" s="244"/>
      <c r="K97" s="244"/>
      <c r="W97" s="165"/>
      <c r="X97" s="163"/>
      <c r="Y97" s="163"/>
    </row>
    <row r="98" spans="3:25">
      <c r="C98" s="248" t="s">
        <v>219</v>
      </c>
      <c r="D98" s="245">
        <f>ROUND(G88,6)</f>
        <v>6.3048999999999994E-2</v>
      </c>
      <c r="E98" s="244" t="s">
        <v>202</v>
      </c>
      <c r="F98" s="51" t="s">
        <v>211</v>
      </c>
      <c r="W98" s="164"/>
      <c r="X98" s="163"/>
      <c r="Y98" s="163"/>
    </row>
    <row r="99" spans="3:25">
      <c r="W99" s="161"/>
      <c r="X99" s="163"/>
      <c r="Y99" s="163"/>
    </row>
    <row r="100" spans="3:25">
      <c r="W100" s="161"/>
      <c r="X100" s="163"/>
      <c r="Y100" s="163"/>
    </row>
    <row r="101" spans="3:25">
      <c r="W101" s="164"/>
      <c r="X101" s="163"/>
      <c r="Y101" s="163"/>
    </row>
    <row r="102" spans="3:25">
      <c r="W102" s="164"/>
      <c r="X102" s="163"/>
      <c r="Y102" s="163"/>
    </row>
    <row r="103" spans="3:25">
      <c r="W103" s="161"/>
      <c r="X103" s="163"/>
      <c r="Y103" s="163"/>
    </row>
    <row r="104" spans="3:25">
      <c r="W104" s="167"/>
      <c r="X104" s="168"/>
      <c r="Y104" s="168"/>
    </row>
    <row r="105" spans="3:25">
      <c r="W105" s="166"/>
      <c r="X105" s="166"/>
      <c r="Y105" s="166"/>
    </row>
    <row r="106" spans="3:25">
      <c r="W106" s="166"/>
      <c r="X106" s="166"/>
      <c r="Y106" s="166"/>
    </row>
    <row r="107" spans="3:25">
      <c r="W107" s="166"/>
      <c r="X107" s="166"/>
      <c r="Y107" s="166"/>
    </row>
    <row r="108" spans="3:25">
      <c r="W108" s="166"/>
      <c r="X108" s="166"/>
      <c r="Y108" s="166"/>
    </row>
    <row r="109" spans="3:25">
      <c r="M109" s="167"/>
      <c r="N109" s="170"/>
      <c r="O109" s="166"/>
      <c r="P109" s="169"/>
      <c r="Q109" s="166"/>
      <c r="R109" s="166"/>
      <c r="S109" s="166"/>
      <c r="T109" s="166"/>
      <c r="U109" s="166"/>
      <c r="V109" s="166"/>
      <c r="W109" s="166"/>
      <c r="X109" s="166"/>
      <c r="Y109" s="166"/>
    </row>
    <row r="110" spans="3:25">
      <c r="M110" s="167"/>
      <c r="N110" s="170"/>
      <c r="O110" s="166"/>
      <c r="P110" s="169"/>
      <c r="Q110" s="166"/>
      <c r="R110" s="166"/>
      <c r="S110" s="166"/>
      <c r="T110" s="166"/>
      <c r="U110" s="166"/>
      <c r="V110" s="166"/>
      <c r="W110" s="166"/>
      <c r="X110" s="166"/>
      <c r="Y110" s="166"/>
    </row>
    <row r="111" spans="3:25">
      <c r="M111" s="167"/>
      <c r="N111" s="170"/>
      <c r="O111" s="166"/>
      <c r="P111" s="169"/>
      <c r="Q111" s="166"/>
      <c r="R111" s="166"/>
      <c r="S111" s="166"/>
      <c r="T111" s="166"/>
      <c r="U111" s="166"/>
      <c r="V111" s="166"/>
      <c r="W111" s="166"/>
      <c r="X111" s="166"/>
      <c r="Y111" s="166"/>
    </row>
    <row r="112" spans="3:25">
      <c r="U112" s="166"/>
      <c r="V112" s="166"/>
      <c r="W112" s="166"/>
      <c r="X112" s="166"/>
      <c r="Y112" s="166"/>
    </row>
    <row r="113" spans="21:25">
      <c r="U113" s="166"/>
      <c r="V113" s="166"/>
      <c r="W113" s="166"/>
      <c r="X113" s="166"/>
      <c r="Y113" s="166"/>
    </row>
  </sheetData>
  <mergeCells count="1">
    <mergeCell ref="P25:Z25"/>
  </mergeCells>
  <hyperlinks>
    <hyperlink ref="P25" location="INDEX" display="Bio Methanol" xr:uid="{829EE0E6-A9C9-8B46-A924-8108B67B4324}"/>
  </hyperlinks>
  <pageMargins left="0.75" right="0.75" top="1" bottom="1" header="0.5" footer="0.5"/>
  <pageSetup paperSize="9" orientation="portrait" horizontalDpi="4294967292" verticalDpi="4294967292"/>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Cover sheet</vt:lpstr>
      <vt:lpstr>Dashboard</vt:lpstr>
      <vt:lpstr>Research data</vt:lpstr>
      <vt:lpstr>Sources</vt:lpstr>
      <vt:lpstr>Notes</vt:lpstr>
    </vt:vector>
  </TitlesOfParts>
  <Company>Quintel Intelligence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 Rothengatter</dc:creator>
  <cp:lastModifiedBy>Kyra de Haan</cp:lastModifiedBy>
  <cp:lastPrinted>2015-02-13T09:40:54Z</cp:lastPrinted>
  <dcterms:created xsi:type="dcterms:W3CDTF">2011-10-26T09:05:09Z</dcterms:created>
  <dcterms:modified xsi:type="dcterms:W3CDTF">2025-10-28T11:35:42Z</dcterms:modified>
</cp:coreProperties>
</file>