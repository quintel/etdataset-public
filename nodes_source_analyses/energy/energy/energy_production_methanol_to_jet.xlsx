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showInkAnnotation="0" codeName="ThisWorkbook" autoCompressPictures="0"/>
  <mc:AlternateContent xmlns:mc="http://schemas.openxmlformats.org/markup-compatibility/2006">
    <mc:Choice Requires="x15">
      <x15ac:absPath xmlns:x15ac="http://schemas.microsoft.com/office/spreadsheetml/2010/11/ac" url="/Users/mathijsbijkerk/Github/etdataset/nodes_source_analyses/energy/energy/"/>
    </mc:Choice>
  </mc:AlternateContent>
  <xr:revisionPtr revIDLastSave="0" documentId="13_ncr:1_{34700983-84EB-A948-B9AA-716DE3CFE296}" xr6:coauthVersionLast="47" xr6:coauthVersionMax="47" xr10:uidLastSave="{00000000-0000-0000-0000-000000000000}"/>
  <bookViews>
    <workbookView xWindow="-6260" yWindow="-28300" windowWidth="25600" windowHeight="27340" tabRatio="762" activeTab="1" xr2:uid="{00000000-000D-0000-FFFF-FFFF00000000}"/>
  </bookViews>
  <sheets>
    <sheet name="Cover sheet" sheetId="14" r:id="rId1"/>
    <sheet name="Dashboard" sheetId="12" r:id="rId2"/>
    <sheet name="Sources" sheetId="15" r:id="rId3"/>
    <sheet name="Notes" sheetId="20" r:id="rId4"/>
  </sheets>
  <definedNames>
    <definedName name="exchange_rate_2011_2010">#REF!</definedName>
    <definedName name="Final_demand_residences">#REF!</definedName>
    <definedName name="hours_a_year">#REF!</definedName>
    <definedName name="km2_to_m2">#REF!</definedName>
    <definedName name="kW_to_MW">#REF!</definedName>
    <definedName name="kW_to_W">#REF!</definedName>
    <definedName name="kWp_to_MWp">#REF!</definedName>
    <definedName name="m2_to_km2">#REF!</definedName>
    <definedName name="STC">#REF!</definedName>
    <definedName name="STC_insolation">#REF!</definedName>
    <definedName name="W_to_MW">#REF!</definedName>
    <definedName name="Wp_to_kWp">#REF!</definedName>
    <definedName name="WP_to_MWp">#REF!</definedName>
  </definedNames>
  <calcPr calcId="191029"/>
  <extLst>
    <ext xmlns:x14="http://schemas.microsoft.com/office/spreadsheetml/2009/9/main" uri="{79F54976-1DA5-4618-B147-4CDE4B953A38}">
      <x14:workbookPr defaultImageDpi="32767"/>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C58" i="20" l="1"/>
  <c r="C59" i="20"/>
  <c r="C57" i="20"/>
  <c r="C4" i="20"/>
  <c r="E32" i="12" s="1"/>
  <c r="C24" i="20"/>
  <c r="C25" i="20" s="1"/>
  <c r="C13" i="20" s="1"/>
  <c r="C21" i="20" l="1"/>
  <c r="D52" i="20"/>
  <c r="E52" i="20" s="1"/>
  <c r="F52" i="20" s="1"/>
  <c r="D51" i="20"/>
  <c r="E51" i="20" s="1"/>
  <c r="C54" i="20"/>
  <c r="F51" i="20" l="1"/>
  <c r="E54" i="20"/>
  <c r="C22" i="20"/>
  <c r="C12" i="20" s="1"/>
  <c r="C11" i="20"/>
  <c r="E21" i="12" s="1"/>
  <c r="D54" i="20"/>
  <c r="E24" i="12"/>
  <c r="E23" i="12"/>
  <c r="F54" i="20" l="1"/>
  <c r="G52" i="20" s="1"/>
  <c r="C7" i="20" s="1"/>
  <c r="E17" i="12"/>
  <c r="G51" i="20" l="1"/>
  <c r="D58" i="20"/>
  <c r="E58" i="20" s="1"/>
  <c r="F58" i="20" s="1"/>
  <c r="G58" i="20" s="1"/>
  <c r="C9" i="20" s="1"/>
  <c r="C62" i="20"/>
  <c r="D57" i="20"/>
  <c r="E57" i="20" s="1"/>
  <c r="G54" i="20" l="1"/>
  <c r="C6" i="20"/>
  <c r="F57" i="20"/>
  <c r="E62" i="20"/>
  <c r="D62" i="20"/>
  <c r="F62" i="20" l="1"/>
  <c r="G57" i="20"/>
  <c r="E16" i="12"/>
  <c r="C18" i="20" l="1"/>
  <c r="C8" i="20"/>
  <c r="E15" i="12" s="1"/>
  <c r="G61" i="20"/>
  <c r="G62" i="20" s="1"/>
  <c r="C2" i="20"/>
  <c r="E12" i="12" s="1"/>
  <c r="E13" i="12"/>
  <c r="E14" i="12" l="1"/>
</calcChain>
</file>

<file path=xl/sharedStrings.xml><?xml version="1.0" encoding="utf-8"?>
<sst xmlns="http://schemas.openxmlformats.org/spreadsheetml/2006/main" count="202" uniqueCount="154">
  <si>
    <t>Source</t>
  </si>
  <si>
    <t>-</t>
  </si>
  <si>
    <t>Value</t>
  </si>
  <si>
    <t>Definition</t>
  </si>
  <si>
    <t>Unit</t>
  </si>
  <si>
    <t>Link</t>
  </si>
  <si>
    <t>Cover Sheet</t>
  </si>
  <si>
    <t>Document</t>
  </si>
  <si>
    <t>Country</t>
  </si>
  <si>
    <t>Organization</t>
  </si>
  <si>
    <t>Definition on the sources</t>
  </si>
  <si>
    <t>Type</t>
  </si>
  <si>
    <t>Date published</t>
  </si>
  <si>
    <t>Date retrieved</t>
  </si>
  <si>
    <t>Attribute</t>
  </si>
  <si>
    <t>free_co2_factor</t>
  </si>
  <si>
    <t>Legend</t>
  </si>
  <si>
    <t>Cells</t>
  </si>
  <si>
    <t>Intermediate (calculation)</t>
  </si>
  <si>
    <t>Result</t>
  </si>
  <si>
    <t>Manual input</t>
  </si>
  <si>
    <t>Reference to manual input or data input</t>
  </si>
  <si>
    <t>Tabs</t>
  </si>
  <si>
    <t>Introductory</t>
  </si>
  <si>
    <t>Dashboard</t>
  </si>
  <si>
    <t>Research data</t>
  </si>
  <si>
    <t>Sources</t>
  </si>
  <si>
    <t>Results</t>
  </si>
  <si>
    <t>Main calculations</t>
  </si>
  <si>
    <t>Additional calculations</t>
  </si>
  <si>
    <t>Output to csv</t>
  </si>
  <si>
    <t>Author</t>
  </si>
  <si>
    <t>Technical</t>
  </si>
  <si>
    <t>ETM Library URL</t>
  </si>
  <si>
    <t xml:space="preserve">This sheet summarizes all node attributes formatted in the way they are used by the Energy Transition Model. Use the Excel formulas to find the original data and sources for these numbers. You can also use this document to update the attribute value. Once you have finished updating, save this document and run rake import:node NODE="nodename" to update the node attributes on ETSource. 
</t>
  </si>
  <si>
    <t>Overview</t>
  </si>
  <si>
    <t>typical input capacity</t>
  </si>
  <si>
    <t>MW</t>
  </si>
  <si>
    <t>full load hours</t>
  </si>
  <si>
    <t>hrs</t>
  </si>
  <si>
    <t>availability</t>
  </si>
  <si>
    <t>technical lifetime</t>
  </si>
  <si>
    <t>yr</t>
  </si>
  <si>
    <t>investment costs</t>
  </si>
  <si>
    <t>€</t>
  </si>
  <si>
    <t>fixed O&amp;M</t>
  </si>
  <si>
    <t>€/y</t>
  </si>
  <si>
    <t>variable O&amp;M</t>
  </si>
  <si>
    <t>€/flh</t>
  </si>
  <si>
    <t>total</t>
  </si>
  <si>
    <t>typical_input_capacity</t>
  </si>
  <si>
    <t>full_load_hours</t>
  </si>
  <si>
    <t>Cost</t>
  </si>
  <si>
    <t>initial_investment</t>
  </si>
  <si>
    <t>euro</t>
  </si>
  <si>
    <t>ccs_investment</t>
  </si>
  <si>
    <t>fixed_operation_and_maintenance_costs_per_year</t>
  </si>
  <si>
    <t>euro/yr</t>
  </si>
  <si>
    <r>
      <t>variable_operation_and_maintenance_costs_per_</t>
    </r>
    <r>
      <rPr>
        <sz val="12"/>
        <color theme="1"/>
        <rFont val="Calibri"/>
        <family val="2"/>
        <scheme val="minor"/>
      </rPr>
      <t>full_load_hour</t>
    </r>
  </si>
  <si>
    <t>euro/flh</t>
  </si>
  <si>
    <t>variable_operation_and_maintenance_costs_for_ccs_per_full_load_hour</t>
  </si>
  <si>
    <t>cost_of_installing</t>
  </si>
  <si>
    <r>
      <t>decommis</t>
    </r>
    <r>
      <rPr>
        <sz val="12"/>
        <color theme="1"/>
        <rFont val="Calibri"/>
        <family val="2"/>
        <scheme val="minor"/>
      </rPr>
      <t>s</t>
    </r>
    <r>
      <rPr>
        <sz val="12"/>
        <color theme="1"/>
        <rFont val="Calibri"/>
        <family val="2"/>
        <scheme val="minor"/>
      </rPr>
      <t>ioning_costs</t>
    </r>
  </si>
  <si>
    <t>takes_part_in_ets</t>
  </si>
  <si>
    <t>yes=1, no=0</t>
  </si>
  <si>
    <t>Other</t>
  </si>
  <si>
    <t>technical_lifetime</t>
  </si>
  <si>
    <t>years</t>
  </si>
  <si>
    <t>construction_time</t>
  </si>
  <si>
    <t>h</t>
  </si>
  <si>
    <t>Initial investment costs</t>
  </si>
  <si>
    <r>
      <t>Fixed operational and maintenance costs per year</t>
    </r>
    <r>
      <rPr>
        <sz val="12"/>
        <color theme="1"/>
        <rFont val="Calibri"/>
        <family val="2"/>
        <scheme val="minor"/>
      </rPr>
      <t xml:space="preserve"> (incl. ccs)</t>
    </r>
  </si>
  <si>
    <r>
      <t xml:space="preserve">Variable operation and maintenance costs per </t>
    </r>
    <r>
      <rPr>
        <sz val="12"/>
        <color theme="1"/>
        <rFont val="Calibri"/>
        <family val="2"/>
        <scheme val="minor"/>
      </rPr>
      <t>flh</t>
    </r>
  </si>
  <si>
    <t>Installation costs</t>
  </si>
  <si>
    <t>Decommissioning costs</t>
  </si>
  <si>
    <t>wacc</t>
  </si>
  <si>
    <t>%</t>
  </si>
  <si>
    <t>Weighted average cost of capita</t>
  </si>
  <si>
    <t>See https://docs.energytransitionmodel.com/main/cost-wacc/</t>
  </si>
  <si>
    <t>Technical lifetime of the plant</t>
  </si>
  <si>
    <t xml:space="preserve">Construction time of the plant </t>
  </si>
  <si>
    <t>Kyra de Haan</t>
  </si>
  <si>
    <t>Quintel assumption</t>
  </si>
  <si>
    <t>hydrogen</t>
  </si>
  <si>
    <t>MJ/kg</t>
  </si>
  <si>
    <t>14-10-2025</t>
  </si>
  <si>
    <t>Subject</t>
  </si>
  <si>
    <t>input.hydrogen</t>
  </si>
  <si>
    <t>Plant size and costs</t>
  </si>
  <si>
    <t>Copied from energy_production_hvo_bio_kerosene</t>
  </si>
  <si>
    <t>No CCS</t>
  </si>
  <si>
    <t>No data available, assumed to be 0</t>
  </si>
  <si>
    <t>energy_production_methanol_to_jet</t>
  </si>
  <si>
    <t>light gases</t>
  </si>
  <si>
    <t>Lower heating values</t>
  </si>
  <si>
    <t>copied from ETSource carrier files</t>
  </si>
  <si>
    <t>methanol</t>
  </si>
  <si>
    <t>kerosene</t>
  </si>
  <si>
    <t>input</t>
  </si>
  <si>
    <t>kg/kg kerosene</t>
  </si>
  <si>
    <t>output</t>
  </si>
  <si>
    <t>heat</t>
  </si>
  <si>
    <t>Output products</t>
  </si>
  <si>
    <t>electricity</t>
  </si>
  <si>
    <t>correction light gases</t>
  </si>
  <si>
    <t>Feedstock in- and output</t>
  </si>
  <si>
    <t>in- and output of feedstock based on Concawe &amp; Aramco report</t>
  </si>
  <si>
    <t>correction is done based on weight % composition of output products from Wang et al.</t>
  </si>
  <si>
    <t>correction is applied to account for by-products gasoline and light gases, since Concawe &amp; Aramco only reports fuel fractions based on kerosene production</t>
  </si>
  <si>
    <t>Conversions are done to:</t>
  </si>
  <si>
    <t>- conversions from kg to MJs</t>
  </si>
  <si>
    <t>loss</t>
  </si>
  <si>
    <t>Plant scale and costs</t>
  </si>
  <si>
    <t>capacity</t>
  </si>
  <si>
    <t>input capacity</t>
  </si>
  <si>
    <t>MW input</t>
  </si>
  <si>
    <t>MW kerosene output</t>
  </si>
  <si>
    <t>lifetime</t>
  </si>
  <si>
    <t>€/GWh kerosene output</t>
  </si>
  <si>
    <t>copied from energy_production_bio_ethanol_to_jet</t>
  </si>
  <si>
    <t>Feedstock in- and output conversions</t>
  </si>
  <si>
    <t>- allocate heat and electricity to resp loss and hydrogen input (minor heat output is ignored and considered loss, minor electricity input is ignored and allocated to higher hydrogen input)</t>
  </si>
  <si>
    <t>Concawe &amp; Aramco report (2022), pg. 236:</t>
  </si>
  <si>
    <t>Wang et al. (2016), pg. 22:</t>
  </si>
  <si>
    <t>Concawe &amp; Aramco report (2022), pg. 10:</t>
  </si>
  <si>
    <t>input.methanol</t>
  </si>
  <si>
    <t>ouptut.kerosene</t>
  </si>
  <si>
    <t>Product yields</t>
  </si>
  <si>
    <t>Concawe &amp; Aramco</t>
  </si>
  <si>
    <t>E-Fuels: A techno-economic assessment of European domestic production and imports towards 2050</t>
  </si>
  <si>
    <t>https://www.concawe.eu/publication/e-fuels-a-techno-economic-assessment-of-european-domestic-production-and-imports-towards-2050/</t>
  </si>
  <si>
    <t>output.kerosene</t>
  </si>
  <si>
    <t>Concawe &amp; Aramco (2022)</t>
  </si>
  <si>
    <t>Wang et al.</t>
  </si>
  <si>
    <t>Review of Biojet Fuel Conversion Technologies</t>
  </si>
  <si>
    <t>https://docs.nrel.gov/docs/fy16osti/66291.pdf</t>
  </si>
  <si>
    <t>Copied from energy_production_bio_ethanol_to_jet</t>
  </si>
  <si>
    <t>Concawe &amp; Aramco (2022), Wang et al. (2015)</t>
  </si>
  <si>
    <t>Quintel</t>
  </si>
  <si>
    <t>Assumptions:</t>
  </si>
  <si>
    <t>According to an expert from Kalavasta (maintainer of the CTM), output of gasoline can be considered a product with carbon range similar to gasoline</t>
  </si>
  <si>
    <t>naphtha</t>
  </si>
  <si>
    <t>- allocate light gases output to proportionally increased kerosene and naphtha output (light gases difficult to model but have energy purpose)</t>
  </si>
  <si>
    <t>output.naphtha</t>
  </si>
  <si>
    <r>
      <t xml:space="preserve">Note that the reported gasoline output from Concawe &amp; Aramco is assumed to be </t>
    </r>
    <r>
      <rPr>
        <u/>
        <sz val="12"/>
        <rFont val="Calibri (Body)"/>
      </rPr>
      <t>naphtha</t>
    </r>
  </si>
  <si>
    <t>Output of naphtha</t>
  </si>
  <si>
    <t>Expert judgement from Kalavasta</t>
  </si>
  <si>
    <t>Concerning assumption of naphtha output instead of gasoline</t>
  </si>
  <si>
    <t>7-11-2025</t>
  </si>
  <si>
    <t>Concawe &amp; Aramco (2022), Wang et al. (2015), expert from Kalavasta</t>
  </si>
  <si>
    <t>Considering the importance of naphtha in the future compared to decreased importance of gasoline, and considering naphta has a similar carbon range as gasoline, the output is considered to be naphtha</t>
  </si>
  <si>
    <t>conversion to MJ</t>
  </si>
  <si>
    <t>correction heat and electricity</t>
  </si>
  <si>
    <t>normalise on input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</si>
</sst>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00"/>
    <numFmt numFmtId="166" formatCode="0.0000"/>
    <numFmt numFmtId="167" formatCode="_ * #,##0_ ;_ * \-#,##0_ ;_ * &quot;-&quot;??_ ;_ @_ "/>
    <numFmt numFmtId="168" formatCode="0.0%"/>
  </numFmts>
  <fonts count="32">
    <font>
      <sz val="12"/>
      <color theme="1"/>
      <name val="Lettertype hoofdtekst"/>
      <family val="2"/>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u/>
      <sz val="12"/>
      <color theme="10"/>
      <name val="Lettertype hoofdtekst"/>
      <family val="2"/>
    </font>
    <font>
      <u/>
      <sz val="12"/>
      <color theme="11"/>
      <name val="Lettertype hoofdtekst"/>
      <family val="2"/>
    </font>
    <font>
      <b/>
      <sz val="12"/>
      <color theme="1"/>
      <name val="Calibri"/>
      <family val="2"/>
      <scheme val="minor"/>
    </font>
    <font>
      <sz val="12"/>
      <color rgb="FF000000"/>
      <name val="Calibri"/>
      <family val="2"/>
      <scheme val="minor"/>
    </font>
    <font>
      <b/>
      <sz val="12"/>
      <color rgb="FF000000"/>
      <name val="Calibri"/>
      <family val="2"/>
      <scheme val="minor"/>
    </font>
    <font>
      <b/>
      <sz val="11"/>
      <color rgb="FF000000"/>
      <name val="Calibri"/>
      <family val="2"/>
      <scheme val="minor"/>
    </font>
    <font>
      <b/>
      <sz val="16"/>
      <color rgb="FF1F497D"/>
      <name val="Calibri"/>
      <family val="2"/>
      <scheme val="minor"/>
    </font>
    <font>
      <sz val="12"/>
      <name val="Calibri"/>
      <family val="2"/>
      <scheme val="minor"/>
    </font>
    <font>
      <b/>
      <sz val="12"/>
      <name val="Calibri"/>
      <family val="2"/>
      <scheme val="minor"/>
    </font>
    <font>
      <i/>
      <sz val="12"/>
      <color theme="1"/>
      <name val="Calibri"/>
      <family val="2"/>
      <scheme val="minor"/>
    </font>
    <font>
      <sz val="12"/>
      <color rgb="FF000000"/>
      <name val="Calibri"/>
      <family val="2"/>
    </font>
    <font>
      <sz val="8"/>
      <name val="Lettertype hoofdtekst"/>
      <family val="2"/>
    </font>
    <font>
      <b/>
      <sz val="8"/>
      <color rgb="FF969696"/>
      <name val="Calibri"/>
      <family val="2"/>
    </font>
    <font>
      <b/>
      <sz val="8"/>
      <color rgb="FF000000"/>
      <name val="Calibri"/>
      <family val="2"/>
    </font>
    <font>
      <b/>
      <sz val="8"/>
      <name val="Calibri"/>
      <family val="2"/>
    </font>
    <font>
      <sz val="8"/>
      <color rgb="FF969696"/>
      <name val="Calibri"/>
      <family val="2"/>
    </font>
    <font>
      <sz val="8"/>
      <color rgb="FF000000"/>
      <name val="Calibri"/>
      <family val="2"/>
    </font>
    <font>
      <b/>
      <sz val="14"/>
      <color theme="1"/>
      <name val="Calibri"/>
      <family val="2"/>
      <scheme val="minor"/>
    </font>
    <font>
      <u/>
      <sz val="12"/>
      <name val="Calibri"/>
      <family val="2"/>
      <scheme val="minor"/>
    </font>
    <font>
      <sz val="12"/>
      <color theme="1"/>
      <name val="Lettertype hoofdtekst"/>
      <family val="2"/>
    </font>
    <font>
      <u/>
      <sz val="12"/>
      <name val="Calibri (Body)"/>
    </font>
  </fonts>
  <fills count="14">
    <fill>
      <patternFill patternType="none"/>
    </fill>
    <fill>
      <patternFill patternType="gray125"/>
    </fill>
    <fill>
      <patternFill patternType="solid">
        <fgColor theme="0"/>
        <bgColor indexed="64"/>
      </patternFill>
    </fill>
    <fill>
      <patternFill patternType="solid">
        <fgColor theme="0"/>
        <bgColor rgb="FF000000"/>
      </patternFill>
    </fill>
    <fill>
      <patternFill patternType="solid">
        <fgColor theme="2"/>
        <bgColor indexed="64"/>
      </patternFill>
    </fill>
    <fill>
      <patternFill patternType="solid">
        <fgColor rgb="FFFFFF00"/>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5" tint="0.39997558519241921"/>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theme="7" tint="0.39997558519241921"/>
        <bgColor indexed="64"/>
      </patternFill>
    </fill>
    <fill>
      <patternFill patternType="solid">
        <fgColor rgb="FFFFFFFF"/>
        <bgColor rgb="FF000000"/>
      </patternFill>
    </fill>
    <fill>
      <patternFill patternType="solid">
        <fgColor theme="0" tint="-0.249977111117893"/>
        <bgColor indexed="64"/>
      </patternFill>
    </fill>
  </fills>
  <borders count="21">
    <border>
      <left/>
      <right/>
      <top/>
      <bottom/>
      <diagonal/>
    </border>
    <border>
      <left style="thin">
        <color auto="1"/>
      </left>
      <right/>
      <top/>
      <bottom style="thin">
        <color auto="1"/>
      </bottom>
      <diagonal/>
    </border>
    <border>
      <left/>
      <right/>
      <top style="thin">
        <color auto="1"/>
      </top>
      <bottom/>
      <diagonal/>
    </border>
    <border>
      <left style="medium">
        <color auto="1"/>
      </left>
      <right/>
      <top style="medium">
        <color auto="1"/>
      </top>
      <bottom/>
      <diagonal/>
    </border>
    <border>
      <left/>
      <right/>
      <top style="medium">
        <color auto="1"/>
      </top>
      <bottom/>
      <diagonal/>
    </border>
    <border>
      <left/>
      <right style="medium">
        <color auto="1"/>
      </right>
      <top/>
      <bottom/>
      <diagonal/>
    </border>
    <border>
      <left style="medium">
        <color auto="1"/>
      </left>
      <right/>
      <top/>
      <bottom/>
      <diagonal/>
    </border>
    <border>
      <left style="thin">
        <color auto="1"/>
      </left>
      <right/>
      <top/>
      <bottom/>
      <diagonal/>
    </border>
    <border>
      <left/>
      <right style="thin">
        <color auto="1"/>
      </right>
      <top/>
      <bottom/>
      <diagonal/>
    </border>
    <border>
      <left/>
      <right/>
      <top/>
      <bottom style="thin">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style="thin">
        <color auto="1"/>
      </right>
      <top style="thin">
        <color auto="1"/>
      </top>
      <bottom/>
      <diagonal/>
    </border>
    <border>
      <left/>
      <right style="thin">
        <color auto="1"/>
      </right>
      <top/>
      <bottom style="thin">
        <color auto="1"/>
      </bottom>
      <diagonal/>
    </border>
    <border>
      <left/>
      <right style="medium">
        <color auto="1"/>
      </right>
      <top style="medium">
        <color auto="1"/>
      </top>
      <bottom/>
      <diagonal/>
    </border>
    <border>
      <left style="medium">
        <color auto="1"/>
      </left>
      <right/>
      <top/>
      <bottom style="thin">
        <color auto="1"/>
      </bottom>
      <diagonal/>
    </border>
    <border>
      <left style="thin">
        <color auto="1"/>
      </left>
      <right/>
      <top style="thin">
        <color auto="1"/>
      </top>
      <bottom/>
      <diagonal/>
    </border>
    <border>
      <left style="medium">
        <color auto="1"/>
      </left>
      <right style="medium">
        <color auto="1"/>
      </right>
      <top style="medium">
        <color auto="1"/>
      </top>
      <bottom style="medium">
        <color auto="1"/>
      </bottom>
      <diagonal/>
    </border>
    <border>
      <left/>
      <right style="medium">
        <color auto="1"/>
      </right>
      <top/>
      <bottom style="thin">
        <color auto="1"/>
      </bottom>
      <diagonal/>
    </border>
    <border>
      <left style="thin">
        <color indexed="64"/>
      </left>
      <right/>
      <top style="medium">
        <color auto="1"/>
      </top>
      <bottom/>
      <diagonal/>
    </border>
  </borders>
  <cellStyleXfs count="358">
    <xf numFmtId="0" fontId="0" fillId="0" borderId="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2" fillId="0" borderId="0" applyNumberFormat="0" applyFill="0" applyBorder="0" applyAlignment="0" applyProtection="0"/>
    <xf numFmtId="0" fontId="11" fillId="0" borderId="0" applyNumberFormat="0" applyFill="0" applyBorder="0" applyAlignment="0" applyProtection="0"/>
    <xf numFmtId="9" fontId="30" fillId="0" borderId="0" applyFont="0" applyFill="0" applyBorder="0" applyAlignment="0" applyProtection="0"/>
  </cellStyleXfs>
  <cellXfs count="142">
    <xf numFmtId="0" fontId="0" fillId="0" borderId="0" xfId="0"/>
    <xf numFmtId="0" fontId="14" fillId="3" borderId="7" xfId="0" applyFont="1" applyFill="1" applyBorder="1"/>
    <xf numFmtId="0" fontId="15" fillId="3" borderId="17" xfId="0" applyFont="1" applyFill="1" applyBorder="1"/>
    <xf numFmtId="0" fontId="16" fillId="3" borderId="7" xfId="0" applyFont="1" applyFill="1" applyBorder="1" applyAlignment="1">
      <alignment vertical="center"/>
    </xf>
    <xf numFmtId="0" fontId="16" fillId="3" borderId="1" xfId="0" applyFont="1" applyFill="1" applyBorder="1" applyAlignment="1">
      <alignment vertical="center"/>
    </xf>
    <xf numFmtId="0" fontId="14" fillId="3" borderId="0" xfId="0" applyFont="1" applyFill="1"/>
    <xf numFmtId="0" fontId="13" fillId="2" borderId="0" xfId="0" applyFont="1" applyFill="1"/>
    <xf numFmtId="0" fontId="13" fillId="2" borderId="5" xfId="0" applyFont="1" applyFill="1" applyBorder="1"/>
    <xf numFmtId="0" fontId="13" fillId="2" borderId="9" xfId="0" applyFont="1" applyFill="1" applyBorder="1"/>
    <xf numFmtId="0" fontId="13" fillId="0" borderId="9" xfId="0" applyFont="1" applyBorder="1"/>
    <xf numFmtId="0" fontId="15" fillId="0" borderId="9" xfId="0" applyFont="1" applyBorder="1"/>
    <xf numFmtId="49" fontId="13" fillId="2" borderId="0" xfId="0" applyNumberFormat="1" applyFont="1" applyFill="1"/>
    <xf numFmtId="49" fontId="13" fillId="2" borderId="9" xfId="0" applyNumberFormat="1" applyFont="1" applyFill="1" applyBorder="1"/>
    <xf numFmtId="0" fontId="13" fillId="2" borderId="4" xfId="0" applyFont="1" applyFill="1" applyBorder="1"/>
    <xf numFmtId="0" fontId="10" fillId="2" borderId="0" xfId="0" applyFont="1" applyFill="1"/>
    <xf numFmtId="0" fontId="14" fillId="0" borderId="0" xfId="0" applyFont="1"/>
    <xf numFmtId="0" fontId="13" fillId="0" borderId="16" xfId="0" applyFont="1" applyBorder="1"/>
    <xf numFmtId="0" fontId="13" fillId="2" borderId="6" xfId="0" applyFont="1" applyFill="1" applyBorder="1"/>
    <xf numFmtId="0" fontId="14" fillId="3" borderId="17" xfId="0" applyFont="1" applyFill="1" applyBorder="1"/>
    <xf numFmtId="0" fontId="14" fillId="3" borderId="2" xfId="0" applyFont="1" applyFill="1" applyBorder="1"/>
    <xf numFmtId="0" fontId="10" fillId="2" borderId="2" xfId="0" applyFont="1" applyFill="1" applyBorder="1"/>
    <xf numFmtId="0" fontId="17" fillId="3" borderId="0" xfId="0" applyFont="1" applyFill="1"/>
    <xf numFmtId="0" fontId="10" fillId="2" borderId="7" xfId="0" applyFont="1" applyFill="1" applyBorder="1"/>
    <xf numFmtId="0" fontId="15" fillId="3" borderId="0" xfId="0" applyFont="1" applyFill="1"/>
    <xf numFmtId="0" fontId="9" fillId="2" borderId="0" xfId="0" applyFont="1" applyFill="1"/>
    <xf numFmtId="0" fontId="8" fillId="2" borderId="0" xfId="0" applyFont="1" applyFill="1"/>
    <xf numFmtId="0" fontId="8" fillId="2" borderId="4" xfId="0" applyFont="1" applyFill="1" applyBorder="1"/>
    <xf numFmtId="49" fontId="8" fillId="2" borderId="0" xfId="0" applyNumberFormat="1" applyFont="1" applyFill="1"/>
    <xf numFmtId="49" fontId="8" fillId="2" borderId="4" xfId="0" applyNumberFormat="1" applyFont="1" applyFill="1" applyBorder="1"/>
    <xf numFmtId="0" fontId="18" fillId="2" borderId="0" xfId="0" applyFont="1" applyFill="1"/>
    <xf numFmtId="0" fontId="19" fillId="2" borderId="0" xfId="0" applyFont="1" applyFill="1"/>
    <xf numFmtId="0" fontId="13" fillId="2" borderId="17" xfId="0" applyFont="1" applyFill="1" applyBorder="1"/>
    <xf numFmtId="0" fontId="7" fillId="2" borderId="2" xfId="0" applyFont="1" applyFill="1" applyBorder="1"/>
    <xf numFmtId="0" fontId="13" fillId="2" borderId="7" xfId="0" applyFont="1" applyFill="1" applyBorder="1"/>
    <xf numFmtId="0" fontId="7" fillId="2" borderId="18" xfId="0" applyFont="1" applyFill="1" applyBorder="1"/>
    <xf numFmtId="0" fontId="7" fillId="2" borderId="7" xfId="0" applyFont="1" applyFill="1" applyBorder="1"/>
    <xf numFmtId="0" fontId="13" fillId="2" borderId="19" xfId="0" applyFont="1" applyFill="1" applyBorder="1"/>
    <xf numFmtId="165" fontId="18" fillId="2" borderId="0" xfId="0" applyNumberFormat="1" applyFont="1" applyFill="1"/>
    <xf numFmtId="0" fontId="8" fillId="2" borderId="20" xfId="0" applyFont="1" applyFill="1" applyBorder="1"/>
    <xf numFmtId="0" fontId="8" fillId="2" borderId="7" xfId="0" applyFont="1" applyFill="1" applyBorder="1"/>
    <xf numFmtId="0" fontId="8" fillId="2" borderId="1" xfId="0" applyFont="1" applyFill="1" applyBorder="1"/>
    <xf numFmtId="1" fontId="18" fillId="2" borderId="0" xfId="0" applyNumberFormat="1" applyFont="1" applyFill="1"/>
    <xf numFmtId="167" fontId="18" fillId="2" borderId="0" xfId="0" applyNumberFormat="1" applyFont="1" applyFill="1"/>
    <xf numFmtId="4" fontId="18" fillId="2" borderId="0" xfId="0" applyNumberFormat="1" applyFont="1" applyFill="1"/>
    <xf numFmtId="0" fontId="6" fillId="2" borderId="0" xfId="0" applyFont="1" applyFill="1"/>
    <xf numFmtId="0" fontId="6" fillId="0" borderId="0" xfId="0" applyFont="1" applyAlignment="1">
      <alignment vertical="center"/>
    </xf>
    <xf numFmtId="0" fontId="14" fillId="0" borderId="0" xfId="0" applyFont="1" applyAlignment="1">
      <alignment vertical="center"/>
    </xf>
    <xf numFmtId="2" fontId="6" fillId="2" borderId="18" xfId="0" applyNumberFormat="1" applyFont="1" applyFill="1" applyBorder="1" applyAlignment="1">
      <alignment vertical="center"/>
    </xf>
    <xf numFmtId="2" fontId="6" fillId="2" borderId="18" xfId="0" applyNumberFormat="1" applyFont="1" applyFill="1" applyBorder="1"/>
    <xf numFmtId="164" fontId="6" fillId="2" borderId="18" xfId="0" applyNumberFormat="1" applyFont="1" applyFill="1" applyBorder="1"/>
    <xf numFmtId="0" fontId="6" fillId="0" borderId="0" xfId="0" applyFont="1"/>
    <xf numFmtId="166" fontId="6" fillId="0" borderId="0" xfId="0" applyNumberFormat="1" applyFont="1"/>
    <xf numFmtId="166" fontId="14" fillId="0" borderId="0" xfId="0" applyNumberFormat="1" applyFont="1"/>
    <xf numFmtId="164" fontId="6" fillId="2" borderId="0" xfId="0" applyNumberFormat="1" applyFont="1" applyFill="1"/>
    <xf numFmtId="0" fontId="14" fillId="2" borderId="0" xfId="0" applyFont="1" applyFill="1"/>
    <xf numFmtId="0" fontId="6" fillId="2" borderId="18" xfId="0" applyFont="1" applyFill="1" applyBorder="1"/>
    <xf numFmtId="0" fontId="6" fillId="2" borderId="3" xfId="0" applyFont="1" applyFill="1" applyBorder="1"/>
    <xf numFmtId="0" fontId="6" fillId="2" borderId="15" xfId="0" applyFont="1" applyFill="1" applyBorder="1"/>
    <xf numFmtId="0" fontId="13" fillId="2" borderId="6" xfId="0" applyFont="1" applyFill="1" applyBorder="1" applyAlignment="1">
      <alignment vertical="center"/>
    </xf>
    <xf numFmtId="0" fontId="13" fillId="0" borderId="0" xfId="0" applyFont="1" applyAlignment="1">
      <alignment vertical="center"/>
    </xf>
    <xf numFmtId="0" fontId="28" fillId="2" borderId="0" xfId="0" applyFont="1" applyFill="1" applyAlignment="1">
      <alignment vertical="center"/>
    </xf>
    <xf numFmtId="0" fontId="28" fillId="2" borderId="5" xfId="0" applyFont="1" applyFill="1" applyBorder="1" applyAlignment="1">
      <alignment vertical="center"/>
    </xf>
    <xf numFmtId="165" fontId="6" fillId="2" borderId="18" xfId="0" applyNumberFormat="1" applyFont="1" applyFill="1" applyBorder="1" applyAlignment="1">
      <alignment vertical="center"/>
    </xf>
    <xf numFmtId="0" fontId="6" fillId="2" borderId="6" xfId="0" applyFont="1" applyFill="1" applyBorder="1"/>
    <xf numFmtId="0" fontId="6" fillId="2" borderId="5" xfId="0" applyFont="1" applyFill="1" applyBorder="1"/>
    <xf numFmtId="0" fontId="6" fillId="2" borderId="6" xfId="0" applyFont="1" applyFill="1" applyBorder="1" applyAlignment="1">
      <alignment vertical="center"/>
    </xf>
    <xf numFmtId="0" fontId="6" fillId="2" borderId="0" xfId="0" applyFont="1" applyFill="1" applyAlignment="1">
      <alignment vertical="center"/>
    </xf>
    <xf numFmtId="0" fontId="6" fillId="2" borderId="5" xfId="0" applyFont="1" applyFill="1" applyBorder="1" applyAlignment="1">
      <alignment vertical="center"/>
    </xf>
    <xf numFmtId="0" fontId="21" fillId="12" borderId="18" xfId="0" applyFont="1" applyFill="1" applyBorder="1"/>
    <xf numFmtId="166" fontId="6" fillId="2" borderId="6" xfId="0" applyNumberFormat="1" applyFont="1" applyFill="1" applyBorder="1"/>
    <xf numFmtId="166" fontId="6" fillId="2" borderId="5" xfId="0" applyNumberFormat="1" applyFont="1" applyFill="1" applyBorder="1"/>
    <xf numFmtId="0" fontId="6" fillId="2" borderId="10" xfId="0" applyFont="1" applyFill="1" applyBorder="1"/>
    <xf numFmtId="0" fontId="6" fillId="2" borderId="11" xfId="0" applyFont="1" applyFill="1" applyBorder="1"/>
    <xf numFmtId="0" fontId="6" fillId="2" borderId="12" xfId="0" applyFont="1" applyFill="1" applyBorder="1"/>
    <xf numFmtId="0" fontId="5" fillId="2" borderId="18" xfId="0" applyFont="1" applyFill="1" applyBorder="1"/>
    <xf numFmtId="0" fontId="23" fillId="3" borderId="0" xfId="0" applyFont="1" applyFill="1" applyAlignment="1">
      <alignment horizontal="left" vertical="top"/>
    </xf>
    <xf numFmtId="0" fontId="24" fillId="3" borderId="0" xfId="0" applyFont="1" applyFill="1" applyAlignment="1">
      <alignment horizontal="right" vertical="top"/>
    </xf>
    <xf numFmtId="0" fontId="25" fillId="3" borderId="0" xfId="0" applyFont="1" applyFill="1" applyAlignment="1">
      <alignment horizontal="right" vertical="top"/>
    </xf>
    <xf numFmtId="0" fontId="24" fillId="3" borderId="0" xfId="0" applyFont="1" applyFill="1" applyAlignment="1">
      <alignment horizontal="center" vertical="top"/>
    </xf>
    <xf numFmtId="0" fontId="26" fillId="3" borderId="0" xfId="0" applyFont="1" applyFill="1" applyAlignment="1">
      <alignment horizontal="left" vertical="top"/>
    </xf>
    <xf numFmtId="0" fontId="27" fillId="3" borderId="0" xfId="0" applyFont="1" applyFill="1" applyAlignment="1">
      <alignment horizontal="center" vertical="top"/>
    </xf>
    <xf numFmtId="0" fontId="23" fillId="2" borderId="0" xfId="0" applyFont="1" applyFill="1" applyAlignment="1">
      <alignment horizontal="left" vertical="top"/>
    </xf>
    <xf numFmtId="0" fontId="26" fillId="2" borderId="0" xfId="0" applyFont="1" applyFill="1" applyAlignment="1">
      <alignment horizontal="left" vertical="top"/>
    </xf>
    <xf numFmtId="0" fontId="27" fillId="2" borderId="0" xfId="0" applyFont="1" applyFill="1" applyAlignment="1">
      <alignment horizontal="right" vertical="top"/>
    </xf>
    <xf numFmtId="0" fontId="27" fillId="2" borderId="0" xfId="0" applyFont="1" applyFill="1" applyAlignment="1">
      <alignment horizontal="center" vertical="top"/>
    </xf>
    <xf numFmtId="0" fontId="24" fillId="2" borderId="0" xfId="0" applyFont="1" applyFill="1" applyAlignment="1">
      <alignment horizontal="left" vertical="top"/>
    </xf>
    <xf numFmtId="0" fontId="27" fillId="2" borderId="0" xfId="0" applyFont="1" applyFill="1" applyAlignment="1">
      <alignment horizontal="left" vertical="top"/>
    </xf>
    <xf numFmtId="0" fontId="24" fillId="2" borderId="0" xfId="0" applyFont="1" applyFill="1" applyAlignment="1">
      <alignment horizontal="right" vertical="top"/>
    </xf>
    <xf numFmtId="9" fontId="27" fillId="2" borderId="0" xfId="0" applyNumberFormat="1" applyFont="1" applyFill="1" applyAlignment="1">
      <alignment horizontal="right" vertical="top"/>
    </xf>
    <xf numFmtId="0" fontId="29" fillId="2" borderId="0" xfId="0" applyFont="1" applyFill="1"/>
    <xf numFmtId="2" fontId="18" fillId="2" borderId="0" xfId="0" applyNumberFormat="1" applyFont="1" applyFill="1"/>
    <xf numFmtId="49" fontId="4" fillId="2" borderId="0" xfId="0" applyNumberFormat="1" applyFont="1" applyFill="1"/>
    <xf numFmtId="0" fontId="11" fillId="2" borderId="0" xfId="356" applyFill="1"/>
    <xf numFmtId="0" fontId="4" fillId="0" borderId="0" xfId="0" applyFont="1" applyAlignment="1">
      <alignment vertical="center"/>
    </xf>
    <xf numFmtId="0" fontId="4" fillId="2" borderId="18" xfId="0" applyFont="1" applyFill="1" applyBorder="1" applyAlignment="1">
      <alignment vertical="center"/>
    </xf>
    <xf numFmtId="166" fontId="4" fillId="2" borderId="18" xfId="0" applyNumberFormat="1" applyFont="1" applyFill="1" applyBorder="1"/>
    <xf numFmtId="9" fontId="18" fillId="2" borderId="0" xfId="0" applyNumberFormat="1" applyFont="1" applyFill="1"/>
    <xf numFmtId="164" fontId="18" fillId="2" borderId="0" xfId="0" applyNumberFormat="1" applyFont="1" applyFill="1"/>
    <xf numFmtId="168" fontId="18" fillId="2" borderId="0" xfId="357" applyNumberFormat="1" applyFont="1" applyFill="1"/>
    <xf numFmtId="0" fontId="18" fillId="2" borderId="0" xfId="0" quotePrefix="1" applyFont="1" applyFill="1"/>
    <xf numFmtId="0" fontId="3" fillId="2" borderId="0" xfId="0" applyFont="1" applyFill="1"/>
    <xf numFmtId="0" fontId="3" fillId="0" borderId="0" xfId="0" applyFont="1" applyAlignment="1">
      <alignment vertical="center"/>
    </xf>
    <xf numFmtId="0" fontId="3" fillId="0" borderId="0" xfId="0" applyFont="1"/>
    <xf numFmtId="0" fontId="3" fillId="2" borderId="18" xfId="0" applyFont="1" applyFill="1" applyBorder="1" applyAlignment="1">
      <alignment vertical="center"/>
    </xf>
    <xf numFmtId="49" fontId="14" fillId="2" borderId="0" xfId="0" applyNumberFormat="1" applyFont="1" applyFill="1" applyAlignment="1">
      <alignment horizontal="left"/>
    </xf>
    <xf numFmtId="0" fontId="14" fillId="3" borderId="9" xfId="0" applyFont="1" applyFill="1" applyBorder="1"/>
    <xf numFmtId="0" fontId="10" fillId="2" borderId="13" xfId="0" applyFont="1" applyFill="1" applyBorder="1"/>
    <xf numFmtId="0" fontId="10" fillId="2" borderId="8" xfId="0" applyFont="1" applyFill="1" applyBorder="1"/>
    <xf numFmtId="0" fontId="10" fillId="2" borderId="14" xfId="0" applyFont="1" applyFill="1" applyBorder="1"/>
    <xf numFmtId="0" fontId="7" fillId="2" borderId="0" xfId="0" applyFont="1" applyFill="1"/>
    <xf numFmtId="0" fontId="20" fillId="2" borderId="0" xfId="0" applyFont="1" applyFill="1"/>
    <xf numFmtId="0" fontId="7" fillId="4" borderId="0" xfId="0" applyFont="1" applyFill="1"/>
    <xf numFmtId="0" fontId="7" fillId="5" borderId="0" xfId="0" applyFont="1" applyFill="1"/>
    <xf numFmtId="0" fontId="7" fillId="6" borderId="0" xfId="0" applyFont="1" applyFill="1"/>
    <xf numFmtId="0" fontId="7" fillId="7" borderId="0" xfId="0" applyFont="1" applyFill="1"/>
    <xf numFmtId="0" fontId="7" fillId="8" borderId="0" xfId="0" applyFont="1" applyFill="1"/>
    <xf numFmtId="0" fontId="7" fillId="9" borderId="0" xfId="0" applyFont="1" applyFill="1"/>
    <xf numFmtId="0" fontId="7" fillId="10" borderId="0" xfId="0" applyFont="1" applyFill="1"/>
    <xf numFmtId="0" fontId="7" fillId="11" borderId="0" xfId="0" applyFont="1" applyFill="1"/>
    <xf numFmtId="0" fontId="10" fillId="2" borderId="1" xfId="0" applyFont="1" applyFill="1" applyBorder="1"/>
    <xf numFmtId="0" fontId="10" fillId="2" borderId="9" xfId="0" applyFont="1" applyFill="1" applyBorder="1"/>
    <xf numFmtId="0" fontId="2" fillId="2" borderId="0" xfId="0" applyFont="1" applyFill="1"/>
    <xf numFmtId="49" fontId="2" fillId="2" borderId="0" xfId="0" applyNumberFormat="1" applyFont="1" applyFill="1"/>
    <xf numFmtId="0" fontId="2" fillId="0" borderId="0" xfId="0" applyFont="1"/>
    <xf numFmtId="0" fontId="2" fillId="2" borderId="18" xfId="0" applyFont="1" applyFill="1" applyBorder="1" applyAlignment="1">
      <alignment vertical="center"/>
    </xf>
    <xf numFmtId="0" fontId="21" fillId="12" borderId="17" xfId="0" applyFont="1" applyFill="1" applyBorder="1" applyAlignment="1">
      <alignment horizontal="left" vertical="top" wrapText="1"/>
    </xf>
    <xf numFmtId="0" fontId="21" fillId="12" borderId="2" xfId="0" applyFont="1" applyFill="1" applyBorder="1" applyAlignment="1">
      <alignment horizontal="left" vertical="top" wrapText="1"/>
    </xf>
    <xf numFmtId="0" fontId="21" fillId="12" borderId="13" xfId="0" applyFont="1" applyFill="1" applyBorder="1" applyAlignment="1">
      <alignment horizontal="left" vertical="top" wrapText="1"/>
    </xf>
    <xf numFmtId="0" fontId="21" fillId="12" borderId="7" xfId="0" applyFont="1" applyFill="1" applyBorder="1" applyAlignment="1">
      <alignment horizontal="left" vertical="top" wrapText="1"/>
    </xf>
    <xf numFmtId="0" fontId="21" fillId="12" borderId="0" xfId="0" applyFont="1" applyFill="1" applyAlignment="1">
      <alignment horizontal="left" vertical="top" wrapText="1"/>
    </xf>
    <xf numFmtId="0" fontId="21" fillId="12" borderId="8" xfId="0" applyFont="1" applyFill="1" applyBorder="1" applyAlignment="1">
      <alignment horizontal="left" vertical="top" wrapText="1"/>
    </xf>
    <xf numFmtId="0" fontId="21" fillId="12" borderId="1" xfId="0" applyFont="1" applyFill="1" applyBorder="1" applyAlignment="1">
      <alignment horizontal="left" vertical="top" wrapText="1"/>
    </xf>
    <xf numFmtId="0" fontId="21" fillId="12" borderId="9" xfId="0" applyFont="1" applyFill="1" applyBorder="1" applyAlignment="1">
      <alignment horizontal="left" vertical="top" wrapText="1"/>
    </xf>
    <xf numFmtId="0" fontId="21" fillId="12" borderId="14" xfId="0" applyFont="1" applyFill="1" applyBorder="1" applyAlignment="1">
      <alignment horizontal="left" vertical="top" wrapText="1"/>
    </xf>
    <xf numFmtId="0" fontId="29" fillId="2" borderId="9" xfId="0" applyFont="1" applyFill="1" applyBorder="1"/>
    <xf numFmtId="0" fontId="18" fillId="2" borderId="9" xfId="0" applyFont="1" applyFill="1" applyBorder="1"/>
    <xf numFmtId="2" fontId="18" fillId="2" borderId="9" xfId="0" applyNumberFormat="1" applyFont="1" applyFill="1" applyBorder="1"/>
    <xf numFmtId="1" fontId="18" fillId="2" borderId="9" xfId="0" applyNumberFormat="1" applyFont="1" applyFill="1" applyBorder="1"/>
    <xf numFmtId="2" fontId="18" fillId="13" borderId="9" xfId="0" applyNumberFormat="1" applyFont="1" applyFill="1" applyBorder="1"/>
    <xf numFmtId="2" fontId="18" fillId="13" borderId="0" xfId="0" applyNumberFormat="1" applyFont="1" applyFill="1"/>
    <xf numFmtId="0" fontId="18" fillId="13" borderId="9" xfId="0" applyFont="1" applyFill="1" applyBorder="1"/>
    <xf numFmtId="0" fontId="18" fillId="13" borderId="0" xfId="0" applyFont="1" applyFill="1"/>
  </cellXfs>
  <cellStyles count="358">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Followed Hyperlink" xfId="94" builtinId="9" hidden="1"/>
    <cellStyle name="Followed Hyperlink" xfId="96" builtinId="9" hidden="1"/>
    <cellStyle name="Followed Hyperlink" xfId="98" builtinId="9" hidden="1"/>
    <cellStyle name="Followed Hyperlink" xfId="100" builtinId="9" hidden="1"/>
    <cellStyle name="Followed Hyperlink" xfId="102" builtinId="9" hidden="1"/>
    <cellStyle name="Followed Hyperlink" xfId="104" builtinId="9" hidden="1"/>
    <cellStyle name="Followed Hyperlink" xfId="106" builtinId="9" hidden="1"/>
    <cellStyle name="Followed Hyperlink" xfId="108" builtinId="9" hidden="1"/>
    <cellStyle name="Followed Hyperlink" xfId="110" builtinId="9" hidden="1"/>
    <cellStyle name="Followed Hyperlink" xfId="112" builtinId="9" hidden="1"/>
    <cellStyle name="Followed Hyperlink" xfId="114" builtinId="9" hidden="1"/>
    <cellStyle name="Followed Hyperlink" xfId="116" builtinId="9" hidden="1"/>
    <cellStyle name="Followed Hyperlink" xfId="118" builtinId="9" hidden="1"/>
    <cellStyle name="Followed Hyperlink" xfId="120" builtinId="9" hidden="1"/>
    <cellStyle name="Followed Hyperlink" xfId="122" builtinId="9" hidden="1"/>
    <cellStyle name="Followed Hyperlink" xfId="124" builtinId="9" hidden="1"/>
    <cellStyle name="Followed Hyperlink" xfId="126" builtinId="9" hidden="1"/>
    <cellStyle name="Followed Hyperlink" xfId="128" builtinId="9" hidden="1"/>
    <cellStyle name="Followed Hyperlink" xfId="130" builtinId="9" hidden="1"/>
    <cellStyle name="Followed Hyperlink" xfId="132" builtinId="9" hidden="1"/>
    <cellStyle name="Followed Hyperlink" xfId="134" builtinId="9" hidden="1"/>
    <cellStyle name="Followed Hyperlink" xfId="136" builtinId="9" hidden="1"/>
    <cellStyle name="Followed Hyperlink" xfId="138" builtinId="9" hidden="1"/>
    <cellStyle name="Followed Hyperlink" xfId="140" builtinId="9" hidden="1"/>
    <cellStyle name="Followed Hyperlink" xfId="142" builtinId="9" hidden="1"/>
    <cellStyle name="Followed Hyperlink" xfId="144" builtinId="9" hidden="1"/>
    <cellStyle name="Followed Hyperlink" xfId="146" builtinId="9" hidden="1"/>
    <cellStyle name="Followed Hyperlink" xfId="148" builtinId="9" hidden="1"/>
    <cellStyle name="Followed Hyperlink" xfId="150" builtinId="9" hidden="1"/>
    <cellStyle name="Followed Hyperlink" xfId="152" builtinId="9" hidden="1"/>
    <cellStyle name="Followed Hyperlink" xfId="154" builtinId="9" hidden="1"/>
    <cellStyle name="Followed Hyperlink" xfId="156" builtinId="9" hidden="1"/>
    <cellStyle name="Followed Hyperlink" xfId="158" builtinId="9" hidden="1"/>
    <cellStyle name="Followed Hyperlink" xfId="160" builtinId="9" hidden="1"/>
    <cellStyle name="Followed Hyperlink" xfId="162" builtinId="9" hidden="1"/>
    <cellStyle name="Followed Hyperlink" xfId="164" builtinId="9" hidden="1"/>
    <cellStyle name="Followed Hyperlink" xfId="166" builtinId="9" hidden="1"/>
    <cellStyle name="Followed Hyperlink" xfId="168" builtinId="9" hidden="1"/>
    <cellStyle name="Followed Hyperlink" xfId="170" builtinId="9" hidden="1"/>
    <cellStyle name="Followed Hyperlink" xfId="172" builtinId="9" hidden="1"/>
    <cellStyle name="Followed Hyperlink" xfId="174" builtinId="9" hidden="1"/>
    <cellStyle name="Followed Hyperlink" xfId="176" builtinId="9" hidden="1"/>
    <cellStyle name="Followed Hyperlink" xfId="177" builtinId="9" hidden="1"/>
    <cellStyle name="Followed Hyperlink" xfId="178" builtinId="9" hidden="1"/>
    <cellStyle name="Followed Hyperlink" xfId="179" builtinId="9" hidden="1"/>
    <cellStyle name="Followed Hyperlink" xfId="180" builtinId="9" hidden="1"/>
    <cellStyle name="Followed Hyperlink" xfId="181" builtinId="9" hidden="1"/>
    <cellStyle name="Followed Hyperlink" xfId="182" builtinId="9" hidden="1"/>
    <cellStyle name="Followed Hyperlink" xfId="183" builtinId="9" hidden="1"/>
    <cellStyle name="Followed Hyperlink" xfId="184" builtinId="9" hidden="1"/>
    <cellStyle name="Followed Hyperlink" xfId="185" builtinId="9" hidden="1"/>
    <cellStyle name="Followed Hyperlink" xfId="186" builtinId="9" hidden="1"/>
    <cellStyle name="Followed Hyperlink" xfId="187" builtinId="9" hidden="1"/>
    <cellStyle name="Followed Hyperlink" xfId="188" builtinId="9" hidden="1"/>
    <cellStyle name="Followed Hyperlink" xfId="189" builtinId="9" hidden="1"/>
    <cellStyle name="Followed Hyperlink" xfId="190" builtinId="9" hidden="1"/>
    <cellStyle name="Followed Hyperlink" xfId="191" builtinId="9" hidden="1"/>
    <cellStyle name="Followed Hyperlink" xfId="192" builtinId="9" hidden="1"/>
    <cellStyle name="Followed Hyperlink" xfId="193" builtinId="9" hidden="1"/>
    <cellStyle name="Followed Hyperlink" xfId="194" builtinId="9" hidden="1"/>
    <cellStyle name="Followed Hyperlink" xfId="195" builtinId="9" hidden="1"/>
    <cellStyle name="Followed Hyperlink" xfId="196" builtinId="9" hidden="1"/>
    <cellStyle name="Followed Hyperlink" xfId="197" builtinId="9" hidden="1"/>
    <cellStyle name="Followed Hyperlink" xfId="198" builtinId="9" hidden="1"/>
    <cellStyle name="Followed Hyperlink" xfId="199" builtinId="9" hidden="1"/>
    <cellStyle name="Followed Hyperlink" xfId="200" builtinId="9" hidden="1"/>
    <cellStyle name="Followed Hyperlink" xfId="201" builtinId="9" hidden="1"/>
    <cellStyle name="Followed Hyperlink" xfId="202" builtinId="9" hidden="1"/>
    <cellStyle name="Followed Hyperlink" xfId="203" builtinId="9" hidden="1"/>
    <cellStyle name="Followed Hyperlink" xfId="204" builtinId="9" hidden="1"/>
    <cellStyle name="Followed Hyperlink" xfId="205" builtinId="9" hidden="1"/>
    <cellStyle name="Followed Hyperlink" xfId="206" builtinId="9" hidden="1"/>
    <cellStyle name="Followed Hyperlink" xfId="207" builtinId="9" hidden="1"/>
    <cellStyle name="Followed Hyperlink" xfId="208" builtinId="9" hidden="1"/>
    <cellStyle name="Followed Hyperlink" xfId="209" builtinId="9" hidden="1"/>
    <cellStyle name="Followed Hyperlink" xfId="210" builtinId="9" hidden="1"/>
    <cellStyle name="Followed Hyperlink" xfId="211" builtinId="9" hidden="1"/>
    <cellStyle name="Followed Hyperlink" xfId="212" builtinId="9" hidden="1"/>
    <cellStyle name="Followed Hyperlink" xfId="213" builtinId="9" hidden="1"/>
    <cellStyle name="Followed Hyperlink" xfId="214" builtinId="9" hidden="1"/>
    <cellStyle name="Followed Hyperlink" xfId="215" builtinId="9" hidden="1"/>
    <cellStyle name="Followed Hyperlink" xfId="216" builtinId="9" hidden="1"/>
    <cellStyle name="Followed Hyperlink" xfId="217" builtinId="9" hidden="1"/>
    <cellStyle name="Followed Hyperlink" xfId="218" builtinId="9" hidden="1"/>
    <cellStyle name="Followed Hyperlink" xfId="219" builtinId="9" hidden="1"/>
    <cellStyle name="Followed Hyperlink" xfId="220" builtinId="9" hidden="1"/>
    <cellStyle name="Followed Hyperlink" xfId="221" builtinId="9" hidden="1"/>
    <cellStyle name="Followed Hyperlink" xfId="222" builtinId="9" hidden="1"/>
    <cellStyle name="Followed Hyperlink" xfId="223" builtinId="9" hidden="1"/>
    <cellStyle name="Followed Hyperlink" xfId="224" builtinId="9" hidden="1"/>
    <cellStyle name="Followed Hyperlink" xfId="225" builtinId="9" hidden="1"/>
    <cellStyle name="Followed Hyperlink" xfId="226" builtinId="9" hidden="1"/>
    <cellStyle name="Followed Hyperlink" xfId="227" builtinId="9" hidden="1"/>
    <cellStyle name="Followed Hyperlink" xfId="228" builtinId="9" hidden="1"/>
    <cellStyle name="Followed Hyperlink" xfId="229" builtinId="9" hidden="1"/>
    <cellStyle name="Followed Hyperlink" xfId="230" builtinId="9" hidden="1"/>
    <cellStyle name="Followed Hyperlink" xfId="231" builtinId="9" hidden="1"/>
    <cellStyle name="Followed Hyperlink" xfId="232" builtinId="9" hidden="1"/>
    <cellStyle name="Followed Hyperlink" xfId="233" builtinId="9" hidden="1"/>
    <cellStyle name="Followed Hyperlink" xfId="234" builtinId="9" hidden="1"/>
    <cellStyle name="Followed Hyperlink" xfId="235" builtinId="9" hidden="1"/>
    <cellStyle name="Followed Hyperlink" xfId="236" builtinId="9" hidden="1"/>
    <cellStyle name="Followed Hyperlink" xfId="237" builtinId="9" hidden="1"/>
    <cellStyle name="Followed Hyperlink" xfId="238" builtinId="9" hidden="1"/>
    <cellStyle name="Followed Hyperlink" xfId="239" builtinId="9" hidden="1"/>
    <cellStyle name="Followed Hyperlink" xfId="240" builtinId="9" hidden="1"/>
    <cellStyle name="Followed Hyperlink" xfId="241" builtinId="9" hidden="1"/>
    <cellStyle name="Followed Hyperlink" xfId="242" builtinId="9" hidden="1"/>
    <cellStyle name="Followed Hyperlink" xfId="243" builtinId="9" hidden="1"/>
    <cellStyle name="Followed Hyperlink" xfId="244" builtinId="9" hidden="1"/>
    <cellStyle name="Followed Hyperlink" xfId="245" builtinId="9" hidden="1"/>
    <cellStyle name="Followed Hyperlink" xfId="246" builtinId="9" hidden="1"/>
    <cellStyle name="Followed Hyperlink" xfId="247" builtinId="9" hidden="1"/>
    <cellStyle name="Followed Hyperlink" xfId="248" builtinId="9" hidden="1"/>
    <cellStyle name="Followed Hyperlink" xfId="249" builtinId="9" hidden="1"/>
    <cellStyle name="Followed Hyperlink" xfId="250" builtinId="9" hidden="1"/>
    <cellStyle name="Followed Hyperlink" xfId="251" builtinId="9" hidden="1"/>
    <cellStyle name="Followed Hyperlink" xfId="252" builtinId="9" hidden="1"/>
    <cellStyle name="Followed Hyperlink" xfId="253" builtinId="9" hidden="1"/>
    <cellStyle name="Followed Hyperlink" xfId="254" builtinId="9" hidden="1"/>
    <cellStyle name="Followed Hyperlink" xfId="255" builtinId="9" hidden="1"/>
    <cellStyle name="Followed Hyperlink" xfId="256" builtinId="9" hidden="1"/>
    <cellStyle name="Followed Hyperlink" xfId="257" builtinId="9" hidden="1"/>
    <cellStyle name="Followed Hyperlink" xfId="258" builtinId="9" hidden="1"/>
    <cellStyle name="Followed Hyperlink" xfId="259" builtinId="9" hidden="1"/>
    <cellStyle name="Followed Hyperlink" xfId="260" builtinId="9" hidden="1"/>
    <cellStyle name="Followed Hyperlink" xfId="261" builtinId="9" hidden="1"/>
    <cellStyle name="Followed Hyperlink" xfId="262" builtinId="9" hidden="1"/>
    <cellStyle name="Followed Hyperlink" xfId="263" builtinId="9" hidden="1"/>
    <cellStyle name="Followed Hyperlink" xfId="264" builtinId="9" hidden="1"/>
    <cellStyle name="Followed Hyperlink" xfId="265" builtinId="9" hidden="1"/>
    <cellStyle name="Followed Hyperlink" xfId="266" builtinId="9" hidden="1"/>
    <cellStyle name="Followed Hyperlink" xfId="267" builtinId="9" hidden="1"/>
    <cellStyle name="Followed Hyperlink" xfId="268" builtinId="9" hidden="1"/>
    <cellStyle name="Followed Hyperlink" xfId="269" builtinId="9" hidden="1"/>
    <cellStyle name="Followed Hyperlink" xfId="270" builtinId="9" hidden="1"/>
    <cellStyle name="Followed Hyperlink" xfId="271" builtinId="9" hidden="1"/>
    <cellStyle name="Followed Hyperlink" xfId="272" builtinId="9" hidden="1"/>
    <cellStyle name="Followed Hyperlink" xfId="273" builtinId="9" hidden="1"/>
    <cellStyle name="Followed Hyperlink" xfId="274" builtinId="9" hidden="1"/>
    <cellStyle name="Followed Hyperlink" xfId="275" builtinId="9" hidden="1"/>
    <cellStyle name="Followed Hyperlink" xfId="276" builtinId="9" hidden="1"/>
    <cellStyle name="Followed Hyperlink" xfId="277" builtinId="9" hidden="1"/>
    <cellStyle name="Followed Hyperlink" xfId="278" builtinId="9" hidden="1"/>
    <cellStyle name="Followed Hyperlink" xfId="279" builtinId="9" hidden="1"/>
    <cellStyle name="Followed Hyperlink" xfId="280" builtinId="9" hidden="1"/>
    <cellStyle name="Followed Hyperlink" xfId="281" builtinId="9" hidden="1"/>
    <cellStyle name="Followed Hyperlink" xfId="282" builtinId="9" hidden="1"/>
    <cellStyle name="Followed Hyperlink" xfId="283" builtinId="9" hidden="1"/>
    <cellStyle name="Followed Hyperlink" xfId="284" builtinId="9" hidden="1"/>
    <cellStyle name="Followed Hyperlink" xfId="285" builtinId="9" hidden="1"/>
    <cellStyle name="Followed Hyperlink" xfId="286" builtinId="9" hidden="1"/>
    <cellStyle name="Followed Hyperlink" xfId="287" builtinId="9" hidden="1"/>
    <cellStyle name="Followed Hyperlink" xfId="288" builtinId="9" hidden="1"/>
    <cellStyle name="Followed Hyperlink" xfId="289" builtinId="9" hidden="1"/>
    <cellStyle name="Followed Hyperlink" xfId="290" builtinId="9" hidden="1"/>
    <cellStyle name="Followed Hyperlink" xfId="291" builtinId="9" hidden="1"/>
    <cellStyle name="Followed Hyperlink" xfId="292" builtinId="9" hidden="1"/>
    <cellStyle name="Followed Hyperlink" xfId="293" builtinId="9" hidden="1"/>
    <cellStyle name="Followed Hyperlink" xfId="294" builtinId="9" hidden="1"/>
    <cellStyle name="Followed Hyperlink" xfId="295" builtinId="9" hidden="1"/>
    <cellStyle name="Followed Hyperlink" xfId="296" builtinId="9" hidden="1"/>
    <cellStyle name="Followed Hyperlink" xfId="297" builtinId="9" hidden="1"/>
    <cellStyle name="Followed Hyperlink" xfId="298" builtinId="9" hidden="1"/>
    <cellStyle name="Followed Hyperlink" xfId="299" builtinId="9" hidden="1"/>
    <cellStyle name="Followed Hyperlink" xfId="300" builtinId="9" hidden="1"/>
    <cellStyle name="Followed Hyperlink" xfId="301" builtinId="9" hidden="1"/>
    <cellStyle name="Followed Hyperlink" xfId="302" builtinId="9" hidden="1"/>
    <cellStyle name="Followed Hyperlink" xfId="303" builtinId="9" hidden="1"/>
    <cellStyle name="Followed Hyperlink" xfId="304" builtinId="9" hidden="1"/>
    <cellStyle name="Followed Hyperlink" xfId="305" builtinId="9" hidden="1"/>
    <cellStyle name="Followed Hyperlink" xfId="306" builtinId="9" hidden="1"/>
    <cellStyle name="Followed Hyperlink" xfId="307" builtinId="9" hidden="1"/>
    <cellStyle name="Followed Hyperlink" xfId="308" builtinId="9" hidden="1"/>
    <cellStyle name="Followed Hyperlink" xfId="309" builtinId="9" hidden="1"/>
    <cellStyle name="Followed Hyperlink" xfId="310" builtinId="9" hidden="1"/>
    <cellStyle name="Followed Hyperlink" xfId="311" builtinId="9" hidden="1"/>
    <cellStyle name="Followed Hyperlink" xfId="312" builtinId="9" hidden="1"/>
    <cellStyle name="Followed Hyperlink" xfId="313" builtinId="9" hidden="1"/>
    <cellStyle name="Followed Hyperlink" xfId="314" builtinId="9" hidden="1"/>
    <cellStyle name="Followed Hyperlink" xfId="315" builtinId="9" hidden="1"/>
    <cellStyle name="Followed Hyperlink" xfId="316" builtinId="9" hidden="1"/>
    <cellStyle name="Followed Hyperlink" xfId="317" builtinId="9" hidden="1"/>
    <cellStyle name="Followed Hyperlink" xfId="318" builtinId="9" hidden="1"/>
    <cellStyle name="Followed Hyperlink" xfId="319" builtinId="9" hidden="1"/>
    <cellStyle name="Followed Hyperlink" xfId="320" builtinId="9" hidden="1"/>
    <cellStyle name="Followed Hyperlink" xfId="321" builtinId="9" hidden="1"/>
    <cellStyle name="Followed Hyperlink" xfId="322" builtinId="9" hidden="1"/>
    <cellStyle name="Followed Hyperlink" xfId="323" builtinId="9" hidden="1"/>
    <cellStyle name="Followed Hyperlink" xfId="324" builtinId="9" hidden="1"/>
    <cellStyle name="Followed Hyperlink" xfId="325" builtinId="9" hidden="1"/>
    <cellStyle name="Followed Hyperlink" xfId="326" builtinId="9" hidden="1"/>
    <cellStyle name="Followed Hyperlink" xfId="327" builtinId="9" hidden="1"/>
    <cellStyle name="Followed Hyperlink" xfId="328" builtinId="9" hidden="1"/>
    <cellStyle name="Followed Hyperlink" xfId="329" builtinId="9" hidden="1"/>
    <cellStyle name="Followed Hyperlink" xfId="330" builtinId="9" hidden="1"/>
    <cellStyle name="Followed Hyperlink" xfId="331" builtinId="9" hidden="1"/>
    <cellStyle name="Followed Hyperlink" xfId="332" builtinId="9" hidden="1"/>
    <cellStyle name="Followed Hyperlink" xfId="333" builtinId="9" hidden="1"/>
    <cellStyle name="Followed Hyperlink" xfId="334" builtinId="9" hidden="1"/>
    <cellStyle name="Followed Hyperlink" xfId="335" builtinId="9" hidden="1"/>
    <cellStyle name="Followed Hyperlink" xfId="336" builtinId="9" hidden="1"/>
    <cellStyle name="Followed Hyperlink" xfId="337" builtinId="9" hidden="1"/>
    <cellStyle name="Followed Hyperlink" xfId="338" builtinId="9" hidden="1"/>
    <cellStyle name="Followed Hyperlink" xfId="339" builtinId="9" hidden="1"/>
    <cellStyle name="Followed Hyperlink" xfId="340" builtinId="9" hidden="1"/>
    <cellStyle name="Followed Hyperlink" xfId="341" builtinId="9" hidden="1"/>
    <cellStyle name="Followed Hyperlink" xfId="342" builtinId="9" hidden="1"/>
    <cellStyle name="Followed Hyperlink" xfId="343" builtinId="9" hidden="1"/>
    <cellStyle name="Followed Hyperlink" xfId="344" builtinId="9" hidden="1"/>
    <cellStyle name="Followed Hyperlink" xfId="345" builtinId="9" hidden="1"/>
    <cellStyle name="Followed Hyperlink" xfId="346" builtinId="9" hidden="1"/>
    <cellStyle name="Followed Hyperlink" xfId="347" builtinId="9" hidden="1"/>
    <cellStyle name="Followed Hyperlink" xfId="348" builtinId="9" hidden="1"/>
    <cellStyle name="Followed Hyperlink" xfId="349" builtinId="9" hidden="1"/>
    <cellStyle name="Followed Hyperlink" xfId="350" builtinId="9" hidden="1"/>
    <cellStyle name="Followed Hyperlink" xfId="351" builtinId="9" hidden="1"/>
    <cellStyle name="Followed Hyperlink" xfId="352" builtinId="9" hidden="1"/>
    <cellStyle name="Followed Hyperlink" xfId="353" builtinId="9" hidden="1"/>
    <cellStyle name="Followed Hyperlink" xfId="354" builtinId="9" hidden="1"/>
    <cellStyle name="Followed Hyperlink" xfId="355" builtinId="9" hidde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Hyperlink" xfId="93" builtinId="8" hidden="1"/>
    <cellStyle name="Hyperlink" xfId="95" builtinId="8" hidden="1"/>
    <cellStyle name="Hyperlink" xfId="97" builtinId="8" hidden="1"/>
    <cellStyle name="Hyperlink" xfId="99" builtinId="8" hidden="1"/>
    <cellStyle name="Hyperlink" xfId="101" builtinId="8" hidden="1"/>
    <cellStyle name="Hyperlink" xfId="103" builtinId="8" hidden="1"/>
    <cellStyle name="Hyperlink" xfId="105" builtinId="8" hidden="1"/>
    <cellStyle name="Hyperlink" xfId="107" builtinId="8" hidden="1"/>
    <cellStyle name="Hyperlink" xfId="109" builtinId="8" hidden="1"/>
    <cellStyle name="Hyperlink" xfId="111" builtinId="8" hidden="1"/>
    <cellStyle name="Hyperlink" xfId="113" builtinId="8" hidden="1"/>
    <cellStyle name="Hyperlink" xfId="115" builtinId="8" hidden="1"/>
    <cellStyle name="Hyperlink" xfId="117" builtinId="8" hidden="1"/>
    <cellStyle name="Hyperlink" xfId="119" builtinId="8" hidden="1"/>
    <cellStyle name="Hyperlink" xfId="121" builtinId="8" hidden="1"/>
    <cellStyle name="Hyperlink" xfId="123" builtinId="8" hidden="1"/>
    <cellStyle name="Hyperlink" xfId="125" builtinId="8" hidden="1"/>
    <cellStyle name="Hyperlink" xfId="127" builtinId="8" hidden="1"/>
    <cellStyle name="Hyperlink" xfId="129" builtinId="8" hidden="1"/>
    <cellStyle name="Hyperlink" xfId="131" builtinId="8" hidden="1"/>
    <cellStyle name="Hyperlink" xfId="133" builtinId="8" hidden="1"/>
    <cellStyle name="Hyperlink" xfId="135" builtinId="8" hidden="1"/>
    <cellStyle name="Hyperlink" xfId="137" builtinId="8" hidden="1"/>
    <cellStyle name="Hyperlink" xfId="139" builtinId="8" hidden="1"/>
    <cellStyle name="Hyperlink" xfId="141" builtinId="8" hidden="1"/>
    <cellStyle name="Hyperlink" xfId="143" builtinId="8" hidden="1"/>
    <cellStyle name="Hyperlink" xfId="145" builtinId="8" hidden="1"/>
    <cellStyle name="Hyperlink" xfId="147" builtinId="8" hidden="1"/>
    <cellStyle name="Hyperlink" xfId="149" builtinId="8" hidden="1"/>
    <cellStyle name="Hyperlink" xfId="151" builtinId="8" hidden="1"/>
    <cellStyle name="Hyperlink" xfId="153" builtinId="8" hidden="1"/>
    <cellStyle name="Hyperlink" xfId="155" builtinId="8" hidden="1"/>
    <cellStyle name="Hyperlink" xfId="157" builtinId="8" hidden="1"/>
    <cellStyle name="Hyperlink" xfId="159" builtinId="8" hidden="1"/>
    <cellStyle name="Hyperlink" xfId="161" builtinId="8" hidden="1"/>
    <cellStyle name="Hyperlink" xfId="163" builtinId="8" hidden="1"/>
    <cellStyle name="Hyperlink" xfId="165" builtinId="8" hidden="1"/>
    <cellStyle name="Hyperlink" xfId="167" builtinId="8" hidden="1"/>
    <cellStyle name="Hyperlink" xfId="169" builtinId="8" hidden="1"/>
    <cellStyle name="Hyperlink" xfId="171" builtinId="8" hidden="1"/>
    <cellStyle name="Hyperlink" xfId="173" builtinId="8" hidden="1"/>
    <cellStyle name="Hyperlink" xfId="175" builtinId="8" hidden="1"/>
    <cellStyle name="Hyperlink" xfId="356" builtinId="8"/>
    <cellStyle name="Normal" xfId="0" builtinId="0"/>
    <cellStyle name="Per cent" xfId="357" builtinId="5"/>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10</xdr:col>
      <xdr:colOff>1351561</xdr:colOff>
      <xdr:row>56</xdr:row>
      <xdr:rowOff>38382</xdr:rowOff>
    </xdr:from>
    <xdr:to>
      <xdr:col>14</xdr:col>
      <xdr:colOff>793042</xdr:colOff>
      <xdr:row>75</xdr:row>
      <xdr:rowOff>34173</xdr:rowOff>
    </xdr:to>
    <xdr:pic>
      <xdr:nvPicPr>
        <xdr:cNvPr id="4" name="Picture 3">
          <a:extLst>
            <a:ext uri="{FF2B5EF4-FFF2-40B4-BE49-F238E27FC236}">
              <a16:creationId xmlns:a16="http://schemas.microsoft.com/office/drawing/2014/main" id="{BCB40E8C-281B-576D-FC6B-6B6DC61A51C2}"/>
            </a:ext>
          </a:extLst>
        </xdr:cNvPr>
        <xdr:cNvPicPr>
          <a:picLocks noChangeAspect="1"/>
        </xdr:cNvPicPr>
      </xdr:nvPicPr>
      <xdr:blipFill>
        <a:blip xmlns:r="http://schemas.openxmlformats.org/officeDocument/2006/relationships" r:embed="rId1"/>
        <a:stretch>
          <a:fillRect/>
        </a:stretch>
      </xdr:blipFill>
      <xdr:spPr>
        <a:xfrm>
          <a:off x="16756661" y="11620782"/>
          <a:ext cx="6566181" cy="3856591"/>
        </a:xfrm>
        <a:prstGeom prst="rect">
          <a:avLst/>
        </a:prstGeom>
      </xdr:spPr>
    </xdr:pic>
    <xdr:clientData/>
  </xdr:twoCellAnchor>
  <xdr:twoCellAnchor editAs="oneCell">
    <xdr:from>
      <xdr:col>10</xdr:col>
      <xdr:colOff>1181612</xdr:colOff>
      <xdr:row>41</xdr:row>
      <xdr:rowOff>41077</xdr:rowOff>
    </xdr:from>
    <xdr:to>
      <xdr:col>15</xdr:col>
      <xdr:colOff>172897</xdr:colOff>
      <xdr:row>52</xdr:row>
      <xdr:rowOff>91878</xdr:rowOff>
    </xdr:to>
    <xdr:pic>
      <xdr:nvPicPr>
        <xdr:cNvPr id="5" name="Picture 4">
          <a:extLst>
            <a:ext uri="{FF2B5EF4-FFF2-40B4-BE49-F238E27FC236}">
              <a16:creationId xmlns:a16="http://schemas.microsoft.com/office/drawing/2014/main" id="{7E95ED85-90B5-6444-964C-2AD529BC8BAA}"/>
            </a:ext>
          </a:extLst>
        </xdr:cNvPr>
        <xdr:cNvPicPr>
          <a:picLocks noChangeAspect="1"/>
        </xdr:cNvPicPr>
      </xdr:nvPicPr>
      <xdr:blipFill>
        <a:blip xmlns:r="http://schemas.openxmlformats.org/officeDocument/2006/relationships" r:embed="rId2"/>
        <a:stretch>
          <a:fillRect/>
        </a:stretch>
      </xdr:blipFill>
      <xdr:spPr>
        <a:xfrm>
          <a:off x="16586712" y="8575477"/>
          <a:ext cx="7068485" cy="2286000"/>
        </a:xfrm>
        <a:prstGeom prst="rect">
          <a:avLst/>
        </a:prstGeom>
      </xdr:spPr>
    </xdr:pic>
    <xdr:clientData/>
  </xdr:twoCellAnchor>
  <xdr:twoCellAnchor editAs="oneCell">
    <xdr:from>
      <xdr:col>9</xdr:col>
      <xdr:colOff>852261</xdr:colOff>
      <xdr:row>4</xdr:row>
      <xdr:rowOff>139700</xdr:rowOff>
    </xdr:from>
    <xdr:to>
      <xdr:col>14</xdr:col>
      <xdr:colOff>2269</xdr:colOff>
      <xdr:row>39</xdr:row>
      <xdr:rowOff>75690</xdr:rowOff>
    </xdr:to>
    <xdr:pic>
      <xdr:nvPicPr>
        <xdr:cNvPr id="11" name="Picture 10">
          <a:extLst>
            <a:ext uri="{FF2B5EF4-FFF2-40B4-BE49-F238E27FC236}">
              <a16:creationId xmlns:a16="http://schemas.microsoft.com/office/drawing/2014/main" id="{0C902BC0-DE28-284A-A5DD-037B4273F676}"/>
            </a:ext>
          </a:extLst>
        </xdr:cNvPr>
        <xdr:cNvPicPr>
          <a:picLocks noChangeAspect="1"/>
        </xdr:cNvPicPr>
      </xdr:nvPicPr>
      <xdr:blipFill>
        <a:blip xmlns:r="http://schemas.openxmlformats.org/officeDocument/2006/relationships" r:embed="rId3"/>
        <a:stretch>
          <a:fillRect/>
        </a:stretch>
      </xdr:blipFill>
      <xdr:spPr>
        <a:xfrm>
          <a:off x="15287172" y="956129"/>
          <a:ext cx="7020379" cy="707974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hyperlink" Target="https://docs.nrel.gov/docs/fy16osti/66291.pdf" TargetMode="External"/><Relationship Id="rId1" Type="http://schemas.openxmlformats.org/officeDocument/2006/relationships/hyperlink" Target="https://www.concawe.eu/publication/e-fuels-a-techno-economic-assessment-of-european-domestic-production-and-imports-towards-2050/"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0"/>
  </sheetPr>
  <dimension ref="A1:D24"/>
  <sheetViews>
    <sheetView workbookViewId="0">
      <selection activeCell="F18" sqref="F18"/>
    </sheetView>
  </sheetViews>
  <sheetFormatPr baseColWidth="10" defaultColWidth="10.6640625" defaultRowHeight="16"/>
  <cols>
    <col min="1" max="1" width="3.5" style="22" customWidth="1"/>
    <col min="2" max="2" width="11.5" style="14" customWidth="1"/>
    <col min="3" max="3" width="38.5" style="14" customWidth="1"/>
    <col min="4" max="16384" width="10.6640625" style="14"/>
  </cols>
  <sheetData>
    <row r="1" spans="1:4" s="20" customFormat="1">
      <c r="A1" s="18"/>
      <c r="B1" s="19"/>
      <c r="C1" s="19"/>
    </row>
    <row r="2" spans="1:4" ht="21">
      <c r="A2" s="1"/>
      <c r="B2" s="21" t="s">
        <v>6</v>
      </c>
      <c r="C2" s="21"/>
    </row>
    <row r="3" spans="1:4">
      <c r="A3" s="1"/>
      <c r="B3" s="5"/>
      <c r="C3" s="5"/>
    </row>
    <row r="4" spans="1:4">
      <c r="A4" s="1"/>
      <c r="B4" s="2" t="s">
        <v>7</v>
      </c>
      <c r="C4" s="19" t="s">
        <v>92</v>
      </c>
      <c r="D4" s="106"/>
    </row>
    <row r="5" spans="1:4">
      <c r="A5" s="1"/>
      <c r="B5" s="3" t="s">
        <v>31</v>
      </c>
      <c r="C5" s="104" t="s">
        <v>81</v>
      </c>
      <c r="D5" s="107"/>
    </row>
    <row r="6" spans="1:4">
      <c r="A6" s="1"/>
      <c r="B6" s="4" t="s">
        <v>9</v>
      </c>
      <c r="C6" s="105" t="s">
        <v>138</v>
      </c>
      <c r="D6" s="108"/>
    </row>
    <row r="7" spans="1:4">
      <c r="A7" s="1"/>
      <c r="B7" s="5"/>
      <c r="C7" s="5"/>
    </row>
    <row r="8" spans="1:4">
      <c r="A8" s="1"/>
      <c r="B8" s="5"/>
      <c r="C8" s="5"/>
    </row>
    <row r="9" spans="1:4">
      <c r="A9" s="1"/>
      <c r="B9" s="31" t="s">
        <v>16</v>
      </c>
      <c r="C9" s="32"/>
      <c r="D9" s="106"/>
    </row>
    <row r="10" spans="1:4">
      <c r="A10" s="1"/>
      <c r="B10" s="33"/>
      <c r="C10" s="109"/>
      <c r="D10" s="107"/>
    </row>
    <row r="11" spans="1:4">
      <c r="A11" s="1"/>
      <c r="B11" s="33" t="s">
        <v>17</v>
      </c>
      <c r="C11" s="110" t="s">
        <v>18</v>
      </c>
      <c r="D11" s="107"/>
    </row>
    <row r="12" spans="1:4" ht="17" thickBot="1">
      <c r="A12" s="1"/>
      <c r="B12" s="33"/>
      <c r="C12" s="6" t="s">
        <v>19</v>
      </c>
      <c r="D12" s="107"/>
    </row>
    <row r="13" spans="1:4" ht="17" thickBot="1">
      <c r="A13" s="1"/>
      <c r="B13" s="33"/>
      <c r="C13" s="34" t="s">
        <v>20</v>
      </c>
      <c r="D13" s="107"/>
    </row>
    <row r="14" spans="1:4">
      <c r="A14" s="1"/>
      <c r="B14" s="33"/>
      <c r="C14" s="109" t="s">
        <v>21</v>
      </c>
      <c r="D14" s="107"/>
    </row>
    <row r="15" spans="1:4">
      <c r="A15" s="1"/>
      <c r="B15" s="33"/>
      <c r="C15" s="109"/>
      <c r="D15" s="107"/>
    </row>
    <row r="16" spans="1:4">
      <c r="A16" s="1"/>
      <c r="B16" s="33" t="s">
        <v>22</v>
      </c>
      <c r="C16" s="111" t="s">
        <v>23</v>
      </c>
      <c r="D16" s="107"/>
    </row>
    <row r="17" spans="1:4">
      <c r="A17" s="1"/>
      <c r="B17" s="33"/>
      <c r="C17" s="112" t="s">
        <v>24</v>
      </c>
      <c r="D17" s="107"/>
    </row>
    <row r="18" spans="1:4">
      <c r="A18" s="1"/>
      <c r="B18" s="33"/>
      <c r="C18" s="113" t="s">
        <v>25</v>
      </c>
      <c r="D18" s="107"/>
    </row>
    <row r="19" spans="1:4">
      <c r="A19" s="1"/>
      <c r="B19" s="33"/>
      <c r="C19" s="114" t="s">
        <v>26</v>
      </c>
      <c r="D19" s="107"/>
    </row>
    <row r="20" spans="1:4">
      <c r="A20" s="1"/>
      <c r="B20" s="35"/>
      <c r="C20" s="115" t="s">
        <v>27</v>
      </c>
      <c r="D20" s="107"/>
    </row>
    <row r="21" spans="1:4">
      <c r="A21" s="1"/>
      <c r="B21" s="35"/>
      <c r="C21" s="116" t="s">
        <v>28</v>
      </c>
      <c r="D21" s="107"/>
    </row>
    <row r="22" spans="1:4">
      <c r="A22" s="1"/>
      <c r="B22" s="35"/>
      <c r="C22" s="117" t="s">
        <v>29</v>
      </c>
      <c r="D22" s="107"/>
    </row>
    <row r="23" spans="1:4">
      <c r="B23" s="35"/>
      <c r="C23" s="118" t="s">
        <v>30</v>
      </c>
      <c r="D23" s="107"/>
    </row>
    <row r="24" spans="1:4">
      <c r="B24" s="119"/>
      <c r="C24" s="120"/>
      <c r="D24" s="108"/>
    </row>
  </sheetData>
  <pageMargins left="0.75" right="0.75" top="1" bottom="1" header="0.5" footer="0.5"/>
  <pageSetup paperSize="9" orientation="portrait" horizontalDpi="4294967292" verticalDpi="429496729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rgb="FFFFFF00"/>
  </sheetPr>
  <dimension ref="B2:J35"/>
  <sheetViews>
    <sheetView tabSelected="1" topLeftCell="A4" workbookViewId="0">
      <selection activeCell="E16" sqref="E16"/>
    </sheetView>
  </sheetViews>
  <sheetFormatPr baseColWidth="10" defaultColWidth="10.6640625" defaultRowHeight="16"/>
  <cols>
    <col min="1" max="2" width="3.5" style="24" customWidth="1"/>
    <col min="3" max="3" width="36" style="24" customWidth="1"/>
    <col min="4" max="4" width="9.5" style="24" customWidth="1"/>
    <col min="5" max="5" width="15.5" style="24" customWidth="1"/>
    <col min="6" max="6" width="4.5" style="24" customWidth="1"/>
    <col min="7" max="7" width="47.5" style="24" customWidth="1"/>
    <col min="8" max="8" width="5.1640625" style="24" customWidth="1"/>
    <col min="9" max="9" width="48.83203125" style="24" customWidth="1"/>
    <col min="10" max="10" width="5.5" style="24" customWidth="1"/>
    <col min="11" max="16384" width="10.6640625" style="24"/>
  </cols>
  <sheetData>
    <row r="2" spans="2:10">
      <c r="B2" s="125" t="s">
        <v>34</v>
      </c>
      <c r="C2" s="126"/>
      <c r="D2" s="126"/>
      <c r="E2" s="127"/>
    </row>
    <row r="3" spans="2:10">
      <c r="B3" s="128"/>
      <c r="C3" s="129"/>
      <c r="D3" s="129"/>
      <c r="E3" s="130"/>
    </row>
    <row r="4" spans="2:10">
      <c r="B4" s="128"/>
      <c r="C4" s="129"/>
      <c r="D4" s="129"/>
      <c r="E4" s="130"/>
    </row>
    <row r="5" spans="2:10" ht="31" customHeight="1">
      <c r="B5" s="131"/>
      <c r="C5" s="132"/>
      <c r="D5" s="132"/>
      <c r="E5" s="133"/>
    </row>
    <row r="7" spans="2:10" ht="17" thickBot="1"/>
    <row r="8" spans="2:10">
      <c r="B8" s="56"/>
      <c r="C8" s="13"/>
      <c r="D8" s="13"/>
      <c r="E8" s="13"/>
      <c r="F8" s="13"/>
      <c r="G8" s="13"/>
      <c r="H8" s="13"/>
      <c r="I8" s="13"/>
      <c r="J8" s="57"/>
    </row>
    <row r="9" spans="2:10" s="6" customFormat="1">
      <c r="B9" s="16"/>
      <c r="C9" s="9" t="s">
        <v>14</v>
      </c>
      <c r="D9" s="10" t="s">
        <v>4</v>
      </c>
      <c r="E9" s="8" t="s">
        <v>2</v>
      </c>
      <c r="F9" s="9"/>
      <c r="G9" s="9" t="s">
        <v>3</v>
      </c>
      <c r="H9" s="9"/>
      <c r="I9" s="9" t="s">
        <v>0</v>
      </c>
      <c r="J9" s="36"/>
    </row>
    <row r="10" spans="2:10" s="6" customFormat="1">
      <c r="B10" s="17"/>
      <c r="D10" s="23"/>
      <c r="J10" s="7"/>
    </row>
    <row r="11" spans="2:10" s="6" customFormat="1" ht="17" thickBot="1">
      <c r="B11" s="17"/>
      <c r="C11" s="6" t="s">
        <v>32</v>
      </c>
      <c r="D11" s="23"/>
      <c r="J11" s="7"/>
    </row>
    <row r="12" spans="2:10" s="6" customFormat="1" ht="20" thickBot="1">
      <c r="B12" s="58"/>
      <c r="C12" s="45" t="s">
        <v>50</v>
      </c>
      <c r="D12" s="46" t="s">
        <v>37</v>
      </c>
      <c r="E12" s="47">
        <f>ROUND(Notes!C2,3)</f>
        <v>1803.395</v>
      </c>
      <c r="F12" s="45"/>
      <c r="G12" s="59"/>
      <c r="H12" s="60"/>
      <c r="I12" s="103" t="s">
        <v>132</v>
      </c>
      <c r="J12" s="61"/>
    </row>
    <row r="13" spans="2:10" ht="20" thickBot="1">
      <c r="B13" s="58"/>
      <c r="C13" s="101" t="s">
        <v>125</v>
      </c>
      <c r="D13" s="46" t="s">
        <v>1</v>
      </c>
      <c r="E13" s="62">
        <f>ROUND(Notes!C6,5)</f>
        <v>0.96009</v>
      </c>
      <c r="F13" s="45"/>
      <c r="G13" s="59"/>
      <c r="H13" s="60"/>
      <c r="I13" s="103" t="s">
        <v>137</v>
      </c>
      <c r="J13" s="61"/>
    </row>
    <row r="14" spans="2:10" ht="20" thickBot="1">
      <c r="B14" s="58"/>
      <c r="C14" s="93" t="s">
        <v>87</v>
      </c>
      <c r="D14" s="46" t="s">
        <v>1</v>
      </c>
      <c r="E14" s="62">
        <f>ROUND(Notes!C7,5)</f>
        <v>3.9910000000000001E-2</v>
      </c>
      <c r="F14" s="45"/>
      <c r="G14" s="59"/>
      <c r="H14" s="60"/>
      <c r="I14" s="103" t="s">
        <v>137</v>
      </c>
      <c r="J14" s="61"/>
    </row>
    <row r="15" spans="2:10" ht="17" thickBot="1">
      <c r="B15" s="63"/>
      <c r="C15" s="102" t="s">
        <v>131</v>
      </c>
      <c r="D15" s="15" t="s">
        <v>1</v>
      </c>
      <c r="E15" s="62">
        <f>ROUND(Notes!C8,5)</f>
        <v>0.75856999999999997</v>
      </c>
      <c r="F15" s="50"/>
      <c r="G15" s="50"/>
      <c r="H15" s="50"/>
      <c r="I15" s="103" t="s">
        <v>137</v>
      </c>
      <c r="J15" s="64"/>
    </row>
    <row r="16" spans="2:10" ht="17" thickBot="1">
      <c r="B16" s="63"/>
      <c r="C16" s="123" t="s">
        <v>143</v>
      </c>
      <c r="D16" s="15" t="s">
        <v>1</v>
      </c>
      <c r="E16" s="62">
        <f>ROUND(Notes!C9,5)</f>
        <v>0.14149999999999999</v>
      </c>
      <c r="F16" s="50"/>
      <c r="G16" s="50"/>
      <c r="H16" s="50"/>
      <c r="I16" s="124" t="s">
        <v>149</v>
      </c>
      <c r="J16" s="64"/>
    </row>
    <row r="17" spans="2:10" ht="17" thickBot="1">
      <c r="B17" s="65"/>
      <c r="C17" s="45" t="s">
        <v>51</v>
      </c>
      <c r="D17" s="46" t="s">
        <v>69</v>
      </c>
      <c r="E17" s="62">
        <f>Notes!C3</f>
        <v>8000</v>
      </c>
      <c r="F17" s="45"/>
      <c r="G17" s="45"/>
      <c r="H17" s="66"/>
      <c r="I17" s="103" t="s">
        <v>136</v>
      </c>
      <c r="J17" s="67"/>
    </row>
    <row r="18" spans="2:10" ht="17" thickBot="1">
      <c r="B18" s="65"/>
      <c r="C18" s="45" t="s">
        <v>40</v>
      </c>
      <c r="D18" s="46" t="s">
        <v>1</v>
      </c>
      <c r="E18" s="62">
        <v>0.96199999999999997</v>
      </c>
      <c r="F18" s="45"/>
      <c r="G18" s="45"/>
      <c r="H18" s="66"/>
      <c r="I18" s="94" t="s">
        <v>89</v>
      </c>
      <c r="J18" s="67"/>
    </row>
    <row r="19" spans="2:10">
      <c r="B19" s="63"/>
      <c r="C19" s="44"/>
      <c r="D19" s="44"/>
      <c r="E19" s="44"/>
      <c r="F19" s="44"/>
      <c r="G19" s="44"/>
      <c r="H19" s="44"/>
      <c r="I19" s="44"/>
      <c r="J19" s="64"/>
    </row>
    <row r="20" spans="2:10" ht="17" thickBot="1">
      <c r="B20" s="63"/>
      <c r="C20" s="6" t="s">
        <v>52</v>
      </c>
      <c r="D20" s="44"/>
      <c r="E20" s="44"/>
      <c r="F20" s="44"/>
      <c r="G20" s="44"/>
      <c r="H20" s="44"/>
      <c r="I20" s="44"/>
      <c r="J20" s="64"/>
    </row>
    <row r="21" spans="2:10" ht="17" thickBot="1">
      <c r="B21" s="63"/>
      <c r="C21" s="50" t="s">
        <v>53</v>
      </c>
      <c r="D21" s="15" t="s">
        <v>54</v>
      </c>
      <c r="E21" s="49">
        <f>Notes!C11</f>
        <v>368000000</v>
      </c>
      <c r="F21" s="50"/>
      <c r="G21" s="50" t="s">
        <v>70</v>
      </c>
      <c r="H21" s="50"/>
      <c r="I21" s="103" t="s">
        <v>132</v>
      </c>
      <c r="J21" s="64"/>
    </row>
    <row r="22" spans="2:10" ht="17" thickBot="1">
      <c r="B22" s="63"/>
      <c r="C22" s="50" t="s">
        <v>55</v>
      </c>
      <c r="D22" s="15" t="s">
        <v>54</v>
      </c>
      <c r="E22" s="49">
        <v>0</v>
      </c>
      <c r="F22" s="50"/>
      <c r="G22" s="50"/>
      <c r="H22" s="50"/>
      <c r="I22" s="68" t="s">
        <v>90</v>
      </c>
      <c r="J22" s="64"/>
    </row>
    <row r="23" spans="2:10" ht="17" thickBot="1">
      <c r="B23" s="63"/>
      <c r="C23" s="50" t="s">
        <v>56</v>
      </c>
      <c r="D23" s="15" t="s">
        <v>57</v>
      </c>
      <c r="E23" s="49">
        <f>Notes!C12</f>
        <v>16560000</v>
      </c>
      <c r="F23" s="50"/>
      <c r="G23" s="50" t="s">
        <v>71</v>
      </c>
      <c r="H23" s="50"/>
      <c r="I23" s="103" t="s">
        <v>132</v>
      </c>
      <c r="J23" s="64"/>
    </row>
    <row r="24" spans="2:10" ht="17" thickBot="1">
      <c r="B24" s="69"/>
      <c r="C24" s="51" t="s">
        <v>58</v>
      </c>
      <c r="D24" s="52" t="s">
        <v>59</v>
      </c>
      <c r="E24" s="49">
        <f>Notes!C13</f>
        <v>1846.8</v>
      </c>
      <c r="F24" s="51"/>
      <c r="G24" s="51" t="s">
        <v>72</v>
      </c>
      <c r="H24" s="51"/>
      <c r="I24" s="103" t="s">
        <v>132</v>
      </c>
      <c r="J24" s="70"/>
    </row>
    <row r="25" spans="2:10" ht="17" thickBot="1">
      <c r="B25" s="69"/>
      <c r="C25" s="51" t="s">
        <v>60</v>
      </c>
      <c r="D25" s="52" t="s">
        <v>59</v>
      </c>
      <c r="E25" s="49">
        <v>0</v>
      </c>
      <c r="F25" s="51"/>
      <c r="G25" s="51"/>
      <c r="H25" s="51"/>
      <c r="I25" s="68" t="s">
        <v>90</v>
      </c>
      <c r="J25" s="70"/>
    </row>
    <row r="26" spans="2:10" ht="17" thickBot="1">
      <c r="B26" s="69"/>
      <c r="C26" s="51" t="s">
        <v>61</v>
      </c>
      <c r="D26" s="15" t="s">
        <v>54</v>
      </c>
      <c r="E26" s="49">
        <v>0</v>
      </c>
      <c r="F26" s="51"/>
      <c r="G26" s="51" t="s">
        <v>73</v>
      </c>
      <c r="H26" s="51"/>
      <c r="I26" s="95" t="s">
        <v>91</v>
      </c>
      <c r="J26" s="70"/>
    </row>
    <row r="27" spans="2:10" ht="17" thickBot="1">
      <c r="B27" s="69"/>
      <c r="C27" s="51" t="s">
        <v>62</v>
      </c>
      <c r="D27" s="15" t="s">
        <v>54</v>
      </c>
      <c r="E27" s="49">
        <v>0</v>
      </c>
      <c r="F27" s="51"/>
      <c r="G27" s="51" t="s">
        <v>74</v>
      </c>
      <c r="H27" s="51"/>
      <c r="I27" s="95" t="s">
        <v>91</v>
      </c>
      <c r="J27" s="70"/>
    </row>
    <row r="28" spans="2:10" ht="17" thickBot="1">
      <c r="B28" s="63"/>
      <c r="C28" s="50" t="s">
        <v>75</v>
      </c>
      <c r="D28" s="15" t="s">
        <v>76</v>
      </c>
      <c r="E28" s="48">
        <v>7.0000000000000007E-2</v>
      </c>
      <c r="F28" s="50"/>
      <c r="G28" s="50" t="s">
        <v>77</v>
      </c>
      <c r="H28" s="50"/>
      <c r="I28" s="55" t="s">
        <v>78</v>
      </c>
      <c r="J28" s="64"/>
    </row>
    <row r="29" spans="2:10" ht="17" thickBot="1">
      <c r="B29" s="63"/>
      <c r="C29" s="50" t="s">
        <v>63</v>
      </c>
      <c r="D29" s="15" t="s">
        <v>64</v>
      </c>
      <c r="E29" s="49">
        <v>1</v>
      </c>
      <c r="F29" s="50"/>
      <c r="G29" s="50"/>
      <c r="H29" s="50"/>
      <c r="I29" s="74" t="s">
        <v>82</v>
      </c>
      <c r="J29" s="64"/>
    </row>
    <row r="30" spans="2:10">
      <c r="B30" s="63"/>
      <c r="C30" s="50"/>
      <c r="D30" s="15"/>
      <c r="E30" s="53"/>
      <c r="F30" s="50"/>
      <c r="G30" s="50"/>
      <c r="H30" s="50"/>
      <c r="I30" s="44"/>
      <c r="J30" s="64"/>
    </row>
    <row r="31" spans="2:10" ht="17" thickBot="1">
      <c r="B31" s="63"/>
      <c r="C31" s="6" t="s">
        <v>65</v>
      </c>
      <c r="D31" s="54"/>
      <c r="E31" s="53"/>
      <c r="F31" s="44"/>
      <c r="G31" s="44"/>
      <c r="H31" s="44"/>
      <c r="I31" s="44"/>
      <c r="J31" s="64"/>
    </row>
    <row r="32" spans="2:10" ht="17" thickBot="1">
      <c r="B32" s="63"/>
      <c r="C32" s="50" t="s">
        <v>66</v>
      </c>
      <c r="D32" s="15" t="s">
        <v>67</v>
      </c>
      <c r="E32" s="49">
        <f>Notes!C4</f>
        <v>30</v>
      </c>
      <c r="F32" s="50"/>
      <c r="G32" s="50" t="s">
        <v>79</v>
      </c>
      <c r="H32" s="50"/>
      <c r="I32" s="103" t="s">
        <v>132</v>
      </c>
      <c r="J32" s="64"/>
    </row>
    <row r="33" spans="2:10" ht="17" thickBot="1">
      <c r="B33" s="63"/>
      <c r="C33" s="50" t="s">
        <v>68</v>
      </c>
      <c r="D33" s="15" t="s">
        <v>67</v>
      </c>
      <c r="E33" s="49">
        <v>0</v>
      </c>
      <c r="F33" s="50"/>
      <c r="G33" s="50" t="s">
        <v>80</v>
      </c>
      <c r="H33" s="50"/>
      <c r="I33" s="95" t="s">
        <v>91</v>
      </c>
      <c r="J33" s="64"/>
    </row>
    <row r="34" spans="2:10" ht="17" thickBot="1">
      <c r="B34" s="63"/>
      <c r="C34" s="50" t="s">
        <v>15</v>
      </c>
      <c r="D34" s="15" t="s">
        <v>1</v>
      </c>
      <c r="E34" s="49">
        <v>0</v>
      </c>
      <c r="F34" s="50"/>
      <c r="G34" s="50"/>
      <c r="H34" s="50"/>
      <c r="I34" s="74" t="s">
        <v>82</v>
      </c>
      <c r="J34" s="64"/>
    </row>
    <row r="35" spans="2:10" ht="17" thickBot="1">
      <c r="B35" s="71"/>
      <c r="C35" s="72"/>
      <c r="D35" s="72"/>
      <c r="E35" s="72"/>
      <c r="F35" s="72"/>
      <c r="G35" s="72"/>
      <c r="H35" s="72"/>
      <c r="I35" s="72"/>
      <c r="J35" s="73"/>
    </row>
  </sheetData>
  <mergeCells count="1">
    <mergeCell ref="B2:E5"/>
  </mergeCells>
  <pageMargins left="0.75" right="0.75" top="1" bottom="1" header="0.5" footer="0.5"/>
  <pageSetup paperSize="9" orientation="portrait" horizontalDpi="4294967292" verticalDpi="429496729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theme="6" tint="0.79998168889431442"/>
  </sheetPr>
  <dimension ref="B1:J34"/>
  <sheetViews>
    <sheetView zoomScaleNormal="100" workbookViewId="0">
      <selection activeCell="C12" sqref="A12:XFD12"/>
    </sheetView>
  </sheetViews>
  <sheetFormatPr baseColWidth="10" defaultColWidth="33.1640625" defaultRowHeight="16"/>
  <cols>
    <col min="1" max="1" width="3.5" style="25" customWidth="1"/>
    <col min="2" max="2" width="6.5" style="25" customWidth="1"/>
    <col min="3" max="3" width="34.1640625" style="25" bestFit="1" customWidth="1"/>
    <col min="4" max="4" width="16.1640625" style="25" customWidth="1"/>
    <col min="5" max="5" width="10.1640625" style="25" customWidth="1"/>
    <col min="6" max="6" width="13.5" style="25" bestFit="1" customWidth="1"/>
    <col min="7" max="7" width="75.6640625" style="25" bestFit="1" customWidth="1"/>
    <col min="8" max="8" width="13.1640625" style="27" bestFit="1" customWidth="1"/>
    <col min="9" max="9" width="31.5" style="27" customWidth="1"/>
    <col min="10" max="10" width="98.5" style="25" customWidth="1"/>
    <col min="11" max="16384" width="33.1640625" style="25"/>
  </cols>
  <sheetData>
    <row r="1" spans="2:10" ht="17" thickBot="1"/>
    <row r="2" spans="2:10">
      <c r="B2" s="38"/>
      <c r="C2" s="26"/>
      <c r="D2" s="26"/>
      <c r="E2" s="26"/>
      <c r="F2" s="26"/>
      <c r="G2" s="26"/>
      <c r="H2" s="28"/>
      <c r="I2" s="28"/>
      <c r="J2" s="26"/>
    </row>
    <row r="3" spans="2:10">
      <c r="B3" s="39"/>
      <c r="C3" s="6" t="s">
        <v>10</v>
      </c>
      <c r="D3" s="6"/>
      <c r="E3" s="6"/>
      <c r="F3" s="6"/>
      <c r="G3" s="6"/>
      <c r="H3" s="11"/>
      <c r="I3" s="11"/>
    </row>
    <row r="4" spans="2:10">
      <c r="B4" s="39"/>
    </row>
    <row r="5" spans="2:10">
      <c r="B5" s="40"/>
      <c r="C5" s="8" t="s">
        <v>11</v>
      </c>
      <c r="D5" s="8" t="s">
        <v>0</v>
      </c>
      <c r="E5" s="8" t="s">
        <v>8</v>
      </c>
      <c r="F5" s="8" t="s">
        <v>12</v>
      </c>
      <c r="G5" s="8" t="s">
        <v>86</v>
      </c>
      <c r="H5" s="12" t="s">
        <v>13</v>
      </c>
      <c r="I5" s="12" t="s">
        <v>33</v>
      </c>
      <c r="J5" s="8" t="s">
        <v>5</v>
      </c>
    </row>
    <row r="6" spans="2:10">
      <c r="B6" s="39"/>
      <c r="C6" s="6"/>
      <c r="D6" s="6"/>
      <c r="E6" s="6"/>
      <c r="F6" s="6"/>
      <c r="G6" s="6"/>
      <c r="H6" s="11"/>
      <c r="I6" s="11"/>
      <c r="J6" s="6"/>
    </row>
    <row r="7" spans="2:10">
      <c r="B7" s="39"/>
      <c r="C7" s="100" t="s">
        <v>127</v>
      </c>
      <c r="D7" s="100" t="s">
        <v>128</v>
      </c>
      <c r="F7" s="25">
        <v>2022</v>
      </c>
      <c r="G7" s="100" t="s">
        <v>129</v>
      </c>
      <c r="H7" s="91" t="s">
        <v>85</v>
      </c>
      <c r="J7" s="92" t="s">
        <v>130</v>
      </c>
    </row>
    <row r="8" spans="2:10">
      <c r="B8" s="39"/>
      <c r="C8" s="100" t="s">
        <v>88</v>
      </c>
    </row>
    <row r="9" spans="2:10">
      <c r="B9" s="39"/>
    </row>
    <row r="10" spans="2:10">
      <c r="B10" s="39"/>
      <c r="C10" s="100" t="s">
        <v>127</v>
      </c>
      <c r="D10" s="100" t="s">
        <v>133</v>
      </c>
      <c r="F10" s="25">
        <v>2016</v>
      </c>
      <c r="G10" s="100" t="s">
        <v>134</v>
      </c>
      <c r="H10" s="91" t="s">
        <v>85</v>
      </c>
      <c r="J10" s="92" t="s">
        <v>135</v>
      </c>
    </row>
    <row r="11" spans="2:10">
      <c r="B11" s="39"/>
    </row>
    <row r="12" spans="2:10">
      <c r="B12" s="39"/>
      <c r="C12" s="121" t="s">
        <v>145</v>
      </c>
      <c r="D12" s="121" t="s">
        <v>146</v>
      </c>
      <c r="G12" s="121" t="s">
        <v>147</v>
      </c>
      <c r="H12" s="122" t="s">
        <v>148</v>
      </c>
    </row>
    <row r="13" spans="2:10">
      <c r="B13" s="39"/>
    </row>
    <row r="14" spans="2:10">
      <c r="B14" s="39"/>
    </row>
    <row r="15" spans="2:10">
      <c r="B15" s="39"/>
    </row>
    <row r="16" spans="2:10">
      <c r="B16" s="39"/>
    </row>
    <row r="17" spans="2:2">
      <c r="B17" s="39"/>
    </row>
    <row r="18" spans="2:2">
      <c r="B18" s="39"/>
    </row>
    <row r="19" spans="2:2">
      <c r="B19" s="39"/>
    </row>
    <row r="20" spans="2:2">
      <c r="B20" s="39"/>
    </row>
    <row r="21" spans="2:2">
      <c r="B21" s="39"/>
    </row>
    <row r="22" spans="2:2">
      <c r="B22" s="39"/>
    </row>
    <row r="23" spans="2:2">
      <c r="B23" s="39"/>
    </row>
    <row r="24" spans="2:2">
      <c r="B24" s="39"/>
    </row>
    <row r="25" spans="2:2">
      <c r="B25" s="39"/>
    </row>
    <row r="26" spans="2:2">
      <c r="B26" s="39"/>
    </row>
    <row r="27" spans="2:2">
      <c r="B27" s="39"/>
    </row>
    <row r="28" spans="2:2">
      <c r="B28" s="39"/>
    </row>
    <row r="29" spans="2:2">
      <c r="B29" s="39"/>
    </row>
    <row r="30" spans="2:2">
      <c r="B30" s="39"/>
    </row>
    <row r="31" spans="2:2">
      <c r="B31" s="39"/>
    </row>
    <row r="32" spans="2:2">
      <c r="B32" s="39"/>
    </row>
    <row r="33" spans="2:2">
      <c r="B33" s="39"/>
    </row>
    <row r="34" spans="2:2">
      <c r="B34" s="39"/>
    </row>
  </sheetData>
  <phoneticPr fontId="22" type="noConversion"/>
  <hyperlinks>
    <hyperlink ref="J7" r:id="rId1" xr:uid="{CA4435BF-7BC0-5946-B941-E72619E47EA7}"/>
    <hyperlink ref="J10" r:id="rId2" xr:uid="{44305025-BB8A-4D46-A44D-6B29F2B5A0C5}"/>
  </hyperlinks>
  <pageMargins left="0.75" right="0.75" top="1" bottom="1" header="0.5" footer="0.5"/>
  <pageSetup paperSize="9" orientation="portrait" horizontalDpi="4294967292" verticalDpi="429496729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tint="0.79998168889431442"/>
  </sheetPr>
  <dimension ref="A1:Y68"/>
  <sheetViews>
    <sheetView topLeftCell="A20" zoomScale="110" zoomScaleNormal="110" workbookViewId="0">
      <selection activeCell="F54" sqref="F54:F55"/>
    </sheetView>
  </sheetViews>
  <sheetFormatPr baseColWidth="10" defaultColWidth="10.6640625" defaultRowHeight="16"/>
  <cols>
    <col min="1" max="1" width="26.1640625" style="29" customWidth="1"/>
    <col min="2" max="2" width="29" style="29" bestFit="1" customWidth="1"/>
    <col min="3" max="3" width="14.5" style="29" customWidth="1"/>
    <col min="4" max="4" width="19.33203125" style="29" customWidth="1"/>
    <col min="5" max="5" width="25" style="29" customWidth="1"/>
    <col min="6" max="6" width="22.1640625" style="29" bestFit="1" customWidth="1"/>
    <col min="7" max="10" width="10.6640625" style="29"/>
    <col min="11" max="11" width="16.1640625" style="29" customWidth="1"/>
    <col min="12" max="12" width="10.6640625" style="29"/>
    <col min="13" max="13" width="26.83203125" style="29" customWidth="1"/>
    <col min="14" max="14" width="26.5" style="29" customWidth="1"/>
    <col min="15" max="16384" width="10.6640625" style="29"/>
  </cols>
  <sheetData>
    <row r="1" spans="2:25">
      <c r="B1" s="30" t="s">
        <v>35</v>
      </c>
    </row>
    <row r="2" spans="2:25">
      <c r="B2" s="29" t="s">
        <v>36</v>
      </c>
      <c r="C2" s="41">
        <f>C18</f>
        <v>1803.3950066416073</v>
      </c>
      <c r="D2" s="29" t="s">
        <v>37</v>
      </c>
    </row>
    <row r="3" spans="2:25">
      <c r="B3" s="29" t="s">
        <v>38</v>
      </c>
      <c r="C3" s="29">
        <v>8000</v>
      </c>
      <c r="D3" s="29" t="s">
        <v>39</v>
      </c>
      <c r="E3" s="29" t="s">
        <v>119</v>
      </c>
    </row>
    <row r="4" spans="2:25">
      <c r="B4" s="29" t="s">
        <v>41</v>
      </c>
      <c r="C4" s="41">
        <f>C19</f>
        <v>30</v>
      </c>
      <c r="D4" s="29" t="s">
        <v>42</v>
      </c>
      <c r="K4" s="29" t="s">
        <v>122</v>
      </c>
    </row>
    <row r="5" spans="2:25">
      <c r="M5" s="75"/>
      <c r="N5" s="75"/>
      <c r="O5" s="76"/>
      <c r="P5" s="76"/>
      <c r="Q5" s="76"/>
      <c r="R5" s="76"/>
      <c r="S5" s="76"/>
      <c r="T5" s="77"/>
      <c r="U5" s="77"/>
      <c r="V5" s="77"/>
      <c r="W5" s="77"/>
      <c r="X5" s="78"/>
      <c r="Y5" s="78"/>
    </row>
    <row r="6" spans="2:25">
      <c r="B6" s="29" t="s">
        <v>125</v>
      </c>
      <c r="C6" s="37">
        <f>G51</f>
        <v>0.96009316447272652</v>
      </c>
      <c r="M6" s="75"/>
      <c r="N6" s="79"/>
      <c r="O6" s="77"/>
      <c r="P6" s="77"/>
      <c r="Q6" s="77"/>
      <c r="R6" s="77"/>
      <c r="S6" s="77"/>
      <c r="T6" s="77"/>
      <c r="U6" s="77"/>
      <c r="V6" s="77"/>
      <c r="W6" s="77"/>
      <c r="X6" s="80"/>
      <c r="Y6" s="80"/>
    </row>
    <row r="7" spans="2:25">
      <c r="B7" s="29" t="s">
        <v>87</v>
      </c>
      <c r="C7" s="37">
        <f>G52</f>
        <v>3.990683552727349E-2</v>
      </c>
      <c r="M7" s="81"/>
      <c r="N7" s="82"/>
      <c r="O7" s="83"/>
      <c r="P7" s="83"/>
      <c r="Q7" s="83"/>
      <c r="R7" s="83"/>
      <c r="S7" s="83"/>
      <c r="T7" s="83"/>
      <c r="U7" s="83"/>
      <c r="V7" s="83"/>
      <c r="W7" s="83"/>
      <c r="X7" s="84"/>
      <c r="Y7" s="84"/>
    </row>
    <row r="8" spans="2:25">
      <c r="B8" s="29" t="s">
        <v>126</v>
      </c>
      <c r="C8" s="37">
        <f>G57</f>
        <v>0.75856925130760644</v>
      </c>
      <c r="M8" s="85"/>
      <c r="N8" s="85"/>
      <c r="O8" s="83"/>
      <c r="P8" s="83"/>
      <c r="Q8" s="83"/>
      <c r="R8" s="83"/>
      <c r="S8" s="83"/>
      <c r="T8" s="83"/>
      <c r="U8" s="83"/>
      <c r="V8" s="83"/>
      <c r="W8" s="83"/>
      <c r="X8" s="84"/>
      <c r="Y8" s="84"/>
    </row>
    <row r="9" spans="2:25">
      <c r="B9" s="29" t="s">
        <v>143</v>
      </c>
      <c r="C9" s="37">
        <f>G58</f>
        <v>0.14149611561004447</v>
      </c>
      <c r="M9" s="85"/>
      <c r="N9" s="86"/>
      <c r="O9" s="83"/>
      <c r="P9" s="83"/>
      <c r="Q9" s="87"/>
      <c r="R9" s="83"/>
      <c r="S9" s="83"/>
      <c r="T9" s="88"/>
      <c r="U9" s="88"/>
      <c r="V9" s="88"/>
      <c r="W9" s="88"/>
      <c r="X9" s="84"/>
      <c r="Y9" s="84"/>
    </row>
    <row r="10" spans="2:25">
      <c r="M10" s="85"/>
      <c r="N10" s="86"/>
      <c r="O10" s="83"/>
      <c r="P10" s="83"/>
      <c r="Q10" s="87"/>
      <c r="R10" s="83"/>
      <c r="S10" s="83"/>
      <c r="T10" s="88"/>
      <c r="U10" s="88"/>
      <c r="V10" s="88"/>
      <c r="W10" s="88"/>
      <c r="X10" s="84"/>
      <c r="Y10" s="84"/>
    </row>
    <row r="11" spans="2:25">
      <c r="B11" s="29" t="s">
        <v>43</v>
      </c>
      <c r="C11" s="42">
        <f>C21</f>
        <v>368000000</v>
      </c>
      <c r="D11" s="29" t="s">
        <v>44</v>
      </c>
      <c r="M11" s="85"/>
      <c r="N11" s="85"/>
      <c r="O11" s="83"/>
      <c r="P11" s="83"/>
      <c r="Q11" s="87"/>
      <c r="R11" s="83"/>
      <c r="S11" s="83"/>
      <c r="T11" s="83"/>
      <c r="U11" s="83"/>
      <c r="V11" s="83"/>
      <c r="W11" s="83"/>
      <c r="X11" s="84"/>
      <c r="Y11" s="84"/>
    </row>
    <row r="12" spans="2:25">
      <c r="B12" s="29" t="s">
        <v>45</v>
      </c>
      <c r="C12" s="42">
        <f>C22</f>
        <v>16560000</v>
      </c>
      <c r="D12" s="29" t="s">
        <v>46</v>
      </c>
      <c r="M12" s="85"/>
      <c r="N12" s="86"/>
      <c r="O12" s="83"/>
      <c r="P12" s="83"/>
      <c r="Q12" s="87"/>
      <c r="R12" s="83"/>
      <c r="S12" s="83"/>
      <c r="T12" s="88"/>
      <c r="U12" s="88"/>
      <c r="V12" s="88"/>
      <c r="W12" s="88"/>
      <c r="X12" s="84"/>
      <c r="Y12" s="84"/>
    </row>
    <row r="13" spans="2:25">
      <c r="B13" s="29" t="s">
        <v>47</v>
      </c>
      <c r="C13" s="42">
        <f>C25</f>
        <v>1846.8</v>
      </c>
      <c r="D13" s="43" t="s">
        <v>48</v>
      </c>
      <c r="M13" s="85"/>
      <c r="N13" s="86"/>
      <c r="O13" s="83"/>
      <c r="P13" s="83"/>
      <c r="Q13" s="87"/>
      <c r="R13" s="83"/>
      <c r="S13" s="83"/>
      <c r="T13" s="88"/>
      <c r="U13" s="88"/>
      <c r="V13" s="88"/>
      <c r="W13" s="88"/>
      <c r="X13" s="84"/>
      <c r="Y13" s="84"/>
    </row>
    <row r="14" spans="2:25">
      <c r="C14" s="42"/>
      <c r="D14" s="43"/>
      <c r="M14" s="85"/>
      <c r="N14" s="86"/>
      <c r="O14" s="83"/>
      <c r="P14" s="83"/>
      <c r="Q14" s="87"/>
      <c r="R14" s="83"/>
      <c r="S14" s="83"/>
      <c r="T14" s="88"/>
      <c r="U14" s="88"/>
      <c r="V14" s="88"/>
      <c r="W14" s="88"/>
      <c r="X14" s="84"/>
      <c r="Y14" s="84"/>
    </row>
    <row r="16" spans="2:25">
      <c r="B16" s="30" t="s">
        <v>112</v>
      </c>
    </row>
    <row r="17" spans="2:4">
      <c r="B17" s="29" t="s">
        <v>113</v>
      </c>
      <c r="C17" s="29">
        <v>1368</v>
      </c>
      <c r="D17" s="29" t="s">
        <v>116</v>
      </c>
    </row>
    <row r="18" spans="2:4">
      <c r="B18" s="29" t="s">
        <v>114</v>
      </c>
      <c r="C18" s="97">
        <f>C17/G57</f>
        <v>1803.3950066416073</v>
      </c>
      <c r="D18" s="29" t="s">
        <v>115</v>
      </c>
    </row>
    <row r="19" spans="2:4">
      <c r="B19" s="29" t="s">
        <v>117</v>
      </c>
      <c r="C19" s="29">
        <v>30</v>
      </c>
      <c r="D19" s="29" t="s">
        <v>42</v>
      </c>
    </row>
    <row r="21" spans="2:4">
      <c r="B21" s="29" t="s">
        <v>43</v>
      </c>
      <c r="C21" s="29">
        <f>368*10^6</f>
        <v>368000000</v>
      </c>
      <c r="D21" s="29" t="s">
        <v>44</v>
      </c>
    </row>
    <row r="22" spans="2:4">
      <c r="B22" s="29" t="s">
        <v>45</v>
      </c>
      <c r="C22" s="29">
        <f>0.045*C21</f>
        <v>16560000</v>
      </c>
      <c r="D22" s="29" t="s">
        <v>46</v>
      </c>
    </row>
    <row r="23" spans="2:4">
      <c r="B23" s="29" t="s">
        <v>47</v>
      </c>
      <c r="C23" s="29">
        <v>1350</v>
      </c>
      <c r="D23" s="29" t="s">
        <v>118</v>
      </c>
    </row>
    <row r="24" spans="2:4">
      <c r="B24" s="29" t="s">
        <v>47</v>
      </c>
      <c r="C24" s="29">
        <f>C23*C17*C3*10^-3</f>
        <v>14774400</v>
      </c>
      <c r="D24" s="29" t="s">
        <v>46</v>
      </c>
    </row>
    <row r="25" spans="2:4">
      <c r="B25" s="29" t="s">
        <v>47</v>
      </c>
      <c r="C25" s="29">
        <f>C24/C3</f>
        <v>1846.8</v>
      </c>
      <c r="D25" s="29" t="s">
        <v>48</v>
      </c>
    </row>
    <row r="29" spans="2:4">
      <c r="B29" s="30" t="s">
        <v>105</v>
      </c>
    </row>
    <row r="30" spans="2:4">
      <c r="B30" s="29" t="s">
        <v>139</v>
      </c>
    </row>
    <row r="31" spans="2:4">
      <c r="B31" s="29" t="s">
        <v>106</v>
      </c>
    </row>
    <row r="32" spans="2:4">
      <c r="B32" s="29" t="s">
        <v>108</v>
      </c>
    </row>
    <row r="33" spans="2:12">
      <c r="B33" s="29" t="s">
        <v>107</v>
      </c>
    </row>
    <row r="34" spans="2:12">
      <c r="B34" s="89" t="s">
        <v>144</v>
      </c>
    </row>
    <row r="35" spans="2:12">
      <c r="B35" s="29" t="s">
        <v>140</v>
      </c>
    </row>
    <row r="36" spans="2:12">
      <c r="B36" s="29" t="s">
        <v>150</v>
      </c>
    </row>
    <row r="38" spans="2:12">
      <c r="B38" s="89" t="s">
        <v>102</v>
      </c>
    </row>
    <row r="39" spans="2:12">
      <c r="B39" s="29" t="s">
        <v>97</v>
      </c>
      <c r="C39" s="96">
        <v>0.82</v>
      </c>
      <c r="E39" s="98"/>
    </row>
    <row r="40" spans="2:12">
      <c r="B40" s="29" t="s">
        <v>141</v>
      </c>
      <c r="C40" s="96">
        <v>0.15</v>
      </c>
      <c r="D40" s="90"/>
      <c r="E40" s="98"/>
    </row>
    <row r="41" spans="2:12">
      <c r="B41" s="29" t="s">
        <v>93</v>
      </c>
      <c r="C41" s="96">
        <v>0.03</v>
      </c>
      <c r="D41" s="90"/>
      <c r="E41" s="98"/>
      <c r="L41" s="29" t="s">
        <v>123</v>
      </c>
    </row>
    <row r="44" spans="2:12">
      <c r="B44" s="89" t="s">
        <v>120</v>
      </c>
    </row>
    <row r="45" spans="2:12">
      <c r="B45" s="29" t="s">
        <v>109</v>
      </c>
    </row>
    <row r="46" spans="2:12">
      <c r="B46" s="99" t="s">
        <v>142</v>
      </c>
    </row>
    <row r="47" spans="2:12">
      <c r="B47" s="99" t="s">
        <v>110</v>
      </c>
    </row>
    <row r="48" spans="2:12">
      <c r="B48" s="99" t="s">
        <v>121</v>
      </c>
    </row>
    <row r="50" spans="1:12">
      <c r="B50" s="134" t="s">
        <v>98</v>
      </c>
      <c r="C50" s="135" t="s">
        <v>99</v>
      </c>
      <c r="D50" s="135" t="s">
        <v>104</v>
      </c>
      <c r="E50" s="135" t="s">
        <v>151</v>
      </c>
      <c r="F50" s="135" t="s">
        <v>152</v>
      </c>
      <c r="G50" s="135" t="s">
        <v>153</v>
      </c>
    </row>
    <row r="51" spans="1:12">
      <c r="B51" s="29" t="s">
        <v>96</v>
      </c>
      <c r="C51" s="29">
        <v>2.3199999999999998</v>
      </c>
      <c r="D51" s="29">
        <f>C51</f>
        <v>2.3199999999999998</v>
      </c>
      <c r="E51" s="90">
        <f>D51*C67</f>
        <v>46.167999999999992</v>
      </c>
      <c r="F51" s="90">
        <f>E51</f>
        <v>46.167999999999992</v>
      </c>
      <c r="G51" s="90">
        <f>F51/$F$54</f>
        <v>0.96009316447272652</v>
      </c>
      <c r="H51" s="90"/>
      <c r="I51" s="90"/>
    </row>
    <row r="52" spans="1:12">
      <c r="B52" s="29" t="s">
        <v>83</v>
      </c>
      <c r="C52" s="29">
        <v>0.01</v>
      </c>
      <c r="D52" s="29">
        <f t="shared" ref="D52" si="0">C52</f>
        <v>0.01</v>
      </c>
      <c r="E52" s="90">
        <f>D52*C65</f>
        <v>1.2010000000000001</v>
      </c>
      <c r="F52" s="90">
        <f>E52+E53</f>
        <v>1.919</v>
      </c>
      <c r="G52" s="90">
        <f>F52/$F$54</f>
        <v>3.990683552727349E-2</v>
      </c>
      <c r="H52" s="90"/>
      <c r="I52" s="90"/>
    </row>
    <row r="53" spans="1:12">
      <c r="B53" s="135" t="s">
        <v>103</v>
      </c>
      <c r="C53" s="140"/>
      <c r="D53" s="140"/>
      <c r="E53" s="136">
        <v>0.71799999999999997</v>
      </c>
      <c r="F53" s="137">
        <v>0</v>
      </c>
      <c r="G53" s="138"/>
      <c r="H53" s="90"/>
    </row>
    <row r="54" spans="1:12">
      <c r="B54" s="29" t="s">
        <v>49</v>
      </c>
      <c r="C54" s="29">
        <f>SUM(C51:C52)</f>
        <v>2.3299999999999996</v>
      </c>
      <c r="D54" s="29">
        <f>SUM(D51:D52)</f>
        <v>2.3299999999999996</v>
      </c>
      <c r="E54" s="90">
        <f>SUM(E51:E53)</f>
        <v>48.086999999999989</v>
      </c>
      <c r="F54" s="90">
        <f>SUM(F51:F53)</f>
        <v>48.086999999999989</v>
      </c>
      <c r="G54" s="90">
        <f>SUM(G51:G53)</f>
        <v>1</v>
      </c>
      <c r="H54" s="90"/>
      <c r="I54" s="90"/>
    </row>
    <row r="55" spans="1:12">
      <c r="H55" s="90"/>
    </row>
    <row r="56" spans="1:12">
      <c r="B56" s="134" t="s">
        <v>100</v>
      </c>
      <c r="C56" s="135"/>
      <c r="D56" s="135"/>
      <c r="E56" s="136"/>
      <c r="F56" s="136"/>
      <c r="G56" s="136"/>
      <c r="H56" s="90"/>
      <c r="I56" s="90"/>
      <c r="J56" s="90"/>
      <c r="L56" s="29" t="s">
        <v>124</v>
      </c>
    </row>
    <row r="57" spans="1:12">
      <c r="B57" s="29" t="s">
        <v>97</v>
      </c>
      <c r="C57" s="29">
        <f>C39</f>
        <v>0.82</v>
      </c>
      <c r="D57" s="90">
        <f>C57+$C$59*C57/SUM($C$57:$C$58)</f>
        <v>0.84536082474226804</v>
      </c>
      <c r="E57" s="90">
        <f>D57*C68</f>
        <v>36.477319587628863</v>
      </c>
      <c r="F57" s="90">
        <f>E57</f>
        <v>36.477319587628863</v>
      </c>
      <c r="G57" s="90">
        <f>F57/$F$54</f>
        <v>0.75856925130760644</v>
      </c>
      <c r="H57" s="90"/>
      <c r="I57" s="90"/>
    </row>
    <row r="58" spans="1:12">
      <c r="B58" s="29" t="s">
        <v>141</v>
      </c>
      <c r="C58" s="29">
        <f>C40</f>
        <v>0.15</v>
      </c>
      <c r="D58" s="90">
        <f>C58+$C$59*C58/SUM($C$57:$C$58)</f>
        <v>0.15463917525773196</v>
      </c>
      <c r="E58" s="90">
        <f>D58*C66</f>
        <v>6.8041237113402069</v>
      </c>
      <c r="F58" s="90">
        <f>E58</f>
        <v>6.8041237113402069</v>
      </c>
      <c r="G58" s="90">
        <f>F58/$F$54</f>
        <v>0.14149611561004447</v>
      </c>
      <c r="H58" s="90"/>
    </row>
    <row r="59" spans="1:12">
      <c r="B59" s="29" t="s">
        <v>93</v>
      </c>
      <c r="C59" s="29">
        <f>C41</f>
        <v>0.03</v>
      </c>
      <c r="D59" s="29">
        <v>0</v>
      </c>
      <c r="E59" s="139"/>
      <c r="F59" s="139"/>
      <c r="G59" s="139"/>
      <c r="H59" s="90"/>
    </row>
    <row r="60" spans="1:12">
      <c r="B60" s="29" t="s">
        <v>101</v>
      </c>
      <c r="C60" s="141"/>
      <c r="D60" s="141"/>
      <c r="E60" s="90">
        <v>1.3140000000000001</v>
      </c>
      <c r="F60" s="41">
        <v>0</v>
      </c>
      <c r="G60" s="139"/>
      <c r="H60" s="90"/>
      <c r="I60" s="90"/>
    </row>
    <row r="61" spans="1:12">
      <c r="B61" s="135" t="s">
        <v>111</v>
      </c>
      <c r="C61" s="140"/>
      <c r="D61" s="140"/>
      <c r="E61" s="138"/>
      <c r="F61" s="138"/>
      <c r="G61" s="136">
        <f>1-SUM(G57:G58)</f>
        <v>9.9934633082349067E-2</v>
      </c>
      <c r="H61" s="90"/>
      <c r="I61" s="90"/>
    </row>
    <row r="62" spans="1:12">
      <c r="B62" s="29" t="s">
        <v>49</v>
      </c>
      <c r="C62" s="90">
        <f>SUM(C57:C59)</f>
        <v>1</v>
      </c>
      <c r="D62" s="90">
        <f>SUM(D57:D59)</f>
        <v>1</v>
      </c>
      <c r="E62" s="90">
        <f>SUM(E57:E61)</f>
        <v>44.595443298969066</v>
      </c>
      <c r="F62" s="90">
        <f>SUM(F57:F61)</f>
        <v>43.281443298969066</v>
      </c>
      <c r="G62" s="90">
        <f>SUM(G57:G61)</f>
        <v>1</v>
      </c>
    </row>
    <row r="64" spans="1:12">
      <c r="A64" s="30" t="s">
        <v>94</v>
      </c>
      <c r="B64" s="29" t="s">
        <v>95</v>
      </c>
    </row>
    <row r="65" spans="2:4">
      <c r="B65" s="29" t="s">
        <v>83</v>
      </c>
      <c r="C65" s="29">
        <v>120.1</v>
      </c>
      <c r="D65" s="29" t="s">
        <v>84</v>
      </c>
    </row>
    <row r="66" spans="2:4">
      <c r="B66" s="29" t="s">
        <v>141</v>
      </c>
      <c r="C66" s="29">
        <v>44</v>
      </c>
      <c r="D66" s="29" t="s">
        <v>84</v>
      </c>
    </row>
    <row r="67" spans="2:4">
      <c r="B67" s="29" t="s">
        <v>96</v>
      </c>
      <c r="C67" s="29">
        <v>19.899999999999999</v>
      </c>
      <c r="D67" s="29" t="s">
        <v>84</v>
      </c>
    </row>
    <row r="68" spans="2:4">
      <c r="B68" s="29" t="s">
        <v>97</v>
      </c>
      <c r="C68" s="29">
        <v>43.15</v>
      </c>
      <c r="D68" s="29" t="s">
        <v>84</v>
      </c>
    </row>
  </sheetData>
  <pageMargins left="0.75" right="0.75" top="1" bottom="1" header="0.5" footer="0.5"/>
  <pageSetup paperSize="9" orientation="portrait" horizontalDpi="4294967292" verticalDpi="4294967292"/>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Cover sheet</vt:lpstr>
      <vt:lpstr>Dashboard</vt:lpstr>
      <vt:lpstr>Sources</vt:lpstr>
      <vt:lpstr>Notes</vt:lpstr>
    </vt:vector>
  </TitlesOfParts>
  <Company>Quintel Intelligence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Nick Rothengatter</dc:creator>
  <cp:lastModifiedBy>Mathijs Bijkerk</cp:lastModifiedBy>
  <cp:lastPrinted>2015-02-13T09:40:54Z</cp:lastPrinted>
  <dcterms:created xsi:type="dcterms:W3CDTF">2011-10-26T09:05:09Z</dcterms:created>
  <dcterms:modified xsi:type="dcterms:W3CDTF">2025-11-12T10:01:41Z</dcterms:modified>
</cp:coreProperties>
</file>