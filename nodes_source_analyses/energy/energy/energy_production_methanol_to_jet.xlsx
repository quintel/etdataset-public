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65398A4F-6C8B-B343-9622-BDC815A026E0}" xr6:coauthVersionLast="47" xr6:coauthVersionMax="47" xr10:uidLastSave="{00000000-0000-0000-0000-000000000000}"/>
  <bookViews>
    <workbookView xWindow="-10380" yWindow="-28300" windowWidth="25600" windowHeight="13660" tabRatio="762" activeTab="1" xr2:uid="{00000000-000D-0000-FFFF-FFFF00000000}"/>
  </bookViews>
  <sheets>
    <sheet name="Cover sheet" sheetId="14" r:id="rId1"/>
    <sheet name="Dashboard" sheetId="12" r:id="rId2"/>
    <sheet name="Sources" sheetId="15" r:id="rId3"/>
    <sheet name="Notes" sheetId="20" r:id="rId4"/>
  </sheets>
  <definedNames>
    <definedName name="exchange_rate_2011_2010">#REF!</definedName>
    <definedName name="Final_demand_residences">#REF!</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2" i="12" l="1"/>
  <c r="E12" i="12"/>
  <c r="C13" i="20"/>
  <c r="C12" i="20"/>
  <c r="C11" i="20"/>
  <c r="C9" i="20"/>
  <c r="C8" i="20"/>
  <c r="C7" i="20"/>
  <c r="C6" i="20"/>
  <c r="C4" i="20"/>
  <c r="C24" i="20"/>
  <c r="C25" i="20" s="1"/>
  <c r="D42" i="20"/>
  <c r="D41" i="20"/>
  <c r="C21" i="20" l="1"/>
  <c r="C22" i="20" s="1"/>
  <c r="D76" i="20"/>
  <c r="D77" i="20" s="1"/>
  <c r="E76" i="20" s="1"/>
  <c r="D72" i="20"/>
  <c r="D71" i="20"/>
  <c r="D70" i="20"/>
  <c r="G60" i="20"/>
  <c r="G54" i="20"/>
  <c r="D53" i="20"/>
  <c r="D52" i="20"/>
  <c r="C55" i="20"/>
  <c r="C57" i="20"/>
  <c r="D73" i="20" l="1"/>
  <c r="E70" i="20" s="1"/>
  <c r="E75" i="20"/>
  <c r="E77" i="20" s="1"/>
  <c r="D55" i="20"/>
  <c r="E24" i="12"/>
  <c r="E23" i="12"/>
  <c r="E21" i="12"/>
  <c r="E16" i="12"/>
  <c r="E15" i="12"/>
  <c r="E14" i="12"/>
  <c r="E13" i="12"/>
  <c r="E72" i="20" l="1"/>
  <c r="E71" i="20"/>
  <c r="E17" i="12"/>
  <c r="C59" i="20"/>
  <c r="E41" i="20" l="1"/>
  <c r="C58" i="20"/>
  <c r="E42" i="20"/>
  <c r="E40" i="20"/>
  <c r="D58" i="20" l="1"/>
  <c r="C62" i="20"/>
  <c r="D57" i="20"/>
  <c r="E57" i="20" l="1"/>
  <c r="E53" i="20"/>
  <c r="F53" i="20" s="1"/>
  <c r="G53" i="20" s="1"/>
  <c r="E52" i="20"/>
  <c r="E58" i="20"/>
  <c r="F58" i="20" s="1"/>
  <c r="G58" i="20" s="1"/>
  <c r="D62" i="20"/>
  <c r="G62" i="20" l="1"/>
  <c r="E55" i="20"/>
  <c r="F52" i="20"/>
  <c r="F62" i="20"/>
  <c r="E62" i="20"/>
  <c r="G52" i="20" l="1"/>
  <c r="F55" i="20"/>
  <c r="H57" i="20"/>
  <c r="I57" i="20" s="1"/>
  <c r="H59" i="20"/>
  <c r="H60" i="20"/>
  <c r="I61" i="20" s="1"/>
  <c r="H58" i="20"/>
  <c r="I58" i="20" s="1"/>
  <c r="C18" i="20" l="1"/>
  <c r="C2" i="20" s="1"/>
  <c r="I62" i="20"/>
  <c r="H62" i="20"/>
  <c r="G55" i="20"/>
  <c r="H52" i="20" s="1"/>
  <c r="I52" i="20" s="1"/>
  <c r="H54" i="20" l="1"/>
  <c r="H53" i="20"/>
  <c r="H55" i="20" l="1"/>
  <c r="I53" i="20"/>
  <c r="I55" i="20" s="1"/>
</calcChain>
</file>

<file path=xl/sharedStrings.xml><?xml version="1.0" encoding="utf-8"?>
<sst xmlns="http://schemas.openxmlformats.org/spreadsheetml/2006/main" count="211" uniqueCount="152">
  <si>
    <t>Source</t>
  </si>
  <si>
    <t>-</t>
  </si>
  <si>
    <t>Value</t>
  </si>
  <si>
    <t>Definition</t>
  </si>
  <si>
    <t>Unit</t>
  </si>
  <si>
    <t>Link</t>
  </si>
  <si>
    <t>Cover Sheet</t>
  </si>
  <si>
    <t>Document</t>
  </si>
  <si>
    <t>Country</t>
  </si>
  <si>
    <t>Organization</t>
  </si>
  <si>
    <t>Definition on the sources</t>
  </si>
  <si>
    <t>Type</t>
  </si>
  <si>
    <t>Date published</t>
  </si>
  <si>
    <t>Date retrieved</t>
  </si>
  <si>
    <t>Attribute</t>
  </si>
  <si>
    <t>free_co2_factor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</si>
  <si>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</si>
  <si>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</si>
  <si>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</si>
  <si>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</si>
  <si>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</si>
  <si>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</si>
  <si>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</si>
  <si>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</si>
  <si>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</si>
  <si>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</si>
  <si>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</si>
  <si>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</si>
  <si>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</si>
  <si>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</si>
  <si>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</si>
  <si>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</si>
  <si>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</si>
  <si>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ETM Library URL</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</si>
  <si>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</si>
  <si>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Overview</t>
  </si>
  <si>
    <t>typical input capacity</t>
  </si>
  <si>
    <t>MW</t>
  </si>
  <si>
    <t>full load hours</t>
  </si>
  <si>
    <t>hrs</t>
  </si>
  <si>
    <t>availability</t>
  </si>
  <si>
    <t>technical lifetime</t>
  </si>
  <si>
    <t>yr</t>
  </si>
  <si>
    <t>investment costs</t>
  </si>
  <si>
    <t>€</t>
  </si>
  <si>
    <t>fixed O&amp;M</t>
  </si>
  <si>
    <t>€/y</t>
  </si>
  <si>
    <t>variable O&amp;M</t>
  </si>
  <si>
    <t>€/flh</t>
  </si>
  <si>
    <t>total</t>
  </si>
  <si>
    <t>typical_input_capacity</t>
  </si>
  <si>
    <t>full_load_hours</t>
  </si>
  <si>
    <t>Cost</t>
  </si>
  <si>
    <t>initial_investment</t>
  </si>
  <si>
    <t>euro</t>
  </si>
  <si>
    <t>ccs_investment</t>
  </si>
  <si>
    <t>fixed_operation_and_maintenance_costs_per_year</t>
  </si>
  <si>
    <t>euro/yr</t>
  </si>
  <si>
    <r>
      <t>variable_operation_and_maintenance_costs_per_</t>
    </r>
    <r>
      <rPr>
        <sz val="12"/>
        <color theme="1"/>
        <rFont val="Calibri"/>
        <family val="2"/>
        <scheme val="minor"/>
      </rPr>
      <t>full_load_hour</t>
    </r>
  </si>
  <si>
    <t>euro/flh</t>
  </si>
  <si>
    <t>variable_operation_and_maintenance_costs_for_ccs_per_full_load_hour</t>
  </si>
  <si>
    <t>cost_of_installing</t>
  </si>
  <si>
    <r>
      <t>decommis</t>
    </r>
    <r>
      <rPr>
        <sz val="12"/>
        <color theme="1"/>
        <rFont val="Calibri"/>
        <family val="2"/>
        <scheme val="minor"/>
      </rPr>
      <t>s</t>
    </r>
    <r>
      <rPr>
        <sz val="12"/>
        <color theme="1"/>
        <rFont val="Calibri"/>
        <family val="2"/>
        <scheme val="minor"/>
      </rPr>
      <t>ioning_costs</t>
    </r>
  </si>
  <si>
    <t>takes_part_in_ets</t>
  </si>
  <si>
    <t>yes=1, no=0</t>
  </si>
  <si>
    <t>Other</t>
  </si>
  <si>
    <t>technical_lifetime</t>
  </si>
  <si>
    <t>years</t>
  </si>
  <si>
    <t>construction_time</t>
  </si>
  <si>
    <t>h</t>
  </si>
  <si>
    <t>Initial investment costs</t>
  </si>
  <si>
    <r>
      <t>Fixed operational and maintenance costs per year</t>
    </r>
    <r>
      <rPr>
        <sz val="12"/>
        <color theme="1"/>
        <rFont val="Calibri"/>
        <family val="2"/>
        <scheme val="minor"/>
      </rPr>
      <t xml:space="preserve"> (incl. ccs)</t>
    </r>
  </si>
  <si>
    <r>
      <t xml:space="preserve">Variable operation and maintenance costs per </t>
    </r>
    <r>
      <rPr>
        <sz val="12"/>
        <color theme="1"/>
        <rFont val="Calibri"/>
        <family val="2"/>
        <scheme val="minor"/>
      </rPr>
      <t>flh</t>
    </r>
  </si>
  <si>
    <t>Installation costs</t>
  </si>
  <si>
    <t>Decommissioning costs</t>
  </si>
  <si>
    <t>wacc</t>
  </si>
  <si>
    <t>%</t>
  </si>
  <si>
    <t>Weighted average cost of capita</t>
  </si>
  <si>
    <t>See https://docs.energytransitionmodel.com/main/cost-wacc/</t>
  </si>
  <si>
    <t>Technical lifetime of the plant</t>
  </si>
  <si>
    <t xml:space="preserve">Construction time of the plant </t>
  </si>
  <si>
    <t>Kyra de Haan</t>
  </si>
  <si>
    <t>Quintel assumption</t>
  </si>
  <si>
    <t>gasoline</t>
  </si>
  <si>
    <t>hydrogen</t>
  </si>
  <si>
    <t>MJ/kg</t>
  </si>
  <si>
    <t>14-10-2025</t>
  </si>
  <si>
    <t>Subject</t>
  </si>
  <si>
    <t>input.hydrogen</t>
  </si>
  <si>
    <t>Plant size and costs</t>
  </si>
  <si>
    <t>Copied from energy_production_hvo_bio_kerosene</t>
  </si>
  <si>
    <t>No CCS</t>
  </si>
  <si>
    <t>No data available, assumed to be 0</t>
  </si>
  <si>
    <t>energy_production_methanol_to_jet</t>
  </si>
  <si>
    <t>light gases</t>
  </si>
  <si>
    <t>Lower heating values</t>
  </si>
  <si>
    <t>copied from ETSource carrier files</t>
  </si>
  <si>
    <t>methanol</t>
  </si>
  <si>
    <t>kerosene</t>
  </si>
  <si>
    <t>input</t>
  </si>
  <si>
    <t>kg/kg kerosene</t>
  </si>
  <si>
    <t>output</t>
  </si>
  <si>
    <t>heat</t>
  </si>
  <si>
    <t>kg</t>
  </si>
  <si>
    <t>Output products</t>
  </si>
  <si>
    <t>MJ / kg kerosene</t>
  </si>
  <si>
    <t>electricity</t>
  </si>
  <si>
    <t>MJ/MJ kerosene</t>
  </si>
  <si>
    <t>corrected kg/kg kerosene</t>
  </si>
  <si>
    <t>correction light gases</t>
  </si>
  <si>
    <t>MJ in / MJ out</t>
  </si>
  <si>
    <t>kg / kg kerosene</t>
  </si>
  <si>
    <t>MJ / MJ kerosene</t>
  </si>
  <si>
    <t>Feedstock in- and output</t>
  </si>
  <si>
    <t>in- and output of feedstock based on Concawe &amp; Aramco report</t>
  </si>
  <si>
    <t>correction is done based on weight % composition of output products from Wang et al.</t>
  </si>
  <si>
    <t>correction is applied to account for by-products gasoline and light gases, since Concawe &amp; Aramco only reports fuel fractions based on kerosene production</t>
  </si>
  <si>
    <t>Conversions are done to:</t>
  </si>
  <si>
    <t>- allocate light gases output to proportionally increased kerosene and gasoline output (light gases difficult to model but have energy purpose)</t>
  </si>
  <si>
    <t>- conversions from kg to MJs</t>
  </si>
  <si>
    <t>Validation</t>
  </si>
  <si>
    <t>Simplified calculation based only on Concawe &amp; Armaco, to check if calculation results above make sense</t>
  </si>
  <si>
    <t>final correction MJ in / MJ out</t>
  </si>
  <si>
    <t>loss</t>
  </si>
  <si>
    <t>Plant scale and costs</t>
  </si>
  <si>
    <t>capacity</t>
  </si>
  <si>
    <t>input capacity</t>
  </si>
  <si>
    <t>MW input</t>
  </si>
  <si>
    <t>MW kerosene output</t>
  </si>
  <si>
    <t>lifetime</t>
  </si>
  <si>
    <t>€/GWh kerosene output</t>
  </si>
  <si>
    <t>copied from energy_production_bio_ethanol_to_jet</t>
  </si>
  <si>
    <t>Feedstock in- and output conversions</t>
  </si>
  <si>
    <t>- allocate heat and electricity to resp loss and hydrogen input (minor heat output is ignored and considered loss, minor electricity input is ignored and allocated to higher hydrogen input)</t>
  </si>
  <si>
    <t>Concawe &amp; Aramco report (2022), pg. 236:</t>
  </si>
  <si>
    <t>Wang et al. (2016), pg. 22:</t>
  </si>
  <si>
    <t>Concawe &amp; Aramco report (2022), pg. 10:</t>
  </si>
  <si>
    <t>input.methanol</t>
  </si>
  <si>
    <t>ouptut.kerosene</t>
  </si>
  <si>
    <t>output.gasoline</t>
  </si>
  <si>
    <t>Product yields</t>
  </si>
  <si>
    <t>Concawe &amp; Aramco</t>
  </si>
  <si>
    <t>E-Fuels: A techno-economic assessment of European domestic production and imports towards 2050</t>
  </si>
  <si>
    <t>https://www.concawe.eu/publication/e-fuels-a-techno-economic-assessment-of-european-domestic-production-and-imports-towards-2050/</t>
  </si>
  <si>
    <t>output.kerosene</t>
  </si>
  <si>
    <t>Concawe &amp; Aramco (2022)</t>
  </si>
  <si>
    <t>Wang et al.</t>
  </si>
  <si>
    <t>Review of Biojet Fuel Conversion Technologies</t>
  </si>
  <si>
    <t>https://docs.nrel.gov/docs/fy16osti/66291.pdf</t>
  </si>
  <si>
    <t>Copied from energy_production_bio_ethanol_to_jet</t>
  </si>
  <si>
    <t>Concawe &amp; Aramco (2022), Wang et al. (2015)</t>
  </si>
  <si>
    <t>Quintel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</si>
</sst>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_ * #,##0_ ;_ * \-#,##0_ ;_ * &quot;-&quot;??_ ;_ @_ "/>
    <numFmt numFmtId="168" formatCode="0.0%"/>
  </numFmts>
  <fonts count="30">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b/>
      <sz val="8"/>
      <color rgb="FF969696"/>
      <name val="Calibri"/>
      <family val="2"/>
    </font>
    <font>
      <b/>
      <sz val="8"/>
      <color rgb="FF000000"/>
      <name val="Calibri"/>
      <family val="2"/>
    </font>
    <font>
      <b/>
      <sz val="8"/>
      <name val="Calibri"/>
      <family val="2"/>
    </font>
    <font>
      <sz val="8"/>
      <color rgb="FF969696"/>
      <name val="Calibri"/>
      <family val="2"/>
    </font>
    <font>
      <sz val="8"/>
      <color rgb="FF000000"/>
      <name val="Calibri"/>
      <family val="2"/>
    </font>
    <font>
      <b/>
      <sz val="14"/>
      <color theme="1"/>
      <name val="Calibri"/>
      <family val="2"/>
      <scheme val="minor"/>
    </font>
    <font>
      <u/>
      <sz val="12"/>
      <name val="Calibri"/>
      <family val="2"/>
      <scheme val="minor"/>
    </font>
    <font>
      <sz val="12"/>
      <color theme="1"/>
      <name val="Lettertype hoofdtekst"/>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top style="medium">
        <color auto="1"/>
      </top>
      <bottom/>
      <diagonal/>
    </border>
  </borders>
  <cellStyleXfs count="358">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9" fontId="29" fillId="0" borderId="0" applyFont="0" applyFill="0" applyBorder="0" applyAlignment="0" applyProtection="0"/>
  </cellStyleXfs>
  <cellXfs count="131">
    <xf numFmtId="0" fontId="0" fillId="0" borderId="0" xfId="0"/>
    <xf numFmtId="0" fontId="13" fillId="3" borderId="7" xfId="0" applyFont="1" applyFill="1" applyBorder="1"/>
    <xf numFmtId="0" fontId="14" fillId="3" borderId="17" xfId="0" applyFont="1" applyFill="1" applyBorder="1"/>
    <xf numFmtId="0" fontId="15" fillId="3" borderId="7" xfId="0" applyFont="1" applyFill="1" applyBorder="1" applyAlignment="1">
      <alignment vertical="center"/>
    </xf>
    <xf numFmtId="0" fontId="15" fillId="3" borderId="1" xfId="0" applyFont="1" applyFill="1" applyBorder="1" applyAlignment="1">
      <alignment vertical="center"/>
    </xf>
    <xf numFmtId="0" fontId="13" fillId="3" borderId="0" xfId="0" applyFont="1" applyFill="1"/>
    <xf numFmtId="0" fontId="12" fillId="2" borderId="0" xfId="0" applyFont="1" applyFill="1"/>
    <xf numFmtId="0" fontId="12" fillId="2" borderId="5" xfId="0" applyFont="1" applyFill="1" applyBorder="1"/>
    <xf numFmtId="0" fontId="12" fillId="2" borderId="9" xfId="0" applyFont="1" applyFill="1" applyBorder="1"/>
    <xf numFmtId="0" fontId="12" fillId="0" borderId="9" xfId="0" applyFont="1" applyBorder="1"/>
    <xf numFmtId="0" fontId="14" fillId="0" borderId="9" xfId="0" applyFont="1" applyBorder="1"/>
    <xf numFmtId="49" fontId="12" fillId="2" borderId="0" xfId="0" applyNumberFormat="1" applyFont="1" applyFill="1"/>
    <xf numFmtId="49" fontId="12" fillId="2" borderId="9" xfId="0" applyNumberFormat="1" applyFont="1" applyFill="1" applyBorder="1"/>
    <xf numFmtId="0" fontId="12" fillId="2" borderId="4" xfId="0" applyFont="1" applyFill="1" applyBorder="1"/>
    <xf numFmtId="0" fontId="9" fillId="2" borderId="0" xfId="0" applyFont="1" applyFill="1"/>
    <xf numFmtId="0" fontId="13" fillId="0" borderId="0" xfId="0" applyFont="1"/>
    <xf numFmtId="0" fontId="12" fillId="0" borderId="16" xfId="0" applyFont="1" applyBorder="1"/>
    <xf numFmtId="0" fontId="12" fillId="2" borderId="6" xfId="0" applyFont="1" applyFill="1" applyBorder="1"/>
    <xf numFmtId="0" fontId="13" fillId="3" borderId="17" xfId="0" applyFont="1" applyFill="1" applyBorder="1"/>
    <xf numFmtId="0" fontId="13" fillId="3" borderId="2" xfId="0" applyFont="1" applyFill="1" applyBorder="1"/>
    <xf numFmtId="0" fontId="9" fillId="2" borderId="2" xfId="0" applyFont="1" applyFill="1" applyBorder="1"/>
    <xf numFmtId="0" fontId="16" fillId="3" borderId="0" xfId="0" applyFont="1" applyFill="1"/>
    <xf numFmtId="0" fontId="9" fillId="2" borderId="7" xfId="0" applyFont="1" applyFill="1" applyBorder="1"/>
    <xf numFmtId="0" fontId="14" fillId="3" borderId="0" xfId="0" applyFont="1" applyFill="1"/>
    <xf numFmtId="0" fontId="8" fillId="2" borderId="0" xfId="0" applyFont="1" applyFill="1"/>
    <xf numFmtId="0" fontId="7" fillId="2" borderId="0" xfId="0" applyFont="1" applyFill="1"/>
    <xf numFmtId="0" fontId="7" fillId="2" borderId="4" xfId="0" applyFont="1" applyFill="1" applyBorder="1"/>
    <xf numFmtId="49" fontId="7" fillId="2" borderId="0" xfId="0" applyNumberFormat="1" applyFont="1" applyFill="1"/>
    <xf numFmtId="49" fontId="7" fillId="2" borderId="4" xfId="0" applyNumberFormat="1" applyFont="1" applyFill="1" applyBorder="1"/>
    <xf numFmtId="0" fontId="17" fillId="2" borderId="0" xfId="0" applyFont="1" applyFill="1"/>
    <xf numFmtId="0" fontId="18" fillId="2" borderId="0" xfId="0" applyFont="1" applyFill="1"/>
    <xf numFmtId="0" fontId="12" fillId="2" borderId="17" xfId="0" applyFont="1" applyFill="1" applyBorder="1"/>
    <xf numFmtId="0" fontId="6" fillId="2" borderId="2" xfId="0" applyFont="1" applyFill="1" applyBorder="1"/>
    <xf numFmtId="0" fontId="12" fillId="2" borderId="7" xfId="0" applyFont="1" applyFill="1" applyBorder="1"/>
    <xf numFmtId="0" fontId="6" fillId="2" borderId="18" xfId="0" applyFont="1" applyFill="1" applyBorder="1"/>
    <xf numFmtId="0" fontId="6" fillId="2" borderId="7" xfId="0" applyFont="1" applyFill="1" applyBorder="1"/>
    <xf numFmtId="0" fontId="12" fillId="2" borderId="19" xfId="0" applyFont="1" applyFill="1" applyBorder="1"/>
    <xf numFmtId="165" fontId="17" fillId="2" borderId="0" xfId="0" applyNumberFormat="1" applyFont="1" applyFill="1"/>
    <xf numFmtId="0" fontId="7" fillId="2" borderId="20" xfId="0" applyFont="1" applyFill="1" applyBorder="1"/>
    <xf numFmtId="0" fontId="7" fillId="2" borderId="7" xfId="0" applyFont="1" applyFill="1" applyBorder="1"/>
    <xf numFmtId="0" fontId="7" fillId="2" borderId="1" xfId="0" applyFont="1" applyFill="1" applyBorder="1"/>
    <xf numFmtId="1" fontId="17" fillId="2" borderId="0" xfId="0" applyNumberFormat="1" applyFont="1" applyFill="1"/>
    <xf numFmtId="167" fontId="17" fillId="2" borderId="0" xfId="0" applyNumberFormat="1" applyFont="1" applyFill="1"/>
    <xf numFmtId="4" fontId="17" fillId="2" borderId="0" xfId="0" applyNumberFormat="1" applyFont="1" applyFill="1"/>
    <xf numFmtId="0" fontId="5" fillId="2" borderId="0" xfId="0" applyFont="1" applyFill="1"/>
    <xf numFmtId="0" fontId="5" fillId="0" borderId="0" xfId="0" applyFont="1" applyAlignment="1">
      <alignment vertical="center"/>
    </xf>
    <xf numFmtId="0" fontId="13" fillId="0" borderId="0" xfId="0" applyFont="1" applyAlignment="1">
      <alignment vertical="center"/>
    </xf>
    <xf numFmtId="2" fontId="5" fillId="2" borderId="18" xfId="0" applyNumberFormat="1" applyFont="1" applyFill="1" applyBorder="1" applyAlignment="1">
      <alignment vertical="center"/>
    </xf>
    <xf numFmtId="2" fontId="5" fillId="2" borderId="18" xfId="0" applyNumberFormat="1" applyFont="1" applyFill="1" applyBorder="1"/>
    <xf numFmtId="164" fontId="5" fillId="2" borderId="18" xfId="0" applyNumberFormat="1" applyFont="1" applyFill="1" applyBorder="1"/>
    <xf numFmtId="0" fontId="5" fillId="0" borderId="0" xfId="0" applyFont="1"/>
    <xf numFmtId="166" fontId="5" fillId="0" borderId="0" xfId="0" applyNumberFormat="1" applyFont="1"/>
    <xf numFmtId="166" fontId="13" fillId="0" borderId="0" xfId="0" applyNumberFormat="1" applyFont="1"/>
    <xf numFmtId="164" fontId="5" fillId="2" borderId="0" xfId="0" applyNumberFormat="1" applyFont="1" applyFill="1"/>
    <xf numFmtId="0" fontId="13" fillId="2" borderId="0" xfId="0" applyFont="1" applyFill="1"/>
    <xf numFmtId="0" fontId="5" fillId="2" borderId="18" xfId="0" applyFont="1" applyFill="1" applyBorder="1"/>
    <xf numFmtId="0" fontId="5" fillId="2" borderId="3" xfId="0" applyFont="1" applyFill="1" applyBorder="1"/>
    <xf numFmtId="0" fontId="5" fillId="2" borderId="15" xfId="0" applyFont="1" applyFill="1" applyBorder="1"/>
    <xf numFmtId="0" fontId="12" fillId="2" borderId="6" xfId="0" applyFont="1" applyFill="1" applyBorder="1" applyAlignment="1">
      <alignment vertical="center"/>
    </xf>
    <xf numFmtId="0" fontId="12" fillId="0" borderId="0" xfId="0" applyFont="1" applyAlignment="1">
      <alignment vertical="center"/>
    </xf>
    <xf numFmtId="0" fontId="27" fillId="2" borderId="0" xfId="0" applyFont="1" applyFill="1" applyAlignment="1">
      <alignment vertical="center"/>
    </xf>
    <xf numFmtId="0" fontId="27" fillId="2" borderId="5" xfId="0" applyFont="1" applyFill="1" applyBorder="1" applyAlignment="1">
      <alignment vertical="center"/>
    </xf>
    <xf numFmtId="165" fontId="5" fillId="2" borderId="18" xfId="0" applyNumberFormat="1" applyFont="1" applyFill="1" applyBorder="1" applyAlignment="1">
      <alignment vertical="center"/>
    </xf>
    <xf numFmtId="0" fontId="5" fillId="2" borderId="6" xfId="0" applyFont="1" applyFill="1" applyBorder="1"/>
    <xf numFmtId="0" fontId="5" fillId="2" borderId="5" xfId="0" applyFont="1" applyFill="1" applyBorder="1"/>
    <xf numFmtId="0" fontId="5" fillId="2" borderId="6" xfId="0" applyFont="1" applyFill="1" applyBorder="1" applyAlignment="1">
      <alignment vertical="center"/>
    </xf>
    <xf numFmtId="0" fontId="5" fillId="2" borderId="0" xfId="0" applyFont="1" applyFill="1" applyAlignment="1">
      <alignment vertical="center"/>
    </xf>
    <xf numFmtId="0" fontId="5" fillId="2" borderId="5" xfId="0" applyFont="1" applyFill="1" applyBorder="1" applyAlignment="1">
      <alignment vertical="center"/>
    </xf>
    <xf numFmtId="0" fontId="20" fillId="12" borderId="18" xfId="0" applyFont="1" applyFill="1" applyBorder="1"/>
    <xf numFmtId="166" fontId="5" fillId="2" borderId="6" xfId="0" applyNumberFormat="1" applyFont="1" applyFill="1" applyBorder="1"/>
    <xf numFmtId="166" fontId="5" fillId="2" borderId="5" xfId="0" applyNumberFormat="1" applyFont="1" applyFill="1" applyBorder="1"/>
    <xf numFmtId="0" fontId="5" fillId="2" borderId="10" xfId="0" applyFont="1" applyFill="1" applyBorder="1"/>
    <xf numFmtId="0" fontId="5" fillId="2" borderId="11" xfId="0" applyFont="1" applyFill="1" applyBorder="1"/>
    <xf numFmtId="0" fontId="5" fillId="2" borderId="12" xfId="0" applyFont="1" applyFill="1" applyBorder="1"/>
    <xf numFmtId="0" fontId="4" fillId="2" borderId="18" xfId="0" applyFont="1" applyFill="1" applyBorder="1"/>
    <xf numFmtId="0" fontId="22" fillId="3" borderId="0" xfId="0" applyFont="1" applyFill="1" applyAlignment="1">
      <alignment horizontal="left" vertical="top"/>
    </xf>
    <xf numFmtId="0" fontId="23" fillId="3" borderId="0" xfId="0" applyFont="1" applyFill="1" applyAlignment="1">
      <alignment horizontal="right" vertical="top"/>
    </xf>
    <xf numFmtId="0" fontId="24" fillId="3" borderId="0" xfId="0" applyFont="1" applyFill="1" applyAlignment="1">
      <alignment horizontal="right" vertical="top"/>
    </xf>
    <xf numFmtId="0" fontId="23" fillId="3" borderId="0" xfId="0" applyFont="1" applyFill="1" applyAlignment="1">
      <alignment horizontal="center" vertical="top"/>
    </xf>
    <xf numFmtId="0" fontId="25" fillId="3" borderId="0" xfId="0" applyFont="1" applyFill="1" applyAlignment="1">
      <alignment horizontal="left" vertical="top"/>
    </xf>
    <xf numFmtId="0" fontId="26" fillId="3" borderId="0" xfId="0" applyFont="1" applyFill="1" applyAlignment="1">
      <alignment horizontal="center" vertical="top"/>
    </xf>
    <xf numFmtId="0" fontId="22" fillId="2" borderId="0" xfId="0" applyFont="1" applyFill="1" applyAlignment="1">
      <alignment horizontal="left" vertical="top"/>
    </xf>
    <xf numFmtId="0" fontId="25" fillId="2" borderId="0" xfId="0" applyFont="1" applyFill="1" applyAlignment="1">
      <alignment horizontal="left" vertical="top"/>
    </xf>
    <xf numFmtId="0" fontId="26" fillId="2" borderId="0" xfId="0" applyFont="1" applyFill="1" applyAlignment="1">
      <alignment horizontal="right" vertical="top"/>
    </xf>
    <xf numFmtId="0" fontId="26" fillId="2" borderId="0" xfId="0" applyFont="1" applyFill="1" applyAlignment="1">
      <alignment horizontal="center" vertical="top"/>
    </xf>
    <xf numFmtId="0" fontId="23" fillId="2" borderId="0" xfId="0" applyFont="1" applyFill="1" applyAlignment="1">
      <alignment horizontal="left" vertical="top"/>
    </xf>
    <xf numFmtId="0" fontId="26" fillId="2" borderId="0" xfId="0" applyFont="1" applyFill="1" applyAlignment="1">
      <alignment horizontal="left" vertical="top"/>
    </xf>
    <xf numFmtId="0" fontId="23" fillId="2" borderId="0" xfId="0" applyFont="1" applyFill="1" applyAlignment="1">
      <alignment horizontal="right" vertical="top"/>
    </xf>
    <xf numFmtId="9" fontId="26" fillId="2" borderId="0" xfId="0" applyNumberFormat="1" applyFont="1" applyFill="1" applyAlignment="1">
      <alignment horizontal="right" vertical="top"/>
    </xf>
    <xf numFmtId="0" fontId="28" fillId="2" borderId="0" xfId="0" applyFont="1" applyFill="1"/>
    <xf numFmtId="2" fontId="17" fillId="2" borderId="0" xfId="0" applyNumberFormat="1" applyFont="1" applyFill="1"/>
    <xf numFmtId="49" fontId="3" fillId="2" borderId="0" xfId="0" applyNumberFormat="1" applyFont="1" applyFill="1"/>
    <xf numFmtId="0" fontId="10" fillId="2" borderId="0" xfId="356" applyFill="1"/>
    <xf numFmtId="0" fontId="3" fillId="0" borderId="0" xfId="0" applyFont="1" applyAlignment="1">
      <alignment vertical="center"/>
    </xf>
    <xf numFmtId="0" fontId="3" fillId="2" borderId="18" xfId="0" applyFont="1" applyFill="1" applyBorder="1" applyAlignment="1">
      <alignment vertical="center"/>
    </xf>
    <xf numFmtId="166" fontId="3" fillId="2" borderId="18" xfId="0" applyNumberFormat="1" applyFont="1" applyFill="1" applyBorder="1"/>
    <xf numFmtId="9" fontId="17" fillId="2" borderId="0" xfId="0" applyNumberFormat="1" applyFont="1" applyFill="1"/>
    <xf numFmtId="164" fontId="17" fillId="2" borderId="0" xfId="0" applyNumberFormat="1" applyFont="1" applyFill="1"/>
    <xf numFmtId="168" fontId="17" fillId="2" borderId="0" xfId="357" applyNumberFormat="1" applyFont="1" applyFill="1"/>
    <xf numFmtId="0" fontId="17" fillId="2" borderId="0" xfId="0" quotePrefix="1" applyFont="1" applyFill="1"/>
    <xf numFmtId="0" fontId="2" fillId="2" borderId="0" xfId="0" applyFont="1" applyFill="1"/>
    <xf numFmtId="0" fontId="2" fillId="0" borderId="0" xfId="0" applyFont="1" applyAlignment="1">
      <alignment vertical="center"/>
    </xf>
    <xf numFmtId="0" fontId="2" fillId="0" borderId="0" xfId="0" applyFont="1"/>
    <xf numFmtId="0" fontId="2" fillId="2" borderId="18" xfId="0" applyFont="1" applyFill="1" applyBorder="1" applyAlignment="1">
      <alignment vertical="center"/>
    </xf>
    <xf numFmtId="0" fontId="20" fillId="12" borderId="17" xfId="0" applyFont="1" applyFill="1" applyBorder="1" applyAlignment="1">
      <alignment horizontal="left" vertical="top" wrapText="1"/>
    </xf>
    <xf numFmtId="0" fontId="20" fillId="12" borderId="2" xfId="0" applyFont="1" applyFill="1" applyBorder="1" applyAlignment="1">
      <alignment horizontal="left" vertical="top" wrapText="1"/>
    </xf>
    <xf numFmtId="0" fontId="20" fillId="12" borderId="13" xfId="0" applyFont="1" applyFill="1" applyBorder="1" applyAlignment="1">
      <alignment horizontal="left" vertical="top" wrapText="1"/>
    </xf>
    <xf numFmtId="0" fontId="20" fillId="12" borderId="7" xfId="0" applyFont="1" applyFill="1" applyBorder="1" applyAlignment="1">
      <alignment horizontal="left" vertical="top" wrapText="1"/>
    </xf>
    <xf numFmtId="0" fontId="20" fillId="12" borderId="0" xfId="0" applyFont="1" applyFill="1" applyAlignment="1">
      <alignment horizontal="left" vertical="top" wrapText="1"/>
    </xf>
    <xf numFmtId="0" fontId="20" fillId="12" borderId="8" xfId="0" applyFont="1" applyFill="1" applyBorder="1" applyAlignment="1">
      <alignment horizontal="left" vertical="top" wrapText="1"/>
    </xf>
    <xf numFmtId="0" fontId="20" fillId="12" borderId="1" xfId="0" applyFont="1" applyFill="1" applyBorder="1" applyAlignment="1">
      <alignment horizontal="left" vertical="top" wrapText="1"/>
    </xf>
    <xf numFmtId="0" fontId="20" fillId="12" borderId="9" xfId="0" applyFont="1" applyFill="1" applyBorder="1" applyAlignment="1">
      <alignment horizontal="left" vertical="top" wrapText="1"/>
    </xf>
    <xf numFmtId="0" fontId="20" fillId="12" borderId="14" xfId="0" applyFont="1" applyFill="1" applyBorder="1" applyAlignment="1">
      <alignment horizontal="left" vertical="top" wrapText="1"/>
    </xf>
    <xf numFmtId="49" fontId="13" fillId="2" borderId="0" xfId="0" applyNumberFormat="1" applyFont="1" applyFill="1" applyBorder="1" applyAlignment="1">
      <alignment horizontal="left"/>
    </xf>
    <xf numFmtId="0" fontId="13" fillId="3" borderId="9" xfId="0" applyFont="1" applyFill="1" applyBorder="1"/>
    <xf numFmtId="0" fontId="9" fillId="2" borderId="13" xfId="0" applyFont="1" applyFill="1" applyBorder="1"/>
    <xf numFmtId="0" fontId="9" fillId="2" borderId="8" xfId="0" applyFont="1" applyFill="1" applyBorder="1"/>
    <xf numFmtId="0" fontId="9" fillId="2" borderId="14" xfId="0" applyFont="1" applyFill="1" applyBorder="1"/>
    <xf numFmtId="0" fontId="6" fillId="2" borderId="0" xfId="0" applyFont="1" applyFill="1" applyBorder="1"/>
    <xf numFmtId="0" fontId="19" fillId="2" borderId="0" xfId="0" applyFont="1" applyFill="1" applyBorder="1"/>
    <xf numFmtId="0" fontId="12" fillId="2" borderId="0" xfId="0" applyFont="1" applyFill="1" applyBorder="1"/>
    <xf numFmtId="0" fontId="6" fillId="4" borderId="0" xfId="0" applyFont="1" applyFill="1" applyBorder="1"/>
    <xf numFmtId="0" fontId="6" fillId="5" borderId="0" xfId="0" applyFont="1" applyFill="1" applyBorder="1"/>
    <xf numFmtId="0" fontId="6" fillId="6" borderId="0" xfId="0" applyFont="1" applyFill="1" applyBorder="1"/>
    <xf numFmtId="0" fontId="6" fillId="7" borderId="0" xfId="0" applyFont="1" applyFill="1" applyBorder="1"/>
    <xf numFmtId="0" fontId="6" fillId="8" borderId="0" xfId="0" applyFont="1" applyFill="1" applyBorder="1"/>
    <xf numFmtId="0" fontId="6" fillId="9" borderId="0" xfId="0" applyFont="1" applyFill="1" applyBorder="1"/>
    <xf numFmtId="0" fontId="6" fillId="10" borderId="0" xfId="0" applyFont="1" applyFill="1" applyBorder="1"/>
    <xf numFmtId="0" fontId="6" fillId="11" borderId="0" xfId="0" applyFont="1" applyFill="1" applyBorder="1"/>
    <xf numFmtId="0" fontId="9" fillId="2" borderId="1" xfId="0" applyFont="1" applyFill="1" applyBorder="1"/>
    <xf numFmtId="0" fontId="9" fillId="2" borderId="9" xfId="0" applyFont="1" applyFill="1" applyBorder="1"/>
  </cellXfs>
  <cellStyles count="35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356" builtinId="8"/>
    <cellStyle name="Normal" xfId="0" builtinId="0"/>
    <cellStyle name="Per cent" xfId="35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1351561</xdr:colOff>
      <xdr:row>57</xdr:row>
      <xdr:rowOff>38382</xdr:rowOff>
    </xdr:from>
    <xdr:to>
      <xdr:col>14</xdr:col>
      <xdr:colOff>793042</xdr:colOff>
      <xdr:row>76</xdr:row>
      <xdr:rowOff>34173</xdr:rowOff>
    </xdr:to>
    <xdr:pic>
      <xdr:nvPicPr>
        <xdr:cNvPr id="4" name="Picture 3">
          <a:extLst>
            <a:ext uri="{FF2B5EF4-FFF2-40B4-BE49-F238E27FC236}">
              <a16:creationId xmlns:a16="http://schemas.microsoft.com/office/drawing/2014/main" id="{BCB40E8C-281B-576D-FC6B-6B6DC61A51C2}"/>
            </a:ext>
          </a:extLst>
        </xdr:cNvPr>
        <xdr:cNvPicPr>
          <a:picLocks noChangeAspect="1"/>
        </xdr:cNvPicPr>
      </xdr:nvPicPr>
      <xdr:blipFill>
        <a:blip xmlns:r="http://schemas.openxmlformats.org/officeDocument/2006/relationships" r:embed="rId1"/>
        <a:stretch>
          <a:fillRect/>
        </a:stretch>
      </xdr:blipFill>
      <xdr:spPr>
        <a:xfrm>
          <a:off x="16756661" y="11620782"/>
          <a:ext cx="6566181" cy="3856591"/>
        </a:xfrm>
        <a:prstGeom prst="rect">
          <a:avLst/>
        </a:prstGeom>
      </xdr:spPr>
    </xdr:pic>
    <xdr:clientData/>
  </xdr:twoCellAnchor>
  <xdr:twoCellAnchor editAs="oneCell">
    <xdr:from>
      <xdr:col>10</xdr:col>
      <xdr:colOff>1181612</xdr:colOff>
      <xdr:row>42</xdr:row>
      <xdr:rowOff>41077</xdr:rowOff>
    </xdr:from>
    <xdr:to>
      <xdr:col>15</xdr:col>
      <xdr:colOff>172897</xdr:colOff>
      <xdr:row>53</xdr:row>
      <xdr:rowOff>91877</xdr:rowOff>
    </xdr:to>
    <xdr:pic>
      <xdr:nvPicPr>
        <xdr:cNvPr id="5" name="Picture 4">
          <a:extLst>
            <a:ext uri="{FF2B5EF4-FFF2-40B4-BE49-F238E27FC236}">
              <a16:creationId xmlns:a16="http://schemas.microsoft.com/office/drawing/2014/main" id="{7E95ED85-90B5-6444-964C-2AD529BC8BAA}"/>
            </a:ext>
          </a:extLst>
        </xdr:cNvPr>
        <xdr:cNvPicPr>
          <a:picLocks noChangeAspect="1"/>
        </xdr:cNvPicPr>
      </xdr:nvPicPr>
      <xdr:blipFill>
        <a:blip xmlns:r="http://schemas.openxmlformats.org/officeDocument/2006/relationships" r:embed="rId2"/>
        <a:stretch>
          <a:fillRect/>
        </a:stretch>
      </xdr:blipFill>
      <xdr:spPr>
        <a:xfrm>
          <a:off x="16586712" y="8575477"/>
          <a:ext cx="7068485" cy="2286000"/>
        </a:xfrm>
        <a:prstGeom prst="rect">
          <a:avLst/>
        </a:prstGeom>
      </xdr:spPr>
    </xdr:pic>
    <xdr:clientData/>
  </xdr:twoCellAnchor>
  <xdr:twoCellAnchor editAs="oneCell">
    <xdr:from>
      <xdr:col>7</xdr:col>
      <xdr:colOff>863600</xdr:colOff>
      <xdr:row>4</xdr:row>
      <xdr:rowOff>139700</xdr:rowOff>
    </xdr:from>
    <xdr:to>
      <xdr:col>13</xdr:col>
      <xdr:colOff>241301</xdr:colOff>
      <xdr:row>39</xdr:row>
      <xdr:rowOff>75690</xdr:rowOff>
    </xdr:to>
    <xdr:pic>
      <xdr:nvPicPr>
        <xdr:cNvPr id="11" name="Picture 10">
          <a:extLst>
            <a:ext uri="{FF2B5EF4-FFF2-40B4-BE49-F238E27FC236}">
              <a16:creationId xmlns:a16="http://schemas.microsoft.com/office/drawing/2014/main" id="{0C902BC0-DE28-284A-A5DD-037B4273F676}"/>
            </a:ext>
          </a:extLst>
        </xdr:cNvPr>
        <xdr:cNvPicPr>
          <a:picLocks noChangeAspect="1"/>
        </xdr:cNvPicPr>
      </xdr:nvPicPr>
      <xdr:blipFill>
        <a:blip xmlns:r="http://schemas.openxmlformats.org/officeDocument/2006/relationships" r:embed="rId3"/>
        <a:stretch>
          <a:fillRect/>
        </a:stretch>
      </xdr:blipFill>
      <xdr:spPr>
        <a:xfrm>
          <a:off x="13411200" y="952500"/>
          <a:ext cx="7010401" cy="70479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docs.nrel.gov/docs/fy16osti/66291.pdf" TargetMode="External"/><Relationship Id="rId1" Type="http://schemas.openxmlformats.org/officeDocument/2006/relationships/hyperlink" Target="https://www.concawe.eu/publication/e-fuels-a-techno-economic-assessment-of-european-domestic-production-and-imports-towards-205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F18" sqref="F18"/>
    </sheetView>
  </sheetViews>
  <sheetFormatPr baseColWidth="10" defaultColWidth="10.6640625" defaultRowHeight="16"/>
  <cols>
    <col min="1" max="1" width="3.5" style="22" customWidth="1"/>
    <col min="2" max="2" width="11.5" style="14" customWidth="1"/>
    <col min="3" max="3" width="38.5" style="14" customWidth="1"/>
    <col min="4" max="16384" width="10.6640625" style="14"/>
  </cols>
  <sheetData>
    <row r="1" spans="1:4" s="20" customFormat="1">
      <c r="A1" s="18"/>
      <c r="B1" s="19"/>
      <c r="C1" s="19"/>
    </row>
    <row r="2" spans="1:4" ht="21">
      <c r="A2" s="1"/>
      <c r="B2" s="21" t="s">
        <v>6</v>
      </c>
      <c r="C2" s="21"/>
    </row>
    <row r="3" spans="1:4">
      <c r="A3" s="1"/>
      <c r="B3" s="5"/>
      <c r="C3" s="5"/>
    </row>
    <row r="4" spans="1:4">
      <c r="A4" s="1"/>
      <c r="B4" s="2" t="s">
        <v>7</v>
      </c>
      <c r="C4" s="19" t="s">
        <v>93</v>
      </c>
      <c r="D4" s="115"/>
    </row>
    <row r="5" spans="1:4">
      <c r="A5" s="1"/>
      <c r="B5" s="3" t="s">
        <v>31</v>
      </c>
      <c r="C5" s="113" t="s">
        <v>81</v>
      </c>
      <c r="D5" s="116"/>
    </row>
    <row r="6" spans="1:4">
      <c r="A6" s="1"/>
      <c r="B6" s="4" t="s">
        <v>9</v>
      </c>
      <c r="C6" s="114" t="s">
        <v>151</v>
      </c>
      <c r="D6" s="117"/>
    </row>
    <row r="7" spans="1:4">
      <c r="A7" s="1"/>
      <c r="B7" s="5"/>
      <c r="C7" s="5"/>
    </row>
    <row r="8" spans="1:4">
      <c r="A8" s="1"/>
      <c r="B8" s="5"/>
      <c r="C8" s="5"/>
    </row>
    <row r="9" spans="1:4">
      <c r="A9" s="1"/>
      <c r="B9" s="31" t="s">
        <v>16</v>
      </c>
      <c r="C9" s="32"/>
      <c r="D9" s="115"/>
    </row>
    <row r="10" spans="1:4">
      <c r="A10" s="1"/>
      <c r="B10" s="33"/>
      <c r="C10" s="118"/>
      <c r="D10" s="116"/>
    </row>
    <row r="11" spans="1:4">
      <c r="A11" s="1"/>
      <c r="B11" s="33" t="s">
        <v>17</v>
      </c>
      <c r="C11" s="119" t="s">
        <v>18</v>
      </c>
      <c r="D11" s="116"/>
    </row>
    <row r="12" spans="1:4" ht="17" thickBot="1">
      <c r="A12" s="1"/>
      <c r="B12" s="33"/>
      <c r="C12" s="120" t="s">
        <v>19</v>
      </c>
      <c r="D12" s="116"/>
    </row>
    <row r="13" spans="1:4" ht="17" thickBot="1">
      <c r="A13" s="1"/>
      <c r="B13" s="33"/>
      <c r="C13" s="34" t="s">
        <v>20</v>
      </c>
      <c r="D13" s="116"/>
    </row>
    <row r="14" spans="1:4">
      <c r="A14" s="1"/>
      <c r="B14" s="33"/>
      <c r="C14" s="118" t="s">
        <v>21</v>
      </c>
      <c r="D14" s="116"/>
    </row>
    <row r="15" spans="1:4">
      <c r="A15" s="1"/>
      <c r="B15" s="33"/>
      <c r="C15" s="118"/>
      <c r="D15" s="116"/>
    </row>
    <row r="16" spans="1:4">
      <c r="A16" s="1"/>
      <c r="B16" s="33" t="s">
        <v>22</v>
      </c>
      <c r="C16" s="121" t="s">
        <v>23</v>
      </c>
      <c r="D16" s="116"/>
    </row>
    <row r="17" spans="1:4">
      <c r="A17" s="1"/>
      <c r="B17" s="33"/>
      <c r="C17" s="122" t="s">
        <v>24</v>
      </c>
      <c r="D17" s="116"/>
    </row>
    <row r="18" spans="1:4">
      <c r="A18" s="1"/>
      <c r="B18" s="33"/>
      <c r="C18" s="123" t="s">
        <v>25</v>
      </c>
      <c r="D18" s="116"/>
    </row>
    <row r="19" spans="1:4">
      <c r="A19" s="1"/>
      <c r="B19" s="33"/>
      <c r="C19" s="124" t="s">
        <v>26</v>
      </c>
      <c r="D19" s="116"/>
    </row>
    <row r="20" spans="1:4">
      <c r="A20" s="1"/>
      <c r="B20" s="35"/>
      <c r="C20" s="125" t="s">
        <v>27</v>
      </c>
      <c r="D20" s="116"/>
    </row>
    <row r="21" spans="1:4">
      <c r="A21" s="1"/>
      <c r="B21" s="35"/>
      <c r="C21" s="126" t="s">
        <v>28</v>
      </c>
      <c r="D21" s="116"/>
    </row>
    <row r="22" spans="1:4">
      <c r="A22" s="1"/>
      <c r="B22" s="35"/>
      <c r="C22" s="127" t="s">
        <v>29</v>
      </c>
      <c r="D22" s="116"/>
    </row>
    <row r="23" spans="1:4">
      <c r="B23" s="35"/>
      <c r="C23" s="128" t="s">
        <v>30</v>
      </c>
      <c r="D23" s="116"/>
    </row>
    <row r="24" spans="1:4">
      <c r="B24" s="129"/>
      <c r="C24" s="130"/>
      <c r="D24" s="117"/>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5"/>
  <sheetViews>
    <sheetView tabSelected="1" workbookViewId="0">
      <selection activeCell="I34" sqref="I34"/>
    </sheetView>
  </sheetViews>
  <sheetFormatPr baseColWidth="10" defaultColWidth="10.6640625" defaultRowHeight="16"/>
  <cols>
    <col min="1" max="2" width="3.5" style="24" customWidth="1"/>
    <col min="3" max="3" width="36" style="24" customWidth="1"/>
    <col min="4" max="4" width="9.5" style="24" customWidth="1"/>
    <col min="5" max="5" width="15.5" style="24" customWidth="1"/>
    <col min="6" max="6" width="4.5" style="24" customWidth="1"/>
    <col min="7" max="7" width="47.5" style="24" customWidth="1"/>
    <col min="8" max="8" width="5.1640625" style="24" customWidth="1"/>
    <col min="9" max="9" width="48.83203125" style="24" customWidth="1"/>
    <col min="10" max="10" width="5.5" style="24" customWidth="1"/>
    <col min="11" max="16384" width="10.6640625" style="24"/>
  </cols>
  <sheetData>
    <row r="2" spans="2:10">
      <c r="B2" s="104" t="s">
        <v>34</v>
      </c>
      <c r="C2" s="105"/>
      <c r="D2" s="105"/>
      <c r="E2" s="106"/>
    </row>
    <row r="3" spans="2:10">
      <c r="B3" s="107"/>
      <c r="C3" s="108"/>
      <c r="D3" s="108"/>
      <c r="E3" s="109"/>
    </row>
    <row r="4" spans="2:10">
      <c r="B4" s="107"/>
      <c r="C4" s="108"/>
      <c r="D4" s="108"/>
      <c r="E4" s="109"/>
    </row>
    <row r="5" spans="2:10" ht="31" customHeight="1">
      <c r="B5" s="110"/>
      <c r="C5" s="111"/>
      <c r="D5" s="111"/>
      <c r="E5" s="112"/>
    </row>
    <row r="7" spans="2:10" ht="17" thickBot="1"/>
    <row r="8" spans="2:10">
      <c r="B8" s="56"/>
      <c r="C8" s="13"/>
      <c r="D8" s="13"/>
      <c r="E8" s="13"/>
      <c r="F8" s="13"/>
      <c r="G8" s="13"/>
      <c r="H8" s="13"/>
      <c r="I8" s="13"/>
      <c r="J8" s="57"/>
    </row>
    <row r="9" spans="2:10" s="6" customFormat="1">
      <c r="B9" s="16"/>
      <c r="C9" s="9" t="s">
        <v>14</v>
      </c>
      <c r="D9" s="10" t="s">
        <v>4</v>
      </c>
      <c r="E9" s="8" t="s">
        <v>2</v>
      </c>
      <c r="F9" s="9"/>
      <c r="G9" s="9" t="s">
        <v>3</v>
      </c>
      <c r="H9" s="9"/>
      <c r="I9" s="9" t="s">
        <v>0</v>
      </c>
      <c r="J9" s="36"/>
    </row>
    <row r="10" spans="2:10" s="6" customFormat="1">
      <c r="B10" s="17"/>
      <c r="D10" s="23"/>
      <c r="J10" s="7"/>
    </row>
    <row r="11" spans="2:10" s="6" customFormat="1" ht="17" thickBot="1">
      <c r="B11" s="17"/>
      <c r="C11" s="6" t="s">
        <v>32</v>
      </c>
      <c r="D11" s="23"/>
      <c r="J11" s="7"/>
    </row>
    <row r="12" spans="2:10" s="6" customFormat="1" ht="20" thickBot="1">
      <c r="B12" s="58"/>
      <c r="C12" s="45" t="s">
        <v>50</v>
      </c>
      <c r="D12" s="46" t="s">
        <v>37</v>
      </c>
      <c r="E12" s="47">
        <f>ROUND(Notes!C2,3)</f>
        <v>1660.192</v>
      </c>
      <c r="F12" s="45"/>
      <c r="G12" s="59"/>
      <c r="H12" s="60"/>
      <c r="I12" s="103" t="s">
        <v>145</v>
      </c>
      <c r="J12" s="61"/>
    </row>
    <row r="13" spans="2:10" ht="20" thickBot="1">
      <c r="B13" s="58"/>
      <c r="C13" s="101" t="s">
        <v>137</v>
      </c>
      <c r="D13" s="46" t="s">
        <v>1</v>
      </c>
      <c r="E13" s="62">
        <f>ROUND(Notes!C6,5)</f>
        <v>0.95965</v>
      </c>
      <c r="F13" s="45"/>
      <c r="G13" s="59"/>
      <c r="H13" s="60"/>
      <c r="I13" s="103" t="s">
        <v>150</v>
      </c>
      <c r="J13" s="61"/>
    </row>
    <row r="14" spans="2:10" ht="20" thickBot="1">
      <c r="B14" s="58"/>
      <c r="C14" s="93" t="s">
        <v>88</v>
      </c>
      <c r="D14" s="46" t="s">
        <v>1</v>
      </c>
      <c r="E14" s="62">
        <f>ROUND(Notes!C7,5)</f>
        <v>4.0349999999999997E-2</v>
      </c>
      <c r="F14" s="45"/>
      <c r="G14" s="59"/>
      <c r="H14" s="60"/>
      <c r="I14" s="103" t="s">
        <v>150</v>
      </c>
      <c r="J14" s="61"/>
    </row>
    <row r="15" spans="2:10" ht="17" thickBot="1">
      <c r="B15" s="63"/>
      <c r="C15" s="102" t="s">
        <v>144</v>
      </c>
      <c r="D15" s="15" t="s">
        <v>1</v>
      </c>
      <c r="E15" s="62">
        <f>ROUND(Notes!C8,5)</f>
        <v>0.82399999999999995</v>
      </c>
      <c r="F15" s="50"/>
      <c r="G15" s="50"/>
      <c r="H15" s="50"/>
      <c r="I15" s="103" t="s">
        <v>150</v>
      </c>
      <c r="J15" s="64"/>
    </row>
    <row r="16" spans="2:10" ht="17" thickBot="1">
      <c r="B16" s="63"/>
      <c r="C16" s="102" t="s">
        <v>139</v>
      </c>
      <c r="D16" s="15" t="s">
        <v>1</v>
      </c>
      <c r="E16" s="62">
        <f>ROUND(Notes!C9,5)</f>
        <v>0.15090999999999999</v>
      </c>
      <c r="F16" s="50"/>
      <c r="G16" s="50"/>
      <c r="H16" s="50"/>
      <c r="I16" s="103" t="s">
        <v>150</v>
      </c>
      <c r="J16" s="64"/>
    </row>
    <row r="17" spans="2:10" ht="17" thickBot="1">
      <c r="B17" s="65"/>
      <c r="C17" s="45" t="s">
        <v>51</v>
      </c>
      <c r="D17" s="46" t="s">
        <v>69</v>
      </c>
      <c r="E17" s="62">
        <f>Notes!C3</f>
        <v>8000</v>
      </c>
      <c r="F17" s="45"/>
      <c r="G17" s="45"/>
      <c r="H17" s="66"/>
      <c r="I17" s="103" t="s">
        <v>149</v>
      </c>
      <c r="J17" s="67"/>
    </row>
    <row r="18" spans="2:10" ht="17" thickBot="1">
      <c r="B18" s="65"/>
      <c r="C18" s="45" t="s">
        <v>40</v>
      </c>
      <c r="D18" s="46" t="s">
        <v>1</v>
      </c>
      <c r="E18" s="62">
        <v>0.96199999999999997</v>
      </c>
      <c r="F18" s="45"/>
      <c r="G18" s="45"/>
      <c r="H18" s="66"/>
      <c r="I18" s="94" t="s">
        <v>90</v>
      </c>
      <c r="J18" s="67"/>
    </row>
    <row r="19" spans="2:10">
      <c r="B19" s="63"/>
      <c r="C19" s="44"/>
      <c r="D19" s="44"/>
      <c r="E19" s="44"/>
      <c r="F19" s="44"/>
      <c r="G19" s="44"/>
      <c r="H19" s="44"/>
      <c r="I19" s="44"/>
      <c r="J19" s="64"/>
    </row>
    <row r="20" spans="2:10" ht="17" thickBot="1">
      <c r="B20" s="63"/>
      <c r="C20" s="6" t="s">
        <v>52</v>
      </c>
      <c r="D20" s="44"/>
      <c r="E20" s="44"/>
      <c r="F20" s="44"/>
      <c r="G20" s="44"/>
      <c r="H20" s="44"/>
      <c r="I20" s="44"/>
      <c r="J20" s="64"/>
    </row>
    <row r="21" spans="2:10" ht="17" thickBot="1">
      <c r="B21" s="63"/>
      <c r="C21" s="50" t="s">
        <v>53</v>
      </c>
      <c r="D21" s="15" t="s">
        <v>54</v>
      </c>
      <c r="E21" s="49">
        <f>Notes!C11</f>
        <v>368000000</v>
      </c>
      <c r="F21" s="50"/>
      <c r="G21" s="50" t="s">
        <v>70</v>
      </c>
      <c r="H21" s="50"/>
      <c r="I21" s="103" t="s">
        <v>145</v>
      </c>
      <c r="J21" s="64"/>
    </row>
    <row r="22" spans="2:10" ht="17" thickBot="1">
      <c r="B22" s="63"/>
      <c r="C22" s="50" t="s">
        <v>55</v>
      </c>
      <c r="D22" s="15" t="s">
        <v>54</v>
      </c>
      <c r="E22" s="49">
        <v>0</v>
      </c>
      <c r="F22" s="50"/>
      <c r="G22" s="50"/>
      <c r="H22" s="50"/>
      <c r="I22" s="68" t="s">
        <v>91</v>
      </c>
      <c r="J22" s="64"/>
    </row>
    <row r="23" spans="2:10" ht="17" thickBot="1">
      <c r="B23" s="63"/>
      <c r="C23" s="50" t="s">
        <v>56</v>
      </c>
      <c r="D23" s="15" t="s">
        <v>57</v>
      </c>
      <c r="E23" s="49">
        <f>Notes!C12</f>
        <v>16560000</v>
      </c>
      <c r="F23" s="50"/>
      <c r="G23" s="50" t="s">
        <v>71</v>
      </c>
      <c r="H23" s="50"/>
      <c r="I23" s="103" t="s">
        <v>145</v>
      </c>
      <c r="J23" s="64"/>
    </row>
    <row r="24" spans="2:10" ht="17" thickBot="1">
      <c r="B24" s="69"/>
      <c r="C24" s="51" t="s">
        <v>58</v>
      </c>
      <c r="D24" s="52" t="s">
        <v>59</v>
      </c>
      <c r="E24" s="49">
        <f>Notes!C13</f>
        <v>1846.8</v>
      </c>
      <c r="F24" s="51"/>
      <c r="G24" s="51" t="s">
        <v>72</v>
      </c>
      <c r="H24" s="51"/>
      <c r="I24" s="103" t="s">
        <v>145</v>
      </c>
      <c r="J24" s="70"/>
    </row>
    <row r="25" spans="2:10" ht="17" thickBot="1">
      <c r="B25" s="69"/>
      <c r="C25" s="51" t="s">
        <v>60</v>
      </c>
      <c r="D25" s="52" t="s">
        <v>59</v>
      </c>
      <c r="E25" s="49">
        <v>0</v>
      </c>
      <c r="F25" s="51"/>
      <c r="G25" s="51"/>
      <c r="H25" s="51"/>
      <c r="I25" s="68" t="s">
        <v>91</v>
      </c>
      <c r="J25" s="70"/>
    </row>
    <row r="26" spans="2:10" ht="17" thickBot="1">
      <c r="B26" s="69"/>
      <c r="C26" s="51" t="s">
        <v>61</v>
      </c>
      <c r="D26" s="15" t="s">
        <v>54</v>
      </c>
      <c r="E26" s="49">
        <v>0</v>
      </c>
      <c r="F26" s="51"/>
      <c r="G26" s="51" t="s">
        <v>73</v>
      </c>
      <c r="H26" s="51"/>
      <c r="I26" s="95" t="s">
        <v>92</v>
      </c>
      <c r="J26" s="70"/>
    </row>
    <row r="27" spans="2:10" ht="17" thickBot="1">
      <c r="B27" s="69"/>
      <c r="C27" s="51" t="s">
        <v>62</v>
      </c>
      <c r="D27" s="15" t="s">
        <v>54</v>
      </c>
      <c r="E27" s="49">
        <v>0</v>
      </c>
      <c r="F27" s="51"/>
      <c r="G27" s="51" t="s">
        <v>74</v>
      </c>
      <c r="H27" s="51"/>
      <c r="I27" s="95" t="s">
        <v>92</v>
      </c>
      <c r="J27" s="70"/>
    </row>
    <row r="28" spans="2:10" ht="17" thickBot="1">
      <c r="B28" s="63"/>
      <c r="C28" s="50" t="s">
        <v>75</v>
      </c>
      <c r="D28" s="15" t="s">
        <v>76</v>
      </c>
      <c r="E28" s="48">
        <v>7.0000000000000007E-2</v>
      </c>
      <c r="F28" s="50"/>
      <c r="G28" s="50" t="s">
        <v>77</v>
      </c>
      <c r="H28" s="50"/>
      <c r="I28" s="55" t="s">
        <v>78</v>
      </c>
      <c r="J28" s="64"/>
    </row>
    <row r="29" spans="2:10" ht="17" thickBot="1">
      <c r="B29" s="63"/>
      <c r="C29" s="50" t="s">
        <v>63</v>
      </c>
      <c r="D29" s="15" t="s">
        <v>64</v>
      </c>
      <c r="E29" s="49">
        <v>1</v>
      </c>
      <c r="F29" s="50"/>
      <c r="G29" s="50"/>
      <c r="H29" s="50"/>
      <c r="I29" s="74" t="s">
        <v>82</v>
      </c>
      <c r="J29" s="64"/>
    </row>
    <row r="30" spans="2:10">
      <c r="B30" s="63"/>
      <c r="C30" s="50"/>
      <c r="D30" s="15"/>
      <c r="E30" s="53"/>
      <c r="F30" s="50"/>
      <c r="G30" s="50"/>
      <c r="H30" s="50"/>
      <c r="I30" s="44"/>
      <c r="J30" s="64"/>
    </row>
    <row r="31" spans="2:10" ht="17" thickBot="1">
      <c r="B31" s="63"/>
      <c r="C31" s="6" t="s">
        <v>65</v>
      </c>
      <c r="D31" s="54"/>
      <c r="E31" s="53"/>
      <c r="F31" s="44"/>
      <c r="G31" s="44"/>
      <c r="H31" s="44"/>
      <c r="I31" s="44"/>
      <c r="J31" s="64"/>
    </row>
    <row r="32" spans="2:10" ht="17" thickBot="1">
      <c r="B32" s="63"/>
      <c r="C32" s="50" t="s">
        <v>66</v>
      </c>
      <c r="D32" s="15" t="s">
        <v>67</v>
      </c>
      <c r="E32" s="49">
        <f>Notes!C4</f>
        <v>30</v>
      </c>
      <c r="F32" s="50"/>
      <c r="G32" s="50" t="s">
        <v>79</v>
      </c>
      <c r="H32" s="50"/>
      <c r="I32" s="103" t="s">
        <v>145</v>
      </c>
      <c r="J32" s="64"/>
    </row>
    <row r="33" spans="2:10" ht="17" thickBot="1">
      <c r="B33" s="63"/>
      <c r="C33" s="50" t="s">
        <v>68</v>
      </c>
      <c r="D33" s="15" t="s">
        <v>67</v>
      </c>
      <c r="E33" s="49">
        <v>0</v>
      </c>
      <c r="F33" s="50"/>
      <c r="G33" s="50" t="s">
        <v>80</v>
      </c>
      <c r="H33" s="50"/>
      <c r="I33" s="95" t="s">
        <v>92</v>
      </c>
      <c r="J33" s="64"/>
    </row>
    <row r="34" spans="2:10" ht="17" thickBot="1">
      <c r="B34" s="63"/>
      <c r="C34" s="50" t="s">
        <v>15</v>
      </c>
      <c r="D34" s="15" t="s">
        <v>1</v>
      </c>
      <c r="E34" s="49">
        <v>0</v>
      </c>
      <c r="F34" s="50"/>
      <c r="G34" s="50"/>
      <c r="H34" s="50"/>
      <c r="I34" s="74" t="s">
        <v>82</v>
      </c>
      <c r="J34" s="64"/>
    </row>
    <row r="35" spans="2:10" ht="17" thickBot="1">
      <c r="B35" s="71"/>
      <c r="C35" s="72"/>
      <c r="D35" s="72"/>
      <c r="E35" s="72"/>
      <c r="F35" s="72"/>
      <c r="G35" s="72"/>
      <c r="H35" s="72"/>
      <c r="I35" s="72"/>
      <c r="J35" s="73"/>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34"/>
  <sheetViews>
    <sheetView zoomScaleNormal="100" workbookViewId="0">
      <selection activeCell="J11" sqref="J11"/>
    </sheetView>
  </sheetViews>
  <sheetFormatPr baseColWidth="10" defaultColWidth="33.1640625" defaultRowHeight="16"/>
  <cols>
    <col min="1" max="1" width="3.5" style="25" customWidth="1"/>
    <col min="2" max="2" width="6.5" style="25" customWidth="1"/>
    <col min="3" max="3" width="34.1640625" style="25" bestFit="1" customWidth="1"/>
    <col min="4" max="4" width="16.1640625" style="25" customWidth="1"/>
    <col min="5" max="5" width="10.1640625" style="25" customWidth="1"/>
    <col min="6" max="6" width="13.5" style="25" bestFit="1" customWidth="1"/>
    <col min="7" max="7" width="75.6640625" style="25" bestFit="1" customWidth="1"/>
    <col min="8" max="8" width="13.1640625" style="27" bestFit="1" customWidth="1"/>
    <col min="9" max="9" width="31.5" style="27" customWidth="1"/>
    <col min="10" max="10" width="98.5" style="25" customWidth="1"/>
    <col min="11" max="16384" width="33.1640625" style="25"/>
  </cols>
  <sheetData>
    <row r="1" spans="2:10" ht="17" thickBot="1"/>
    <row r="2" spans="2:10">
      <c r="B2" s="38"/>
      <c r="C2" s="26"/>
      <c r="D2" s="26"/>
      <c r="E2" s="26"/>
      <c r="F2" s="26"/>
      <c r="G2" s="26"/>
      <c r="H2" s="28"/>
      <c r="I2" s="28"/>
      <c r="J2" s="26"/>
    </row>
    <row r="3" spans="2:10">
      <c r="B3" s="39"/>
      <c r="C3" s="6" t="s">
        <v>10</v>
      </c>
      <c r="D3" s="6"/>
      <c r="E3" s="6"/>
      <c r="F3" s="6"/>
      <c r="G3" s="6"/>
      <c r="H3" s="11"/>
      <c r="I3" s="11"/>
    </row>
    <row r="4" spans="2:10">
      <c r="B4" s="39"/>
    </row>
    <row r="5" spans="2:10">
      <c r="B5" s="40"/>
      <c r="C5" s="8" t="s">
        <v>11</v>
      </c>
      <c r="D5" s="8" t="s">
        <v>0</v>
      </c>
      <c r="E5" s="8" t="s">
        <v>8</v>
      </c>
      <c r="F5" s="8" t="s">
        <v>12</v>
      </c>
      <c r="G5" s="8" t="s">
        <v>87</v>
      </c>
      <c r="H5" s="12" t="s">
        <v>13</v>
      </c>
      <c r="I5" s="12" t="s">
        <v>33</v>
      </c>
      <c r="J5" s="8" t="s">
        <v>5</v>
      </c>
    </row>
    <row r="6" spans="2:10">
      <c r="B6" s="39"/>
      <c r="C6" s="6"/>
      <c r="D6" s="6"/>
      <c r="E6" s="6"/>
      <c r="F6" s="6"/>
      <c r="G6" s="6"/>
      <c r="H6" s="11"/>
      <c r="I6" s="11"/>
      <c r="J6" s="6"/>
    </row>
    <row r="7" spans="2:10">
      <c r="B7" s="39"/>
      <c r="C7" s="100" t="s">
        <v>140</v>
      </c>
      <c r="D7" s="100" t="s">
        <v>141</v>
      </c>
      <c r="F7" s="25">
        <v>2022</v>
      </c>
      <c r="G7" s="100" t="s">
        <v>142</v>
      </c>
      <c r="H7" s="91" t="s">
        <v>86</v>
      </c>
      <c r="J7" s="92" t="s">
        <v>143</v>
      </c>
    </row>
    <row r="8" spans="2:10">
      <c r="B8" s="39"/>
      <c r="C8" s="100" t="s">
        <v>89</v>
      </c>
    </row>
    <row r="9" spans="2:10">
      <c r="B9" s="39"/>
    </row>
    <row r="10" spans="2:10">
      <c r="B10" s="39"/>
      <c r="C10" s="100" t="s">
        <v>140</v>
      </c>
      <c r="D10" s="100" t="s">
        <v>146</v>
      </c>
      <c r="F10" s="25">
        <v>2016</v>
      </c>
      <c r="G10" s="100" t="s">
        <v>147</v>
      </c>
      <c r="H10" s="91" t="s">
        <v>86</v>
      </c>
      <c r="J10" s="92" t="s">
        <v>148</v>
      </c>
    </row>
    <row r="11" spans="2:10">
      <c r="B11" s="39"/>
    </row>
    <row r="12" spans="2:10">
      <c r="B12" s="39"/>
    </row>
    <row r="13" spans="2:10">
      <c r="B13" s="39"/>
    </row>
    <row r="14" spans="2:10">
      <c r="B14" s="39"/>
    </row>
    <row r="15" spans="2:10">
      <c r="B15" s="39"/>
    </row>
    <row r="16" spans="2:10">
      <c r="B16" s="39"/>
    </row>
    <row r="17" spans="2:2">
      <c r="B17" s="39"/>
    </row>
    <row r="18" spans="2:2">
      <c r="B18" s="39"/>
    </row>
    <row r="19" spans="2:2">
      <c r="B19" s="39"/>
    </row>
    <row r="20" spans="2:2">
      <c r="B20" s="39"/>
    </row>
    <row r="21" spans="2:2">
      <c r="B21" s="39"/>
    </row>
    <row r="22" spans="2:2">
      <c r="B22" s="39"/>
    </row>
    <row r="23" spans="2:2">
      <c r="B23" s="39"/>
    </row>
    <row r="24" spans="2:2">
      <c r="B24" s="39"/>
    </row>
    <row r="25" spans="2:2">
      <c r="B25" s="39"/>
    </row>
    <row r="26" spans="2:2">
      <c r="B26" s="39"/>
    </row>
    <row r="27" spans="2:2">
      <c r="B27" s="39"/>
    </row>
    <row r="28" spans="2:2">
      <c r="B28" s="39"/>
    </row>
    <row r="29" spans="2:2">
      <c r="B29" s="39"/>
    </row>
    <row r="30" spans="2:2">
      <c r="B30" s="39"/>
    </row>
    <row r="31" spans="2:2">
      <c r="B31" s="39"/>
    </row>
    <row r="32" spans="2:2">
      <c r="B32" s="39"/>
    </row>
    <row r="33" spans="2:2">
      <c r="B33" s="39"/>
    </row>
    <row r="34" spans="2:2">
      <c r="B34" s="39"/>
    </row>
  </sheetData>
  <phoneticPr fontId="21" type="noConversion"/>
  <hyperlinks>
    <hyperlink ref="J7" r:id="rId1" xr:uid="{CA4435BF-7BC0-5946-B941-E72619E47EA7}"/>
    <hyperlink ref="J10" r:id="rId2" xr:uid="{44305025-BB8A-4D46-A44D-6B29F2B5A0C5}"/>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Y84"/>
  <sheetViews>
    <sheetView workbookViewId="0">
      <selection activeCell="E9" sqref="E9"/>
    </sheetView>
  </sheetViews>
  <sheetFormatPr baseColWidth="10" defaultColWidth="10.6640625" defaultRowHeight="16"/>
  <cols>
    <col min="1" max="1" width="26.1640625" style="29" customWidth="1"/>
    <col min="2" max="2" width="29" style="29" bestFit="1" customWidth="1"/>
    <col min="3" max="3" width="14.5" style="29" customWidth="1"/>
    <col min="4" max="4" width="19.33203125" style="29" customWidth="1"/>
    <col min="5" max="5" width="25" style="29" customWidth="1"/>
    <col min="6" max="6" width="16.5" style="29" customWidth="1"/>
    <col min="7" max="10" width="10.6640625" style="29"/>
    <col min="11" max="11" width="16.1640625" style="29" customWidth="1"/>
    <col min="12" max="12" width="10.6640625" style="29"/>
    <col min="13" max="13" width="26.83203125" style="29" customWidth="1"/>
    <col min="14" max="14" width="26.5" style="29" customWidth="1"/>
    <col min="15" max="16384" width="10.6640625" style="29"/>
  </cols>
  <sheetData>
    <row r="1" spans="2:25">
      <c r="B1" s="30" t="s">
        <v>35</v>
      </c>
    </row>
    <row r="2" spans="2:25">
      <c r="B2" s="29" t="s">
        <v>36</v>
      </c>
      <c r="C2" s="41">
        <f>C18</f>
        <v>1660.1920877257439</v>
      </c>
      <c r="D2" s="29" t="s">
        <v>37</v>
      </c>
    </row>
    <row r="3" spans="2:25">
      <c r="B3" s="29" t="s">
        <v>38</v>
      </c>
      <c r="C3" s="29">
        <v>8000</v>
      </c>
      <c r="D3" s="29" t="s">
        <v>39</v>
      </c>
      <c r="E3" s="29" t="s">
        <v>131</v>
      </c>
    </row>
    <row r="4" spans="2:25">
      <c r="B4" s="29" t="s">
        <v>41</v>
      </c>
      <c r="C4" s="41">
        <f>C19</f>
        <v>30</v>
      </c>
      <c r="D4" s="29" t="s">
        <v>42</v>
      </c>
      <c r="I4" s="29" t="s">
        <v>134</v>
      </c>
    </row>
    <row r="5" spans="2:25">
      <c r="M5" s="75"/>
      <c r="N5" s="75"/>
      <c r="O5" s="76"/>
      <c r="P5" s="76"/>
      <c r="Q5" s="76"/>
      <c r="R5" s="76"/>
      <c r="S5" s="76"/>
      <c r="T5" s="77"/>
      <c r="U5" s="77"/>
      <c r="V5" s="77"/>
      <c r="W5" s="77"/>
      <c r="X5" s="78"/>
      <c r="Y5" s="78"/>
    </row>
    <row r="6" spans="2:25">
      <c r="B6" s="29" t="s">
        <v>137</v>
      </c>
      <c r="C6" s="37">
        <f>I52</f>
        <v>0.95965000590366456</v>
      </c>
      <c r="M6" s="75"/>
      <c r="N6" s="79"/>
      <c r="O6" s="77"/>
      <c r="P6" s="77"/>
      <c r="Q6" s="77"/>
      <c r="R6" s="77"/>
      <c r="S6" s="77"/>
      <c r="T6" s="77"/>
      <c r="U6" s="77"/>
      <c r="V6" s="77"/>
      <c r="W6" s="77"/>
      <c r="X6" s="80"/>
      <c r="Y6" s="80"/>
    </row>
    <row r="7" spans="2:25">
      <c r="B7" s="29" t="s">
        <v>88</v>
      </c>
      <c r="C7" s="37">
        <f>I53</f>
        <v>4.0349994096335384E-2</v>
      </c>
      <c r="M7" s="81"/>
      <c r="N7" s="82"/>
      <c r="O7" s="83"/>
      <c r="P7" s="83"/>
      <c r="Q7" s="83"/>
      <c r="R7" s="83"/>
      <c r="S7" s="83"/>
      <c r="T7" s="83"/>
      <c r="U7" s="83"/>
      <c r="V7" s="83"/>
      <c r="W7" s="83"/>
      <c r="X7" s="84"/>
      <c r="Y7" s="84"/>
    </row>
    <row r="8" spans="2:25">
      <c r="B8" s="29" t="s">
        <v>138</v>
      </c>
      <c r="C8" s="37">
        <f>I57</f>
        <v>0.82400103585241713</v>
      </c>
      <c r="M8" s="85"/>
      <c r="N8" s="85"/>
      <c r="O8" s="83"/>
      <c r="P8" s="83"/>
      <c r="Q8" s="83"/>
      <c r="R8" s="83"/>
      <c r="S8" s="83"/>
      <c r="T8" s="83"/>
      <c r="U8" s="83"/>
      <c r="V8" s="83"/>
      <c r="W8" s="83"/>
      <c r="X8" s="84"/>
      <c r="Y8" s="84"/>
    </row>
    <row r="9" spans="2:25">
      <c r="B9" s="29" t="s">
        <v>139</v>
      </c>
      <c r="C9" s="37">
        <f>I58</f>
        <v>0.15090655716936563</v>
      </c>
      <c r="M9" s="85"/>
      <c r="N9" s="86"/>
      <c r="O9" s="83"/>
      <c r="P9" s="83"/>
      <c r="Q9" s="87"/>
      <c r="R9" s="83"/>
      <c r="S9" s="83"/>
      <c r="T9" s="88"/>
      <c r="U9" s="88"/>
      <c r="V9" s="88"/>
      <c r="W9" s="88"/>
      <c r="X9" s="84"/>
      <c r="Y9" s="84"/>
    </row>
    <row r="10" spans="2:25">
      <c r="M10" s="85"/>
      <c r="N10" s="86"/>
      <c r="O10" s="83"/>
      <c r="P10" s="83"/>
      <c r="Q10" s="87"/>
      <c r="R10" s="83"/>
      <c r="S10" s="83"/>
      <c r="T10" s="88"/>
      <c r="U10" s="88"/>
      <c r="V10" s="88"/>
      <c r="W10" s="88"/>
      <c r="X10" s="84"/>
      <c r="Y10" s="84"/>
    </row>
    <row r="11" spans="2:25">
      <c r="B11" s="29" t="s">
        <v>43</v>
      </c>
      <c r="C11" s="42">
        <f>C21</f>
        <v>368000000</v>
      </c>
      <c r="D11" s="29" t="s">
        <v>44</v>
      </c>
      <c r="M11" s="85"/>
      <c r="N11" s="85"/>
      <c r="O11" s="83"/>
      <c r="P11" s="83"/>
      <c r="Q11" s="87"/>
      <c r="R11" s="83"/>
      <c r="S11" s="83"/>
      <c r="T11" s="83"/>
      <c r="U11" s="83"/>
      <c r="V11" s="83"/>
      <c r="W11" s="83"/>
      <c r="X11" s="84"/>
      <c r="Y11" s="84"/>
    </row>
    <row r="12" spans="2:25">
      <c r="B12" s="29" t="s">
        <v>45</v>
      </c>
      <c r="C12" s="42">
        <f>C22</f>
        <v>16560000</v>
      </c>
      <c r="D12" s="29" t="s">
        <v>46</v>
      </c>
      <c r="M12" s="85"/>
      <c r="N12" s="86"/>
      <c r="O12" s="83"/>
      <c r="P12" s="83"/>
      <c r="Q12" s="87"/>
      <c r="R12" s="83"/>
      <c r="S12" s="83"/>
      <c r="T12" s="88"/>
      <c r="U12" s="88"/>
      <c r="V12" s="88"/>
      <c r="W12" s="88"/>
      <c r="X12" s="84"/>
      <c r="Y12" s="84"/>
    </row>
    <row r="13" spans="2:25">
      <c r="B13" s="29" t="s">
        <v>47</v>
      </c>
      <c r="C13" s="42">
        <f>C25</f>
        <v>1846.8</v>
      </c>
      <c r="D13" s="43" t="s">
        <v>48</v>
      </c>
      <c r="M13" s="85"/>
      <c r="N13" s="86"/>
      <c r="O13" s="83"/>
      <c r="P13" s="83"/>
      <c r="Q13" s="87"/>
      <c r="R13" s="83"/>
      <c r="S13" s="83"/>
      <c r="T13" s="88"/>
      <c r="U13" s="88"/>
      <c r="V13" s="88"/>
      <c r="W13" s="88"/>
      <c r="X13" s="84"/>
      <c r="Y13" s="84"/>
    </row>
    <row r="14" spans="2:25">
      <c r="C14" s="42"/>
      <c r="D14" s="43"/>
      <c r="M14" s="85"/>
      <c r="N14" s="86"/>
      <c r="O14" s="83"/>
      <c r="P14" s="83"/>
      <c r="Q14" s="87"/>
      <c r="R14" s="83"/>
      <c r="S14" s="83"/>
      <c r="T14" s="88"/>
      <c r="U14" s="88"/>
      <c r="V14" s="88"/>
      <c r="W14" s="88"/>
      <c r="X14" s="84"/>
      <c r="Y14" s="84"/>
    </row>
    <row r="16" spans="2:25">
      <c r="B16" s="30" t="s">
        <v>124</v>
      </c>
    </row>
    <row r="17" spans="2:4">
      <c r="B17" s="29" t="s">
        <v>125</v>
      </c>
      <c r="C17" s="29">
        <v>1368</v>
      </c>
      <c r="D17" s="29" t="s">
        <v>128</v>
      </c>
    </row>
    <row r="18" spans="2:4">
      <c r="B18" s="29" t="s">
        <v>126</v>
      </c>
      <c r="C18" s="97">
        <f>C17/I57</f>
        <v>1660.1920877257439</v>
      </c>
      <c r="D18" s="29" t="s">
        <v>127</v>
      </c>
    </row>
    <row r="19" spans="2:4">
      <c r="B19" s="29" t="s">
        <v>129</v>
      </c>
      <c r="C19" s="29">
        <v>30</v>
      </c>
      <c r="D19" s="29" t="s">
        <v>42</v>
      </c>
    </row>
    <row r="21" spans="2:4">
      <c r="B21" s="29" t="s">
        <v>43</v>
      </c>
      <c r="C21" s="29">
        <f>368*10^6</f>
        <v>368000000</v>
      </c>
      <c r="D21" s="29" t="s">
        <v>44</v>
      </c>
    </row>
    <row r="22" spans="2:4">
      <c r="B22" s="29" t="s">
        <v>45</v>
      </c>
      <c r="C22" s="29">
        <f>0.045*C21</f>
        <v>16560000</v>
      </c>
      <c r="D22" s="29" t="s">
        <v>46</v>
      </c>
    </row>
    <row r="23" spans="2:4">
      <c r="B23" s="29" t="s">
        <v>47</v>
      </c>
      <c r="C23" s="29">
        <v>1350</v>
      </c>
      <c r="D23" s="29" t="s">
        <v>130</v>
      </c>
    </row>
    <row r="24" spans="2:4">
      <c r="B24" s="29" t="s">
        <v>47</v>
      </c>
      <c r="C24" s="29">
        <f>C23*C17*C3*10^-3</f>
        <v>14774400</v>
      </c>
      <c r="D24" s="29" t="s">
        <v>46</v>
      </c>
    </row>
    <row r="25" spans="2:4">
      <c r="B25" s="29" t="s">
        <v>47</v>
      </c>
      <c r="C25" s="29">
        <f>C24/C3</f>
        <v>1846.8</v>
      </c>
      <c r="D25" s="29" t="s">
        <v>48</v>
      </c>
    </row>
    <row r="33" spans="2:12">
      <c r="B33" s="30" t="s">
        <v>113</v>
      </c>
    </row>
    <row r="34" spans="2:12">
      <c r="B34" s="29" t="s">
        <v>114</v>
      </c>
    </row>
    <row r="35" spans="2:12">
      <c r="B35" s="29" t="s">
        <v>116</v>
      </c>
    </row>
    <row r="36" spans="2:12">
      <c r="B36" s="29" t="s">
        <v>115</v>
      </c>
    </row>
    <row r="39" spans="2:12">
      <c r="B39" s="89" t="s">
        <v>104</v>
      </c>
      <c r="D39" s="29" t="s">
        <v>103</v>
      </c>
    </row>
    <row r="40" spans="2:12">
      <c r="B40" s="29" t="s">
        <v>98</v>
      </c>
      <c r="C40" s="96">
        <v>0.82</v>
      </c>
      <c r="D40" s="29">
        <v>1</v>
      </c>
      <c r="E40" s="98">
        <f>D40/SUM($D$40:$D$42)</f>
        <v>0.82000000000000006</v>
      </c>
    </row>
    <row r="41" spans="2:12">
      <c r="B41" s="29" t="s">
        <v>83</v>
      </c>
      <c r="C41" s="96">
        <v>0.15</v>
      </c>
      <c r="D41" s="90">
        <f>D$40/$C$40*C41</f>
        <v>0.18292682926829268</v>
      </c>
      <c r="E41" s="98">
        <f>D41/SUM($D$40:$D$42)</f>
        <v>0.15</v>
      </c>
    </row>
    <row r="42" spans="2:12">
      <c r="B42" s="29" t="s">
        <v>94</v>
      </c>
      <c r="C42" s="96">
        <v>0.03</v>
      </c>
      <c r="D42" s="90">
        <f>D$40/$C$40*C42</f>
        <v>3.6585365853658534E-2</v>
      </c>
      <c r="E42" s="98">
        <f>D42/SUM($D$40:$D$42)</f>
        <v>0.03</v>
      </c>
      <c r="L42" s="29" t="s">
        <v>135</v>
      </c>
    </row>
    <row r="45" spans="2:12">
      <c r="B45" s="89" t="s">
        <v>132</v>
      </c>
    </row>
    <row r="46" spans="2:12">
      <c r="B46" s="29" t="s">
        <v>117</v>
      </c>
    </row>
    <row r="47" spans="2:12">
      <c r="B47" s="99" t="s">
        <v>118</v>
      </c>
    </row>
    <row r="48" spans="2:12">
      <c r="B48" s="99" t="s">
        <v>119</v>
      </c>
    </row>
    <row r="49" spans="2:12">
      <c r="B49" s="99" t="s">
        <v>133</v>
      </c>
    </row>
    <row r="51" spans="2:12">
      <c r="B51" s="89" t="s">
        <v>99</v>
      </c>
      <c r="C51" s="29" t="s">
        <v>100</v>
      </c>
      <c r="D51" s="29" t="s">
        <v>109</v>
      </c>
      <c r="E51" s="29" t="s">
        <v>108</v>
      </c>
      <c r="F51" s="29" t="s">
        <v>105</v>
      </c>
      <c r="G51" s="29" t="s">
        <v>107</v>
      </c>
      <c r="H51" s="29" t="s">
        <v>110</v>
      </c>
      <c r="I51" s="29" t="s">
        <v>122</v>
      </c>
    </row>
    <row r="52" spans="2:12">
      <c r="B52" s="29" t="s">
        <v>97</v>
      </c>
      <c r="C52" s="29">
        <v>2.3199999999999998</v>
      </c>
      <c r="D52" s="29">
        <f>C52</f>
        <v>2.3199999999999998</v>
      </c>
      <c r="E52" s="90">
        <f>D52/$D$57</f>
        <v>2.2504</v>
      </c>
      <c r="F52" s="90">
        <f>E52*C83</f>
        <v>44.782959999999996</v>
      </c>
      <c r="G52" s="90">
        <f>F52/$C$84</f>
        <v>1.0378438006952491</v>
      </c>
      <c r="H52" s="90">
        <f>G52/$G$55</f>
        <v>0.95965000590366456</v>
      </c>
      <c r="I52" s="90">
        <f>H52</f>
        <v>0.95965000590366456</v>
      </c>
    </row>
    <row r="53" spans="2:12">
      <c r="B53" s="29" t="s">
        <v>84</v>
      </c>
      <c r="C53" s="29">
        <v>0.01</v>
      </c>
      <c r="D53" s="29">
        <f t="shared" ref="D53" si="0">C53</f>
        <v>0.01</v>
      </c>
      <c r="E53" s="90">
        <f>D53/$D$57</f>
        <v>9.700000000000002E-3</v>
      </c>
      <c r="F53" s="90">
        <f>E53*C81</f>
        <v>1.1649700000000003</v>
      </c>
      <c r="G53" s="90">
        <f>F53/$C$84</f>
        <v>2.6998146002317504E-2</v>
      </c>
      <c r="H53" s="90">
        <f>G53/$G$55</f>
        <v>2.4964036932297297E-2</v>
      </c>
      <c r="I53" s="90">
        <f>H53+H54</f>
        <v>4.0349994096335384E-2</v>
      </c>
    </row>
    <row r="54" spans="2:12">
      <c r="B54" s="29" t="s">
        <v>106</v>
      </c>
      <c r="E54" s="90"/>
      <c r="F54" s="90">
        <v>0.71799999999999997</v>
      </c>
      <c r="G54" s="90">
        <f>F54/$C$84</f>
        <v>1.6639629200463499E-2</v>
      </c>
      <c r="H54" s="90">
        <f>G54/$G$55</f>
        <v>1.5385957164038091E-2</v>
      </c>
      <c r="I54" s="29">
        <v>0</v>
      </c>
    </row>
    <row r="55" spans="2:12">
      <c r="B55" s="29" t="s">
        <v>49</v>
      </c>
      <c r="C55" s="29">
        <f>SUM(C52:C53)</f>
        <v>2.3299999999999996</v>
      </c>
      <c r="D55" s="29">
        <f>SUM(D52:D53)</f>
        <v>2.3299999999999996</v>
      </c>
      <c r="E55" s="90">
        <f>SUM(E52:E53)</f>
        <v>2.2601</v>
      </c>
      <c r="F55" s="90">
        <f>SUM(F52:F54)</f>
        <v>46.665930000000003</v>
      </c>
      <c r="G55" s="90">
        <f>SUM(G52:G54)</f>
        <v>1.0814815758980301</v>
      </c>
      <c r="H55" s="90">
        <f>SUM(H52:H54)</f>
        <v>1</v>
      </c>
      <c r="I55" s="90">
        <f>SUM(I52:I54)</f>
        <v>1</v>
      </c>
    </row>
    <row r="56" spans="2:12">
      <c r="B56" s="89" t="s">
        <v>101</v>
      </c>
      <c r="E56" s="90"/>
      <c r="F56" s="90"/>
      <c r="G56" s="90"/>
      <c r="H56" s="90"/>
    </row>
    <row r="57" spans="2:12">
      <c r="B57" s="29" t="s">
        <v>98</v>
      </c>
      <c r="C57" s="29">
        <f>D40</f>
        <v>1</v>
      </c>
      <c r="D57" s="90">
        <f>C57+$C$59*C57/SUM($C$57:$C$58)</f>
        <v>1.0309278350515463</v>
      </c>
      <c r="E57" s="90">
        <f>D57/$D$57</f>
        <v>1</v>
      </c>
      <c r="F57" s="90">
        <v>1</v>
      </c>
      <c r="G57" s="90">
        <v>1</v>
      </c>
      <c r="H57" s="90">
        <f>G57/$G$62</f>
        <v>0.82400103585241713</v>
      </c>
      <c r="I57" s="90">
        <f>H57</f>
        <v>0.82400103585241713</v>
      </c>
      <c r="L57" s="29" t="s">
        <v>136</v>
      </c>
    </row>
    <row r="58" spans="2:12">
      <c r="B58" s="29" t="s">
        <v>83</v>
      </c>
      <c r="C58" s="90">
        <f>D41</f>
        <v>0.18292682926829268</v>
      </c>
      <c r="D58" s="90">
        <f>C58+$C$59*C58/SUM($C$57:$C$58)</f>
        <v>0.18858436007040483</v>
      </c>
      <c r="E58" s="90">
        <f>D58/$D$57</f>
        <v>0.18292682926829271</v>
      </c>
      <c r="F58" s="90">
        <f>E58*C82</f>
        <v>7.9024390243902456</v>
      </c>
      <c r="G58" s="90">
        <f>F58/$C$84</f>
        <v>0.1831387954667496</v>
      </c>
      <c r="H58" s="90">
        <f>G58/$G$62</f>
        <v>0.15090655716936563</v>
      </c>
      <c r="I58" s="90">
        <f>H58</f>
        <v>0.15090655716936563</v>
      </c>
    </row>
    <row r="59" spans="2:12">
      <c r="B59" s="29" t="s">
        <v>94</v>
      </c>
      <c r="C59" s="90">
        <f>D42</f>
        <v>3.6585365853658534E-2</v>
      </c>
      <c r="D59" s="29">
        <v>0</v>
      </c>
      <c r="E59" s="90"/>
      <c r="F59" s="90">
        <v>0</v>
      </c>
      <c r="G59" s="90">
        <v>0</v>
      </c>
      <c r="H59" s="90">
        <f>G59/$G$62</f>
        <v>0</v>
      </c>
      <c r="I59" s="29">
        <v>0</v>
      </c>
    </row>
    <row r="60" spans="2:12">
      <c r="B60" s="29" t="s">
        <v>102</v>
      </c>
      <c r="E60" s="90"/>
      <c r="F60" s="90">
        <v>1.3140000000000001</v>
      </c>
      <c r="G60" s="90">
        <f>F60/$C$84</f>
        <v>3.0451911935110085E-2</v>
      </c>
      <c r="H60" s="90">
        <f>G60/$G$62</f>
        <v>2.5092406978217293E-2</v>
      </c>
      <c r="I60" s="29">
        <v>0</v>
      </c>
    </row>
    <row r="61" spans="2:12">
      <c r="B61" s="29" t="s">
        <v>123</v>
      </c>
      <c r="E61" s="90"/>
      <c r="F61" s="90"/>
      <c r="G61" s="90"/>
      <c r="H61" s="90"/>
      <c r="I61" s="90">
        <f>H60</f>
        <v>2.5092406978217293E-2</v>
      </c>
    </row>
    <row r="62" spans="2:12">
      <c r="B62" s="29" t="s">
        <v>49</v>
      </c>
      <c r="C62" s="90">
        <f>SUM(C57:C59)</f>
        <v>1.2195121951219512</v>
      </c>
      <c r="D62" s="90">
        <f>SUM(D57:D59)</f>
        <v>1.2195121951219512</v>
      </c>
      <c r="E62" s="90">
        <f>SUM(E57:E59)</f>
        <v>1.1829268292682926</v>
      </c>
      <c r="F62" s="90">
        <f>SUM(F57:F59)</f>
        <v>8.9024390243902456</v>
      </c>
      <c r="G62" s="90">
        <f>SUM(G57:G60)</f>
        <v>1.2135907074018597</v>
      </c>
      <c r="H62" s="90">
        <f>SUM(H57:H60)</f>
        <v>1</v>
      </c>
      <c r="I62" s="90">
        <f>SUM(I57:I61)</f>
        <v>1</v>
      </c>
    </row>
    <row r="65" spans="1:5">
      <c r="B65" s="89" t="s">
        <v>120</v>
      </c>
    </row>
    <row r="66" spans="1:5">
      <c r="B66" s="29" t="s">
        <v>121</v>
      </c>
    </row>
    <row r="68" spans="1:5">
      <c r="C68" s="29" t="s">
        <v>111</v>
      </c>
      <c r="D68" s="29" t="s">
        <v>112</v>
      </c>
      <c r="E68" s="29" t="s">
        <v>110</v>
      </c>
    </row>
    <row r="69" spans="1:5">
      <c r="B69" s="89" t="s">
        <v>99</v>
      </c>
    </row>
    <row r="70" spans="1:5">
      <c r="B70" s="29" t="s">
        <v>97</v>
      </c>
      <c r="C70" s="29">
        <v>2.3199999999999998</v>
      </c>
      <c r="D70" s="90">
        <f>C70*C83/$C$84</f>
        <v>1.0699420625724216</v>
      </c>
      <c r="E70" s="37">
        <f>D70/$D$73</f>
        <v>0.96009316447272641</v>
      </c>
    </row>
    <row r="71" spans="1:5">
      <c r="B71" s="29" t="s">
        <v>84</v>
      </c>
      <c r="C71" s="29">
        <v>0.01</v>
      </c>
      <c r="D71" s="90">
        <f>C71*C81/$C$84</f>
        <v>2.783314020857474E-2</v>
      </c>
      <c r="E71" s="37">
        <f>D71/$D$73</f>
        <v>2.4975565121550525E-2</v>
      </c>
    </row>
    <row r="72" spans="1:5">
      <c r="B72" s="29" t="s">
        <v>106</v>
      </c>
      <c r="D72" s="90">
        <f>0.718/$C$84</f>
        <v>1.6639629200463499E-2</v>
      </c>
      <c r="E72" s="37">
        <f>D72/$D$73</f>
        <v>1.4931270405722962E-2</v>
      </c>
    </row>
    <row r="73" spans="1:5">
      <c r="B73" s="29" t="s">
        <v>49</v>
      </c>
      <c r="D73" s="90">
        <f>SUM(D70:D72)</f>
        <v>1.11441483198146</v>
      </c>
    </row>
    <row r="74" spans="1:5">
      <c r="B74" s="89" t="s">
        <v>101</v>
      </c>
    </row>
    <row r="75" spans="1:5">
      <c r="B75" s="29" t="s">
        <v>98</v>
      </c>
      <c r="C75" s="29">
        <v>1</v>
      </c>
      <c r="D75" s="29">
        <v>1</v>
      </c>
      <c r="E75" s="37">
        <f>D75/$D$77</f>
        <v>0.97044800287873334</v>
      </c>
    </row>
    <row r="76" spans="1:5">
      <c r="B76" s="29" t="s">
        <v>102</v>
      </c>
      <c r="D76" s="90">
        <f>1.314/$C$84</f>
        <v>3.0451911935110085E-2</v>
      </c>
      <c r="E76" s="37">
        <f>D76/$D$77</f>
        <v>2.9551997121266646E-2</v>
      </c>
    </row>
    <row r="77" spans="1:5">
      <c r="B77" s="29" t="s">
        <v>49</v>
      </c>
      <c r="D77" s="90">
        <f>SUM(D75:D76)</f>
        <v>1.0304519119351101</v>
      </c>
      <c r="E77" s="29">
        <f>SUM(E75:E76)</f>
        <v>1</v>
      </c>
    </row>
    <row r="80" spans="1:5">
      <c r="A80" s="30" t="s">
        <v>95</v>
      </c>
      <c r="B80" s="29" t="s">
        <v>96</v>
      </c>
    </row>
    <row r="81" spans="2:4">
      <c r="B81" s="29" t="s">
        <v>84</v>
      </c>
      <c r="C81" s="29">
        <v>120.1</v>
      </c>
      <c r="D81" s="29" t="s">
        <v>85</v>
      </c>
    </row>
    <row r="82" spans="2:4">
      <c r="B82" s="29" t="s">
        <v>83</v>
      </c>
      <c r="C82" s="29">
        <v>43.2</v>
      </c>
      <c r="D82" s="29" t="s">
        <v>85</v>
      </c>
    </row>
    <row r="83" spans="2:4">
      <c r="B83" s="29" t="s">
        <v>97</v>
      </c>
      <c r="C83" s="29">
        <v>19.899999999999999</v>
      </c>
      <c r="D83" s="29" t="s">
        <v>85</v>
      </c>
    </row>
    <row r="84" spans="2:4">
      <c r="B84" s="29" t="s">
        <v>98</v>
      </c>
      <c r="C84" s="29">
        <v>43.15</v>
      </c>
      <c r="D84" s="29" t="s">
        <v>85</v>
      </c>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2025-10-21T07:36:18Z</dcterms:modified>
</cp:coreProperties>
</file>