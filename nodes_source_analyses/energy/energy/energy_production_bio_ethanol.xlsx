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showInkAnnotation="0" codeName="ThisWorkbook" autoCompressPictures="0"/>
  <mc:AlternateContent xmlns:mc="http://schemas.openxmlformats.org/markup-compatibility/2006">
    <mc:Choice Requires="x15">
      <x15ac:absPath xmlns:x15ac="http://schemas.microsoft.com/office/spreadsheetml/2010/11/ac" url="/Users/kyradehaan/github/etdataset/nodes_source_analyses/energy/energy/"/>
    </mc:Choice>
  </mc:AlternateContent>
  <xr:revisionPtr revIDLastSave="0" documentId="13_ncr:1_{0BA99B1D-6391-074A-AB23-4DF56546A451}" xr6:coauthVersionLast="47" xr6:coauthVersionMax="47" xr10:uidLastSave="{00000000-0000-0000-0000-000000000000}"/>
  <bookViews>
    <workbookView xWindow="-5740" yWindow="-21600" windowWidth="38400" windowHeight="21600" tabRatio="762" activeTab="4" xr2:uid="{00000000-000D-0000-FFFF-FFFF00000000}"/>
  </bookViews>
  <sheets>
    <sheet name="Cover sheet" sheetId="14" r:id="rId1"/>
    <sheet name="Dashboard" sheetId="12" r:id="rId2"/>
    <sheet name="Research data" sheetId="13" r:id="rId3"/>
    <sheet name="Sources" sheetId="15" r:id="rId4"/>
    <sheet name="Notes" sheetId="20" r:id="rId5"/>
  </sheets>
  <definedNames>
    <definedName name="exchange_rate_2011_2010">#REF!</definedName>
    <definedName name="Final_demand_residences">#REF!</definedName>
    <definedName name="hours_a_year">#REF!</definedName>
    <definedName name="km2_to_m2">#REF!</definedName>
    <definedName name="kW_to_MW">#REF!</definedName>
    <definedName name="kW_to_W">#REF!</definedName>
    <definedName name="kWp_to_MWp">#REF!</definedName>
    <definedName name="m2_to_km2">#REF!</definedName>
    <definedName name="STC">#REF!</definedName>
    <definedName name="STC_insolation">#REF!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B9" i="20" l="1"/>
  <c r="H9" i="13" s="1"/>
  <c r="F9" i="13" s="1"/>
  <c r="E14" i="12" s="1"/>
  <c r="E33" i="12"/>
  <c r="F22" i="13" l="1"/>
  <c r="F21" i="13"/>
  <c r="F20" i="13"/>
  <c r="F19" i="13"/>
  <c r="E24" i="12" s="1"/>
  <c r="F16" i="13"/>
  <c r="E21" i="12" s="1"/>
  <c r="B40" i="20" l="1"/>
  <c r="B41" i="20" s="1"/>
  <c r="B15" i="20" s="1"/>
  <c r="H18" i="13" s="1"/>
  <c r="F18" i="13" s="1"/>
  <c r="E23" i="12" s="1"/>
  <c r="B39" i="20"/>
  <c r="B14" i="20" s="1"/>
  <c r="H17" i="13" s="1"/>
  <c r="F17" i="13" s="1"/>
  <c r="E22" i="12" s="1"/>
  <c r="B38" i="20"/>
  <c r="B13" i="20" s="1"/>
  <c r="H15" i="13" s="1"/>
  <c r="F15" i="13" s="1"/>
  <c r="E20" i="12" s="1"/>
  <c r="B37" i="20"/>
  <c r="B6" i="20" s="1"/>
  <c r="H26" i="13" s="1"/>
  <c r="F26" i="13" s="1"/>
  <c r="E32" i="12" s="1"/>
  <c r="B35" i="20"/>
  <c r="B4" i="20" s="1"/>
  <c r="H12" i="13" s="1"/>
  <c r="F12" i="13" s="1"/>
  <c r="E17" i="12" s="1"/>
  <c r="B36" i="20"/>
  <c r="B33" i="20"/>
  <c r="B27" i="20"/>
  <c r="B26" i="20"/>
  <c r="B23" i="20"/>
  <c r="B24" i="20"/>
  <c r="B22" i="20"/>
  <c r="C22" i="20" s="1"/>
  <c r="B8" i="20" s="1"/>
  <c r="H8" i="13" s="1"/>
  <c r="F8" i="13" s="1"/>
  <c r="E13" i="12" s="1"/>
  <c r="B5" i="20"/>
  <c r="H25" i="13" s="1"/>
  <c r="F25" i="13" s="1"/>
  <c r="E31" i="12" s="1"/>
  <c r="B3" i="20"/>
  <c r="H11" i="13" s="1"/>
  <c r="F11" i="13" s="1"/>
  <c r="E16" i="12" s="1"/>
  <c r="C24" i="20" l="1"/>
  <c r="B28" i="20"/>
  <c r="B29" i="20" s="1"/>
  <c r="B25" i="20"/>
  <c r="C26" i="20" l="1"/>
  <c r="C28" i="20" l="1"/>
  <c r="B10" i="20"/>
  <c r="H10" i="13" s="1"/>
  <c r="F10" i="13" s="1"/>
  <c r="E15" i="12" s="1"/>
  <c r="C25" i="20"/>
  <c r="B2" i="20" l="1"/>
  <c r="H7" i="13" s="1"/>
  <c r="F7" i="13" s="1"/>
  <c r="E12" i="12" s="1"/>
  <c r="B11" i="20"/>
  <c r="C29" i="20"/>
</calcChain>
</file>

<file path=xl/sharedStrings.xml><?xml version="1.0" encoding="utf-8"?>
<sst xmlns="http://schemas.openxmlformats.org/spreadsheetml/2006/main" count="282" uniqueCount="174">
  <si>
    <t>Source</t>
  </si>
  <si>
    <t>-</t>
  </si>
  <si>
    <t>Value</t>
  </si>
  <si>
    <t>Definition</t>
  </si>
  <si>
    <t>Unit</t>
  </si>
  <si>
    <t>Link</t>
  </si>
  <si>
    <t>Cover Sheet</t>
  </si>
  <si>
    <t>Document</t>
  </si>
  <si>
    <t>Country</t>
  </si>
  <si>
    <t>Organization</t>
  </si>
  <si>
    <t>Quintel Intelligence</t>
  </si>
  <si>
    <t>Definition on the sources</t>
  </si>
  <si>
    <t>Type</t>
  </si>
  <si>
    <t>Date published</t>
  </si>
  <si>
    <t>Date retrieved</t>
  </si>
  <si>
    <t>Attribute</t>
  </si>
  <si>
    <t>free_co2_factor</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</si>
  <si>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</si>
  <si>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</si>
  <si>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</si>
  <si>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</si>
  <si>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</si>
  <si>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</si>
  <si>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</si>
  <si>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</si>
  <si>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</si>
  <si>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</si>
  <si>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</si>
  <si>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</si>
  <si>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</si>
  <si>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</si>
  <si>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</si>
  <si>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</si>
  <si>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Technical</t>
  </si>
  <si>
    <t>Comments</t>
  </si>
  <si>
    <t>Subject year</t>
  </si>
  <si>
    <t>ETM Library URL</t>
  </si>
  <si>
    <t>Values</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</si>
  <si>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</si>
  <si>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output.bio_ethanol</t>
  </si>
  <si>
    <t>energy_production_bio_ethanol.ad</t>
  </si>
  <si>
    <t xml:space="preserve">from Danish Energy Agency: </t>
  </si>
  <si>
    <t>Technology</t>
  </si>
  <si>
    <t>1st Generation Ethanol</t>
  </si>
  <si>
    <t>year</t>
  </si>
  <si>
    <t>Note</t>
  </si>
  <si>
    <t>Ref</t>
  </si>
  <si>
    <t>est</t>
  </si>
  <si>
    <t>ctrl</t>
  </si>
  <si>
    <t>Lower</t>
  </si>
  <si>
    <t>Upper</t>
  </si>
  <si>
    <t>cat</t>
  </si>
  <si>
    <t>par</t>
  </si>
  <si>
    <t>Energy/technical data</t>
  </si>
  <si>
    <t>Ethanol/year [1,000 tonnes/year]</t>
  </si>
  <si>
    <t>A, B</t>
  </si>
  <si>
    <t>Ethanol/year [MW]</t>
  </si>
  <si>
    <t>Input</t>
  </si>
  <si>
    <t>Feedstock Consumption [MWh/MWh Total Input]</t>
  </si>
  <si>
    <t>C</t>
  </si>
  <si>
    <t>Electricity Consumption [MWh/MWh Total Input]</t>
  </si>
  <si>
    <t>D</t>
  </si>
  <si>
    <t>Natural Gas Consumption [MWh/MWh Total Input]</t>
  </si>
  <si>
    <t>Output</t>
  </si>
  <si>
    <t>Ethanol Output [MWh/MWh Total Input]</t>
  </si>
  <si>
    <t>E, F</t>
  </si>
  <si>
    <t>DDG  Output [MWh/MWh Total Input]</t>
  </si>
  <si>
    <t>Forced outage [%]</t>
  </si>
  <si>
    <t>Planned outage [weeks per year]</t>
  </si>
  <si>
    <t>Technical lifetime [years]</t>
  </si>
  <si>
    <t>Construction time [years]</t>
  </si>
  <si>
    <t>Financial data</t>
  </si>
  <si>
    <t>Specific investment [M€/MW Ethanol]</t>
  </si>
  <si>
    <t>I, J</t>
  </si>
  <si>
    <t xml:space="preserve"> - equipment [%]</t>
  </si>
  <si>
    <t xml:space="preserve"> - installation [%]</t>
  </si>
  <si>
    <t>Fixed O&amp;M [M€/MW/year]</t>
  </si>
  <si>
    <t>J</t>
  </si>
  <si>
    <t>Variable O&amp;M [€/MWh]</t>
  </si>
  <si>
    <t>G, B, J</t>
  </si>
  <si>
    <t>Start-up [M€/1,000 t Ethanol]</t>
  </si>
  <si>
    <t>H</t>
  </si>
  <si>
    <t>Technology-specific data</t>
  </si>
  <si>
    <t xml:space="preserve">Specific energy content [GJ/ton] </t>
  </si>
  <si>
    <t>Specific density  [kg/l] or [ton/m3]</t>
  </si>
  <si>
    <t>Specific investment [M€/1,000 t Ethanol]</t>
  </si>
  <si>
    <t>Fixed O&amp;M [M€/1,000 t Ethanol]</t>
  </si>
  <si>
    <t>Variable O&amp;M [M€/1,000 t Ethanol]</t>
  </si>
  <si>
    <t>Notes:</t>
  </si>
  <si>
    <t xml:space="preserve">A.     The plant size is assumed based on the plants sizes of existing ethanol plants. </t>
  </si>
  <si>
    <t>A1. This value is the hourly rating and has been calculated as if the unit produces at capacity and was in operations 8,000 h/year.</t>
  </si>
  <si>
    <t xml:space="preserve">B.     The plant size uncertainty represents the current range in the market. </t>
  </si>
  <si>
    <t>C.     The feedstock starch content impacts the yield. Ethanol yields in the United States have been slowly increasing from a combination of improved conversion efficiency and higher starch content of the feedstock.</t>
  </si>
  <si>
    <t>D.     The upper and lower values are representative of the range between individual plants.</t>
  </si>
  <si>
    <t>E.     Output excludes the low quality waste heat.</t>
  </si>
  <si>
    <t>F.     Change over time is a function of increased ethanol yield, which also results in lower DDG yield as the mass must be conserved.</t>
  </si>
  <si>
    <t xml:space="preserve">G.    Variable costs are reduced from improved energy efficiency. </t>
  </si>
  <si>
    <t>H.     Start-up costs are included on variable costs.</t>
  </si>
  <si>
    <t>I.      Capital costs can be site specific and process technology supplier dependent. The costs provided for in the table are from a technology developer with a reputation for low capital costs.</t>
  </si>
  <si>
    <t>J.     M €/k tonne is million euro per 1,000 tonnes</t>
  </si>
  <si>
    <t>Overview</t>
  </si>
  <si>
    <t>typical input capacity</t>
  </si>
  <si>
    <t>MW</t>
  </si>
  <si>
    <t>full load hours</t>
  </si>
  <si>
    <t>hrs</t>
  </si>
  <si>
    <t>availability</t>
  </si>
  <si>
    <t>technical lifetime</t>
  </si>
  <si>
    <t>yr</t>
  </si>
  <si>
    <t>construction time</t>
  </si>
  <si>
    <t>output.loss</t>
  </si>
  <si>
    <t>investment costs</t>
  </si>
  <si>
    <t>€</t>
  </si>
  <si>
    <t>fixed O&amp;M</t>
  </si>
  <si>
    <t>€/y</t>
  </si>
  <si>
    <t>variable O&amp;M</t>
  </si>
  <si>
    <t>€/flh</t>
  </si>
  <si>
    <t>Data from Danish Energy Agency</t>
  </si>
  <si>
    <t>Data based on specs table:</t>
  </si>
  <si>
    <t>feedstock</t>
  </si>
  <si>
    <t>original</t>
  </si>
  <si>
    <t>total</t>
  </si>
  <si>
    <t>Plant specs</t>
  </si>
  <si>
    <t>Plant size (output)</t>
  </si>
  <si>
    <t>h/yr</t>
  </si>
  <si>
    <t>input.wet_biomass</t>
  </si>
  <si>
    <t>input.electricity</t>
  </si>
  <si>
    <t>output.ddg</t>
  </si>
  <si>
    <t>corrected</t>
  </si>
  <si>
    <t>Quintel assumption: DDG not modelled, assumed as loss</t>
  </si>
  <si>
    <t>Danish Energy Agency</t>
  </si>
  <si>
    <t>DK</t>
  </si>
  <si>
    <t xml:space="preserve">Renewable fuels: Technology descriptions and projections for long-term energy system planning </t>
  </si>
  <si>
    <t>https://refman.energytransitionmodel.com/publications/2218</t>
  </si>
  <si>
    <t>Data Sheets for energy carrier generation and conversion</t>
  </si>
  <si>
    <t>https://refman.energytransitionmodel.com/publications/2219</t>
  </si>
  <si>
    <t>Bioethanol production</t>
  </si>
  <si>
    <t>typical_input_capacity</t>
  </si>
  <si>
    <t>full_load_hours</t>
  </si>
  <si>
    <t>hrs/yr</t>
  </si>
  <si>
    <t>Cost</t>
  </si>
  <si>
    <t>initial_investment</t>
  </si>
  <si>
    <t>euro</t>
  </si>
  <si>
    <t>ccs_investment</t>
  </si>
  <si>
    <t>fixed_operation_and_maintenance_costs_per_year</t>
  </si>
  <si>
    <t>euro/yr</t>
  </si>
  <si>
    <r>
      <t>variable_operation_and_maintenance_costs_per_</t>
    </r>
    <r>
      <rPr>
        <sz val="12"/>
        <color theme="1"/>
        <rFont val="Calibri"/>
        <family val="2"/>
        <scheme val="minor"/>
      </rPr>
      <t>full_load_hour</t>
    </r>
  </si>
  <si>
    <t>euro/flh</t>
  </si>
  <si>
    <t>variable_operation_and_maintenance_costs_for_ccs_per_full_load_hour</t>
  </si>
  <si>
    <t>cost_of_installing</t>
  </si>
  <si>
    <r>
      <t>decommis</t>
    </r>
    <r>
      <rPr>
        <sz val="12"/>
        <color theme="1"/>
        <rFont val="Calibri"/>
        <family val="2"/>
        <scheme val="minor"/>
      </rPr>
      <t>s</t>
    </r>
    <r>
      <rPr>
        <sz val="12"/>
        <color theme="1"/>
        <rFont val="Calibri"/>
        <family val="2"/>
        <scheme val="minor"/>
      </rPr>
      <t>ioning_costs</t>
    </r>
  </si>
  <si>
    <t>takes_part_in_ets</t>
  </si>
  <si>
    <t>yes=1, no=0</t>
  </si>
  <si>
    <t>Other</t>
  </si>
  <si>
    <t>technical_lifetime</t>
  </si>
  <si>
    <t>years</t>
  </si>
  <si>
    <t>construction_time</t>
  </si>
  <si>
    <t>DEA</t>
  </si>
  <si>
    <t>h</t>
  </si>
  <si>
    <t>Initial investment costs</t>
  </si>
  <si>
    <r>
      <t>Fixed operational and maintenance costs per year</t>
    </r>
    <r>
      <rPr>
        <sz val="12"/>
        <color theme="1"/>
        <rFont val="Calibri"/>
        <family val="2"/>
        <scheme val="minor"/>
      </rPr>
      <t xml:space="preserve"> (incl. ccs)</t>
    </r>
  </si>
  <si>
    <r>
      <t xml:space="preserve">Variable operation and maintenance costs per </t>
    </r>
    <r>
      <rPr>
        <sz val="12"/>
        <color theme="1"/>
        <rFont val="Calibri"/>
        <family val="2"/>
        <scheme val="minor"/>
      </rPr>
      <t>flh</t>
    </r>
  </si>
  <si>
    <t>Installation costs</t>
  </si>
  <si>
    <t>Decommissioning costs</t>
  </si>
  <si>
    <t>wacc</t>
  </si>
  <si>
    <t>%</t>
  </si>
  <si>
    <t>Weighted average cost of capita</t>
  </si>
  <si>
    <t>See https://docs.energytransitionmodel.com/main/cost-wacc/</t>
  </si>
  <si>
    <t>Technical lifetime of the plant</t>
  </si>
  <si>
    <t xml:space="preserve">Construction time of the plant </t>
  </si>
  <si>
    <t>Kyra de Haan</t>
  </si>
  <si>
    <t>input.network_gas</t>
  </si>
  <si>
    <t>Quintel assumption</t>
  </si>
  <si>
    <t>Quintel assumption: small input of electricity is ignored, added to network gas input</t>
  </si>
  <si>
    <t>reported natural gas is for thermal energy, therefore assumed to be input of network 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</si>
</sst>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 #,##0.00_ ;_ * \-#,##0.00_ ;_ * &quot;-&quot;??_ ;_ @_ "/>
    <numFmt numFmtId="164" formatCode="0.0"/>
    <numFmt numFmtId="165" formatCode="0.000"/>
    <numFmt numFmtId="166" formatCode="0.0000"/>
    <numFmt numFmtId="167" formatCode="_ * #,##0_ ;_ * \-#,##0_ ;_ * &quot;-&quot;??_ ;_ @_ "/>
    <numFmt numFmtId="168" formatCode="[$-413]mmm\-yy;@"/>
  </numFmts>
  <fonts count="31">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sz val="12"/>
      <name val="Calibri"/>
      <family val="2"/>
    </font>
    <font>
      <b/>
      <sz val="12"/>
      <name val="Calibri"/>
      <family val="2"/>
    </font>
    <font>
      <sz val="12"/>
      <color theme="1"/>
      <name val="Lettertype hoofdtekst"/>
      <family val="2"/>
    </font>
    <font>
      <b/>
      <sz val="8"/>
      <color rgb="FF969696"/>
      <name val="Calibri"/>
      <family val="2"/>
    </font>
    <font>
      <b/>
      <sz val="8"/>
      <color rgb="FF000000"/>
      <name val="Calibri"/>
      <family val="2"/>
    </font>
    <font>
      <b/>
      <sz val="8"/>
      <name val="Calibri"/>
      <family val="2"/>
    </font>
    <font>
      <sz val="8"/>
      <color rgb="FF969696"/>
      <name val="Calibri"/>
      <family val="2"/>
    </font>
    <font>
      <sz val="8"/>
      <color rgb="FF000000"/>
      <name val="Calibri"/>
      <family val="2"/>
    </font>
    <font>
      <b/>
      <sz val="14"/>
      <color theme="1"/>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2F2F2"/>
        <bgColor rgb="FF000000"/>
      </patternFill>
    </fill>
  </fills>
  <borders count="23">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thin">
        <color indexed="64"/>
      </left>
      <right/>
      <top style="medium">
        <color auto="1"/>
      </top>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s>
  <cellStyleXfs count="358">
    <xf numFmtId="0" fontId="0" fillId="0" borderId="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0"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1" fillId="0" borderId="0" applyNumberFormat="0" applyFill="0" applyBorder="0" applyAlignment="0" applyProtection="0"/>
    <xf numFmtId="43" fontId="24" fillId="0" borderId="0" applyFont="0" applyFill="0" applyBorder="0" applyAlignment="0" applyProtection="0"/>
    <xf numFmtId="0" fontId="10" fillId="0" borderId="0" applyNumberFormat="0" applyFill="0" applyBorder="0" applyAlignment="0" applyProtection="0"/>
  </cellStyleXfs>
  <cellXfs count="163">
    <xf numFmtId="0" fontId="0" fillId="0" borderId="0" xfId="0"/>
    <xf numFmtId="0" fontId="13" fillId="3" borderId="7" xfId="0" applyFont="1" applyFill="1" applyBorder="1"/>
    <xf numFmtId="0" fontId="14" fillId="3" borderId="17" xfId="0" applyFont="1" applyFill="1" applyBorder="1"/>
    <xf numFmtId="0" fontId="13" fillId="3" borderId="13" xfId="0" applyFont="1" applyFill="1" applyBorder="1"/>
    <xf numFmtId="0" fontId="15" fillId="3" borderId="7" xfId="0" applyFont="1" applyFill="1" applyBorder="1" applyAlignment="1">
      <alignment vertical="center"/>
    </xf>
    <xf numFmtId="49" fontId="13" fillId="2" borderId="8" xfId="0" applyNumberFormat="1" applyFont="1" applyFill="1" applyBorder="1" applyAlignment="1">
      <alignment horizontal="left"/>
    </xf>
    <xf numFmtId="0" fontId="15" fillId="3" borderId="1" xfId="0" applyFont="1" applyFill="1" applyBorder="1" applyAlignment="1">
      <alignment vertical="center"/>
    </xf>
    <xf numFmtId="0" fontId="13" fillId="3" borderId="14" xfId="0" applyFont="1" applyFill="1" applyBorder="1"/>
    <xf numFmtId="0" fontId="13" fillId="3" borderId="0" xfId="0" applyFont="1" applyFill="1"/>
    <xf numFmtId="1" fontId="12" fillId="2" borderId="0" xfId="0" applyNumberFormat="1" applyFont="1" applyFill="1" applyAlignment="1">
      <alignment horizontal="right" vertical="center"/>
    </xf>
    <xf numFmtId="0" fontId="12" fillId="2" borderId="0" xfId="0" applyFont="1" applyFill="1"/>
    <xf numFmtId="0" fontId="12" fillId="2" borderId="5" xfId="0" applyFont="1" applyFill="1" applyBorder="1"/>
    <xf numFmtId="0" fontId="12" fillId="2" borderId="9" xfId="0" applyFont="1" applyFill="1" applyBorder="1"/>
    <xf numFmtId="0" fontId="12" fillId="0" borderId="9" xfId="0" applyFont="1" applyBorder="1"/>
    <xf numFmtId="0" fontId="14" fillId="0" borderId="9" xfId="0" applyFont="1" applyBorder="1"/>
    <xf numFmtId="49" fontId="12" fillId="2" borderId="0" xfId="0" applyNumberFormat="1" applyFont="1" applyFill="1"/>
    <xf numFmtId="49" fontId="12" fillId="2" borderId="9" xfId="0" applyNumberFormat="1" applyFont="1" applyFill="1" applyBorder="1"/>
    <xf numFmtId="0" fontId="12" fillId="2" borderId="4" xfId="0" applyFont="1" applyFill="1" applyBorder="1"/>
    <xf numFmtId="0" fontId="14" fillId="0" borderId="0" xfId="0" applyFont="1"/>
    <xf numFmtId="0" fontId="9" fillId="2" borderId="0" xfId="0" applyFont="1" applyFill="1"/>
    <xf numFmtId="0" fontId="13" fillId="0" borderId="0" xfId="0" applyFont="1"/>
    <xf numFmtId="0" fontId="12" fillId="0" borderId="16" xfId="0" applyFont="1" applyBorder="1"/>
    <xf numFmtId="0" fontId="12" fillId="2" borderId="6" xfId="0" applyFont="1" applyFill="1" applyBorder="1"/>
    <xf numFmtId="0" fontId="13" fillId="3" borderId="17" xfId="0" applyFont="1" applyFill="1" applyBorder="1"/>
    <xf numFmtId="0" fontId="13" fillId="3" borderId="2" xfId="0" applyFont="1" applyFill="1" applyBorder="1"/>
    <xf numFmtId="0" fontId="9" fillId="2" borderId="2" xfId="0" applyFont="1" applyFill="1" applyBorder="1"/>
    <xf numFmtId="0" fontId="16" fillId="3" borderId="0" xfId="0" applyFont="1" applyFill="1"/>
    <xf numFmtId="0" fontId="9" fillId="2" borderId="7" xfId="0" applyFont="1" applyFill="1" applyBorder="1"/>
    <xf numFmtId="0" fontId="14" fillId="3" borderId="0" xfId="0" applyFont="1" applyFill="1"/>
    <xf numFmtId="0" fontId="12" fillId="2" borderId="0" xfId="0" applyFont="1" applyFill="1" applyAlignment="1">
      <alignment horizontal="left" vertical="center"/>
    </xf>
    <xf numFmtId="0" fontId="8" fillId="2" borderId="0" xfId="0" applyFont="1" applyFill="1"/>
    <xf numFmtId="0" fontId="7" fillId="2" borderId="0" xfId="0" applyFont="1" applyFill="1"/>
    <xf numFmtId="0" fontId="7" fillId="2" borderId="3" xfId="0" applyFont="1" applyFill="1" applyBorder="1"/>
    <xf numFmtId="0" fontId="7" fillId="2" borderId="4" xfId="0" applyFont="1" applyFill="1" applyBorder="1"/>
    <xf numFmtId="0" fontId="7" fillId="2" borderId="6" xfId="0" applyFont="1" applyFill="1" applyBorder="1"/>
    <xf numFmtId="2" fontId="7" fillId="2" borderId="0" xfId="0" applyNumberFormat="1" applyFont="1" applyFill="1" applyAlignment="1">
      <alignment horizontal="right" vertical="center"/>
    </xf>
    <xf numFmtId="10" fontId="7" fillId="2" borderId="0" xfId="0" applyNumberFormat="1" applyFont="1" applyFill="1" applyAlignment="1">
      <alignment horizontal="left" vertical="center" indent="2"/>
    </xf>
    <xf numFmtId="0" fontId="6" fillId="0" borderId="0" xfId="0" applyFont="1"/>
    <xf numFmtId="0" fontId="5" fillId="2" borderId="0" xfId="0" applyFont="1" applyFill="1"/>
    <xf numFmtId="0" fontId="5" fillId="2" borderId="4" xfId="0" applyFont="1" applyFill="1" applyBorder="1"/>
    <xf numFmtId="49" fontId="5" fillId="2" borderId="0" xfId="0" applyNumberFormat="1" applyFont="1" applyFill="1"/>
    <xf numFmtId="49" fontId="5" fillId="2" borderId="4" xfId="0" applyNumberFormat="1" applyFont="1" applyFill="1" applyBorder="1"/>
    <xf numFmtId="0" fontId="17" fillId="2" borderId="0" xfId="0" applyFont="1" applyFill="1"/>
    <xf numFmtId="0" fontId="18" fillId="2" borderId="0" xfId="0" applyFont="1" applyFill="1"/>
    <xf numFmtId="0" fontId="12" fillId="2" borderId="17" xfId="0" applyFont="1" applyFill="1" applyBorder="1"/>
    <xf numFmtId="0" fontId="4" fillId="2" borderId="2" xfId="0" applyFont="1" applyFill="1" applyBorder="1"/>
    <xf numFmtId="0" fontId="12" fillId="2" borderId="7" xfId="0" applyFont="1" applyFill="1" applyBorder="1"/>
    <xf numFmtId="0" fontId="4" fillId="2" borderId="0" xfId="0" applyFont="1" applyFill="1"/>
    <xf numFmtId="0" fontId="19" fillId="2" borderId="0" xfId="0" applyFont="1" applyFill="1"/>
    <xf numFmtId="0" fontId="4" fillId="2" borderId="18" xfId="0" applyFont="1" applyFill="1" applyBorder="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2" borderId="7" xfId="0" applyFont="1" applyFill="1" applyBorder="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12" fillId="2" borderId="9" xfId="0" applyFont="1" applyFill="1" applyBorder="1" applyAlignment="1">
      <alignment vertical="center"/>
    </xf>
    <xf numFmtId="0" fontId="12" fillId="2" borderId="19" xfId="0" applyFont="1" applyFill="1" applyBorder="1"/>
    <xf numFmtId="165" fontId="17" fillId="2" borderId="0" xfId="0" applyNumberFormat="1" applyFont="1" applyFill="1"/>
    <xf numFmtId="17" fontId="17" fillId="2" borderId="0" xfId="0" applyNumberFormat="1" applyFont="1" applyFill="1"/>
    <xf numFmtId="0" fontId="22" fillId="12" borderId="0" xfId="0" applyFont="1" applyFill="1"/>
    <xf numFmtId="0" fontId="23" fillId="12" borderId="0" xfId="0" applyFont="1" applyFill="1"/>
    <xf numFmtId="0" fontId="5" fillId="2" borderId="20" xfId="0" applyFont="1" applyFill="1" applyBorder="1"/>
    <xf numFmtId="0" fontId="5" fillId="2" borderId="7" xfId="0" applyFont="1" applyFill="1" applyBorder="1"/>
    <xf numFmtId="0" fontId="5" fillId="2" borderId="1" xfId="0" applyFont="1" applyFill="1" applyBorder="1"/>
    <xf numFmtId="0" fontId="25" fillId="13" borderId="0" xfId="0" applyFont="1" applyFill="1" applyAlignment="1">
      <alignment horizontal="left" vertical="top"/>
    </xf>
    <xf numFmtId="0" fontId="25" fillId="13" borderId="2" xfId="0" applyFont="1" applyFill="1" applyBorder="1" applyAlignment="1">
      <alignment horizontal="left" vertical="top"/>
    </xf>
    <xf numFmtId="0" fontId="26" fillId="13" borderId="0" xfId="0" applyFont="1" applyFill="1" applyAlignment="1">
      <alignment horizontal="right" vertical="top"/>
    </xf>
    <xf numFmtId="0" fontId="27" fillId="13" borderId="0" xfId="0" applyFont="1" applyFill="1" applyAlignment="1">
      <alignment horizontal="right" vertical="top"/>
    </xf>
    <xf numFmtId="0" fontId="26" fillId="13" borderId="0" xfId="0" applyFont="1" applyFill="1" applyAlignment="1">
      <alignment horizontal="center" vertical="top"/>
    </xf>
    <xf numFmtId="0" fontId="25" fillId="13" borderId="11" xfId="0" applyFont="1" applyFill="1" applyBorder="1" applyAlignment="1">
      <alignment horizontal="left" vertical="top"/>
    </xf>
    <xf numFmtId="0" fontId="28" fillId="13" borderId="11" xfId="0" applyFont="1" applyFill="1" applyBorder="1" applyAlignment="1">
      <alignment horizontal="left" vertical="top"/>
    </xf>
    <xf numFmtId="0" fontId="27" fillId="13" borderId="11" xfId="0" applyFont="1" applyFill="1" applyBorder="1" applyAlignment="1">
      <alignment horizontal="right" vertical="top"/>
    </xf>
    <xf numFmtId="0" fontId="29" fillId="13" borderId="11" xfId="0" applyFont="1" applyFill="1" applyBorder="1" applyAlignment="1">
      <alignment horizontal="center" vertical="top"/>
    </xf>
    <xf numFmtId="0" fontId="25" fillId="0" borderId="0" xfId="0" applyFont="1" applyAlignment="1">
      <alignment horizontal="left" vertical="top"/>
    </xf>
    <xf numFmtId="0" fontId="28" fillId="0" borderId="0" xfId="0" applyFont="1" applyAlignment="1">
      <alignment horizontal="left" vertical="top"/>
    </xf>
    <xf numFmtId="0" fontId="29" fillId="0" borderId="0" xfId="0" applyFont="1"/>
    <xf numFmtId="0" fontId="29" fillId="0" borderId="0" xfId="0" applyFont="1" applyAlignment="1">
      <alignment horizontal="right" vertical="top"/>
    </xf>
    <xf numFmtId="0" fontId="29" fillId="0" borderId="0" xfId="0" applyFont="1" applyAlignment="1">
      <alignment horizontal="center" vertical="top"/>
    </xf>
    <xf numFmtId="0" fontId="26" fillId="0" borderId="0" xfId="0" applyFont="1" applyAlignment="1">
      <alignment horizontal="left" vertical="top"/>
    </xf>
    <xf numFmtId="0" fontId="29" fillId="0" borderId="0" xfId="0" applyFont="1" applyAlignment="1">
      <alignment horizontal="left" vertical="top"/>
    </xf>
    <xf numFmtId="9" fontId="29" fillId="0" borderId="0" xfId="0" applyNumberFormat="1" applyFont="1" applyAlignment="1">
      <alignment horizontal="right" vertical="top"/>
    </xf>
    <xf numFmtId="2" fontId="29" fillId="0" borderId="0" xfId="0" applyNumberFormat="1" applyFont="1" applyAlignment="1">
      <alignment horizontal="right" vertical="top"/>
    </xf>
    <xf numFmtId="165" fontId="29" fillId="0" borderId="0" xfId="0" applyNumberFormat="1" applyFont="1" applyAlignment="1">
      <alignment horizontal="right" vertical="top"/>
    </xf>
    <xf numFmtId="0" fontId="26" fillId="0" borderId="11" xfId="0" applyFont="1" applyBorder="1" applyAlignment="1">
      <alignment horizontal="left" vertical="top"/>
    </xf>
    <xf numFmtId="0" fontId="29" fillId="0" borderId="11" xfId="0" applyFont="1" applyBorder="1" applyAlignment="1">
      <alignment horizontal="left" vertical="top"/>
    </xf>
    <xf numFmtId="0" fontId="29" fillId="0" borderId="11" xfId="0" applyFont="1" applyBorder="1" applyAlignment="1">
      <alignment horizontal="right" vertical="top"/>
    </xf>
    <xf numFmtId="9" fontId="29" fillId="0" borderId="11" xfId="0" applyNumberFormat="1" applyFont="1" applyBorder="1" applyAlignment="1">
      <alignment horizontal="right" vertical="top"/>
    </xf>
    <xf numFmtId="0" fontId="29" fillId="0" borderId="11" xfId="0" applyFont="1" applyBorder="1" applyAlignment="1">
      <alignment horizontal="center" vertical="top"/>
    </xf>
    <xf numFmtId="9" fontId="29" fillId="0" borderId="0" xfId="0" applyNumberFormat="1" applyFont="1"/>
    <xf numFmtId="0" fontId="29" fillId="0" borderId="0" xfId="0" applyFont="1" applyAlignment="1">
      <alignment horizontal="center"/>
    </xf>
    <xf numFmtId="0" fontId="26" fillId="0" borderId="0" xfId="0" applyFont="1" applyAlignment="1">
      <alignment horizontal="left" vertical="center"/>
    </xf>
    <xf numFmtId="0" fontId="29" fillId="0" borderId="0" xfId="0" applyFont="1" applyAlignment="1">
      <alignment horizontal="left" vertical="center"/>
    </xf>
    <xf numFmtId="0" fontId="26" fillId="0" borderId="0" xfId="0" applyFont="1" applyAlignment="1">
      <alignment horizontal="right" vertical="top"/>
    </xf>
    <xf numFmtId="2" fontId="26" fillId="0" borderId="0" xfId="0" applyNumberFormat="1" applyFont="1" applyAlignment="1">
      <alignment horizontal="right" vertical="top"/>
    </xf>
    <xf numFmtId="165" fontId="26" fillId="0" borderId="0" xfId="0" applyNumberFormat="1" applyFont="1" applyAlignment="1">
      <alignment horizontal="right" vertical="top"/>
    </xf>
    <xf numFmtId="0" fontId="26" fillId="0" borderId="11" xfId="0" applyFont="1" applyBorder="1" applyAlignment="1">
      <alignment horizontal="right" vertical="top"/>
    </xf>
    <xf numFmtId="1" fontId="17" fillId="2" borderId="0" xfId="0" applyNumberFormat="1" applyFont="1" applyFill="1"/>
    <xf numFmtId="167" fontId="17" fillId="2" borderId="0" xfId="0" applyNumberFormat="1" applyFont="1" applyFill="1"/>
    <xf numFmtId="4" fontId="17" fillId="2" borderId="0" xfId="0" applyNumberFormat="1" applyFont="1" applyFill="1"/>
    <xf numFmtId="167" fontId="17" fillId="2" borderId="0" xfId="356" applyNumberFormat="1" applyFont="1" applyFill="1"/>
    <xf numFmtId="0" fontId="3" fillId="2" borderId="0" xfId="0" applyFont="1" applyFill="1"/>
    <xf numFmtId="168" fontId="3" fillId="2" borderId="0" xfId="0" applyNumberFormat="1" applyFont="1" applyFill="1"/>
    <xf numFmtId="49" fontId="10" fillId="2" borderId="0" xfId="357" applyNumberFormat="1" applyFill="1"/>
    <xf numFmtId="0" fontId="3" fillId="0" borderId="0" xfId="0" applyFont="1" applyAlignment="1">
      <alignment vertical="center"/>
    </xf>
    <xf numFmtId="0" fontId="13" fillId="0" borderId="0" xfId="0" applyFont="1" applyAlignment="1">
      <alignment vertical="center"/>
    </xf>
    <xf numFmtId="2" fontId="3" fillId="2" borderId="18" xfId="0" applyNumberFormat="1" applyFont="1" applyFill="1" applyBorder="1" applyAlignment="1">
      <alignment vertical="center"/>
    </xf>
    <xf numFmtId="165" fontId="3" fillId="2" borderId="0" xfId="0" applyNumberFormat="1" applyFont="1" applyFill="1" applyAlignment="1">
      <alignment vertical="center"/>
    </xf>
    <xf numFmtId="2" fontId="3" fillId="2" borderId="18" xfId="0" applyNumberFormat="1" applyFont="1" applyFill="1" applyBorder="1" applyAlignment="1">
      <alignment horizontal="right" vertical="center"/>
    </xf>
    <xf numFmtId="2" fontId="3" fillId="2" borderId="0" xfId="0" applyNumberFormat="1" applyFont="1" applyFill="1" applyAlignment="1">
      <alignment horizontal="right" vertical="center"/>
    </xf>
    <xf numFmtId="2" fontId="3" fillId="2" borderId="18" xfId="0" applyNumberFormat="1" applyFont="1" applyFill="1" applyBorder="1"/>
    <xf numFmtId="164" fontId="3" fillId="2" borderId="18" xfId="0" applyNumberFormat="1" applyFont="1" applyFill="1" applyBorder="1"/>
    <xf numFmtId="0" fontId="3" fillId="0" borderId="0" xfId="0" applyFont="1"/>
    <xf numFmtId="165" fontId="3" fillId="2" borderId="18" xfId="0" applyNumberFormat="1" applyFont="1" applyFill="1" applyBorder="1" applyAlignment="1">
      <alignment horizontal="right" vertical="center"/>
    </xf>
    <xf numFmtId="165" fontId="3" fillId="2" borderId="18" xfId="0" applyNumberFormat="1" applyFont="1" applyFill="1" applyBorder="1"/>
    <xf numFmtId="1" fontId="3" fillId="2" borderId="21" xfId="0" applyNumberFormat="1" applyFont="1" applyFill="1" applyBorder="1"/>
    <xf numFmtId="2" fontId="3" fillId="2" borderId="21" xfId="0" applyNumberFormat="1" applyFont="1" applyFill="1" applyBorder="1"/>
    <xf numFmtId="2" fontId="3" fillId="2" borderId="0" xfId="0" applyNumberFormat="1" applyFont="1" applyFill="1"/>
    <xf numFmtId="0" fontId="20" fillId="0" borderId="0" xfId="0" applyFont="1"/>
    <xf numFmtId="2" fontId="12" fillId="2" borderId="0" xfId="0" applyNumberFormat="1" applyFont="1" applyFill="1" applyAlignment="1">
      <alignment horizontal="right" vertical="center"/>
    </xf>
    <xf numFmtId="1" fontId="3" fillId="2" borderId="0" xfId="0" applyNumberFormat="1" applyFont="1" applyFill="1" applyAlignment="1">
      <alignment horizontal="right" vertical="center"/>
    </xf>
    <xf numFmtId="1" fontId="3" fillId="2" borderId="18" xfId="0" applyNumberFormat="1" applyFont="1" applyFill="1" applyBorder="1" applyAlignment="1">
      <alignment horizontal="right" vertical="center"/>
    </xf>
    <xf numFmtId="166" fontId="3" fillId="0" borderId="0" xfId="0" applyNumberFormat="1" applyFont="1"/>
    <xf numFmtId="166" fontId="13" fillId="0" borderId="0" xfId="0" applyNumberFormat="1" applyFont="1"/>
    <xf numFmtId="2" fontId="3" fillId="2" borderId="22" xfId="0" applyNumberFormat="1" applyFont="1" applyFill="1" applyBorder="1" applyAlignment="1">
      <alignment horizontal="right" vertical="center"/>
    </xf>
    <xf numFmtId="164" fontId="3" fillId="2" borderId="0" xfId="0" applyNumberFormat="1" applyFont="1" applyFill="1"/>
    <xf numFmtId="0" fontId="13" fillId="2" borderId="0" xfId="0" applyFont="1" applyFill="1"/>
    <xf numFmtId="0" fontId="3" fillId="2" borderId="18" xfId="0" applyFont="1" applyFill="1" applyBorder="1"/>
    <xf numFmtId="0" fontId="3" fillId="2" borderId="3" xfId="0" applyFont="1" applyFill="1" applyBorder="1"/>
    <xf numFmtId="0" fontId="3" fillId="2" borderId="15" xfId="0" applyFont="1" applyFill="1" applyBorder="1"/>
    <xf numFmtId="0" fontId="12" fillId="2" borderId="6" xfId="0" applyFont="1" applyFill="1" applyBorder="1" applyAlignment="1">
      <alignment vertical="center"/>
    </xf>
    <xf numFmtId="0" fontId="12" fillId="0" borderId="0" xfId="0" applyFont="1" applyAlignment="1">
      <alignment vertical="center"/>
    </xf>
    <xf numFmtId="0" fontId="30" fillId="2" borderId="0" xfId="0" applyFont="1" applyFill="1" applyAlignment="1">
      <alignment vertical="center"/>
    </xf>
    <xf numFmtId="0" fontId="30" fillId="2" borderId="5" xfId="0" applyFont="1" applyFill="1" applyBorder="1" applyAlignment="1">
      <alignment vertical="center"/>
    </xf>
    <xf numFmtId="165" fontId="3" fillId="2" borderId="18" xfId="0" applyNumberFormat="1" applyFont="1" applyFill="1" applyBorder="1" applyAlignment="1">
      <alignment vertical="center"/>
    </xf>
    <xf numFmtId="0" fontId="3" fillId="2" borderId="6" xfId="0" applyFont="1" applyFill="1" applyBorder="1"/>
    <xf numFmtId="0" fontId="3" fillId="2" borderId="5" xfId="0" applyFont="1" applyFill="1" applyBorder="1"/>
    <xf numFmtId="0" fontId="3" fillId="2" borderId="6" xfId="0" applyFont="1" applyFill="1" applyBorder="1" applyAlignment="1">
      <alignment vertical="center"/>
    </xf>
    <xf numFmtId="0" fontId="3" fillId="2" borderId="0" xfId="0" applyFont="1" applyFill="1" applyAlignment="1">
      <alignment vertical="center"/>
    </xf>
    <xf numFmtId="0" fontId="3" fillId="2" borderId="5" xfId="0" applyFont="1" applyFill="1" applyBorder="1" applyAlignment="1">
      <alignment vertical="center"/>
    </xf>
    <xf numFmtId="0" fontId="20" fillId="12" borderId="18" xfId="0" applyFont="1" applyFill="1" applyBorder="1"/>
    <xf numFmtId="166" fontId="3" fillId="2" borderId="6" xfId="0" applyNumberFormat="1" applyFont="1" applyFill="1" applyBorder="1"/>
    <xf numFmtId="166" fontId="3" fillId="2" borderId="5" xfId="0" applyNumberFormat="1" applyFont="1" applyFill="1" applyBorder="1"/>
    <xf numFmtId="0" fontId="3" fillId="2" borderId="10" xfId="0" applyFont="1" applyFill="1" applyBorder="1"/>
    <xf numFmtId="0" fontId="3" fillId="2" borderId="11" xfId="0" applyFont="1" applyFill="1" applyBorder="1"/>
    <xf numFmtId="0" fontId="3" fillId="2" borderId="12" xfId="0" applyFont="1" applyFill="1" applyBorder="1"/>
    <xf numFmtId="0" fontId="2" fillId="0" borderId="0" xfId="0" applyFont="1" applyAlignment="1">
      <alignment vertical="center"/>
    </xf>
    <xf numFmtId="0" fontId="2" fillId="2" borderId="18" xfId="0" applyFont="1" applyFill="1" applyBorder="1" applyAlignment="1">
      <alignment vertical="center"/>
    </xf>
    <xf numFmtId="166" fontId="2" fillId="2" borderId="18" xfId="0" applyNumberFormat="1" applyFont="1" applyFill="1" applyBorder="1"/>
    <xf numFmtId="0" fontId="2" fillId="2" borderId="18" xfId="0" applyFont="1" applyFill="1" applyBorder="1"/>
    <xf numFmtId="0" fontId="20" fillId="12" borderId="17" xfId="0" applyFont="1" applyFill="1" applyBorder="1" applyAlignment="1">
      <alignment horizontal="left" vertical="top" wrapText="1"/>
    </xf>
    <xf numFmtId="0" fontId="20" fillId="12" borderId="2" xfId="0" applyFont="1" applyFill="1" applyBorder="1" applyAlignment="1">
      <alignment horizontal="left" vertical="top" wrapText="1"/>
    </xf>
    <xf numFmtId="0" fontId="20" fillId="12" borderId="13" xfId="0" applyFont="1" applyFill="1" applyBorder="1" applyAlignment="1">
      <alignment horizontal="left" vertical="top" wrapText="1"/>
    </xf>
    <xf numFmtId="0" fontId="20" fillId="12" borderId="7" xfId="0" applyFont="1" applyFill="1" applyBorder="1" applyAlignment="1">
      <alignment horizontal="left" vertical="top" wrapText="1"/>
    </xf>
    <xf numFmtId="0" fontId="20" fillId="12" borderId="0" xfId="0" applyFont="1" applyFill="1" applyAlignment="1">
      <alignment horizontal="left" vertical="top" wrapText="1"/>
    </xf>
    <xf numFmtId="0" fontId="20" fillId="12" borderId="8" xfId="0" applyFont="1" applyFill="1" applyBorder="1" applyAlignment="1">
      <alignment horizontal="left" vertical="top" wrapText="1"/>
    </xf>
    <xf numFmtId="0" fontId="20" fillId="12" borderId="1" xfId="0" applyFont="1" applyFill="1" applyBorder="1" applyAlignment="1">
      <alignment horizontal="left" vertical="top" wrapText="1"/>
    </xf>
    <xf numFmtId="0" fontId="20" fillId="12" borderId="9" xfId="0" applyFont="1" applyFill="1" applyBorder="1" applyAlignment="1">
      <alignment horizontal="left" vertical="top" wrapText="1"/>
    </xf>
    <xf numFmtId="0" fontId="20" fillId="12" borderId="14" xfId="0" applyFont="1" applyFill="1" applyBorder="1" applyAlignment="1">
      <alignment horizontal="left" vertical="top" wrapText="1"/>
    </xf>
    <xf numFmtId="0" fontId="10" fillId="13" borderId="2" xfId="357" applyFill="1" applyBorder="1" applyAlignment="1">
      <alignment horizontal="center" vertical="top" wrapText="1"/>
    </xf>
  </cellXfs>
  <cellStyles count="358">
    <cellStyle name="Comma" xfId="356" builtinId="3"/>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4"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357"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hyperlink" Target="https://refman.energytransitionmodel.com/publications/2219" TargetMode="External"/><Relationship Id="rId1" Type="http://schemas.openxmlformats.org/officeDocument/2006/relationships/hyperlink" Target="https://refman.energytransitionmodel.com/publications/2218"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plewebdata://08A542F4-F6FD-448D-BD83-2C37FFD1F29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C23"/>
  <sheetViews>
    <sheetView workbookViewId="0">
      <selection activeCell="C6" sqref="C6"/>
    </sheetView>
  </sheetViews>
  <sheetFormatPr baseColWidth="10" defaultColWidth="10.6640625" defaultRowHeight="16"/>
  <cols>
    <col min="1" max="1" width="3.5" style="27" customWidth="1"/>
    <col min="2" max="2" width="11.5" style="19" customWidth="1"/>
    <col min="3" max="3" width="38.5" style="19" customWidth="1"/>
    <col min="4" max="16384" width="10.6640625" style="19"/>
  </cols>
  <sheetData>
    <row r="1" spans="1:3" s="25" customFormat="1">
      <c r="A1" s="23"/>
      <c r="B1" s="24"/>
      <c r="C1" s="24"/>
    </row>
    <row r="2" spans="1:3" ht="21">
      <c r="A2" s="1"/>
      <c r="B2" s="26" t="s">
        <v>6</v>
      </c>
      <c r="C2" s="26"/>
    </row>
    <row r="3" spans="1:3">
      <c r="A3" s="1"/>
      <c r="B3" s="8"/>
      <c r="C3" s="8"/>
    </row>
    <row r="4" spans="1:3">
      <c r="A4" s="1"/>
      <c r="B4" s="2" t="s">
        <v>7</v>
      </c>
      <c r="C4" s="3" t="s">
        <v>40</v>
      </c>
    </row>
    <row r="5" spans="1:3">
      <c r="A5" s="1"/>
      <c r="B5" s="4" t="s">
        <v>32</v>
      </c>
      <c r="C5" s="5" t="s">
        <v>169</v>
      </c>
    </row>
    <row r="6" spans="1:3">
      <c r="A6" s="1"/>
      <c r="B6" s="6" t="s">
        <v>9</v>
      </c>
      <c r="C6" s="7" t="s">
        <v>10</v>
      </c>
    </row>
    <row r="7" spans="1:3">
      <c r="A7" s="1"/>
      <c r="B7" s="8"/>
      <c r="C7" s="8"/>
    </row>
    <row r="8" spans="1:3">
      <c r="A8" s="1"/>
      <c r="B8" s="8"/>
      <c r="C8" s="8"/>
    </row>
    <row r="9" spans="1:3">
      <c r="A9" s="1"/>
      <c r="B9" s="44" t="s">
        <v>17</v>
      </c>
      <c r="C9" s="45"/>
    </row>
    <row r="10" spans="1:3">
      <c r="A10" s="1"/>
      <c r="B10" s="46"/>
      <c r="C10" s="47"/>
    </row>
    <row r="11" spans="1:3">
      <c r="A11" s="1"/>
      <c r="B11" s="46" t="s">
        <v>18</v>
      </c>
      <c r="C11" s="48" t="s">
        <v>19</v>
      </c>
    </row>
    <row r="12" spans="1:3" ht="17" thickBot="1">
      <c r="A12" s="1"/>
      <c r="B12" s="46"/>
      <c r="C12" s="10" t="s">
        <v>20</v>
      </c>
    </row>
    <row r="13" spans="1:3" ht="17" thickBot="1">
      <c r="A13" s="1"/>
      <c r="B13" s="46"/>
      <c r="C13" s="49" t="s">
        <v>21</v>
      </c>
    </row>
    <row r="14" spans="1:3">
      <c r="A14" s="1"/>
      <c r="B14" s="46"/>
      <c r="C14" s="47" t="s">
        <v>22</v>
      </c>
    </row>
    <row r="15" spans="1:3">
      <c r="A15" s="1"/>
      <c r="B15" s="46"/>
      <c r="C15" s="47"/>
    </row>
    <row r="16" spans="1:3">
      <c r="A16" s="1"/>
      <c r="B16" s="46" t="s">
        <v>23</v>
      </c>
      <c r="C16" s="50" t="s">
        <v>24</v>
      </c>
    </row>
    <row r="17" spans="1:3">
      <c r="A17" s="1"/>
      <c r="B17" s="46"/>
      <c r="C17" s="51" t="s">
        <v>25</v>
      </c>
    </row>
    <row r="18" spans="1:3">
      <c r="A18" s="1"/>
      <c r="B18" s="46"/>
      <c r="C18" s="52" t="s">
        <v>26</v>
      </c>
    </row>
    <row r="19" spans="1:3">
      <c r="A19" s="1"/>
      <c r="B19" s="46"/>
      <c r="C19" s="53" t="s">
        <v>27</v>
      </c>
    </row>
    <row r="20" spans="1:3">
      <c r="A20" s="1"/>
      <c r="B20" s="54"/>
      <c r="C20" s="55" t="s">
        <v>28</v>
      </c>
    </row>
    <row r="21" spans="1:3">
      <c r="A21" s="1"/>
      <c r="B21" s="54"/>
      <c r="C21" s="56" t="s">
        <v>29</v>
      </c>
    </row>
    <row r="22" spans="1:3">
      <c r="A22" s="1"/>
      <c r="B22" s="54"/>
      <c r="C22" s="57" t="s">
        <v>30</v>
      </c>
    </row>
    <row r="23" spans="1:3">
      <c r="B23" s="54"/>
      <c r="C23" s="58" t="s">
        <v>31</v>
      </c>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B2:J34"/>
  <sheetViews>
    <sheetView workbookViewId="0">
      <selection activeCell="I34" sqref="I34"/>
    </sheetView>
  </sheetViews>
  <sheetFormatPr baseColWidth="10" defaultColWidth="10.6640625" defaultRowHeight="16"/>
  <cols>
    <col min="1" max="2" width="3.5" style="30" customWidth="1"/>
    <col min="3" max="3" width="36" style="30" customWidth="1"/>
    <col min="4" max="4" width="9.5" style="30" customWidth="1"/>
    <col min="5" max="5" width="15.5" style="30" customWidth="1"/>
    <col min="6" max="6" width="4.5" style="30" customWidth="1"/>
    <col min="7" max="7" width="47.5" style="30" customWidth="1"/>
    <col min="8" max="8" width="5.1640625" style="30" customWidth="1"/>
    <col min="9" max="9" width="48.83203125" style="30" customWidth="1"/>
    <col min="10" max="10" width="5.5" style="30" customWidth="1"/>
    <col min="11" max="16384" width="10.6640625" style="30"/>
  </cols>
  <sheetData>
    <row r="2" spans="2:10">
      <c r="B2" s="153" t="s">
        <v>38</v>
      </c>
      <c r="C2" s="154"/>
      <c r="D2" s="154"/>
      <c r="E2" s="155"/>
    </row>
    <row r="3" spans="2:10">
      <c r="B3" s="156"/>
      <c r="C3" s="157"/>
      <c r="D3" s="157"/>
      <c r="E3" s="158"/>
    </row>
    <row r="4" spans="2:10">
      <c r="B4" s="156"/>
      <c r="C4" s="157"/>
      <c r="D4" s="157"/>
      <c r="E4" s="158"/>
    </row>
    <row r="5" spans="2:10" ht="31" customHeight="1">
      <c r="B5" s="159"/>
      <c r="C5" s="160"/>
      <c r="D5" s="160"/>
      <c r="E5" s="161"/>
    </row>
    <row r="7" spans="2:10" ht="17" thickBot="1"/>
    <row r="8" spans="2:10">
      <c r="B8" s="131"/>
      <c r="C8" s="17"/>
      <c r="D8" s="17"/>
      <c r="E8" s="17"/>
      <c r="F8" s="17"/>
      <c r="G8" s="17"/>
      <c r="H8" s="17"/>
      <c r="I8" s="17"/>
      <c r="J8" s="132"/>
    </row>
    <row r="9" spans="2:10" s="10" customFormat="1">
      <c r="B9" s="21"/>
      <c r="C9" s="13" t="s">
        <v>15</v>
      </c>
      <c r="D9" s="14" t="s">
        <v>4</v>
      </c>
      <c r="E9" s="12" t="s">
        <v>2</v>
      </c>
      <c r="F9" s="13"/>
      <c r="G9" s="13" t="s">
        <v>3</v>
      </c>
      <c r="H9" s="13"/>
      <c r="I9" s="13" t="s">
        <v>0</v>
      </c>
      <c r="J9" s="60"/>
    </row>
    <row r="10" spans="2:10" s="10" customFormat="1">
      <c r="B10" s="22"/>
      <c r="D10" s="28"/>
      <c r="J10" s="11"/>
    </row>
    <row r="11" spans="2:10" s="10" customFormat="1" ht="17" thickBot="1">
      <c r="B11" s="22"/>
      <c r="C11" s="10" t="s">
        <v>33</v>
      </c>
      <c r="D11" s="28"/>
      <c r="J11" s="11"/>
    </row>
    <row r="12" spans="2:10" s="10" customFormat="1" ht="20" thickBot="1">
      <c r="B12" s="133"/>
      <c r="C12" s="107" t="s">
        <v>136</v>
      </c>
      <c r="D12" s="108" t="s">
        <v>102</v>
      </c>
      <c r="E12" s="109">
        <f>'Research data'!F7</f>
        <v>744.68</v>
      </c>
      <c r="F12" s="107"/>
      <c r="G12" s="134"/>
      <c r="H12" s="135"/>
      <c r="I12" s="150" t="s">
        <v>129</v>
      </c>
      <c r="J12" s="136"/>
    </row>
    <row r="13" spans="2:10" ht="20" thickBot="1">
      <c r="B13" s="133"/>
      <c r="C13" s="107" t="s">
        <v>124</v>
      </c>
      <c r="D13" s="108" t="s">
        <v>1</v>
      </c>
      <c r="E13" s="137">
        <f>'Research data'!F8</f>
        <v>0.84</v>
      </c>
      <c r="F13" s="107"/>
      <c r="G13" s="134"/>
      <c r="H13" s="135"/>
      <c r="I13" s="150" t="s">
        <v>129</v>
      </c>
      <c r="J13" s="136"/>
    </row>
    <row r="14" spans="2:10" ht="20" thickBot="1">
      <c r="B14" s="133"/>
      <c r="C14" s="149" t="s">
        <v>170</v>
      </c>
      <c r="D14" s="108" t="s">
        <v>1</v>
      </c>
      <c r="E14" s="137">
        <f>'Research data'!F9</f>
        <v>0.16</v>
      </c>
      <c r="F14" s="107"/>
      <c r="G14" s="134"/>
      <c r="H14" s="135"/>
      <c r="I14" s="150" t="s">
        <v>129</v>
      </c>
      <c r="J14" s="136"/>
    </row>
    <row r="15" spans="2:10" ht="17" thickBot="1">
      <c r="B15" s="138"/>
      <c r="C15" s="115" t="s">
        <v>39</v>
      </c>
      <c r="D15" s="20" t="s">
        <v>1</v>
      </c>
      <c r="E15" s="137">
        <f>'Research data'!F10</f>
        <v>0.47</v>
      </c>
      <c r="F15" s="115"/>
      <c r="G15" s="115"/>
      <c r="H15" s="115"/>
      <c r="I15" s="150" t="s">
        <v>129</v>
      </c>
      <c r="J15" s="139"/>
    </row>
    <row r="16" spans="2:10" ht="17" thickBot="1">
      <c r="B16" s="140"/>
      <c r="C16" s="107" t="s">
        <v>137</v>
      </c>
      <c r="D16" s="108" t="s">
        <v>157</v>
      </c>
      <c r="E16" s="137">
        <f>'Research data'!F11</f>
        <v>8000</v>
      </c>
      <c r="F16" s="107"/>
      <c r="G16" s="107"/>
      <c r="H16" s="141"/>
      <c r="I16" s="150" t="s">
        <v>129</v>
      </c>
      <c r="J16" s="142"/>
    </row>
    <row r="17" spans="2:10" ht="17" thickBot="1">
      <c r="B17" s="140"/>
      <c r="C17" s="107" t="s">
        <v>105</v>
      </c>
      <c r="D17" s="108" t="s">
        <v>1</v>
      </c>
      <c r="E17" s="137">
        <f>'Research data'!F12</f>
        <v>0.96199999999999997</v>
      </c>
      <c r="F17" s="107"/>
      <c r="G17" s="107"/>
      <c r="H17" s="141"/>
      <c r="I17" s="141"/>
      <c r="J17" s="142"/>
    </row>
    <row r="18" spans="2:10">
      <c r="B18" s="138"/>
      <c r="C18" s="104"/>
      <c r="D18" s="104"/>
      <c r="E18" s="104"/>
      <c r="F18" s="104"/>
      <c r="G18" s="104"/>
      <c r="H18" s="104"/>
      <c r="I18" s="104"/>
      <c r="J18" s="139"/>
    </row>
    <row r="19" spans="2:10" ht="17" thickBot="1">
      <c r="B19" s="138"/>
      <c r="C19" s="10" t="s">
        <v>139</v>
      </c>
      <c r="D19" s="104"/>
      <c r="E19" s="104"/>
      <c r="F19" s="104"/>
      <c r="G19" s="104"/>
      <c r="H19" s="104"/>
      <c r="I19" s="104"/>
      <c r="J19" s="139"/>
    </row>
    <row r="20" spans="2:10" ht="17" thickBot="1">
      <c r="B20" s="138"/>
      <c r="C20" s="115" t="s">
        <v>140</v>
      </c>
      <c r="D20" s="20" t="s">
        <v>141</v>
      </c>
      <c r="E20" s="114">
        <f>'Research data'!F15</f>
        <v>260000000</v>
      </c>
      <c r="F20" s="115"/>
      <c r="G20" s="115" t="s">
        <v>158</v>
      </c>
      <c r="H20" s="115"/>
      <c r="I20" s="150" t="s">
        <v>129</v>
      </c>
      <c r="J20" s="139"/>
    </row>
    <row r="21" spans="2:10" ht="17" thickBot="1">
      <c r="B21" s="138"/>
      <c r="C21" s="115" t="s">
        <v>142</v>
      </c>
      <c r="D21" s="20" t="s">
        <v>141</v>
      </c>
      <c r="E21" s="114">
        <f>'Research data'!F16</f>
        <v>0</v>
      </c>
      <c r="F21" s="115"/>
      <c r="G21" s="115"/>
      <c r="H21" s="115"/>
      <c r="I21" s="143" t="s">
        <v>1</v>
      </c>
      <c r="J21" s="139"/>
    </row>
    <row r="22" spans="2:10" ht="17" thickBot="1">
      <c r="B22" s="138"/>
      <c r="C22" s="115" t="s">
        <v>143</v>
      </c>
      <c r="D22" s="20" t="s">
        <v>144</v>
      </c>
      <c r="E22" s="114">
        <f>'Research data'!F17</f>
        <v>26000000</v>
      </c>
      <c r="F22" s="115"/>
      <c r="G22" s="115" t="s">
        <v>159</v>
      </c>
      <c r="H22" s="115"/>
      <c r="I22" s="150" t="s">
        <v>129</v>
      </c>
      <c r="J22" s="139"/>
    </row>
    <row r="23" spans="2:10" ht="17" thickBot="1">
      <c r="B23" s="144"/>
      <c r="C23" s="125" t="s">
        <v>145</v>
      </c>
      <c r="D23" s="126" t="s">
        <v>146</v>
      </c>
      <c r="E23" s="114">
        <f>'Research data'!F18</f>
        <v>3300</v>
      </c>
      <c r="F23" s="125"/>
      <c r="G23" s="125" t="s">
        <v>160</v>
      </c>
      <c r="H23" s="125"/>
      <c r="I23" s="150" t="s">
        <v>129</v>
      </c>
      <c r="J23" s="145"/>
    </row>
    <row r="24" spans="2:10" ht="17" thickBot="1">
      <c r="B24" s="144"/>
      <c r="C24" s="125" t="s">
        <v>147</v>
      </c>
      <c r="D24" s="126" t="s">
        <v>146</v>
      </c>
      <c r="E24" s="114">
        <f>'Research data'!F19</f>
        <v>0</v>
      </c>
      <c r="F24" s="125"/>
      <c r="G24" s="125"/>
      <c r="H24" s="125"/>
      <c r="I24" s="143" t="s">
        <v>1</v>
      </c>
      <c r="J24" s="145"/>
    </row>
    <row r="25" spans="2:10" ht="17" thickBot="1">
      <c r="B25" s="144"/>
      <c r="C25" s="125" t="s">
        <v>148</v>
      </c>
      <c r="D25" s="20" t="s">
        <v>141</v>
      </c>
      <c r="E25" s="114">
        <v>0</v>
      </c>
      <c r="F25" s="125"/>
      <c r="G25" s="125" t="s">
        <v>161</v>
      </c>
      <c r="H25" s="125"/>
      <c r="I25" s="151" t="s">
        <v>1</v>
      </c>
      <c r="J25" s="145"/>
    </row>
    <row r="26" spans="2:10" ht="17" thickBot="1">
      <c r="B26" s="144"/>
      <c r="C26" s="125" t="s">
        <v>149</v>
      </c>
      <c r="D26" s="20" t="s">
        <v>141</v>
      </c>
      <c r="E26" s="114">
        <v>0</v>
      </c>
      <c r="F26" s="125"/>
      <c r="G26" s="125" t="s">
        <v>162</v>
      </c>
      <c r="H26" s="125"/>
      <c r="I26" s="151" t="s">
        <v>1</v>
      </c>
      <c r="J26" s="145"/>
    </row>
    <row r="27" spans="2:10" ht="17" thickBot="1">
      <c r="B27" s="138"/>
      <c r="C27" s="115" t="s">
        <v>163</v>
      </c>
      <c r="D27" s="20" t="s">
        <v>164</v>
      </c>
      <c r="E27" s="113">
        <v>7.0000000000000007E-2</v>
      </c>
      <c r="F27" s="115"/>
      <c r="G27" s="115" t="s">
        <v>165</v>
      </c>
      <c r="H27" s="115"/>
      <c r="I27" s="130" t="s">
        <v>166</v>
      </c>
      <c r="J27" s="139"/>
    </row>
    <row r="28" spans="2:10" ht="17" thickBot="1">
      <c r="B28" s="138"/>
      <c r="C28" s="115" t="s">
        <v>150</v>
      </c>
      <c r="D28" s="20" t="s">
        <v>151</v>
      </c>
      <c r="E28" s="114">
        <v>1</v>
      </c>
      <c r="F28" s="115"/>
      <c r="G28" s="115"/>
      <c r="H28" s="115"/>
      <c r="I28" s="152" t="s">
        <v>171</v>
      </c>
      <c r="J28" s="139"/>
    </row>
    <row r="29" spans="2:10">
      <c r="B29" s="138"/>
      <c r="C29" s="115"/>
      <c r="D29" s="20"/>
      <c r="E29" s="128"/>
      <c r="F29" s="115"/>
      <c r="G29" s="115"/>
      <c r="H29" s="115"/>
      <c r="I29" s="104"/>
      <c r="J29" s="139"/>
    </row>
    <row r="30" spans="2:10" ht="17" thickBot="1">
      <c r="B30" s="138"/>
      <c r="C30" s="10" t="s">
        <v>152</v>
      </c>
      <c r="D30" s="129"/>
      <c r="E30" s="128"/>
      <c r="F30" s="104"/>
      <c r="G30" s="104"/>
      <c r="H30" s="104"/>
      <c r="I30" s="104"/>
      <c r="J30" s="139"/>
    </row>
    <row r="31" spans="2:10" ht="17" thickBot="1">
      <c r="B31" s="138"/>
      <c r="C31" s="115" t="s">
        <v>153</v>
      </c>
      <c r="D31" s="20" t="s">
        <v>154</v>
      </c>
      <c r="E31" s="114">
        <f>'Research data'!F25</f>
        <v>25</v>
      </c>
      <c r="F31" s="115"/>
      <c r="G31" s="115" t="s">
        <v>167</v>
      </c>
      <c r="H31" s="115"/>
      <c r="I31" s="150" t="s">
        <v>129</v>
      </c>
      <c r="J31" s="139"/>
    </row>
    <row r="32" spans="2:10" ht="17" thickBot="1">
      <c r="B32" s="138"/>
      <c r="C32" s="115" t="s">
        <v>155</v>
      </c>
      <c r="D32" s="20" t="s">
        <v>154</v>
      </c>
      <c r="E32" s="114">
        <f>'Research data'!F26</f>
        <v>2</v>
      </c>
      <c r="F32" s="115"/>
      <c r="G32" s="115" t="s">
        <v>168</v>
      </c>
      <c r="H32" s="115"/>
      <c r="I32" s="150" t="s">
        <v>129</v>
      </c>
      <c r="J32" s="139"/>
    </row>
    <row r="33" spans="2:10" ht="17" thickBot="1">
      <c r="B33" s="138"/>
      <c r="C33" s="115" t="s">
        <v>16</v>
      </c>
      <c r="D33" s="20" t="s">
        <v>1</v>
      </c>
      <c r="E33" s="114">
        <f>'Research data'!F27</f>
        <v>0</v>
      </c>
      <c r="F33" s="115"/>
      <c r="G33" s="115"/>
      <c r="H33" s="115"/>
      <c r="I33" s="152" t="s">
        <v>171</v>
      </c>
      <c r="J33" s="139"/>
    </row>
    <row r="34" spans="2:10" ht="17" thickBot="1">
      <c r="B34" s="146"/>
      <c r="C34" s="147"/>
      <c r="D34" s="147"/>
      <c r="E34" s="147"/>
      <c r="F34" s="147"/>
      <c r="G34" s="147"/>
      <c r="H34" s="147"/>
      <c r="I34" s="147"/>
      <c r="J34" s="148"/>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B2:N28"/>
  <sheetViews>
    <sheetView workbookViewId="0">
      <selection activeCell="F9" sqref="F9"/>
    </sheetView>
  </sheetViews>
  <sheetFormatPr baseColWidth="10" defaultColWidth="10.6640625" defaultRowHeight="16"/>
  <cols>
    <col min="1" max="1" width="3.5" style="31" customWidth="1"/>
    <col min="2" max="2" width="3" style="31" customWidth="1"/>
    <col min="3" max="3" width="62.1640625" style="31" bestFit="1" customWidth="1"/>
    <col min="4" max="4" width="10.83203125" style="31" bestFit="1" customWidth="1"/>
    <col min="5" max="5" width="3" style="31" customWidth="1"/>
    <col min="6" max="6" width="14.83203125" style="31" customWidth="1"/>
    <col min="7" max="7" width="2.5" style="31" customWidth="1"/>
    <col min="8" max="8" width="10.83203125" style="31" bestFit="1" customWidth="1"/>
    <col min="9" max="10" width="2.5" style="31" customWidth="1"/>
    <col min="11" max="11" width="22.5" style="31" customWidth="1"/>
    <col min="12" max="12" width="11" style="31" customWidth="1"/>
    <col min="13" max="13" width="2.5" style="31" customWidth="1"/>
    <col min="14" max="14" width="22.5" style="31" customWidth="1"/>
    <col min="15" max="16384" width="10.6640625" style="31"/>
  </cols>
  <sheetData>
    <row r="2" spans="2:14" ht="17" thickBot="1"/>
    <row r="3" spans="2:14">
      <c r="B3" s="32"/>
      <c r="C3" s="33"/>
      <c r="D3" s="33"/>
      <c r="E3" s="33"/>
      <c r="F3" s="33"/>
      <c r="G3" s="33"/>
      <c r="H3" s="33"/>
      <c r="I3" s="33"/>
      <c r="J3" s="33"/>
      <c r="K3" s="33"/>
      <c r="L3" s="33"/>
      <c r="M3" s="33"/>
      <c r="N3" s="33"/>
    </row>
    <row r="4" spans="2:14" s="10" customFormat="1">
      <c r="B4" s="22"/>
      <c r="C4" s="59" t="s">
        <v>15</v>
      </c>
      <c r="D4" s="59" t="s">
        <v>4</v>
      </c>
      <c r="E4" s="59"/>
      <c r="F4" s="59" t="s">
        <v>37</v>
      </c>
      <c r="G4" s="59"/>
      <c r="H4" s="59" t="s">
        <v>156</v>
      </c>
      <c r="I4" s="59"/>
      <c r="J4" s="59"/>
      <c r="K4" s="59" t="s">
        <v>34</v>
      </c>
    </row>
    <row r="5" spans="2:14" ht="18" customHeight="1">
      <c r="B5" s="34"/>
      <c r="C5" s="36"/>
      <c r="F5" s="35"/>
      <c r="G5" s="35"/>
      <c r="H5" s="35"/>
      <c r="I5" s="35"/>
      <c r="K5" s="37"/>
    </row>
    <row r="6" spans="2:14" ht="18" customHeight="1" thickBot="1">
      <c r="B6" s="34"/>
      <c r="C6" s="10" t="s">
        <v>33</v>
      </c>
      <c r="D6" s="28"/>
      <c r="E6" s="29"/>
      <c r="F6" s="9"/>
      <c r="G6" s="9"/>
      <c r="H6" s="9"/>
      <c r="I6" s="9"/>
      <c r="J6" s="104"/>
      <c r="K6" s="104"/>
    </row>
    <row r="7" spans="2:14" ht="17" thickBot="1">
      <c r="B7" s="34"/>
      <c r="C7" s="107" t="s">
        <v>136</v>
      </c>
      <c r="D7" s="108" t="s">
        <v>102</v>
      </c>
      <c r="E7" s="110"/>
      <c r="F7" s="111">
        <f>ROUND(H7,2)</f>
        <v>744.68</v>
      </c>
      <c r="G7" s="112"/>
      <c r="H7" s="113">
        <f>Notes!B2</f>
        <v>744.68085106382978</v>
      </c>
      <c r="I7" s="112"/>
      <c r="J7" s="104"/>
      <c r="K7" s="104"/>
    </row>
    <row r="8" spans="2:14" ht="17" thickBot="1">
      <c r="B8" s="34"/>
      <c r="C8" s="107" t="s">
        <v>124</v>
      </c>
      <c r="D8" s="18" t="s">
        <v>1</v>
      </c>
      <c r="E8" s="115"/>
      <c r="F8" s="116">
        <f>ROUND(H8,3)</f>
        <v>0.84</v>
      </c>
      <c r="G8" s="104"/>
      <c r="H8" s="113">
        <f>Notes!B8</f>
        <v>0.84</v>
      </c>
      <c r="I8" s="10"/>
      <c r="J8" s="104"/>
      <c r="K8" s="104"/>
    </row>
    <row r="9" spans="2:14" ht="17" thickBot="1">
      <c r="B9" s="34"/>
      <c r="C9" s="149" t="s">
        <v>170</v>
      </c>
      <c r="D9" s="18" t="s">
        <v>1</v>
      </c>
      <c r="E9" s="115"/>
      <c r="F9" s="116">
        <f>ROUND(H9,3)</f>
        <v>0.16</v>
      </c>
      <c r="G9" s="104"/>
      <c r="H9" s="113">
        <f>Notes!B9</f>
        <v>0.16</v>
      </c>
      <c r="I9" s="10"/>
      <c r="J9" s="104"/>
      <c r="K9" s="104"/>
    </row>
    <row r="10" spans="2:14" ht="17" thickBot="1">
      <c r="B10" s="34"/>
      <c r="C10" s="115" t="s">
        <v>39</v>
      </c>
      <c r="D10" s="20" t="s">
        <v>1</v>
      </c>
      <c r="E10" s="115"/>
      <c r="F10" s="116">
        <f t="shared" ref="F10" si="0">ROUND(H10,3)</f>
        <v>0.47</v>
      </c>
      <c r="G10" s="104"/>
      <c r="H10" s="113">
        <f>Notes!B10</f>
        <v>0.47</v>
      </c>
      <c r="I10" s="104"/>
      <c r="J10" s="104"/>
      <c r="K10" s="104"/>
    </row>
    <row r="11" spans="2:14" ht="17" thickBot="1">
      <c r="C11" s="107" t="s">
        <v>137</v>
      </c>
      <c r="D11" s="108" t="s">
        <v>138</v>
      </c>
      <c r="E11" s="104"/>
      <c r="F11" s="113">
        <f>ROUND(H11,2)</f>
        <v>8000</v>
      </c>
      <c r="G11" s="115"/>
      <c r="H11" s="118">
        <f>Notes!B3</f>
        <v>8000</v>
      </c>
      <c r="I11" s="104"/>
      <c r="J11" s="104"/>
      <c r="K11" s="104"/>
    </row>
    <row r="12" spans="2:14" ht="17" thickBot="1">
      <c r="C12" s="107" t="s">
        <v>105</v>
      </c>
      <c r="D12" s="108"/>
      <c r="E12" s="104"/>
      <c r="F12" s="117">
        <f>ROUND(H12,3)</f>
        <v>0.96199999999999997</v>
      </c>
      <c r="G12" s="115"/>
      <c r="H12" s="119">
        <f>Notes!B4</f>
        <v>0.96153846153846156</v>
      </c>
      <c r="I12" s="104"/>
      <c r="J12" s="104"/>
      <c r="K12" s="104"/>
    </row>
    <row r="13" spans="2:14">
      <c r="C13" s="104"/>
      <c r="D13" s="104"/>
      <c r="E13" s="104"/>
      <c r="F13" s="120"/>
      <c r="G13" s="115"/>
      <c r="H13" s="120"/>
      <c r="I13" s="104"/>
      <c r="J13" s="112"/>
      <c r="K13" s="121"/>
    </row>
    <row r="14" spans="2:14" ht="17" thickBot="1">
      <c r="C14" s="10" t="s">
        <v>139</v>
      </c>
      <c r="D14" s="104"/>
      <c r="E14" s="104"/>
      <c r="F14" s="122"/>
      <c r="G14" s="123"/>
      <c r="H14" s="112"/>
      <c r="I14" s="123"/>
      <c r="J14" s="112"/>
      <c r="K14" s="115"/>
    </row>
    <row r="15" spans="2:14" ht="17" thickBot="1">
      <c r="C15" s="115" t="s">
        <v>140</v>
      </c>
      <c r="D15" s="20" t="s">
        <v>141</v>
      </c>
      <c r="E15" s="104"/>
      <c r="F15" s="124">
        <f>ROUND(H15,0)</f>
        <v>260000000</v>
      </c>
      <c r="G15" s="122"/>
      <c r="H15" s="111">
        <f>Notes!B13</f>
        <v>260000000</v>
      </c>
      <c r="I15" s="122"/>
      <c r="J15" s="112"/>
      <c r="K15" s="115"/>
    </row>
    <row r="16" spans="2:14" ht="17" thickBot="1">
      <c r="C16" s="115" t="s">
        <v>142</v>
      </c>
      <c r="D16" s="20" t="s">
        <v>141</v>
      </c>
      <c r="E16" s="104"/>
      <c r="F16" s="124">
        <f>ROUND(H16,0)</f>
        <v>0</v>
      </c>
      <c r="G16" s="122"/>
      <c r="H16" s="111">
        <v>0</v>
      </c>
      <c r="I16" s="122"/>
      <c r="J16" s="112"/>
      <c r="K16" s="115"/>
    </row>
    <row r="17" spans="3:11" ht="17" thickBot="1">
      <c r="C17" s="115" t="s">
        <v>143</v>
      </c>
      <c r="D17" s="20" t="s">
        <v>144</v>
      </c>
      <c r="E17" s="104"/>
      <c r="F17" s="124">
        <f>ROUND(H17,0)</f>
        <v>26000000</v>
      </c>
      <c r="G17" s="112"/>
      <c r="H17" s="111">
        <f>Notes!B14</f>
        <v>26000000</v>
      </c>
      <c r="I17" s="112"/>
      <c r="J17" s="104"/>
      <c r="K17" s="115"/>
    </row>
    <row r="18" spans="3:11" ht="17" thickBot="1">
      <c r="C18" s="125" t="s">
        <v>145</v>
      </c>
      <c r="D18" s="126" t="s">
        <v>146</v>
      </c>
      <c r="E18" s="104"/>
      <c r="F18" s="111">
        <f>ROUND(H18,2)</f>
        <v>3300</v>
      </c>
      <c r="G18" s="104"/>
      <c r="H18" s="111">
        <f>Notes!B15</f>
        <v>3300.0000000000005</v>
      </c>
      <c r="I18" s="104"/>
      <c r="J18" s="112"/>
      <c r="K18" s="115"/>
    </row>
    <row r="19" spans="3:11" ht="17" thickBot="1">
      <c r="C19" s="125" t="s">
        <v>147</v>
      </c>
      <c r="D19" s="126" t="s">
        <v>146</v>
      </c>
      <c r="E19" s="104"/>
      <c r="F19" s="111">
        <f>H19</f>
        <v>0</v>
      </c>
      <c r="G19" s="120"/>
      <c r="H19" s="111">
        <v>0</v>
      </c>
      <c r="I19" s="120"/>
      <c r="J19" s="104"/>
      <c r="K19" s="115"/>
    </row>
    <row r="20" spans="3:11" ht="17" thickBot="1">
      <c r="C20" s="125" t="s">
        <v>148</v>
      </c>
      <c r="D20" s="20" t="s">
        <v>141</v>
      </c>
      <c r="E20" s="104"/>
      <c r="F20" s="111">
        <f t="shared" ref="F20:F21" si="1">H20</f>
        <v>0</v>
      </c>
      <c r="G20" s="104"/>
      <c r="H20" s="127">
        <v>0</v>
      </c>
      <c r="I20" s="104"/>
      <c r="J20" s="120"/>
      <c r="K20" s="115"/>
    </row>
    <row r="21" spans="3:11" ht="17" thickBot="1">
      <c r="C21" s="125" t="s">
        <v>149</v>
      </c>
      <c r="D21" s="20" t="s">
        <v>141</v>
      </c>
      <c r="E21" s="104"/>
      <c r="F21" s="111">
        <f t="shared" si="1"/>
        <v>0</v>
      </c>
      <c r="G21" s="104"/>
      <c r="H21" s="127">
        <v>0</v>
      </c>
      <c r="I21" s="104"/>
      <c r="J21" s="120"/>
      <c r="K21" s="115"/>
    </row>
    <row r="22" spans="3:11" ht="17" thickBot="1">
      <c r="C22" s="115" t="s">
        <v>150</v>
      </c>
      <c r="D22" s="20" t="s">
        <v>151</v>
      </c>
      <c r="E22" s="104"/>
      <c r="F22" s="111">
        <f>H22</f>
        <v>0</v>
      </c>
      <c r="G22" s="120"/>
      <c r="H22" s="111">
        <v>0</v>
      </c>
      <c r="I22" s="120"/>
      <c r="J22" s="120"/>
      <c r="K22" s="115"/>
    </row>
    <row r="23" spans="3:11">
      <c r="C23" s="115"/>
      <c r="D23" s="20"/>
      <c r="E23" s="104"/>
      <c r="F23" s="104"/>
      <c r="G23" s="104"/>
      <c r="H23" s="104"/>
      <c r="I23" s="120"/>
      <c r="J23" s="104"/>
      <c r="K23" s="121"/>
    </row>
    <row r="24" spans="3:11" ht="17" thickBot="1">
      <c r="C24" s="10" t="s">
        <v>152</v>
      </c>
      <c r="D24" s="129"/>
      <c r="E24" s="104"/>
      <c r="F24" s="120"/>
      <c r="G24" s="104"/>
      <c r="H24" s="120"/>
      <c r="I24" s="104"/>
      <c r="J24" s="104"/>
      <c r="K24" s="115"/>
    </row>
    <row r="25" spans="3:11" ht="17" thickBot="1">
      <c r="C25" s="115" t="s">
        <v>153</v>
      </c>
      <c r="D25" s="20" t="s">
        <v>154</v>
      </c>
      <c r="E25" s="104"/>
      <c r="F25" s="111">
        <f>H25</f>
        <v>25</v>
      </c>
      <c r="G25" s="104"/>
      <c r="H25" s="113">
        <f>Notes!B5</f>
        <v>25</v>
      </c>
      <c r="I25" s="104"/>
      <c r="J25" s="104"/>
      <c r="K25" s="115"/>
    </row>
    <row r="26" spans="3:11" ht="17" thickBot="1">
      <c r="C26" s="115" t="s">
        <v>155</v>
      </c>
      <c r="D26" s="20" t="s">
        <v>154</v>
      </c>
      <c r="E26" s="104"/>
      <c r="F26" s="111">
        <f>H26</f>
        <v>2</v>
      </c>
      <c r="G26" s="122"/>
      <c r="H26" s="113">
        <f>Notes!B6</f>
        <v>2</v>
      </c>
      <c r="I26" s="122"/>
      <c r="J26" s="122"/>
      <c r="K26" s="121"/>
    </row>
    <row r="27" spans="3:11" ht="17" thickBot="1">
      <c r="C27" s="115" t="s">
        <v>16</v>
      </c>
      <c r="D27" s="20" t="s">
        <v>1</v>
      </c>
      <c r="E27" s="104"/>
      <c r="F27" s="111">
        <v>0</v>
      </c>
      <c r="G27" s="123"/>
      <c r="H27" s="113">
        <v>0</v>
      </c>
      <c r="I27" s="123"/>
      <c r="J27" s="123"/>
      <c r="K27" s="121"/>
    </row>
    <row r="28" spans="3:11">
      <c r="C28" s="104"/>
      <c r="D28" s="104"/>
      <c r="E28" s="104"/>
      <c r="F28" s="104"/>
      <c r="G28" s="104"/>
      <c r="H28" s="104"/>
      <c r="I28" s="104"/>
      <c r="J28" s="104"/>
      <c r="K28" s="104"/>
    </row>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40"/>
  <sheetViews>
    <sheetView workbookViewId="0">
      <selection activeCell="D7" sqref="D7"/>
    </sheetView>
  </sheetViews>
  <sheetFormatPr baseColWidth="10" defaultColWidth="33.1640625" defaultRowHeight="16"/>
  <cols>
    <col min="1" max="1" width="3.5" style="38" customWidth="1"/>
    <col min="2" max="2" width="6.5" style="38" customWidth="1"/>
    <col min="3" max="3" width="27.83203125" style="38" customWidth="1"/>
    <col min="4" max="4" width="16.1640625" style="38" customWidth="1"/>
    <col min="5" max="5" width="10.1640625" style="38" customWidth="1"/>
    <col min="6" max="7" width="13.1640625" style="38" customWidth="1"/>
    <col min="8" max="8" width="12.5" style="40" customWidth="1"/>
    <col min="9" max="9" width="31.5" style="40" customWidth="1"/>
    <col min="10" max="10" width="98.5" style="38" customWidth="1"/>
    <col min="11" max="16384" width="33.1640625" style="38"/>
  </cols>
  <sheetData>
    <row r="1" spans="2:10" ht="17" thickBot="1"/>
    <row r="2" spans="2:10">
      <c r="B2" s="65"/>
      <c r="C2" s="39"/>
      <c r="D2" s="39"/>
      <c r="E2" s="39"/>
      <c r="F2" s="39"/>
      <c r="G2" s="39"/>
      <c r="H2" s="41"/>
      <c r="I2" s="41"/>
      <c r="J2" s="39"/>
    </row>
    <row r="3" spans="2:10">
      <c r="B3" s="66"/>
      <c r="C3" s="10" t="s">
        <v>11</v>
      </c>
      <c r="D3" s="10"/>
      <c r="E3" s="10"/>
      <c r="F3" s="10"/>
      <c r="G3" s="10"/>
      <c r="H3" s="15"/>
      <c r="I3" s="15"/>
    </row>
    <row r="4" spans="2:10">
      <c r="B4" s="66"/>
    </row>
    <row r="5" spans="2:10">
      <c r="B5" s="67"/>
      <c r="C5" s="12" t="s">
        <v>12</v>
      </c>
      <c r="D5" s="12" t="s">
        <v>0</v>
      </c>
      <c r="E5" s="12" t="s">
        <v>8</v>
      </c>
      <c r="F5" s="12" t="s">
        <v>13</v>
      </c>
      <c r="G5" s="12" t="s">
        <v>35</v>
      </c>
      <c r="H5" s="16" t="s">
        <v>14</v>
      </c>
      <c r="I5" s="16" t="s">
        <v>36</v>
      </c>
      <c r="J5" s="12" t="s">
        <v>5</v>
      </c>
    </row>
    <row r="6" spans="2:10">
      <c r="B6" s="66"/>
      <c r="C6" s="10"/>
      <c r="D6" s="10"/>
      <c r="E6" s="10"/>
      <c r="F6" s="10"/>
      <c r="G6" s="10"/>
      <c r="H6" s="15"/>
      <c r="I6" s="15"/>
      <c r="J6" s="10"/>
    </row>
    <row r="7" spans="2:10">
      <c r="B7" s="66"/>
      <c r="C7" s="104" t="s">
        <v>135</v>
      </c>
      <c r="D7" s="104" t="s">
        <v>129</v>
      </c>
      <c r="E7" s="104" t="s">
        <v>130</v>
      </c>
      <c r="F7" s="104">
        <v>2025</v>
      </c>
      <c r="G7" s="104" t="s">
        <v>131</v>
      </c>
      <c r="H7" s="105">
        <v>45887</v>
      </c>
      <c r="I7" s="106" t="s">
        <v>132</v>
      </c>
    </row>
    <row r="8" spans="2:10">
      <c r="B8" s="66"/>
      <c r="C8" s="104"/>
      <c r="D8" s="104" t="s">
        <v>129</v>
      </c>
      <c r="E8" s="104" t="s">
        <v>130</v>
      </c>
      <c r="F8" s="104">
        <v>2025</v>
      </c>
      <c r="G8" s="104" t="s">
        <v>133</v>
      </c>
      <c r="H8" s="105">
        <v>45887</v>
      </c>
      <c r="I8" s="106" t="s">
        <v>134</v>
      </c>
    </row>
    <row r="9" spans="2:10">
      <c r="B9" s="66"/>
    </row>
    <row r="10" spans="2:10">
      <c r="B10" s="66"/>
    </row>
    <row r="11" spans="2:10">
      <c r="B11" s="66"/>
    </row>
    <row r="12" spans="2:10">
      <c r="B12" s="66"/>
    </row>
    <row r="13" spans="2:10">
      <c r="B13" s="66"/>
    </row>
    <row r="14" spans="2:10">
      <c r="B14" s="66"/>
    </row>
    <row r="15" spans="2:10">
      <c r="B15" s="66"/>
    </row>
    <row r="16" spans="2:10">
      <c r="B16" s="66"/>
    </row>
    <row r="17" spans="2:2">
      <c r="B17" s="66"/>
    </row>
    <row r="18" spans="2:2">
      <c r="B18" s="66"/>
    </row>
    <row r="19" spans="2:2">
      <c r="B19" s="66"/>
    </row>
    <row r="20" spans="2:2">
      <c r="B20" s="66"/>
    </row>
    <row r="21" spans="2:2">
      <c r="B21" s="66"/>
    </row>
    <row r="22" spans="2:2">
      <c r="B22" s="66"/>
    </row>
    <row r="23" spans="2:2">
      <c r="B23" s="66"/>
    </row>
    <row r="24" spans="2:2">
      <c r="B24" s="66"/>
    </row>
    <row r="25" spans="2:2">
      <c r="B25" s="66"/>
    </row>
    <row r="26" spans="2:2">
      <c r="B26" s="66"/>
    </row>
    <row r="27" spans="2:2">
      <c r="B27" s="66"/>
    </row>
    <row r="28" spans="2:2">
      <c r="B28" s="66"/>
    </row>
    <row r="29" spans="2:2">
      <c r="B29" s="66"/>
    </row>
    <row r="30" spans="2:2">
      <c r="B30" s="66"/>
    </row>
    <row r="31" spans="2:2">
      <c r="B31" s="66"/>
    </row>
    <row r="32" spans="2:2">
      <c r="B32" s="66"/>
    </row>
    <row r="33" spans="2:2">
      <c r="B33" s="66"/>
    </row>
    <row r="34" spans="2:2">
      <c r="B34" s="66"/>
    </row>
    <row r="35" spans="2:2">
      <c r="B35" s="66"/>
    </row>
    <row r="36" spans="2:2">
      <c r="B36" s="66"/>
    </row>
    <row r="37" spans="2:2">
      <c r="B37" s="66"/>
    </row>
    <row r="38" spans="2:2">
      <c r="B38" s="66"/>
    </row>
    <row r="39" spans="2:2">
      <c r="B39" s="66"/>
    </row>
    <row r="40" spans="2:2">
      <c r="B40" s="66"/>
    </row>
  </sheetData>
  <phoneticPr fontId="21" type="noConversion"/>
  <hyperlinks>
    <hyperlink ref="I7" r:id="rId1" xr:uid="{663FB258-38EE-3249-BD82-D40C7EEF92E3}"/>
    <hyperlink ref="I8" r:id="rId2" xr:uid="{BD337942-0157-C049-90AD-93C7329EF6E6}"/>
  </hyperlinks>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X142"/>
  <sheetViews>
    <sheetView tabSelected="1" topLeftCell="A15" zoomScale="125" workbookViewId="0">
      <selection activeCell="E24" sqref="E24"/>
    </sheetView>
  </sheetViews>
  <sheetFormatPr baseColWidth="10" defaultColWidth="10.6640625" defaultRowHeight="16"/>
  <cols>
    <col min="1" max="1" width="15.6640625" style="42" bestFit="1" customWidth="1"/>
    <col min="2" max="2" width="14.6640625" style="42" customWidth="1"/>
    <col min="3" max="4" width="10.6640625" style="42"/>
    <col min="5" max="5" width="13" style="42" customWidth="1"/>
    <col min="6" max="9" width="10.6640625" style="42"/>
    <col min="10" max="10" width="16.1640625" style="42" customWidth="1"/>
    <col min="11" max="11" width="10.6640625" style="42"/>
    <col min="12" max="12" width="55.6640625" style="42" customWidth="1"/>
    <col min="13" max="13" width="26.5" style="42" customWidth="1"/>
    <col min="14" max="16384" width="10.6640625" style="42"/>
  </cols>
  <sheetData>
    <row r="1" spans="1:24">
      <c r="A1" s="43" t="s">
        <v>100</v>
      </c>
    </row>
    <row r="2" spans="1:24">
      <c r="A2" s="42" t="s">
        <v>101</v>
      </c>
      <c r="B2" s="100">
        <f>B33/(1-C28)</f>
        <v>744.68085106382978</v>
      </c>
      <c r="C2" s="42" t="s">
        <v>102</v>
      </c>
    </row>
    <row r="3" spans="1:24">
      <c r="A3" s="42" t="s">
        <v>103</v>
      </c>
      <c r="B3" s="42">
        <f>B34</f>
        <v>8000</v>
      </c>
      <c r="C3" s="42" t="s">
        <v>104</v>
      </c>
    </row>
    <row r="4" spans="1:24">
      <c r="A4" s="42" t="s">
        <v>105</v>
      </c>
      <c r="B4" s="61">
        <f>B35</f>
        <v>0.96153846153846156</v>
      </c>
    </row>
    <row r="5" spans="1:24">
      <c r="A5" s="42" t="s">
        <v>106</v>
      </c>
      <c r="B5" s="100">
        <f>B36</f>
        <v>25</v>
      </c>
      <c r="C5" s="42" t="s">
        <v>107</v>
      </c>
      <c r="L5" s="42" t="s">
        <v>41</v>
      </c>
    </row>
    <row r="6" spans="1:24" ht="16" customHeight="1">
      <c r="A6" s="42" t="s">
        <v>108</v>
      </c>
      <c r="B6" s="100">
        <f>B37</f>
        <v>2</v>
      </c>
      <c r="C6" s="42" t="s">
        <v>107</v>
      </c>
      <c r="L6" s="69" t="s">
        <v>42</v>
      </c>
      <c r="M6" s="69"/>
      <c r="N6" s="162" t="s">
        <v>43</v>
      </c>
      <c r="O6" s="162"/>
      <c r="P6" s="162"/>
      <c r="Q6" s="162"/>
      <c r="R6" s="162"/>
      <c r="S6" s="162"/>
      <c r="T6" s="162"/>
      <c r="U6" s="162"/>
      <c r="V6" s="162"/>
      <c r="W6" s="162"/>
      <c r="X6" s="162"/>
    </row>
    <row r="7" spans="1:24">
      <c r="L7" s="68" t="s">
        <v>44</v>
      </c>
      <c r="M7" s="68"/>
      <c r="N7" s="70">
        <v>2015</v>
      </c>
      <c r="O7" s="70">
        <v>2020</v>
      </c>
      <c r="P7" s="70">
        <v>2030</v>
      </c>
      <c r="Q7" s="70">
        <v>2040</v>
      </c>
      <c r="R7" s="70">
        <v>2050</v>
      </c>
      <c r="S7" s="71">
        <v>2020</v>
      </c>
      <c r="T7" s="71">
        <v>2020</v>
      </c>
      <c r="U7" s="71">
        <v>2050</v>
      </c>
      <c r="V7" s="71">
        <v>2050</v>
      </c>
      <c r="W7" s="72" t="s">
        <v>45</v>
      </c>
      <c r="X7" s="72" t="s">
        <v>46</v>
      </c>
    </row>
    <row r="8" spans="1:24" ht="17" thickBot="1">
      <c r="A8" s="42" t="s">
        <v>124</v>
      </c>
      <c r="B8" s="61">
        <f>C22</f>
        <v>0.84</v>
      </c>
      <c r="L8" s="73" t="s">
        <v>47</v>
      </c>
      <c r="M8" s="74"/>
      <c r="N8" s="75" t="s">
        <v>48</v>
      </c>
      <c r="O8" s="75" t="s">
        <v>48</v>
      </c>
      <c r="P8" s="75" t="s">
        <v>48</v>
      </c>
      <c r="Q8" s="75" t="s">
        <v>48</v>
      </c>
      <c r="R8" s="75" t="s">
        <v>48</v>
      </c>
      <c r="S8" s="75" t="s">
        <v>49</v>
      </c>
      <c r="T8" s="75" t="s">
        <v>50</v>
      </c>
      <c r="U8" s="75" t="s">
        <v>49</v>
      </c>
      <c r="V8" s="75" t="s">
        <v>50</v>
      </c>
      <c r="W8" s="76" t="s">
        <v>1</v>
      </c>
      <c r="X8" s="76" t="s">
        <v>1</v>
      </c>
    </row>
    <row r="9" spans="1:24">
      <c r="A9" s="42" t="s">
        <v>170</v>
      </c>
      <c r="B9" s="61">
        <f>C24</f>
        <v>0.16</v>
      </c>
      <c r="L9" s="77" t="s">
        <v>51</v>
      </c>
      <c r="M9" s="78" t="s">
        <v>52</v>
      </c>
      <c r="N9" s="80"/>
      <c r="O9" s="80"/>
      <c r="P9" s="80"/>
      <c r="Q9" s="80"/>
      <c r="R9" s="80"/>
      <c r="S9" s="80"/>
      <c r="T9" s="80"/>
      <c r="U9" s="80"/>
      <c r="V9" s="80"/>
      <c r="W9" s="81"/>
      <c r="X9" s="81"/>
    </row>
    <row r="10" spans="1:24">
      <c r="A10" s="42" t="s">
        <v>39</v>
      </c>
      <c r="B10" s="61">
        <f>C26</f>
        <v>0.47</v>
      </c>
      <c r="L10" s="82" t="s">
        <v>53</v>
      </c>
      <c r="M10" s="82"/>
      <c r="N10" s="80"/>
      <c r="O10" s="80"/>
      <c r="P10" s="80"/>
      <c r="Q10" s="80"/>
      <c r="R10" s="80"/>
      <c r="S10" s="80"/>
      <c r="T10" s="80"/>
      <c r="U10" s="80"/>
      <c r="V10" s="80"/>
      <c r="W10" s="81"/>
      <c r="X10" s="81"/>
    </row>
    <row r="11" spans="1:24">
      <c r="A11" s="42" t="s">
        <v>109</v>
      </c>
      <c r="B11" s="61">
        <f>C28</f>
        <v>0.53</v>
      </c>
      <c r="L11" s="82"/>
      <c r="M11" s="83" t="s">
        <v>54</v>
      </c>
      <c r="N11" s="80">
        <v>320</v>
      </c>
      <c r="O11" s="80">
        <v>320</v>
      </c>
      <c r="P11" s="96">
        <v>400</v>
      </c>
      <c r="Q11" s="80">
        <v>450</v>
      </c>
      <c r="R11" s="80">
        <v>500</v>
      </c>
      <c r="S11" s="84">
        <v>0.5</v>
      </c>
      <c r="T11" s="84">
        <v>1.2</v>
      </c>
      <c r="U11" s="84">
        <v>0.6</v>
      </c>
      <c r="V11" s="84">
        <v>1</v>
      </c>
      <c r="W11" s="81" t="s">
        <v>55</v>
      </c>
      <c r="X11" s="81">
        <v>11</v>
      </c>
    </row>
    <row r="12" spans="1:24">
      <c r="L12" s="82"/>
      <c r="M12" s="83" t="s">
        <v>56</v>
      </c>
      <c r="N12" s="80">
        <v>280</v>
      </c>
      <c r="O12" s="80">
        <v>280</v>
      </c>
      <c r="P12" s="96">
        <v>350</v>
      </c>
      <c r="Q12" s="80">
        <v>400</v>
      </c>
      <c r="R12" s="80">
        <v>440</v>
      </c>
      <c r="S12" s="84">
        <v>0.5</v>
      </c>
      <c r="T12" s="84">
        <v>1.2</v>
      </c>
      <c r="U12" s="84">
        <v>0.6</v>
      </c>
      <c r="V12" s="84">
        <v>1</v>
      </c>
      <c r="W12" s="81" t="s">
        <v>55</v>
      </c>
      <c r="X12" s="81"/>
    </row>
    <row r="13" spans="1:24">
      <c r="A13" s="42" t="s">
        <v>110</v>
      </c>
      <c r="B13" s="101">
        <f>B38</f>
        <v>260000000</v>
      </c>
      <c r="C13" s="42" t="s">
        <v>111</v>
      </c>
      <c r="L13" s="82"/>
      <c r="M13" s="82" t="s">
        <v>57</v>
      </c>
      <c r="N13" s="80"/>
      <c r="O13" s="80"/>
      <c r="P13" s="96"/>
      <c r="Q13" s="80"/>
      <c r="R13" s="80"/>
      <c r="S13" s="80"/>
      <c r="T13" s="80"/>
      <c r="U13" s="80"/>
      <c r="V13" s="80"/>
      <c r="W13" s="81"/>
      <c r="X13" s="81"/>
    </row>
    <row r="14" spans="1:24">
      <c r="A14" s="42" t="s">
        <v>112</v>
      </c>
      <c r="B14" s="101">
        <f>B39</f>
        <v>26000000</v>
      </c>
      <c r="C14" s="42" t="s">
        <v>113</v>
      </c>
      <c r="L14" s="82"/>
      <c r="M14" s="83" t="s">
        <v>58</v>
      </c>
      <c r="N14" s="80">
        <v>0.83</v>
      </c>
      <c r="O14" s="80">
        <v>0.83</v>
      </c>
      <c r="P14" s="96">
        <v>0.84</v>
      </c>
      <c r="Q14" s="80">
        <v>0.85</v>
      </c>
      <c r="R14" s="80">
        <v>0.85</v>
      </c>
      <c r="S14" s="84">
        <v>0.98</v>
      </c>
      <c r="T14" s="84">
        <v>1.05</v>
      </c>
      <c r="U14" s="84">
        <v>0.98</v>
      </c>
      <c r="V14" s="84">
        <v>1.02</v>
      </c>
      <c r="W14" s="81" t="s">
        <v>59</v>
      </c>
      <c r="X14" s="81"/>
    </row>
    <row r="15" spans="1:24">
      <c r="A15" s="42" t="s">
        <v>114</v>
      </c>
      <c r="B15" s="101">
        <f>B41</f>
        <v>3300.0000000000005</v>
      </c>
      <c r="C15" s="102" t="s">
        <v>115</v>
      </c>
      <c r="L15" s="82"/>
      <c r="M15" s="83" t="s">
        <v>60</v>
      </c>
      <c r="N15" s="80">
        <v>0.02</v>
      </c>
      <c r="O15" s="80">
        <v>0.02</v>
      </c>
      <c r="P15" s="96">
        <v>0.02</v>
      </c>
      <c r="Q15" s="80">
        <v>0.02</v>
      </c>
      <c r="R15" s="80">
        <v>0.02</v>
      </c>
      <c r="S15" s="84">
        <v>0.75</v>
      </c>
      <c r="T15" s="84">
        <v>1.25</v>
      </c>
      <c r="U15" s="84">
        <v>0.75</v>
      </c>
      <c r="V15" s="84">
        <v>1.25</v>
      </c>
      <c r="W15" s="81" t="s">
        <v>61</v>
      </c>
      <c r="X15" s="81"/>
    </row>
    <row r="16" spans="1:24">
      <c r="L16" s="82"/>
      <c r="M16" s="83" t="s">
        <v>62</v>
      </c>
      <c r="N16" s="80">
        <v>0.15</v>
      </c>
      <c r="O16" s="80">
        <v>0.15</v>
      </c>
      <c r="P16" s="96">
        <v>0.14000000000000001</v>
      </c>
      <c r="Q16" s="80">
        <v>0.13</v>
      </c>
      <c r="R16" s="80">
        <v>0.13</v>
      </c>
      <c r="S16" s="84">
        <v>0.75</v>
      </c>
      <c r="T16" s="84">
        <v>1.25</v>
      </c>
      <c r="U16" s="84">
        <v>0.75</v>
      </c>
      <c r="V16" s="84">
        <v>1.25</v>
      </c>
      <c r="W16" s="81" t="s">
        <v>61</v>
      </c>
      <c r="X16" s="81"/>
    </row>
    <row r="17" spans="1:24">
      <c r="L17" s="82"/>
      <c r="M17" s="82" t="s">
        <v>63</v>
      </c>
      <c r="N17" s="80"/>
      <c r="O17" s="80"/>
      <c r="P17" s="96"/>
      <c r="Q17" s="80"/>
      <c r="R17" s="80"/>
      <c r="S17" s="84"/>
      <c r="T17" s="84"/>
      <c r="U17" s="84"/>
      <c r="V17" s="84"/>
      <c r="W17" s="81"/>
      <c r="X17" s="81"/>
    </row>
    <row r="18" spans="1:24">
      <c r="A18" s="43" t="s">
        <v>116</v>
      </c>
      <c r="L18" s="82"/>
      <c r="M18" s="83" t="s">
        <v>64</v>
      </c>
      <c r="N18" s="80">
        <v>0.46</v>
      </c>
      <c r="O18" s="80">
        <v>46</v>
      </c>
      <c r="P18" s="96">
        <v>0.47</v>
      </c>
      <c r="Q18" s="80">
        <v>0.47</v>
      </c>
      <c r="R18" s="80">
        <v>0.47</v>
      </c>
      <c r="S18" s="80">
        <v>0.95</v>
      </c>
      <c r="T18" s="80">
        <v>1.02</v>
      </c>
      <c r="U18" s="80">
        <v>0.95</v>
      </c>
      <c r="V18" s="80">
        <v>1.02</v>
      </c>
      <c r="W18" s="81" t="s">
        <v>65</v>
      </c>
      <c r="X18" s="81"/>
    </row>
    <row r="19" spans="1:24">
      <c r="L19" s="82"/>
      <c r="M19" s="83" t="s">
        <v>66</v>
      </c>
      <c r="N19" s="80">
        <v>0.28999999999999998</v>
      </c>
      <c r="O19" s="80">
        <v>0.27</v>
      </c>
      <c r="P19" s="96">
        <v>0.28000000000000003</v>
      </c>
      <c r="Q19" s="80">
        <v>0.25</v>
      </c>
      <c r="R19" s="80">
        <v>0.25</v>
      </c>
      <c r="S19" s="84">
        <v>0.98</v>
      </c>
      <c r="T19" s="84">
        <v>1.05</v>
      </c>
      <c r="U19" s="84">
        <v>0.98</v>
      </c>
      <c r="V19" s="84">
        <v>1.02</v>
      </c>
      <c r="W19" s="81" t="s">
        <v>65</v>
      </c>
      <c r="X19" s="81"/>
    </row>
    <row r="20" spans="1:24">
      <c r="A20" s="42" t="s">
        <v>117</v>
      </c>
      <c r="L20" s="82"/>
      <c r="M20" s="83" t="s">
        <v>67</v>
      </c>
      <c r="N20" s="80">
        <v>0</v>
      </c>
      <c r="O20" s="80">
        <v>0</v>
      </c>
      <c r="P20" s="96">
        <v>0</v>
      </c>
      <c r="Q20" s="80">
        <v>0</v>
      </c>
      <c r="R20" s="80">
        <v>0</v>
      </c>
      <c r="S20" s="80"/>
      <c r="T20" s="80"/>
      <c r="U20" s="80"/>
      <c r="V20" s="80"/>
      <c r="W20" s="81"/>
      <c r="X20" s="81"/>
    </row>
    <row r="21" spans="1:24">
      <c r="A21" s="43" t="s">
        <v>118</v>
      </c>
      <c r="B21" s="43" t="s">
        <v>119</v>
      </c>
      <c r="C21" s="43" t="s">
        <v>127</v>
      </c>
      <c r="E21" s="43"/>
      <c r="L21" s="82"/>
      <c r="M21" s="83" t="s">
        <v>68</v>
      </c>
      <c r="N21" s="80">
        <v>2</v>
      </c>
      <c r="O21" s="80">
        <v>2</v>
      </c>
      <c r="P21" s="96">
        <v>2</v>
      </c>
      <c r="Q21" s="80">
        <v>2</v>
      </c>
      <c r="R21" s="80">
        <v>2</v>
      </c>
      <c r="S21" s="80"/>
      <c r="T21" s="80"/>
      <c r="U21" s="80"/>
      <c r="V21" s="80"/>
      <c r="W21" s="81"/>
      <c r="X21" s="81"/>
    </row>
    <row r="22" spans="1:24">
      <c r="A22" s="42" t="s">
        <v>124</v>
      </c>
      <c r="B22" s="42">
        <f>P14</f>
        <v>0.84</v>
      </c>
      <c r="C22" s="61">
        <f>B22</f>
        <v>0.84</v>
      </c>
      <c r="L22" s="82"/>
      <c r="M22" s="83" t="s">
        <v>69</v>
      </c>
      <c r="N22" s="80">
        <v>25</v>
      </c>
      <c r="O22" s="80">
        <v>25</v>
      </c>
      <c r="P22" s="96">
        <v>25</v>
      </c>
      <c r="Q22" s="80">
        <v>25</v>
      </c>
      <c r="R22" s="80">
        <v>25</v>
      </c>
      <c r="S22" s="80"/>
      <c r="T22" s="80"/>
      <c r="U22" s="80"/>
      <c r="V22" s="80"/>
      <c r="W22" s="81"/>
      <c r="X22" s="81"/>
    </row>
    <row r="23" spans="1:24">
      <c r="A23" s="42" t="s">
        <v>125</v>
      </c>
      <c r="B23" s="42">
        <f>P15</f>
        <v>0.02</v>
      </c>
      <c r="C23" s="61">
        <v>0</v>
      </c>
      <c r="E23" s="42" t="s">
        <v>172</v>
      </c>
      <c r="L23" s="82"/>
      <c r="M23" s="83" t="s">
        <v>70</v>
      </c>
      <c r="N23" s="80">
        <v>2</v>
      </c>
      <c r="O23" s="80">
        <v>2</v>
      </c>
      <c r="P23" s="96">
        <v>2</v>
      </c>
      <c r="Q23" s="80">
        <v>2</v>
      </c>
      <c r="R23" s="80">
        <v>2</v>
      </c>
      <c r="S23" s="80"/>
      <c r="T23" s="80"/>
      <c r="U23" s="80"/>
      <c r="V23" s="80"/>
      <c r="W23" s="81"/>
      <c r="X23" s="81"/>
    </row>
    <row r="24" spans="1:24">
      <c r="A24" s="42" t="s">
        <v>170</v>
      </c>
      <c r="B24" s="42">
        <f>P16</f>
        <v>0.14000000000000001</v>
      </c>
      <c r="C24" s="61">
        <f>SUM(B23:B24)</f>
        <v>0.16</v>
      </c>
      <c r="E24" s="42" t="s">
        <v>173</v>
      </c>
      <c r="L24" s="82"/>
      <c r="M24" s="83"/>
      <c r="N24" s="80"/>
      <c r="O24" s="80"/>
      <c r="P24" s="96"/>
      <c r="Q24" s="80"/>
      <c r="R24" s="80"/>
      <c r="S24" s="80"/>
      <c r="T24" s="80"/>
      <c r="U24" s="80"/>
      <c r="V24" s="80"/>
      <c r="W24" s="81"/>
      <c r="X24" s="81"/>
    </row>
    <row r="25" spans="1:24">
      <c r="A25" s="43" t="s">
        <v>120</v>
      </c>
      <c r="B25" s="42">
        <f>SUM(B22:B24)</f>
        <v>1</v>
      </c>
      <c r="C25" s="61">
        <f>SUM(C22:C24)</f>
        <v>1</v>
      </c>
      <c r="L25" s="82" t="s">
        <v>71</v>
      </c>
      <c r="M25" s="82"/>
      <c r="N25" s="80"/>
      <c r="O25" s="80"/>
      <c r="P25" s="96"/>
      <c r="Q25" s="80"/>
      <c r="R25" s="80"/>
      <c r="S25" s="80"/>
      <c r="T25" s="80"/>
      <c r="U25" s="80"/>
      <c r="V25" s="80"/>
      <c r="W25" s="81"/>
      <c r="X25" s="81"/>
    </row>
    <row r="26" spans="1:24">
      <c r="A26" s="42" t="s">
        <v>39</v>
      </c>
      <c r="B26" s="61">
        <f>P18</f>
        <v>0.47</v>
      </c>
      <c r="C26" s="61">
        <f>B26/$B$25</f>
        <v>0.47</v>
      </c>
      <c r="L26" s="82"/>
      <c r="M26" s="83" t="s">
        <v>72</v>
      </c>
      <c r="N26" s="85">
        <v>0.78</v>
      </c>
      <c r="O26" s="85">
        <v>0.77</v>
      </c>
      <c r="P26" s="97">
        <v>0.74</v>
      </c>
      <c r="Q26" s="85">
        <v>0.71</v>
      </c>
      <c r="R26" s="85">
        <v>0.7</v>
      </c>
      <c r="S26" s="84">
        <v>0.95</v>
      </c>
      <c r="T26" s="84">
        <v>1.25</v>
      </c>
      <c r="U26" s="84">
        <v>0.95</v>
      </c>
      <c r="V26" s="84">
        <v>1.25</v>
      </c>
      <c r="W26" s="81" t="s">
        <v>73</v>
      </c>
      <c r="X26" s="81">
        <v>10</v>
      </c>
    </row>
    <row r="27" spans="1:24">
      <c r="A27" s="42" t="s">
        <v>126</v>
      </c>
      <c r="B27" s="61">
        <f>P19</f>
        <v>0.28000000000000003</v>
      </c>
      <c r="C27" s="61">
        <v>0</v>
      </c>
      <c r="L27" s="82"/>
      <c r="M27" s="83" t="s">
        <v>74</v>
      </c>
      <c r="N27" s="80">
        <v>75</v>
      </c>
      <c r="O27" s="80">
        <v>75</v>
      </c>
      <c r="P27" s="96">
        <v>75</v>
      </c>
      <c r="Q27" s="80">
        <v>75</v>
      </c>
      <c r="R27" s="80">
        <v>75</v>
      </c>
      <c r="S27" s="81"/>
      <c r="T27" s="81"/>
      <c r="U27" s="81"/>
      <c r="V27" s="81"/>
      <c r="W27" s="81"/>
      <c r="X27" s="81"/>
    </row>
    <row r="28" spans="1:24">
      <c r="A28" s="42" t="s">
        <v>109</v>
      </c>
      <c r="B28" s="61">
        <f>1-SUM(B26:B27)</f>
        <v>0.25</v>
      </c>
      <c r="C28" s="61">
        <f>1-C26</f>
        <v>0.53</v>
      </c>
      <c r="E28" s="42" t="s">
        <v>128</v>
      </c>
      <c r="L28" s="82"/>
      <c r="M28" s="83" t="s">
        <v>75</v>
      </c>
      <c r="N28" s="80">
        <v>25</v>
      </c>
      <c r="O28" s="80">
        <v>25</v>
      </c>
      <c r="P28" s="96">
        <v>25</v>
      </c>
      <c r="Q28" s="80">
        <v>25</v>
      </c>
      <c r="R28" s="80">
        <v>25</v>
      </c>
      <c r="S28" s="81"/>
      <c r="T28" s="81"/>
      <c r="U28" s="81"/>
      <c r="V28" s="81"/>
      <c r="W28" s="81"/>
      <c r="X28" s="81"/>
    </row>
    <row r="29" spans="1:24">
      <c r="A29" s="42" t="s">
        <v>120</v>
      </c>
      <c r="B29" s="61">
        <f>SUM(B26:B28)</f>
        <v>1</v>
      </c>
      <c r="C29" s="61">
        <f>SUM(C26:C28)</f>
        <v>1</v>
      </c>
      <c r="L29" s="82"/>
      <c r="M29" s="83" t="s">
        <v>76</v>
      </c>
      <c r="N29" s="86">
        <v>6.5000000000000002E-2</v>
      </c>
      <c r="O29" s="86">
        <v>6.5000000000000002E-2</v>
      </c>
      <c r="P29" s="98">
        <v>6.5000000000000002E-2</v>
      </c>
      <c r="Q29" s="86">
        <v>6.5000000000000002E-2</v>
      </c>
      <c r="R29" s="86">
        <v>6.5000000000000002E-2</v>
      </c>
      <c r="S29" s="84">
        <v>0.95</v>
      </c>
      <c r="T29" s="84">
        <v>1.25</v>
      </c>
      <c r="U29" s="84">
        <v>0.95</v>
      </c>
      <c r="V29" s="84">
        <v>1.25</v>
      </c>
      <c r="W29" s="81" t="s">
        <v>77</v>
      </c>
      <c r="X29" s="81">
        <v>8</v>
      </c>
    </row>
    <row r="30" spans="1:24">
      <c r="L30" s="82"/>
      <c r="M30" s="83" t="s">
        <v>78</v>
      </c>
      <c r="N30" s="86">
        <v>8.827</v>
      </c>
      <c r="O30" s="86">
        <v>8.827</v>
      </c>
      <c r="P30" s="98">
        <v>8.827</v>
      </c>
      <c r="Q30" s="86">
        <v>8.827</v>
      </c>
      <c r="R30" s="86">
        <v>8.827</v>
      </c>
      <c r="S30" s="84">
        <v>0.9</v>
      </c>
      <c r="T30" s="84">
        <v>1.1000000000000001</v>
      </c>
      <c r="U30" s="84">
        <v>0.9</v>
      </c>
      <c r="V30" s="84">
        <v>1.1000000000000001</v>
      </c>
      <c r="W30" s="81" t="s">
        <v>79</v>
      </c>
      <c r="X30" s="81">
        <v>8</v>
      </c>
    </row>
    <row r="31" spans="1:24">
      <c r="L31" s="82"/>
      <c r="M31" s="83" t="s">
        <v>80</v>
      </c>
      <c r="N31" s="80">
        <v>0</v>
      </c>
      <c r="O31" s="80">
        <v>0</v>
      </c>
      <c r="P31" s="96">
        <v>0</v>
      </c>
      <c r="Q31" s="80">
        <v>0</v>
      </c>
      <c r="R31" s="80">
        <v>0</v>
      </c>
      <c r="S31" s="84">
        <v>0</v>
      </c>
      <c r="T31" s="84">
        <v>0</v>
      </c>
      <c r="U31" s="84">
        <v>0</v>
      </c>
      <c r="V31" s="84">
        <v>0</v>
      </c>
      <c r="W31" s="81" t="s">
        <v>81</v>
      </c>
      <c r="X31" s="81"/>
    </row>
    <row r="32" spans="1:24">
      <c r="A32" s="43" t="s">
        <v>121</v>
      </c>
      <c r="L32" s="82" t="s">
        <v>82</v>
      </c>
      <c r="M32" s="82"/>
      <c r="N32" s="80"/>
      <c r="O32" s="80"/>
      <c r="P32" s="96"/>
      <c r="Q32" s="80"/>
      <c r="R32" s="80"/>
      <c r="S32" s="80"/>
      <c r="T32" s="80"/>
      <c r="U32" s="80"/>
      <c r="V32" s="80"/>
      <c r="W32" s="81"/>
      <c r="X32" s="81"/>
    </row>
    <row r="33" spans="1:24">
      <c r="A33" s="42" t="s">
        <v>122</v>
      </c>
      <c r="B33" s="42">
        <f>P12</f>
        <v>350</v>
      </c>
      <c r="C33" s="42" t="s">
        <v>102</v>
      </c>
      <c r="L33" s="82"/>
      <c r="M33" s="83" t="s">
        <v>83</v>
      </c>
      <c r="N33" s="80">
        <v>26.9</v>
      </c>
      <c r="O33" s="80">
        <v>26.9</v>
      </c>
      <c r="P33" s="96">
        <v>26.9</v>
      </c>
      <c r="Q33" s="80">
        <v>26.9</v>
      </c>
      <c r="R33" s="80">
        <v>26.9</v>
      </c>
      <c r="S33" s="80"/>
      <c r="T33" s="80"/>
      <c r="U33" s="80"/>
      <c r="V33" s="80"/>
      <c r="W33" s="81"/>
      <c r="X33" s="81"/>
    </row>
    <row r="34" spans="1:24">
      <c r="A34" s="42" t="s">
        <v>103</v>
      </c>
      <c r="B34" s="42">
        <v>8000</v>
      </c>
      <c r="C34" s="42" t="s">
        <v>123</v>
      </c>
      <c r="L34" s="82"/>
      <c r="M34" s="83" t="s">
        <v>84</v>
      </c>
      <c r="N34" s="80">
        <v>0.79</v>
      </c>
      <c r="O34" s="80">
        <v>0.79</v>
      </c>
      <c r="P34" s="96">
        <v>0.79</v>
      </c>
      <c r="Q34" s="80">
        <v>0.79</v>
      </c>
      <c r="R34" s="80">
        <v>0.79</v>
      </c>
      <c r="S34" s="80"/>
      <c r="T34" s="80"/>
      <c r="U34" s="80"/>
      <c r="V34" s="80"/>
      <c r="W34" s="81"/>
      <c r="X34" s="81"/>
    </row>
    <row r="35" spans="1:24">
      <c r="A35" s="42" t="s">
        <v>105</v>
      </c>
      <c r="B35" s="61">
        <f>1-P21/52</f>
        <v>0.96153846153846156</v>
      </c>
      <c r="L35" s="82"/>
      <c r="M35" s="83" t="s">
        <v>85</v>
      </c>
      <c r="N35" s="85">
        <v>0.69</v>
      </c>
      <c r="O35" s="85">
        <v>0.67</v>
      </c>
      <c r="P35" s="97">
        <v>0.65</v>
      </c>
      <c r="Q35" s="85">
        <v>0.63</v>
      </c>
      <c r="R35" s="85">
        <v>0.62</v>
      </c>
      <c r="S35" s="84">
        <v>0.95</v>
      </c>
      <c r="T35" s="84">
        <v>1.25</v>
      </c>
      <c r="U35" s="84">
        <v>0.95</v>
      </c>
      <c r="V35" s="84">
        <v>1.25</v>
      </c>
      <c r="W35" s="81" t="s">
        <v>73</v>
      </c>
      <c r="X35" s="81">
        <v>10</v>
      </c>
    </row>
    <row r="36" spans="1:24">
      <c r="A36" s="42" t="s">
        <v>106</v>
      </c>
      <c r="B36" s="42">
        <f>P22</f>
        <v>25</v>
      </c>
      <c r="C36" s="42" t="s">
        <v>107</v>
      </c>
      <c r="L36" s="82"/>
      <c r="M36" s="83" t="s">
        <v>74</v>
      </c>
      <c r="N36" s="80">
        <v>75</v>
      </c>
      <c r="O36" s="80">
        <v>75</v>
      </c>
      <c r="P36" s="96">
        <v>75</v>
      </c>
      <c r="Q36" s="80">
        <v>75</v>
      </c>
      <c r="R36" s="80">
        <v>75</v>
      </c>
      <c r="S36" s="80"/>
      <c r="T36" s="80"/>
      <c r="U36" s="80"/>
      <c r="V36" s="80"/>
      <c r="W36" s="81"/>
      <c r="X36" s="81"/>
    </row>
    <row r="37" spans="1:24">
      <c r="A37" s="42" t="s">
        <v>108</v>
      </c>
      <c r="B37" s="42">
        <f>P23</f>
        <v>2</v>
      </c>
      <c r="C37" s="42" t="s">
        <v>107</v>
      </c>
      <c r="L37" s="82"/>
      <c r="M37" s="83" t="s">
        <v>75</v>
      </c>
      <c r="N37" s="80">
        <v>25</v>
      </c>
      <c r="O37" s="80">
        <v>25</v>
      </c>
      <c r="P37" s="96">
        <v>25</v>
      </c>
      <c r="Q37" s="80">
        <v>25</v>
      </c>
      <c r="R37" s="80">
        <v>25</v>
      </c>
      <c r="S37" s="80"/>
      <c r="T37" s="80"/>
      <c r="U37" s="80"/>
      <c r="V37" s="80"/>
      <c r="W37" s="81"/>
      <c r="X37" s="81"/>
    </row>
    <row r="38" spans="1:24">
      <c r="A38" s="42" t="s">
        <v>110</v>
      </c>
      <c r="B38" s="103">
        <f>P35*$P$11*10^6</f>
        <v>260000000</v>
      </c>
      <c r="C38" s="42" t="s">
        <v>111</v>
      </c>
      <c r="L38" s="82"/>
      <c r="M38" s="83" t="s">
        <v>86</v>
      </c>
      <c r="N38" s="86">
        <v>6.5000000000000002E-2</v>
      </c>
      <c r="O38" s="86">
        <v>6.5000000000000002E-2</v>
      </c>
      <c r="P38" s="98">
        <v>6.5000000000000002E-2</v>
      </c>
      <c r="Q38" s="86">
        <v>6.5000000000000002E-2</v>
      </c>
      <c r="R38" s="86">
        <v>6.5000000000000002E-2</v>
      </c>
      <c r="S38" s="80">
        <v>0.95</v>
      </c>
      <c r="T38" s="84">
        <v>1.25</v>
      </c>
      <c r="U38" s="84">
        <v>0.95</v>
      </c>
      <c r="V38" s="84">
        <v>1.25</v>
      </c>
      <c r="W38" s="81" t="s">
        <v>77</v>
      </c>
      <c r="X38" s="81">
        <v>8</v>
      </c>
    </row>
    <row r="39" spans="1:24">
      <c r="A39" s="42" t="s">
        <v>112</v>
      </c>
      <c r="B39" s="103">
        <f>P38*$P$11*10^6</f>
        <v>26000000</v>
      </c>
      <c r="C39" s="42" t="s">
        <v>113</v>
      </c>
      <c r="L39" s="82"/>
      <c r="M39" s="83" t="s">
        <v>87</v>
      </c>
      <c r="N39" s="86">
        <v>6.6000000000000003E-2</v>
      </c>
      <c r="O39" s="86">
        <v>6.6000000000000003E-2</v>
      </c>
      <c r="P39" s="98">
        <v>6.6000000000000003E-2</v>
      </c>
      <c r="Q39" s="86">
        <v>6.6000000000000003E-2</v>
      </c>
      <c r="R39" s="86">
        <v>6.6000000000000003E-2</v>
      </c>
      <c r="S39" s="84">
        <v>0.9</v>
      </c>
      <c r="T39" s="84">
        <v>1.1000000000000001</v>
      </c>
      <c r="U39" s="84">
        <v>0.9</v>
      </c>
      <c r="V39" s="84">
        <v>1.1000000000000001</v>
      </c>
      <c r="W39" s="81" t="s">
        <v>79</v>
      </c>
      <c r="X39" s="81">
        <v>8</v>
      </c>
    </row>
    <row r="40" spans="1:24" ht="17" thickBot="1">
      <c r="A40" s="42" t="s">
        <v>114</v>
      </c>
      <c r="B40" s="103">
        <f>P39*$P$11*10^6</f>
        <v>26400000.000000004</v>
      </c>
      <c r="C40" s="42" t="s">
        <v>113</v>
      </c>
      <c r="L40" s="87"/>
      <c r="M40" s="88" t="s">
        <v>80</v>
      </c>
      <c r="N40" s="89">
        <v>0</v>
      </c>
      <c r="O40" s="89">
        <v>0</v>
      </c>
      <c r="P40" s="99">
        <v>0</v>
      </c>
      <c r="Q40" s="89">
        <v>0</v>
      </c>
      <c r="R40" s="89">
        <v>0</v>
      </c>
      <c r="S40" s="90"/>
      <c r="T40" s="90"/>
      <c r="U40" s="90"/>
      <c r="V40" s="90"/>
      <c r="W40" s="91" t="s">
        <v>81</v>
      </c>
      <c r="X40" s="91"/>
    </row>
    <row r="41" spans="1:24">
      <c r="A41" s="42" t="s">
        <v>114</v>
      </c>
      <c r="B41" s="103">
        <f>B40/B34</f>
        <v>3300.0000000000005</v>
      </c>
      <c r="C41" s="42" t="s">
        <v>115</v>
      </c>
      <c r="L41" s="79"/>
      <c r="M41" s="79"/>
      <c r="N41" s="79"/>
      <c r="O41" s="79"/>
      <c r="P41" s="79"/>
      <c r="Q41" s="79"/>
      <c r="R41" s="79"/>
      <c r="S41" s="92"/>
      <c r="T41" s="92"/>
      <c r="U41" s="92"/>
      <c r="V41" s="92"/>
      <c r="W41" s="93"/>
      <c r="X41" s="93"/>
    </row>
    <row r="42" spans="1:24">
      <c r="L42" s="94" t="s">
        <v>88</v>
      </c>
      <c r="M42" s="94"/>
      <c r="N42" s="79"/>
      <c r="O42" s="79"/>
      <c r="P42" s="79"/>
      <c r="Q42" s="79"/>
      <c r="R42" s="79"/>
      <c r="S42" s="79"/>
      <c r="T42" s="79"/>
      <c r="U42" s="79"/>
      <c r="V42" s="79"/>
      <c r="W42" s="79"/>
      <c r="X42" s="79"/>
    </row>
    <row r="43" spans="1:24">
      <c r="L43" s="79"/>
      <c r="M43" s="95" t="s">
        <v>89</v>
      </c>
      <c r="N43" s="95"/>
      <c r="O43" s="95"/>
      <c r="P43" s="79"/>
      <c r="Q43" s="79"/>
      <c r="R43" s="79"/>
      <c r="S43" s="79"/>
      <c r="T43" s="79"/>
      <c r="U43" s="79"/>
      <c r="V43" s="79"/>
      <c r="W43" s="79"/>
      <c r="X43" s="79"/>
    </row>
    <row r="44" spans="1:24">
      <c r="L44" s="79"/>
      <c r="M44" s="95" t="s">
        <v>90</v>
      </c>
      <c r="N44" s="95"/>
      <c r="O44" s="95"/>
      <c r="P44" s="95"/>
      <c r="Q44" s="95"/>
      <c r="R44" s="95"/>
      <c r="S44" s="95"/>
      <c r="T44" s="95"/>
      <c r="U44" s="95"/>
      <c r="V44" s="79"/>
      <c r="W44" s="79"/>
      <c r="X44" s="79"/>
    </row>
    <row r="45" spans="1:24">
      <c r="L45" s="79"/>
      <c r="M45" s="95" t="s">
        <v>91</v>
      </c>
      <c r="N45" s="95"/>
      <c r="O45" s="79"/>
      <c r="P45" s="79"/>
      <c r="Q45" s="79"/>
      <c r="R45" s="79"/>
      <c r="S45" s="79"/>
      <c r="T45" s="79"/>
      <c r="U45" s="79"/>
      <c r="V45" s="79"/>
      <c r="W45" s="79"/>
      <c r="X45" s="79"/>
    </row>
    <row r="46" spans="1:24">
      <c r="L46" s="79"/>
      <c r="M46" s="95" t="s">
        <v>92</v>
      </c>
      <c r="N46" s="95"/>
      <c r="O46" s="95"/>
      <c r="P46" s="95"/>
      <c r="Q46" s="95"/>
      <c r="R46" s="95"/>
      <c r="S46" s="95"/>
      <c r="T46" s="95"/>
      <c r="U46" s="95"/>
      <c r="V46" s="95"/>
      <c r="W46" s="95"/>
      <c r="X46" s="95"/>
    </row>
    <row r="47" spans="1:24">
      <c r="L47" s="79"/>
      <c r="M47" s="95" t="s">
        <v>93</v>
      </c>
      <c r="N47" s="95"/>
      <c r="O47" s="95"/>
      <c r="P47" s="95"/>
      <c r="Q47" s="79"/>
      <c r="R47" s="79"/>
      <c r="S47" s="79"/>
      <c r="T47" s="79"/>
      <c r="U47" s="79"/>
      <c r="V47" s="79"/>
      <c r="W47" s="79"/>
      <c r="X47" s="79"/>
    </row>
    <row r="48" spans="1:24">
      <c r="L48" s="79"/>
      <c r="M48" s="95" t="s">
        <v>94</v>
      </c>
      <c r="N48" s="79"/>
      <c r="O48" s="79"/>
      <c r="P48" s="79"/>
      <c r="Q48" s="79"/>
      <c r="R48" s="79"/>
      <c r="S48" s="79"/>
      <c r="T48" s="79"/>
      <c r="U48" s="79"/>
      <c r="V48" s="79"/>
      <c r="W48" s="79"/>
      <c r="X48" s="79"/>
    </row>
    <row r="49" spans="12:24">
      <c r="L49" s="79"/>
      <c r="M49" s="95" t="s">
        <v>95</v>
      </c>
      <c r="N49" s="95"/>
      <c r="O49" s="95"/>
      <c r="P49" s="95"/>
      <c r="Q49" s="95"/>
      <c r="R49" s="95"/>
      <c r="S49" s="95"/>
      <c r="T49" s="95"/>
      <c r="U49" s="95"/>
      <c r="V49" s="79"/>
      <c r="W49" s="79"/>
      <c r="X49" s="79"/>
    </row>
    <row r="50" spans="12:24">
      <c r="L50" s="79"/>
      <c r="M50" s="95" t="s">
        <v>96</v>
      </c>
      <c r="N50" s="79"/>
      <c r="O50" s="79"/>
      <c r="P50" s="79"/>
      <c r="Q50" s="79"/>
      <c r="R50" s="79"/>
      <c r="S50" s="79"/>
      <c r="T50" s="79"/>
      <c r="U50" s="79"/>
      <c r="V50" s="79"/>
      <c r="W50" s="79"/>
      <c r="X50" s="79"/>
    </row>
    <row r="51" spans="12:24">
      <c r="L51" s="79"/>
      <c r="M51" s="95" t="s">
        <v>97</v>
      </c>
      <c r="N51" s="79"/>
      <c r="O51" s="79"/>
      <c r="P51" s="79"/>
      <c r="Q51" s="79"/>
      <c r="R51" s="79"/>
      <c r="S51" s="79"/>
      <c r="T51" s="79"/>
      <c r="U51" s="79"/>
      <c r="V51" s="79"/>
      <c r="W51" s="79"/>
      <c r="X51" s="79"/>
    </row>
    <row r="52" spans="12:24">
      <c r="L52" s="79"/>
      <c r="M52" s="95" t="s">
        <v>98</v>
      </c>
      <c r="N52" s="95"/>
      <c r="O52" s="95"/>
      <c r="P52" s="95"/>
      <c r="Q52" s="95"/>
      <c r="R52" s="95"/>
      <c r="S52" s="95"/>
      <c r="T52" s="95"/>
      <c r="U52" s="95"/>
      <c r="V52" s="95"/>
      <c r="W52" s="95"/>
      <c r="X52" s="95"/>
    </row>
    <row r="53" spans="12:24">
      <c r="L53" s="79"/>
      <c r="M53" s="95" t="s">
        <v>99</v>
      </c>
      <c r="N53" s="79"/>
      <c r="O53" s="79"/>
      <c r="P53" s="79"/>
      <c r="Q53" s="79"/>
      <c r="R53" s="79"/>
      <c r="S53" s="79"/>
      <c r="T53" s="79"/>
      <c r="U53" s="79"/>
      <c r="V53" s="79"/>
      <c r="W53" s="79"/>
      <c r="X53" s="79"/>
    </row>
    <row r="54" spans="12:24">
      <c r="L54" s="79"/>
      <c r="M54" s="95"/>
      <c r="N54" s="79"/>
      <c r="O54" s="79"/>
      <c r="P54" s="79"/>
      <c r="Q54" s="79"/>
      <c r="R54" s="79"/>
      <c r="S54" s="79"/>
      <c r="T54" s="79"/>
      <c r="U54" s="79"/>
      <c r="V54" s="79"/>
      <c r="W54" s="79"/>
      <c r="X54" s="79"/>
    </row>
    <row r="85" spans="1:3">
      <c r="A85" s="61"/>
    </row>
    <row r="86" spans="1:3">
      <c r="C86" s="43"/>
    </row>
    <row r="89" spans="1:3">
      <c r="C89" s="43"/>
    </row>
    <row r="94" spans="1:3">
      <c r="A94" s="61"/>
    </row>
    <row r="100" spans="3:3">
      <c r="C100" s="43"/>
    </row>
    <row r="110" spans="3:3">
      <c r="C110" s="43"/>
    </row>
    <row r="117" spans="3:4">
      <c r="C117" s="43"/>
    </row>
    <row r="122" spans="3:4">
      <c r="C122" s="43"/>
      <c r="D122" s="62"/>
    </row>
    <row r="129" spans="1:8">
      <c r="A129" s="63"/>
      <c r="B129" s="63"/>
      <c r="C129" s="64"/>
    </row>
    <row r="142" spans="1:8">
      <c r="F142" s="63"/>
      <c r="G142" s="63"/>
      <c r="H142" s="63"/>
    </row>
  </sheetData>
  <mergeCells count="1">
    <mergeCell ref="N6:X6"/>
  </mergeCells>
  <hyperlinks>
    <hyperlink ref="N6" r:id="rId1" location="INDEX" display="applewebdata://08A542F4-F6FD-448D-BD83-2C37FFD1F29D/ - INDEX" xr:uid="{C0A56C3F-1D74-AC47-A692-EEC09A902439}"/>
  </hyperlinks>
  <pageMargins left="0.75" right="0.75" top="1" bottom="1" header="0.5" footer="0.5"/>
  <pageSetup paperSize="9" orientation="portrait" horizontalDpi="4294967292" verticalDpi="42949672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Cover sheet</vt:lpstr>
      <vt:lpstr>Dashboard</vt:lpstr>
      <vt:lpstr>Research data</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Kyra de Haan</cp:lastModifiedBy>
  <cp:lastPrinted>2015-02-13T09:40:54Z</cp:lastPrinted>
  <dcterms:created xsi:type="dcterms:W3CDTF">2011-10-26T09:05:09Z</dcterms:created>
  <dcterms:modified xsi:type="dcterms:W3CDTF">2025-10-07T13:35:49Z</dcterms:modified>
</cp:coreProperties>
</file>