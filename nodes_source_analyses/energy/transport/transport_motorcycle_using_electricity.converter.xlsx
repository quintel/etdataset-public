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21"/>
  <workbookPr showInkAnnotation="0" codeName="ThisWorkbook" autoCompressPictures="0"/>
  <mc:AlternateContent xmlns:mc="http://schemas.openxmlformats.org/markup-compatibility/2006">
    <mc:Choice Requires="x15">
      <x15ac:absPath xmlns:x15ac="http://schemas.microsoft.com/office/spreadsheetml/2010/11/ac" url="/Users/robin/Desktop/Quintel/etdataset/nodes_source_analyses/energy/transport/"/>
    </mc:Choice>
  </mc:AlternateContent>
  <xr:revisionPtr revIDLastSave="0" documentId="13_ncr:1_{20A62666-318D-9B45-979B-5ED8877413B4}" xr6:coauthVersionLast="47" xr6:coauthVersionMax="47" xr10:uidLastSave="{00000000-0000-0000-0000-000000000000}"/>
  <bookViews>
    <workbookView xWindow="33260" yWindow="1260" windowWidth="38400" windowHeight="19460" tabRatio="762" xr2:uid="{00000000-000D-0000-FFFF-FFFF00000000}"/>
  </bookViews>
  <sheets>
    <sheet name="Cover sheet" sheetId="14" r:id="rId1"/>
    <sheet name="Dashboard" sheetId="12" r:id="rId2"/>
    <sheet name="Research data" sheetId="13" r:id="rId3"/>
    <sheet name="Sources" sheetId="15" r:id="rId4"/>
    <sheet name="Notes" sheetId="16" r:id="rId5"/>
  </sheets>
  <externalReferences>
    <externalReference r:id="rId6"/>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m2_to_km2">#REF!</definedName>
    <definedName name="STC">#REF!</definedName>
    <definedName name="STC_insolation">#REF!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17" i="16" l="1"/>
  <c r="I7" i="13" s="1"/>
  <c r="D17" i="16" l="1"/>
  <c r="E14" i="16"/>
  <c r="E11" i="16"/>
  <c r="E12" i="16" l="1"/>
  <c r="E7" i="13" l="1"/>
  <c r="E11" i="12" s="1"/>
</calcChain>
</file>

<file path=xl/sharedStrings.xml><?xml version="1.0" encoding="utf-8"?>
<sst xmlns="http://schemas.openxmlformats.org/spreadsheetml/2006/main" count="94" uniqueCount="74">
  <si>
    <t>Source</t>
  </si>
  <si>
    <t>-</t>
  </si>
  <si>
    <t>Technical lifetime</t>
  </si>
  <si>
    <t>Value</t>
  </si>
  <si>
    <t>Other</t>
  </si>
  <si>
    <t>NL</t>
  </si>
  <si>
    <t>Definition</t>
  </si>
  <si>
    <t>Unit</t>
  </si>
  <si>
    <t>Link</t>
  </si>
  <si>
    <t>Cover Sheet</t>
  </si>
  <si>
    <t>Document</t>
  </si>
  <si>
    <t>Country</t>
  </si>
  <si>
    <t>Organization</t>
  </si>
  <si>
    <t>Quintel Intelligence</t>
  </si>
  <si>
    <t>Definition on the sources</t>
  </si>
  <si>
    <t>Type</t>
  </si>
  <si>
    <t>Date published</t>
  </si>
  <si>
    <t>Date retrieved</t>
  </si>
  <si>
    <t>Attribute</t>
  </si>
  <si>
    <t>free_co2_factor</t>
  </si>
  <si>
    <t>Author</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</si>
  <si>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</si>
  <si>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</si>
  <si>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</si>
  <si>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</si>
  <si>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</si>
  <si>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</si>
  <si>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</si>
  <si>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</si>
  <si>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</si>
  <si>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</si>
  <si>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</si>
  <si>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</si>
  <si>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</si>
  <si>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</si>
  <si>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</si>
  <si>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Technical</t>
  </si>
  <si>
    <t>Parameter</t>
  </si>
  <si>
    <t>jbhunt</t>
  </si>
  <si>
    <t>Comments</t>
  </si>
  <si>
    <t>Notes</t>
  </si>
  <si>
    <t>Subject year</t>
  </si>
  <si>
    <t>ETM Library URL</t>
  </si>
  <si>
    <t>MJ/km</t>
  </si>
  <si>
    <t>km/MJ</t>
  </si>
  <si>
    <t>Efficiency</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</si>
  <si>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</si>
  <si>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2017</t>
  </si>
  <si>
    <t>transport_bus_using_compressed_natural_gas.converter.ad</t>
  </si>
  <si>
    <t>CBS</t>
  </si>
  <si>
    <t>passenger km/MJ</t>
  </si>
  <si>
    <t>CE Delft</t>
  </si>
  <si>
    <t>https://refman.energytransitionmodel.com/publications/2072</t>
  </si>
  <si>
    <t>http://www.ce.nl/publicatie/stream_personenvervoer_2014/1478</t>
  </si>
  <si>
    <t>output.passenger_kms</t>
  </si>
  <si>
    <t>pkm/MJ</t>
  </si>
  <si>
    <t>Moped</t>
  </si>
  <si>
    <t>Kilometers</t>
  </si>
  <si>
    <t>km</t>
  </si>
  <si>
    <t>Vehicle kilometers motorcycles</t>
  </si>
  <si>
    <t>Vehicle kilometers mopeds/scooters</t>
  </si>
  <si>
    <t>https://www.cbs.nl/-/media/_excel/2016/47/verkeersprestatie-bromfietsen-2007-2015.xlsx</t>
  </si>
  <si>
    <t>https://www.cbs.nl/-/media/_excel/2016/47/verkeersprestaties-kilometrage-motorfietsen-2001-2015.xlsx</t>
  </si>
  <si>
    <t>pkm/vkm</t>
  </si>
  <si>
    <t>CBS (vehicle kms)</t>
  </si>
  <si>
    <t>CE Delft (pkm/vkm)</t>
  </si>
  <si>
    <t>Motorcycle</t>
  </si>
  <si>
    <t>Netherlands</t>
  </si>
  <si>
    <t> https://ce.nl/wp-content/uploads/2025/02/CE_Delft_210506_STREAM_Personenvervoer_2024_Def.pdf</t>
  </si>
  <si>
    <t>Weighted average efficiency</t>
  </si>
  <si>
    <t>Weighted average pkm/vkm</t>
  </si>
  <si>
    <t>Passenger kilometers/vkm motorcyles and mopeds</t>
  </si>
  <si>
    <t>CE Delft p. 32,33 (MJ/km)</t>
  </si>
  <si>
    <t>Robin de Smit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</si>
</sst>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0">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i/>
      <sz val="12"/>
      <color theme="1"/>
      <name val="Calibri"/>
      <family val="2"/>
      <scheme val="minor"/>
    </font>
    <font>
      <sz val="12"/>
      <color rgb="FF000000"/>
      <name val="Calibri"/>
      <family val="2"/>
    </font>
    <font>
      <sz val="12"/>
      <name val="Calibri"/>
      <family val="2"/>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s>
  <borders count="20">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s>
  <cellStyleXfs count="251">
    <xf numFmtId="0" fontId="0" fillId="0" borderId="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113">
    <xf numFmtId="0" fontId="0" fillId="0" borderId="0" xfId="0"/>
    <xf numFmtId="0" fontId="22" fillId="3" borderId="7" xfId="0" applyFont="1" applyFill="1" applyBorder="1"/>
    <xf numFmtId="0" fontId="23" fillId="3" borderId="17" xfId="0" applyFont="1" applyFill="1" applyBorder="1"/>
    <xf numFmtId="0" fontId="22" fillId="3" borderId="13" xfId="0" applyFont="1" applyFill="1" applyBorder="1"/>
    <xf numFmtId="0" fontId="24" fillId="3" borderId="7" xfId="0" applyFont="1" applyFill="1" applyBorder="1" applyAlignment="1">
      <alignment vertical="center"/>
    </xf>
    <xf numFmtId="49" fontId="22" fillId="2" borderId="8" xfId="0" applyNumberFormat="1" applyFont="1" applyFill="1" applyBorder="1" applyAlignment="1">
      <alignment horizontal="left"/>
    </xf>
    <xf numFmtId="0" fontId="24" fillId="3" borderId="1" xfId="0" applyFont="1" applyFill="1" applyBorder="1" applyAlignment="1">
      <alignment vertical="center"/>
    </xf>
    <xf numFmtId="0" fontId="22" fillId="3" borderId="14" xfId="0" applyFont="1" applyFill="1" applyBorder="1"/>
    <xf numFmtId="0" fontId="22" fillId="3" borderId="0" xfId="0" applyFont="1" applyFill="1"/>
    <xf numFmtId="1" fontId="21" fillId="2" borderId="0" xfId="0" applyNumberFormat="1" applyFont="1" applyFill="1" applyAlignment="1">
      <alignment horizontal="right" vertical="center"/>
    </xf>
    <xf numFmtId="0" fontId="21" fillId="0" borderId="0" xfId="0" applyFont="1" applyAlignment="1">
      <alignment horizontal="left" vertical="center"/>
    </xf>
    <xf numFmtId="0" fontId="21" fillId="2" borderId="0" xfId="0" applyFont="1" applyFill="1"/>
    <xf numFmtId="0" fontId="21" fillId="2" borderId="5" xfId="0" applyFont="1" applyFill="1" applyBorder="1"/>
    <xf numFmtId="0" fontId="21" fillId="2" borderId="4" xfId="0" applyFont="1" applyFill="1" applyBorder="1"/>
    <xf numFmtId="0" fontId="18" fillId="2" borderId="0" xfId="0" applyFont="1" applyFill="1"/>
    <xf numFmtId="0" fontId="22" fillId="0" borderId="0" xfId="0" applyFont="1"/>
    <xf numFmtId="0" fontId="21" fillId="2" borderId="6" xfId="0" applyFont="1" applyFill="1" applyBorder="1"/>
    <xf numFmtId="0" fontId="22" fillId="3" borderId="17" xfId="0" applyFont="1" applyFill="1" applyBorder="1"/>
    <xf numFmtId="0" fontId="22" fillId="3" borderId="2" xfId="0" applyFont="1" applyFill="1" applyBorder="1"/>
    <xf numFmtId="0" fontId="18" fillId="2" borderId="2" xfId="0" applyFont="1" applyFill="1" applyBorder="1"/>
    <xf numFmtId="0" fontId="25" fillId="3" borderId="0" xfId="0" applyFont="1" applyFill="1"/>
    <xf numFmtId="0" fontId="18" fillId="2" borderId="7" xfId="0" applyFont="1" applyFill="1" applyBorder="1"/>
    <xf numFmtId="0" fontId="21" fillId="0" borderId="0" xfId="0" applyFont="1"/>
    <xf numFmtId="0" fontId="23" fillId="3" borderId="0" xfId="0" applyFont="1" applyFill="1"/>
    <xf numFmtId="0" fontId="17" fillId="2" borderId="18" xfId="0" applyFont="1" applyFill="1" applyBorder="1"/>
    <xf numFmtId="0" fontId="17" fillId="2" borderId="0" xfId="0" applyFont="1" applyFill="1"/>
    <xf numFmtId="0" fontId="17" fillId="2" borderId="3" xfId="0" applyFont="1" applyFill="1" applyBorder="1"/>
    <xf numFmtId="0" fontId="17" fillId="2" borderId="15" xfId="0" applyFont="1" applyFill="1" applyBorder="1"/>
    <xf numFmtId="0" fontId="17" fillId="0" borderId="0" xfId="0" applyFont="1"/>
    <xf numFmtId="0" fontId="17" fillId="2" borderId="6" xfId="0" applyFont="1" applyFill="1" applyBorder="1"/>
    <xf numFmtId="164" fontId="17" fillId="2" borderId="18" xfId="0" applyNumberFormat="1" applyFont="1" applyFill="1" applyBorder="1"/>
    <xf numFmtId="0" fontId="17" fillId="2" borderId="10" xfId="0" applyFont="1" applyFill="1" applyBorder="1"/>
    <xf numFmtId="0" fontId="17" fillId="2" borderId="11" xfId="0" applyFont="1" applyFill="1" applyBorder="1"/>
    <xf numFmtId="0" fontId="17" fillId="2" borderId="12" xfId="0" applyFont="1" applyFill="1" applyBorder="1"/>
    <xf numFmtId="0" fontId="16" fillId="2" borderId="0" xfId="0" applyFont="1" applyFill="1"/>
    <xf numFmtId="0" fontId="16" fillId="2" borderId="3" xfId="0" applyFont="1" applyFill="1" applyBorder="1"/>
    <xf numFmtId="0" fontId="16" fillId="2" borderId="4" xfId="0" applyFont="1" applyFill="1" applyBorder="1"/>
    <xf numFmtId="0" fontId="16" fillId="2" borderId="6" xfId="0" applyFont="1" applyFill="1" applyBorder="1"/>
    <xf numFmtId="2" fontId="16" fillId="2" borderId="0" xfId="0" applyNumberFormat="1" applyFont="1" applyFill="1" applyAlignment="1">
      <alignment horizontal="right" vertical="center"/>
    </xf>
    <xf numFmtId="10" fontId="16" fillId="2" borderId="0" xfId="0" applyNumberFormat="1" applyFont="1" applyFill="1" applyAlignment="1">
      <alignment horizontal="left" vertical="center" indent="2"/>
    </xf>
    <xf numFmtId="0" fontId="15" fillId="0" borderId="0" xfId="0" applyFont="1"/>
    <xf numFmtId="0" fontId="14" fillId="0" borderId="0" xfId="0" applyFont="1"/>
    <xf numFmtId="0" fontId="13" fillId="0" borderId="0" xfId="0" applyFont="1"/>
    <xf numFmtId="0" fontId="21" fillId="2" borderId="17" xfId="0" applyFont="1" applyFill="1" applyBorder="1"/>
    <xf numFmtId="0" fontId="11" fillId="2" borderId="2" xfId="0" applyFont="1" applyFill="1" applyBorder="1"/>
    <xf numFmtId="0" fontId="21" fillId="2" borderId="7" xfId="0" applyFont="1" applyFill="1" applyBorder="1"/>
    <xf numFmtId="0" fontId="11" fillId="2" borderId="0" xfId="0" applyFont="1" applyFill="1"/>
    <xf numFmtId="0" fontId="27" fillId="2" borderId="0" xfId="0" applyFont="1" applyFill="1"/>
    <xf numFmtId="0" fontId="11" fillId="2" borderId="18" xfId="0" applyFont="1" applyFill="1" applyBorder="1"/>
    <xf numFmtId="0" fontId="11" fillId="4" borderId="0" xfId="0" applyFont="1" applyFill="1"/>
    <xf numFmtId="0" fontId="11" fillId="5" borderId="0" xfId="0" applyFont="1" applyFill="1"/>
    <xf numFmtId="0" fontId="11" fillId="6" borderId="0" xfId="0" applyFont="1" applyFill="1"/>
    <xf numFmtId="0" fontId="11" fillId="7" borderId="0" xfId="0" applyFont="1" applyFill="1"/>
    <xf numFmtId="0" fontId="11" fillId="2" borderId="7" xfId="0" applyFont="1" applyFill="1" applyBorder="1"/>
    <xf numFmtId="0" fontId="11" fillId="8" borderId="0" xfId="0" applyFont="1" applyFill="1"/>
    <xf numFmtId="0" fontId="11" fillId="9" borderId="0" xfId="0" applyFont="1" applyFill="1"/>
    <xf numFmtId="0" fontId="11" fillId="10" borderId="0" xfId="0" applyFont="1" applyFill="1"/>
    <xf numFmtId="0" fontId="11" fillId="11" borderId="0" xfId="0" applyFont="1" applyFill="1"/>
    <xf numFmtId="0" fontId="21" fillId="2" borderId="16" xfId="0" applyFont="1" applyFill="1" applyBorder="1"/>
    <xf numFmtId="0" fontId="21" fillId="2" borderId="9" xfId="0" applyFont="1" applyFill="1" applyBorder="1"/>
    <xf numFmtId="0" fontId="23" fillId="2" borderId="9" xfId="0" applyFont="1" applyFill="1" applyBorder="1"/>
    <xf numFmtId="0" fontId="21" fillId="2" borderId="19" xfId="0" applyFont="1" applyFill="1" applyBorder="1"/>
    <xf numFmtId="0" fontId="22" fillId="2" borderId="0" xfId="0" applyFont="1" applyFill="1"/>
    <xf numFmtId="164" fontId="26" fillId="2" borderId="0" xfId="0" applyNumberFormat="1" applyFont="1" applyFill="1"/>
    <xf numFmtId="0" fontId="12" fillId="2" borderId="0" xfId="0" applyFont="1" applyFill="1"/>
    <xf numFmtId="0" fontId="17" fillId="2" borderId="5" xfId="0" applyFont="1" applyFill="1" applyBorder="1"/>
    <xf numFmtId="0" fontId="21" fillId="2" borderId="9" xfId="0" applyFont="1" applyFill="1" applyBorder="1" applyAlignment="1">
      <alignment vertical="center"/>
    </xf>
    <xf numFmtId="0" fontId="10" fillId="2" borderId="0" xfId="0" applyFont="1" applyFill="1"/>
    <xf numFmtId="49" fontId="10" fillId="2" borderId="0" xfId="0" applyNumberFormat="1" applyFont="1" applyFill="1"/>
    <xf numFmtId="0" fontId="10" fillId="2" borderId="3" xfId="0" applyFont="1" applyFill="1" applyBorder="1"/>
    <xf numFmtId="0" fontId="10" fillId="2" borderId="4" xfId="0" applyFont="1" applyFill="1" applyBorder="1"/>
    <xf numFmtId="49" fontId="10" fillId="2" borderId="4" xfId="0" applyNumberFormat="1" applyFont="1" applyFill="1" applyBorder="1"/>
    <xf numFmtId="0" fontId="10" fillId="2" borderId="6" xfId="0" applyFont="1" applyFill="1" applyBorder="1"/>
    <xf numFmtId="49" fontId="21" fillId="2" borderId="0" xfId="0" applyNumberFormat="1" applyFont="1" applyFill="1"/>
    <xf numFmtId="0" fontId="10" fillId="2" borderId="16" xfId="0" applyFont="1" applyFill="1" applyBorder="1"/>
    <xf numFmtId="49" fontId="21" fillId="2" borderId="9" xfId="0" applyNumberFormat="1" applyFont="1" applyFill="1" applyBorder="1"/>
    <xf numFmtId="0" fontId="10" fillId="2" borderId="0" xfId="0" applyFont="1" applyFill="1" applyAlignment="1">
      <alignment vertical="top"/>
    </xf>
    <xf numFmtId="1" fontId="16" fillId="2" borderId="0" xfId="0" applyNumberFormat="1" applyFont="1" applyFill="1" applyAlignment="1">
      <alignment horizontal="right" vertical="center"/>
    </xf>
    <xf numFmtId="0" fontId="9" fillId="2" borderId="0" xfId="0" applyFont="1" applyFill="1"/>
    <xf numFmtId="0" fontId="9" fillId="2" borderId="3" xfId="0" applyFont="1" applyFill="1" applyBorder="1"/>
    <xf numFmtId="0" fontId="9" fillId="2" borderId="4" xfId="0" applyFont="1" applyFill="1" applyBorder="1"/>
    <xf numFmtId="0" fontId="9" fillId="2" borderId="6" xfId="0" applyFont="1" applyFill="1" applyBorder="1"/>
    <xf numFmtId="0" fontId="8" fillId="2" borderId="0" xfId="0" applyFont="1" applyFill="1"/>
    <xf numFmtId="0" fontId="7" fillId="0" borderId="0" xfId="0" applyFont="1"/>
    <xf numFmtId="0" fontId="6" fillId="2" borderId="0" xfId="0" applyFont="1" applyFill="1"/>
    <xf numFmtId="0" fontId="6" fillId="0" borderId="0" xfId="0" applyFont="1" applyAlignment="1">
      <alignment horizontal="left" vertical="center" indent="2"/>
    </xf>
    <xf numFmtId="165" fontId="6" fillId="0" borderId="0" xfId="0" applyNumberFormat="1" applyFont="1" applyAlignment="1">
      <alignment vertical="center"/>
    </xf>
    <xf numFmtId="0" fontId="16" fillId="2" borderId="18" xfId="0" applyFont="1" applyFill="1" applyBorder="1"/>
    <xf numFmtId="0" fontId="6" fillId="0" borderId="0" xfId="0" applyFont="1"/>
    <xf numFmtId="0" fontId="5" fillId="0" borderId="0" xfId="0" applyFont="1" applyAlignment="1">
      <alignment vertical="top"/>
    </xf>
    <xf numFmtId="0" fontId="0" fillId="2" borderId="0" xfId="0" applyFill="1"/>
    <xf numFmtId="0" fontId="26" fillId="2" borderId="0" xfId="0" applyFont="1" applyFill="1"/>
    <xf numFmtId="0" fontId="4" fillId="2" borderId="0" xfId="0" applyFont="1" applyFill="1"/>
    <xf numFmtId="0" fontId="29" fillId="12" borderId="6" xfId="0" applyFont="1" applyFill="1" applyBorder="1"/>
    <xf numFmtId="0" fontId="29" fillId="0" borderId="0" xfId="0" applyFont="1" applyAlignment="1">
      <alignment vertical="top"/>
    </xf>
    <xf numFmtId="49" fontId="4" fillId="2" borderId="0" xfId="0" applyNumberFormat="1" applyFont="1" applyFill="1"/>
    <xf numFmtId="0" fontId="3" fillId="2" borderId="0" xfId="0" applyFont="1" applyFill="1"/>
    <xf numFmtId="0" fontId="9" fillId="2" borderId="0" xfId="0" applyFont="1" applyFill="1" applyAlignment="1">
      <alignment horizontal="center" vertical="center"/>
    </xf>
    <xf numFmtId="0" fontId="3" fillId="2" borderId="0" xfId="0" applyFont="1" applyFill="1" applyAlignment="1">
      <alignment horizontal="center" vertical="center"/>
    </xf>
    <xf numFmtId="0" fontId="10" fillId="2" borderId="0" xfId="0" applyFont="1" applyFill="1" applyAlignment="1">
      <alignment horizontal="right"/>
    </xf>
    <xf numFmtId="0" fontId="2" fillId="2" borderId="0" xfId="0" applyFont="1" applyFill="1"/>
    <xf numFmtId="0" fontId="3" fillId="2" borderId="0" xfId="0" applyFont="1" applyFill="1" applyAlignment="1">
      <alignment horizontal="center" vertical="center"/>
    </xf>
    <xf numFmtId="0" fontId="28" fillId="12" borderId="17" xfId="0" applyFont="1" applyFill="1" applyBorder="1" applyAlignment="1">
      <alignment horizontal="left" vertical="top" wrapText="1"/>
    </xf>
    <xf numFmtId="0" fontId="28" fillId="12" borderId="2" xfId="0" applyFont="1" applyFill="1" applyBorder="1" applyAlignment="1">
      <alignment horizontal="left" vertical="top" wrapText="1"/>
    </xf>
    <xf numFmtId="0" fontId="28" fillId="12" borderId="13" xfId="0" applyFont="1" applyFill="1" applyBorder="1" applyAlignment="1">
      <alignment horizontal="left" vertical="top" wrapText="1"/>
    </xf>
    <xf numFmtId="0" fontId="28" fillId="12" borderId="7" xfId="0" applyFont="1" applyFill="1" applyBorder="1" applyAlignment="1">
      <alignment horizontal="left" vertical="top" wrapText="1"/>
    </xf>
    <xf numFmtId="0" fontId="28" fillId="12" borderId="0" xfId="0" applyFont="1" applyFill="1" applyAlignment="1">
      <alignment horizontal="left" vertical="top" wrapText="1"/>
    </xf>
    <xf numFmtId="0" fontId="28" fillId="12" borderId="8" xfId="0" applyFont="1" applyFill="1" applyBorder="1" applyAlignment="1">
      <alignment horizontal="left" vertical="top" wrapText="1"/>
    </xf>
    <xf numFmtId="0" fontId="28" fillId="12" borderId="1" xfId="0" applyFont="1" applyFill="1" applyBorder="1" applyAlignment="1">
      <alignment horizontal="left" vertical="top" wrapText="1"/>
    </xf>
    <xf numFmtId="0" fontId="28" fillId="12" borderId="9" xfId="0" applyFont="1" applyFill="1" applyBorder="1" applyAlignment="1">
      <alignment horizontal="left" vertical="top" wrapText="1"/>
    </xf>
    <xf numFmtId="0" fontId="28" fillId="12" borderId="14" xfId="0" applyFont="1" applyFill="1" applyBorder="1" applyAlignment="1">
      <alignment horizontal="left" vertical="top" wrapText="1"/>
    </xf>
    <xf numFmtId="0" fontId="1" fillId="2" borderId="0" xfId="0" applyFont="1" applyFill="1"/>
    <xf numFmtId="0" fontId="1" fillId="2" borderId="18" xfId="0" applyFont="1" applyFill="1" applyBorder="1"/>
  </cellXfs>
  <cellStyles count="25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243" builtinId="8" hidden="1"/>
    <cellStyle name="Hyperlink" xfId="245" builtinId="8" hidden="1"/>
    <cellStyle name="Hyperlink" xfId="247" builtinId="8" hidden="1"/>
    <cellStyle name="Hyperlink" xfId="249"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11</xdr:col>
      <xdr:colOff>665502</xdr:colOff>
      <xdr:row>22</xdr:row>
      <xdr:rowOff>396240</xdr:rowOff>
    </xdr:from>
    <xdr:to>
      <xdr:col>21</xdr:col>
      <xdr:colOff>306766</xdr:colOff>
      <xdr:row>22</xdr:row>
      <xdr:rowOff>1595120</xdr:rowOff>
    </xdr:to>
    <xdr:pic>
      <xdr:nvPicPr>
        <xdr:cNvPr id="19" name="Picture 18">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1"/>
        <a:stretch>
          <a:fillRect/>
        </a:stretch>
      </xdr:blipFill>
      <xdr:spPr>
        <a:xfrm>
          <a:off x="16718302" y="4876800"/>
          <a:ext cx="7809904" cy="1198880"/>
        </a:xfrm>
        <a:prstGeom prst="rect">
          <a:avLst/>
        </a:prstGeom>
      </xdr:spPr>
    </xdr:pic>
    <xdr:clientData/>
  </xdr:twoCellAnchor>
  <xdr:twoCellAnchor editAs="oneCell">
    <xdr:from>
      <xdr:col>8</xdr:col>
      <xdr:colOff>507999</xdr:colOff>
      <xdr:row>22</xdr:row>
      <xdr:rowOff>325120</xdr:rowOff>
    </xdr:from>
    <xdr:to>
      <xdr:col>11</xdr:col>
      <xdr:colOff>287584</xdr:colOff>
      <xdr:row>22</xdr:row>
      <xdr:rowOff>3299460</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2"/>
        <a:stretch>
          <a:fillRect/>
        </a:stretch>
      </xdr:blipFill>
      <xdr:spPr>
        <a:xfrm>
          <a:off x="9479279" y="4805680"/>
          <a:ext cx="6861105" cy="2974340"/>
        </a:xfrm>
        <a:prstGeom prst="rect">
          <a:avLst/>
        </a:prstGeom>
      </xdr:spPr>
    </xdr:pic>
    <xdr:clientData/>
  </xdr:twoCellAnchor>
  <xdr:twoCellAnchor editAs="oneCell">
    <xdr:from>
      <xdr:col>19</xdr:col>
      <xdr:colOff>393701</xdr:colOff>
      <xdr:row>22</xdr:row>
      <xdr:rowOff>1716122</xdr:rowOff>
    </xdr:from>
    <xdr:to>
      <xdr:col>23</xdr:col>
      <xdr:colOff>711200</xdr:colOff>
      <xdr:row>33</xdr:row>
      <xdr:rowOff>188563</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3"/>
        <a:stretch>
          <a:fillRect/>
        </a:stretch>
      </xdr:blipFill>
      <xdr:spPr>
        <a:xfrm>
          <a:off x="19151601" y="6199222"/>
          <a:ext cx="3619499" cy="4400801"/>
        </a:xfrm>
        <a:prstGeom prst="rect">
          <a:avLst/>
        </a:prstGeom>
      </xdr:spPr>
    </xdr:pic>
    <xdr:clientData/>
  </xdr:twoCellAnchor>
  <xdr:twoCellAnchor editAs="oneCell">
    <xdr:from>
      <xdr:col>9</xdr:col>
      <xdr:colOff>433990</xdr:colOff>
      <xdr:row>14</xdr:row>
      <xdr:rowOff>31970</xdr:rowOff>
    </xdr:from>
    <xdr:to>
      <xdr:col>12</xdr:col>
      <xdr:colOff>375745</xdr:colOff>
      <xdr:row>20</xdr:row>
      <xdr:rowOff>15767</xdr:rowOff>
    </xdr:to>
    <xdr:pic>
      <xdr:nvPicPr>
        <xdr:cNvPr id="2" name="Picture 1">
          <a:extLst>
            <a:ext uri="{FF2B5EF4-FFF2-40B4-BE49-F238E27FC236}">
              <a16:creationId xmlns:a16="http://schemas.microsoft.com/office/drawing/2014/main" id="{55C82128-B611-8B10-8F62-FCA8CFBD53A2}"/>
            </a:ext>
          </a:extLst>
        </xdr:cNvPr>
        <xdr:cNvPicPr>
          <a:picLocks noChangeAspect="1"/>
        </xdr:cNvPicPr>
      </xdr:nvPicPr>
      <xdr:blipFill>
        <a:blip xmlns:r="http://schemas.openxmlformats.org/officeDocument/2006/relationships" r:embed="rId4"/>
        <a:stretch>
          <a:fillRect/>
        </a:stretch>
      </xdr:blipFill>
      <xdr:spPr>
        <a:xfrm>
          <a:off x="10210800" y="2955160"/>
          <a:ext cx="6959600" cy="1231900"/>
        </a:xfrm>
        <a:prstGeom prst="rect">
          <a:avLst/>
        </a:prstGeom>
      </xdr:spPr>
    </xdr:pic>
    <xdr:clientData/>
  </xdr:twoCellAnchor>
  <xdr:twoCellAnchor editAs="oneCell">
    <xdr:from>
      <xdr:col>9</xdr:col>
      <xdr:colOff>459826</xdr:colOff>
      <xdr:row>8</xdr:row>
      <xdr:rowOff>76638</xdr:rowOff>
    </xdr:from>
    <xdr:to>
      <xdr:col>12</xdr:col>
      <xdr:colOff>744481</xdr:colOff>
      <xdr:row>14</xdr:row>
      <xdr:rowOff>3462</xdr:rowOff>
    </xdr:to>
    <xdr:pic>
      <xdr:nvPicPr>
        <xdr:cNvPr id="3" name="Picture 2">
          <a:extLst>
            <a:ext uri="{FF2B5EF4-FFF2-40B4-BE49-F238E27FC236}">
              <a16:creationId xmlns:a16="http://schemas.microsoft.com/office/drawing/2014/main" id="{4897A951-806E-5FC5-570E-190D26AAF65D}"/>
            </a:ext>
          </a:extLst>
        </xdr:cNvPr>
        <xdr:cNvPicPr>
          <a:picLocks noChangeAspect="1"/>
        </xdr:cNvPicPr>
      </xdr:nvPicPr>
      <xdr:blipFill>
        <a:blip xmlns:r="http://schemas.openxmlformats.org/officeDocument/2006/relationships" r:embed="rId5"/>
        <a:stretch>
          <a:fillRect/>
        </a:stretch>
      </xdr:blipFill>
      <xdr:spPr>
        <a:xfrm>
          <a:off x="10236636" y="1751724"/>
          <a:ext cx="7302500" cy="1168400"/>
        </a:xfrm>
        <a:prstGeom prst="rect">
          <a:avLst/>
        </a:prstGeom>
      </xdr:spPr>
    </xdr:pic>
    <xdr:clientData/>
  </xdr:twoCellAnchor>
  <xdr:twoCellAnchor>
    <xdr:from>
      <xdr:col>9</xdr:col>
      <xdr:colOff>503620</xdr:colOff>
      <xdr:row>12</xdr:row>
      <xdr:rowOff>43794</xdr:rowOff>
    </xdr:from>
    <xdr:to>
      <xdr:col>9</xdr:col>
      <xdr:colOff>3788103</xdr:colOff>
      <xdr:row>13</xdr:row>
      <xdr:rowOff>164225</xdr:rowOff>
    </xdr:to>
    <xdr:sp macro="" textlink="">
      <xdr:nvSpPr>
        <xdr:cNvPr id="7" name="Rectangle 6">
          <a:extLst>
            <a:ext uri="{FF2B5EF4-FFF2-40B4-BE49-F238E27FC236}">
              <a16:creationId xmlns:a16="http://schemas.microsoft.com/office/drawing/2014/main" id="{AAD5D444-8630-0F3D-E361-D829C38DC8B0}"/>
            </a:ext>
          </a:extLst>
        </xdr:cNvPr>
        <xdr:cNvSpPr/>
      </xdr:nvSpPr>
      <xdr:spPr>
        <a:xfrm>
          <a:off x="10297860" y="2492354"/>
          <a:ext cx="3284483" cy="323631"/>
        </a:xfrm>
        <a:prstGeom prst="rect">
          <a:avLst/>
        </a:prstGeom>
        <a:noFill/>
        <a:ln w="38100">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GB" sz="1100"/>
        </a:p>
      </xdr:txBody>
    </xdr:sp>
    <xdr:clientData/>
  </xdr:twoCellAnchor>
  <xdr:twoCellAnchor>
    <xdr:from>
      <xdr:col>9</xdr:col>
      <xdr:colOff>470776</xdr:colOff>
      <xdr:row>17</xdr:row>
      <xdr:rowOff>164224</xdr:rowOff>
    </xdr:from>
    <xdr:to>
      <xdr:col>9</xdr:col>
      <xdr:colOff>4280776</xdr:colOff>
      <xdr:row>19</xdr:row>
      <xdr:rowOff>76637</xdr:rowOff>
    </xdr:to>
    <xdr:sp macro="" textlink="">
      <xdr:nvSpPr>
        <xdr:cNvPr id="8" name="Rectangle 7">
          <a:extLst>
            <a:ext uri="{FF2B5EF4-FFF2-40B4-BE49-F238E27FC236}">
              <a16:creationId xmlns:a16="http://schemas.microsoft.com/office/drawing/2014/main" id="{7E73DD4F-866C-9E4C-8D9C-F7FD7661FECF}"/>
            </a:ext>
          </a:extLst>
        </xdr:cNvPr>
        <xdr:cNvSpPr/>
      </xdr:nvSpPr>
      <xdr:spPr>
        <a:xfrm>
          <a:off x="10247586" y="3711465"/>
          <a:ext cx="3810000" cy="328448"/>
        </a:xfrm>
        <a:prstGeom prst="rect">
          <a:avLst/>
        </a:prstGeom>
        <a:noFill/>
        <a:ln w="38100">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GB" sz="1100"/>
        </a:p>
      </xdr:txBody>
    </xdr:sp>
    <xdr:clientData/>
  </xdr:twoCellAnchor>
  <xdr:twoCellAnchor>
    <xdr:from>
      <xdr:col>10</xdr:col>
      <xdr:colOff>314960</xdr:colOff>
      <xdr:row>22</xdr:row>
      <xdr:rowOff>1313794</xdr:rowOff>
    </xdr:from>
    <xdr:to>
      <xdr:col>11</xdr:col>
      <xdr:colOff>425143</xdr:colOff>
      <xdr:row>22</xdr:row>
      <xdr:rowOff>1637425</xdr:rowOff>
    </xdr:to>
    <xdr:sp macro="" textlink="">
      <xdr:nvSpPr>
        <xdr:cNvPr id="13" name="Rectangle 12">
          <a:extLst>
            <a:ext uri="{FF2B5EF4-FFF2-40B4-BE49-F238E27FC236}">
              <a16:creationId xmlns:a16="http://schemas.microsoft.com/office/drawing/2014/main" id="{2799BD00-905B-2148-8439-CF32842DD9AD}"/>
            </a:ext>
          </a:extLst>
        </xdr:cNvPr>
        <xdr:cNvSpPr/>
      </xdr:nvSpPr>
      <xdr:spPr>
        <a:xfrm>
          <a:off x="15544800" y="5794354"/>
          <a:ext cx="933143" cy="323631"/>
        </a:xfrm>
        <a:prstGeom prst="rect">
          <a:avLst/>
        </a:prstGeom>
        <a:noFill/>
        <a:ln w="38100">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GB" sz="1100"/>
        </a:p>
      </xdr:txBody>
    </xdr:sp>
    <xdr:clientData/>
  </xdr:twoCellAnchor>
  <xdr:twoCellAnchor>
    <xdr:from>
      <xdr:col>13</xdr:col>
      <xdr:colOff>711200</xdr:colOff>
      <xdr:row>22</xdr:row>
      <xdr:rowOff>1181715</xdr:rowOff>
    </xdr:from>
    <xdr:to>
      <xdr:col>14</xdr:col>
      <xdr:colOff>821383</xdr:colOff>
      <xdr:row>22</xdr:row>
      <xdr:rowOff>1473201</xdr:rowOff>
    </xdr:to>
    <xdr:sp macro="" textlink="">
      <xdr:nvSpPr>
        <xdr:cNvPr id="14" name="Rectangle 13">
          <a:extLst>
            <a:ext uri="{FF2B5EF4-FFF2-40B4-BE49-F238E27FC236}">
              <a16:creationId xmlns:a16="http://schemas.microsoft.com/office/drawing/2014/main" id="{CBEDDDF9-7766-3D47-9918-415C7C7EFCCD}"/>
            </a:ext>
          </a:extLst>
        </xdr:cNvPr>
        <xdr:cNvSpPr/>
      </xdr:nvSpPr>
      <xdr:spPr>
        <a:xfrm>
          <a:off x="18348960" y="5662275"/>
          <a:ext cx="933143" cy="291486"/>
        </a:xfrm>
        <a:prstGeom prst="rect">
          <a:avLst/>
        </a:prstGeom>
        <a:noFill/>
        <a:ln w="38100">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GB"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orinevandervlies/Projects/etdataset/nodes_source_analyses/transport/6_residences_analysis.xlsx" TargetMode="External"/><Relationship Id="rId1" Type="http://schemas.openxmlformats.org/officeDocument/2006/relationships/externalLinkPath" Target="/Users/dorinevandervlies/Projects/etdataset/nodes_source_analyses/transport/6_residences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C23"/>
  <sheetViews>
    <sheetView tabSelected="1" workbookViewId="0">
      <selection activeCell="C6" sqref="C6"/>
    </sheetView>
  </sheetViews>
  <sheetFormatPr baseColWidth="10" defaultRowHeight="16"/>
  <cols>
    <col min="1" max="1" width="3.1640625" style="21" customWidth="1"/>
    <col min="2" max="2" width="11.5" style="14" customWidth="1"/>
    <col min="3" max="3" width="38.5" style="14" customWidth="1"/>
    <col min="4" max="16384" width="10.83203125" style="14"/>
  </cols>
  <sheetData>
    <row r="1" spans="1:3" s="19" customFormat="1">
      <c r="A1" s="17"/>
      <c r="B1" s="18"/>
      <c r="C1" s="18"/>
    </row>
    <row r="2" spans="1:3" ht="21">
      <c r="A2" s="1"/>
      <c r="B2" s="20" t="s">
        <v>9</v>
      </c>
      <c r="C2" s="20"/>
    </row>
    <row r="3" spans="1:3">
      <c r="A3" s="1"/>
      <c r="B3" s="8"/>
      <c r="C3" s="8"/>
    </row>
    <row r="4" spans="1:3">
      <c r="A4" s="1"/>
      <c r="B4" s="2" t="s">
        <v>10</v>
      </c>
      <c r="C4" s="3" t="s">
        <v>48</v>
      </c>
    </row>
    <row r="5" spans="1:3">
      <c r="A5" s="1"/>
      <c r="B5" s="4" t="s">
        <v>20</v>
      </c>
      <c r="C5" s="5" t="s">
        <v>73</v>
      </c>
    </row>
    <row r="6" spans="1:3">
      <c r="A6" s="1"/>
      <c r="B6" s="6" t="s">
        <v>12</v>
      </c>
      <c r="C6" s="7" t="s">
        <v>13</v>
      </c>
    </row>
    <row r="7" spans="1:3">
      <c r="A7" s="1"/>
      <c r="B7" s="8"/>
      <c r="C7" s="8"/>
    </row>
    <row r="8" spans="1:3">
      <c r="A8" s="1"/>
      <c r="B8" s="8"/>
      <c r="C8" s="8"/>
    </row>
    <row r="9" spans="1:3">
      <c r="A9" s="1"/>
      <c r="B9" s="43" t="s">
        <v>21</v>
      </c>
      <c r="C9" s="44"/>
    </row>
    <row r="10" spans="1:3">
      <c r="A10" s="1"/>
      <c r="B10" s="45"/>
      <c r="C10" s="46"/>
    </row>
    <row r="11" spans="1:3">
      <c r="A11" s="1"/>
      <c r="B11" s="45" t="s">
        <v>22</v>
      </c>
      <c r="C11" s="47" t="s">
        <v>23</v>
      </c>
    </row>
    <row r="12" spans="1:3" ht="17" thickBot="1">
      <c r="A12" s="1"/>
      <c r="B12" s="45"/>
      <c r="C12" s="11" t="s">
        <v>24</v>
      </c>
    </row>
    <row r="13" spans="1:3" ht="17" thickBot="1">
      <c r="A13" s="1"/>
      <c r="B13" s="45"/>
      <c r="C13" s="48" t="s">
        <v>25</v>
      </c>
    </row>
    <row r="14" spans="1:3">
      <c r="A14" s="1"/>
      <c r="B14" s="45"/>
      <c r="C14" s="46" t="s">
        <v>26</v>
      </c>
    </row>
    <row r="15" spans="1:3">
      <c r="A15" s="1"/>
      <c r="B15" s="45"/>
      <c r="C15" s="46"/>
    </row>
    <row r="16" spans="1:3">
      <c r="A16" s="1"/>
      <c r="B16" s="45" t="s">
        <v>27</v>
      </c>
      <c r="C16" s="49" t="s">
        <v>28</v>
      </c>
    </row>
    <row r="17" spans="1:3">
      <c r="A17" s="1"/>
      <c r="B17" s="45"/>
      <c r="C17" s="50" t="s">
        <v>29</v>
      </c>
    </row>
    <row r="18" spans="1:3">
      <c r="A18" s="1"/>
      <c r="B18" s="45"/>
      <c r="C18" s="51" t="s">
        <v>30</v>
      </c>
    </row>
    <row r="19" spans="1:3">
      <c r="A19" s="1"/>
      <c r="B19" s="45"/>
      <c r="C19" s="52" t="s">
        <v>31</v>
      </c>
    </row>
    <row r="20" spans="1:3">
      <c r="A20" s="1"/>
      <c r="B20" s="53"/>
      <c r="C20" s="54" t="s">
        <v>32</v>
      </c>
    </row>
    <row r="21" spans="1:3">
      <c r="A21" s="1"/>
      <c r="B21" s="53"/>
      <c r="C21" s="55" t="s">
        <v>33</v>
      </c>
    </row>
    <row r="22" spans="1:3">
      <c r="A22" s="1"/>
      <c r="B22" s="53"/>
      <c r="C22" s="56" t="s">
        <v>34</v>
      </c>
    </row>
    <row r="23" spans="1:3">
      <c r="B23" s="53"/>
      <c r="C23" s="57" t="s">
        <v>35</v>
      </c>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2:J19"/>
  <sheetViews>
    <sheetView workbookViewId="0">
      <selection activeCell="G11" sqref="G11"/>
    </sheetView>
  </sheetViews>
  <sheetFormatPr baseColWidth="10" defaultRowHeight="16"/>
  <cols>
    <col min="1" max="1" width="3.1640625" style="25" customWidth="1"/>
    <col min="2" max="2" width="3.5" style="25" customWidth="1"/>
    <col min="3" max="3" width="33.83203125" style="25" customWidth="1"/>
    <col min="4" max="4" width="12.5" style="25" customWidth="1"/>
    <col min="5" max="5" width="17.5" style="25" customWidth="1"/>
    <col min="6" max="6" width="4.5" style="25" customWidth="1"/>
    <col min="7" max="7" width="44.1640625" style="25" customWidth="1"/>
    <col min="8" max="8" width="2.5" style="25" customWidth="1"/>
    <col min="9" max="9" width="42.5" style="25" customWidth="1"/>
    <col min="10" max="10" width="3.5" style="25" customWidth="1"/>
    <col min="11" max="16384" width="10.83203125" style="25"/>
  </cols>
  <sheetData>
    <row r="2" spans="2:10" ht="16" customHeight="1">
      <c r="B2" s="102" t="s">
        <v>46</v>
      </c>
      <c r="C2" s="103"/>
      <c r="D2" s="103"/>
      <c r="E2" s="103"/>
      <c r="F2" s="103"/>
      <c r="G2" s="104"/>
    </row>
    <row r="3" spans="2:10">
      <c r="B3" s="105"/>
      <c r="C3" s="106"/>
      <c r="D3" s="106"/>
      <c r="E3" s="106"/>
      <c r="F3" s="106"/>
      <c r="G3" s="107"/>
    </row>
    <row r="4" spans="2:10">
      <c r="B4" s="105"/>
      <c r="C4" s="106"/>
      <c r="D4" s="106"/>
      <c r="E4" s="106"/>
      <c r="F4" s="106"/>
      <c r="G4" s="107"/>
    </row>
    <row r="5" spans="2:10">
      <c r="B5" s="108"/>
      <c r="C5" s="109"/>
      <c r="D5" s="109"/>
      <c r="E5" s="109"/>
      <c r="F5" s="109"/>
      <c r="G5" s="110"/>
    </row>
    <row r="6" spans="2:10" ht="17" thickBot="1"/>
    <row r="7" spans="2:10">
      <c r="B7" s="26"/>
      <c r="C7" s="13"/>
      <c r="D7" s="13"/>
      <c r="E7" s="13"/>
      <c r="F7" s="13"/>
      <c r="G7" s="13"/>
      <c r="H7" s="13"/>
      <c r="I7" s="13"/>
      <c r="J7" s="27"/>
    </row>
    <row r="8" spans="2:10" s="11" customFormat="1">
      <c r="B8" s="58"/>
      <c r="C8" s="59" t="s">
        <v>18</v>
      </c>
      <c r="D8" s="60" t="s">
        <v>7</v>
      </c>
      <c r="E8" s="59" t="s">
        <v>3</v>
      </c>
      <c r="F8" s="59"/>
      <c r="G8" s="59" t="s">
        <v>6</v>
      </c>
      <c r="H8" s="59"/>
      <c r="I8" s="59" t="s">
        <v>0</v>
      </c>
      <c r="J8" s="61"/>
    </row>
    <row r="9" spans="2:10" s="11" customFormat="1">
      <c r="B9" s="16"/>
      <c r="D9" s="23"/>
      <c r="J9" s="12"/>
    </row>
    <row r="10" spans="2:10" s="11" customFormat="1" ht="17" thickBot="1">
      <c r="B10" s="16"/>
      <c r="C10" s="11" t="s">
        <v>36</v>
      </c>
      <c r="D10" s="23"/>
      <c r="J10" s="12"/>
    </row>
    <row r="11" spans="2:10" s="11" customFormat="1" ht="17" thickBot="1">
      <c r="B11" s="16"/>
      <c r="C11" s="83" t="s">
        <v>54</v>
      </c>
      <c r="D11" s="15" t="s">
        <v>55</v>
      </c>
      <c r="E11" s="24">
        <f>'Research data'!E7</f>
        <v>2.5677050000000001</v>
      </c>
      <c r="F11" s="28"/>
      <c r="G11" s="88"/>
      <c r="H11" s="22"/>
      <c r="I11" s="112" t="s">
        <v>51</v>
      </c>
      <c r="J11" s="12"/>
    </row>
    <row r="12" spans="2:10">
      <c r="B12" s="29"/>
      <c r="D12" s="62"/>
      <c r="E12" s="63"/>
      <c r="I12" s="64"/>
      <c r="J12" s="65"/>
    </row>
    <row r="13" spans="2:10" ht="17" thickBot="1">
      <c r="B13" s="29"/>
      <c r="C13" s="11" t="s">
        <v>4</v>
      </c>
      <c r="D13" s="62"/>
      <c r="E13" s="63"/>
      <c r="I13" s="64"/>
      <c r="J13" s="65"/>
    </row>
    <row r="14" spans="2:10" ht="17" thickBot="1">
      <c r="B14" s="29"/>
      <c r="C14" s="28" t="s">
        <v>19</v>
      </c>
      <c r="D14" s="15" t="s">
        <v>1</v>
      </c>
      <c r="E14" s="30">
        <v>0</v>
      </c>
      <c r="F14" s="28"/>
      <c r="G14" s="28"/>
      <c r="H14" s="28"/>
      <c r="I14" s="24"/>
      <c r="J14" s="65"/>
    </row>
    <row r="15" spans="2:10" ht="17" thickBot="1">
      <c r="B15" s="31"/>
      <c r="C15" s="32"/>
      <c r="D15" s="32"/>
      <c r="E15" s="32"/>
      <c r="F15" s="32"/>
      <c r="G15" s="32"/>
      <c r="H15" s="32"/>
      <c r="I15" s="32"/>
      <c r="J15" s="33"/>
    </row>
    <row r="19" ht="15" customHeight="1"/>
  </sheetData>
  <mergeCells count="1">
    <mergeCell ref="B2:G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6" tint="0.39997558519241921"/>
  </sheetPr>
  <dimension ref="B2:K8"/>
  <sheetViews>
    <sheetView workbookViewId="0">
      <selection activeCell="I8" sqref="I8"/>
    </sheetView>
  </sheetViews>
  <sheetFormatPr baseColWidth="10" defaultRowHeight="16"/>
  <cols>
    <col min="1" max="2" width="4.5" style="34" customWidth="1"/>
    <col min="3" max="3" width="33.1640625" style="34" customWidth="1"/>
    <col min="4" max="4" width="11.5" style="34" customWidth="1"/>
    <col min="5" max="5" width="9.5" style="34" customWidth="1"/>
    <col min="6" max="6" width="2.5" style="34" customWidth="1"/>
    <col min="7" max="7" width="10.5" style="34" customWidth="1"/>
    <col min="8" max="8" width="2.1640625" style="34" customWidth="1"/>
    <col min="9" max="9" width="17.1640625" style="34" customWidth="1"/>
    <col min="10" max="10" width="2.83203125" style="34" customWidth="1"/>
    <col min="11" max="11" width="59.1640625" style="34" customWidth="1"/>
    <col min="12" max="16384" width="10.83203125" style="34"/>
  </cols>
  <sheetData>
    <row r="2" spans="2:11" ht="17" thickBot="1"/>
    <row r="3" spans="2:11">
      <c r="B3" s="35"/>
      <c r="C3" s="36"/>
      <c r="D3" s="36"/>
      <c r="E3" s="36"/>
      <c r="F3" s="36"/>
      <c r="G3" s="36"/>
      <c r="H3" s="36"/>
      <c r="I3" s="36"/>
      <c r="J3" s="36"/>
      <c r="K3" s="36"/>
    </row>
    <row r="4" spans="2:11" s="11" customFormat="1">
      <c r="B4" s="16"/>
      <c r="C4" s="66" t="s">
        <v>37</v>
      </c>
      <c r="D4" s="66" t="s">
        <v>7</v>
      </c>
      <c r="E4" s="66" t="s">
        <v>32</v>
      </c>
      <c r="F4" s="66"/>
      <c r="G4" s="66" t="s">
        <v>38</v>
      </c>
      <c r="H4" s="66"/>
      <c r="I4" s="66" t="s">
        <v>51</v>
      </c>
      <c r="J4" s="66"/>
      <c r="K4" s="66" t="s">
        <v>39</v>
      </c>
    </row>
    <row r="5" spans="2:11" ht="18" customHeight="1">
      <c r="B5" s="37"/>
      <c r="C5" s="39"/>
      <c r="E5" s="38"/>
      <c r="F5" s="38"/>
      <c r="G5" s="38"/>
      <c r="K5" s="41"/>
    </row>
    <row r="6" spans="2:11" ht="18" customHeight="1" thickBot="1">
      <c r="B6" s="37"/>
      <c r="C6" s="10" t="s">
        <v>36</v>
      </c>
      <c r="D6" s="10"/>
      <c r="E6" s="9"/>
      <c r="F6" s="9"/>
      <c r="G6" s="9"/>
      <c r="K6" s="40"/>
    </row>
    <row r="7" spans="2:11" ht="17" thickBot="1">
      <c r="B7" s="37"/>
      <c r="C7" s="85" t="s">
        <v>54</v>
      </c>
      <c r="D7" s="86" t="s">
        <v>55</v>
      </c>
      <c r="E7" s="87">
        <f>I7</f>
        <v>2.5677050000000001</v>
      </c>
      <c r="F7" s="38"/>
      <c r="G7" s="77"/>
      <c r="I7" s="87">
        <f>Notes!E17</f>
        <v>2.5677050000000001</v>
      </c>
      <c r="K7" s="42"/>
    </row>
    <row r="8" spans="2:11">
      <c r="B8" s="37"/>
      <c r="C8" s="39"/>
      <c r="E8" s="38"/>
      <c r="F8" s="38"/>
      <c r="G8" s="38"/>
      <c r="K8" s="41"/>
    </row>
  </sheetData>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12"/>
  <sheetViews>
    <sheetView workbookViewId="0">
      <selection activeCell="D7" sqref="D7"/>
    </sheetView>
  </sheetViews>
  <sheetFormatPr baseColWidth="10" defaultColWidth="33.1640625" defaultRowHeight="16"/>
  <cols>
    <col min="1" max="1" width="3.1640625" style="67" customWidth="1"/>
    <col min="2" max="2" width="4" style="67" customWidth="1"/>
    <col min="3" max="3" width="47.33203125" style="67" customWidth="1"/>
    <col min="4" max="4" width="16.1640625" style="67" customWidth="1"/>
    <col min="5" max="5" width="10.1640625" style="67" customWidth="1"/>
    <col min="6" max="7" width="13.1640625" style="67" customWidth="1"/>
    <col min="8" max="8" width="12.5" style="68" customWidth="1"/>
    <col min="9" max="9" width="32.5" style="68" customWidth="1"/>
    <col min="10" max="10" width="98.5" style="67" customWidth="1"/>
    <col min="11" max="16384" width="33.1640625" style="67"/>
  </cols>
  <sheetData>
    <row r="1" spans="2:10" ht="17" thickBot="1"/>
    <row r="2" spans="2:10">
      <c r="B2" s="69"/>
      <c r="C2" s="70"/>
      <c r="D2" s="70"/>
      <c r="E2" s="70"/>
      <c r="F2" s="70"/>
      <c r="G2" s="70"/>
      <c r="H2" s="71"/>
      <c r="I2" s="71"/>
      <c r="J2" s="70"/>
    </row>
    <row r="3" spans="2:10">
      <c r="B3" s="72"/>
      <c r="C3" s="11" t="s">
        <v>14</v>
      </c>
      <c r="D3" s="11"/>
      <c r="E3" s="11"/>
      <c r="F3" s="11"/>
      <c r="G3" s="11"/>
      <c r="H3" s="73"/>
      <c r="I3" s="73"/>
    </row>
    <row r="4" spans="2:10">
      <c r="B4" s="72"/>
    </row>
    <row r="5" spans="2:10">
      <c r="B5" s="74"/>
      <c r="C5" s="59" t="s">
        <v>15</v>
      </c>
      <c r="D5" s="59" t="s">
        <v>0</v>
      </c>
      <c r="E5" s="59" t="s">
        <v>11</v>
      </c>
      <c r="F5" s="59" t="s">
        <v>16</v>
      </c>
      <c r="G5" s="59" t="s">
        <v>41</v>
      </c>
      <c r="H5" s="75" t="s">
        <v>17</v>
      </c>
      <c r="I5" s="75" t="s">
        <v>42</v>
      </c>
      <c r="J5" s="59" t="s">
        <v>8</v>
      </c>
    </row>
    <row r="6" spans="2:10">
      <c r="B6" s="72"/>
      <c r="C6" s="89" t="s">
        <v>45</v>
      </c>
      <c r="D6" s="111" t="s">
        <v>51</v>
      </c>
      <c r="E6" s="111" t="s">
        <v>67</v>
      </c>
      <c r="F6" s="67">
        <v>2024</v>
      </c>
      <c r="G6" s="67">
        <v>2024</v>
      </c>
      <c r="H6" s="67">
        <v>2026</v>
      </c>
      <c r="I6" s="82"/>
      <c r="J6" s="67" t="s">
        <v>68</v>
      </c>
    </row>
    <row r="7" spans="2:10">
      <c r="B7" s="72"/>
      <c r="C7" s="76" t="s">
        <v>2</v>
      </c>
      <c r="H7" s="67"/>
      <c r="I7" s="67"/>
    </row>
    <row r="9" spans="2:10" s="92" customFormat="1">
      <c r="B9" s="93"/>
      <c r="C9" s="94"/>
      <c r="H9" s="95"/>
      <c r="I9" s="95"/>
    </row>
    <row r="10" spans="2:10">
      <c r="C10" s="96" t="s">
        <v>59</v>
      </c>
      <c r="D10" s="96" t="s">
        <v>49</v>
      </c>
      <c r="E10" s="96" t="s">
        <v>5</v>
      </c>
      <c r="G10" s="67">
        <v>2015</v>
      </c>
      <c r="H10" s="99" t="s">
        <v>47</v>
      </c>
      <c r="J10" s="90" t="s">
        <v>62</v>
      </c>
    </row>
    <row r="11" spans="2:10">
      <c r="C11" s="96" t="s">
        <v>60</v>
      </c>
      <c r="D11" s="96" t="s">
        <v>49</v>
      </c>
      <c r="E11" s="96" t="s">
        <v>5</v>
      </c>
      <c r="G11" s="67">
        <v>2015</v>
      </c>
      <c r="H11" s="99" t="s">
        <v>47</v>
      </c>
      <c r="J11" s="90" t="s">
        <v>61</v>
      </c>
    </row>
    <row r="12" spans="2:10">
      <c r="C12" s="111" t="s">
        <v>71</v>
      </c>
      <c r="D12" s="96" t="s">
        <v>51</v>
      </c>
      <c r="E12" s="96" t="s">
        <v>5</v>
      </c>
      <c r="G12" s="67">
        <v>2014</v>
      </c>
      <c r="H12" s="99" t="s">
        <v>47</v>
      </c>
      <c r="I12" s="96" t="s">
        <v>52</v>
      </c>
      <c r="J12" s="96" t="s">
        <v>53</v>
      </c>
    </row>
  </sheetData>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AD83"/>
  <sheetViews>
    <sheetView zoomScale="125" workbookViewId="0">
      <selection activeCell="E17" sqref="E17"/>
    </sheetView>
  </sheetViews>
  <sheetFormatPr baseColWidth="10" defaultRowHeight="16"/>
  <cols>
    <col min="1" max="1" width="5.5" style="78" customWidth="1"/>
    <col min="2" max="2" width="4.5" style="78" customWidth="1"/>
    <col min="3" max="3" width="30.33203125" style="78" customWidth="1"/>
    <col min="4" max="4" width="27.5" style="78" customWidth="1"/>
    <col min="5" max="5" width="17.5" style="78" customWidth="1"/>
    <col min="6" max="9" width="10.83203125" style="78"/>
    <col min="10" max="10" width="71.33203125" style="78" customWidth="1"/>
    <col min="11" max="11" width="10.83203125" style="78"/>
    <col min="12" max="12" width="10" style="78" customWidth="1"/>
    <col min="13" max="16384" width="10.83203125" style="78"/>
  </cols>
  <sheetData>
    <row r="1" spans="2:30" ht="17" thickBot="1"/>
    <row r="2" spans="2:30">
      <c r="B2" s="79"/>
      <c r="C2" s="80"/>
      <c r="D2" s="80"/>
      <c r="E2" s="80"/>
      <c r="F2" s="80"/>
      <c r="G2" s="80"/>
      <c r="H2" s="80"/>
      <c r="I2" s="80"/>
      <c r="J2" s="80"/>
      <c r="K2" s="80"/>
      <c r="L2" s="80"/>
      <c r="M2" s="80"/>
      <c r="N2" s="80"/>
      <c r="O2" s="80"/>
      <c r="P2" s="80"/>
      <c r="Q2" s="80"/>
      <c r="R2" s="80"/>
      <c r="S2" s="80"/>
      <c r="T2" s="80"/>
      <c r="U2" s="80"/>
      <c r="V2" s="80"/>
      <c r="W2" s="80"/>
      <c r="X2" s="80"/>
      <c r="Y2" s="80"/>
      <c r="Z2" s="80"/>
      <c r="AA2" s="80"/>
      <c r="AB2" s="80"/>
      <c r="AC2" s="80"/>
      <c r="AD2" s="80"/>
    </row>
    <row r="3" spans="2:30" s="11" customFormat="1">
      <c r="B3" s="58"/>
      <c r="C3" s="59" t="s">
        <v>31</v>
      </c>
      <c r="D3" s="59" t="s">
        <v>40</v>
      </c>
      <c r="E3" s="59"/>
      <c r="F3" s="59"/>
      <c r="G3" s="59"/>
      <c r="H3" s="59"/>
      <c r="I3" s="59"/>
      <c r="J3" s="59"/>
      <c r="K3" s="59"/>
      <c r="L3" s="59"/>
    </row>
    <row r="4" spans="2:30">
      <c r="B4" s="81"/>
      <c r="E4" s="96" t="s">
        <v>45</v>
      </c>
      <c r="G4" s="96" t="s">
        <v>57</v>
      </c>
      <c r="I4" s="96" t="s">
        <v>63</v>
      </c>
    </row>
    <row r="5" spans="2:30">
      <c r="B5" s="81"/>
      <c r="C5" s="111" t="s">
        <v>72</v>
      </c>
      <c r="D5" s="96" t="s">
        <v>56</v>
      </c>
      <c r="E5" s="78">
        <v>0.2</v>
      </c>
      <c r="F5" s="96" t="s">
        <v>43</v>
      </c>
      <c r="G5" s="97">
        <v>2348</v>
      </c>
      <c r="H5" s="98" t="s">
        <v>58</v>
      </c>
      <c r="I5" s="98">
        <v>1.1000000000000001</v>
      </c>
      <c r="J5" s="100"/>
    </row>
    <row r="6" spans="2:30">
      <c r="B6" s="81"/>
      <c r="C6" s="96" t="s">
        <v>64</v>
      </c>
      <c r="D6" s="100" t="s">
        <v>66</v>
      </c>
      <c r="E6" s="78">
        <v>0.7</v>
      </c>
      <c r="F6" s="96" t="s">
        <v>43</v>
      </c>
      <c r="G6" s="97">
        <v>2127</v>
      </c>
      <c r="H6" s="98" t="s">
        <v>58</v>
      </c>
      <c r="I6" s="98">
        <v>1.1499999999999999</v>
      </c>
    </row>
    <row r="7" spans="2:30">
      <c r="B7" s="81"/>
      <c r="C7" s="96" t="s">
        <v>65</v>
      </c>
      <c r="G7" s="97"/>
      <c r="H7" s="101"/>
      <c r="I7" s="101"/>
    </row>
    <row r="8" spans="2:30">
      <c r="B8" s="81"/>
      <c r="D8" s="96"/>
      <c r="F8" s="96"/>
      <c r="H8" s="101"/>
      <c r="I8" s="101"/>
    </row>
    <row r="9" spans="2:30">
      <c r="B9" s="81"/>
    </row>
    <row r="10" spans="2:30">
      <c r="B10" s="81"/>
    </row>
    <row r="11" spans="2:30">
      <c r="B11" s="81"/>
      <c r="D11" s="111" t="s">
        <v>69</v>
      </c>
      <c r="E11" s="78">
        <f>AVERAGE(AVERAGE(E5)*G5,AVERAGE(E6)*G6)/AVERAGE(G5,G6)</f>
        <v>0.43765363128491619</v>
      </c>
      <c r="F11" s="84" t="s">
        <v>43</v>
      </c>
    </row>
    <row r="12" spans="2:30">
      <c r="B12" s="81"/>
      <c r="C12" s="84"/>
      <c r="E12" s="78">
        <f>1/E11</f>
        <v>2.284911922389584</v>
      </c>
      <c r="F12" s="84" t="s">
        <v>44</v>
      </c>
    </row>
    <row r="13" spans="2:30">
      <c r="B13" s="81"/>
    </row>
    <row r="14" spans="2:30">
      <c r="B14" s="81"/>
      <c r="D14" s="111" t="s">
        <v>70</v>
      </c>
      <c r="E14" s="78">
        <f>AVERAGE(AVERAGE(I5)*G5,AVERAGE(I6)*G6)/AVERAGE(G5, G6)</f>
        <v>1.1237653631284916</v>
      </c>
      <c r="F14" s="96" t="s">
        <v>63</v>
      </c>
    </row>
    <row r="15" spans="2:30">
      <c r="B15" s="81"/>
    </row>
    <row r="16" spans="2:30">
      <c r="B16" s="81"/>
    </row>
    <row r="17" spans="2:10">
      <c r="B17" s="81"/>
      <c r="D17" s="91" t="str">
        <f>Dashboard!C11</f>
        <v>output.passenger_kms</v>
      </c>
      <c r="E17" s="91">
        <f>ROUND(E12*E14,6)</f>
        <v>2.5677050000000001</v>
      </c>
      <c r="F17" s="91" t="s">
        <v>50</v>
      </c>
      <c r="G17" s="91"/>
    </row>
    <row r="18" spans="2:10">
      <c r="B18" s="81"/>
    </row>
    <row r="19" spans="2:10">
      <c r="B19" s="81"/>
    </row>
    <row r="20" spans="2:10">
      <c r="B20" s="81"/>
    </row>
    <row r="21" spans="2:10">
      <c r="B21" s="81"/>
    </row>
    <row r="22" spans="2:10">
      <c r="B22" s="81"/>
    </row>
    <row r="23" spans="2:10" ht="306" customHeight="1">
      <c r="B23" s="81"/>
    </row>
    <row r="24" spans="2:10">
      <c r="B24" s="81"/>
      <c r="C24" s="90"/>
      <c r="D24" s="90"/>
      <c r="E24" s="90"/>
      <c r="F24" s="90"/>
      <c r="G24" s="90"/>
      <c r="H24" s="90"/>
      <c r="I24" s="90"/>
      <c r="J24" s="111"/>
    </row>
    <row r="25" spans="2:10" s="90" customFormat="1">
      <c r="B25" s="81"/>
      <c r="J25" s="91"/>
    </row>
    <row r="26" spans="2:10" s="90" customFormat="1">
      <c r="B26" s="81"/>
      <c r="J26" s="91"/>
    </row>
    <row r="27" spans="2:10" s="90" customFormat="1">
      <c r="B27" s="81"/>
      <c r="J27" s="91"/>
    </row>
    <row r="28" spans="2:10" s="90" customFormat="1">
      <c r="B28" s="81"/>
      <c r="J28" s="91"/>
    </row>
    <row r="29" spans="2:10" s="90" customFormat="1">
      <c r="B29" s="81"/>
      <c r="J29" s="91"/>
    </row>
    <row r="30" spans="2:10" s="90" customFormat="1">
      <c r="B30" s="81"/>
      <c r="J30" s="91"/>
    </row>
    <row r="31" spans="2:10" s="90" customFormat="1">
      <c r="B31" s="81"/>
      <c r="J31" s="91"/>
    </row>
    <row r="32" spans="2:10" s="90" customFormat="1">
      <c r="B32" s="81"/>
      <c r="J32" s="91"/>
    </row>
    <row r="33" spans="2:10" s="90" customFormat="1">
      <c r="B33" s="81"/>
      <c r="J33" s="91"/>
    </row>
    <row r="34" spans="2:10" s="90" customFormat="1">
      <c r="B34" s="81"/>
      <c r="J34" s="91"/>
    </row>
    <row r="35" spans="2:10" s="90" customFormat="1">
      <c r="B35" s="81"/>
      <c r="C35" s="91"/>
      <c r="D35" s="91"/>
      <c r="E35" s="91"/>
      <c r="F35" s="91"/>
      <c r="G35" s="91"/>
      <c r="J35" s="91"/>
    </row>
    <row r="36" spans="2:10" s="90" customFormat="1">
      <c r="B36" s="81"/>
      <c r="C36" s="91"/>
      <c r="D36" s="91"/>
      <c r="E36" s="91"/>
      <c r="F36" s="91"/>
      <c r="G36" s="91"/>
      <c r="J36" s="91"/>
    </row>
    <row r="37" spans="2:10" s="90" customFormat="1">
      <c r="B37" s="81"/>
      <c r="C37" s="91"/>
      <c r="D37" s="91"/>
      <c r="E37" s="91"/>
      <c r="F37" s="91"/>
      <c r="G37" s="91"/>
      <c r="J37" s="91"/>
    </row>
    <row r="38" spans="2:10" s="90" customFormat="1">
      <c r="B38" s="81"/>
    </row>
    <row r="39" spans="2:10" s="90" customFormat="1">
      <c r="B39" s="81"/>
    </row>
    <row r="40" spans="2:10" s="90" customFormat="1">
      <c r="B40" s="81"/>
    </row>
    <row r="41" spans="2:10" s="90" customFormat="1">
      <c r="B41" s="81"/>
    </row>
    <row r="42" spans="2:10" s="90" customFormat="1">
      <c r="B42" s="81"/>
    </row>
    <row r="43" spans="2:10" s="90" customFormat="1">
      <c r="B43" s="81"/>
    </row>
    <row r="44" spans="2:10" s="90" customFormat="1">
      <c r="B44" s="81"/>
    </row>
    <row r="45" spans="2:10" s="90" customFormat="1">
      <c r="B45" s="81"/>
    </row>
    <row r="46" spans="2:10" s="90" customFormat="1">
      <c r="B46" s="81"/>
    </row>
    <row r="47" spans="2:10" s="90" customFormat="1">
      <c r="B47" s="81"/>
    </row>
    <row r="48" spans="2:10" s="90" customFormat="1">
      <c r="B48" s="81"/>
    </row>
    <row r="49" spans="2:2" s="90" customFormat="1">
      <c r="B49" s="81"/>
    </row>
    <row r="50" spans="2:2" s="90" customFormat="1">
      <c r="B50" s="81"/>
    </row>
    <row r="51" spans="2:2" s="90" customFormat="1">
      <c r="B51" s="81"/>
    </row>
    <row r="52" spans="2:2" s="90" customFormat="1">
      <c r="B52" s="81"/>
    </row>
    <row r="53" spans="2:2" s="90" customFormat="1">
      <c r="B53" s="81"/>
    </row>
    <row r="54" spans="2:2" s="90" customFormat="1">
      <c r="B54" s="81"/>
    </row>
    <row r="55" spans="2:2" s="90" customFormat="1">
      <c r="B55" s="81"/>
    </row>
    <row r="56" spans="2:2" s="90" customFormat="1">
      <c r="B56" s="81"/>
    </row>
    <row r="57" spans="2:2" s="90" customFormat="1">
      <c r="B57" s="81"/>
    </row>
    <row r="58" spans="2:2" s="90" customFormat="1">
      <c r="B58" s="81"/>
    </row>
    <row r="59" spans="2:2" s="90" customFormat="1">
      <c r="B59" s="81"/>
    </row>
    <row r="60" spans="2:2">
      <c r="B60" s="81"/>
    </row>
    <row r="61" spans="2:2">
      <c r="B61" s="81"/>
    </row>
    <row r="62" spans="2:2">
      <c r="B62" s="81"/>
    </row>
    <row r="63" spans="2:2">
      <c r="B63" s="81"/>
    </row>
    <row r="64" spans="2:2">
      <c r="B64" s="81"/>
    </row>
    <row r="65" spans="2:2">
      <c r="B65" s="81"/>
    </row>
    <row r="66" spans="2:2">
      <c r="B66" s="81"/>
    </row>
    <row r="67" spans="2:2">
      <c r="B67" s="81"/>
    </row>
    <row r="68" spans="2:2">
      <c r="B68" s="81"/>
    </row>
    <row r="69" spans="2:2">
      <c r="B69" s="81"/>
    </row>
    <row r="70" spans="2:2">
      <c r="B70" s="81"/>
    </row>
    <row r="71" spans="2:2">
      <c r="B71" s="81"/>
    </row>
    <row r="72" spans="2:2">
      <c r="B72" s="81"/>
    </row>
    <row r="73" spans="2:2">
      <c r="B73" s="81"/>
    </row>
    <row r="74" spans="2:2">
      <c r="B74" s="81"/>
    </row>
    <row r="75" spans="2:2">
      <c r="B75" s="81"/>
    </row>
    <row r="76" spans="2:2">
      <c r="B76" s="81"/>
    </row>
    <row r="77" spans="2:2">
      <c r="B77" s="81"/>
    </row>
    <row r="78" spans="2:2">
      <c r="B78" s="81"/>
    </row>
    <row r="79" spans="2:2">
      <c r="B79" s="81"/>
    </row>
    <row r="80" spans="2:2">
      <c r="B80" s="81"/>
    </row>
    <row r="81" spans="2:2">
      <c r="B81" s="81"/>
    </row>
    <row r="82" spans="2:2">
      <c r="B82" s="81"/>
    </row>
    <row r="83" spans="2:2">
      <c r="B83" s="81"/>
    </row>
  </sheetData>
  <mergeCells count="2">
    <mergeCell ref="H7:H8"/>
    <mergeCell ref="I7:I8"/>
  </mergeCells>
  <pageMargins left="0.75" right="0.75" top="1" bottom="1" header="0.5" footer="0.5"/>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Dashboard</vt:lpstr>
      <vt:lpstr>Research data</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Robin de Smit</cp:lastModifiedBy>
  <dcterms:created xsi:type="dcterms:W3CDTF">2011-10-26T09:05:09Z</dcterms:created>
  <dcterms:modified xsi:type="dcterms:W3CDTF">2026-08-14T11:18:06Z</dcterms:modified>
</cp:coreProperties>
</file>