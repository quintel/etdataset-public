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24"/>
  <workbookPr showInkAnnotation="0" codeName="ThisWorkbook" autoCompressPictures="0"/>
  <mc:AlternateContent xmlns:mc="http://schemas.openxmlformats.org/markup-compatibility/2006">
    <mc:Choice Requires="x15">
      <x15ac:absPath xmlns:x15ac="http://schemas.microsoft.com/office/spreadsheetml/2010/11/ac" url="/Users/kyradehaan/github/etdataset/nodes_source_analyses/energy/transport/"/>
    </mc:Choice>
  </mc:AlternateContent>
  <xr:revisionPtr revIDLastSave="0" documentId="13_ncr:1_{5CCE9291-DDC3-3742-B853-CE0373AB2E52}" xr6:coauthVersionLast="47" xr6:coauthVersionMax="47" xr10:uidLastSave="{00000000-0000-0000-0000-000000000000}"/>
  <bookViews>
    <workbookView xWindow="0" yWindow="460" windowWidth="19300" windowHeight="16240" tabRatio="762" xr2:uid="{00000000-000D-0000-FFFF-FFFF00000000}"/>
  </bookViews>
  <sheets>
    <sheet name="Cover sheet" sheetId="14" r:id="rId1"/>
    <sheet name="Dashboard" sheetId="12" r:id="rId2"/>
    <sheet name="Research data" sheetId="13" r:id="rId3"/>
    <sheet name="Sources" sheetId="15" r:id="rId4"/>
    <sheet name="Notes" sheetId="20" r:id="rId5"/>
  </sheets>
  <externalReferences>
    <externalReference r:id="rId6"/>
  </externalReferences>
  <definedNames>
    <definedName name="exchange_rate_2011_2010">#REF!</definedName>
    <definedName name="Final_demand_residences">'[1]Fuel aggregation'!$L$11</definedName>
    <definedName name="hours_a_year">#REF!</definedName>
    <definedName name="km2_to_m2">#REF!</definedName>
    <definedName name="kW_to_MW">#REF!</definedName>
    <definedName name="kW_to_W">#REF!</definedName>
    <definedName name="kWp_to_MWp">#REF!</definedName>
    <definedName name="m2_to_km2">#REF!</definedName>
    <definedName name="STC">#REF!</definedName>
    <definedName name="STC_insolation">#REF!</definedName>
    <definedName name="W_to_MW">#REF!</definedName>
    <definedName name="Wp_to_kWp">#REF!</definedName>
    <definedName name="WP_to_MWp">#REF!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32" i="20" l="1"/>
  <c r="E40" i="20"/>
  <c r="E44" i="20"/>
  <c r="E48" i="20" s="1"/>
  <c r="E41" i="20"/>
  <c r="E45" i="20"/>
  <c r="E42" i="20"/>
  <c r="E46" i="20"/>
  <c r="E49" i="20"/>
  <c r="E164" i="20"/>
  <c r="E165" i="20"/>
  <c r="E163" i="20"/>
  <c r="E167" i="20"/>
  <c r="E171" i="20" s="1"/>
  <c r="D171" i="20"/>
  <c r="E51" i="20" l="1"/>
  <c r="E52" i="20" l="1"/>
  <c r="E56" i="20" s="1"/>
  <c r="E60" i="20" s="1"/>
  <c r="E53" i="20"/>
  <c r="E57" i="20" s="1"/>
  <c r="E61" i="20" s="1"/>
  <c r="E55" i="20"/>
  <c r="E59" i="20" s="1"/>
  <c r="K7" i="13" s="1"/>
  <c r="H7" i="13" s="1"/>
  <c r="E11" i="12" s="1"/>
</calcChain>
</file>

<file path=xl/sharedStrings.xml><?xml version="1.0" encoding="utf-8"?>
<sst xmlns="http://schemas.openxmlformats.org/spreadsheetml/2006/main" count="116" uniqueCount="77">
  <si>
    <t>Source</t>
  </si>
  <si>
    <t>Value</t>
  </si>
  <si>
    <t>Definition</t>
  </si>
  <si>
    <t>Unit</t>
  </si>
  <si>
    <t>Link</t>
  </si>
  <si>
    <t>Cover Sheet</t>
  </si>
  <si>
    <t>Document</t>
  </si>
  <si>
    <t>Country</t>
  </si>
  <si>
    <t>Organization</t>
  </si>
  <si>
    <t>Quintel Intelligence</t>
  </si>
  <si>
    <t>Definition on the sources</t>
  </si>
  <si>
    <t>Type</t>
  </si>
  <si>
    <t>Date published</t>
  </si>
  <si>
    <t>Date retrieved</t>
  </si>
  <si>
    <t>Attribute</t>
  </si>
  <si>
    <t>Sourcse</t>
  </si>
  <si>
    <t>Notes</t>
  </si>
  <si>
    <t>Results</t>
  </si>
  <si>
    <t>Parameters</t>
  </si>
  <si>
    <t>Technical</t>
  </si>
  <si>
    <t>Author</t>
  </si>
  <si>
    <t>Legend</t>
  </si>
  <si>
    <t>Cells</t>
  </si>
  <si>
    <t>Intermediate (calculation)</t>
  </si>
  <si>
    <t>Result</t>
  </si>
  <si>
    <t>Manual input</t>
  </si>
  <si>
    <t>Reference to manual input or data input</t>
  </si>
  <si>
    <t>Tabs</t>
  </si>
  <si>
    <t>Introductory</t>
  </si>
  <si>
    <t>Dashboard</t>
  </si>
  <si>
    <t>Research data</t>
  </si>
  <si>
    <t>Sources</t>
  </si>
  <si>
    <t>Main calculations</t>
  </si>
  <si>
    <t>Additional calculations</t>
  </si>
  <si>
    <t>Output to csv</t>
  </si>
  <si>
    <t>Comments</t>
  </si>
  <si>
    <t>Subject year</t>
  </si>
  <si>
    <t>ETM Library URL</t>
  </si>
  <si>
    <t>km/MJ</t>
  </si>
  <si>
    <t>Efficiency</t>
  </si>
  <si>
    <t>MJ/km</t>
  </si>
  <si>
    <t xml:space="preserve">This sheet summarizes all node attributes formatted in the way they are used by the Energy Transition Model. Use the Excel formulas to find the original data and sources for these numbers. You can also use this document to update the attribute value. Once you have finished updating, save this document and run rake import:node NODE="nodename" to update the node attributes on ETSource. 
</t>
  </si>
  <si>
    <t>CBS</t>
  </si>
  <si>
    <t>vehicle km</t>
  </si>
  <si>
    <t>mln vehicle km</t>
  </si>
  <si>
    <t>passenger km</t>
  </si>
  <si>
    <t>mld passenger km</t>
  </si>
  <si>
    <t>passenger km/vehicle km</t>
  </si>
  <si>
    <t>passenger km/MJ</t>
  </si>
  <si>
    <t>output.passenger_kms</t>
  </si>
  <si>
    <t>pkm/MJ</t>
  </si>
  <si>
    <t>CE Delft</t>
  </si>
  <si>
    <t>pkm/vkm</t>
  </si>
  <si>
    <t>Aircraft compare</t>
  </si>
  <si>
    <t>km/litre kerosene</t>
  </si>
  <si>
    <t>Efficiency pkm/vkm</t>
  </si>
  <si>
    <t>http://www.ce.nl/publicatie/stream_personenvervoer_2014/1478</t>
  </si>
  <si>
    <t>https://refman.energytransitionmodel.com/publications/2072</t>
  </si>
  <si>
    <t>Embraer km per liter kerosene</t>
  </si>
  <si>
    <t>https://www.aircraftcompare.com/helicopter-airplane/Embraer-190/116</t>
  </si>
  <si>
    <t>EU</t>
  </si>
  <si>
    <t>World</t>
  </si>
  <si>
    <t>Kerosene</t>
  </si>
  <si>
    <t>Gasoline</t>
  </si>
  <si>
    <t>Bio-ethanol</t>
  </si>
  <si>
    <t>MJ/kg</t>
  </si>
  <si>
    <t>ETSource</t>
  </si>
  <si>
    <t>kg/l</t>
  </si>
  <si>
    <t>MJ/l</t>
  </si>
  <si>
    <t>l/km</t>
  </si>
  <si>
    <t>Efficiency kerosene/gasoline</t>
  </si>
  <si>
    <t>Efficiency kerosene/ethanol</t>
  </si>
  <si>
    <t>Using relative efficiencies of gasoline and bio-ethanol MJ/l compared to kerosene MJ/l to calculate MJ/km for gasoline and bio-ethanol</t>
  </si>
  <si>
    <t>CE Delft / Aircraft Compare</t>
  </si>
  <si>
    <t>CE Delft/Aircraft specs</t>
  </si>
  <si>
    <t>transport_plane_using_kerosene_mix</t>
  </si>
  <si>
    <t>Kyra de Haan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</si>
</sst>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0000"/>
  </numFmts>
  <fonts count="25">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sz val="12"/>
      <name val="Calibri"/>
      <family val="2"/>
      <scheme val="minor"/>
    </font>
    <font>
      <b/>
      <sz val="12"/>
      <name val="Calibri"/>
      <family val="2"/>
      <scheme val="minor"/>
    </font>
    <font>
      <sz val="12"/>
      <color rgb="FF000000"/>
      <name val="Calibri"/>
      <family val="2"/>
    </font>
    <font>
      <i/>
      <sz val="12"/>
      <color theme="1"/>
      <name val="Calibri"/>
      <family val="2"/>
      <scheme val="minor"/>
    </font>
    <font>
      <sz val="12"/>
      <name val="Calibri"/>
      <family val="2"/>
    </font>
  </fonts>
  <fills count="13">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rgb="FFFFFFFF"/>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s>
  <borders count="21">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
      <left style="thick">
        <color auto="1"/>
      </left>
      <right style="thick">
        <color auto="1"/>
      </right>
      <top style="thick">
        <color auto="1"/>
      </top>
      <bottom style="thick">
        <color auto="1"/>
      </bottom>
      <diagonal/>
    </border>
  </borders>
  <cellStyleXfs count="252">
    <xf numFmtId="0" fontId="0" fillId="0" borderId="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cellStyleXfs>
  <cellXfs count="120">
    <xf numFmtId="0" fontId="0" fillId="0" borderId="0" xfId="0"/>
    <xf numFmtId="0" fontId="16" fillId="3" borderId="7" xfId="0" applyFont="1" applyFill="1" applyBorder="1"/>
    <xf numFmtId="0" fontId="17" fillId="3" borderId="17" xfId="0" applyFont="1" applyFill="1" applyBorder="1"/>
    <xf numFmtId="0" fontId="16" fillId="3" borderId="13" xfId="0" applyFont="1" applyFill="1" applyBorder="1"/>
    <xf numFmtId="0" fontId="18" fillId="3" borderId="7" xfId="0" applyFont="1" applyFill="1" applyBorder="1" applyAlignment="1">
      <alignment vertical="center"/>
    </xf>
    <xf numFmtId="49" fontId="16" fillId="2" borderId="8" xfId="0" applyNumberFormat="1" applyFont="1" applyFill="1" applyBorder="1" applyAlignment="1">
      <alignment horizontal="left"/>
    </xf>
    <xf numFmtId="0" fontId="18" fillId="3" borderId="1" xfId="0" applyFont="1" applyFill="1" applyBorder="1" applyAlignment="1">
      <alignment vertical="center"/>
    </xf>
    <xf numFmtId="0" fontId="16" fillId="3" borderId="14" xfId="0" applyFont="1" applyFill="1" applyBorder="1"/>
    <xf numFmtId="0" fontId="16" fillId="3" borderId="0" xfId="0" applyFont="1" applyFill="1"/>
    <xf numFmtId="0" fontId="15" fillId="2" borderId="0" xfId="0" applyFont="1" applyFill="1" applyAlignment="1">
      <alignment vertical="center"/>
    </xf>
    <xf numFmtId="1" fontId="15" fillId="2" borderId="0" xfId="0" applyNumberFormat="1" applyFont="1" applyFill="1" applyAlignment="1">
      <alignment horizontal="right" vertical="center"/>
    </xf>
    <xf numFmtId="0" fontId="15" fillId="0" borderId="0" xfId="0" applyFont="1" applyAlignment="1">
      <alignment horizontal="left" vertical="center"/>
    </xf>
    <xf numFmtId="0" fontId="15" fillId="2" borderId="0" xfId="0" applyFont="1" applyFill="1"/>
    <xf numFmtId="0" fontId="15" fillId="2" borderId="5" xfId="0" applyFont="1" applyFill="1" applyBorder="1"/>
    <xf numFmtId="0" fontId="15" fillId="2" borderId="9" xfId="0" applyFont="1" applyFill="1" applyBorder="1"/>
    <xf numFmtId="0" fontId="15" fillId="0" borderId="9" xfId="0" applyFont="1" applyBorder="1"/>
    <xf numFmtId="0" fontId="17" fillId="0" borderId="9" xfId="0" applyFont="1" applyBorder="1"/>
    <xf numFmtId="49" fontId="15" fillId="2" borderId="0" xfId="0" applyNumberFormat="1" applyFont="1" applyFill="1"/>
    <xf numFmtId="49" fontId="15" fillId="2" borderId="9" xfId="0" applyNumberFormat="1" applyFont="1" applyFill="1" applyBorder="1"/>
    <xf numFmtId="0" fontId="15" fillId="2" borderId="4" xfId="0" applyFont="1" applyFill="1" applyBorder="1"/>
    <xf numFmtId="0" fontId="12" fillId="2" borderId="0" xfId="0" applyFont="1" applyFill="1"/>
    <xf numFmtId="0" fontId="16" fillId="0" borderId="0" xfId="0" applyFont="1"/>
    <xf numFmtId="0" fontId="15" fillId="0" borderId="16" xfId="0" applyFont="1" applyBorder="1"/>
    <xf numFmtId="0" fontId="15" fillId="2" borderId="6" xfId="0" applyFont="1" applyFill="1" applyBorder="1"/>
    <xf numFmtId="0" fontId="16" fillId="3" borderId="17" xfId="0" applyFont="1" applyFill="1" applyBorder="1"/>
    <xf numFmtId="0" fontId="16" fillId="3" borderId="2" xfId="0" applyFont="1" applyFill="1" applyBorder="1"/>
    <xf numFmtId="0" fontId="12" fillId="2" borderId="2" xfId="0" applyFont="1" applyFill="1" applyBorder="1"/>
    <xf numFmtId="0" fontId="19" fillId="3" borderId="0" xfId="0" applyFont="1" applyFill="1"/>
    <xf numFmtId="0" fontId="12" fillId="2" borderId="7" xfId="0" applyFont="1" applyFill="1" applyBorder="1"/>
    <xf numFmtId="0" fontId="15" fillId="0" borderId="0" xfId="0" applyFont="1"/>
    <xf numFmtId="0" fontId="17" fillId="3" borderId="0" xfId="0" applyFont="1" applyFill="1"/>
    <xf numFmtId="0" fontId="15" fillId="2" borderId="0" xfId="0" applyFont="1" applyFill="1" applyAlignment="1">
      <alignment horizontal="left" vertical="center"/>
    </xf>
    <xf numFmtId="0" fontId="11" fillId="2" borderId="0" xfId="0" applyFont="1" applyFill="1"/>
    <xf numFmtId="0" fontId="11" fillId="2" borderId="3" xfId="0" applyFont="1" applyFill="1" applyBorder="1"/>
    <xf numFmtId="0" fontId="11" fillId="2" borderId="15" xfId="0" applyFont="1" applyFill="1" applyBorder="1"/>
    <xf numFmtId="0" fontId="11" fillId="0" borderId="0" xfId="0" applyFont="1"/>
    <xf numFmtId="0" fontId="11" fillId="2" borderId="6" xfId="0" applyFont="1" applyFill="1" applyBorder="1"/>
    <xf numFmtId="0" fontId="11" fillId="2" borderId="10" xfId="0" applyFont="1" applyFill="1" applyBorder="1"/>
    <xf numFmtId="0" fontId="11" fillId="2" borderId="11" xfId="0" applyFont="1" applyFill="1" applyBorder="1"/>
    <xf numFmtId="0" fontId="11" fillId="2" borderId="12" xfId="0" applyFont="1" applyFill="1" applyBorder="1"/>
    <xf numFmtId="0" fontId="10" fillId="2" borderId="0" xfId="0" applyFont="1" applyFill="1"/>
    <xf numFmtId="0" fontId="10" fillId="2" borderId="3" xfId="0" applyFont="1" applyFill="1" applyBorder="1"/>
    <xf numFmtId="0" fontId="10" fillId="2" borderId="4" xfId="0" applyFont="1" applyFill="1" applyBorder="1"/>
    <xf numFmtId="0" fontId="10" fillId="2" borderId="6" xfId="0" applyFont="1" applyFill="1" applyBorder="1"/>
    <xf numFmtId="165" fontId="10" fillId="0" borderId="0" xfId="0" applyNumberFormat="1" applyFont="1" applyAlignment="1">
      <alignment vertical="center"/>
    </xf>
    <xf numFmtId="2" fontId="10" fillId="2" borderId="0" xfId="0" applyNumberFormat="1" applyFont="1" applyFill="1" applyAlignment="1">
      <alignment horizontal="right" vertical="center"/>
    </xf>
    <xf numFmtId="10" fontId="10" fillId="2" borderId="0" xfId="0" applyNumberFormat="1" applyFont="1" applyFill="1" applyAlignment="1">
      <alignment horizontal="left" vertical="center" indent="2"/>
    </xf>
    <xf numFmtId="0" fontId="10" fillId="0" borderId="0" xfId="0" applyFont="1" applyAlignment="1">
      <alignment horizontal="left" vertical="center" indent="2"/>
    </xf>
    <xf numFmtId="0" fontId="9" fillId="0" borderId="0" xfId="0" applyFont="1"/>
    <xf numFmtId="1" fontId="10" fillId="2" borderId="0" xfId="0" applyNumberFormat="1" applyFont="1" applyFill="1" applyAlignment="1">
      <alignment horizontal="right" vertical="center"/>
    </xf>
    <xf numFmtId="0" fontId="8" fillId="0" borderId="0" xfId="0" applyFont="1"/>
    <xf numFmtId="0" fontId="7" fillId="0" borderId="0" xfId="0" applyFont="1"/>
    <xf numFmtId="0" fontId="6" fillId="0" borderId="0" xfId="0" applyFont="1"/>
    <xf numFmtId="0" fontId="6" fillId="2" borderId="0" xfId="0" applyFont="1" applyFill="1"/>
    <xf numFmtId="0" fontId="6" fillId="2" borderId="3" xfId="0" applyFont="1" applyFill="1" applyBorder="1"/>
    <xf numFmtId="0" fontId="6" fillId="2" borderId="4" xfId="0" applyFont="1" applyFill="1" applyBorder="1"/>
    <xf numFmtId="0" fontId="6" fillId="2" borderId="6" xfId="0" applyFont="1" applyFill="1" applyBorder="1"/>
    <xf numFmtId="49" fontId="6" fillId="2" borderId="0" xfId="0" applyNumberFormat="1" applyFont="1" applyFill="1"/>
    <xf numFmtId="49" fontId="6" fillId="2" borderId="4" xfId="0" applyNumberFormat="1" applyFont="1" applyFill="1" applyBorder="1"/>
    <xf numFmtId="0" fontId="6" fillId="2" borderId="16" xfId="0" applyFont="1" applyFill="1" applyBorder="1"/>
    <xf numFmtId="0" fontId="20" fillId="2" borderId="0" xfId="0" applyFont="1" applyFill="1"/>
    <xf numFmtId="0" fontId="20" fillId="2" borderId="3" xfId="0" applyFont="1" applyFill="1" applyBorder="1"/>
    <xf numFmtId="0" fontId="20" fillId="2" borderId="4" xfId="0" applyFont="1" applyFill="1" applyBorder="1"/>
    <xf numFmtId="0" fontId="20" fillId="2" borderId="15" xfId="0" applyFont="1" applyFill="1" applyBorder="1"/>
    <xf numFmtId="0" fontId="21" fillId="2" borderId="0" xfId="0" applyFont="1" applyFill="1"/>
    <xf numFmtId="0" fontId="20" fillId="2" borderId="9" xfId="0" applyFont="1" applyFill="1" applyBorder="1"/>
    <xf numFmtId="0" fontId="20" fillId="2" borderId="5" xfId="0" applyFont="1" applyFill="1" applyBorder="1"/>
    <xf numFmtId="0" fontId="20" fillId="2" borderId="6" xfId="0" applyFont="1" applyFill="1" applyBorder="1"/>
    <xf numFmtId="0" fontId="15" fillId="2" borderId="9" xfId="0" applyFont="1" applyFill="1" applyBorder="1" applyAlignment="1">
      <alignment vertical="center"/>
    </xf>
    <xf numFmtId="165" fontId="10" fillId="2" borderId="0" xfId="0" applyNumberFormat="1" applyFont="1" applyFill="1" applyAlignment="1">
      <alignment vertical="center"/>
    </xf>
    <xf numFmtId="0" fontId="15" fillId="2" borderId="19" xfId="0" applyFont="1" applyFill="1" applyBorder="1"/>
    <xf numFmtId="0" fontId="11" fillId="2" borderId="5" xfId="0" applyFont="1" applyFill="1" applyBorder="1"/>
    <xf numFmtId="0" fontId="16" fillId="2" borderId="0" xfId="0" applyFont="1" applyFill="1"/>
    <xf numFmtId="164" fontId="20" fillId="2" borderId="0" xfId="0" applyNumberFormat="1" applyFont="1" applyFill="1"/>
    <xf numFmtId="0" fontId="22" fillId="4" borderId="0" xfId="0" applyFont="1" applyFill="1" applyAlignment="1">
      <alignment horizontal="left" vertical="top" wrapText="1"/>
    </xf>
    <xf numFmtId="0" fontId="15" fillId="2" borderId="17" xfId="0" applyFont="1" applyFill="1" applyBorder="1"/>
    <xf numFmtId="0" fontId="5" fillId="2" borderId="2" xfId="0" applyFont="1" applyFill="1" applyBorder="1"/>
    <xf numFmtId="0" fontId="15" fillId="2" borderId="7" xfId="0" applyFont="1" applyFill="1" applyBorder="1"/>
    <xf numFmtId="0" fontId="5" fillId="2" borderId="0" xfId="0" applyFont="1" applyFill="1"/>
    <xf numFmtId="0" fontId="23" fillId="2" borderId="0" xfId="0" applyFont="1" applyFill="1"/>
    <xf numFmtId="0" fontId="5" fillId="2" borderId="18" xfId="0" applyFont="1" applyFill="1" applyBorder="1"/>
    <xf numFmtId="0" fontId="5" fillId="5" borderId="0" xfId="0" applyFont="1" applyFill="1"/>
    <xf numFmtId="0" fontId="5" fillId="6" borderId="0" xfId="0" applyFont="1" applyFill="1"/>
    <xf numFmtId="0" fontId="5" fillId="7" borderId="0" xfId="0" applyFont="1" applyFill="1"/>
    <xf numFmtId="0" fontId="5" fillId="8" borderId="0" xfId="0" applyFont="1" applyFill="1"/>
    <xf numFmtId="0" fontId="5" fillId="2" borderId="7" xfId="0" applyFont="1" applyFill="1" applyBorder="1"/>
    <xf numFmtId="0" fontId="5" fillId="9" borderId="0" xfId="0" applyFont="1" applyFill="1"/>
    <xf numFmtId="0" fontId="5" fillId="10" borderId="0" xfId="0" applyFont="1" applyFill="1"/>
    <xf numFmtId="0" fontId="5" fillId="11" borderId="0" xfId="0" applyFont="1" applyFill="1"/>
    <xf numFmtId="0" fontId="5" fillId="12" borderId="0" xfId="0" applyFont="1" applyFill="1"/>
    <xf numFmtId="0" fontId="21" fillId="2" borderId="9" xfId="0" applyFont="1" applyFill="1" applyBorder="1"/>
    <xf numFmtId="0" fontId="20" fillId="2" borderId="19" xfId="0" applyFont="1" applyFill="1" applyBorder="1"/>
    <xf numFmtId="0" fontId="21" fillId="2" borderId="16" xfId="0" applyFont="1" applyFill="1" applyBorder="1"/>
    <xf numFmtId="0" fontId="4" fillId="0" borderId="0" xfId="0" applyFont="1"/>
    <xf numFmtId="0" fontId="24" fillId="4" borderId="0" xfId="0" applyFont="1" applyFill="1"/>
    <xf numFmtId="0" fontId="24" fillId="4" borderId="6" xfId="0" applyFont="1" applyFill="1" applyBorder="1"/>
    <xf numFmtId="165" fontId="10" fillId="2" borderId="18" xfId="0" applyNumberFormat="1" applyFont="1" applyFill="1" applyBorder="1" applyAlignment="1">
      <alignment horizontal="right" vertical="center"/>
    </xf>
    <xf numFmtId="0" fontId="24" fillId="0" borderId="0" xfId="0" applyFont="1" applyAlignment="1">
      <alignment vertical="top"/>
    </xf>
    <xf numFmtId="14" fontId="24" fillId="4" borderId="0" xfId="0" applyNumberFormat="1" applyFont="1" applyFill="1"/>
    <xf numFmtId="0" fontId="3" fillId="0" borderId="0" xfId="0" applyFont="1"/>
    <xf numFmtId="166" fontId="11" fillId="2" borderId="18" xfId="0" applyNumberFormat="1" applyFont="1" applyFill="1" applyBorder="1"/>
    <xf numFmtId="0" fontId="2" fillId="2" borderId="0" xfId="0" applyFont="1" applyFill="1"/>
    <xf numFmtId="49" fontId="2" fillId="2" borderId="0" xfId="0" applyNumberFormat="1" applyFont="1" applyFill="1"/>
    <xf numFmtId="0" fontId="0" fillId="0" borderId="18" xfId="0" applyBorder="1"/>
    <xf numFmtId="0" fontId="20" fillId="2" borderId="18" xfId="0" applyFont="1" applyFill="1" applyBorder="1"/>
    <xf numFmtId="165" fontId="20" fillId="2" borderId="0" xfId="0" applyNumberFormat="1" applyFont="1" applyFill="1"/>
    <xf numFmtId="0" fontId="2" fillId="0" borderId="0" xfId="0" applyFont="1" applyAlignment="1">
      <alignment horizontal="left" vertical="center" indent="2"/>
    </xf>
    <xf numFmtId="165" fontId="2" fillId="0" borderId="0" xfId="0" applyNumberFormat="1" applyFont="1" applyAlignment="1">
      <alignment vertical="center"/>
    </xf>
    <xf numFmtId="0" fontId="1" fillId="2" borderId="0" xfId="0" applyFont="1" applyFill="1"/>
    <xf numFmtId="0" fontId="20" fillId="2" borderId="20" xfId="0" applyFont="1" applyFill="1" applyBorder="1"/>
    <xf numFmtId="0" fontId="1" fillId="2" borderId="18" xfId="0" applyFont="1" applyFill="1" applyBorder="1"/>
    <xf numFmtId="0" fontId="22" fillId="4" borderId="17" xfId="0" applyFont="1" applyFill="1" applyBorder="1" applyAlignment="1">
      <alignment horizontal="left" vertical="top" wrapText="1"/>
    </xf>
    <xf numFmtId="0" fontId="22" fillId="4" borderId="2" xfId="0" applyFont="1" applyFill="1" applyBorder="1" applyAlignment="1">
      <alignment horizontal="left" vertical="top" wrapText="1"/>
    </xf>
    <xf numFmtId="0" fontId="22" fillId="4" borderId="13" xfId="0" applyFont="1" applyFill="1" applyBorder="1" applyAlignment="1">
      <alignment horizontal="left" vertical="top" wrapText="1"/>
    </xf>
    <xf numFmtId="0" fontId="22" fillId="4" borderId="7" xfId="0" applyFont="1" applyFill="1" applyBorder="1" applyAlignment="1">
      <alignment horizontal="left" vertical="top" wrapText="1"/>
    </xf>
    <xf numFmtId="0" fontId="22" fillId="4" borderId="0" xfId="0" applyFont="1" applyFill="1" applyAlignment="1">
      <alignment horizontal="left" vertical="top" wrapText="1"/>
    </xf>
    <xf numFmtId="0" fontId="22" fillId="4" borderId="8" xfId="0" applyFont="1" applyFill="1" applyBorder="1" applyAlignment="1">
      <alignment horizontal="left" vertical="top" wrapText="1"/>
    </xf>
    <xf numFmtId="0" fontId="22" fillId="4" borderId="1" xfId="0" applyFont="1" applyFill="1" applyBorder="1" applyAlignment="1">
      <alignment horizontal="left" vertical="top" wrapText="1"/>
    </xf>
    <xf numFmtId="0" fontId="22" fillId="4" borderId="9" xfId="0" applyFont="1" applyFill="1" applyBorder="1" applyAlignment="1">
      <alignment horizontal="left" vertical="top" wrapText="1"/>
    </xf>
    <xf numFmtId="0" fontId="22" fillId="4" borderId="14" xfId="0" applyFont="1" applyFill="1" applyBorder="1" applyAlignment="1">
      <alignment horizontal="left" vertical="top" wrapText="1"/>
    </xf>
  </cellXfs>
  <cellStyles count="252">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11</xdr:col>
      <xdr:colOff>316173</xdr:colOff>
      <xdr:row>160</xdr:row>
      <xdr:rowOff>158467</xdr:rowOff>
    </xdr:from>
    <xdr:to>
      <xdr:col>25</xdr:col>
      <xdr:colOff>36350</xdr:colOff>
      <xdr:row>182</xdr:row>
      <xdr:rowOff>4113</xdr:rowOff>
    </xdr:to>
    <xdr:grpSp>
      <xdr:nvGrpSpPr>
        <xdr:cNvPr id="9" name="Group 8">
          <a:extLst>
            <a:ext uri="{FF2B5EF4-FFF2-40B4-BE49-F238E27FC236}">
              <a16:creationId xmlns:a16="http://schemas.microsoft.com/office/drawing/2014/main" id="{00000000-0008-0000-0400-000009000000}"/>
            </a:ext>
          </a:extLst>
        </xdr:cNvPr>
        <xdr:cNvGrpSpPr/>
      </xdr:nvGrpSpPr>
      <xdr:grpSpPr>
        <a:xfrm>
          <a:off x="10895273" y="32987967"/>
          <a:ext cx="12902777" cy="4366846"/>
          <a:chOff x="9231573" y="32137067"/>
          <a:chExt cx="12902777" cy="4417646"/>
        </a:xfrm>
      </xdr:grpSpPr>
      <xdr:pic>
        <xdr:nvPicPr>
          <xdr:cNvPr id="10" name="Picture 9">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1"/>
          <a:stretch>
            <a:fillRect/>
          </a:stretch>
        </xdr:blipFill>
        <xdr:spPr>
          <a:xfrm>
            <a:off x="9231573" y="32137067"/>
            <a:ext cx="12902777" cy="4417646"/>
          </a:xfrm>
          <a:prstGeom prst="rect">
            <a:avLst/>
          </a:prstGeom>
        </xdr:spPr>
      </xdr:pic>
      <xdr:sp macro="" textlink="">
        <xdr:nvSpPr>
          <xdr:cNvPr id="11" name="Rectangle 10">
            <a:extLst>
              <a:ext uri="{FF2B5EF4-FFF2-40B4-BE49-F238E27FC236}">
                <a16:creationId xmlns:a16="http://schemas.microsoft.com/office/drawing/2014/main" id="{00000000-0008-0000-0400-00000B000000}"/>
              </a:ext>
            </a:extLst>
          </xdr:cNvPr>
          <xdr:cNvSpPr/>
        </xdr:nvSpPr>
        <xdr:spPr>
          <a:xfrm>
            <a:off x="13195110" y="34022352"/>
            <a:ext cx="1173708" cy="552735"/>
          </a:xfrm>
          <a:prstGeom prst="rect">
            <a:avLst/>
          </a:prstGeom>
          <a:noFill/>
          <a:ln>
            <a:solidFill>
              <a:srgbClr val="FFC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11</xdr:col>
      <xdr:colOff>254000</xdr:colOff>
      <xdr:row>186</xdr:row>
      <xdr:rowOff>50800</xdr:rowOff>
    </xdr:from>
    <xdr:to>
      <xdr:col>29</xdr:col>
      <xdr:colOff>1</xdr:colOff>
      <xdr:row>206</xdr:row>
      <xdr:rowOff>139700</xdr:rowOff>
    </xdr:to>
    <xdr:grpSp>
      <xdr:nvGrpSpPr>
        <xdr:cNvPr id="12" name="Group 11">
          <a:extLst>
            <a:ext uri="{FF2B5EF4-FFF2-40B4-BE49-F238E27FC236}">
              <a16:creationId xmlns:a16="http://schemas.microsoft.com/office/drawing/2014/main" id="{00000000-0008-0000-0400-00000C000000}"/>
            </a:ext>
          </a:extLst>
        </xdr:cNvPr>
        <xdr:cNvGrpSpPr/>
      </xdr:nvGrpSpPr>
      <xdr:grpSpPr>
        <a:xfrm>
          <a:off x="10833100" y="38214300"/>
          <a:ext cx="16789401" cy="4152900"/>
          <a:chOff x="9702800" y="37896800"/>
          <a:chExt cx="16776701" cy="4152900"/>
        </a:xfrm>
      </xdr:grpSpPr>
      <xdr:pic>
        <xdr:nvPicPr>
          <xdr:cNvPr id="13" name="Picture 12">
            <a:extLst>
              <a:ext uri="{FF2B5EF4-FFF2-40B4-BE49-F238E27FC236}">
                <a16:creationId xmlns:a16="http://schemas.microsoft.com/office/drawing/2014/main" id="{00000000-0008-0000-0400-00000D000000}"/>
              </a:ext>
            </a:extLst>
          </xdr:cNvPr>
          <xdr:cNvPicPr>
            <a:picLocks noChangeAspect="1"/>
          </xdr:cNvPicPr>
        </xdr:nvPicPr>
        <xdr:blipFill>
          <a:blip xmlns:r="http://schemas.openxmlformats.org/officeDocument/2006/relationships" r:embed="rId2"/>
          <a:stretch>
            <a:fillRect/>
          </a:stretch>
        </xdr:blipFill>
        <xdr:spPr>
          <a:xfrm>
            <a:off x="9702800" y="37896800"/>
            <a:ext cx="16776701" cy="4152900"/>
          </a:xfrm>
          <a:prstGeom prst="rect">
            <a:avLst/>
          </a:prstGeom>
        </xdr:spPr>
      </xdr:pic>
      <xdr:sp macro="" textlink="">
        <xdr:nvSpPr>
          <xdr:cNvPr id="14" name="Rectangle 13">
            <a:extLst>
              <a:ext uri="{FF2B5EF4-FFF2-40B4-BE49-F238E27FC236}">
                <a16:creationId xmlns:a16="http://schemas.microsoft.com/office/drawing/2014/main" id="{00000000-0008-0000-0400-00000E000000}"/>
              </a:ext>
            </a:extLst>
          </xdr:cNvPr>
          <xdr:cNvSpPr/>
        </xdr:nvSpPr>
        <xdr:spPr>
          <a:xfrm>
            <a:off x="13367223" y="40003862"/>
            <a:ext cx="1654792" cy="368490"/>
          </a:xfrm>
          <a:prstGeom prst="rect">
            <a:avLst/>
          </a:prstGeom>
          <a:noFill/>
          <a:ln>
            <a:solidFill>
              <a:srgbClr val="FFC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6</xdr:col>
      <xdr:colOff>762000</xdr:colOff>
      <xdr:row>0</xdr:row>
      <xdr:rowOff>165844</xdr:rowOff>
    </xdr:from>
    <xdr:to>
      <xdr:col>15</xdr:col>
      <xdr:colOff>469900</xdr:colOff>
      <xdr:row>26</xdr:row>
      <xdr:rowOff>76199</xdr:rowOff>
    </xdr:to>
    <xdr:pic>
      <xdr:nvPicPr>
        <xdr:cNvPr id="15" name="Picture 14">
          <a:extLst>
            <a:ext uri="{FF2B5EF4-FFF2-40B4-BE49-F238E27FC236}">
              <a16:creationId xmlns:a16="http://schemas.microsoft.com/office/drawing/2014/main" id="{00000000-0008-0000-0400-00000F000000}"/>
            </a:ext>
          </a:extLst>
        </xdr:cNvPr>
        <xdr:cNvPicPr>
          <a:picLocks noChangeAspect="1"/>
        </xdr:cNvPicPr>
      </xdr:nvPicPr>
      <xdr:blipFill>
        <a:blip xmlns:r="http://schemas.openxmlformats.org/officeDocument/2006/relationships" r:embed="rId3"/>
        <a:stretch>
          <a:fillRect/>
        </a:stretch>
      </xdr:blipFill>
      <xdr:spPr>
        <a:xfrm>
          <a:off x="4279900" y="165844"/>
          <a:ext cx="6858000" cy="5257055"/>
        </a:xfrm>
        <a:prstGeom prst="rect">
          <a:avLst/>
        </a:prstGeom>
      </xdr:spPr>
    </xdr:pic>
    <xdr:clientData/>
  </xdr:twoCellAnchor>
  <xdr:twoCellAnchor editAs="oneCell">
    <xdr:from>
      <xdr:col>7</xdr:col>
      <xdr:colOff>139700</xdr:colOff>
      <xdr:row>28</xdr:row>
      <xdr:rowOff>152401</xdr:rowOff>
    </xdr:from>
    <xdr:to>
      <xdr:col>11</xdr:col>
      <xdr:colOff>546100</xdr:colOff>
      <xdr:row>49</xdr:row>
      <xdr:rowOff>42245</xdr:rowOff>
    </xdr:to>
    <xdr:pic>
      <xdr:nvPicPr>
        <xdr:cNvPr id="17" name="Picture 16">
          <a:extLst>
            <a:ext uri="{FF2B5EF4-FFF2-40B4-BE49-F238E27FC236}">
              <a16:creationId xmlns:a16="http://schemas.microsoft.com/office/drawing/2014/main" id="{00000000-0008-0000-0400-000011000000}"/>
            </a:ext>
          </a:extLst>
        </xdr:cNvPr>
        <xdr:cNvPicPr>
          <a:picLocks noChangeAspect="1"/>
        </xdr:cNvPicPr>
      </xdr:nvPicPr>
      <xdr:blipFill>
        <a:blip xmlns:r="http://schemas.openxmlformats.org/officeDocument/2006/relationships" r:embed="rId4"/>
        <a:stretch>
          <a:fillRect/>
        </a:stretch>
      </xdr:blipFill>
      <xdr:spPr>
        <a:xfrm>
          <a:off x="5905500" y="5905501"/>
          <a:ext cx="3708400" cy="44110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dorinevandervlies/Projects/etdataset/nodes_source_analyses/transport/6_residences_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sheetPr>
  <dimension ref="A1:C23"/>
  <sheetViews>
    <sheetView tabSelected="1" workbookViewId="0">
      <selection activeCell="C6" sqref="C6"/>
    </sheetView>
  </sheetViews>
  <sheetFormatPr baseColWidth="10" defaultColWidth="10.85546875" defaultRowHeight="16"/>
  <cols>
    <col min="1" max="1" width="4.140625" style="28" customWidth="1"/>
    <col min="2" max="2" width="11.42578125" style="20" customWidth="1"/>
    <col min="3" max="3" width="38.42578125" style="20" customWidth="1"/>
    <col min="4" max="16384" width="10.85546875" style="20"/>
  </cols>
  <sheetData>
    <row r="1" spans="1:3" s="26" customFormat="1">
      <c r="A1" s="24"/>
      <c r="B1" s="25"/>
      <c r="C1" s="25"/>
    </row>
    <row r="2" spans="1:3" ht="21">
      <c r="A2" s="1"/>
      <c r="B2" s="27" t="s">
        <v>5</v>
      </c>
      <c r="C2" s="27"/>
    </row>
    <row r="3" spans="1:3">
      <c r="A3" s="1"/>
      <c r="B3" s="8"/>
      <c r="C3" s="8"/>
    </row>
    <row r="4" spans="1:3">
      <c r="A4" s="1"/>
      <c r="B4" s="2" t="s">
        <v>6</v>
      </c>
      <c r="C4" s="3" t="s">
        <v>75</v>
      </c>
    </row>
    <row r="5" spans="1:3">
      <c r="A5" s="1"/>
      <c r="B5" s="4" t="s">
        <v>20</v>
      </c>
      <c r="C5" s="5" t="s">
        <v>76</v>
      </c>
    </row>
    <row r="6" spans="1:3">
      <c r="A6" s="1"/>
      <c r="B6" s="6" t="s">
        <v>8</v>
      </c>
      <c r="C6" s="7" t="s">
        <v>9</v>
      </c>
    </row>
    <row r="7" spans="1:3">
      <c r="A7" s="1"/>
      <c r="B7" s="8"/>
      <c r="C7" s="8"/>
    </row>
    <row r="8" spans="1:3">
      <c r="A8" s="1"/>
      <c r="B8" s="8"/>
      <c r="C8" s="8"/>
    </row>
    <row r="9" spans="1:3">
      <c r="A9" s="1"/>
      <c r="B9" s="75" t="s">
        <v>21</v>
      </c>
      <c r="C9" s="76"/>
    </row>
    <row r="10" spans="1:3">
      <c r="A10" s="1"/>
      <c r="B10" s="77"/>
      <c r="C10" s="78"/>
    </row>
    <row r="11" spans="1:3">
      <c r="A11" s="1"/>
      <c r="B11" s="77" t="s">
        <v>22</v>
      </c>
      <c r="C11" s="79" t="s">
        <v>23</v>
      </c>
    </row>
    <row r="12" spans="1:3" ht="17" thickBot="1">
      <c r="A12" s="1"/>
      <c r="B12" s="77"/>
      <c r="C12" s="12" t="s">
        <v>24</v>
      </c>
    </row>
    <row r="13" spans="1:3" ht="17" thickBot="1">
      <c r="A13" s="1"/>
      <c r="B13" s="77"/>
      <c r="C13" s="80" t="s">
        <v>25</v>
      </c>
    </row>
    <row r="14" spans="1:3">
      <c r="A14" s="1"/>
      <c r="B14" s="77"/>
      <c r="C14" s="78" t="s">
        <v>26</v>
      </c>
    </row>
    <row r="15" spans="1:3">
      <c r="A15" s="1"/>
      <c r="B15" s="77"/>
      <c r="C15" s="78"/>
    </row>
    <row r="16" spans="1:3">
      <c r="A16" s="1"/>
      <c r="B16" s="77" t="s">
        <v>27</v>
      </c>
      <c r="C16" s="81" t="s">
        <v>28</v>
      </c>
    </row>
    <row r="17" spans="1:3">
      <c r="A17" s="1"/>
      <c r="B17" s="77"/>
      <c r="C17" s="82" t="s">
        <v>29</v>
      </c>
    </row>
    <row r="18" spans="1:3">
      <c r="A18" s="1"/>
      <c r="B18" s="77"/>
      <c r="C18" s="83" t="s">
        <v>30</v>
      </c>
    </row>
    <row r="19" spans="1:3">
      <c r="A19" s="1"/>
      <c r="B19" s="77"/>
      <c r="C19" s="84" t="s">
        <v>31</v>
      </c>
    </row>
    <row r="20" spans="1:3">
      <c r="A20" s="1"/>
      <c r="B20" s="85"/>
      <c r="C20" s="86" t="s">
        <v>17</v>
      </c>
    </row>
    <row r="21" spans="1:3">
      <c r="A21" s="1"/>
      <c r="B21" s="85"/>
      <c r="C21" s="87" t="s">
        <v>32</v>
      </c>
    </row>
    <row r="22" spans="1:3">
      <c r="A22" s="1"/>
      <c r="B22" s="85"/>
      <c r="C22" s="88" t="s">
        <v>33</v>
      </c>
    </row>
    <row r="23" spans="1:3">
      <c r="B23" s="85"/>
      <c r="C23" s="89" t="s">
        <v>34</v>
      </c>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B2:J17"/>
  <sheetViews>
    <sheetView workbookViewId="0">
      <selection activeCell="C13" sqref="C13"/>
    </sheetView>
  </sheetViews>
  <sheetFormatPr baseColWidth="10" defaultColWidth="10.85546875" defaultRowHeight="16"/>
  <cols>
    <col min="1" max="1" width="3.28515625" style="32" customWidth="1"/>
    <col min="2" max="2" width="2.7109375" style="32" customWidth="1"/>
    <col min="3" max="3" width="36.140625" style="32" customWidth="1"/>
    <col min="4" max="4" width="12.42578125" style="32" customWidth="1"/>
    <col min="5" max="5" width="17.42578125" style="32" customWidth="1"/>
    <col min="6" max="6" width="4.42578125" style="32" customWidth="1"/>
    <col min="7" max="7" width="39.42578125" style="32" customWidth="1"/>
    <col min="8" max="8" width="5.140625" style="32" customWidth="1"/>
    <col min="9" max="9" width="42.42578125" style="32" customWidth="1"/>
    <col min="10" max="10" width="5.42578125" style="32" customWidth="1"/>
    <col min="11" max="16384" width="10.85546875" style="32"/>
  </cols>
  <sheetData>
    <row r="2" spans="2:10" ht="16" customHeight="1">
      <c r="B2" s="111" t="s">
        <v>41</v>
      </c>
      <c r="C2" s="112"/>
      <c r="D2" s="112"/>
      <c r="E2" s="112"/>
      <c r="F2" s="113"/>
    </row>
    <row r="3" spans="2:10">
      <c r="B3" s="114"/>
      <c r="C3" s="115"/>
      <c r="D3" s="115"/>
      <c r="E3" s="115"/>
      <c r="F3" s="116"/>
    </row>
    <row r="4" spans="2:10">
      <c r="B4" s="114"/>
      <c r="C4" s="115"/>
      <c r="D4" s="115"/>
      <c r="E4" s="115"/>
      <c r="F4" s="116"/>
    </row>
    <row r="5" spans="2:10">
      <c r="B5" s="117"/>
      <c r="C5" s="118"/>
      <c r="D5" s="118"/>
      <c r="E5" s="118"/>
      <c r="F5" s="119"/>
    </row>
    <row r="6" spans="2:10" ht="17" thickBot="1">
      <c r="B6" s="74"/>
      <c r="C6" s="74"/>
      <c r="D6" s="74"/>
      <c r="E6" s="74"/>
    </row>
    <row r="7" spans="2:10">
      <c r="B7" s="33"/>
      <c r="C7" s="19"/>
      <c r="D7" s="19"/>
      <c r="E7" s="19"/>
      <c r="F7" s="19"/>
      <c r="G7" s="19"/>
      <c r="H7" s="19"/>
      <c r="I7" s="19"/>
      <c r="J7" s="34"/>
    </row>
    <row r="8" spans="2:10" s="12" customFormat="1">
      <c r="B8" s="22"/>
      <c r="C8" s="15" t="s">
        <v>14</v>
      </c>
      <c r="D8" s="16" t="s">
        <v>3</v>
      </c>
      <c r="E8" s="14" t="s">
        <v>1</v>
      </c>
      <c r="F8" s="15"/>
      <c r="G8" s="15" t="s">
        <v>2</v>
      </c>
      <c r="H8" s="15"/>
      <c r="I8" s="15" t="s">
        <v>0</v>
      </c>
      <c r="J8" s="70"/>
    </row>
    <row r="9" spans="2:10" s="12" customFormat="1">
      <c r="B9" s="23"/>
      <c r="D9" s="30"/>
      <c r="J9" s="13"/>
    </row>
    <row r="10" spans="2:10" s="12" customFormat="1" ht="17" thickBot="1">
      <c r="B10" s="23"/>
      <c r="C10" s="12" t="s">
        <v>19</v>
      </c>
      <c r="D10" s="30"/>
      <c r="J10" s="13"/>
    </row>
    <row r="11" spans="2:10" s="12" customFormat="1" ht="17" thickBot="1">
      <c r="B11" s="23"/>
      <c r="C11" s="52" t="s">
        <v>49</v>
      </c>
      <c r="D11" s="21" t="s">
        <v>50</v>
      </c>
      <c r="E11" s="100">
        <f>'Research data'!H7</f>
        <v>0.28570104287369641</v>
      </c>
      <c r="F11" s="35"/>
      <c r="G11" s="93" t="s">
        <v>39</v>
      </c>
      <c r="H11" s="29"/>
      <c r="I11" s="110" t="s">
        <v>74</v>
      </c>
      <c r="J11" s="13"/>
    </row>
    <row r="12" spans="2:10">
      <c r="B12" s="36"/>
      <c r="D12" s="72"/>
      <c r="E12" s="73"/>
      <c r="I12" s="53"/>
      <c r="J12" s="71"/>
    </row>
    <row r="13" spans="2:10" ht="17" thickBot="1">
      <c r="B13" s="37"/>
      <c r="C13" s="38"/>
      <c r="D13" s="38"/>
      <c r="E13" s="38"/>
      <c r="F13" s="38"/>
      <c r="G13" s="38"/>
      <c r="H13" s="38"/>
      <c r="I13" s="38"/>
      <c r="J13" s="39"/>
    </row>
    <row r="17" ht="15" customHeight="1"/>
  </sheetData>
  <mergeCells count="1">
    <mergeCell ref="B2:F5"/>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6" tint="0.39997558519241921"/>
  </sheetPr>
  <dimension ref="B2:Q8"/>
  <sheetViews>
    <sheetView workbookViewId="0">
      <selection activeCell="F7" sqref="C7:F7"/>
    </sheetView>
  </sheetViews>
  <sheetFormatPr baseColWidth="10" defaultColWidth="10.85546875" defaultRowHeight="16"/>
  <cols>
    <col min="1" max="2" width="3.42578125" style="40" customWidth="1"/>
    <col min="3" max="3" width="35.140625" style="40" customWidth="1"/>
    <col min="4" max="4" width="16.42578125" style="40" hidden="1" customWidth="1"/>
    <col min="5" max="5" width="13.85546875" style="40" hidden="1" customWidth="1"/>
    <col min="6" max="6" width="11.42578125" style="40" customWidth="1"/>
    <col min="7" max="7" width="3.28515625" style="40" customWidth="1"/>
    <col min="8" max="8" width="9.42578125" style="40" customWidth="1"/>
    <col min="9" max="9" width="2.42578125" style="40" customWidth="1"/>
    <col min="10" max="10" width="2.140625" style="40" customWidth="1"/>
    <col min="11" max="11" width="9.85546875" style="40" customWidth="1"/>
    <col min="12" max="12" width="2.85546875" style="40" customWidth="1"/>
    <col min="13" max="13" width="10.85546875" style="40" customWidth="1"/>
    <col min="14" max="14" width="2.28515625" style="40" customWidth="1"/>
    <col min="15" max="15" width="10.85546875" style="40" customWidth="1"/>
    <col min="16" max="16" width="2.42578125" style="40" customWidth="1"/>
    <col min="17" max="17" width="51.28515625" style="40" customWidth="1"/>
    <col min="18" max="16384" width="10.85546875" style="40"/>
  </cols>
  <sheetData>
    <row r="2" spans="2:17" ht="17" thickBot="1"/>
    <row r="3" spans="2:17">
      <c r="B3" s="41"/>
      <c r="C3" s="42"/>
      <c r="D3" s="42"/>
      <c r="E3" s="42"/>
      <c r="F3" s="42"/>
      <c r="G3" s="42"/>
      <c r="H3" s="42"/>
      <c r="I3" s="42"/>
      <c r="J3" s="42"/>
      <c r="K3" s="42"/>
      <c r="L3" s="42"/>
      <c r="M3" s="42"/>
      <c r="N3" s="42"/>
      <c r="O3" s="42"/>
      <c r="P3" s="42"/>
      <c r="Q3" s="42"/>
    </row>
    <row r="4" spans="2:17" s="12" customFormat="1">
      <c r="B4" s="23"/>
      <c r="C4" s="68" t="s">
        <v>18</v>
      </c>
      <c r="D4" s="9"/>
      <c r="E4" s="9"/>
      <c r="F4" s="68" t="s">
        <v>3</v>
      </c>
      <c r="G4" s="68"/>
      <c r="H4" s="68" t="s">
        <v>17</v>
      </c>
      <c r="I4" s="68"/>
      <c r="J4" s="68"/>
      <c r="K4" s="68" t="s">
        <v>73</v>
      </c>
      <c r="L4" s="68"/>
      <c r="M4" s="68"/>
      <c r="N4" s="68"/>
      <c r="O4" s="68"/>
      <c r="P4" s="68"/>
      <c r="Q4" s="68" t="s">
        <v>35</v>
      </c>
    </row>
    <row r="5" spans="2:17" ht="18" customHeight="1">
      <c r="B5" s="43"/>
      <c r="C5" s="46"/>
      <c r="D5" s="46"/>
      <c r="E5" s="46"/>
      <c r="H5" s="45"/>
      <c r="I5" s="45"/>
      <c r="Q5" s="50"/>
    </row>
    <row r="6" spans="2:17" ht="18" customHeight="1" thickBot="1">
      <c r="B6" s="43"/>
      <c r="C6" s="11" t="s">
        <v>19</v>
      </c>
      <c r="D6" s="11"/>
      <c r="E6" s="11"/>
      <c r="F6" s="11"/>
      <c r="G6" s="31"/>
      <c r="H6" s="10"/>
      <c r="I6" s="10"/>
      <c r="Q6" s="48"/>
    </row>
    <row r="7" spans="2:17" ht="17" thickBot="1">
      <c r="B7" s="43"/>
      <c r="C7" s="106" t="s">
        <v>49</v>
      </c>
      <c r="D7" s="106"/>
      <c r="E7" s="106"/>
      <c r="F7" s="107" t="s">
        <v>50</v>
      </c>
      <c r="G7" s="69"/>
      <c r="H7" s="96">
        <f>K7</f>
        <v>0.28570104287369641</v>
      </c>
      <c r="I7" s="45"/>
      <c r="K7" s="96">
        <f>Notes!E59</f>
        <v>0.28570104287369641</v>
      </c>
      <c r="Q7" s="99"/>
    </row>
    <row r="8" spans="2:17">
      <c r="B8" s="43"/>
      <c r="C8" s="47"/>
      <c r="D8" s="47"/>
      <c r="E8" s="47"/>
      <c r="F8" s="44"/>
      <c r="G8" s="69"/>
      <c r="H8" s="49"/>
      <c r="I8" s="45"/>
      <c r="K8" s="49"/>
      <c r="Q8" s="51"/>
    </row>
  </sheetData>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79998168889431442"/>
  </sheetPr>
  <dimension ref="A1:J8"/>
  <sheetViews>
    <sheetView workbookViewId="0">
      <selection activeCell="A9" sqref="A9:XFD9"/>
    </sheetView>
  </sheetViews>
  <sheetFormatPr baseColWidth="10" defaultColWidth="33.140625" defaultRowHeight="16"/>
  <cols>
    <col min="1" max="1" width="3.42578125" style="53" customWidth="1"/>
    <col min="2" max="2" width="4" style="53" customWidth="1"/>
    <col min="3" max="3" width="27.85546875" style="53" customWidth="1"/>
    <col min="4" max="4" width="16.140625" style="53" customWidth="1"/>
    <col min="5" max="5" width="10.28515625" style="53" customWidth="1"/>
    <col min="6" max="7" width="13.28515625" style="53" customWidth="1"/>
    <col min="8" max="8" width="12.7109375" style="57" customWidth="1"/>
    <col min="9" max="9" width="32.42578125" style="57" customWidth="1"/>
    <col min="10" max="10" width="98.42578125" style="53" customWidth="1"/>
    <col min="11" max="16384" width="33.140625" style="53"/>
  </cols>
  <sheetData>
    <row r="1" spans="1:10" ht="17" thickBot="1"/>
    <row r="2" spans="1:10">
      <c r="B2" s="54"/>
      <c r="C2" s="55"/>
      <c r="D2" s="55"/>
      <c r="E2" s="55"/>
      <c r="F2" s="55"/>
      <c r="G2" s="55"/>
      <c r="H2" s="58"/>
      <c r="I2" s="58"/>
      <c r="J2" s="55"/>
    </row>
    <row r="3" spans="1:10">
      <c r="B3" s="56"/>
      <c r="C3" s="12" t="s">
        <v>10</v>
      </c>
      <c r="D3" s="12"/>
      <c r="E3" s="12"/>
      <c r="F3" s="12"/>
      <c r="G3" s="12"/>
      <c r="H3" s="17"/>
      <c r="I3" s="17"/>
    </row>
    <row r="4" spans="1:10">
      <c r="B4" s="56"/>
    </row>
    <row r="5" spans="1:10">
      <c r="B5" s="59"/>
      <c r="C5" s="14" t="s">
        <v>11</v>
      </c>
      <c r="D5" s="14" t="s">
        <v>0</v>
      </c>
      <c r="E5" s="14" t="s">
        <v>7</v>
      </c>
      <c r="F5" s="14" t="s">
        <v>12</v>
      </c>
      <c r="G5" s="14" t="s">
        <v>36</v>
      </c>
      <c r="H5" s="18" t="s">
        <v>13</v>
      </c>
      <c r="I5" s="18" t="s">
        <v>37</v>
      </c>
      <c r="J5" s="14" t="s">
        <v>4</v>
      </c>
    </row>
    <row r="6" spans="1:10">
      <c r="A6" s="94"/>
      <c r="B6" s="95"/>
      <c r="C6" s="97" t="s">
        <v>55</v>
      </c>
      <c r="D6" s="60" t="s">
        <v>51</v>
      </c>
      <c r="E6" s="94" t="s">
        <v>60</v>
      </c>
      <c r="F6" s="94">
        <v>2014</v>
      </c>
      <c r="G6" s="94"/>
      <c r="H6" s="98">
        <v>43055</v>
      </c>
      <c r="I6" s="94" t="s">
        <v>57</v>
      </c>
      <c r="J6" s="60" t="s">
        <v>56</v>
      </c>
    </row>
    <row r="7" spans="1:10" s="101" customFormat="1">
      <c r="C7" s="108" t="s">
        <v>58</v>
      </c>
      <c r="D7" s="108" t="s">
        <v>53</v>
      </c>
      <c r="E7" s="108" t="s">
        <v>61</v>
      </c>
      <c r="H7" s="98">
        <v>43055</v>
      </c>
      <c r="I7" s="102"/>
      <c r="J7" s="101" t="s">
        <v>59</v>
      </c>
    </row>
    <row r="8" spans="1:10" s="101" customFormat="1">
      <c r="H8" s="102"/>
      <c r="I8" s="102"/>
    </row>
  </sheetData>
  <pageMargins left="0.75" right="0.75" top="1" bottom="1" header="0.5" footer="0.5"/>
  <pageSetup paperSize="9"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sheetPr>
  <dimension ref="A1:N207"/>
  <sheetViews>
    <sheetView topLeftCell="A43" workbookViewId="0">
      <selection activeCell="F52" sqref="F52"/>
    </sheetView>
  </sheetViews>
  <sheetFormatPr baseColWidth="10" defaultColWidth="10.85546875" defaultRowHeight="16"/>
  <cols>
    <col min="1" max="1" width="3.7109375" style="60" customWidth="1"/>
    <col min="2" max="2" width="3.42578125" style="60" customWidth="1"/>
    <col min="3" max="3" width="28.140625" style="60" customWidth="1"/>
    <col min="4" max="4" width="13.140625" style="60" customWidth="1"/>
    <col min="5" max="5" width="12.42578125" style="60" customWidth="1"/>
    <col min="6" max="6" width="3.85546875" style="60" customWidth="1"/>
    <col min="7" max="13" width="10.85546875" style="60"/>
    <col min="14" max="14" width="7.140625" style="60" customWidth="1"/>
    <col min="15" max="16384" width="10.85546875" style="60"/>
  </cols>
  <sheetData>
    <row r="1" spans="1:14" ht="17" thickBot="1"/>
    <row r="2" spans="1:14">
      <c r="B2" s="61"/>
      <c r="C2" s="62"/>
      <c r="D2" s="62"/>
      <c r="E2" s="62"/>
      <c r="F2" s="62"/>
      <c r="G2" s="62"/>
      <c r="H2" s="62"/>
      <c r="I2" s="62"/>
      <c r="J2" s="62"/>
      <c r="K2" s="62"/>
      <c r="L2" s="62"/>
      <c r="M2" s="62"/>
      <c r="N2" s="63"/>
    </row>
    <row r="3" spans="1:14">
      <c r="A3" s="64"/>
      <c r="B3" s="92"/>
      <c r="C3" s="90" t="s">
        <v>15</v>
      </c>
      <c r="D3" s="90"/>
      <c r="E3" s="90" t="s">
        <v>16</v>
      </c>
      <c r="F3" s="90"/>
      <c r="G3" s="90"/>
      <c r="H3" s="65"/>
      <c r="I3" s="65"/>
      <c r="J3" s="65"/>
      <c r="K3" s="65"/>
      <c r="L3" s="65"/>
      <c r="M3" s="65"/>
      <c r="N3" s="91"/>
    </row>
    <row r="4" spans="1:14">
      <c r="B4" s="67"/>
      <c r="N4" s="66"/>
    </row>
    <row r="5" spans="1:14">
      <c r="B5" s="67"/>
      <c r="N5" s="66"/>
    </row>
    <row r="6" spans="1:14">
      <c r="B6" s="67"/>
      <c r="N6" s="66"/>
    </row>
    <row r="7" spans="1:14">
      <c r="B7" s="67"/>
      <c r="N7" s="66"/>
    </row>
    <row r="8" spans="1:14" ht="17" thickBot="1">
      <c r="B8" s="67"/>
      <c r="N8" s="66"/>
    </row>
    <row r="9" spans="1:14" ht="18" thickTop="1" thickBot="1">
      <c r="B9" s="67"/>
      <c r="C9" s="60" t="s">
        <v>51</v>
      </c>
      <c r="D9" s="60" t="s">
        <v>52</v>
      </c>
      <c r="E9" s="109">
        <v>67</v>
      </c>
      <c r="N9" s="66"/>
    </row>
    <row r="10" spans="1:14" ht="17" thickTop="1">
      <c r="B10" s="67"/>
      <c r="N10" s="66"/>
    </row>
    <row r="11" spans="1:14">
      <c r="B11" s="67"/>
      <c r="N11" s="66"/>
    </row>
    <row r="12" spans="1:14">
      <c r="B12" s="67"/>
      <c r="N12" s="66"/>
    </row>
    <row r="13" spans="1:14">
      <c r="B13" s="67"/>
      <c r="N13" s="66"/>
    </row>
    <row r="14" spans="1:14">
      <c r="B14" s="67"/>
      <c r="N14" s="66"/>
    </row>
    <row r="15" spans="1:14">
      <c r="B15" s="67"/>
      <c r="N15" s="66"/>
    </row>
    <row r="16" spans="1:14">
      <c r="B16" s="67"/>
      <c r="N16" s="66"/>
    </row>
    <row r="17" spans="2:14">
      <c r="B17" s="67"/>
      <c r="N17" s="66"/>
    </row>
    <row r="18" spans="2:14">
      <c r="B18" s="67"/>
      <c r="N18" s="66"/>
    </row>
    <row r="19" spans="2:14">
      <c r="B19" s="67"/>
      <c r="N19" s="66"/>
    </row>
    <row r="20" spans="2:14">
      <c r="B20" s="67"/>
      <c r="N20" s="66"/>
    </row>
    <row r="21" spans="2:14">
      <c r="B21" s="67"/>
      <c r="N21" s="66"/>
    </row>
    <row r="22" spans="2:14">
      <c r="B22" s="67"/>
      <c r="N22" s="66"/>
    </row>
    <row r="23" spans="2:14">
      <c r="B23" s="67"/>
      <c r="N23" s="66"/>
    </row>
    <row r="24" spans="2:14">
      <c r="B24" s="67"/>
      <c r="N24" s="66"/>
    </row>
    <row r="25" spans="2:14">
      <c r="B25" s="67"/>
      <c r="N25" s="66"/>
    </row>
    <row r="26" spans="2:14">
      <c r="B26" s="67"/>
      <c r="N26" s="66"/>
    </row>
    <row r="27" spans="2:14">
      <c r="B27" s="67"/>
      <c r="N27" s="66"/>
    </row>
    <row r="28" spans="2:14">
      <c r="B28" s="67"/>
      <c r="N28" s="66"/>
    </row>
    <row r="29" spans="2:14">
      <c r="B29" s="67"/>
      <c r="N29" s="66"/>
    </row>
    <row r="30" spans="2:14" ht="17" thickBot="1">
      <c r="B30" s="67"/>
      <c r="N30" s="66"/>
    </row>
    <row r="31" spans="2:14" ht="18" thickTop="1" thickBot="1">
      <c r="B31" s="67"/>
      <c r="C31" s="60" t="s">
        <v>53</v>
      </c>
      <c r="D31" s="60" t="s">
        <v>54</v>
      </c>
      <c r="E31" s="109">
        <v>0.23</v>
      </c>
      <c r="N31" s="66"/>
    </row>
    <row r="32" spans="2:14" ht="17" thickTop="1">
      <c r="B32" s="67"/>
      <c r="D32" s="60" t="s">
        <v>69</v>
      </c>
      <c r="E32" s="60">
        <f>1/E31</f>
        <v>4.3478260869565215</v>
      </c>
      <c r="F32" s="60" t="s">
        <v>69</v>
      </c>
      <c r="N32" s="66"/>
    </row>
    <row r="33" spans="2:14" ht="17" thickBot="1">
      <c r="B33" s="67"/>
      <c r="C33" s="60" t="s">
        <v>66</v>
      </c>
      <c r="N33" s="66"/>
    </row>
    <row r="34" spans="2:14" ht="18" thickTop="1" thickBot="1">
      <c r="B34" s="67"/>
      <c r="D34" s="60" t="s">
        <v>62</v>
      </c>
      <c r="E34" s="109">
        <v>43.15</v>
      </c>
      <c r="F34" s="60" t="s">
        <v>65</v>
      </c>
      <c r="N34" s="66"/>
    </row>
    <row r="35" spans="2:14" ht="18" thickTop="1" thickBot="1">
      <c r="B35" s="67"/>
      <c r="D35" s="60" t="s">
        <v>63</v>
      </c>
      <c r="E35" s="109">
        <v>43.2</v>
      </c>
      <c r="F35" s="60" t="s">
        <v>65</v>
      </c>
      <c r="N35" s="66"/>
    </row>
    <row r="36" spans="2:14" ht="18" thickTop="1" thickBot="1">
      <c r="B36" s="67"/>
      <c r="D36" s="60" t="s">
        <v>64</v>
      </c>
      <c r="E36" s="109">
        <v>26.8</v>
      </c>
      <c r="F36" s="60" t="s">
        <v>65</v>
      </c>
      <c r="N36" s="66"/>
    </row>
    <row r="37" spans="2:14" ht="17" thickTop="1">
      <c r="B37" s="67"/>
      <c r="N37" s="66"/>
    </row>
    <row r="38" spans="2:14">
      <c r="B38" s="67"/>
      <c r="N38" s="66"/>
    </row>
    <row r="39" spans="2:14" ht="17" thickBot="1">
      <c r="B39" s="67"/>
      <c r="N39" s="66"/>
    </row>
    <row r="40" spans="2:14" ht="18" thickTop="1" thickBot="1">
      <c r="B40" s="67"/>
      <c r="D40" s="60" t="s">
        <v>62</v>
      </c>
      <c r="E40" s="109">
        <f>1/0.8</f>
        <v>1.25</v>
      </c>
      <c r="F40" s="60" t="s">
        <v>67</v>
      </c>
      <c r="N40" s="66"/>
    </row>
    <row r="41" spans="2:14" ht="18" thickTop="1" thickBot="1">
      <c r="B41" s="67"/>
      <c r="D41" s="60" t="s">
        <v>63</v>
      </c>
      <c r="E41" s="109">
        <f>1/0.75</f>
        <v>1.3333333333333333</v>
      </c>
      <c r="F41" s="60" t="s">
        <v>67</v>
      </c>
      <c r="N41" s="66"/>
    </row>
    <row r="42" spans="2:14" ht="18" thickTop="1" thickBot="1">
      <c r="B42" s="67"/>
      <c r="D42" s="60" t="s">
        <v>64</v>
      </c>
      <c r="E42" s="109">
        <f>1/0.79</f>
        <v>1.2658227848101264</v>
      </c>
      <c r="F42" s="60" t="s">
        <v>67</v>
      </c>
      <c r="N42" s="66"/>
    </row>
    <row r="43" spans="2:14" ht="17" thickTop="1">
      <c r="B43" s="67"/>
      <c r="N43" s="66"/>
    </row>
    <row r="44" spans="2:14">
      <c r="B44" s="67"/>
      <c r="D44" s="60" t="s">
        <v>62</v>
      </c>
      <c r="E44" s="60">
        <f>E40*E34</f>
        <v>53.9375</v>
      </c>
      <c r="F44" s="60" t="s">
        <v>68</v>
      </c>
      <c r="N44" s="66"/>
    </row>
    <row r="45" spans="2:14">
      <c r="B45" s="67"/>
      <c r="D45" s="60" t="s">
        <v>63</v>
      </c>
      <c r="E45" s="60">
        <f t="shared" ref="E45:E46" si="0">E41*E35</f>
        <v>57.6</v>
      </c>
      <c r="F45" s="60" t="s">
        <v>68</v>
      </c>
      <c r="N45" s="66"/>
    </row>
    <row r="46" spans="2:14">
      <c r="B46" s="67"/>
      <c r="D46" s="60" t="s">
        <v>64</v>
      </c>
      <c r="E46" s="60">
        <f t="shared" si="0"/>
        <v>33.924050632911388</v>
      </c>
      <c r="F46" s="60" t="s">
        <v>68</v>
      </c>
      <c r="N46" s="66"/>
    </row>
    <row r="47" spans="2:14">
      <c r="B47" s="67"/>
      <c r="N47" s="66"/>
    </row>
    <row r="48" spans="2:14">
      <c r="B48" s="67"/>
      <c r="D48" s="60" t="s">
        <v>70</v>
      </c>
      <c r="E48" s="60">
        <f>E44/E45</f>
        <v>0.93641493055555558</v>
      </c>
      <c r="N48" s="66"/>
    </row>
    <row r="49" spans="2:14">
      <c r="B49" s="67"/>
      <c r="D49" s="60" t="s">
        <v>71</v>
      </c>
      <c r="E49" s="60">
        <f>E44/E46</f>
        <v>1.5899486940298508</v>
      </c>
      <c r="N49" s="66"/>
    </row>
    <row r="50" spans="2:14">
      <c r="B50" s="67"/>
      <c r="N50" s="66"/>
    </row>
    <row r="51" spans="2:14">
      <c r="B51" s="67"/>
      <c r="D51" s="60" t="s">
        <v>62</v>
      </c>
      <c r="E51" s="60">
        <f>E44*E32</f>
        <v>234.51086956521738</v>
      </c>
      <c r="F51" s="60" t="s">
        <v>40</v>
      </c>
      <c r="N51" s="66"/>
    </row>
    <row r="52" spans="2:14">
      <c r="B52" s="67"/>
      <c r="D52" s="60" t="s">
        <v>63</v>
      </c>
      <c r="E52" s="60">
        <f>E51*E48</f>
        <v>219.59947963843598</v>
      </c>
      <c r="F52" s="60" t="s">
        <v>40</v>
      </c>
      <c r="H52" s="60" t="s">
        <v>72</v>
      </c>
      <c r="N52" s="66"/>
    </row>
    <row r="53" spans="2:14">
      <c r="B53" s="67"/>
      <c r="D53" s="60" t="s">
        <v>64</v>
      </c>
      <c r="E53" s="60">
        <f>E51*E49</f>
        <v>372.86025080102206</v>
      </c>
      <c r="F53" s="60" t="s">
        <v>40</v>
      </c>
      <c r="N53" s="66"/>
    </row>
    <row r="54" spans="2:14">
      <c r="B54" s="67"/>
      <c r="N54" s="66"/>
    </row>
    <row r="55" spans="2:14">
      <c r="B55" s="67"/>
      <c r="D55" s="60" t="s">
        <v>62</v>
      </c>
      <c r="E55" s="60">
        <f>1/E51</f>
        <v>4.2641946697566631E-3</v>
      </c>
      <c r="F55" s="60" t="s">
        <v>38</v>
      </c>
      <c r="N55" s="66"/>
    </row>
    <row r="56" spans="2:14">
      <c r="B56" s="67"/>
      <c r="D56" s="60" t="s">
        <v>63</v>
      </c>
      <c r="E56" s="60">
        <f>1/E52</f>
        <v>4.5537448524307538E-3</v>
      </c>
      <c r="F56" s="60" t="s">
        <v>38</v>
      </c>
      <c r="N56" s="66"/>
    </row>
    <row r="57" spans="2:14">
      <c r="B57" s="67"/>
      <c r="D57" s="60" t="s">
        <v>64</v>
      </c>
      <c r="E57" s="60">
        <f>1/E53</f>
        <v>2.681969981653134E-3</v>
      </c>
      <c r="F57" s="60" t="s">
        <v>38</v>
      </c>
      <c r="N57" s="66"/>
    </row>
    <row r="58" spans="2:14">
      <c r="B58" s="67"/>
      <c r="N58" s="66"/>
    </row>
    <row r="59" spans="2:14">
      <c r="B59" s="67"/>
      <c r="D59" s="60" t="s">
        <v>62</v>
      </c>
      <c r="E59" s="60">
        <f>E55*E$9</f>
        <v>0.28570104287369641</v>
      </c>
      <c r="F59" s="60" t="s">
        <v>50</v>
      </c>
      <c r="N59" s="66"/>
    </row>
    <row r="60" spans="2:14">
      <c r="B60" s="67"/>
      <c r="D60" s="60" t="s">
        <v>63</v>
      </c>
      <c r="E60" s="60">
        <f t="shared" ref="E60:E61" si="1">E56*E$9</f>
        <v>0.30510090511286048</v>
      </c>
      <c r="F60" s="60" t="s">
        <v>50</v>
      </c>
      <c r="N60" s="66"/>
    </row>
    <row r="61" spans="2:14">
      <c r="B61" s="67"/>
      <c r="D61" s="60" t="s">
        <v>64</v>
      </c>
      <c r="E61" s="60">
        <f t="shared" si="1"/>
        <v>0.17969198877075998</v>
      </c>
      <c r="F61" s="60" t="s">
        <v>50</v>
      </c>
      <c r="N61" s="66"/>
    </row>
    <row r="62" spans="2:14">
      <c r="B62" s="67"/>
      <c r="N62" s="66"/>
    </row>
    <row r="63" spans="2:14">
      <c r="B63" s="67"/>
      <c r="N63" s="66"/>
    </row>
    <row r="64" spans="2:14">
      <c r="B64" s="67"/>
      <c r="N64" s="66"/>
    </row>
    <row r="65" spans="2:14">
      <c r="B65" s="67"/>
      <c r="N65" s="66"/>
    </row>
    <row r="66" spans="2:14">
      <c r="B66" s="67"/>
      <c r="N66" s="66"/>
    </row>
    <row r="67" spans="2:14">
      <c r="B67" s="67"/>
      <c r="N67" s="66"/>
    </row>
    <row r="68" spans="2:14">
      <c r="B68" s="67"/>
      <c r="N68" s="66"/>
    </row>
    <row r="69" spans="2:14">
      <c r="B69" s="67"/>
      <c r="N69" s="66"/>
    </row>
    <row r="70" spans="2:14">
      <c r="B70" s="67"/>
      <c r="N70" s="66"/>
    </row>
    <row r="71" spans="2:14">
      <c r="B71" s="67"/>
      <c r="N71" s="66"/>
    </row>
    <row r="72" spans="2:14">
      <c r="B72" s="67"/>
      <c r="N72" s="66"/>
    </row>
    <row r="73" spans="2:14">
      <c r="B73" s="67"/>
      <c r="N73" s="66"/>
    </row>
    <row r="74" spans="2:14">
      <c r="B74" s="67"/>
      <c r="N74" s="66"/>
    </row>
    <row r="75" spans="2:14">
      <c r="B75" s="67"/>
      <c r="N75" s="66"/>
    </row>
    <row r="76" spans="2:14">
      <c r="B76" s="67"/>
      <c r="N76" s="66"/>
    </row>
    <row r="77" spans="2:14">
      <c r="B77" s="67"/>
    </row>
    <row r="78" spans="2:14">
      <c r="B78" s="67"/>
    </row>
    <row r="79" spans="2:14">
      <c r="B79" s="67"/>
    </row>
    <row r="80" spans="2:14">
      <c r="B80" s="67"/>
    </row>
    <row r="81" spans="1:2">
      <c r="B81" s="67"/>
    </row>
    <row r="82" spans="1:2">
      <c r="B82" s="67"/>
    </row>
    <row r="83" spans="1:2">
      <c r="B83" s="67"/>
    </row>
    <row r="84" spans="1:2">
      <c r="B84" s="67"/>
    </row>
    <row r="85" spans="1:2">
      <c r="B85" s="67"/>
    </row>
    <row r="86" spans="1:2">
      <c r="B86" s="67"/>
    </row>
    <row r="87" spans="1:2">
      <c r="B87" s="67"/>
    </row>
    <row r="88" spans="1:2">
      <c r="A88" s="94"/>
      <c r="B88" s="95"/>
    </row>
    <row r="89" spans="1:2">
      <c r="A89" s="94"/>
      <c r="B89" s="95"/>
    </row>
    <row r="90" spans="1:2">
      <c r="A90" s="94"/>
      <c r="B90" s="95"/>
    </row>
    <row r="91" spans="1:2">
      <c r="A91" s="94"/>
      <c r="B91" s="95"/>
    </row>
    <row r="92" spans="1:2">
      <c r="A92" s="94"/>
      <c r="B92" s="95"/>
    </row>
    <row r="93" spans="1:2">
      <c r="A93" s="94"/>
      <c r="B93" s="95"/>
    </row>
    <row r="94" spans="1:2">
      <c r="A94" s="94"/>
      <c r="B94" s="95"/>
    </row>
    <row r="95" spans="1:2">
      <c r="A95" s="94"/>
      <c r="B95" s="95"/>
    </row>
    <row r="96" spans="1:2">
      <c r="A96" s="94"/>
      <c r="B96" s="95"/>
    </row>
    <row r="97" spans="1:2">
      <c r="A97" s="94"/>
      <c r="B97" s="95"/>
    </row>
    <row r="98" spans="1:2">
      <c r="A98" s="94"/>
      <c r="B98" s="95"/>
    </row>
    <row r="99" spans="1:2">
      <c r="A99" s="94"/>
      <c r="B99" s="95"/>
    </row>
    <row r="100" spans="1:2">
      <c r="B100" s="67"/>
    </row>
    <row r="101" spans="1:2">
      <c r="B101" s="67"/>
    </row>
    <row r="102" spans="1:2">
      <c r="B102" s="67"/>
    </row>
    <row r="103" spans="1:2">
      <c r="B103" s="67"/>
    </row>
    <row r="104" spans="1:2">
      <c r="B104" s="67"/>
    </row>
    <row r="105" spans="1:2">
      <c r="B105" s="67"/>
    </row>
    <row r="106" spans="1:2">
      <c r="B106" s="67"/>
    </row>
    <row r="107" spans="1:2">
      <c r="B107" s="67"/>
    </row>
    <row r="108" spans="1:2">
      <c r="B108" s="67"/>
    </row>
    <row r="109" spans="1:2">
      <c r="B109" s="67"/>
    </row>
    <row r="110" spans="1:2">
      <c r="B110" s="67"/>
    </row>
    <row r="111" spans="1:2">
      <c r="B111" s="67"/>
    </row>
    <row r="112" spans="1:2">
      <c r="A112" s="94"/>
      <c r="B112" s="95"/>
    </row>
    <row r="113" spans="1:2">
      <c r="A113" s="94"/>
      <c r="B113" s="95"/>
    </row>
    <row r="114" spans="1:2">
      <c r="A114" s="94"/>
      <c r="B114" s="95"/>
    </row>
    <row r="115" spans="1:2">
      <c r="A115" s="94"/>
      <c r="B115" s="95"/>
    </row>
    <row r="116" spans="1:2">
      <c r="A116" s="94"/>
      <c r="B116" s="95"/>
    </row>
    <row r="117" spans="1:2">
      <c r="A117" s="94"/>
      <c r="B117" s="95"/>
    </row>
    <row r="118" spans="1:2">
      <c r="A118" s="94"/>
      <c r="B118" s="95"/>
    </row>
    <row r="119" spans="1:2">
      <c r="A119" s="94"/>
      <c r="B119" s="95"/>
    </row>
    <row r="120" spans="1:2">
      <c r="A120" s="94"/>
      <c r="B120" s="95"/>
    </row>
    <row r="121" spans="1:2">
      <c r="A121" s="94"/>
      <c r="B121" s="95"/>
    </row>
    <row r="122" spans="1:2">
      <c r="A122" s="94"/>
      <c r="B122" s="95"/>
    </row>
    <row r="123" spans="1:2">
      <c r="A123" s="94"/>
      <c r="B123" s="95"/>
    </row>
    <row r="124" spans="1:2">
      <c r="A124" s="94"/>
      <c r="B124" s="95"/>
    </row>
    <row r="161" spans="2:6" ht="17" thickBot="1"/>
    <row r="162" spans="2:6" ht="17" thickBot="1">
      <c r="B162" s="67"/>
      <c r="C162" s="64" t="s">
        <v>42</v>
      </c>
      <c r="D162" s="60" t="s">
        <v>43</v>
      </c>
      <c r="E162" s="103">
        <v>105088.9</v>
      </c>
      <c r="F162" s="60" t="s">
        <v>44</v>
      </c>
    </row>
    <row r="163" spans="2:6" ht="17" thickBot="1">
      <c r="B163" s="67"/>
      <c r="E163" s="60">
        <f>E162*1000000</f>
        <v>105088900000</v>
      </c>
      <c r="F163" s="60" t="s">
        <v>43</v>
      </c>
    </row>
    <row r="164" spans="2:6" ht="17" thickBot="1">
      <c r="B164" s="67"/>
      <c r="D164" s="60" t="s">
        <v>45</v>
      </c>
      <c r="E164" s="104">
        <f>(97.3+42.2)</f>
        <v>139.5</v>
      </c>
      <c r="F164" s="60" t="s">
        <v>46</v>
      </c>
    </row>
    <row r="165" spans="2:6">
      <c r="B165" s="67"/>
      <c r="E165" s="60">
        <f>E164*1000000000</f>
        <v>139500000000</v>
      </c>
      <c r="F165" s="60" t="s">
        <v>45</v>
      </c>
    </row>
    <row r="166" spans="2:6">
      <c r="B166" s="67"/>
    </row>
    <row r="167" spans="2:6">
      <c r="B167" s="67"/>
      <c r="E167" s="105">
        <f>E165/E163</f>
        <v>1.3274475230019536</v>
      </c>
      <c r="F167" s="60" t="s">
        <v>47</v>
      </c>
    </row>
    <row r="168" spans="2:6">
      <c r="B168" s="67"/>
    </row>
    <row r="169" spans="2:6">
      <c r="B169" s="67"/>
    </row>
    <row r="170" spans="2:6">
      <c r="B170" s="67"/>
    </row>
    <row r="171" spans="2:6">
      <c r="B171" s="67"/>
      <c r="D171" s="60" t="str">
        <f>Dashboard!C11</f>
        <v>output.passenger_kms</v>
      </c>
      <c r="E171" s="60">
        <f>E167*E72</f>
        <v>0</v>
      </c>
      <c r="F171" s="60" t="s">
        <v>48</v>
      </c>
    </row>
    <row r="172" spans="2:6">
      <c r="B172" s="67"/>
    </row>
    <row r="173" spans="2:6">
      <c r="B173" s="67"/>
    </row>
    <row r="174" spans="2:6">
      <c r="B174" s="67"/>
    </row>
    <row r="175" spans="2:6">
      <c r="B175" s="67"/>
    </row>
    <row r="176" spans="2:6">
      <c r="B176" s="67"/>
    </row>
    <row r="177" spans="2:2">
      <c r="B177" s="67"/>
    </row>
    <row r="178" spans="2:2">
      <c r="B178" s="67"/>
    </row>
    <row r="179" spans="2:2">
      <c r="B179" s="67"/>
    </row>
    <row r="180" spans="2:2">
      <c r="B180" s="67"/>
    </row>
    <row r="181" spans="2:2">
      <c r="B181" s="67"/>
    </row>
    <row r="182" spans="2:2">
      <c r="B182" s="67"/>
    </row>
    <row r="183" spans="2:2">
      <c r="B183" s="67"/>
    </row>
    <row r="184" spans="2:2">
      <c r="B184" s="67"/>
    </row>
    <row r="185" spans="2:2">
      <c r="B185" s="67"/>
    </row>
    <row r="186" spans="2:2">
      <c r="B186" s="67"/>
    </row>
    <row r="187" spans="2:2">
      <c r="B187" s="67"/>
    </row>
    <row r="188" spans="2:2">
      <c r="B188" s="67"/>
    </row>
    <row r="189" spans="2:2">
      <c r="B189" s="67"/>
    </row>
    <row r="190" spans="2:2">
      <c r="B190" s="67"/>
    </row>
    <row r="191" spans="2:2">
      <c r="B191" s="67"/>
    </row>
    <row r="192" spans="2:2">
      <c r="B192" s="67"/>
    </row>
    <row r="193" spans="2:2">
      <c r="B193" s="67"/>
    </row>
    <row r="194" spans="2:2">
      <c r="B194" s="67"/>
    </row>
    <row r="195" spans="2:2">
      <c r="B195" s="67"/>
    </row>
    <row r="196" spans="2:2">
      <c r="B196" s="67"/>
    </row>
    <row r="197" spans="2:2">
      <c r="B197" s="67"/>
    </row>
    <row r="198" spans="2:2">
      <c r="B198" s="67"/>
    </row>
    <row r="199" spans="2:2">
      <c r="B199" s="67"/>
    </row>
    <row r="200" spans="2:2">
      <c r="B200" s="67"/>
    </row>
    <row r="201" spans="2:2">
      <c r="B201" s="67"/>
    </row>
    <row r="202" spans="2:2">
      <c r="B202" s="67"/>
    </row>
    <row r="203" spans="2:2">
      <c r="B203" s="67"/>
    </row>
    <row r="204" spans="2:2">
      <c r="B204" s="67"/>
    </row>
    <row r="205" spans="2:2">
      <c r="B205" s="67"/>
    </row>
    <row r="206" spans="2:2">
      <c r="B206" s="67"/>
    </row>
    <row r="207" spans="2:2">
      <c r="B207" s="67"/>
    </row>
  </sheetData>
  <pageMargins left="0.75" right="0.75" top="1" bottom="1" header="0.5" footer="0.5"/>
  <pageSetup paperSize="9" orientation="portrait" horizontalDpi="4294967292" verticalDpi="4294967292"/>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Cover sheet</vt:lpstr>
      <vt:lpstr>Dashboard</vt:lpstr>
      <vt:lpstr>Research data</vt:lpstr>
      <vt:lpstr>Sources</vt:lpstr>
      <vt:lpstr>Notes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Kyra de Haan</cp:lastModifiedBy>
  <dcterms:created xsi:type="dcterms:W3CDTF">2011-10-26T09:05:09Z</dcterms:created>
  <dcterms:modified xsi:type="dcterms:W3CDTF">2025-08-29T07:34:03Z</dcterms:modified>
</cp:coreProperties>
</file>