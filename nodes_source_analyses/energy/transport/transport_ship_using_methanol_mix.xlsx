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showInkAnnotation="0" codeName="ThisWorkbook" autoCompressPictures="0"/>
  <mc:AlternateContent xmlns:mc="http://schemas.openxmlformats.org/markup-compatibility/2006">
    <mc:Choice Requires="x15">
      <x15ac:absPath xmlns:x15ac="http://schemas.microsoft.com/office/spreadsheetml/2010/11/ac" url="/Users/kaskranenburg/Code/etdataset/nodes_source_analyses/energy/transport/"/>
    </mc:Choice>
  </mc:AlternateContent>
  <xr:revisionPtr revIDLastSave="0" documentId="13_ncr:1_{170938AF-BE92-174F-AEB7-DAC4D3B9FB65}" xr6:coauthVersionLast="47" xr6:coauthVersionMax="47" xr10:uidLastSave="{00000000-0000-0000-0000-000000000000}"/>
  <bookViews>
    <workbookView xWindow="-2600" yWindow="-21100" windowWidth="38400" windowHeight="211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 r="E32" i="20"/>
  <c r="E28" i="20"/>
  <c r="F41" i="20"/>
  <c r="F45" i="20" s="1"/>
  <c r="F49" i="20" s="1"/>
  <c r="F11" i="13"/>
  <c r="E15" i="12" s="1"/>
  <c r="E34" i="20" l="1"/>
  <c r="E35" i="20" s="1"/>
  <c r="F7" i="13" s="1"/>
</calcChain>
</file>

<file path=xl/sharedStrings.xml><?xml version="1.0" encoding="utf-8"?>
<sst xmlns="http://schemas.openxmlformats.org/spreadsheetml/2006/main" count="115" uniqueCount="88">
  <si>
    <t>Source</t>
  </si>
  <si>
    <t>years</t>
  </si>
  <si>
    <t>-</t>
  </si>
  <si>
    <t>Technical lifetime</t>
  </si>
  <si>
    <t>Value</t>
  </si>
  <si>
    <t>Other</t>
  </si>
  <si>
    <t>Definition</t>
  </si>
  <si>
    <t>Unit</t>
  </si>
  <si>
    <t>Link</t>
  </si>
  <si>
    <t>Cover Sheet</t>
  </si>
  <si>
    <t>Document</t>
  </si>
  <si>
    <t>Country</t>
  </si>
  <si>
    <t>Organization</t>
  </si>
  <si>
    <t>Quintel Intelligence</t>
  </si>
  <si>
    <t>Type</t>
  </si>
  <si>
    <t>Date published</t>
  </si>
  <si>
    <t>Date retrieved</t>
  </si>
  <si>
    <t>Attribute</t>
  </si>
  <si>
    <t>free_co2_factor</t>
  </si>
  <si>
    <t>technical_lifetime</t>
  </si>
  <si>
    <t>Notes</t>
  </si>
  <si>
    <t xml:space="preserve">Technical lifetime </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</si>
  <si>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</si>
  <si>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</si>
  <si>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</si>
  <si>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</si>
  <si>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</si>
  <si>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</si>
  <si>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</si>
  <si>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</si>
  <si>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</si>
  <si>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</si>
  <si>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</si>
  <si>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</si>
  <si>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</si>
  <si>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</si>
  <si>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</si>
  <si>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</si>
  <si>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Parameters</t>
  </si>
  <si>
    <t>Technical</t>
  </si>
  <si>
    <t>Comments</t>
  </si>
  <si>
    <t>Subject year</t>
  </si>
  <si>
    <t>ETM Library URL</t>
  </si>
  <si>
    <t>Efficiency</t>
  </si>
  <si>
    <t>Free CO2 factor</t>
  </si>
  <si>
    <t>NL</t>
  </si>
  <si>
    <t>www.ecn.nl/docs/library/report/2013/o13038.pdf</t>
  </si>
  <si>
    <t>TNO, ECN, CE Delft (2013)</t>
  </si>
  <si>
    <t>TNO, ECN, CE Delft</t>
  </si>
  <si>
    <t>http://refman.et-model.com/publications/1928</t>
  </si>
  <si>
    <t>yrs</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</si>
  <si>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</si>
  <si>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output.freight_tonne_kms</t>
  </si>
  <si>
    <t>tkm/MJ</t>
  </si>
  <si>
    <t>MJ/tkm</t>
  </si>
  <si>
    <t>Efficiency Groot Rijnschip</t>
  </si>
  <si>
    <t>Resulting efficiency in tkm/MJ</t>
  </si>
  <si>
    <t>Parameter</t>
  </si>
  <si>
    <t>Efficiency R.H.K.</t>
  </si>
  <si>
    <t>CO2 emissiefactoren</t>
  </si>
  <si>
    <t>https://www.co2emissiefactoren.nl/lijst-emissiefactoren/</t>
  </si>
  <si>
    <t>CE Delft (2017)</t>
  </si>
  <si>
    <t>https://www.ce.nl/publicatie/stream_goederenvervoer_2016/1854</t>
  </si>
  <si>
    <t>https://refman.energytransitionmodel.com/publications/2071</t>
  </si>
  <si>
    <t>Average efficiency current fleet</t>
  </si>
  <si>
    <t>Relative efficiency LNG ships</t>
  </si>
  <si>
    <t>CO2 emissiefactoren (2021) uses average efficiency of Groot Rijnschip and R.H.K. for heavy transport over the Waal as a representative number for current inland shipping fleet, see https://www.co2emissiefactoren.nl/lijst-emissiefactoren/</t>
  </si>
  <si>
    <t>Average efficiency LNG ships</t>
  </si>
  <si>
    <t>CE Delft (2017) value for Waal &amp; zwaar transport bulk (table 19).</t>
  </si>
  <si>
    <t>CE Delft (2017) indicates no higher energy consumption for inland shipping using LNG (table 34).</t>
  </si>
  <si>
    <t>CE Delft, CO2 emissiefactoren</t>
  </si>
  <si>
    <t>Representative ships for current fleet</t>
  </si>
  <si>
    <t>CE Delft &amp; CO2 emissiefactoren LNG</t>
  </si>
  <si>
    <t>Correction for Methanol in comparison to LNG</t>
  </si>
  <si>
    <t>mj per kg LNG used in ETM</t>
  </si>
  <si>
    <t>kg per liter LNG used in ETM</t>
  </si>
  <si>
    <t>MJ per liter LNG</t>
  </si>
  <si>
    <t>efficiency correction factor</t>
  </si>
  <si>
    <t xml:space="preserve">efficieny Methanol </t>
  </si>
  <si>
    <t>Kas Kranenburg</t>
  </si>
  <si>
    <t>transport_ship_using_methanol_mix</t>
  </si>
  <si>
    <t>kg per liter Methanol used in ETM</t>
  </si>
  <si>
    <t>mj per kg Methanol used in ETM</t>
  </si>
  <si>
    <t>MJ per liter Methanol</t>
  </si>
  <si>
    <t>No sufficient data is available for methanol usage In shipping. Therefore, the specs for LNG are taken and corrected for the methanol carrier. </t>
  </si>
  <si>
    <t>TNO, ECN, CE Delft, CO2 emissiefactoren</t>
  </si>
  <si>
    <t>Efficiency, Relative fuel consumption for LNG ships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</si>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</sst>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0000000"/>
    <numFmt numFmtId="167" formatCode="0.000000000"/>
    <numFmt numFmtId="178" formatCode="0.00000"/>
  </numFmts>
  <fonts count="34">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sz val="12"/>
      <color rgb="FF000000"/>
      <name val="Calibri"/>
      <family val="2"/>
    </font>
    <font>
      <i/>
      <sz val="12"/>
      <color theme="1"/>
      <name val="Calibri"/>
      <family val="2"/>
      <scheme val="minor"/>
    </font>
    <font>
      <sz val="12"/>
      <color theme="1"/>
      <name val="Calibri (Body)"/>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249">
    <xf numFmtId="0" fontId="0" fillId="0"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alignment vertical="top"/>
      <protection locked="0"/>
    </xf>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cellStyleXfs>
  <cellXfs count="149">
    <xf numFmtId="0" fontId="0" fillId="0" borderId="0" xfId="0"/>
    <xf numFmtId="0" fontId="26" fillId="3" borderId="7" xfId="0" applyFont="1" applyFill="1" applyBorder="1"/>
    <xf numFmtId="0" fontId="27" fillId="3" borderId="17" xfId="0" applyFont="1" applyFill="1" applyBorder="1"/>
    <xf numFmtId="0" fontId="26" fillId="3" borderId="13" xfId="0" applyFont="1" applyFill="1" applyBorder="1"/>
    <xf numFmtId="0" fontId="28" fillId="3" borderId="7" xfId="0" applyFont="1" applyFill="1" applyBorder="1" applyAlignment="1">
      <alignment vertical="center"/>
    </xf>
    <xf numFmtId="49" fontId="26" fillId="2" borderId="8" xfId="0" applyNumberFormat="1" applyFont="1" applyFill="1" applyBorder="1" applyAlignment="1">
      <alignment horizontal="left"/>
    </xf>
    <xf numFmtId="0" fontId="28" fillId="3" borderId="1" xfId="0" applyFont="1" applyFill="1" applyBorder="1" applyAlignment="1">
      <alignment vertical="center"/>
    </xf>
    <xf numFmtId="0" fontId="26" fillId="3" borderId="14" xfId="0" applyFont="1" applyFill="1" applyBorder="1"/>
    <xf numFmtId="0" fontId="26" fillId="3" borderId="0" xfId="0" applyFont="1" applyFill="1"/>
    <xf numFmtId="1" fontId="25" fillId="2" borderId="0" xfId="0" applyNumberFormat="1" applyFont="1" applyFill="1" applyAlignment="1">
      <alignment horizontal="right" vertical="center"/>
    </xf>
    <xf numFmtId="2" fontId="25" fillId="2" borderId="0" xfId="0" applyNumberFormat="1" applyFont="1" applyFill="1" applyAlignment="1">
      <alignment horizontal="right" vertical="center"/>
    </xf>
    <xf numFmtId="0" fontId="25" fillId="0" borderId="0" xfId="0" applyFont="1" applyAlignment="1">
      <alignment horizontal="left" vertical="center"/>
    </xf>
    <xf numFmtId="0" fontId="25" fillId="2" borderId="0" xfId="0" applyFont="1" applyFill="1"/>
    <xf numFmtId="0" fontId="25" fillId="2" borderId="5" xfId="0" applyFont="1" applyFill="1" applyBorder="1"/>
    <xf numFmtId="0" fontId="25" fillId="2" borderId="9" xfId="0" applyFont="1" applyFill="1" applyBorder="1"/>
    <xf numFmtId="49" fontId="25" fillId="2" borderId="0" xfId="0" applyNumberFormat="1" applyFont="1" applyFill="1"/>
    <xf numFmtId="49" fontId="25" fillId="2" borderId="9" xfId="0" applyNumberFormat="1" applyFont="1" applyFill="1" applyBorder="1"/>
    <xf numFmtId="0" fontId="25" fillId="2" borderId="4" xfId="0" applyFont="1" applyFill="1" applyBorder="1"/>
    <xf numFmtId="0" fontId="22" fillId="2" borderId="0" xfId="0" applyFont="1" applyFill="1"/>
    <xf numFmtId="0" fontId="26" fillId="0" borderId="0" xfId="0" applyFont="1"/>
    <xf numFmtId="0" fontId="25" fillId="2" borderId="6" xfId="0" applyFont="1" applyFill="1" applyBorder="1"/>
    <xf numFmtId="0" fontId="26" fillId="3" borderId="17" xfId="0" applyFont="1" applyFill="1" applyBorder="1"/>
    <xf numFmtId="0" fontId="26" fillId="3" borderId="2" xfId="0" applyFont="1" applyFill="1" applyBorder="1"/>
    <xf numFmtId="0" fontId="22" fillId="2" borderId="2" xfId="0" applyFont="1" applyFill="1" applyBorder="1"/>
    <xf numFmtId="0" fontId="29" fillId="3" borderId="0" xfId="0" applyFont="1" applyFill="1"/>
    <xf numFmtId="0" fontId="22" fillId="2" borderId="7" xfId="0" applyFont="1" applyFill="1" applyBorder="1"/>
    <xf numFmtId="0" fontId="25" fillId="2" borderId="19" xfId="0" applyFont="1" applyFill="1" applyBorder="1"/>
    <xf numFmtId="0" fontId="25" fillId="0" borderId="0" xfId="0" applyFont="1"/>
    <xf numFmtId="0" fontId="27" fillId="3" borderId="0" xfId="0" applyFont="1" applyFill="1"/>
    <xf numFmtId="0" fontId="25" fillId="2" borderId="0" xfId="0" applyFont="1" applyFill="1" applyAlignment="1">
      <alignment horizontal="left" vertical="center"/>
    </xf>
    <xf numFmtId="0" fontId="21" fillId="2" borderId="0" xfId="0" applyFont="1" applyFill="1"/>
    <xf numFmtId="0" fontId="21" fillId="2" borderId="3" xfId="0" applyFont="1" applyFill="1" applyBorder="1"/>
    <xf numFmtId="0" fontId="21" fillId="2" borderId="15" xfId="0" applyFont="1" applyFill="1" applyBorder="1"/>
    <xf numFmtId="0" fontId="21" fillId="0" borderId="0" xfId="0" applyFont="1"/>
    <xf numFmtId="0" fontId="21" fillId="2" borderId="6" xfId="0" applyFont="1" applyFill="1" applyBorder="1"/>
    <xf numFmtId="164" fontId="21" fillId="2" borderId="18" xfId="0" applyNumberFormat="1" applyFont="1" applyFill="1" applyBorder="1"/>
    <xf numFmtId="0" fontId="21" fillId="2" borderId="10" xfId="0" applyFont="1" applyFill="1" applyBorder="1"/>
    <xf numFmtId="0" fontId="21" fillId="2" borderId="11" xfId="0" applyFont="1" applyFill="1" applyBorder="1"/>
    <xf numFmtId="0" fontId="21" fillId="2" borderId="12" xfId="0" applyFont="1" applyFill="1" applyBorder="1"/>
    <xf numFmtId="0" fontId="20" fillId="2" borderId="0" xfId="0" applyFont="1" applyFill="1"/>
    <xf numFmtId="0" fontId="20" fillId="2" borderId="3" xfId="0" applyFont="1" applyFill="1" applyBorder="1"/>
    <xf numFmtId="0" fontId="20" fillId="2" borderId="4" xfId="0" applyFont="1" applyFill="1" applyBorder="1"/>
    <xf numFmtId="0" fontId="20" fillId="2" borderId="6" xfId="0" applyFont="1" applyFill="1" applyBorder="1"/>
    <xf numFmtId="2" fontId="20" fillId="2" borderId="0" xfId="0" applyNumberFormat="1" applyFont="1" applyFill="1" applyAlignment="1">
      <alignment horizontal="right" vertical="center"/>
    </xf>
    <xf numFmtId="2" fontId="20" fillId="2" borderId="18" xfId="0" applyNumberFormat="1" applyFont="1" applyFill="1" applyBorder="1" applyAlignment="1">
      <alignment horizontal="right" vertical="center"/>
    </xf>
    <xf numFmtId="10" fontId="20" fillId="2" borderId="0" xfId="0" applyNumberFormat="1" applyFont="1" applyFill="1" applyAlignment="1">
      <alignment horizontal="left" vertical="center" indent="2"/>
    </xf>
    <xf numFmtId="0" fontId="16" fillId="2" borderId="0" xfId="0" applyFont="1" applyFill="1"/>
    <xf numFmtId="0" fontId="16" fillId="2" borderId="3" xfId="0" applyFont="1" applyFill="1" applyBorder="1"/>
    <xf numFmtId="0" fontId="16" fillId="2" borderId="4" xfId="0" applyFont="1" applyFill="1" applyBorder="1"/>
    <xf numFmtId="0" fontId="16" fillId="2" borderId="9" xfId="0" applyFont="1" applyFill="1" applyBorder="1"/>
    <xf numFmtId="0" fontId="16" fillId="2" borderId="6" xfId="0" applyFont="1" applyFill="1" applyBorder="1"/>
    <xf numFmtId="0" fontId="16" fillId="2" borderId="0" xfId="0" applyFont="1" applyFill="1" applyAlignment="1">
      <alignment horizontal="right"/>
    </xf>
    <xf numFmtId="49" fontId="16" fillId="2" borderId="0" xfId="0" applyNumberFormat="1" applyFont="1" applyFill="1"/>
    <xf numFmtId="49" fontId="16" fillId="2" borderId="4" xfId="0" applyNumberFormat="1" applyFont="1" applyFill="1" applyBorder="1"/>
    <xf numFmtId="0" fontId="16" fillId="2" borderId="16" xfId="0" applyFont="1" applyFill="1" applyBorder="1"/>
    <xf numFmtId="0" fontId="16" fillId="2" borderId="0" xfId="0" applyFont="1" applyFill="1" applyAlignment="1">
      <alignment vertical="top"/>
    </xf>
    <xf numFmtId="0" fontId="15" fillId="0" borderId="0" xfId="0" applyFont="1"/>
    <xf numFmtId="0" fontId="25" fillId="2" borderId="17" xfId="0" applyFont="1" applyFill="1" applyBorder="1"/>
    <xf numFmtId="0" fontId="14" fillId="2" borderId="2" xfId="0" applyFont="1" applyFill="1" applyBorder="1"/>
    <xf numFmtId="0" fontId="25" fillId="2" borderId="7" xfId="0" applyFont="1" applyFill="1" applyBorder="1"/>
    <xf numFmtId="0" fontId="14" fillId="2" borderId="0" xfId="0" applyFont="1" applyFill="1"/>
    <xf numFmtId="0" fontId="32" fillId="2" borderId="0" xfId="0" applyFont="1" applyFill="1"/>
    <xf numFmtId="0" fontId="14" fillId="2" borderId="18" xfId="0" applyFont="1" applyFill="1" applyBorder="1"/>
    <xf numFmtId="0" fontId="14" fillId="4" borderId="0" xfId="0" applyFont="1" applyFill="1"/>
    <xf numFmtId="0" fontId="14" fillId="5" borderId="0" xfId="0" applyFont="1" applyFill="1"/>
    <xf numFmtId="0" fontId="14" fillId="6" borderId="0" xfId="0" applyFont="1" applyFill="1"/>
    <xf numFmtId="0" fontId="14" fillId="7" borderId="0" xfId="0" applyFont="1" applyFill="1"/>
    <xf numFmtId="0" fontId="14" fillId="2" borderId="7" xfId="0" applyFont="1" applyFill="1" applyBorder="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25" fillId="2" borderId="9" xfId="0" applyFont="1" applyFill="1" applyBorder="1" applyAlignment="1">
      <alignment vertical="center"/>
    </xf>
    <xf numFmtId="165" fontId="20" fillId="2" borderId="0" xfId="0" applyNumberFormat="1" applyFont="1" applyFill="1" applyAlignment="1">
      <alignment vertical="center"/>
    </xf>
    <xf numFmtId="0" fontId="17" fillId="2" borderId="0" xfId="0" applyFont="1" applyFill="1" applyAlignment="1">
      <alignment horizontal="left" vertical="center"/>
    </xf>
    <xf numFmtId="0" fontId="21" fillId="2" borderId="5" xfId="0" applyFont="1" applyFill="1" applyBorder="1"/>
    <xf numFmtId="0" fontId="25" fillId="2" borderId="16" xfId="0" applyFont="1" applyFill="1" applyBorder="1"/>
    <xf numFmtId="0" fontId="27" fillId="2" borderId="9" xfId="0" applyFont="1" applyFill="1" applyBorder="1"/>
    <xf numFmtId="0" fontId="26" fillId="2" borderId="0" xfId="0" applyFont="1" applyFill="1"/>
    <xf numFmtId="166" fontId="21" fillId="2" borderId="0" xfId="0" applyNumberFormat="1" applyFont="1" applyFill="1"/>
    <xf numFmtId="164" fontId="30" fillId="2" borderId="0" xfId="0" applyNumberFormat="1" applyFont="1" applyFill="1"/>
    <xf numFmtId="0" fontId="13" fillId="2" borderId="0" xfId="0" applyFont="1" applyFill="1"/>
    <xf numFmtId="0" fontId="11" fillId="2" borderId="0" xfId="0" applyFont="1" applyFill="1"/>
    <xf numFmtId="0" fontId="10" fillId="2" borderId="0" xfId="0" applyFont="1" applyFill="1" applyAlignment="1">
      <alignment horizontal="right"/>
    </xf>
    <xf numFmtId="0" fontId="10" fillId="2" borderId="0" xfId="0" applyFont="1" applyFill="1"/>
    <xf numFmtId="0" fontId="9" fillId="0" borderId="0" xfId="0" applyFont="1"/>
    <xf numFmtId="0" fontId="9" fillId="0" borderId="0" xfId="0" applyFont="1" applyAlignment="1">
      <alignment horizontal="left" vertical="center" indent="2"/>
    </xf>
    <xf numFmtId="165" fontId="9" fillId="0" borderId="0" xfId="0" applyNumberFormat="1" applyFont="1" applyAlignment="1">
      <alignment vertical="center"/>
    </xf>
    <xf numFmtId="0" fontId="8" fillId="2" borderId="0" xfId="0" applyFont="1" applyFill="1"/>
    <xf numFmtId="17" fontId="16" fillId="2" borderId="0" xfId="0" applyNumberFormat="1" applyFont="1" applyFill="1"/>
    <xf numFmtId="15" fontId="10" fillId="2" borderId="0" xfId="0" applyNumberFormat="1" applyFont="1" applyFill="1" applyAlignment="1">
      <alignment horizontal="right"/>
    </xf>
    <xf numFmtId="0" fontId="20" fillId="2" borderId="18" xfId="0" applyFont="1" applyFill="1" applyBorder="1"/>
    <xf numFmtId="0" fontId="7" fillId="2" borderId="0" xfId="0" applyFont="1" applyFill="1"/>
    <xf numFmtId="0" fontId="7" fillId="2" borderId="18" xfId="0" applyFont="1" applyFill="1" applyBorder="1"/>
    <xf numFmtId="0" fontId="6" fillId="0" borderId="0" xfId="0" applyFont="1"/>
    <xf numFmtId="0" fontId="6" fillId="0" borderId="0" xfId="0" applyFont="1" applyAlignment="1">
      <alignment horizontal="left" vertical="center"/>
    </xf>
    <xf numFmtId="0" fontId="5" fillId="2" borderId="0" xfId="0" applyFont="1" applyFill="1"/>
    <xf numFmtId="0" fontId="5" fillId="2" borderId="6" xfId="0" applyFont="1" applyFill="1" applyBorder="1"/>
    <xf numFmtId="0" fontId="4" fillId="2" borderId="0" xfId="0" applyFont="1" applyFill="1"/>
    <xf numFmtId="167" fontId="5" fillId="2" borderId="0" xfId="0" applyNumberFormat="1" applyFont="1" applyFill="1"/>
    <xf numFmtId="10" fontId="5" fillId="2" borderId="0" xfId="0" applyNumberFormat="1" applyFont="1" applyFill="1"/>
    <xf numFmtId="10" fontId="16" fillId="2" borderId="0" xfId="0" applyNumberFormat="1" applyFont="1" applyFill="1"/>
    <xf numFmtId="0" fontId="3" fillId="2" borderId="0" xfId="0" applyFont="1" applyFill="1"/>
    <xf numFmtId="0" fontId="3" fillId="2" borderId="0" xfId="0" quotePrefix="1" applyFont="1" applyFill="1"/>
    <xf numFmtId="0" fontId="9" fillId="2" borderId="0" xfId="0" applyFont="1" applyFill="1" applyAlignment="1">
      <alignment vertical="top"/>
    </xf>
    <xf numFmtId="0" fontId="3" fillId="2" borderId="0" xfId="0" applyFont="1" applyFill="1" applyAlignment="1">
      <alignment vertical="top"/>
    </xf>
    <xf numFmtId="0" fontId="8" fillId="2" borderId="0" xfId="0" applyFont="1" applyFill="1" applyAlignment="1">
      <alignment vertical="top"/>
    </xf>
    <xf numFmtId="0" fontId="16" fillId="2" borderId="15" xfId="0" applyFont="1" applyFill="1" applyBorder="1"/>
    <xf numFmtId="0" fontId="16" fillId="2" borderId="5" xfId="0" applyFont="1" applyFill="1" applyBorder="1"/>
    <xf numFmtId="0" fontId="23" fillId="0" borderId="5" xfId="177" applyBorder="1" applyAlignment="1" applyProtection="1"/>
    <xf numFmtId="49" fontId="5" fillId="2" borderId="0" xfId="0" applyNumberFormat="1" applyFont="1" applyFill="1"/>
    <xf numFmtId="0" fontId="5" fillId="2" borderId="5" xfId="0" applyFont="1" applyFill="1" applyBorder="1"/>
    <xf numFmtId="0" fontId="12" fillId="2" borderId="5" xfId="0" applyFont="1" applyFill="1" applyBorder="1"/>
    <xf numFmtId="0" fontId="16" fillId="2" borderId="10" xfId="0" applyFont="1" applyFill="1" applyBorder="1"/>
    <xf numFmtId="0" fontId="16" fillId="2" borderId="11" xfId="0" applyFont="1" applyFill="1" applyBorder="1"/>
    <xf numFmtId="0" fontId="10" fillId="2" borderId="11" xfId="0" applyFont="1" applyFill="1" applyBorder="1"/>
    <xf numFmtId="49" fontId="10" fillId="2" borderId="11" xfId="0" applyNumberFormat="1" applyFont="1" applyFill="1" applyBorder="1"/>
    <xf numFmtId="49" fontId="16" fillId="2" borderId="11" xfId="0" applyNumberFormat="1" applyFont="1" applyFill="1" applyBorder="1"/>
    <xf numFmtId="0" fontId="16" fillId="2" borderId="12" xfId="0" applyFont="1" applyFill="1" applyBorder="1"/>
    <xf numFmtId="1" fontId="5" fillId="2" borderId="0" xfId="0" applyNumberFormat="1" applyFont="1" applyFill="1"/>
    <xf numFmtId="0" fontId="0" fillId="2" borderId="0" xfId="0" applyFill="1"/>
    <xf numFmtId="0" fontId="16" fillId="2" borderId="19" xfId="0" applyFont="1" applyFill="1" applyBorder="1"/>
    <xf numFmtId="0" fontId="20" fillId="2" borderId="15" xfId="0" applyFont="1" applyFill="1" applyBorder="1"/>
    <xf numFmtId="0" fontId="18" fillId="0" borderId="0" xfId="0" applyFont="1"/>
    <xf numFmtId="0" fontId="20" fillId="2" borderId="5" xfId="0" applyFont="1" applyFill="1" applyBorder="1"/>
    <xf numFmtId="0" fontId="19" fillId="0" borderId="0" xfId="0" applyFont="1"/>
    <xf numFmtId="0" fontId="20" fillId="0" borderId="0" xfId="0" applyFont="1"/>
    <xf numFmtId="0" fontId="7" fillId="0" borderId="0" xfId="0" applyFont="1"/>
    <xf numFmtId="0" fontId="20" fillId="2" borderId="10" xfId="0" applyFont="1" applyFill="1" applyBorder="1"/>
    <xf numFmtId="0" fontId="20" fillId="2" borderId="11" xfId="0" applyFont="1" applyFill="1" applyBorder="1"/>
    <xf numFmtId="0" fontId="20" fillId="2" borderId="12" xfId="0" applyFont="1" applyFill="1" applyBorder="1"/>
    <xf numFmtId="0" fontId="3" fillId="0" borderId="0" xfId="0" applyFont="1" applyAlignment="1">
      <alignment horizontal="left" vertical="center" indent="2"/>
    </xf>
    <xf numFmtId="0" fontId="2" fillId="2" borderId="0" xfId="0" applyFont="1" applyFill="1"/>
    <xf numFmtId="0" fontId="31" fillId="12" borderId="17" xfId="0" applyFont="1" applyFill="1" applyBorder="1" applyAlignment="1">
      <alignment horizontal="left" vertical="top" wrapText="1"/>
    </xf>
    <xf numFmtId="0" fontId="31" fillId="12" borderId="2" xfId="0" applyFont="1" applyFill="1" applyBorder="1" applyAlignment="1">
      <alignment horizontal="left" vertical="top" wrapText="1"/>
    </xf>
    <xf numFmtId="0" fontId="31" fillId="12" borderId="13" xfId="0" applyFont="1" applyFill="1" applyBorder="1" applyAlignment="1">
      <alignment horizontal="left" vertical="top" wrapText="1"/>
    </xf>
    <xf numFmtId="0" fontId="31" fillId="12" borderId="7" xfId="0" applyFont="1" applyFill="1" applyBorder="1" applyAlignment="1">
      <alignment horizontal="left" vertical="top" wrapText="1"/>
    </xf>
    <xf numFmtId="0" fontId="31" fillId="12" borderId="0" xfId="0" applyFont="1" applyFill="1" applyAlignment="1">
      <alignment horizontal="left" vertical="top" wrapText="1"/>
    </xf>
    <xf numFmtId="0" fontId="31" fillId="12" borderId="8" xfId="0" applyFont="1" applyFill="1" applyBorder="1" applyAlignment="1">
      <alignment horizontal="left" vertical="top" wrapText="1"/>
    </xf>
    <xf numFmtId="0" fontId="31" fillId="12" borderId="1" xfId="0" applyFont="1" applyFill="1" applyBorder="1" applyAlignment="1">
      <alignment horizontal="left" vertical="top" wrapText="1"/>
    </xf>
    <xf numFmtId="0" fontId="31" fillId="12" borderId="9" xfId="0" applyFont="1" applyFill="1" applyBorder="1" applyAlignment="1">
      <alignment horizontal="left" vertical="top" wrapText="1"/>
    </xf>
    <xf numFmtId="0" fontId="31" fillId="12" borderId="14" xfId="0" applyFont="1" applyFill="1" applyBorder="1" applyAlignment="1">
      <alignment horizontal="left" vertical="top" wrapText="1"/>
    </xf>
    <xf numFmtId="0" fontId="3" fillId="2" borderId="0" xfId="0" applyFont="1" applyFill="1" applyAlignment="1">
      <alignment wrapText="1"/>
    </xf>
    <xf numFmtId="0" fontId="1" fillId="2" borderId="0" xfId="0" applyFont="1" applyFill="1"/>
    <xf numFmtId="0" fontId="33" fillId="0" borderId="0" xfId="0" applyFont="1"/>
    <xf numFmtId="0" fontId="1" fillId="0" borderId="0" xfId="0" applyFont="1"/>
    <xf numFmtId="0" fontId="1" fillId="2" borderId="18" xfId="0" applyFont="1" applyFill="1" applyBorder="1"/>
    <xf numFmtId="0" fontId="1" fillId="2" borderId="0" xfId="0" applyFont="1" applyFill="1" applyAlignment="1">
      <alignment vertical="top"/>
    </xf>
    <xf numFmtId="178" fontId="21" fillId="2" borderId="18" xfId="0" applyNumberFormat="1" applyFont="1" applyFill="1" applyBorder="1"/>
  </cellXfs>
  <cellStyles count="2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6</xdr:row>
      <xdr:rowOff>127000</xdr:rowOff>
    </xdr:from>
    <xdr:to>
      <xdr:col>13</xdr:col>
      <xdr:colOff>0</xdr:colOff>
      <xdr:row>19</xdr:row>
      <xdr:rowOff>76200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26200" y="1358900"/>
          <a:ext cx="6273800" cy="2590800"/>
        </a:xfrm>
        <a:prstGeom prst="rect">
          <a:avLst/>
        </a:prstGeom>
      </xdr:spPr>
    </xdr:pic>
    <xdr:clientData/>
  </xdr:twoCellAnchor>
  <xdr:twoCellAnchor editAs="oneCell">
    <xdr:from>
      <xdr:col>8</xdr:col>
      <xdr:colOff>215900</xdr:colOff>
      <xdr:row>52</xdr:row>
      <xdr:rowOff>190500</xdr:rowOff>
    </xdr:from>
    <xdr:to>
      <xdr:col>16</xdr:col>
      <xdr:colOff>266700</xdr:colOff>
      <xdr:row>85</xdr:row>
      <xdr:rowOff>19730</xdr:rowOff>
    </xdr:to>
    <xdr:pic>
      <xdr:nvPicPr>
        <xdr:cNvPr id="7" name="Picture 6">
          <a:extLst>
            <a:ext uri="{FF2B5EF4-FFF2-40B4-BE49-F238E27FC236}">
              <a16:creationId xmlns:a16="http://schemas.microsoft.com/office/drawing/2014/main" id="{5A539E40-2A97-C141-9BB1-6F8D2D589606}"/>
            </a:ext>
          </a:extLst>
        </xdr:cNvPr>
        <xdr:cNvPicPr>
          <a:picLocks noChangeAspect="1"/>
        </xdr:cNvPicPr>
      </xdr:nvPicPr>
      <xdr:blipFill>
        <a:blip xmlns:r="http://schemas.openxmlformats.org/officeDocument/2006/relationships" r:embed="rId2"/>
        <a:stretch>
          <a:fillRect/>
        </a:stretch>
      </xdr:blipFill>
      <xdr:spPr>
        <a:xfrm>
          <a:off x="8585200" y="7315200"/>
          <a:ext cx="7772400" cy="6534830"/>
        </a:xfrm>
        <a:prstGeom prst="rect">
          <a:avLst/>
        </a:prstGeom>
      </xdr:spPr>
    </xdr:pic>
    <xdr:clientData/>
  </xdr:twoCellAnchor>
  <xdr:twoCellAnchor>
    <xdr:from>
      <xdr:col>10</xdr:col>
      <xdr:colOff>863600</xdr:colOff>
      <xdr:row>74</xdr:row>
      <xdr:rowOff>177800</xdr:rowOff>
    </xdr:from>
    <xdr:to>
      <xdr:col>11</xdr:col>
      <xdr:colOff>774700</xdr:colOff>
      <xdr:row>76</xdr:row>
      <xdr:rowOff>12700</xdr:rowOff>
    </xdr:to>
    <xdr:sp macro="" textlink="">
      <xdr:nvSpPr>
        <xdr:cNvPr id="10" name="Frame 9">
          <a:extLst>
            <a:ext uri="{FF2B5EF4-FFF2-40B4-BE49-F238E27FC236}">
              <a16:creationId xmlns:a16="http://schemas.microsoft.com/office/drawing/2014/main" id="{2BCD16E7-7A5E-DC4F-B8A0-8AA0A3345651}"/>
            </a:ext>
          </a:extLst>
        </xdr:cNvPr>
        <xdr:cNvSpPr/>
      </xdr:nvSpPr>
      <xdr:spPr>
        <a:xfrm>
          <a:off x="11163300" y="11772900"/>
          <a:ext cx="876300" cy="241300"/>
        </a:xfrm>
        <a:prstGeom prst="frame">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GB" sz="1100">
            <a:solidFill>
              <a:schemeClr val="tx1"/>
            </a:solidFill>
          </a:endParaRPr>
        </a:p>
      </xdr:txBody>
    </xdr:sp>
    <xdr:clientData/>
  </xdr:twoCellAnchor>
  <xdr:twoCellAnchor>
    <xdr:from>
      <xdr:col>10</xdr:col>
      <xdr:colOff>850900</xdr:colOff>
      <xdr:row>71</xdr:row>
      <xdr:rowOff>12700</xdr:rowOff>
    </xdr:from>
    <xdr:to>
      <xdr:col>11</xdr:col>
      <xdr:colOff>762000</xdr:colOff>
      <xdr:row>72</xdr:row>
      <xdr:rowOff>50800</xdr:rowOff>
    </xdr:to>
    <xdr:sp macro="" textlink="">
      <xdr:nvSpPr>
        <xdr:cNvPr id="11" name="Frame 10">
          <a:extLst>
            <a:ext uri="{FF2B5EF4-FFF2-40B4-BE49-F238E27FC236}">
              <a16:creationId xmlns:a16="http://schemas.microsoft.com/office/drawing/2014/main" id="{05B2DE36-07D1-2E4F-AC6E-063D8AAA220D}"/>
            </a:ext>
          </a:extLst>
        </xdr:cNvPr>
        <xdr:cNvSpPr/>
      </xdr:nvSpPr>
      <xdr:spPr>
        <a:xfrm>
          <a:off x="11150600" y="10998200"/>
          <a:ext cx="876300" cy="241300"/>
        </a:xfrm>
        <a:prstGeom prst="frame">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GB" sz="1100">
            <a:solidFill>
              <a:schemeClr val="tx1"/>
            </a:solidFill>
          </a:endParaRPr>
        </a:p>
      </xdr:txBody>
    </xdr:sp>
    <xdr:clientData/>
  </xdr:twoCellAnchor>
  <xdr:twoCellAnchor editAs="oneCell">
    <xdr:from>
      <xdr:col>2</xdr:col>
      <xdr:colOff>698500</xdr:colOff>
      <xdr:row>52</xdr:row>
      <xdr:rowOff>177800</xdr:rowOff>
    </xdr:from>
    <xdr:to>
      <xdr:col>6</xdr:col>
      <xdr:colOff>736600</xdr:colOff>
      <xdr:row>83</xdr:row>
      <xdr:rowOff>139700</xdr:rowOff>
    </xdr:to>
    <xdr:pic>
      <xdr:nvPicPr>
        <xdr:cNvPr id="24" name="Picture 23">
          <a:extLst>
            <a:ext uri="{FF2B5EF4-FFF2-40B4-BE49-F238E27FC236}">
              <a16:creationId xmlns:a16="http://schemas.microsoft.com/office/drawing/2014/main" id="{0E29FCE9-40B4-8A40-96D7-3AB12F929A60}"/>
            </a:ext>
          </a:extLst>
        </xdr:cNvPr>
        <xdr:cNvPicPr>
          <a:picLocks noChangeAspect="1"/>
        </xdr:cNvPicPr>
      </xdr:nvPicPr>
      <xdr:blipFill>
        <a:blip xmlns:r="http://schemas.openxmlformats.org/officeDocument/2006/relationships" r:embed="rId3"/>
        <a:stretch>
          <a:fillRect/>
        </a:stretch>
      </xdr:blipFill>
      <xdr:spPr>
        <a:xfrm>
          <a:off x="1295400" y="7302500"/>
          <a:ext cx="7289800" cy="6261100"/>
        </a:xfrm>
        <a:prstGeom prst="rect">
          <a:avLst/>
        </a:prstGeom>
      </xdr:spPr>
    </xdr:pic>
    <xdr:clientData/>
  </xdr:twoCellAnchor>
  <xdr:twoCellAnchor>
    <xdr:from>
      <xdr:col>4</xdr:col>
      <xdr:colOff>444500</xdr:colOff>
      <xdr:row>72</xdr:row>
      <xdr:rowOff>114300</xdr:rowOff>
    </xdr:from>
    <xdr:to>
      <xdr:col>4</xdr:col>
      <xdr:colOff>1320800</xdr:colOff>
      <xdr:row>73</xdr:row>
      <xdr:rowOff>152400</xdr:rowOff>
    </xdr:to>
    <xdr:sp macro="" textlink="">
      <xdr:nvSpPr>
        <xdr:cNvPr id="25" name="Frame 24">
          <a:extLst>
            <a:ext uri="{FF2B5EF4-FFF2-40B4-BE49-F238E27FC236}">
              <a16:creationId xmlns:a16="http://schemas.microsoft.com/office/drawing/2014/main" id="{3E259E90-E39D-674D-8BA5-E0C176752986}"/>
            </a:ext>
          </a:extLst>
        </xdr:cNvPr>
        <xdr:cNvSpPr/>
      </xdr:nvSpPr>
      <xdr:spPr>
        <a:xfrm>
          <a:off x="3898900" y="11303000"/>
          <a:ext cx="876300" cy="241300"/>
        </a:xfrm>
        <a:prstGeom prst="frame">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GB"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terwel/Projects/etdataset/nodes_source_analyses/transport/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www.ecn.nl/docs/library/report/2013/o13038.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83203125" defaultRowHeight="16"/>
  <cols>
    <col min="1" max="1" width="3.33203125" style="25" customWidth="1"/>
    <col min="2" max="2" width="8.5" style="18" customWidth="1"/>
    <col min="3" max="3" width="38.5" style="18" customWidth="1"/>
    <col min="4" max="16384" width="10.83203125" style="18"/>
  </cols>
  <sheetData>
    <row r="1" spans="1:3" s="23" customFormat="1">
      <c r="A1" s="21"/>
      <c r="B1" s="22"/>
      <c r="C1" s="22"/>
    </row>
    <row r="2" spans="1:3" ht="21">
      <c r="A2" s="1"/>
      <c r="B2" s="24" t="s">
        <v>9</v>
      </c>
      <c r="C2" s="24"/>
    </row>
    <row r="3" spans="1:3">
      <c r="A3" s="1"/>
      <c r="B3" s="8"/>
      <c r="C3" s="8"/>
    </row>
    <row r="4" spans="1:3">
      <c r="A4" s="1"/>
      <c r="B4" s="2" t="s">
        <v>10</v>
      </c>
      <c r="C4" s="3" t="s">
        <v>80</v>
      </c>
    </row>
    <row r="5" spans="1:3">
      <c r="A5" s="1"/>
      <c r="B5" s="4" t="s">
        <v>22</v>
      </c>
      <c r="C5" s="5" t="s">
        <v>79</v>
      </c>
    </row>
    <row r="6" spans="1:3">
      <c r="A6" s="1"/>
      <c r="B6" s="6" t="s">
        <v>12</v>
      </c>
      <c r="C6" s="7" t="s">
        <v>13</v>
      </c>
    </row>
    <row r="7" spans="1:3">
      <c r="A7" s="1"/>
      <c r="B7" s="8"/>
      <c r="C7" s="8"/>
    </row>
    <row r="8" spans="1:3">
      <c r="A8" s="1"/>
      <c r="B8" s="8"/>
      <c r="C8" s="8"/>
    </row>
    <row r="9" spans="1:3">
      <c r="A9" s="1"/>
      <c r="B9" s="57" t="s">
        <v>23</v>
      </c>
      <c r="C9" s="58"/>
    </row>
    <row r="10" spans="1:3">
      <c r="A10" s="1"/>
      <c r="B10" s="59"/>
      <c r="C10" s="60"/>
    </row>
    <row r="11" spans="1:3">
      <c r="A11" s="1"/>
      <c r="B11" s="59" t="s">
        <v>24</v>
      </c>
      <c r="C11" s="61" t="s">
        <v>25</v>
      </c>
    </row>
    <row r="12" spans="1:3" ht="17" thickBot="1">
      <c r="A12" s="1"/>
      <c r="B12" s="59"/>
      <c r="C12" s="12" t="s">
        <v>26</v>
      </c>
    </row>
    <row r="13" spans="1:3" ht="17" thickBot="1">
      <c r="A13" s="1"/>
      <c r="B13" s="59"/>
      <c r="C13" s="62" t="s">
        <v>27</v>
      </c>
    </row>
    <row r="14" spans="1:3">
      <c r="A14" s="1"/>
      <c r="B14" s="59"/>
      <c r="C14" s="60" t="s">
        <v>28</v>
      </c>
    </row>
    <row r="15" spans="1:3">
      <c r="A15" s="1"/>
      <c r="B15" s="59"/>
      <c r="C15" s="60"/>
    </row>
    <row r="16" spans="1:3">
      <c r="A16" s="1"/>
      <c r="B16" s="59" t="s">
        <v>29</v>
      </c>
      <c r="C16" s="63" t="s">
        <v>30</v>
      </c>
    </row>
    <row r="17" spans="1:3">
      <c r="A17" s="1"/>
      <c r="B17" s="59"/>
      <c r="C17" s="64" t="s">
        <v>31</v>
      </c>
    </row>
    <row r="18" spans="1:3">
      <c r="A18" s="1"/>
      <c r="B18" s="59"/>
      <c r="C18" s="65" t="s">
        <v>32</v>
      </c>
    </row>
    <row r="19" spans="1:3">
      <c r="A19" s="1"/>
      <c r="B19" s="59"/>
      <c r="C19" s="66" t="s">
        <v>33</v>
      </c>
    </row>
    <row r="20" spans="1:3">
      <c r="A20" s="1"/>
      <c r="B20" s="67"/>
      <c r="C20" s="68" t="s">
        <v>34</v>
      </c>
    </row>
    <row r="21" spans="1:3">
      <c r="A21" s="1"/>
      <c r="B21" s="67"/>
      <c r="C21" s="69" t="s">
        <v>35</v>
      </c>
    </row>
    <row r="22" spans="1:3">
      <c r="A22" s="1"/>
      <c r="B22" s="67"/>
      <c r="C22" s="70" t="s">
        <v>36</v>
      </c>
    </row>
    <row r="23" spans="1:3">
      <c r="B23" s="67"/>
      <c r="C23" s="71" t="s">
        <v>37</v>
      </c>
    </row>
  </sheetData>
  <sortState xmlns:xlrd2="http://schemas.microsoft.com/office/spreadsheetml/2017/richdata2" ref="A1:B2">
    <sortCondition descending="1" ref="A1"/>
  </sortState>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21"/>
  <sheetViews>
    <sheetView tabSelected="1" workbookViewId="0">
      <selection activeCell="H14" sqref="H14:H15"/>
    </sheetView>
  </sheetViews>
  <sheetFormatPr baseColWidth="10" defaultColWidth="10.83203125" defaultRowHeight="16"/>
  <cols>
    <col min="1" max="1" width="4.1640625" style="30" customWidth="1"/>
    <col min="2" max="2" width="3.6640625" style="30" customWidth="1"/>
    <col min="3" max="3" width="46.83203125" style="30" customWidth="1"/>
    <col min="4" max="4" width="12.33203125" style="30" customWidth="1"/>
    <col min="5" max="5" width="23" style="30" customWidth="1"/>
    <col min="6" max="6" width="4.6640625" style="30" customWidth="1"/>
    <col min="7" max="7" width="43.1640625" style="30" customWidth="1"/>
    <col min="8" max="8" width="5.1640625" style="30" customWidth="1"/>
    <col min="9" max="9" width="42.5" style="30" customWidth="1"/>
    <col min="10" max="10" width="5" style="30" customWidth="1"/>
    <col min="11" max="16384" width="10.83203125" style="30"/>
  </cols>
  <sheetData>
    <row r="2" spans="2:10">
      <c r="B2" s="133" t="s">
        <v>51</v>
      </c>
      <c r="C2" s="134"/>
      <c r="D2" s="134"/>
      <c r="E2" s="135"/>
    </row>
    <row r="3" spans="2:10">
      <c r="B3" s="136"/>
      <c r="C3" s="137"/>
      <c r="D3" s="137"/>
      <c r="E3" s="138"/>
    </row>
    <row r="4" spans="2:10">
      <c r="B4" s="136"/>
      <c r="C4" s="137"/>
      <c r="D4" s="137"/>
      <c r="E4" s="138"/>
    </row>
    <row r="5" spans="2:10">
      <c r="B5" s="139"/>
      <c r="C5" s="140"/>
      <c r="D5" s="140"/>
      <c r="E5" s="141"/>
    </row>
    <row r="6" spans="2:10" ht="17" thickBot="1"/>
    <row r="7" spans="2:10">
      <c r="B7" s="31"/>
      <c r="C7" s="17"/>
      <c r="D7" s="17"/>
      <c r="E7" s="17"/>
      <c r="F7" s="17"/>
      <c r="G7" s="17"/>
      <c r="H7" s="17"/>
      <c r="I7" s="17"/>
      <c r="J7" s="32"/>
    </row>
    <row r="8" spans="2:10" s="12" customFormat="1">
      <c r="B8" s="76"/>
      <c r="C8" s="14" t="s">
        <v>17</v>
      </c>
      <c r="D8" s="77" t="s">
        <v>7</v>
      </c>
      <c r="E8" s="14" t="s">
        <v>4</v>
      </c>
      <c r="F8" s="14"/>
      <c r="G8" s="14" t="s">
        <v>6</v>
      </c>
      <c r="H8" s="14"/>
      <c r="I8" s="14" t="s">
        <v>0</v>
      </c>
      <c r="J8" s="26"/>
    </row>
    <row r="9" spans="2:10" s="12" customFormat="1">
      <c r="B9" s="20"/>
      <c r="D9" s="28"/>
      <c r="J9" s="13"/>
    </row>
    <row r="10" spans="2:10" s="12" customFormat="1" ht="17" thickBot="1">
      <c r="B10" s="20"/>
      <c r="C10" s="12" t="s">
        <v>39</v>
      </c>
      <c r="D10" s="28"/>
      <c r="J10" s="13"/>
    </row>
    <row r="11" spans="2:10" s="12" customFormat="1" ht="17" thickBot="1">
      <c r="B11" s="20"/>
      <c r="C11" s="94" t="s">
        <v>52</v>
      </c>
      <c r="D11" s="19" t="s">
        <v>53</v>
      </c>
      <c r="E11" s="148">
        <f>ROUND('Research data'!F7,5)</f>
        <v>2.3427500000000001</v>
      </c>
      <c r="F11" s="33"/>
      <c r="G11" s="85" t="s">
        <v>43</v>
      </c>
      <c r="H11" s="27"/>
      <c r="I11" s="146" t="s">
        <v>85</v>
      </c>
      <c r="J11" s="13"/>
    </row>
    <row r="12" spans="2:10" ht="17" thickBot="1">
      <c r="B12" s="34"/>
      <c r="C12" s="85" t="s">
        <v>18</v>
      </c>
      <c r="D12" s="19" t="s">
        <v>2</v>
      </c>
      <c r="E12" s="35">
        <v>0</v>
      </c>
      <c r="F12" s="33"/>
      <c r="G12" s="85" t="s">
        <v>44</v>
      </c>
      <c r="H12" s="33"/>
      <c r="I12" s="93"/>
      <c r="J12" s="75"/>
    </row>
    <row r="13" spans="2:10">
      <c r="B13" s="34"/>
      <c r="D13" s="78"/>
      <c r="E13" s="79"/>
      <c r="J13" s="75"/>
    </row>
    <row r="14" spans="2:10" ht="17" thickBot="1">
      <c r="B14" s="34"/>
      <c r="C14" s="12" t="s">
        <v>5</v>
      </c>
      <c r="D14" s="78"/>
      <c r="E14" s="80"/>
      <c r="I14" s="46"/>
      <c r="J14" s="75"/>
    </row>
    <row r="15" spans="2:10" ht="17" thickBot="1">
      <c r="B15" s="34"/>
      <c r="C15" s="33" t="s">
        <v>19</v>
      </c>
      <c r="D15" s="19" t="s">
        <v>1</v>
      </c>
      <c r="E15" s="35">
        <f>'Research data'!F11</f>
        <v>25</v>
      </c>
      <c r="F15" s="33"/>
      <c r="G15" s="56" t="s">
        <v>21</v>
      </c>
      <c r="H15" s="33"/>
      <c r="I15" s="93" t="s">
        <v>48</v>
      </c>
      <c r="J15" s="75"/>
    </row>
    <row r="16" spans="2:10" ht="17" thickBot="1">
      <c r="B16" s="36"/>
      <c r="C16" s="37"/>
      <c r="D16" s="37"/>
      <c r="E16" s="37"/>
      <c r="F16" s="37"/>
      <c r="G16" s="37"/>
      <c r="H16" s="37"/>
      <c r="I16" s="37"/>
      <c r="J16" s="38"/>
    </row>
    <row r="21" ht="15" customHeight="1"/>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K19"/>
  <sheetViews>
    <sheetView workbookViewId="0">
      <selection activeCell="F19" sqref="F19"/>
    </sheetView>
  </sheetViews>
  <sheetFormatPr baseColWidth="10" defaultColWidth="10.83203125" defaultRowHeight="16"/>
  <cols>
    <col min="1" max="1" width="3.33203125" style="39" customWidth="1"/>
    <col min="2" max="2" width="3.6640625" style="39" customWidth="1"/>
    <col min="3" max="3" width="35.83203125" style="39" customWidth="1"/>
    <col min="4" max="4" width="9.6640625" style="39" customWidth="1"/>
    <col min="5" max="5" width="3.1640625" style="39" customWidth="1"/>
    <col min="6" max="6" width="13.5" style="39" customWidth="1"/>
    <col min="7" max="7" width="2.6640625" style="39" customWidth="1"/>
    <col min="8" max="16384" width="10.83203125" style="39"/>
  </cols>
  <sheetData>
    <row r="2" spans="2:11" ht="17" thickBot="1"/>
    <row r="3" spans="2:11">
      <c r="B3" s="40"/>
      <c r="C3" s="41"/>
      <c r="D3" s="41"/>
      <c r="E3" s="41"/>
      <c r="F3" s="41"/>
      <c r="G3" s="41"/>
      <c r="H3" s="41"/>
      <c r="I3" s="41"/>
      <c r="J3" s="41"/>
      <c r="K3" s="122"/>
    </row>
    <row r="4" spans="2:11" s="12" customFormat="1">
      <c r="B4" s="20"/>
      <c r="C4" s="72" t="s">
        <v>38</v>
      </c>
      <c r="D4" s="72" t="s">
        <v>7</v>
      </c>
      <c r="E4" s="72"/>
      <c r="F4" s="72" t="s">
        <v>34</v>
      </c>
      <c r="G4" s="72"/>
      <c r="H4" s="72"/>
      <c r="I4" s="72" t="s">
        <v>40</v>
      </c>
      <c r="K4" s="13"/>
    </row>
    <row r="5" spans="2:11" ht="18" customHeight="1">
      <c r="B5" s="42"/>
      <c r="C5" s="45"/>
      <c r="F5" s="43"/>
      <c r="G5" s="43"/>
      <c r="I5" s="123"/>
      <c r="K5" s="124"/>
    </row>
    <row r="6" spans="2:11" ht="18" customHeight="1" thickBot="1">
      <c r="B6" s="42"/>
      <c r="C6" s="11" t="s">
        <v>39</v>
      </c>
      <c r="D6" s="11"/>
      <c r="E6" s="29"/>
      <c r="F6" s="9"/>
      <c r="G6" s="9"/>
      <c r="I6" s="125"/>
      <c r="K6" s="124"/>
    </row>
    <row r="7" spans="2:11" ht="17" thickBot="1">
      <c r="B7" s="42"/>
      <c r="C7" s="86" t="s">
        <v>52</v>
      </c>
      <c r="D7" s="87" t="s">
        <v>53</v>
      </c>
      <c r="E7" s="73"/>
      <c r="F7" s="91">
        <f>Notes!E35</f>
        <v>2.3427544106556448</v>
      </c>
      <c r="I7" s="145" t="s">
        <v>70</v>
      </c>
      <c r="K7" s="124"/>
    </row>
    <row r="8" spans="2:11">
      <c r="B8" s="42"/>
      <c r="C8" s="29"/>
      <c r="D8" s="29"/>
      <c r="E8" s="29"/>
      <c r="F8" s="10"/>
      <c r="G8" s="10"/>
      <c r="I8" s="126"/>
      <c r="K8" s="124"/>
    </row>
    <row r="9" spans="2:11">
      <c r="B9" s="42"/>
      <c r="C9" s="29"/>
      <c r="D9" s="29"/>
      <c r="E9" s="29"/>
      <c r="F9" s="10"/>
      <c r="G9" s="10"/>
      <c r="I9" s="126"/>
      <c r="K9" s="124"/>
    </row>
    <row r="10" spans="2:11" ht="17" thickBot="1">
      <c r="B10" s="42"/>
      <c r="C10" s="11" t="s">
        <v>5</v>
      </c>
      <c r="D10" s="11"/>
      <c r="E10" s="29"/>
      <c r="F10" s="10"/>
      <c r="G10" s="10"/>
      <c r="I10" s="123"/>
      <c r="K10" s="124"/>
    </row>
    <row r="11" spans="2:11" ht="17" thickBot="1">
      <c r="B11" s="42"/>
      <c r="C11" s="131" t="s">
        <v>19</v>
      </c>
      <c r="D11" s="95" t="s">
        <v>50</v>
      </c>
      <c r="E11" s="74"/>
      <c r="F11" s="44">
        <f>Notes!E8</f>
        <v>25</v>
      </c>
      <c r="G11" s="10"/>
      <c r="H11" s="43"/>
      <c r="I11" s="127" t="s">
        <v>48</v>
      </c>
      <c r="K11" s="124"/>
    </row>
    <row r="12" spans="2:11">
      <c r="B12" s="42"/>
      <c r="K12" s="124"/>
    </row>
    <row r="13" spans="2:11" ht="17" thickBot="1">
      <c r="B13" s="128"/>
      <c r="C13" s="129"/>
      <c r="D13" s="129"/>
      <c r="E13" s="129"/>
      <c r="F13" s="129"/>
      <c r="G13" s="129"/>
      <c r="H13" s="129"/>
      <c r="I13" s="129"/>
      <c r="J13" s="129"/>
      <c r="K13" s="130"/>
    </row>
    <row r="19" spans="6:6">
      <c r="F19" s="143" t="s">
        <v>87</v>
      </c>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21"/>
  <sheetViews>
    <sheetView workbookViewId="0">
      <selection activeCell="D35" sqref="D35"/>
    </sheetView>
  </sheetViews>
  <sheetFormatPr baseColWidth="10" defaultColWidth="33.1640625" defaultRowHeight="16"/>
  <cols>
    <col min="1" max="1" width="3.6640625" style="46" customWidth="1"/>
    <col min="2" max="2" width="4.1640625" style="46" customWidth="1"/>
    <col min="3" max="3" width="43.83203125" style="46" bestFit="1" customWidth="1"/>
    <col min="4" max="4" width="24.33203125" style="46" customWidth="1"/>
    <col min="5" max="5" width="10.1640625" style="46" customWidth="1"/>
    <col min="6" max="7" width="13.1640625" style="46" customWidth="1"/>
    <col min="8" max="8" width="12.6640625" style="52" customWidth="1"/>
    <col min="9" max="9" width="31.83203125" style="52" customWidth="1"/>
    <col min="10" max="10" width="98.33203125" style="46" customWidth="1"/>
    <col min="11" max="16384" width="33.1640625" style="46"/>
  </cols>
  <sheetData>
    <row r="1" spans="2:10" ht="17" thickBot="1"/>
    <row r="2" spans="2:10">
      <c r="B2" s="47"/>
      <c r="C2" s="48"/>
      <c r="D2" s="48"/>
      <c r="E2" s="48"/>
      <c r="F2" s="48"/>
      <c r="G2" s="48"/>
      <c r="H2" s="53"/>
      <c r="I2" s="53"/>
      <c r="J2" s="107"/>
    </row>
    <row r="3" spans="2:10">
      <c r="B3" s="50"/>
      <c r="C3" s="12" t="s">
        <v>33</v>
      </c>
      <c r="D3" s="12"/>
      <c r="E3" s="12"/>
      <c r="F3" s="12"/>
      <c r="G3" s="12"/>
      <c r="H3" s="15"/>
      <c r="I3" s="15"/>
      <c r="J3" s="108"/>
    </row>
    <row r="4" spans="2:10">
      <c r="B4" s="50"/>
      <c r="J4" s="108"/>
    </row>
    <row r="5" spans="2:10">
      <c r="B5" s="54"/>
      <c r="C5" s="14" t="s">
        <v>14</v>
      </c>
      <c r="D5" s="14" t="s">
        <v>0</v>
      </c>
      <c r="E5" s="14" t="s">
        <v>11</v>
      </c>
      <c r="F5" s="14" t="s">
        <v>15</v>
      </c>
      <c r="G5" s="14" t="s">
        <v>41</v>
      </c>
      <c r="H5" s="16" t="s">
        <v>16</v>
      </c>
      <c r="I5" s="16" t="s">
        <v>42</v>
      </c>
      <c r="J5" s="26" t="s">
        <v>8</v>
      </c>
    </row>
    <row r="6" spans="2:10">
      <c r="B6" s="50"/>
      <c r="C6" s="12"/>
      <c r="D6" s="12"/>
      <c r="E6" s="12"/>
      <c r="F6" s="12"/>
      <c r="G6" s="12"/>
      <c r="H6" s="15"/>
      <c r="I6" s="15"/>
      <c r="J6" s="13"/>
    </row>
    <row r="7" spans="2:10">
      <c r="B7" s="50"/>
      <c r="J7" s="108"/>
    </row>
    <row r="8" spans="2:10">
      <c r="B8" s="50"/>
      <c r="C8" s="147" t="s">
        <v>86</v>
      </c>
      <c r="D8" s="102" t="s">
        <v>61</v>
      </c>
      <c r="E8" s="88" t="s">
        <v>45</v>
      </c>
      <c r="F8" s="89">
        <v>42736</v>
      </c>
      <c r="H8" s="90">
        <v>44224</v>
      </c>
      <c r="I8" s="46" t="s">
        <v>63</v>
      </c>
      <c r="J8" s="109" t="s">
        <v>62</v>
      </c>
    </row>
    <row r="9" spans="2:10">
      <c r="B9" s="50"/>
      <c r="C9" s="55"/>
      <c r="H9" s="46"/>
      <c r="I9" s="46"/>
      <c r="J9" s="108"/>
    </row>
    <row r="10" spans="2:10">
      <c r="B10" s="50"/>
      <c r="C10" s="55"/>
      <c r="H10" s="46"/>
      <c r="I10" s="46"/>
      <c r="J10" s="108"/>
    </row>
    <row r="11" spans="2:10">
      <c r="B11" s="50"/>
      <c r="C11" s="104" t="s">
        <v>3</v>
      </c>
      <c r="D11" s="88" t="s">
        <v>47</v>
      </c>
      <c r="E11" s="88" t="s">
        <v>45</v>
      </c>
      <c r="F11" s="89">
        <v>41395</v>
      </c>
      <c r="H11" s="90">
        <v>42278</v>
      </c>
      <c r="I11" s="46" t="s">
        <v>49</v>
      </c>
      <c r="J11" s="109" t="s">
        <v>46</v>
      </c>
    </row>
    <row r="12" spans="2:10">
      <c r="B12" s="50"/>
      <c r="C12" s="55"/>
      <c r="H12" s="51"/>
      <c r="I12" s="46"/>
      <c r="J12" s="108"/>
    </row>
    <row r="13" spans="2:10">
      <c r="B13" s="50"/>
      <c r="C13" s="55"/>
      <c r="H13" s="51"/>
      <c r="I13" s="46"/>
      <c r="J13" s="108"/>
    </row>
    <row r="14" spans="2:10">
      <c r="B14" s="50"/>
      <c r="C14" s="105" t="s">
        <v>71</v>
      </c>
      <c r="D14" s="102" t="s">
        <v>59</v>
      </c>
      <c r="E14" s="102" t="s">
        <v>45</v>
      </c>
      <c r="F14" s="89">
        <v>44197</v>
      </c>
      <c r="H14" s="90">
        <v>44224</v>
      </c>
      <c r="I14" s="103" t="s">
        <v>2</v>
      </c>
      <c r="J14" s="109" t="s">
        <v>60</v>
      </c>
    </row>
    <row r="15" spans="2:10">
      <c r="B15" s="50"/>
      <c r="C15" s="106"/>
      <c r="H15" s="83"/>
      <c r="I15" s="46"/>
      <c r="J15" s="108"/>
    </row>
    <row r="16" spans="2:10">
      <c r="B16" s="50"/>
      <c r="C16" s="55"/>
      <c r="H16" s="83"/>
      <c r="I16" s="46"/>
      <c r="J16" s="108"/>
    </row>
    <row r="17" spans="2:10">
      <c r="B17" s="50"/>
      <c r="C17" s="55"/>
      <c r="H17" s="46"/>
      <c r="I17" s="46"/>
      <c r="J17" s="108"/>
    </row>
    <row r="18" spans="2:10" s="96" customFormat="1">
      <c r="B18" s="97"/>
      <c r="H18" s="110"/>
      <c r="I18" s="110"/>
      <c r="J18" s="111"/>
    </row>
    <row r="19" spans="2:10" s="96" customFormat="1">
      <c r="B19" s="97"/>
      <c r="H19" s="110"/>
      <c r="I19" s="110"/>
      <c r="J19" s="111"/>
    </row>
    <row r="20" spans="2:10">
      <c r="B20" s="50"/>
      <c r="H20" s="46"/>
      <c r="I20" s="82"/>
      <c r="J20" s="112"/>
    </row>
    <row r="21" spans="2:10" ht="17" thickBot="1">
      <c r="B21" s="113"/>
      <c r="C21" s="114"/>
      <c r="D21" s="115"/>
      <c r="E21" s="115"/>
      <c r="F21" s="114"/>
      <c r="G21" s="114"/>
      <c r="H21" s="116"/>
      <c r="I21" s="117"/>
      <c r="J21" s="118"/>
    </row>
  </sheetData>
  <hyperlinks>
    <hyperlink ref="J11" r:id="rId1" xr:uid="{00000000-0004-0000-0300-00000100000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Q146"/>
  <sheetViews>
    <sheetView topLeftCell="A28" workbookViewId="0">
      <selection activeCell="F47" sqref="F47"/>
    </sheetView>
  </sheetViews>
  <sheetFormatPr baseColWidth="10" defaultColWidth="10.83203125" defaultRowHeight="16"/>
  <cols>
    <col min="1" max="1" width="3.33203125" style="46" customWidth="1"/>
    <col min="2" max="2" width="3.5" style="46" customWidth="1"/>
    <col min="3" max="3" width="17" style="46" customWidth="1"/>
    <col min="4" max="4" width="29.33203125" style="46" bestFit="1" customWidth="1"/>
    <col min="5" max="5" width="23.5" style="46" bestFit="1" customWidth="1"/>
    <col min="6" max="6" width="11.6640625" style="46" bestFit="1" customWidth="1"/>
    <col min="7" max="16384" width="10.83203125" style="46"/>
  </cols>
  <sheetData>
    <row r="1" spans="1:17" ht="17" thickBot="1"/>
    <row r="2" spans="1:17">
      <c r="B2" s="47"/>
      <c r="C2" s="48"/>
      <c r="D2" s="48"/>
      <c r="E2" s="48"/>
      <c r="F2" s="48"/>
      <c r="G2" s="48"/>
      <c r="H2" s="48"/>
      <c r="I2" s="48"/>
      <c r="J2" s="48"/>
      <c r="K2" s="48"/>
      <c r="L2" s="48"/>
      <c r="M2" s="48"/>
      <c r="N2" s="48"/>
      <c r="O2" s="48"/>
      <c r="P2" s="48"/>
      <c r="Q2" s="107"/>
    </row>
    <row r="3" spans="1:17">
      <c r="A3" s="12"/>
      <c r="B3" s="76"/>
      <c r="C3" s="14" t="s">
        <v>0</v>
      </c>
      <c r="D3" s="14"/>
      <c r="E3" s="14" t="s">
        <v>20</v>
      </c>
      <c r="F3" s="14"/>
      <c r="G3" s="14"/>
      <c r="H3" s="49"/>
      <c r="I3" s="49"/>
      <c r="J3" s="49"/>
      <c r="K3" s="49"/>
      <c r="L3" s="49"/>
      <c r="M3" s="49"/>
      <c r="N3" s="49"/>
      <c r="O3" s="49"/>
      <c r="P3" s="49"/>
      <c r="Q3" s="121"/>
    </row>
    <row r="4" spans="1:17">
      <c r="B4" s="50"/>
      <c r="Q4" s="108"/>
    </row>
    <row r="5" spans="1:17">
      <c r="B5" s="50"/>
      <c r="Q5" s="108"/>
    </row>
    <row r="6" spans="1:17">
      <c r="B6" s="50"/>
      <c r="Q6" s="108"/>
    </row>
    <row r="7" spans="1:17">
      <c r="B7" s="50"/>
      <c r="C7" s="12" t="s">
        <v>48</v>
      </c>
      <c r="Q7" s="108"/>
    </row>
    <row r="8" spans="1:17">
      <c r="B8" s="50"/>
      <c r="C8" s="102" t="s">
        <v>57</v>
      </c>
      <c r="D8" s="102" t="s">
        <v>3</v>
      </c>
      <c r="E8" s="46">
        <v>25</v>
      </c>
      <c r="F8" s="92" t="s">
        <v>1</v>
      </c>
      <c r="Q8" s="108"/>
    </row>
    <row r="9" spans="1:17">
      <c r="B9" s="50"/>
      <c r="Q9" s="108"/>
    </row>
    <row r="10" spans="1:17">
      <c r="B10" s="50"/>
      <c r="Q10" s="108"/>
    </row>
    <row r="11" spans="1:17">
      <c r="B11" s="50"/>
      <c r="C11" s="92"/>
      <c r="E11" s="88"/>
      <c r="F11" s="88"/>
      <c r="Q11" s="108"/>
    </row>
    <row r="12" spans="1:17">
      <c r="B12" s="50"/>
      <c r="F12" s="88"/>
      <c r="Q12" s="108"/>
    </row>
    <row r="13" spans="1:17">
      <c r="B13" s="50"/>
      <c r="Q13" s="108"/>
    </row>
    <row r="14" spans="1:17">
      <c r="B14" s="50"/>
      <c r="Q14" s="108"/>
    </row>
    <row r="15" spans="1:17">
      <c r="B15" s="50"/>
      <c r="Q15" s="108"/>
    </row>
    <row r="16" spans="1:17">
      <c r="B16" s="50"/>
      <c r="Q16" s="108"/>
    </row>
    <row r="17" spans="2:17">
      <c r="B17" s="50"/>
      <c r="Q17" s="108"/>
    </row>
    <row r="18" spans="2:17">
      <c r="B18" s="50"/>
      <c r="Q18" s="108"/>
    </row>
    <row r="19" spans="2:17">
      <c r="B19" s="50"/>
      <c r="Q19" s="108"/>
    </row>
    <row r="20" spans="2:17">
      <c r="B20" s="50"/>
      <c r="C20" s="12" t="s">
        <v>73</v>
      </c>
      <c r="Q20" s="108"/>
    </row>
    <row r="21" spans="2:17">
      <c r="B21" s="50"/>
      <c r="C21" s="12"/>
      <c r="Q21" s="108"/>
    </row>
    <row r="22" spans="2:17">
      <c r="B22" s="50"/>
      <c r="C22" s="12"/>
      <c r="Q22" s="108"/>
    </row>
    <row r="23" spans="2:17">
      <c r="B23" s="50"/>
      <c r="C23" s="12"/>
      <c r="Q23" s="108"/>
    </row>
    <row r="24" spans="2:17">
      <c r="B24" s="50"/>
      <c r="C24" s="144" t="s">
        <v>84</v>
      </c>
      <c r="Q24" s="108"/>
    </row>
    <row r="25" spans="2:17">
      <c r="B25" s="50"/>
      <c r="Q25" s="108"/>
    </row>
    <row r="26" spans="2:17">
      <c r="B26" s="50"/>
      <c r="C26" s="132" t="s">
        <v>57</v>
      </c>
      <c r="D26" s="132" t="s">
        <v>74</v>
      </c>
      <c r="E26" s="46">
        <v>49.5</v>
      </c>
      <c r="Q26" s="108"/>
    </row>
    <row r="27" spans="2:17">
      <c r="B27" s="50"/>
      <c r="D27" s="132" t="s">
        <v>75</v>
      </c>
      <c r="E27" s="46">
        <v>0.432</v>
      </c>
      <c r="Q27" s="108"/>
    </row>
    <row r="28" spans="2:17">
      <c r="B28" s="50"/>
      <c r="D28" s="132" t="s">
        <v>76</v>
      </c>
      <c r="E28" s="46">
        <f>E26*E27</f>
        <v>21.384</v>
      </c>
      <c r="Q28" s="108"/>
    </row>
    <row r="29" spans="2:17">
      <c r="B29" s="50"/>
      <c r="Q29" s="108"/>
    </row>
    <row r="30" spans="2:17">
      <c r="B30" s="50"/>
      <c r="D30" s="143" t="s">
        <v>82</v>
      </c>
      <c r="E30" s="46">
        <v>19.899999999999999</v>
      </c>
      <c r="Q30" s="108"/>
    </row>
    <row r="31" spans="2:17">
      <c r="B31" s="50"/>
      <c r="D31" s="143" t="s">
        <v>81</v>
      </c>
      <c r="E31" s="46">
        <v>0.79300000000000004</v>
      </c>
      <c r="Q31" s="108"/>
    </row>
    <row r="32" spans="2:17">
      <c r="B32" s="50"/>
      <c r="D32" s="143" t="s">
        <v>83</v>
      </c>
      <c r="E32" s="46">
        <f>E30*E31</f>
        <v>15.7807</v>
      </c>
      <c r="Q32" s="108"/>
    </row>
    <row r="33" spans="2:17">
      <c r="B33" s="50"/>
      <c r="Q33" s="108"/>
    </row>
    <row r="34" spans="2:17">
      <c r="B34" s="50"/>
      <c r="D34" s="132" t="s">
        <v>77</v>
      </c>
      <c r="E34" s="46">
        <f>E32/E28</f>
        <v>0.7379676393565282</v>
      </c>
      <c r="Q34" s="108"/>
    </row>
    <row r="35" spans="2:17">
      <c r="B35" s="50"/>
      <c r="D35" s="132" t="s">
        <v>78</v>
      </c>
      <c r="E35" s="46">
        <f>F49*E34</f>
        <v>2.3427544106556448</v>
      </c>
      <c r="Q35" s="108"/>
    </row>
    <row r="36" spans="2:17">
      <c r="B36" s="50"/>
      <c r="Q36" s="108"/>
    </row>
    <row r="37" spans="2:17">
      <c r="B37" s="50"/>
      <c r="C37" s="92"/>
      <c r="Q37" s="108"/>
    </row>
    <row r="38" spans="2:17">
      <c r="B38" s="50"/>
      <c r="C38" s="12" t="s">
        <v>72</v>
      </c>
      <c r="Q38" s="108"/>
    </row>
    <row r="39" spans="2:17">
      <c r="B39" s="50"/>
      <c r="C39" s="102" t="s">
        <v>57</v>
      </c>
      <c r="D39" s="102" t="s">
        <v>43</v>
      </c>
      <c r="E39" s="102" t="s">
        <v>55</v>
      </c>
      <c r="F39" s="46">
        <v>0.41</v>
      </c>
      <c r="G39" s="102" t="s">
        <v>54</v>
      </c>
      <c r="H39" s="102" t="s">
        <v>68</v>
      </c>
      <c r="Q39" s="108"/>
    </row>
    <row r="40" spans="2:17">
      <c r="B40" s="50"/>
      <c r="C40" s="98"/>
      <c r="E40" s="102" t="s">
        <v>58</v>
      </c>
      <c r="F40" s="46">
        <v>0.22</v>
      </c>
      <c r="G40" s="102" t="s">
        <v>54</v>
      </c>
      <c r="H40" s="102" t="s">
        <v>68</v>
      </c>
      <c r="Q40" s="108"/>
    </row>
    <row r="41" spans="2:17">
      <c r="B41" s="50"/>
      <c r="C41" s="98"/>
      <c r="E41" s="102" t="s">
        <v>64</v>
      </c>
      <c r="F41" s="46">
        <f>(F39+F40)/2</f>
        <v>0.315</v>
      </c>
      <c r="G41" s="102" t="s">
        <v>54</v>
      </c>
      <c r="H41" s="142" t="s">
        <v>66</v>
      </c>
      <c r="I41" s="142"/>
      <c r="J41" s="142"/>
      <c r="K41" s="142"/>
      <c r="L41" s="142"/>
      <c r="M41" s="142"/>
      <c r="Q41" s="108"/>
    </row>
    <row r="42" spans="2:17">
      <c r="B42" s="50"/>
      <c r="C42" s="98"/>
      <c r="E42" s="102"/>
      <c r="G42" s="102"/>
      <c r="H42" s="142"/>
      <c r="I42" s="142"/>
      <c r="J42" s="142"/>
      <c r="K42" s="142"/>
      <c r="L42" s="142"/>
      <c r="M42" s="142"/>
      <c r="Q42" s="108"/>
    </row>
    <row r="43" spans="2:17">
      <c r="B43" s="50"/>
      <c r="C43" s="98"/>
      <c r="H43" s="142"/>
      <c r="I43" s="142"/>
      <c r="J43" s="142"/>
      <c r="K43" s="142"/>
      <c r="L43" s="142"/>
      <c r="M43" s="142"/>
      <c r="Q43" s="108"/>
    </row>
    <row r="44" spans="2:17">
      <c r="B44" s="50"/>
      <c r="C44" s="98"/>
      <c r="Q44" s="108"/>
    </row>
    <row r="45" spans="2:17">
      <c r="B45" s="50"/>
      <c r="E45" s="102" t="s">
        <v>64</v>
      </c>
      <c r="F45" s="99">
        <f>1/F41</f>
        <v>3.1746031746031744</v>
      </c>
      <c r="G45" s="102" t="s">
        <v>53</v>
      </c>
      <c r="H45" s="102" t="s">
        <v>56</v>
      </c>
      <c r="Q45" s="108"/>
    </row>
    <row r="46" spans="2:17">
      <c r="B46" s="50"/>
      <c r="Q46" s="108"/>
    </row>
    <row r="47" spans="2:17">
      <c r="B47" s="50"/>
      <c r="E47" s="102" t="s">
        <v>65</v>
      </c>
      <c r="F47" s="119">
        <v>100</v>
      </c>
      <c r="G47" s="103" t="s">
        <v>2</v>
      </c>
      <c r="H47" s="102" t="s">
        <v>69</v>
      </c>
      <c r="J47" s="98"/>
      <c r="Q47" s="108"/>
    </row>
    <row r="48" spans="2:17">
      <c r="B48" s="50"/>
      <c r="F48" s="96"/>
      <c r="J48" s="98"/>
      <c r="Q48" s="108"/>
    </row>
    <row r="49" spans="2:17">
      <c r="B49" s="50"/>
      <c r="E49" s="102" t="s">
        <v>67</v>
      </c>
      <c r="F49" s="99">
        <f>F45</f>
        <v>3.1746031746031744</v>
      </c>
      <c r="G49" s="102" t="s">
        <v>53</v>
      </c>
      <c r="J49" s="98"/>
      <c r="Q49" s="108"/>
    </row>
    <row r="50" spans="2:17">
      <c r="B50" s="50"/>
      <c r="J50" s="98"/>
      <c r="Q50" s="108"/>
    </row>
    <row r="51" spans="2:17">
      <c r="B51" s="50"/>
      <c r="Q51" s="108"/>
    </row>
    <row r="52" spans="2:17">
      <c r="B52" s="50"/>
      <c r="C52" s="92"/>
      <c r="Q52" s="108"/>
    </row>
    <row r="53" spans="2:17">
      <c r="B53" s="50"/>
      <c r="Q53" s="108"/>
    </row>
    <row r="54" spans="2:17">
      <c r="B54" s="50"/>
      <c r="Q54" s="108"/>
    </row>
    <row r="55" spans="2:17">
      <c r="B55" s="50"/>
      <c r="Q55" s="108"/>
    </row>
    <row r="56" spans="2:17">
      <c r="B56" s="50"/>
      <c r="C56" s="92"/>
      <c r="Q56" s="108"/>
    </row>
    <row r="57" spans="2:17">
      <c r="B57" s="50"/>
      <c r="C57" s="92"/>
      <c r="F57" s="92"/>
      <c r="Q57" s="108"/>
    </row>
    <row r="58" spans="2:17">
      <c r="B58" s="50"/>
      <c r="Q58" s="108"/>
    </row>
    <row r="59" spans="2:17">
      <c r="B59" s="50"/>
      <c r="C59" s="92"/>
      <c r="Q59" s="108"/>
    </row>
    <row r="60" spans="2:17">
      <c r="B60" s="50"/>
      <c r="Q60" s="108"/>
    </row>
    <row r="61" spans="2:17">
      <c r="B61" s="50"/>
      <c r="Q61" s="108"/>
    </row>
    <row r="62" spans="2:17" s="96" customFormat="1">
      <c r="B62" s="97"/>
      <c r="C62" s="120"/>
      <c r="D62" s="120"/>
      <c r="E62" s="120"/>
      <c r="F62" s="120"/>
      <c r="G62" s="120"/>
      <c r="H62" s="120"/>
      <c r="I62" s="120"/>
      <c r="Q62" s="111"/>
    </row>
    <row r="63" spans="2:17" s="96" customFormat="1">
      <c r="B63" s="97"/>
      <c r="C63" s="120"/>
      <c r="D63" s="120"/>
      <c r="E63" s="120"/>
      <c r="F63" s="120"/>
      <c r="G63" s="120"/>
      <c r="H63" s="120"/>
      <c r="I63" s="120"/>
      <c r="Q63" s="111"/>
    </row>
    <row r="64" spans="2:17" s="96" customFormat="1">
      <c r="B64" s="97"/>
      <c r="C64" s="120"/>
      <c r="D64" s="120"/>
      <c r="E64" s="120"/>
      <c r="F64" s="120"/>
      <c r="G64" s="120"/>
      <c r="H64" s="120"/>
      <c r="I64" s="120"/>
      <c r="Q64" s="111"/>
    </row>
    <row r="65" spans="2:17" s="96" customFormat="1">
      <c r="B65" s="97"/>
      <c r="C65" s="120"/>
      <c r="D65" s="120"/>
      <c r="E65" s="120"/>
      <c r="F65" s="120"/>
      <c r="G65" s="120"/>
      <c r="H65" s="120"/>
      <c r="I65" s="120"/>
      <c r="Q65" s="111"/>
    </row>
    <row r="66" spans="2:17" s="96" customFormat="1">
      <c r="B66" s="97"/>
      <c r="C66" s="120"/>
      <c r="D66" s="120"/>
      <c r="E66" s="120"/>
      <c r="F66" s="120"/>
      <c r="G66" s="120"/>
      <c r="H66" s="120"/>
      <c r="I66" s="120"/>
      <c r="Q66" s="111"/>
    </row>
    <row r="67" spans="2:17" s="96" customFormat="1">
      <c r="B67" s="97"/>
      <c r="C67" s="120"/>
      <c r="D67" s="120"/>
      <c r="E67" s="120"/>
      <c r="F67" s="120"/>
      <c r="G67" s="120"/>
      <c r="H67" s="120"/>
      <c r="I67" s="120"/>
      <c r="Q67" s="111"/>
    </row>
    <row r="68" spans="2:17" s="96" customFormat="1">
      <c r="B68" s="97"/>
      <c r="C68" s="120"/>
      <c r="D68" s="120"/>
      <c r="E68" s="120"/>
      <c r="F68" s="120"/>
      <c r="G68" s="120"/>
      <c r="H68" s="120"/>
      <c r="I68" s="120"/>
      <c r="Q68" s="111"/>
    </row>
    <row r="69" spans="2:17" s="96" customFormat="1">
      <c r="B69" s="97"/>
      <c r="C69" s="120"/>
      <c r="D69" s="120"/>
      <c r="E69" s="120"/>
      <c r="F69" s="120"/>
      <c r="H69" s="120"/>
      <c r="I69" s="120"/>
      <c r="Q69" s="111"/>
    </row>
    <row r="70" spans="2:17" s="96" customFormat="1">
      <c r="B70" s="97"/>
      <c r="C70" s="120"/>
      <c r="D70" s="120"/>
      <c r="E70" s="120"/>
      <c r="F70" s="120"/>
      <c r="G70" s="120"/>
      <c r="H70" s="120"/>
      <c r="I70" s="120"/>
      <c r="Q70" s="111"/>
    </row>
    <row r="71" spans="2:17" s="96" customFormat="1">
      <c r="B71" s="97"/>
      <c r="C71" s="120"/>
      <c r="D71" s="120"/>
      <c r="E71" s="120"/>
      <c r="F71" s="120"/>
      <c r="G71" s="120"/>
      <c r="H71" s="120"/>
      <c r="I71" s="120"/>
      <c r="Q71" s="111"/>
    </row>
    <row r="72" spans="2:17" s="96" customFormat="1">
      <c r="B72" s="97"/>
      <c r="C72" s="120"/>
      <c r="D72" s="120"/>
      <c r="E72" s="120"/>
      <c r="F72" s="120"/>
      <c r="G72" s="120"/>
      <c r="H72" s="120"/>
      <c r="I72" s="120"/>
      <c r="Q72" s="111"/>
    </row>
    <row r="73" spans="2:17" s="96" customFormat="1">
      <c r="B73" s="97"/>
      <c r="C73" s="120"/>
      <c r="D73" s="120"/>
      <c r="E73" s="120"/>
      <c r="F73" s="120"/>
      <c r="G73" s="120"/>
      <c r="H73" s="120"/>
      <c r="I73" s="120"/>
      <c r="Q73" s="111"/>
    </row>
    <row r="74" spans="2:17" s="96" customFormat="1">
      <c r="B74" s="97"/>
      <c r="C74" s="120"/>
      <c r="D74" s="120"/>
      <c r="E74" s="120"/>
      <c r="F74" s="120"/>
      <c r="G74" s="120"/>
      <c r="H74" s="120"/>
      <c r="I74" s="120"/>
      <c r="Q74" s="111"/>
    </row>
    <row r="75" spans="2:17" s="96" customFormat="1">
      <c r="B75" s="97"/>
      <c r="Q75" s="111"/>
    </row>
    <row r="76" spans="2:17" s="96" customFormat="1">
      <c r="B76" s="97"/>
      <c r="Q76" s="111"/>
    </row>
    <row r="77" spans="2:17" s="96" customFormat="1">
      <c r="B77" s="97"/>
      <c r="Q77" s="111"/>
    </row>
    <row r="78" spans="2:17" s="96" customFormat="1">
      <c r="B78" s="97"/>
      <c r="Q78" s="111"/>
    </row>
    <row r="79" spans="2:17" s="96" customFormat="1">
      <c r="B79" s="97"/>
      <c r="D79" s="100"/>
      <c r="Q79" s="111"/>
    </row>
    <row r="80" spans="2:17" s="96" customFormat="1">
      <c r="B80" s="97"/>
      <c r="Q80" s="111"/>
    </row>
    <row r="81" spans="2:17" s="96" customFormat="1">
      <c r="B81" s="97"/>
      <c r="Q81" s="111"/>
    </row>
    <row r="82" spans="2:17" s="96" customFormat="1">
      <c r="B82" s="97"/>
      <c r="D82" s="102"/>
      <c r="Q82" s="111"/>
    </row>
    <row r="83" spans="2:17" s="96" customFormat="1">
      <c r="B83" s="97"/>
      <c r="Q83" s="111"/>
    </row>
    <row r="84" spans="2:17" s="96" customFormat="1">
      <c r="B84" s="97"/>
      <c r="Q84" s="111"/>
    </row>
    <row r="85" spans="2:17" s="96" customFormat="1">
      <c r="B85" s="97"/>
      <c r="Q85" s="111"/>
    </row>
    <row r="86" spans="2:17" s="96" customFormat="1">
      <c r="B86" s="97"/>
      <c r="Q86" s="111"/>
    </row>
    <row r="87" spans="2:17" s="96" customFormat="1">
      <c r="B87" s="97"/>
      <c r="Q87" s="111"/>
    </row>
    <row r="88" spans="2:17" s="96" customFormat="1">
      <c r="B88" s="97"/>
      <c r="Q88" s="111"/>
    </row>
    <row r="89" spans="2:17">
      <c r="B89" s="50"/>
      <c r="Q89" s="108"/>
    </row>
    <row r="90" spans="2:17">
      <c r="B90" s="50"/>
      <c r="Q90" s="108"/>
    </row>
    <row r="91" spans="2:17">
      <c r="B91" s="50"/>
      <c r="C91" s="101"/>
      <c r="Q91" s="108"/>
    </row>
    <row r="92" spans="2:17">
      <c r="B92" s="50"/>
      <c r="Q92" s="108"/>
    </row>
    <row r="93" spans="2:17">
      <c r="B93" s="50"/>
      <c r="Q93" s="108"/>
    </row>
    <row r="94" spans="2:17">
      <c r="B94" s="50"/>
      <c r="Q94" s="108"/>
    </row>
    <row r="95" spans="2:17">
      <c r="B95" s="50"/>
      <c r="Q95" s="108"/>
    </row>
    <row r="96" spans="2:17">
      <c r="B96" s="50"/>
      <c r="Q96" s="108"/>
    </row>
    <row r="97" spans="2:17">
      <c r="B97" s="50"/>
      <c r="Q97" s="108"/>
    </row>
    <row r="98" spans="2:17">
      <c r="B98" s="50"/>
      <c r="Q98" s="108"/>
    </row>
    <row r="99" spans="2:17">
      <c r="B99" s="50"/>
      <c r="Q99" s="108"/>
    </row>
    <row r="100" spans="2:17">
      <c r="B100" s="50"/>
      <c r="Q100" s="108"/>
    </row>
    <row r="101" spans="2:17">
      <c r="B101" s="50"/>
      <c r="Q101" s="108"/>
    </row>
    <row r="102" spans="2:17">
      <c r="B102" s="50"/>
      <c r="Q102" s="108"/>
    </row>
    <row r="103" spans="2:17">
      <c r="B103" s="50"/>
      <c r="Q103" s="108"/>
    </row>
    <row r="104" spans="2:17">
      <c r="B104" s="50"/>
      <c r="Q104" s="108"/>
    </row>
    <row r="105" spans="2:17">
      <c r="B105" s="50"/>
      <c r="Q105" s="108"/>
    </row>
    <row r="106" spans="2:17">
      <c r="B106" s="50"/>
      <c r="Q106" s="108"/>
    </row>
    <row r="107" spans="2:17">
      <c r="B107" s="50"/>
      <c r="Q107" s="108"/>
    </row>
    <row r="108" spans="2:17">
      <c r="B108" s="50"/>
      <c r="F108" s="81"/>
      <c r="Q108" s="108"/>
    </row>
    <row r="109" spans="2:17">
      <c r="B109" s="50"/>
      <c r="Q109" s="108"/>
    </row>
    <row r="110" spans="2:17">
      <c r="B110" s="50"/>
      <c r="Q110" s="108"/>
    </row>
    <row r="111" spans="2:17">
      <c r="B111" s="50"/>
      <c r="Q111" s="108"/>
    </row>
    <row r="112" spans="2:17">
      <c r="B112" s="50"/>
      <c r="Q112" s="108"/>
    </row>
    <row r="113" spans="2:17">
      <c r="B113" s="50"/>
      <c r="Q113" s="108"/>
    </row>
    <row r="114" spans="2:17">
      <c r="B114" s="50"/>
      <c r="Q114" s="108"/>
    </row>
    <row r="115" spans="2:17">
      <c r="B115" s="50"/>
      <c r="Q115" s="108"/>
    </row>
    <row r="116" spans="2:17">
      <c r="B116" s="50"/>
      <c r="Q116" s="108"/>
    </row>
    <row r="117" spans="2:17">
      <c r="B117" s="50"/>
      <c r="Q117" s="108"/>
    </row>
    <row r="118" spans="2:17">
      <c r="B118" s="50"/>
      <c r="Q118" s="108"/>
    </row>
    <row r="119" spans="2:17">
      <c r="B119" s="50"/>
      <c r="Q119" s="108"/>
    </row>
    <row r="120" spans="2:17">
      <c r="B120" s="50"/>
      <c r="C120" s="81"/>
      <c r="Q120" s="108"/>
    </row>
    <row r="121" spans="2:17">
      <c r="B121" s="50"/>
      <c r="C121" s="81"/>
      <c r="Q121" s="108"/>
    </row>
    <row r="122" spans="2:17">
      <c r="B122" s="50"/>
      <c r="Q122" s="108"/>
    </row>
    <row r="123" spans="2:17">
      <c r="B123" s="50"/>
      <c r="Q123" s="108"/>
    </row>
    <row r="124" spans="2:17">
      <c r="B124" s="50"/>
      <c r="Q124" s="108"/>
    </row>
    <row r="125" spans="2:17">
      <c r="B125" s="50"/>
      <c r="Q125" s="108"/>
    </row>
    <row r="126" spans="2:17">
      <c r="B126" s="50"/>
      <c r="Q126" s="108"/>
    </row>
    <row r="127" spans="2:17">
      <c r="B127" s="50"/>
      <c r="F127" s="81"/>
      <c r="Q127" s="108"/>
    </row>
    <row r="128" spans="2:17">
      <c r="B128" s="50"/>
      <c r="Q128" s="108"/>
    </row>
    <row r="129" spans="2:17">
      <c r="B129" s="50"/>
      <c r="Q129" s="108"/>
    </row>
    <row r="130" spans="2:17">
      <c r="B130" s="50"/>
      <c r="Q130" s="108"/>
    </row>
    <row r="131" spans="2:17">
      <c r="B131" s="50"/>
      <c r="Q131" s="108"/>
    </row>
    <row r="132" spans="2:17">
      <c r="B132" s="50"/>
      <c r="Q132" s="108"/>
    </row>
    <row r="133" spans="2:17">
      <c r="B133" s="50"/>
      <c r="C133" s="81"/>
      <c r="Q133" s="108"/>
    </row>
    <row r="134" spans="2:17">
      <c r="B134" s="50"/>
      <c r="C134" s="81"/>
      <c r="Q134" s="108"/>
    </row>
    <row r="135" spans="2:17">
      <c r="B135" s="50"/>
      <c r="Q135" s="108"/>
    </row>
    <row r="136" spans="2:17">
      <c r="B136" s="50"/>
      <c r="F136" s="81"/>
      <c r="Q136" s="108"/>
    </row>
    <row r="137" spans="2:17">
      <c r="B137" s="50"/>
      <c r="Q137" s="108"/>
    </row>
    <row r="138" spans="2:17">
      <c r="B138" s="50"/>
      <c r="Q138" s="108"/>
    </row>
    <row r="139" spans="2:17">
      <c r="B139" s="50"/>
      <c r="Q139" s="108"/>
    </row>
    <row r="140" spans="2:17">
      <c r="B140" s="50"/>
      <c r="Q140" s="108"/>
    </row>
    <row r="141" spans="2:17" ht="17" thickBot="1">
      <c r="B141" s="113"/>
      <c r="C141" s="114"/>
      <c r="D141" s="114"/>
      <c r="E141" s="114"/>
      <c r="F141" s="114"/>
      <c r="G141" s="114"/>
      <c r="H141" s="114"/>
      <c r="I141" s="114"/>
      <c r="J141" s="114"/>
      <c r="K141" s="114"/>
      <c r="L141" s="114"/>
      <c r="M141" s="114"/>
      <c r="N141" s="114"/>
      <c r="O141" s="114"/>
      <c r="P141" s="114"/>
      <c r="Q141" s="118"/>
    </row>
    <row r="143" spans="2:17">
      <c r="C143" s="84"/>
    </row>
    <row r="146" spans="6:6">
      <c r="F146" s="84"/>
    </row>
  </sheetData>
  <mergeCells count="1">
    <mergeCell ref="H41:M43"/>
  </mergeCells>
  <pageMargins left="0.75" right="0.75" top="1" bottom="1" header="0.5" footer="0.5"/>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Kas Kranenburg</cp:lastModifiedBy>
  <dcterms:created xsi:type="dcterms:W3CDTF">2011-10-26T09:05:09Z</dcterms:created>
  <dcterms:modified xsi:type="dcterms:W3CDTF">2025-09-02T13:06:26Z</dcterms:modified>
</cp:coreProperties>
</file>