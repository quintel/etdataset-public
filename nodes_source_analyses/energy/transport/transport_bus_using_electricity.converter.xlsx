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621"/>
  <workbookPr showInkAnnotation="0" codeName="ThisWorkbook" autoCompressPictures="0"/>
  <mc:AlternateContent xmlns:mc="http://schemas.openxmlformats.org/markup-compatibility/2006">
    <mc:Choice Requires="x15">
      <x15ac:absPath xmlns:x15ac="http://schemas.microsoft.com/office/spreadsheetml/2010/11/ac" url="/Users/robin/Desktop/Quintel/etdataset/nodes_source_analyses/energy/transport/"/>
    </mc:Choice>
  </mc:AlternateContent>
  <xr:revisionPtr revIDLastSave="0" documentId="13_ncr:1_{6541E914-774E-0B44-A732-6E6500BA3EA8}" xr6:coauthVersionLast="47" xr6:coauthVersionMax="47" xr10:uidLastSave="{00000000-0000-0000-0000-000000000000}"/>
  <bookViews>
    <workbookView xWindow="38940" yWindow="660" windowWidth="36140" windowHeight="21100" tabRatio="762" activeTab="4" xr2:uid="{00000000-000D-0000-FFFF-FFFF00000000}"/>
  </bookViews>
  <sheets>
    <sheet name="Cover sheet" sheetId="14" r:id="rId1"/>
    <sheet name="Dashboard" sheetId="12" r:id="rId2"/>
    <sheet name="Research data" sheetId="13" r:id="rId3"/>
    <sheet name="Sources" sheetId="15" r:id="rId4"/>
    <sheet name="Notes" sheetId="16" r:id="rId5"/>
  </sheets>
  <externalReferences>
    <externalReference r:id="rId6"/>
  </externalReferences>
  <definedNames>
    <definedName name="exchange_rate_2011_2010">#REF!</definedName>
    <definedName name="Final_demand_residences">'[1]Fuel aggregation'!$L$11</definedName>
    <definedName name="hours_a_year">#REF!</definedName>
    <definedName name="km2_to_m2">#REF!</definedName>
    <definedName name="kW_to_MW">#REF!</definedName>
    <definedName name="kW_to_W">#REF!</definedName>
    <definedName name="kWp_to_MWp">#REF!</definedName>
    <definedName name="m2_to_km2">#REF!</definedName>
    <definedName name="STC">#REF!</definedName>
    <definedName name="STC_insolation">#REF!</definedName>
    <definedName name="W_to_MW">#REF!</definedName>
    <definedName name="Wp_to_kWp">#REF!</definedName>
    <definedName name="WP_to_MWp">#REF!</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K7" i="13" l="1"/>
  <c r="E17" i="16"/>
  <c r="E132" i="16" l="1"/>
  <c r="J9" i="13" l="1"/>
  <c r="E9" i="13" s="1"/>
  <c r="E13" i="12" s="1"/>
  <c r="E110" i="16"/>
  <c r="E111" i="16" s="1"/>
  <c r="I10" i="13" s="1"/>
  <c r="E10" i="13" s="1"/>
  <c r="E14" i="12" s="1"/>
  <c r="E108" i="16"/>
  <c r="I8" i="13" s="1"/>
  <c r="E8" i="13" s="1"/>
  <c r="E12" i="12" s="1"/>
  <c r="I11" i="13" l="1"/>
  <c r="E11" i="13" s="1"/>
  <c r="E15" i="12" s="1"/>
  <c r="H14" i="13"/>
  <c r="E14" i="13" s="1"/>
  <c r="E31" i="12" s="1"/>
  <c r="E12" i="16" l="1"/>
  <c r="D17" i="16"/>
  <c r="E7" i="13" l="1"/>
  <c r="E11" i="12" s="1"/>
</calcChain>
</file>

<file path=xl/sharedStrings.xml><?xml version="1.0" encoding="utf-8"?>
<sst xmlns="http://schemas.openxmlformats.org/spreadsheetml/2006/main" count="175" uniqueCount="121">
  <si>
    <t>Source</t>
  </si>
  <si>
    <t>-</t>
  </si>
  <si>
    <t>Technical lifetime</t>
  </si>
  <si>
    <t>Value</t>
  </si>
  <si>
    <t>Other</t>
  </si>
  <si>
    <t>Initial investment costs</t>
  </si>
  <si>
    <t>NL</t>
  </si>
  <si>
    <t>Definition</t>
  </si>
  <si>
    <t>Unit</t>
  </si>
  <si>
    <t>Link</t>
  </si>
  <si>
    <t>Cover Sheet</t>
  </si>
  <si>
    <t>Document</t>
  </si>
  <si>
    <t>Country</t>
  </si>
  <si>
    <t>Organization</t>
  </si>
  <si>
    <t>Quintel Intelligence</t>
  </si>
  <si>
    <t>Definition on the sources</t>
  </si>
  <si>
    <t>Type</t>
  </si>
  <si>
    <t>Date published</t>
  </si>
  <si>
    <t>Date retrieved</t>
  </si>
  <si>
    <t>Attribute</t>
  </si>
  <si>
    <t>free_co2_factor</t>
  </si>
  <si>
    <t>Author</t>
  </si>
  <si>
    <t>Legend</t>
  </si>
  <si>
    <t>Cells</t>
  </si>
  <si>
    <t>Intermediate (calculation)</t>
  </si>
  <si>
    <t>Result</t>
  </si>
  <si>
    <t>Manual input</t>
  </si>
  <si>
    <t>Reference to manual input or data input</t>
  </si>
  <si>
    <t>Tabs</t>
  </si>
  <si>
    <t>Introductory</t>
  </si>
  <si>
    <t>Dashboard</t>
  </si>
  <si>
    <t>Research data</t>
  </si>
  <si>
    <t>Sources</t>
  </si>
  <si>
    <t>Results</t>
  </si>
  <si>
    <t>Main calculations</t>
  </si>
  <si>
    <t>Additional calculations</t>
  </si>
  <si>
    <t>Output to csv</t>
  </si>
  <si>
    <t>Technical</t>
  </si>
  <si>
    <t>Parameter</t>
  </si>
  <si>
    <t>cedelft-ecn-tno</t>
  </si>
  <si>
    <t>Comments</t>
  </si>
  <si>
    <t>Notes</t>
  </si>
  <si>
    <t>Subject year</t>
  </si>
  <si>
    <t>ETM Library URL</t>
  </si>
  <si>
    <t>MJ/km</t>
  </si>
  <si>
    <t>km/MJ</t>
  </si>
  <si>
    <t>Efficiency</t>
  </si>
  <si>
    <t xml:space="preserve">This sheet summarizes all node attributes formatted in the way they are used by the Energy Transition Model. Use the Excel formulas to find the original data and sources for these numbers. You can also use this document to update the attribute value. Once you have finished updating, save this document and run rake import:node NODE="nodename" to update the node attributes on ETSource. 
</t>
  </si>
  <si>
    <t>passenger km/vehicle km</t>
  </si>
  <si>
    <t>passenger km/MJ</t>
  </si>
  <si>
    <t>CE Delft</t>
  </si>
  <si>
    <t>output.passenger_kms</t>
  </si>
  <si>
    <t>pkm/MJ</t>
  </si>
  <si>
    <t>storage.volume</t>
  </si>
  <si>
    <t>MWh</t>
  </si>
  <si>
    <t>storage.decay</t>
  </si>
  <si>
    <t>% per hour</t>
  </si>
  <si>
    <t>availability</t>
  </si>
  <si>
    <t>full_load_hours</t>
  </si>
  <si>
    <t>typical_input_capacity</t>
  </si>
  <si>
    <t>MW</t>
  </si>
  <si>
    <t>Cost</t>
  </si>
  <si>
    <t>initial_investment</t>
  </si>
  <si>
    <t>euro</t>
  </si>
  <si>
    <t>fixed_operation_and_maintenance_costs_per_year</t>
  </si>
  <si>
    <t>euro/year</t>
  </si>
  <si>
    <t>Fixed operational and maintenance costs per year</t>
  </si>
  <si>
    <t>ccs_investment</t>
  </si>
  <si>
    <t>CCS investment costs</t>
  </si>
  <si>
    <t>cost_of_installing</t>
  </si>
  <si>
    <t>Installation costs</t>
  </si>
  <si>
    <r>
      <t>decommis</t>
    </r>
    <r>
      <rPr>
        <sz val="12"/>
        <color theme="1"/>
        <rFont val="Calibri"/>
        <family val="2"/>
        <scheme val="minor"/>
      </rPr>
      <t>s</t>
    </r>
    <r>
      <rPr>
        <sz val="12"/>
        <color theme="1"/>
        <rFont val="Calibri"/>
        <family val="2"/>
        <scheme val="minor"/>
      </rPr>
      <t>ioning_costs</t>
    </r>
  </si>
  <si>
    <t>Decommissioning costs</t>
  </si>
  <si>
    <t>variable_operation_and_maintenance_costs_per_full_load_hour</t>
  </si>
  <si>
    <t>Variable operational and maintenance costs per flh</t>
  </si>
  <si>
    <t>variable_operation_and_maintenance_costs_for_ccs_per_full_load_hour</t>
  </si>
  <si>
    <t>Variable operational and maintenance costs for ccs per flh</t>
  </si>
  <si>
    <t>wacc</t>
  </si>
  <si>
    <t>%</t>
  </si>
  <si>
    <t>takes_part_in_ets</t>
  </si>
  <si>
    <t>yes=1, no=0</t>
  </si>
  <si>
    <t>technical_lifetime</t>
  </si>
  <si>
    <t>years</t>
  </si>
  <si>
    <t xml:space="preserve">Technical lifetime </t>
  </si>
  <si>
    <t>Does not take part in ETS</t>
  </si>
  <si>
    <t>The ETM only encompasses costs that are directly related to the energy system, see documentation: https://docs.energytransitionmodel.com/main/cost-main-principles</t>
  </si>
  <si>
    <t>p.87</t>
  </si>
  <si>
    <t>yr</t>
  </si>
  <si>
    <t>electricity_output_capacity</t>
  </si>
  <si>
    <t>VDL Citea busses</t>
  </si>
  <si>
    <t>p.23</t>
  </si>
  <si>
    <t>kWh</t>
  </si>
  <si>
    <t>kW</t>
  </si>
  <si>
    <t>assumption: input capacity = output capacity</t>
  </si>
  <si>
    <t>Tesla model s owner's manual</t>
  </si>
  <si>
    <t>p 6.4</t>
  </si>
  <si>
    <t>Decay assumed to be the same as for lithium-ion battteries in cars as decay depends on battery type, not vehicle</t>
  </si>
  <si>
    <t>storage decay per hour</t>
  </si>
  <si>
    <t>EU</t>
  </si>
  <si>
    <t>23/08/16</t>
  </si>
  <si>
    <t>https://www.tesla.com/sites/default/files/blog_attachments/model_s_owners_manual_europe_1.0.pdf</t>
  </si>
  <si>
    <t>VDL Citea brochure</t>
  </si>
  <si>
    <t>01/2023</t>
  </si>
  <si>
    <t>https://brochures.vdlbuscoach.com/en/brochure.html?brochure=3&amp;lang=83</t>
  </si>
  <si>
    <t>VDL</t>
  </si>
  <si>
    <t>Tesla</t>
  </si>
  <si>
    <t>Necessary attribute for 0 euro costs baseline</t>
  </si>
  <si>
    <t>transport_bus_using_electricity.converter.ad</t>
  </si>
  <si>
    <t>Quintel assumption</t>
  </si>
  <si>
    <t>construction_time</t>
  </si>
  <si>
    <t>Construction time of the plant</t>
  </si>
  <si>
    <t>Set to 0 baseline</t>
  </si>
  <si>
    <t>Weighted average cost of capital</t>
  </si>
  <si>
    <t>Quintel assumption (see https://docs.energytransitionmodel.com/main/cost-wacc)</t>
  </si>
  <si>
    <t>storage decay per month</t>
  </si>
  <si>
    <t> https://ce.nl/wp-content/uploads/2025/02/CE_Delft_210506_STREAM_Personenvervoer_2024_Def.pdf</t>
  </si>
  <si>
    <t>p. 39</t>
  </si>
  <si>
    <t>p. 18</t>
  </si>
  <si>
    <t xml:space="preserve">CE Delft </t>
  </si>
  <si>
    <t>Robin de Smit</t>
  </si>
  <si>
    <t>CE Delft (2024)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</si>
</sst>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00"/>
    <numFmt numFmtId="166" formatCode="0.0000"/>
    <numFmt numFmtId="167" formatCode="0.000000000000"/>
    <numFmt numFmtId="168" formatCode="0.0000000%"/>
    <numFmt numFmtId="169" formatCode="0.0%"/>
    <numFmt numFmtId="170" formatCode="0.0000000"/>
  </numFmts>
  <fonts count="34">
    <font>
      <sz val="12"/>
      <color theme="1"/>
      <name val="Lettertype hoofdtekst"/>
      <family val="2"/>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u/>
      <sz val="12"/>
      <color theme="10"/>
      <name val="Lettertype hoofdtekst"/>
      <family val="2"/>
    </font>
    <font>
      <u/>
      <sz val="12"/>
      <color theme="11"/>
      <name val="Lettertype hoofdtekst"/>
      <family val="2"/>
    </font>
    <font>
      <b/>
      <sz val="12"/>
      <color theme="1"/>
      <name val="Calibri"/>
      <family val="2"/>
      <scheme val="minor"/>
    </font>
    <font>
      <sz val="12"/>
      <color rgb="FF000000"/>
      <name val="Calibri"/>
      <family val="2"/>
      <scheme val="minor"/>
    </font>
    <font>
      <b/>
      <sz val="12"/>
      <color rgb="FF000000"/>
      <name val="Calibri"/>
      <family val="2"/>
      <scheme val="minor"/>
    </font>
    <font>
      <b/>
      <sz val="11"/>
      <color rgb="FF000000"/>
      <name val="Calibri"/>
      <family val="2"/>
      <scheme val="minor"/>
    </font>
    <font>
      <b/>
      <sz val="16"/>
      <color rgb="FF1F497D"/>
      <name val="Calibri"/>
      <family val="2"/>
      <scheme val="minor"/>
    </font>
    <font>
      <sz val="12"/>
      <name val="Calibri"/>
      <family val="2"/>
      <scheme val="minor"/>
    </font>
    <font>
      <i/>
      <sz val="12"/>
      <color theme="1"/>
      <name val="Calibri"/>
      <family val="2"/>
      <scheme val="minor"/>
    </font>
    <font>
      <sz val="12"/>
      <color rgb="FF000000"/>
      <name val="Calibri"/>
      <family val="2"/>
    </font>
    <font>
      <sz val="12"/>
      <name val="Calibri"/>
      <family val="2"/>
    </font>
    <font>
      <sz val="12"/>
      <color theme="1"/>
      <name val="Lettertype hoofdtekst"/>
      <family val="2"/>
    </font>
    <font>
      <sz val="12"/>
      <color theme="1"/>
      <name val="Calibri"/>
      <family val="2"/>
    </font>
  </fonts>
  <fills count="13">
    <fill>
      <patternFill patternType="none"/>
    </fill>
    <fill>
      <patternFill patternType="gray125"/>
    </fill>
    <fill>
      <patternFill patternType="solid">
        <fgColor theme="0"/>
        <bgColor indexed="64"/>
      </patternFill>
    </fill>
    <fill>
      <patternFill patternType="solid">
        <fgColor theme="0"/>
        <bgColor rgb="FF000000"/>
      </patternFill>
    </fill>
    <fill>
      <patternFill patternType="solid">
        <fgColor theme="2"/>
        <bgColor indexed="64"/>
      </patternFill>
    </fill>
    <fill>
      <patternFill patternType="solid">
        <fgColor rgb="FFFFFF00"/>
        <bgColor indexed="64"/>
      </patternFill>
    </fill>
    <fill>
      <patternFill patternType="solid">
        <fgColor theme="6" tint="0.39997558519241921"/>
        <bgColor indexed="64"/>
      </patternFill>
    </fill>
    <fill>
      <patternFill patternType="solid">
        <fgColor theme="6" tint="0.79998168889431442"/>
        <bgColor indexed="64"/>
      </patternFill>
    </fill>
    <fill>
      <patternFill patternType="solid">
        <fgColor theme="5" tint="0.39997558519241921"/>
        <bgColor indexed="64"/>
      </patternFill>
    </fill>
    <fill>
      <patternFill patternType="solid">
        <fgColor theme="8" tint="0.39997558519241921"/>
        <bgColor indexed="64"/>
      </patternFill>
    </fill>
    <fill>
      <patternFill patternType="solid">
        <fgColor theme="8" tint="0.79998168889431442"/>
        <bgColor indexed="64"/>
      </patternFill>
    </fill>
    <fill>
      <patternFill patternType="solid">
        <fgColor theme="7" tint="0.39997558519241921"/>
        <bgColor indexed="64"/>
      </patternFill>
    </fill>
    <fill>
      <patternFill patternType="solid">
        <fgColor rgb="FFFFFFFF"/>
        <bgColor rgb="FF000000"/>
      </patternFill>
    </fill>
  </fills>
  <borders count="21">
    <border>
      <left/>
      <right/>
      <top/>
      <bottom/>
      <diagonal/>
    </border>
    <border>
      <left style="thin">
        <color auto="1"/>
      </left>
      <right/>
      <top/>
      <bottom style="thin">
        <color auto="1"/>
      </bottom>
      <diagonal/>
    </border>
    <border>
      <left/>
      <right/>
      <top style="thin">
        <color auto="1"/>
      </top>
      <bottom/>
      <diagonal/>
    </border>
    <border>
      <left style="medium">
        <color auto="1"/>
      </left>
      <right/>
      <top style="medium">
        <color auto="1"/>
      </top>
      <bottom/>
      <diagonal/>
    </border>
    <border>
      <left/>
      <right/>
      <top style="medium">
        <color auto="1"/>
      </top>
      <bottom/>
      <diagonal/>
    </border>
    <border>
      <left/>
      <right style="medium">
        <color auto="1"/>
      </right>
      <top/>
      <bottom/>
      <diagonal/>
    </border>
    <border>
      <left style="medium">
        <color auto="1"/>
      </left>
      <right/>
      <top/>
      <bottom/>
      <diagonal/>
    </border>
    <border>
      <left style="thin">
        <color auto="1"/>
      </left>
      <right/>
      <top/>
      <bottom/>
      <diagonal/>
    </border>
    <border>
      <left/>
      <right style="thin">
        <color auto="1"/>
      </right>
      <top/>
      <bottom/>
      <diagonal/>
    </border>
    <border>
      <left/>
      <right/>
      <top/>
      <bottom style="thin">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right style="thin">
        <color auto="1"/>
      </right>
      <top style="thin">
        <color auto="1"/>
      </top>
      <bottom/>
      <diagonal/>
    </border>
    <border>
      <left/>
      <right style="thin">
        <color auto="1"/>
      </right>
      <top/>
      <bottom style="thin">
        <color auto="1"/>
      </bottom>
      <diagonal/>
    </border>
    <border>
      <left/>
      <right style="medium">
        <color auto="1"/>
      </right>
      <top style="medium">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style="medium">
        <color auto="1"/>
      </right>
      <top style="medium">
        <color auto="1"/>
      </top>
      <bottom style="medium">
        <color auto="1"/>
      </bottom>
      <diagonal/>
    </border>
    <border>
      <left/>
      <right style="medium">
        <color auto="1"/>
      </right>
      <top/>
      <bottom style="thin">
        <color auto="1"/>
      </bottom>
      <diagonal/>
    </border>
    <border>
      <left style="medium">
        <color auto="1"/>
      </left>
      <right style="medium">
        <color auto="1"/>
      </right>
      <top/>
      <bottom style="medium">
        <color auto="1"/>
      </bottom>
      <diagonal/>
    </border>
  </borders>
  <cellStyleXfs count="244">
    <xf numFmtId="0" fontId="0" fillId="0" borderId="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1"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0" fontId="22" fillId="0" borderId="0" applyNumberFormat="0" applyFill="0" applyBorder="0" applyAlignment="0" applyProtection="0"/>
    <xf numFmtId="9" fontId="32" fillId="0" borderId="0" applyFont="0" applyFill="0" applyBorder="0" applyAlignment="0" applyProtection="0"/>
  </cellStyleXfs>
  <cellXfs count="149">
    <xf numFmtId="0" fontId="0" fillId="0" borderId="0" xfId="0"/>
    <xf numFmtId="0" fontId="24" fillId="3" borderId="7" xfId="0" applyFont="1" applyFill="1" applyBorder="1"/>
    <xf numFmtId="0" fontId="25" fillId="3" borderId="17" xfId="0" applyFont="1" applyFill="1" applyBorder="1"/>
    <xf numFmtId="0" fontId="24" fillId="3" borderId="13" xfId="0" applyFont="1" applyFill="1" applyBorder="1"/>
    <xf numFmtId="0" fontId="26" fillId="3" borderId="7" xfId="0" applyFont="1" applyFill="1" applyBorder="1" applyAlignment="1">
      <alignment vertical="center"/>
    </xf>
    <xf numFmtId="49" fontId="24" fillId="2" borderId="8" xfId="0" applyNumberFormat="1" applyFont="1" applyFill="1" applyBorder="1" applyAlignment="1">
      <alignment horizontal="left"/>
    </xf>
    <xf numFmtId="0" fontId="26" fillId="3" borderId="1" xfId="0" applyFont="1" applyFill="1" applyBorder="1" applyAlignment="1">
      <alignment vertical="center"/>
    </xf>
    <xf numFmtId="0" fontId="24" fillId="3" borderId="14" xfId="0" applyFont="1" applyFill="1" applyBorder="1"/>
    <xf numFmtId="0" fontId="24" fillId="3" borderId="0" xfId="0" applyFont="1" applyFill="1"/>
    <xf numFmtId="0" fontId="23" fillId="2" borderId="0" xfId="0" applyFont="1" applyFill="1"/>
    <xf numFmtId="0" fontId="23" fillId="2" borderId="5" xfId="0" applyFont="1" applyFill="1" applyBorder="1"/>
    <xf numFmtId="0" fontId="23" fillId="2" borderId="4" xfId="0" applyFont="1" applyFill="1" applyBorder="1"/>
    <xf numFmtId="0" fontId="20" fillId="2" borderId="0" xfId="0" applyFont="1" applyFill="1"/>
    <xf numFmtId="0" fontId="24" fillId="0" borderId="0" xfId="0" applyFont="1"/>
    <xf numFmtId="0" fontId="23" fillId="2" borderId="6" xfId="0" applyFont="1" applyFill="1" applyBorder="1"/>
    <xf numFmtId="0" fontId="24" fillId="3" borderId="17" xfId="0" applyFont="1" applyFill="1" applyBorder="1"/>
    <xf numFmtId="0" fontId="24" fillId="3" borderId="2" xfId="0" applyFont="1" applyFill="1" applyBorder="1"/>
    <xf numFmtId="0" fontId="20" fillId="2" borderId="2" xfId="0" applyFont="1" applyFill="1" applyBorder="1"/>
    <xf numFmtId="0" fontId="27" fillId="3" borderId="0" xfId="0" applyFont="1" applyFill="1"/>
    <xf numFmtId="0" fontId="20" fillId="2" borderId="7" xfId="0" applyFont="1" applyFill="1" applyBorder="1"/>
    <xf numFmtId="0" fontId="23" fillId="0" borderId="0" xfId="0" applyFont="1"/>
    <xf numFmtId="0" fontId="25" fillId="3" borderId="0" xfId="0" applyFont="1" applyFill="1"/>
    <xf numFmtId="0" fontId="19" fillId="2" borderId="18" xfId="0" applyFont="1" applyFill="1" applyBorder="1"/>
    <xf numFmtId="0" fontId="19" fillId="2" borderId="0" xfId="0" applyFont="1" applyFill="1"/>
    <xf numFmtId="0" fontId="19" fillId="2" borderId="3" xfId="0" applyFont="1" applyFill="1" applyBorder="1"/>
    <xf numFmtId="0" fontId="19" fillId="2" borderId="15" xfId="0" applyFont="1" applyFill="1" applyBorder="1"/>
    <xf numFmtId="0" fontId="19" fillId="0" borderId="0" xfId="0" applyFont="1"/>
    <xf numFmtId="0" fontId="19" fillId="2" borderId="6" xfId="0" applyFont="1" applyFill="1" applyBorder="1"/>
    <xf numFmtId="164" fontId="19" fillId="2" borderId="18" xfId="0" applyNumberFormat="1" applyFont="1" applyFill="1" applyBorder="1"/>
    <xf numFmtId="0" fontId="19" fillId="2" borderId="10" xfId="0" applyFont="1" applyFill="1" applyBorder="1"/>
    <xf numFmtId="0" fontId="19" fillId="2" borderId="11" xfId="0" applyFont="1" applyFill="1" applyBorder="1"/>
    <xf numFmtId="0" fontId="19" fillId="2" borderId="12" xfId="0" applyFont="1" applyFill="1" applyBorder="1"/>
    <xf numFmtId="0" fontId="18" fillId="2" borderId="0" xfId="0" applyFont="1" applyFill="1"/>
    <xf numFmtId="0" fontId="18" fillId="2" borderId="3" xfId="0" applyFont="1" applyFill="1" applyBorder="1"/>
    <xf numFmtId="0" fontId="18" fillId="2" borderId="4" xfId="0" applyFont="1" applyFill="1" applyBorder="1"/>
    <xf numFmtId="0" fontId="18" fillId="2" borderId="6" xfId="0" applyFont="1" applyFill="1" applyBorder="1"/>
    <xf numFmtId="0" fontId="23" fillId="2" borderId="17" xfId="0" applyFont="1" applyFill="1" applyBorder="1"/>
    <xf numFmtId="0" fontId="14" fillId="2" borderId="2" xfId="0" applyFont="1" applyFill="1" applyBorder="1"/>
    <xf numFmtId="0" fontId="23" fillId="2" borderId="7" xfId="0" applyFont="1" applyFill="1" applyBorder="1"/>
    <xf numFmtId="0" fontId="14" fillId="2" borderId="0" xfId="0" applyFont="1" applyFill="1"/>
    <xf numFmtId="0" fontId="29" fillId="2" borderId="0" xfId="0" applyFont="1" applyFill="1"/>
    <xf numFmtId="0" fontId="14" fillId="2" borderId="18" xfId="0" applyFont="1" applyFill="1" applyBorder="1"/>
    <xf numFmtId="0" fontId="14" fillId="4" borderId="0" xfId="0" applyFont="1" applyFill="1"/>
    <xf numFmtId="0" fontId="14" fillId="5" borderId="0" xfId="0" applyFont="1" applyFill="1"/>
    <xf numFmtId="0" fontId="14" fillId="6" borderId="0" xfId="0" applyFont="1" applyFill="1"/>
    <xf numFmtId="0" fontId="14" fillId="7" borderId="0" xfId="0" applyFont="1" applyFill="1"/>
    <xf numFmtId="0" fontId="14" fillId="2" borderId="7" xfId="0" applyFont="1" applyFill="1" applyBorder="1"/>
    <xf numFmtId="0" fontId="14" fillId="8" borderId="0" xfId="0" applyFont="1" applyFill="1"/>
    <xf numFmtId="0" fontId="14" fillId="9" borderId="0" xfId="0" applyFont="1" applyFill="1"/>
    <xf numFmtId="0" fontId="14" fillId="10" borderId="0" xfId="0" applyFont="1" applyFill="1"/>
    <xf numFmtId="0" fontId="14" fillId="11" borderId="0" xfId="0" applyFont="1" applyFill="1"/>
    <xf numFmtId="0" fontId="23" fillId="2" borderId="16" xfId="0" applyFont="1" applyFill="1" applyBorder="1"/>
    <xf numFmtId="0" fontId="23" fillId="2" borderId="9" xfId="0" applyFont="1" applyFill="1" applyBorder="1"/>
    <xf numFmtId="0" fontId="25" fillId="2" borderId="9" xfId="0" applyFont="1" applyFill="1" applyBorder="1"/>
    <xf numFmtId="0" fontId="23" fillId="2" borderId="19" xfId="0" applyFont="1" applyFill="1" applyBorder="1"/>
    <xf numFmtId="0" fontId="24" fillId="2" borderId="0" xfId="0" applyFont="1" applyFill="1"/>
    <xf numFmtId="0" fontId="19" fillId="2" borderId="5" xfId="0" applyFont="1" applyFill="1" applyBorder="1"/>
    <xf numFmtId="0" fontId="23" fillId="2" borderId="9" xfId="0" applyFont="1" applyFill="1" applyBorder="1" applyAlignment="1">
      <alignment vertical="center"/>
    </xf>
    <xf numFmtId="0" fontId="13" fillId="2" borderId="0" xfId="0" applyFont="1" applyFill="1"/>
    <xf numFmtId="49" fontId="13" fillId="2" borderId="0" xfId="0" applyNumberFormat="1" applyFont="1" applyFill="1"/>
    <xf numFmtId="0" fontId="13" fillId="2" borderId="3" xfId="0" applyFont="1" applyFill="1" applyBorder="1"/>
    <xf numFmtId="0" fontId="13" fillId="2" borderId="4" xfId="0" applyFont="1" applyFill="1" applyBorder="1"/>
    <xf numFmtId="49" fontId="13" fillId="2" borderId="4" xfId="0" applyNumberFormat="1" applyFont="1" applyFill="1" applyBorder="1"/>
    <xf numFmtId="0" fontId="13" fillId="2" borderId="6" xfId="0" applyFont="1" applyFill="1" applyBorder="1"/>
    <xf numFmtId="49" fontId="23" fillId="2" borderId="0" xfId="0" applyNumberFormat="1" applyFont="1" applyFill="1"/>
    <xf numFmtId="0" fontId="13" fillId="2" borderId="16" xfId="0" applyFont="1" applyFill="1" applyBorder="1"/>
    <xf numFmtId="49" fontId="23" fillId="2" borderId="9" xfId="0" applyNumberFormat="1" applyFont="1" applyFill="1" applyBorder="1"/>
    <xf numFmtId="0" fontId="13" fillId="2" borderId="0" xfId="0" applyFont="1" applyFill="1" applyAlignment="1">
      <alignment vertical="top"/>
    </xf>
    <xf numFmtId="0" fontId="12" fillId="2" borderId="0" xfId="0" applyFont="1" applyFill="1"/>
    <xf numFmtId="0" fontId="12" fillId="2" borderId="3" xfId="0" applyFont="1" applyFill="1" applyBorder="1"/>
    <xf numFmtId="0" fontId="12" fillId="2" borderId="4" xfId="0" applyFont="1" applyFill="1" applyBorder="1"/>
    <xf numFmtId="0" fontId="12" fillId="2" borderId="6" xfId="0" applyFont="1" applyFill="1" applyBorder="1"/>
    <xf numFmtId="0" fontId="11" fillId="2" borderId="0" xfId="0" applyFont="1" applyFill="1"/>
    <xf numFmtId="0" fontId="10" fillId="0" borderId="0" xfId="0" applyFont="1"/>
    <xf numFmtId="0" fontId="9" fillId="2" borderId="0" xfId="0" applyFont="1" applyFill="1"/>
    <xf numFmtId="0" fontId="18" fillId="2" borderId="18" xfId="0" applyFont="1" applyFill="1" applyBorder="1"/>
    <xf numFmtId="0" fontId="9" fillId="2" borderId="18" xfId="0" applyFont="1" applyFill="1" applyBorder="1"/>
    <xf numFmtId="0" fontId="9" fillId="0" borderId="0" xfId="0" applyFont="1"/>
    <xf numFmtId="0" fontId="8" fillId="0" borderId="0" xfId="0" applyFont="1" applyAlignment="1">
      <alignment vertical="top"/>
    </xf>
    <xf numFmtId="0" fontId="0" fillId="2" borderId="0" xfId="0" applyFill="1"/>
    <xf numFmtId="0" fontId="28" fillId="2" borderId="0" xfId="0" applyFont="1" applyFill="1"/>
    <xf numFmtId="2" fontId="28" fillId="2" borderId="0" xfId="0" applyNumberFormat="1" applyFont="1" applyFill="1"/>
    <xf numFmtId="165" fontId="28" fillId="2" borderId="0" xfId="0" applyNumberFormat="1" applyFont="1" applyFill="1"/>
    <xf numFmtId="0" fontId="7" fillId="2" borderId="0" xfId="0" applyFont="1" applyFill="1"/>
    <xf numFmtId="49" fontId="6" fillId="2" borderId="0" xfId="0" applyNumberFormat="1" applyFont="1" applyFill="1"/>
    <xf numFmtId="0" fontId="6" fillId="2" borderId="0" xfId="0" applyFont="1" applyFill="1"/>
    <xf numFmtId="0" fontId="5" fillId="0" borderId="0" xfId="0" applyFont="1"/>
    <xf numFmtId="0" fontId="5" fillId="2" borderId="18" xfId="0" applyFont="1" applyFill="1" applyBorder="1"/>
    <xf numFmtId="0" fontId="5" fillId="2" borderId="0" xfId="0" applyFont="1" applyFill="1"/>
    <xf numFmtId="0" fontId="5" fillId="2" borderId="6" xfId="0" applyFont="1" applyFill="1" applyBorder="1"/>
    <xf numFmtId="164" fontId="5" fillId="2" borderId="18" xfId="0" applyNumberFormat="1" applyFont="1" applyFill="1" applyBorder="1"/>
    <xf numFmtId="0" fontId="5" fillId="2" borderId="5" xfId="0" applyFont="1" applyFill="1" applyBorder="1"/>
    <xf numFmtId="165" fontId="5" fillId="0" borderId="18" xfId="0" applyNumberFormat="1" applyFont="1" applyBorder="1"/>
    <xf numFmtId="164" fontId="5" fillId="0" borderId="18" xfId="0" applyNumberFormat="1" applyFont="1" applyBorder="1"/>
    <xf numFmtId="2" fontId="5" fillId="0" borderId="18" xfId="0" applyNumberFormat="1" applyFont="1" applyBorder="1"/>
    <xf numFmtId="167" fontId="5" fillId="2" borderId="0" xfId="0" applyNumberFormat="1" applyFont="1" applyFill="1"/>
    <xf numFmtId="164" fontId="5" fillId="2" borderId="0" xfId="0" applyNumberFormat="1" applyFont="1" applyFill="1"/>
    <xf numFmtId="166" fontId="5" fillId="2" borderId="6" xfId="0" applyNumberFormat="1" applyFont="1" applyFill="1" applyBorder="1"/>
    <xf numFmtId="166" fontId="5" fillId="0" borderId="0" xfId="0" applyNumberFormat="1" applyFont="1"/>
    <xf numFmtId="166" fontId="24" fillId="0" borderId="0" xfId="0" applyNumberFormat="1" applyFont="1"/>
    <xf numFmtId="166" fontId="5" fillId="2" borderId="5" xfId="0" applyNumberFormat="1" applyFont="1" applyFill="1" applyBorder="1"/>
    <xf numFmtId="2" fontId="28" fillId="2" borderId="20" xfId="0" applyNumberFormat="1" applyFont="1" applyFill="1" applyBorder="1"/>
    <xf numFmtId="0" fontId="4" fillId="2" borderId="18" xfId="0" applyFont="1" applyFill="1" applyBorder="1"/>
    <xf numFmtId="0" fontId="3" fillId="2" borderId="0" xfId="0" applyFont="1" applyFill="1"/>
    <xf numFmtId="0" fontId="31" fillId="2" borderId="0" xfId="0" applyFont="1" applyFill="1"/>
    <xf numFmtId="0" fontId="33" fillId="0" borderId="18" xfId="0" applyFont="1" applyBorder="1"/>
    <xf numFmtId="0" fontId="33" fillId="2" borderId="0" xfId="0" applyFont="1" applyFill="1"/>
    <xf numFmtId="0" fontId="33" fillId="2" borderId="18" xfId="0" applyFont="1" applyFill="1" applyBorder="1"/>
    <xf numFmtId="169" fontId="33" fillId="0" borderId="18" xfId="243" applyNumberFormat="1" applyFont="1" applyBorder="1"/>
    <xf numFmtId="168" fontId="33" fillId="2" borderId="18" xfId="243" applyNumberFormat="1" applyFont="1" applyFill="1" applyBorder="1"/>
    <xf numFmtId="0" fontId="3" fillId="0" borderId="0" xfId="0" applyFont="1"/>
    <xf numFmtId="49" fontId="3" fillId="2" borderId="0" xfId="0" applyNumberFormat="1" applyFont="1" applyFill="1" applyAlignment="1">
      <alignment horizontal="right"/>
    </xf>
    <xf numFmtId="49" fontId="3" fillId="2" borderId="0" xfId="0" applyNumberFormat="1" applyFont="1" applyFill="1"/>
    <xf numFmtId="170" fontId="5" fillId="0" borderId="18" xfId="0" applyNumberFormat="1" applyFont="1" applyBorder="1"/>
    <xf numFmtId="0" fontId="3" fillId="2" borderId="18" xfId="0" applyFont="1" applyFill="1" applyBorder="1"/>
    <xf numFmtId="0" fontId="2" fillId="2" borderId="18" xfId="0" applyFont="1" applyFill="1" applyBorder="1"/>
    <xf numFmtId="0" fontId="2" fillId="0" borderId="0" xfId="0" applyFont="1"/>
    <xf numFmtId="0" fontId="18" fillId="2" borderId="15" xfId="0" applyFont="1" applyFill="1" applyBorder="1"/>
    <xf numFmtId="0" fontId="23" fillId="2" borderId="19" xfId="0" applyFont="1" applyFill="1" applyBorder="1" applyAlignment="1">
      <alignment vertical="center"/>
    </xf>
    <xf numFmtId="10" fontId="18" fillId="2" borderId="0" xfId="0" applyNumberFormat="1" applyFont="1" applyFill="1" applyAlignment="1">
      <alignment horizontal="left" vertical="center" indent="2"/>
    </xf>
    <xf numFmtId="2" fontId="18" fillId="2" borderId="0" xfId="0" applyNumberFormat="1" applyFont="1" applyFill="1" applyAlignment="1">
      <alignment horizontal="right" vertical="center"/>
    </xf>
    <xf numFmtId="0" fontId="16" fillId="0" borderId="5" xfId="0" applyFont="1" applyBorder="1"/>
    <xf numFmtId="0" fontId="23" fillId="0" borderId="0" xfId="0" applyFont="1" applyAlignment="1">
      <alignment horizontal="left" vertical="center"/>
    </xf>
    <xf numFmtId="1" fontId="23" fillId="2" borderId="0" xfId="0" applyNumberFormat="1" applyFont="1" applyFill="1" applyAlignment="1">
      <alignment horizontal="right" vertical="center"/>
    </xf>
    <xf numFmtId="0" fontId="17" fillId="0" borderId="5" xfId="0" applyFont="1" applyBorder="1"/>
    <xf numFmtId="0" fontId="5" fillId="0" borderId="0" xfId="0" applyFont="1" applyAlignment="1">
      <alignment horizontal="left" vertical="center"/>
    </xf>
    <xf numFmtId="165" fontId="9" fillId="0" borderId="0" xfId="0" applyNumberFormat="1" applyFont="1" applyAlignment="1">
      <alignment vertical="center"/>
    </xf>
    <xf numFmtId="0" fontId="15" fillId="0" borderId="5" xfId="0" applyFont="1" applyBorder="1"/>
    <xf numFmtId="0" fontId="4" fillId="2" borderId="0" xfId="0" applyFont="1" applyFill="1"/>
    <xf numFmtId="0" fontId="18" fillId="2" borderId="5" xfId="0" applyFont="1" applyFill="1" applyBorder="1"/>
    <xf numFmtId="0" fontId="4" fillId="0" borderId="0" xfId="0" applyFont="1"/>
    <xf numFmtId="0" fontId="18" fillId="2" borderId="10" xfId="0" applyFont="1" applyFill="1" applyBorder="1"/>
    <xf numFmtId="0" fontId="18" fillId="2" borderId="11" xfId="0" applyFont="1" applyFill="1" applyBorder="1"/>
    <xf numFmtId="0" fontId="18" fillId="2" borderId="12" xfId="0" applyFont="1" applyFill="1" applyBorder="1"/>
    <xf numFmtId="0" fontId="2" fillId="2" borderId="0" xfId="0" applyFont="1" applyFill="1"/>
    <xf numFmtId="9" fontId="12" fillId="2" borderId="0" xfId="243" applyFont="1" applyFill="1"/>
    <xf numFmtId="0" fontId="30" fillId="12" borderId="17" xfId="0" applyFont="1" applyFill="1" applyBorder="1" applyAlignment="1">
      <alignment horizontal="left" vertical="top" wrapText="1"/>
    </xf>
    <xf numFmtId="0" fontId="30" fillId="12" borderId="2" xfId="0" applyFont="1" applyFill="1" applyBorder="1" applyAlignment="1">
      <alignment horizontal="left" vertical="top" wrapText="1"/>
    </xf>
    <xf numFmtId="0" fontId="30" fillId="12" borderId="13" xfId="0" applyFont="1" applyFill="1" applyBorder="1" applyAlignment="1">
      <alignment horizontal="left" vertical="top" wrapText="1"/>
    </xf>
    <xf numFmtId="0" fontId="30" fillId="12" borderId="7" xfId="0" applyFont="1" applyFill="1" applyBorder="1" applyAlignment="1">
      <alignment horizontal="left" vertical="top" wrapText="1"/>
    </xf>
    <xf numFmtId="0" fontId="30" fillId="12" borderId="0" xfId="0" applyFont="1" applyFill="1" applyAlignment="1">
      <alignment horizontal="left" vertical="top" wrapText="1"/>
    </xf>
    <xf numFmtId="0" fontId="30" fillId="12" borderId="8" xfId="0" applyFont="1" applyFill="1" applyBorder="1" applyAlignment="1">
      <alignment horizontal="left" vertical="top" wrapText="1"/>
    </xf>
    <xf numFmtId="0" fontId="30" fillId="12" borderId="1" xfId="0" applyFont="1" applyFill="1" applyBorder="1" applyAlignment="1">
      <alignment horizontal="left" vertical="top" wrapText="1"/>
    </xf>
    <xf numFmtId="0" fontId="30" fillId="12" borderId="9" xfId="0" applyFont="1" applyFill="1" applyBorder="1" applyAlignment="1">
      <alignment horizontal="left" vertical="top" wrapText="1"/>
    </xf>
    <xf numFmtId="0" fontId="30" fillId="12" borderId="14" xfId="0" applyFont="1" applyFill="1" applyBorder="1" applyAlignment="1">
      <alignment horizontal="left" vertical="top" wrapText="1"/>
    </xf>
    <xf numFmtId="0" fontId="1" fillId="2" borderId="0" xfId="0" applyFont="1" applyFill="1"/>
    <xf numFmtId="0" fontId="31" fillId="12" borderId="0" xfId="0" applyFont="1" applyFill="1"/>
    <xf numFmtId="0" fontId="30" fillId="12" borderId="0" xfId="0" applyFont="1" applyFill="1"/>
    <xf numFmtId="0" fontId="1" fillId="2" borderId="18" xfId="0" applyFont="1" applyFill="1" applyBorder="1"/>
  </cellXfs>
  <cellStyles count="244">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Followed Hyperlink" xfId="164" builtinId="9" hidden="1"/>
    <cellStyle name="Followed Hyperlink" xfId="166" builtinId="9" hidden="1"/>
    <cellStyle name="Followed Hyperlink" xfId="168" builtinId="9" hidden="1"/>
    <cellStyle name="Followed Hyperlink" xfId="170" builtinId="9" hidden="1"/>
    <cellStyle name="Followed Hyperlink" xfId="172" builtinId="9" hidden="1"/>
    <cellStyle name="Followed Hyperlink" xfId="174" builtinId="9" hidden="1"/>
    <cellStyle name="Followed Hyperlink" xfId="176" builtinId="9" hidden="1"/>
    <cellStyle name="Followed Hyperlink" xfId="177" builtinId="9" hidden="1"/>
    <cellStyle name="Followed Hyperlink" xfId="178" builtinId="9" hidden="1"/>
    <cellStyle name="Followed Hyperlink" xfId="179" builtinId="9" hidden="1"/>
    <cellStyle name="Followed Hyperlink" xfId="180" builtinId="9" hidden="1"/>
    <cellStyle name="Followed Hyperlink" xfId="181" builtinId="9" hidden="1"/>
    <cellStyle name="Followed Hyperlink" xfId="182" builtinId="9" hidden="1"/>
    <cellStyle name="Followed Hyperlink" xfId="183" builtinId="9" hidden="1"/>
    <cellStyle name="Followed Hyperlink" xfId="184" builtinId="9" hidden="1"/>
    <cellStyle name="Followed Hyperlink" xfId="185" builtinId="9" hidden="1"/>
    <cellStyle name="Followed Hyperlink" xfId="186" builtinId="9" hidden="1"/>
    <cellStyle name="Followed Hyperlink" xfId="187" builtinId="9" hidden="1"/>
    <cellStyle name="Followed Hyperlink" xfId="188" builtinId="9" hidden="1"/>
    <cellStyle name="Followed Hyperlink" xfId="189" builtinId="9" hidden="1"/>
    <cellStyle name="Followed Hyperlink" xfId="190" builtinId="9" hidden="1"/>
    <cellStyle name="Followed Hyperlink" xfId="191" builtinId="9" hidden="1"/>
    <cellStyle name="Followed Hyperlink" xfId="192" builtinId="9" hidden="1"/>
    <cellStyle name="Followed Hyperlink" xfId="193" builtinId="9" hidden="1"/>
    <cellStyle name="Followed Hyperlink" xfId="194" builtinId="9" hidden="1"/>
    <cellStyle name="Followed Hyperlink" xfId="195" builtinId="9" hidden="1"/>
    <cellStyle name="Followed Hyperlink" xfId="196" builtinId="9" hidden="1"/>
    <cellStyle name="Followed Hyperlink" xfId="197" builtinId="9" hidden="1"/>
    <cellStyle name="Followed Hyperlink" xfId="198" builtinId="9" hidden="1"/>
    <cellStyle name="Followed Hyperlink" xfId="199" builtinId="9" hidden="1"/>
    <cellStyle name="Followed Hyperlink" xfId="200" builtinId="9" hidden="1"/>
    <cellStyle name="Followed Hyperlink" xfId="201" builtinId="9" hidden="1"/>
    <cellStyle name="Followed Hyperlink" xfId="202" builtinId="9" hidden="1"/>
    <cellStyle name="Followed Hyperlink" xfId="203" builtinId="9" hidden="1"/>
    <cellStyle name="Followed Hyperlink" xfId="204" builtinId="9" hidden="1"/>
    <cellStyle name="Followed Hyperlink" xfId="205" builtinId="9" hidden="1"/>
    <cellStyle name="Followed Hyperlink" xfId="206" builtinId="9" hidden="1"/>
    <cellStyle name="Followed Hyperlink" xfId="207" builtinId="9" hidden="1"/>
    <cellStyle name="Followed Hyperlink" xfId="208" builtinId="9" hidden="1"/>
    <cellStyle name="Followed Hyperlink" xfId="209" builtinId="9" hidden="1"/>
    <cellStyle name="Followed Hyperlink" xfId="210" builtinId="9" hidden="1"/>
    <cellStyle name="Followed Hyperlink" xfId="211" builtinId="9" hidden="1"/>
    <cellStyle name="Followed Hyperlink" xfId="212" builtinId="9" hidden="1"/>
    <cellStyle name="Followed Hyperlink" xfId="213" builtinId="9" hidden="1"/>
    <cellStyle name="Followed Hyperlink" xfId="214" builtinId="9" hidden="1"/>
    <cellStyle name="Followed Hyperlink" xfId="215" builtinId="9" hidden="1"/>
    <cellStyle name="Followed Hyperlink" xfId="216" builtinId="9" hidden="1"/>
    <cellStyle name="Followed Hyperlink" xfId="217" builtinId="9" hidden="1"/>
    <cellStyle name="Followed Hyperlink" xfId="218" builtinId="9" hidden="1"/>
    <cellStyle name="Followed Hyperlink" xfId="219" builtinId="9" hidden="1"/>
    <cellStyle name="Followed Hyperlink" xfId="220" builtinId="9" hidden="1"/>
    <cellStyle name="Followed Hyperlink" xfId="221" builtinId="9" hidden="1"/>
    <cellStyle name="Followed Hyperlink" xfId="222" builtinId="9" hidden="1"/>
    <cellStyle name="Followed Hyperlink" xfId="223" builtinId="9" hidden="1"/>
    <cellStyle name="Followed Hyperlink" xfId="224" builtinId="9" hidden="1"/>
    <cellStyle name="Followed Hyperlink" xfId="225" builtinId="9" hidden="1"/>
    <cellStyle name="Followed Hyperlink" xfId="226" builtinId="9" hidden="1"/>
    <cellStyle name="Followed Hyperlink" xfId="227" builtinId="9" hidden="1"/>
    <cellStyle name="Followed Hyperlink" xfId="228" builtinId="9" hidden="1"/>
    <cellStyle name="Followed Hyperlink" xfId="229" builtinId="9" hidden="1"/>
    <cellStyle name="Followed Hyperlink" xfId="230" builtinId="9" hidden="1"/>
    <cellStyle name="Followed Hyperlink" xfId="231" builtinId="9" hidden="1"/>
    <cellStyle name="Followed Hyperlink" xfId="232" builtinId="9" hidden="1"/>
    <cellStyle name="Followed Hyperlink" xfId="233" builtinId="9" hidden="1"/>
    <cellStyle name="Followed Hyperlink" xfId="234" builtinId="9" hidden="1"/>
    <cellStyle name="Followed Hyperlink" xfId="235" builtinId="9" hidden="1"/>
    <cellStyle name="Followed Hyperlink" xfId="236" builtinId="9" hidden="1"/>
    <cellStyle name="Followed Hyperlink" xfId="237" builtinId="9" hidden="1"/>
    <cellStyle name="Followed Hyperlink" xfId="238" builtinId="9" hidden="1"/>
    <cellStyle name="Followed Hyperlink" xfId="239" builtinId="9" hidden="1"/>
    <cellStyle name="Followed Hyperlink" xfId="240" builtinId="9" hidden="1"/>
    <cellStyle name="Followed Hyperlink" xfId="241" builtinId="9" hidden="1"/>
    <cellStyle name="Followed Hyperlink" xfId="24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Hyperlink" xfId="163" builtinId="8" hidden="1"/>
    <cellStyle name="Hyperlink" xfId="165" builtinId="8" hidden="1"/>
    <cellStyle name="Hyperlink" xfId="167" builtinId="8" hidden="1"/>
    <cellStyle name="Hyperlink" xfId="169" builtinId="8" hidden="1"/>
    <cellStyle name="Hyperlink" xfId="171" builtinId="8" hidden="1"/>
    <cellStyle name="Hyperlink" xfId="173" builtinId="8" hidden="1"/>
    <cellStyle name="Hyperlink" xfId="175" builtinId="8" hidden="1"/>
    <cellStyle name="Normal" xfId="0" builtinId="0"/>
    <cellStyle name="Per cent" xfId="243" builtinId="5"/>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3</xdr:col>
      <xdr:colOff>431800</xdr:colOff>
      <xdr:row>80</xdr:row>
      <xdr:rowOff>114300</xdr:rowOff>
    </xdr:from>
    <xdr:to>
      <xdr:col>8</xdr:col>
      <xdr:colOff>342900</xdr:colOff>
      <xdr:row>97</xdr:row>
      <xdr:rowOff>101600</xdr:rowOff>
    </xdr:to>
    <xdr:pic>
      <xdr:nvPicPr>
        <xdr:cNvPr id="4" name="Picture 3">
          <a:extLst>
            <a:ext uri="{FF2B5EF4-FFF2-40B4-BE49-F238E27FC236}">
              <a16:creationId xmlns:a16="http://schemas.microsoft.com/office/drawing/2014/main" id="{ABD4B34C-D9F6-9741-ABAD-9BB73BD29F55}"/>
            </a:ext>
          </a:extLst>
        </xdr:cNvPr>
        <xdr:cNvPicPr>
          <a:picLocks noChangeAspect="1"/>
        </xdr:cNvPicPr>
      </xdr:nvPicPr>
      <xdr:blipFill>
        <a:blip xmlns:r="http://schemas.openxmlformats.org/officeDocument/2006/relationships" r:embed="rId1"/>
        <a:stretch>
          <a:fillRect/>
        </a:stretch>
      </xdr:blipFill>
      <xdr:spPr>
        <a:xfrm>
          <a:off x="2146300" y="736600"/>
          <a:ext cx="5638800" cy="3441700"/>
        </a:xfrm>
        <a:prstGeom prst="rect">
          <a:avLst/>
        </a:prstGeom>
      </xdr:spPr>
    </xdr:pic>
    <xdr:clientData/>
  </xdr:twoCellAnchor>
  <xdr:twoCellAnchor editAs="oneCell">
    <xdr:from>
      <xdr:col>8</xdr:col>
      <xdr:colOff>1574800</xdr:colOff>
      <xdr:row>102</xdr:row>
      <xdr:rowOff>8452</xdr:rowOff>
    </xdr:from>
    <xdr:to>
      <xdr:col>22</xdr:col>
      <xdr:colOff>584200</xdr:colOff>
      <xdr:row>126</xdr:row>
      <xdr:rowOff>66676</xdr:rowOff>
    </xdr:to>
    <xdr:pic>
      <xdr:nvPicPr>
        <xdr:cNvPr id="6" name="Picture 5">
          <a:extLst>
            <a:ext uri="{FF2B5EF4-FFF2-40B4-BE49-F238E27FC236}">
              <a16:creationId xmlns:a16="http://schemas.microsoft.com/office/drawing/2014/main" id="{600DEE52-2B5D-BC43-EEDA-D319F7B0FF15}"/>
            </a:ext>
          </a:extLst>
        </xdr:cNvPr>
        <xdr:cNvPicPr>
          <a:picLocks noChangeAspect="1"/>
        </xdr:cNvPicPr>
      </xdr:nvPicPr>
      <xdr:blipFill>
        <a:blip xmlns:r="http://schemas.openxmlformats.org/officeDocument/2006/relationships" r:embed="rId2"/>
        <a:stretch>
          <a:fillRect/>
        </a:stretch>
      </xdr:blipFill>
      <xdr:spPr>
        <a:xfrm>
          <a:off x="9017000" y="20798352"/>
          <a:ext cx="11264900" cy="5011224"/>
        </a:xfrm>
        <a:prstGeom prst="rect">
          <a:avLst/>
        </a:prstGeom>
      </xdr:spPr>
    </xdr:pic>
    <xdr:clientData/>
  </xdr:twoCellAnchor>
  <xdr:twoCellAnchor editAs="oneCell">
    <xdr:from>
      <xdr:col>7</xdr:col>
      <xdr:colOff>640427</xdr:colOff>
      <xdr:row>6</xdr:row>
      <xdr:rowOff>206238</xdr:rowOff>
    </xdr:from>
    <xdr:to>
      <xdr:col>16</xdr:col>
      <xdr:colOff>293511</xdr:colOff>
      <xdr:row>14</xdr:row>
      <xdr:rowOff>35788</xdr:rowOff>
    </xdr:to>
    <xdr:pic>
      <xdr:nvPicPr>
        <xdr:cNvPr id="18" name="Picture 17">
          <a:extLst>
            <a:ext uri="{FF2B5EF4-FFF2-40B4-BE49-F238E27FC236}">
              <a16:creationId xmlns:a16="http://schemas.microsoft.com/office/drawing/2014/main" id="{2F8C5827-1046-5CE8-CA82-E2DD5061A5C0}"/>
            </a:ext>
          </a:extLst>
        </xdr:cNvPr>
        <xdr:cNvPicPr>
          <a:picLocks noChangeAspect="1"/>
        </xdr:cNvPicPr>
      </xdr:nvPicPr>
      <xdr:blipFill>
        <a:blip xmlns:r="http://schemas.openxmlformats.org/officeDocument/2006/relationships" r:embed="rId3"/>
        <a:stretch>
          <a:fillRect/>
        </a:stretch>
      </xdr:blipFill>
      <xdr:spPr>
        <a:xfrm>
          <a:off x="7272649" y="1454529"/>
          <a:ext cx="7772400" cy="1479464"/>
        </a:xfrm>
        <a:prstGeom prst="rect">
          <a:avLst/>
        </a:prstGeom>
      </xdr:spPr>
    </xdr:pic>
    <xdr:clientData/>
  </xdr:twoCellAnchor>
  <xdr:twoCellAnchor>
    <xdr:from>
      <xdr:col>7</xdr:col>
      <xdr:colOff>607863</xdr:colOff>
      <xdr:row>10</xdr:row>
      <xdr:rowOff>173675</xdr:rowOff>
    </xdr:from>
    <xdr:to>
      <xdr:col>11</xdr:col>
      <xdr:colOff>423333</xdr:colOff>
      <xdr:row>12</xdr:row>
      <xdr:rowOff>89645</xdr:rowOff>
    </xdr:to>
    <xdr:sp macro="" textlink="">
      <xdr:nvSpPr>
        <xdr:cNvPr id="19" name="Rectangle 18">
          <a:extLst>
            <a:ext uri="{FF2B5EF4-FFF2-40B4-BE49-F238E27FC236}">
              <a16:creationId xmlns:a16="http://schemas.microsoft.com/office/drawing/2014/main" id="{C3F83AA3-3A4D-9A47-8DDD-748A0848F327}"/>
            </a:ext>
          </a:extLst>
        </xdr:cNvPr>
        <xdr:cNvSpPr/>
      </xdr:nvSpPr>
      <xdr:spPr>
        <a:xfrm>
          <a:off x="7240085" y="2246923"/>
          <a:ext cx="3810000" cy="328448"/>
        </a:xfrm>
        <a:prstGeom prst="rect">
          <a:avLst/>
        </a:prstGeom>
        <a:noFill/>
        <a:ln w="38100">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clientData/>
  </xdr:twoCellAnchor>
  <xdr:twoCellAnchor editAs="oneCell">
    <xdr:from>
      <xdr:col>7</xdr:col>
      <xdr:colOff>466752</xdr:colOff>
      <xdr:row>13</xdr:row>
      <xdr:rowOff>173676</xdr:rowOff>
    </xdr:from>
    <xdr:to>
      <xdr:col>24</xdr:col>
      <xdr:colOff>33701</xdr:colOff>
      <xdr:row>53</xdr:row>
      <xdr:rowOff>59376</xdr:rowOff>
    </xdr:to>
    <xdr:pic>
      <xdr:nvPicPr>
        <xdr:cNvPr id="20" name="Picture 19">
          <a:extLst>
            <a:ext uri="{FF2B5EF4-FFF2-40B4-BE49-F238E27FC236}">
              <a16:creationId xmlns:a16="http://schemas.microsoft.com/office/drawing/2014/main" id="{4EF88F46-CEC4-2847-8BFB-41B200900BB8}"/>
            </a:ext>
          </a:extLst>
        </xdr:cNvPr>
        <xdr:cNvPicPr>
          <a:picLocks noChangeAspect="1"/>
        </xdr:cNvPicPr>
      </xdr:nvPicPr>
      <xdr:blipFill>
        <a:blip xmlns:r="http://schemas.openxmlformats.org/officeDocument/2006/relationships" r:embed="rId4"/>
        <a:stretch>
          <a:fillRect/>
        </a:stretch>
      </xdr:blipFill>
      <xdr:spPr>
        <a:xfrm>
          <a:off x="7098974" y="2865642"/>
          <a:ext cx="14285924" cy="8135272"/>
        </a:xfrm>
        <a:prstGeom prst="rect">
          <a:avLst/>
        </a:prstGeom>
      </xdr:spPr>
    </xdr:pic>
    <xdr:clientData/>
  </xdr:twoCellAnchor>
  <xdr:twoCellAnchor>
    <xdr:from>
      <xdr:col>9</xdr:col>
      <xdr:colOff>54272</xdr:colOff>
      <xdr:row>49</xdr:row>
      <xdr:rowOff>195385</xdr:rowOff>
    </xdr:from>
    <xdr:to>
      <xdr:col>14</xdr:col>
      <xdr:colOff>309900</xdr:colOff>
      <xdr:row>51</xdr:row>
      <xdr:rowOff>195385</xdr:rowOff>
    </xdr:to>
    <xdr:sp macro="" textlink="">
      <xdr:nvSpPr>
        <xdr:cNvPr id="21" name="Rectangle 20">
          <a:extLst>
            <a:ext uri="{FF2B5EF4-FFF2-40B4-BE49-F238E27FC236}">
              <a16:creationId xmlns:a16="http://schemas.microsoft.com/office/drawing/2014/main" id="{CFF087CA-7D06-7F45-961A-989D07962EBD}"/>
            </a:ext>
          </a:extLst>
        </xdr:cNvPr>
        <xdr:cNvSpPr/>
      </xdr:nvSpPr>
      <xdr:spPr>
        <a:xfrm>
          <a:off x="9096238" y="10311966"/>
          <a:ext cx="4315286" cy="412479"/>
        </a:xfrm>
        <a:prstGeom prst="rect">
          <a:avLst/>
        </a:prstGeom>
        <a:noFill/>
        <a:ln w="38100">
          <a:solidFill>
            <a:srgbClr val="FF0000"/>
          </a:solidFill>
        </a:ln>
      </xdr:spPr>
      <xdr:style>
        <a:lnRef idx="1">
          <a:schemeClr val="accent1"/>
        </a:lnRef>
        <a:fillRef idx="3">
          <a:schemeClr val="accent1"/>
        </a:fillRef>
        <a:effectRef idx="2">
          <a:schemeClr val="accent1"/>
        </a:effectRef>
        <a:fontRef idx="minor">
          <a:schemeClr val="lt1"/>
        </a:fontRef>
      </xdr:style>
      <xdr:txBody>
        <a:bodyPr rtlCol="0" anchor="ctr"/>
        <a:lstStyle/>
        <a:p>
          <a:pPr algn="l"/>
          <a:endParaRPr lang="en-GB" sz="1100"/>
        </a:p>
      </xdr:txBody>
    </xdr:sp>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dorinevandervlies/Projects/etdataset/nodes_source_analyses/transport/6_residences_analysis.xlsx" TargetMode="External"/><Relationship Id="rId1" Type="http://schemas.openxmlformats.org/officeDocument/2006/relationships/externalLinkPath" Target="/Users/dorinevandervlies/Projects/etdataset/nodes_source_analyses/transport/6_residences_analysi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
      <sheetName val="Changelog"/>
      <sheetName val="Contents"/>
      <sheetName val="Introduction"/>
      <sheetName val="Dataflow"/>
      <sheetName val="Assumptions"/>
      <sheetName val="Dashboard"/>
      <sheetName val="Corrected energy balance step 2"/>
      <sheetName val="technical_specs"/>
      <sheetName val="Application Shares"/>
      <sheetName val="Technology Shares"/>
      <sheetName val="Houses Shares"/>
      <sheetName val="Final demand per energy carrier"/>
      <sheetName val="Technology split final demand"/>
      <sheetName val="Electricity producer Shares"/>
      <sheetName val="Fuel aggregation"/>
      <sheetName val="Useful-final demand percentage"/>
      <sheetName val="csv_final_demand_coal"/>
      <sheetName val="csv_final_demand_crude_oil"/>
      <sheetName val="csv_final_demand_network_gas"/>
      <sheetName val="csv_final_demand_woodpellets"/>
      <sheetName val="csv_final_demand_electricity"/>
      <sheetName val="csv_final_demand_steam"/>
      <sheetName val="csv_cooling_electricity"/>
      <sheetName val="csv_heating_network_gas"/>
      <sheetName val="csv_heating_electricity"/>
      <sheetName val="csv_heating_heat_pump"/>
      <sheetName val="csv_water_network_gas"/>
      <sheetName val="csv_water_electricity"/>
      <sheetName val="csv_cooking_electricity"/>
      <sheetName val="csv_lighting_electricity"/>
      <sheetName val="csv_appliances_electricity"/>
      <sheetName val="csv_solar_thermal_heater"/>
      <sheetName val="csv_cooling_old-new"/>
      <sheetName val="csv_heating_old-new"/>
      <sheetName val="csv_cooling_insulation_old"/>
      <sheetName val="csv_cooling_insulation_new"/>
      <sheetName val="csv_heating_insulation_new"/>
      <sheetName val="csv_heating_insulation_old"/>
      <sheetName val="csv_heating_micro_chp_gas"/>
      <sheetName val="csv_water_micro_chp_gas"/>
      <sheetName val="csv_water_fuell_cell_gas"/>
      <sheetName val="csv_solar_space_heating_chld"/>
      <sheetName val="csv_solar_hot_water_chld"/>
      <sheetName val="csv_add_on_space_heating_child"/>
      <sheetName val="csv_add_on_hot water_child"/>
      <sheetName val="csv_hot_water_from_el_add_on"/>
      <sheetName val="csv_export_to_area_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ow r="11">
          <cell r="L11">
            <v>0</v>
          </cell>
        </row>
      </sheetData>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0"/>
  </sheetPr>
  <dimension ref="A1:C23"/>
  <sheetViews>
    <sheetView workbookViewId="0">
      <selection activeCell="C6" sqref="C6"/>
    </sheetView>
  </sheetViews>
  <sheetFormatPr baseColWidth="10" defaultColWidth="10.83203125" defaultRowHeight="16"/>
  <cols>
    <col min="1" max="1" width="3.1640625" style="19" customWidth="1"/>
    <col min="2" max="2" width="11.5" style="12" customWidth="1"/>
    <col min="3" max="3" width="38.5" style="12" customWidth="1"/>
    <col min="4" max="16384" width="10.83203125" style="12"/>
  </cols>
  <sheetData>
    <row r="1" spans="1:3" s="17" customFormat="1">
      <c r="A1" s="15"/>
      <c r="B1" s="16"/>
      <c r="C1" s="16"/>
    </row>
    <row r="2" spans="1:3" ht="21">
      <c r="A2" s="1"/>
      <c r="B2" s="18" t="s">
        <v>10</v>
      </c>
      <c r="C2" s="18"/>
    </row>
    <row r="3" spans="1:3">
      <c r="A3" s="1"/>
      <c r="B3" s="8"/>
      <c r="C3" s="8"/>
    </row>
    <row r="4" spans="1:3">
      <c r="A4" s="1"/>
      <c r="B4" s="2" t="s">
        <v>11</v>
      </c>
      <c r="C4" s="3" t="s">
        <v>107</v>
      </c>
    </row>
    <row r="5" spans="1:3">
      <c r="A5" s="1"/>
      <c r="B5" s="4" t="s">
        <v>21</v>
      </c>
      <c r="C5" s="5" t="s">
        <v>119</v>
      </c>
    </row>
    <row r="6" spans="1:3">
      <c r="A6" s="1"/>
      <c r="B6" s="6" t="s">
        <v>13</v>
      </c>
      <c r="C6" s="7" t="s">
        <v>14</v>
      </c>
    </row>
    <row r="7" spans="1:3">
      <c r="A7" s="1"/>
      <c r="B7" s="8"/>
      <c r="C7" s="8"/>
    </row>
    <row r="8" spans="1:3">
      <c r="A8" s="1"/>
      <c r="B8" s="8"/>
      <c r="C8" s="8"/>
    </row>
    <row r="9" spans="1:3">
      <c r="A9" s="1"/>
      <c r="B9" s="36" t="s">
        <v>22</v>
      </c>
      <c r="C9" s="37"/>
    </row>
    <row r="10" spans="1:3">
      <c r="A10" s="1"/>
      <c r="B10" s="38"/>
      <c r="C10" s="39"/>
    </row>
    <row r="11" spans="1:3">
      <c r="A11" s="1"/>
      <c r="B11" s="38" t="s">
        <v>23</v>
      </c>
      <c r="C11" s="40" t="s">
        <v>24</v>
      </c>
    </row>
    <row r="12" spans="1:3" ht="17" thickBot="1">
      <c r="A12" s="1"/>
      <c r="B12" s="38"/>
      <c r="C12" s="9" t="s">
        <v>25</v>
      </c>
    </row>
    <row r="13" spans="1:3" ht="17" thickBot="1">
      <c r="A13" s="1"/>
      <c r="B13" s="38"/>
      <c r="C13" s="41" t="s">
        <v>26</v>
      </c>
    </row>
    <row r="14" spans="1:3">
      <c r="A14" s="1"/>
      <c r="B14" s="38"/>
      <c r="C14" s="39" t="s">
        <v>27</v>
      </c>
    </row>
    <row r="15" spans="1:3">
      <c r="A15" s="1"/>
      <c r="B15" s="38"/>
      <c r="C15" s="39"/>
    </row>
    <row r="16" spans="1:3">
      <c r="A16" s="1"/>
      <c r="B16" s="38" t="s">
        <v>28</v>
      </c>
      <c r="C16" s="42" t="s">
        <v>29</v>
      </c>
    </row>
    <row r="17" spans="1:3">
      <c r="A17" s="1"/>
      <c r="B17" s="38"/>
      <c r="C17" s="43" t="s">
        <v>30</v>
      </c>
    </row>
    <row r="18" spans="1:3">
      <c r="A18" s="1"/>
      <c r="B18" s="38"/>
      <c r="C18" s="44" t="s">
        <v>31</v>
      </c>
    </row>
    <row r="19" spans="1:3">
      <c r="A19" s="1"/>
      <c r="B19" s="38"/>
      <c r="C19" s="45" t="s">
        <v>32</v>
      </c>
    </row>
    <row r="20" spans="1:3">
      <c r="A20" s="1"/>
      <c r="B20" s="46"/>
      <c r="C20" s="47" t="s">
        <v>33</v>
      </c>
    </row>
    <row r="21" spans="1:3">
      <c r="A21" s="1"/>
      <c r="B21" s="46"/>
      <c r="C21" s="48" t="s">
        <v>34</v>
      </c>
    </row>
    <row r="22" spans="1:3">
      <c r="A22" s="1"/>
      <c r="B22" s="46"/>
      <c r="C22" s="49" t="s">
        <v>35</v>
      </c>
    </row>
    <row r="23" spans="1:3">
      <c r="B23" s="46"/>
      <c r="C23" s="50" t="s">
        <v>36</v>
      </c>
    </row>
  </sheetData>
  <pageMargins left="0.75" right="0.75" top="1" bottom="1" header="0.5" footer="0.5"/>
  <pageSetup paperSize="9" orientation="portrait" horizontalDpi="4294967292" verticalDpi="429496729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tabColor rgb="FFFFFF00"/>
  </sheetPr>
  <dimension ref="B2:J38"/>
  <sheetViews>
    <sheetView workbookViewId="0">
      <selection activeCell="I12" sqref="I12"/>
    </sheetView>
  </sheetViews>
  <sheetFormatPr baseColWidth="10" defaultColWidth="10.83203125" defaultRowHeight="16"/>
  <cols>
    <col min="1" max="1" width="3.1640625" style="23" customWidth="1"/>
    <col min="2" max="2" width="3.5" style="23" customWidth="1"/>
    <col min="3" max="3" width="33.83203125" style="23" customWidth="1"/>
    <col min="4" max="4" width="12.5" style="23" customWidth="1"/>
    <col min="5" max="5" width="17.5" style="23" customWidth="1"/>
    <col min="6" max="6" width="4.5" style="23" customWidth="1"/>
    <col min="7" max="7" width="44.1640625" style="23" customWidth="1"/>
    <col min="8" max="8" width="2.5" style="23" customWidth="1"/>
    <col min="9" max="9" width="42.5" style="23" customWidth="1"/>
    <col min="10" max="10" width="3.5" style="23" customWidth="1"/>
    <col min="11" max="16384" width="10.83203125" style="23"/>
  </cols>
  <sheetData>
    <row r="2" spans="2:10" ht="16" customHeight="1">
      <c r="B2" s="136" t="s">
        <v>47</v>
      </c>
      <c r="C2" s="137"/>
      <c r="D2" s="137"/>
      <c r="E2" s="137"/>
      <c r="F2" s="137"/>
      <c r="G2" s="138"/>
    </row>
    <row r="3" spans="2:10">
      <c r="B3" s="139"/>
      <c r="C3" s="140"/>
      <c r="D3" s="140"/>
      <c r="E3" s="140"/>
      <c r="F3" s="140"/>
      <c r="G3" s="141"/>
    </row>
    <row r="4" spans="2:10">
      <c r="B4" s="139"/>
      <c r="C4" s="140"/>
      <c r="D4" s="140"/>
      <c r="E4" s="140"/>
      <c r="F4" s="140"/>
      <c r="G4" s="141"/>
    </row>
    <row r="5" spans="2:10">
      <c r="B5" s="142"/>
      <c r="C5" s="143"/>
      <c r="D5" s="143"/>
      <c r="E5" s="143"/>
      <c r="F5" s="143"/>
      <c r="G5" s="144"/>
    </row>
    <row r="6" spans="2:10" ht="17" thickBot="1"/>
    <row r="7" spans="2:10">
      <c r="B7" s="24"/>
      <c r="C7" s="11"/>
      <c r="D7" s="11"/>
      <c r="E7" s="11"/>
      <c r="F7" s="11"/>
      <c r="G7" s="11"/>
      <c r="H7" s="11"/>
      <c r="I7" s="11"/>
      <c r="J7" s="25"/>
    </row>
    <row r="8" spans="2:10" s="9" customFormat="1">
      <c r="B8" s="51"/>
      <c r="C8" s="52" t="s">
        <v>19</v>
      </c>
      <c r="D8" s="53" t="s">
        <v>8</v>
      </c>
      <c r="E8" s="52" t="s">
        <v>3</v>
      </c>
      <c r="F8" s="52"/>
      <c r="G8" s="52" t="s">
        <v>7</v>
      </c>
      <c r="H8" s="52"/>
      <c r="I8" s="52" t="s">
        <v>0</v>
      </c>
      <c r="J8" s="54"/>
    </row>
    <row r="9" spans="2:10" s="9" customFormat="1">
      <c r="B9" s="14"/>
      <c r="D9" s="21"/>
      <c r="J9" s="10"/>
    </row>
    <row r="10" spans="2:10" s="9" customFormat="1" ht="17" thickBot="1">
      <c r="B10" s="14"/>
      <c r="C10" s="9" t="s">
        <v>37</v>
      </c>
      <c r="D10" s="21"/>
      <c r="J10" s="10"/>
    </row>
    <row r="11" spans="2:10" s="9" customFormat="1" ht="17" thickBot="1">
      <c r="B11" s="14"/>
      <c r="C11" s="73" t="s">
        <v>51</v>
      </c>
      <c r="D11" s="13" t="s">
        <v>52</v>
      </c>
      <c r="E11" s="22">
        <f>'Research data'!E7</f>
        <v>1.7630429999999999</v>
      </c>
      <c r="F11" s="26"/>
      <c r="G11" s="77"/>
      <c r="H11" s="20"/>
      <c r="I11" s="148" t="s">
        <v>50</v>
      </c>
      <c r="J11" s="10"/>
    </row>
    <row r="12" spans="2:10" s="9" customFormat="1" ht="17" thickBot="1">
      <c r="B12" s="14"/>
      <c r="C12" s="86" t="s">
        <v>53</v>
      </c>
      <c r="D12" s="13" t="s">
        <v>54</v>
      </c>
      <c r="E12" s="92">
        <f>'Research data'!E8</f>
        <v>0.216</v>
      </c>
      <c r="F12" s="86"/>
      <c r="G12" s="86"/>
      <c r="H12" s="20"/>
      <c r="I12" s="114" t="s">
        <v>104</v>
      </c>
      <c r="J12" s="10"/>
    </row>
    <row r="13" spans="2:10" s="9" customFormat="1" ht="17" thickBot="1">
      <c r="B13" s="14"/>
      <c r="C13" s="86" t="s">
        <v>55</v>
      </c>
      <c r="D13" s="13" t="s">
        <v>56</v>
      </c>
      <c r="E13" s="113">
        <f>'Research data'!E9</f>
        <v>5.4866766968530989E-5</v>
      </c>
      <c r="F13" s="86"/>
      <c r="G13" s="86"/>
      <c r="H13" s="20"/>
      <c r="I13" s="114" t="s">
        <v>105</v>
      </c>
      <c r="J13" s="10"/>
    </row>
    <row r="14" spans="2:10" s="9" customFormat="1" ht="17" thickBot="1">
      <c r="B14" s="14"/>
      <c r="C14" s="86" t="s">
        <v>88</v>
      </c>
      <c r="D14" s="13" t="s">
        <v>60</v>
      </c>
      <c r="E14" s="92">
        <f>'Research data'!E10</f>
        <v>0.32</v>
      </c>
      <c r="F14" s="86"/>
      <c r="G14" s="86"/>
      <c r="H14" s="20"/>
      <c r="I14" s="114" t="s">
        <v>104</v>
      </c>
      <c r="J14" s="10"/>
    </row>
    <row r="15" spans="2:10" s="88" customFormat="1" ht="18" customHeight="1" thickBot="1">
      <c r="B15" s="89"/>
      <c r="C15" s="86" t="s">
        <v>59</v>
      </c>
      <c r="D15" s="13" t="s">
        <v>60</v>
      </c>
      <c r="E15" s="92">
        <f>'Research data'!E11</f>
        <v>0.32</v>
      </c>
      <c r="F15" s="86"/>
      <c r="G15" s="86"/>
      <c r="H15" s="86"/>
      <c r="I15" s="114" t="s">
        <v>104</v>
      </c>
      <c r="J15" s="91"/>
    </row>
    <row r="16" spans="2:10" s="88" customFormat="1" ht="17" thickBot="1">
      <c r="B16" s="89"/>
      <c r="C16" s="86" t="s">
        <v>57</v>
      </c>
      <c r="D16" s="13" t="s">
        <v>1</v>
      </c>
      <c r="E16" s="93">
        <v>1</v>
      </c>
      <c r="F16" s="86"/>
      <c r="G16" s="86"/>
      <c r="H16" s="86"/>
      <c r="I16" s="115" t="s">
        <v>108</v>
      </c>
      <c r="J16" s="91"/>
    </row>
    <row r="17" spans="2:10" s="88" customFormat="1" ht="17" thickBot="1">
      <c r="B17" s="89"/>
      <c r="C17" s="86" t="s">
        <v>58</v>
      </c>
      <c r="D17" s="13" t="s">
        <v>1</v>
      </c>
      <c r="E17" s="94">
        <v>0</v>
      </c>
      <c r="F17" s="86"/>
      <c r="G17" s="86"/>
      <c r="H17" s="86"/>
      <c r="I17" s="114" t="s">
        <v>106</v>
      </c>
      <c r="J17" s="91"/>
    </row>
    <row r="18" spans="2:10" s="88" customFormat="1">
      <c r="B18" s="89"/>
      <c r="D18" s="55"/>
      <c r="E18" s="95"/>
      <c r="J18" s="91"/>
    </row>
    <row r="19" spans="2:10" s="88" customFormat="1" ht="17" thickBot="1">
      <c r="B19" s="89"/>
      <c r="C19" s="9" t="s">
        <v>61</v>
      </c>
      <c r="D19" s="55"/>
      <c r="E19" s="96"/>
      <c r="J19" s="91"/>
    </row>
    <row r="20" spans="2:10" s="88" customFormat="1" ht="17" thickBot="1">
      <c r="B20" s="89"/>
      <c r="C20" s="86" t="s">
        <v>62</v>
      </c>
      <c r="D20" s="13" t="s">
        <v>63</v>
      </c>
      <c r="E20" s="90">
        <v>0</v>
      </c>
      <c r="F20" s="86"/>
      <c r="G20" s="86" t="s">
        <v>5</v>
      </c>
      <c r="H20" s="86"/>
      <c r="I20" s="87" t="s">
        <v>85</v>
      </c>
      <c r="J20" s="91"/>
    </row>
    <row r="21" spans="2:10" s="88" customFormat="1" ht="17" thickBot="1">
      <c r="B21" s="89"/>
      <c r="C21" s="86" t="s">
        <v>64</v>
      </c>
      <c r="D21" s="13" t="s">
        <v>65</v>
      </c>
      <c r="E21" s="90">
        <v>0</v>
      </c>
      <c r="F21" s="86"/>
      <c r="G21" s="86" t="s">
        <v>66</v>
      </c>
      <c r="H21" s="86"/>
      <c r="I21" s="87" t="s">
        <v>85</v>
      </c>
      <c r="J21" s="91"/>
    </row>
    <row r="22" spans="2:10" s="88" customFormat="1" ht="17" thickBot="1">
      <c r="B22" s="97"/>
      <c r="C22" s="98" t="s">
        <v>67</v>
      </c>
      <c r="D22" s="99"/>
      <c r="E22" s="90">
        <v>0</v>
      </c>
      <c r="F22" s="98"/>
      <c r="G22" s="98" t="s">
        <v>68</v>
      </c>
      <c r="H22" s="98"/>
      <c r="I22" s="87" t="s">
        <v>85</v>
      </c>
      <c r="J22" s="100"/>
    </row>
    <row r="23" spans="2:10" s="88" customFormat="1" ht="17" thickBot="1">
      <c r="B23" s="97"/>
      <c r="C23" s="98" t="s">
        <v>69</v>
      </c>
      <c r="D23" s="99"/>
      <c r="E23" s="90">
        <v>0</v>
      </c>
      <c r="F23" s="98"/>
      <c r="G23" s="98" t="s">
        <v>70</v>
      </c>
      <c r="H23" s="98"/>
      <c r="I23" s="87" t="s">
        <v>85</v>
      </c>
      <c r="J23" s="100"/>
    </row>
    <row r="24" spans="2:10" s="88" customFormat="1" ht="17" thickBot="1">
      <c r="B24" s="97"/>
      <c r="C24" s="98" t="s">
        <v>71</v>
      </c>
      <c r="D24" s="99"/>
      <c r="E24" s="90">
        <v>0</v>
      </c>
      <c r="F24" s="98"/>
      <c r="G24" s="98" t="s">
        <v>72</v>
      </c>
      <c r="H24" s="98"/>
      <c r="I24" s="87" t="s">
        <v>85</v>
      </c>
      <c r="J24" s="100"/>
    </row>
    <row r="25" spans="2:10" s="88" customFormat="1" ht="17" thickBot="1">
      <c r="B25" s="97"/>
      <c r="C25" s="98" t="s">
        <v>73</v>
      </c>
      <c r="D25" s="99"/>
      <c r="E25" s="90">
        <v>0</v>
      </c>
      <c r="F25" s="98"/>
      <c r="G25" s="86" t="s">
        <v>74</v>
      </c>
      <c r="H25" s="98"/>
      <c r="I25" s="87" t="s">
        <v>85</v>
      </c>
      <c r="J25" s="100"/>
    </row>
    <row r="26" spans="2:10" s="88" customFormat="1" ht="17" thickBot="1">
      <c r="B26" s="97"/>
      <c r="C26" s="98" t="s">
        <v>75</v>
      </c>
      <c r="D26" s="99"/>
      <c r="E26" s="90">
        <v>0</v>
      </c>
      <c r="F26" s="98"/>
      <c r="G26" s="86" t="s">
        <v>76</v>
      </c>
      <c r="H26" s="98"/>
      <c r="I26" s="87" t="s">
        <v>85</v>
      </c>
      <c r="J26" s="100"/>
    </row>
    <row r="27" spans="2:10" s="88" customFormat="1" ht="15" customHeight="1" thickBot="1">
      <c r="B27" s="89"/>
      <c r="C27" s="86" t="s">
        <v>77</v>
      </c>
      <c r="D27" s="13" t="s">
        <v>78</v>
      </c>
      <c r="E27" s="101">
        <v>0.04</v>
      </c>
      <c r="F27" s="86"/>
      <c r="G27" s="116" t="s">
        <v>112</v>
      </c>
      <c r="H27" s="86"/>
      <c r="I27" s="105" t="s">
        <v>113</v>
      </c>
      <c r="J27" s="91"/>
    </row>
    <row r="28" spans="2:10" s="88" customFormat="1" ht="17" thickBot="1">
      <c r="B28" s="89"/>
      <c r="C28" s="86" t="s">
        <v>79</v>
      </c>
      <c r="D28" s="13" t="s">
        <v>80</v>
      </c>
      <c r="E28" s="90">
        <v>0</v>
      </c>
      <c r="F28" s="86"/>
      <c r="G28" s="86"/>
      <c r="H28" s="86"/>
      <c r="I28" s="87" t="s">
        <v>84</v>
      </c>
      <c r="J28" s="91"/>
    </row>
    <row r="29" spans="2:10" s="88" customFormat="1">
      <c r="B29" s="89"/>
      <c r="C29" s="86"/>
      <c r="D29" s="13"/>
      <c r="E29" s="81"/>
      <c r="F29" s="86"/>
      <c r="G29" s="86"/>
      <c r="H29" s="86"/>
      <c r="J29" s="91"/>
    </row>
    <row r="30" spans="2:10" s="88" customFormat="1" ht="17" thickBot="1">
      <c r="B30" s="89"/>
      <c r="C30" s="9" t="s">
        <v>4</v>
      </c>
      <c r="D30" s="55"/>
      <c r="E30" s="81"/>
      <c r="J30" s="91"/>
    </row>
    <row r="31" spans="2:10" s="88" customFormat="1" ht="17" thickBot="1">
      <c r="B31" s="89"/>
      <c r="C31" s="86" t="s">
        <v>81</v>
      </c>
      <c r="D31" s="13" t="s">
        <v>82</v>
      </c>
      <c r="E31" s="94">
        <f>'Research data'!E14</f>
        <v>14</v>
      </c>
      <c r="F31" s="86"/>
      <c r="G31" s="86" t="s">
        <v>83</v>
      </c>
      <c r="H31" s="86"/>
      <c r="I31" s="76" t="s">
        <v>39</v>
      </c>
      <c r="J31" s="91"/>
    </row>
    <row r="32" spans="2:10" s="88" customFormat="1" ht="17" thickBot="1">
      <c r="B32" s="89"/>
      <c r="C32" s="116" t="s">
        <v>109</v>
      </c>
      <c r="D32" s="13" t="s">
        <v>82</v>
      </c>
      <c r="E32" s="93">
        <v>0</v>
      </c>
      <c r="F32" s="86"/>
      <c r="G32" s="116" t="s">
        <v>110</v>
      </c>
      <c r="H32" s="86"/>
      <c r="I32" s="115" t="s">
        <v>111</v>
      </c>
      <c r="J32" s="91"/>
    </row>
    <row r="33" spans="2:10" ht="17" thickBot="1">
      <c r="B33" s="27"/>
      <c r="C33" s="26" t="s">
        <v>20</v>
      </c>
      <c r="D33" s="13" t="s">
        <v>1</v>
      </c>
      <c r="E33" s="28">
        <v>0</v>
      </c>
      <c r="F33" s="26"/>
      <c r="G33" s="26"/>
      <c r="H33" s="26"/>
      <c r="I33" s="115" t="s">
        <v>108</v>
      </c>
      <c r="J33" s="56"/>
    </row>
    <row r="34" spans="2:10" ht="17" thickBot="1">
      <c r="B34" s="29"/>
      <c r="C34" s="30"/>
      <c r="D34" s="30"/>
      <c r="E34" s="30"/>
      <c r="F34" s="30"/>
      <c r="G34" s="30"/>
      <c r="H34" s="30"/>
      <c r="I34" s="30"/>
      <c r="J34" s="31"/>
    </row>
    <row r="38" spans="2:10" ht="15" customHeight="1"/>
  </sheetData>
  <mergeCells count="1">
    <mergeCell ref="B2:G5"/>
  </mergeCells>
  <pageMargins left="0.75" right="0.75" top="1" bottom="1" header="0.5" footer="0.5"/>
  <pageSetup paperSize="9" orientation="portrait" horizontalDpi="4294967292" verticalDpi="429496729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theme="6" tint="0.39997558519241921"/>
  </sheetPr>
  <dimension ref="B2:L15"/>
  <sheetViews>
    <sheetView workbookViewId="0">
      <selection activeCell="K8" sqref="K8"/>
    </sheetView>
  </sheetViews>
  <sheetFormatPr baseColWidth="10" defaultColWidth="10.83203125" defaultRowHeight="16"/>
  <cols>
    <col min="1" max="2" width="4.5" style="32" customWidth="1"/>
    <col min="3" max="3" width="33.1640625" style="32" customWidth="1"/>
    <col min="4" max="4" width="11.5" style="32" customWidth="1"/>
    <col min="5" max="5" width="9.5" style="32" customWidth="1"/>
    <col min="6" max="6" width="2.5" style="32" customWidth="1"/>
    <col min="7" max="7" width="2.1640625" style="32" customWidth="1"/>
    <col min="8" max="10" width="17.1640625" style="32" customWidth="1"/>
    <col min="11" max="11" width="7.1640625" style="32" customWidth="1"/>
    <col min="12" max="12" width="59.1640625" style="32" customWidth="1"/>
    <col min="13" max="16384" width="10.83203125" style="32"/>
  </cols>
  <sheetData>
    <row r="2" spans="2:12" ht="17" thickBot="1"/>
    <row r="3" spans="2:12">
      <c r="B3" s="33"/>
      <c r="C3" s="34"/>
      <c r="D3" s="34"/>
      <c r="E3" s="34"/>
      <c r="F3" s="34"/>
      <c r="G3" s="34"/>
      <c r="H3" s="34"/>
      <c r="I3" s="34"/>
      <c r="J3" s="34"/>
      <c r="K3" s="34"/>
      <c r="L3" s="117"/>
    </row>
    <row r="4" spans="2:12" s="9" customFormat="1">
      <c r="B4" s="14"/>
      <c r="C4" s="57" t="s">
        <v>38</v>
      </c>
      <c r="D4" s="57" t="s">
        <v>8</v>
      </c>
      <c r="E4" s="57" t="s">
        <v>33</v>
      </c>
      <c r="F4" s="57"/>
      <c r="G4" s="57"/>
      <c r="H4" s="57" t="s">
        <v>39</v>
      </c>
      <c r="I4" s="57" t="s">
        <v>104</v>
      </c>
      <c r="J4" s="57" t="s">
        <v>105</v>
      </c>
      <c r="K4" s="57" t="s">
        <v>50</v>
      </c>
      <c r="L4" s="118" t="s">
        <v>40</v>
      </c>
    </row>
    <row r="5" spans="2:12" ht="18" customHeight="1">
      <c r="B5" s="35"/>
      <c r="C5" s="119"/>
      <c r="E5" s="120"/>
      <c r="F5" s="120"/>
      <c r="L5" s="121"/>
    </row>
    <row r="6" spans="2:12" ht="18" customHeight="1" thickBot="1">
      <c r="B6" s="35"/>
      <c r="C6" s="122" t="s">
        <v>37</v>
      </c>
      <c r="D6" s="122"/>
      <c r="E6" s="123"/>
      <c r="F6" s="123"/>
      <c r="L6" s="124"/>
    </row>
    <row r="7" spans="2:12" ht="17" thickBot="1">
      <c r="B7" s="35"/>
      <c r="C7" s="125" t="s">
        <v>51</v>
      </c>
      <c r="D7" s="126" t="s">
        <v>52</v>
      </c>
      <c r="E7" s="75">
        <f>K7</f>
        <v>1.7630429999999999</v>
      </c>
      <c r="F7" s="120"/>
      <c r="K7" s="75">
        <f>Notes!E17</f>
        <v>1.7630429999999999</v>
      </c>
      <c r="L7" s="127"/>
    </row>
    <row r="8" spans="2:12" ht="17" thickBot="1">
      <c r="B8" s="35"/>
      <c r="C8" s="86" t="s">
        <v>53</v>
      </c>
      <c r="D8" s="13" t="s">
        <v>54</v>
      </c>
      <c r="E8" s="75">
        <f>I8</f>
        <v>0.216</v>
      </c>
      <c r="F8" s="120"/>
      <c r="I8" s="102">
        <f>Notes!E108</f>
        <v>0.216</v>
      </c>
      <c r="J8" s="128"/>
      <c r="L8" s="121"/>
    </row>
    <row r="9" spans="2:12" ht="17" thickBot="1">
      <c r="B9" s="35"/>
      <c r="C9" s="86" t="s">
        <v>55</v>
      </c>
      <c r="D9" s="13" t="s">
        <v>56</v>
      </c>
      <c r="E9" s="75">
        <f>J9</f>
        <v>5.4866766968530989E-5</v>
      </c>
      <c r="I9" s="128"/>
      <c r="J9" s="102">
        <f>Notes!E132</f>
        <v>5.4866766968530989E-5</v>
      </c>
      <c r="L9" s="129"/>
    </row>
    <row r="10" spans="2:12" ht="17" thickBot="1">
      <c r="B10" s="35"/>
      <c r="C10" s="86" t="s">
        <v>88</v>
      </c>
      <c r="D10" s="13" t="s">
        <v>60</v>
      </c>
      <c r="E10" s="75">
        <f t="shared" ref="E10:E11" si="0">I10</f>
        <v>0.32</v>
      </c>
      <c r="I10" s="102">
        <f>Notes!E111</f>
        <v>0.32</v>
      </c>
      <c r="J10" s="128"/>
      <c r="L10" s="129"/>
    </row>
    <row r="11" spans="2:12" ht="17" thickBot="1">
      <c r="B11" s="35"/>
      <c r="C11" s="130" t="s">
        <v>59</v>
      </c>
      <c r="D11" s="13" t="s">
        <v>60</v>
      </c>
      <c r="E11" s="75">
        <f t="shared" si="0"/>
        <v>0.32</v>
      </c>
      <c r="I11" s="102">
        <f>Notes!E110</f>
        <v>0.32</v>
      </c>
      <c r="J11" s="128"/>
      <c r="L11" s="129"/>
    </row>
    <row r="12" spans="2:12">
      <c r="B12" s="35"/>
      <c r="L12" s="129"/>
    </row>
    <row r="13" spans="2:12" ht="17" thickBot="1">
      <c r="B13" s="35"/>
      <c r="C13" s="9" t="s">
        <v>4</v>
      </c>
      <c r="D13" s="55"/>
      <c r="L13" s="129"/>
    </row>
    <row r="14" spans="2:12" ht="17" thickBot="1">
      <c r="B14" s="35"/>
      <c r="C14" s="86" t="s">
        <v>81</v>
      </c>
      <c r="D14" s="13" t="s">
        <v>82</v>
      </c>
      <c r="E14" s="75">
        <f>H14</f>
        <v>14</v>
      </c>
      <c r="H14" s="75">
        <f>Notes!C89</f>
        <v>14</v>
      </c>
      <c r="L14" s="129"/>
    </row>
    <row r="15" spans="2:12" ht="17" thickBot="1">
      <c r="B15" s="131"/>
      <c r="C15" s="132"/>
      <c r="D15" s="132"/>
      <c r="E15" s="132"/>
      <c r="F15" s="132"/>
      <c r="G15" s="132"/>
      <c r="H15" s="132"/>
      <c r="I15" s="132"/>
      <c r="J15" s="132"/>
      <c r="K15" s="132"/>
      <c r="L15" s="133"/>
    </row>
  </sheetData>
  <pageMargins left="0.75" right="0.75" top="1" bottom="1" header="0.5" footer="0.5"/>
  <pageSetup paperSize="9" orientation="portrait" horizontalDpi="4294967292" verticalDpi="429496729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tabColor theme="6" tint="0.79998168889431442"/>
  </sheetPr>
  <dimension ref="B1:J41"/>
  <sheetViews>
    <sheetView workbookViewId="0">
      <selection activeCell="D10" sqref="D10"/>
    </sheetView>
  </sheetViews>
  <sheetFormatPr baseColWidth="10" defaultColWidth="33.1640625" defaultRowHeight="16"/>
  <cols>
    <col min="1" max="1" width="3.1640625" style="58" customWidth="1"/>
    <col min="2" max="2" width="4" style="58" customWidth="1"/>
    <col min="3" max="3" width="47.33203125" style="58" customWidth="1"/>
    <col min="4" max="4" width="16.1640625" style="58" customWidth="1"/>
    <col min="5" max="5" width="10.1640625" style="58" customWidth="1"/>
    <col min="6" max="7" width="13.1640625" style="58" customWidth="1"/>
    <col min="8" max="8" width="12.5" style="59" customWidth="1"/>
    <col min="9" max="9" width="32.5" style="59" customWidth="1"/>
    <col min="10" max="10" width="98.5" style="58" customWidth="1"/>
    <col min="11" max="16384" width="33.1640625" style="58"/>
  </cols>
  <sheetData>
    <row r="1" spans="2:10" ht="17" thickBot="1"/>
    <row r="2" spans="2:10">
      <c r="B2" s="60"/>
      <c r="C2" s="61"/>
      <c r="D2" s="61"/>
      <c r="E2" s="61"/>
      <c r="F2" s="61"/>
      <c r="G2" s="61"/>
      <c r="H2" s="62"/>
      <c r="I2" s="62"/>
      <c r="J2" s="61"/>
    </row>
    <row r="3" spans="2:10">
      <c r="B3" s="63"/>
      <c r="C3" s="9" t="s">
        <v>15</v>
      </c>
      <c r="D3" s="9"/>
      <c r="E3" s="9"/>
      <c r="F3" s="9"/>
      <c r="G3" s="9"/>
      <c r="H3" s="64"/>
      <c r="I3" s="64"/>
    </row>
    <row r="4" spans="2:10">
      <c r="B4" s="63"/>
    </row>
    <row r="5" spans="2:10">
      <c r="B5" s="65"/>
      <c r="C5" s="52" t="s">
        <v>16</v>
      </c>
      <c r="D5" s="52" t="s">
        <v>0</v>
      </c>
      <c r="E5" s="52" t="s">
        <v>12</v>
      </c>
      <c r="F5" s="52" t="s">
        <v>17</v>
      </c>
      <c r="G5" s="52" t="s">
        <v>42</v>
      </c>
      <c r="H5" s="66" t="s">
        <v>18</v>
      </c>
      <c r="I5" s="66" t="s">
        <v>43</v>
      </c>
      <c r="J5" s="52" t="s">
        <v>9</v>
      </c>
    </row>
    <row r="6" spans="2:10">
      <c r="B6" s="63"/>
      <c r="C6" s="78" t="s">
        <v>46</v>
      </c>
      <c r="D6" s="147" t="s">
        <v>118</v>
      </c>
      <c r="E6" s="58" t="s">
        <v>6</v>
      </c>
      <c r="F6" s="58">
        <v>2024</v>
      </c>
      <c r="G6" s="58">
        <v>2024</v>
      </c>
      <c r="H6" s="58">
        <v>2026</v>
      </c>
      <c r="I6" s="72"/>
      <c r="J6" s="145" t="s">
        <v>115</v>
      </c>
    </row>
    <row r="7" spans="2:10">
      <c r="B7" s="63"/>
      <c r="C7" s="67" t="s">
        <v>5</v>
      </c>
      <c r="H7" s="58"/>
      <c r="I7" s="58"/>
    </row>
    <row r="8" spans="2:10">
      <c r="B8" s="63"/>
      <c r="C8" s="67" t="s">
        <v>2</v>
      </c>
      <c r="H8" s="58"/>
      <c r="I8" s="58"/>
    </row>
    <row r="9" spans="2:10">
      <c r="B9" s="63"/>
      <c r="C9" s="146" t="s">
        <v>48</v>
      </c>
      <c r="D9" s="145" t="s">
        <v>118</v>
      </c>
      <c r="E9" s="145" t="s">
        <v>6</v>
      </c>
      <c r="F9" s="58">
        <v>2024</v>
      </c>
      <c r="G9" s="58">
        <v>2024</v>
      </c>
      <c r="H9" s="58">
        <v>2026</v>
      </c>
      <c r="I9" s="72"/>
      <c r="J9" s="145" t="s">
        <v>115</v>
      </c>
    </row>
    <row r="10" spans="2:10" s="83" customFormat="1">
      <c r="B10" s="63"/>
      <c r="C10" s="85"/>
      <c r="D10" s="85"/>
      <c r="E10" s="85"/>
      <c r="F10" s="58"/>
      <c r="G10" s="58"/>
      <c r="H10" s="84"/>
      <c r="I10" s="58"/>
      <c r="J10" s="58"/>
    </row>
    <row r="11" spans="2:10" s="83" customFormat="1">
      <c r="B11" s="63"/>
      <c r="C11" s="58"/>
      <c r="D11" s="58"/>
      <c r="E11" s="58"/>
      <c r="F11" s="58"/>
      <c r="G11" s="58"/>
      <c r="H11" s="59"/>
      <c r="I11" s="59"/>
      <c r="J11" s="58"/>
    </row>
    <row r="12" spans="2:10">
      <c r="B12" s="63"/>
    </row>
    <row r="13" spans="2:10">
      <c r="B13" s="63"/>
      <c r="C13" s="110" t="s">
        <v>55</v>
      </c>
      <c r="D13" s="103" t="s">
        <v>94</v>
      </c>
      <c r="E13" s="103" t="s">
        <v>98</v>
      </c>
      <c r="F13" s="103">
        <v>2013</v>
      </c>
      <c r="G13" s="103">
        <v>2013</v>
      </c>
      <c r="H13" s="111" t="s">
        <v>99</v>
      </c>
      <c r="I13" s="112"/>
      <c r="J13" s="103" t="s">
        <v>100</v>
      </c>
    </row>
    <row r="14" spans="2:10">
      <c r="B14" s="63"/>
    </row>
    <row r="15" spans="2:10">
      <c r="B15" s="63"/>
      <c r="C15" s="103" t="s">
        <v>53</v>
      </c>
      <c r="D15" s="103" t="s">
        <v>101</v>
      </c>
      <c r="E15" s="103" t="s">
        <v>6</v>
      </c>
      <c r="F15" s="58">
        <v>2019</v>
      </c>
      <c r="G15" s="58">
        <v>2019</v>
      </c>
      <c r="H15" s="112" t="s">
        <v>102</v>
      </c>
      <c r="I15" s="59" t="s">
        <v>103</v>
      </c>
    </row>
    <row r="16" spans="2:10">
      <c r="B16" s="63"/>
      <c r="C16" s="103" t="s">
        <v>59</v>
      </c>
    </row>
    <row r="17" spans="2:10" s="103" customFormat="1">
      <c r="B17" s="63"/>
      <c r="C17" s="103" t="s">
        <v>88</v>
      </c>
      <c r="D17" s="58"/>
      <c r="E17" s="58"/>
      <c r="F17" s="58"/>
      <c r="G17" s="58"/>
      <c r="H17" s="59"/>
      <c r="I17" s="59"/>
      <c r="J17" s="58"/>
    </row>
    <row r="22" spans="2:10">
      <c r="B22" s="63"/>
    </row>
    <row r="23" spans="2:10">
      <c r="B23" s="63"/>
    </row>
    <row r="24" spans="2:10">
      <c r="B24" s="63"/>
    </row>
    <row r="25" spans="2:10">
      <c r="B25" s="63"/>
    </row>
    <row r="26" spans="2:10">
      <c r="B26" s="63"/>
    </row>
    <row r="27" spans="2:10">
      <c r="B27" s="63"/>
    </row>
    <row r="28" spans="2:10">
      <c r="B28" s="63"/>
    </row>
    <row r="29" spans="2:10">
      <c r="B29" s="63"/>
    </row>
    <row r="30" spans="2:10">
      <c r="B30" s="63"/>
    </row>
    <row r="31" spans="2:10">
      <c r="B31" s="63"/>
    </row>
    <row r="32" spans="2:10">
      <c r="B32" s="63"/>
    </row>
    <row r="33" spans="2:2">
      <c r="B33" s="63"/>
    </row>
    <row r="34" spans="2:2">
      <c r="B34" s="63"/>
    </row>
    <row r="35" spans="2:2">
      <c r="B35" s="63"/>
    </row>
    <row r="36" spans="2:2">
      <c r="B36" s="63"/>
    </row>
    <row r="37" spans="2:2">
      <c r="B37" s="63"/>
    </row>
    <row r="38" spans="2:2">
      <c r="B38" s="63"/>
    </row>
    <row r="39" spans="2:2">
      <c r="B39" s="63"/>
    </row>
    <row r="40" spans="2:2">
      <c r="B40" s="63"/>
    </row>
    <row r="41" spans="2:2">
      <c r="B41" s="63"/>
    </row>
  </sheetData>
  <pageMargins left="0.75" right="0.75" top="1" bottom="1" header="0.5" footer="0.5"/>
  <pageSetup paperSize="9" orientation="portrait" horizontalDpi="4294967292" verticalDpi="429496729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AC174"/>
  <sheetViews>
    <sheetView tabSelected="1" zoomScale="117" workbookViewId="0">
      <selection activeCell="E17" sqref="E17"/>
    </sheetView>
  </sheetViews>
  <sheetFormatPr baseColWidth="10" defaultColWidth="10.83203125" defaultRowHeight="16"/>
  <cols>
    <col min="1" max="1" width="5.5" style="68" customWidth="1"/>
    <col min="2" max="2" width="4.5" style="68" customWidth="1"/>
    <col min="3" max="3" width="12.5" style="68" customWidth="1"/>
    <col min="4" max="4" width="25.1640625" style="68" customWidth="1"/>
    <col min="5" max="5" width="17.5" style="68" customWidth="1"/>
    <col min="6" max="8" width="10.83203125" style="68"/>
    <col min="9" max="9" width="20.83203125" style="68" customWidth="1"/>
    <col min="10" max="10" width="10.83203125" style="68"/>
    <col min="11" max="11" width="10" style="68" customWidth="1"/>
    <col min="12" max="16384" width="10.83203125" style="68"/>
  </cols>
  <sheetData>
    <row r="1" spans="2:29" ht="17" thickBot="1"/>
    <row r="2" spans="2:29">
      <c r="B2" s="69"/>
      <c r="C2" s="70"/>
      <c r="D2" s="70"/>
      <c r="E2" s="70"/>
      <c r="F2" s="70"/>
      <c r="G2" s="70"/>
      <c r="H2" s="70"/>
      <c r="I2" s="70"/>
      <c r="J2" s="70"/>
      <c r="K2" s="70"/>
      <c r="L2" s="70"/>
      <c r="M2" s="70"/>
      <c r="N2" s="70"/>
      <c r="O2" s="70"/>
      <c r="P2" s="70"/>
      <c r="Q2" s="70"/>
      <c r="R2" s="70"/>
      <c r="S2" s="70"/>
      <c r="T2" s="70"/>
      <c r="U2" s="70"/>
      <c r="V2" s="70"/>
      <c r="W2" s="70"/>
      <c r="X2" s="70"/>
      <c r="Y2" s="70"/>
      <c r="Z2" s="70"/>
      <c r="AA2" s="70"/>
      <c r="AB2" s="70"/>
      <c r="AC2" s="70"/>
    </row>
    <row r="3" spans="2:29" s="9" customFormat="1">
      <c r="B3" s="51"/>
      <c r="C3" s="52" t="s">
        <v>32</v>
      </c>
      <c r="D3" s="52" t="s">
        <v>41</v>
      </c>
      <c r="E3" s="52"/>
      <c r="F3" s="52"/>
      <c r="G3" s="52"/>
      <c r="H3" s="52"/>
      <c r="I3" s="52"/>
      <c r="J3" s="52"/>
      <c r="K3" s="52"/>
    </row>
    <row r="4" spans="2:29">
      <c r="B4" s="71"/>
    </row>
    <row r="5" spans="2:29">
      <c r="B5" s="71"/>
    </row>
    <row r="6" spans="2:29">
      <c r="B6" s="71"/>
    </row>
    <row r="7" spans="2:29">
      <c r="B7" s="71"/>
    </row>
    <row r="8" spans="2:29">
      <c r="B8" s="71"/>
    </row>
    <row r="9" spans="2:29">
      <c r="B9" s="71"/>
    </row>
    <row r="10" spans="2:29">
      <c r="B10" s="71"/>
    </row>
    <row r="11" spans="2:29">
      <c r="B11" s="71"/>
      <c r="C11" s="147" t="s">
        <v>120</v>
      </c>
      <c r="E11" s="68">
        <v>4.5999999999999996</v>
      </c>
      <c r="F11" s="74" t="s">
        <v>44</v>
      </c>
    </row>
    <row r="12" spans="2:29">
      <c r="B12" s="71"/>
      <c r="C12" s="145" t="s">
        <v>116</v>
      </c>
      <c r="E12" s="68">
        <f>1/E11</f>
        <v>0.21739130434782611</v>
      </c>
      <c r="F12" s="74" t="s">
        <v>45</v>
      </c>
    </row>
    <row r="13" spans="2:29">
      <c r="B13" s="71"/>
    </row>
    <row r="14" spans="2:29">
      <c r="B14" s="71"/>
      <c r="C14" s="147" t="s">
        <v>120</v>
      </c>
      <c r="D14" s="80"/>
      <c r="E14" s="82">
        <v>8.11</v>
      </c>
      <c r="F14" s="80" t="s">
        <v>48</v>
      </c>
      <c r="G14" s="80"/>
    </row>
    <row r="15" spans="2:29">
      <c r="B15" s="71"/>
      <c r="C15" s="80" t="s">
        <v>117</v>
      </c>
      <c r="D15" s="80"/>
      <c r="E15" s="80"/>
      <c r="F15" s="80"/>
      <c r="G15" s="80"/>
    </row>
    <row r="16" spans="2:29">
      <c r="B16" s="71"/>
      <c r="D16" s="145"/>
    </row>
    <row r="17" spans="2:9">
      <c r="B17" s="71"/>
      <c r="D17" s="80" t="str">
        <f>Dashboard!C11</f>
        <v>output.passenger_kms</v>
      </c>
      <c r="E17" s="68">
        <f>ROUND(E14*E12, 6)</f>
        <v>1.7630429999999999</v>
      </c>
      <c r="F17" s="80" t="s">
        <v>49</v>
      </c>
    </row>
    <row r="18" spans="2:9">
      <c r="B18" s="71"/>
    </row>
    <row r="19" spans="2:9">
      <c r="B19" s="71"/>
    </row>
    <row r="20" spans="2:9">
      <c r="B20" s="71"/>
    </row>
    <row r="21" spans="2:9">
      <c r="B21" s="71"/>
    </row>
    <row r="22" spans="2:9">
      <c r="B22" s="71"/>
    </row>
    <row r="23" spans="2:9">
      <c r="B23" s="71"/>
    </row>
    <row r="24" spans="2:9">
      <c r="B24" s="71"/>
      <c r="C24" s="79"/>
      <c r="D24" s="79"/>
      <c r="E24" s="79"/>
      <c r="F24" s="79"/>
      <c r="G24" s="79"/>
    </row>
    <row r="25" spans="2:9" s="79" customFormat="1">
      <c r="B25" s="71"/>
      <c r="H25" s="80"/>
      <c r="I25" s="80"/>
    </row>
    <row r="26" spans="2:9" s="79" customFormat="1">
      <c r="B26" s="71"/>
      <c r="H26" s="80"/>
      <c r="I26" s="80"/>
    </row>
    <row r="27" spans="2:9" s="79" customFormat="1">
      <c r="B27" s="71"/>
      <c r="H27" s="80"/>
      <c r="I27" s="80"/>
    </row>
    <row r="28" spans="2:9" s="79" customFormat="1">
      <c r="B28" s="71"/>
      <c r="H28" s="80"/>
      <c r="I28" s="80"/>
    </row>
    <row r="29" spans="2:9" s="79" customFormat="1">
      <c r="B29" s="71"/>
      <c r="H29" s="80"/>
      <c r="I29" s="80"/>
    </row>
    <row r="30" spans="2:9" s="79" customFormat="1">
      <c r="B30" s="71"/>
      <c r="H30" s="80"/>
      <c r="I30" s="80"/>
    </row>
    <row r="31" spans="2:9" s="79" customFormat="1">
      <c r="B31" s="71"/>
      <c r="H31" s="80"/>
      <c r="I31" s="80"/>
    </row>
    <row r="32" spans="2:9" s="79" customFormat="1">
      <c r="B32" s="71"/>
      <c r="C32" s="80"/>
      <c r="D32" s="80"/>
      <c r="E32" s="80"/>
      <c r="F32" s="80"/>
      <c r="G32" s="80"/>
      <c r="H32" s="80"/>
      <c r="I32" s="80"/>
    </row>
    <row r="33" spans="2:9" s="79" customFormat="1">
      <c r="B33" s="71"/>
      <c r="C33" s="80"/>
      <c r="D33" s="80"/>
      <c r="E33" s="80"/>
      <c r="F33" s="80"/>
      <c r="G33" s="80"/>
      <c r="H33" s="80"/>
      <c r="I33" s="80"/>
    </row>
    <row r="34" spans="2:9" s="79" customFormat="1">
      <c r="B34" s="71"/>
      <c r="C34" s="80"/>
      <c r="I34" s="80"/>
    </row>
    <row r="35" spans="2:9" s="79" customFormat="1">
      <c r="B35" s="71"/>
      <c r="C35" s="80"/>
      <c r="D35" s="80"/>
      <c r="E35" s="80"/>
      <c r="F35" s="80"/>
      <c r="G35" s="80"/>
      <c r="I35" s="80"/>
    </row>
    <row r="36" spans="2:9" s="79" customFormat="1">
      <c r="B36" s="71"/>
      <c r="C36" s="80"/>
      <c r="D36" s="80"/>
      <c r="E36" s="80"/>
      <c r="F36" s="80"/>
      <c r="G36" s="80"/>
      <c r="I36" s="80"/>
    </row>
    <row r="37" spans="2:9" s="79" customFormat="1">
      <c r="B37" s="71"/>
      <c r="C37" s="80"/>
      <c r="D37" s="80"/>
      <c r="E37" s="80"/>
      <c r="F37" s="80"/>
      <c r="G37" s="80"/>
      <c r="I37" s="80"/>
    </row>
    <row r="38" spans="2:9" s="79" customFormat="1">
      <c r="B38" s="71"/>
    </row>
    <row r="39" spans="2:9" s="79" customFormat="1">
      <c r="B39" s="71"/>
    </row>
    <row r="40" spans="2:9" s="79" customFormat="1">
      <c r="B40" s="71"/>
    </row>
    <row r="41" spans="2:9" s="79" customFormat="1">
      <c r="B41" s="71"/>
    </row>
    <row r="42" spans="2:9" s="79" customFormat="1">
      <c r="B42" s="71"/>
    </row>
    <row r="43" spans="2:9" s="79" customFormat="1">
      <c r="B43" s="71"/>
    </row>
    <row r="44" spans="2:9" s="79" customFormat="1">
      <c r="B44" s="71"/>
    </row>
    <row r="45" spans="2:9" s="79" customFormat="1">
      <c r="B45" s="71"/>
    </row>
    <row r="46" spans="2:9" s="79" customFormat="1">
      <c r="B46" s="71"/>
    </row>
    <row r="47" spans="2:9" s="79" customFormat="1">
      <c r="B47" s="71"/>
    </row>
    <row r="48" spans="2:9" s="79" customFormat="1">
      <c r="B48" s="71"/>
    </row>
    <row r="49" spans="2:2" s="79" customFormat="1">
      <c r="B49" s="71"/>
    </row>
    <row r="50" spans="2:2" s="79" customFormat="1">
      <c r="B50" s="71"/>
    </row>
    <row r="51" spans="2:2" s="79" customFormat="1">
      <c r="B51" s="71"/>
    </row>
    <row r="52" spans="2:2" s="79" customFormat="1">
      <c r="B52" s="71"/>
    </row>
    <row r="53" spans="2:2" s="79" customFormat="1">
      <c r="B53" s="71"/>
    </row>
    <row r="54" spans="2:2" s="79" customFormat="1">
      <c r="B54" s="71"/>
    </row>
    <row r="55" spans="2:2" s="79" customFormat="1">
      <c r="B55" s="71"/>
    </row>
    <row r="56" spans="2:2" s="79" customFormat="1">
      <c r="B56" s="71"/>
    </row>
    <row r="57" spans="2:2" s="79" customFormat="1">
      <c r="B57" s="71"/>
    </row>
    <row r="58" spans="2:2" s="79" customFormat="1">
      <c r="B58" s="71"/>
    </row>
    <row r="59" spans="2:2" s="79" customFormat="1">
      <c r="B59" s="71"/>
    </row>
    <row r="60" spans="2:2">
      <c r="B60" s="71"/>
    </row>
    <row r="61" spans="2:2">
      <c r="B61" s="71"/>
    </row>
    <row r="62" spans="2:2">
      <c r="B62" s="71"/>
    </row>
    <row r="63" spans="2:2">
      <c r="B63" s="71"/>
    </row>
    <row r="64" spans="2:2">
      <c r="B64" s="71"/>
    </row>
    <row r="65" spans="2:2">
      <c r="B65" s="71"/>
    </row>
    <row r="66" spans="2:2">
      <c r="B66" s="71"/>
    </row>
    <row r="67" spans="2:2">
      <c r="B67" s="71"/>
    </row>
    <row r="68" spans="2:2">
      <c r="B68" s="71"/>
    </row>
    <row r="69" spans="2:2">
      <c r="B69" s="71"/>
    </row>
    <row r="70" spans="2:2">
      <c r="B70" s="71"/>
    </row>
    <row r="71" spans="2:2">
      <c r="B71" s="71"/>
    </row>
    <row r="72" spans="2:2">
      <c r="B72" s="71"/>
    </row>
    <row r="73" spans="2:2">
      <c r="B73" s="71"/>
    </row>
    <row r="74" spans="2:2">
      <c r="B74" s="71"/>
    </row>
    <row r="75" spans="2:2">
      <c r="B75" s="71"/>
    </row>
    <row r="76" spans="2:2">
      <c r="B76" s="71"/>
    </row>
    <row r="77" spans="2:2">
      <c r="B77" s="71"/>
    </row>
    <row r="78" spans="2:2">
      <c r="B78" s="71"/>
    </row>
    <row r="79" spans="2:2">
      <c r="B79" s="71"/>
    </row>
    <row r="80" spans="2:2">
      <c r="B80" s="71"/>
    </row>
    <row r="81" spans="2:4" s="88" customFormat="1">
      <c r="B81" s="89"/>
    </row>
    <row r="82" spans="2:4" s="88" customFormat="1">
      <c r="B82" s="89"/>
    </row>
    <row r="83" spans="2:4" s="88" customFormat="1">
      <c r="B83" s="89"/>
      <c r="C83" s="9" t="s">
        <v>39</v>
      </c>
    </row>
    <row r="84" spans="2:4" s="88" customFormat="1">
      <c r="B84" s="89"/>
      <c r="C84" s="88" t="s">
        <v>86</v>
      </c>
    </row>
    <row r="85" spans="2:4" s="88" customFormat="1">
      <c r="B85" s="89"/>
    </row>
    <row r="86" spans="2:4" s="88" customFormat="1">
      <c r="B86" s="89"/>
    </row>
    <row r="87" spans="2:4" s="88" customFormat="1">
      <c r="B87" s="89"/>
    </row>
    <row r="88" spans="2:4" s="88" customFormat="1">
      <c r="B88" s="89"/>
    </row>
    <row r="89" spans="2:4" s="88" customFormat="1">
      <c r="B89" s="89"/>
      <c r="C89" s="88">
        <v>14</v>
      </c>
      <c r="D89" s="88" t="s">
        <v>87</v>
      </c>
    </row>
    <row r="90" spans="2:4" s="88" customFormat="1">
      <c r="B90" s="89"/>
    </row>
    <row r="91" spans="2:4" s="88" customFormat="1">
      <c r="B91" s="89"/>
    </row>
    <row r="92" spans="2:4" s="88" customFormat="1">
      <c r="B92" s="89"/>
    </row>
    <row r="93" spans="2:4" s="88" customFormat="1">
      <c r="B93" s="89"/>
    </row>
    <row r="94" spans="2:4" s="88" customFormat="1">
      <c r="B94" s="89"/>
    </row>
    <row r="95" spans="2:4" s="88" customFormat="1">
      <c r="B95" s="89"/>
    </row>
    <row r="96" spans="2:4" s="88" customFormat="1">
      <c r="B96" s="89"/>
    </row>
    <row r="97" spans="2:7" s="88" customFormat="1">
      <c r="B97" s="89"/>
    </row>
    <row r="98" spans="2:7" s="88" customFormat="1">
      <c r="B98" s="89"/>
    </row>
    <row r="99" spans="2:7">
      <c r="B99" s="71"/>
    </row>
    <row r="100" spans="2:7">
      <c r="B100" s="71"/>
    </row>
    <row r="101" spans="2:7">
      <c r="B101" s="89"/>
    </row>
    <row r="102" spans="2:7">
      <c r="B102" s="89"/>
    </row>
    <row r="103" spans="2:7">
      <c r="B103" s="89"/>
      <c r="C103" s="9" t="s">
        <v>89</v>
      </c>
    </row>
    <row r="104" spans="2:7">
      <c r="B104" s="89"/>
      <c r="C104" s="103" t="s">
        <v>90</v>
      </c>
    </row>
    <row r="105" spans="2:7">
      <c r="B105" s="89"/>
      <c r="C105" s="103"/>
    </row>
    <row r="106" spans="2:7" ht="17" thickBot="1">
      <c r="B106" s="89"/>
    </row>
    <row r="107" spans="2:7" ht="17" thickBot="1">
      <c r="B107" s="89"/>
      <c r="D107" s="104" t="s">
        <v>53</v>
      </c>
      <c r="E107" s="105">
        <v>216</v>
      </c>
      <c r="F107" s="106" t="s">
        <v>91</v>
      </c>
      <c r="G107" s="106"/>
    </row>
    <row r="108" spans="2:7" ht="17" thickBot="1">
      <c r="B108" s="89"/>
      <c r="D108" s="104"/>
      <c r="E108" s="105">
        <f>E107/1000</f>
        <v>0.216</v>
      </c>
      <c r="F108" s="106" t="s">
        <v>54</v>
      </c>
      <c r="G108" s="106"/>
    </row>
    <row r="109" spans="2:7" ht="17" thickBot="1">
      <c r="B109" s="89"/>
      <c r="D109" s="104" t="s">
        <v>59</v>
      </c>
      <c r="E109" s="105">
        <v>320</v>
      </c>
      <c r="F109" s="106" t="s">
        <v>92</v>
      </c>
      <c r="G109" s="106"/>
    </row>
    <row r="110" spans="2:7" ht="17" thickBot="1">
      <c r="B110" s="89"/>
      <c r="E110" s="105">
        <f>E109/1000</f>
        <v>0.32</v>
      </c>
      <c r="F110" s="106" t="s">
        <v>60</v>
      </c>
      <c r="G110" s="106"/>
    </row>
    <row r="111" spans="2:7" ht="17" thickBot="1">
      <c r="B111" s="89"/>
      <c r="D111" s="106" t="s">
        <v>88</v>
      </c>
      <c r="E111" s="107">
        <f>E110</f>
        <v>0.32</v>
      </c>
      <c r="F111" s="106" t="s">
        <v>60</v>
      </c>
      <c r="G111" s="106" t="s">
        <v>93</v>
      </c>
    </row>
    <row r="112" spans="2:7">
      <c r="B112" s="89"/>
    </row>
    <row r="113" spans="2:3">
      <c r="B113" s="89"/>
    </row>
    <row r="114" spans="2:3">
      <c r="B114" s="89"/>
    </row>
    <row r="115" spans="2:3">
      <c r="B115" s="89"/>
    </row>
    <row r="116" spans="2:3">
      <c r="B116" s="89"/>
    </row>
    <row r="117" spans="2:3">
      <c r="B117" s="89"/>
    </row>
    <row r="118" spans="2:3">
      <c r="B118" s="89"/>
    </row>
    <row r="119" spans="2:3">
      <c r="B119" s="89"/>
    </row>
    <row r="120" spans="2:3">
      <c r="B120" s="89"/>
    </row>
    <row r="121" spans="2:3">
      <c r="B121" s="89"/>
    </row>
    <row r="122" spans="2:3">
      <c r="B122" s="89"/>
    </row>
    <row r="123" spans="2:3">
      <c r="B123" s="89"/>
    </row>
    <row r="124" spans="2:3">
      <c r="B124" s="89"/>
    </row>
    <row r="125" spans="2:3">
      <c r="B125" s="89"/>
    </row>
    <row r="126" spans="2:3">
      <c r="B126" s="89"/>
    </row>
    <row r="127" spans="2:3">
      <c r="B127" s="89"/>
      <c r="C127" s="9" t="s">
        <v>94</v>
      </c>
    </row>
    <row r="128" spans="2:3">
      <c r="B128" s="89"/>
      <c r="C128" s="68" t="s">
        <v>95</v>
      </c>
    </row>
    <row r="129" spans="2:5">
      <c r="B129" s="89"/>
      <c r="C129" s="68" t="s">
        <v>96</v>
      </c>
    </row>
    <row r="130" spans="2:5" ht="17" thickBot="1">
      <c r="B130" s="89"/>
    </row>
    <row r="131" spans="2:5" ht="17" thickBot="1">
      <c r="B131" s="89"/>
      <c r="D131" s="134" t="s">
        <v>114</v>
      </c>
      <c r="E131" s="108">
        <v>0.04</v>
      </c>
    </row>
    <row r="132" spans="2:5" ht="17" thickBot="1">
      <c r="B132" s="89"/>
      <c r="D132" s="68" t="s">
        <v>97</v>
      </c>
      <c r="E132" s="109">
        <f>1-(1-E131)^(1/(24*31))</f>
        <v>5.4866766968530989E-5</v>
      </c>
    </row>
    <row r="133" spans="2:5">
      <c r="B133" s="89"/>
    </row>
    <row r="134" spans="2:5">
      <c r="B134" s="89"/>
    </row>
    <row r="135" spans="2:5">
      <c r="B135" s="89"/>
      <c r="E135" s="135"/>
    </row>
    <row r="136" spans="2:5">
      <c r="B136" s="89"/>
    </row>
    <row r="137" spans="2:5">
      <c r="B137" s="89"/>
    </row>
    <row r="138" spans="2:5">
      <c r="B138" s="89"/>
    </row>
    <row r="139" spans="2:5">
      <c r="B139" s="89"/>
    </row>
    <row r="140" spans="2:5">
      <c r="B140" s="89"/>
    </row>
    <row r="141" spans="2:5">
      <c r="B141" s="89"/>
    </row>
    <row r="142" spans="2:5">
      <c r="B142" s="89"/>
    </row>
    <row r="143" spans="2:5">
      <c r="B143" s="89"/>
    </row>
    <row r="144" spans="2:5">
      <c r="B144" s="89"/>
    </row>
    <row r="145" spans="2:2">
      <c r="B145" s="89"/>
    </row>
    <row r="146" spans="2:2">
      <c r="B146" s="89"/>
    </row>
    <row r="147" spans="2:2">
      <c r="B147" s="89"/>
    </row>
    <row r="148" spans="2:2">
      <c r="B148" s="89"/>
    </row>
    <row r="149" spans="2:2">
      <c r="B149" s="89"/>
    </row>
    <row r="150" spans="2:2">
      <c r="B150" s="89"/>
    </row>
    <row r="151" spans="2:2">
      <c r="B151" s="89"/>
    </row>
    <row r="152" spans="2:2">
      <c r="B152" s="89"/>
    </row>
    <row r="153" spans="2:2">
      <c r="B153" s="89"/>
    </row>
    <row r="154" spans="2:2">
      <c r="B154" s="89"/>
    </row>
    <row r="155" spans="2:2">
      <c r="B155" s="89"/>
    </row>
    <row r="156" spans="2:2">
      <c r="B156" s="89"/>
    </row>
    <row r="157" spans="2:2">
      <c r="B157" s="89"/>
    </row>
    <row r="158" spans="2:2">
      <c r="B158" s="89"/>
    </row>
    <row r="159" spans="2:2">
      <c r="B159" s="89"/>
    </row>
    <row r="160" spans="2:2">
      <c r="B160" s="89"/>
    </row>
    <row r="161" spans="2:2">
      <c r="B161" s="89"/>
    </row>
    <row r="162" spans="2:2">
      <c r="B162" s="89"/>
    </row>
    <row r="163" spans="2:2">
      <c r="B163" s="89"/>
    </row>
    <row r="164" spans="2:2">
      <c r="B164" s="89"/>
    </row>
    <row r="165" spans="2:2">
      <c r="B165" s="89"/>
    </row>
    <row r="166" spans="2:2">
      <c r="B166" s="89"/>
    </row>
    <row r="167" spans="2:2">
      <c r="B167" s="89"/>
    </row>
    <row r="168" spans="2:2">
      <c r="B168" s="89"/>
    </row>
    <row r="169" spans="2:2">
      <c r="B169" s="89"/>
    </row>
    <row r="170" spans="2:2">
      <c r="B170" s="89"/>
    </row>
    <row r="171" spans="2:2">
      <c r="B171" s="89"/>
    </row>
    <row r="172" spans="2:2">
      <c r="B172" s="89"/>
    </row>
    <row r="173" spans="2:2">
      <c r="B173" s="89"/>
    </row>
    <row r="174" spans="2:2">
      <c r="B174" s="89"/>
    </row>
  </sheetData>
  <pageMargins left="0.75" right="0.75" top="1" bottom="1" header="0.5" footer="0.5"/>
  <pageSetup paperSize="9" orientation="portrait" horizontalDpi="0" verticalDpi="0"/>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Cover sheet</vt:lpstr>
      <vt:lpstr>Dashboard</vt:lpstr>
      <vt:lpstr>Research data</vt:lpstr>
      <vt:lpstr>Sources</vt:lpstr>
      <vt:lpstr>Notes</vt:lpstr>
    </vt:vector>
  </TitlesOfParts>
  <Company>Quintel Intelligence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Nick Rothengatter</dc:creator>
  <cp:lastModifiedBy>Robin de Smit</cp:lastModifiedBy>
  <dcterms:created xsi:type="dcterms:W3CDTF">2011-10-26T09:05:09Z</dcterms:created>
  <dcterms:modified xsi:type="dcterms:W3CDTF">2026-08-14T11:18:10Z</dcterms:modified>
</cp:coreProperties>
</file>