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mathijsbijkerk/Github/etm-ecosystem/etdataset/nodes_source_analyses/"/>
    </mc:Choice>
  </mc:AlternateContent>
  <xr:revisionPtr revIDLastSave="0" documentId="13_ncr:1_{8669E383-F978-C640-B3AA-FFD981EBEA56}" xr6:coauthVersionLast="47" xr6:coauthVersionMax="47" xr10:uidLastSave="{00000000-0000-0000-0000-000000000000}"/>
  <bookViews>
    <workbookView xWindow="14300" yWindow="-28200" windowWidth="25600" windowHeight="13640" xr2:uid="{A1272A0A-2295-F242-B379-D968EB1AC513}"/>
  </bookViews>
  <sheets>
    <sheet name="Dashboard" sheetId="1" r:id="rId1"/>
    <sheet name="Sources" sheetId="4" r:id="rId2"/>
    <sheet name="Analysis" sheetId="9" r:id="rId3"/>
  </sheets>
  <externalReferences>
    <externalReference r:id="rId4"/>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 i="1" l="1"/>
  <c r="E10" i="1"/>
  <c r="D12" i="9"/>
  <c r="D11" i="9" s="1"/>
</calcChain>
</file>

<file path=xl/sharedStrings.xml><?xml version="1.0" encoding="utf-8"?>
<sst xmlns="http://schemas.openxmlformats.org/spreadsheetml/2006/main" count="101" uniqueCount="83">
  <si>
    <t>Attribute</t>
  </si>
  <si>
    <t>Unit</t>
  </si>
  <si>
    <t>Value</t>
  </si>
  <si>
    <t>Definition</t>
  </si>
  <si>
    <t>Source</t>
  </si>
  <si>
    <t>Technical</t>
  </si>
  <si>
    <t>-</t>
  </si>
  <si>
    <t>storage.volume</t>
  </si>
  <si>
    <t>MWh</t>
  </si>
  <si>
    <t>storage.cost_per_mwh</t>
  </si>
  <si>
    <t>availability</t>
  </si>
  <si>
    <t>full_load_hours</t>
  </si>
  <si>
    <t>MW</t>
  </si>
  <si>
    <t>heat_output_capacity</t>
  </si>
  <si>
    <t>Heat output capacity</t>
  </si>
  <si>
    <t>Cost</t>
  </si>
  <si>
    <t>initial_investment</t>
  </si>
  <si>
    <t>euro</t>
  </si>
  <si>
    <t>Initial investment costs</t>
  </si>
  <si>
    <t>ccs_investment</t>
  </si>
  <si>
    <t>Investment cost with ccs</t>
  </si>
  <si>
    <t>cost_of_installing</t>
  </si>
  <si>
    <t>Installation cost</t>
  </si>
  <si>
    <t>decommissioning_costs</t>
  </si>
  <si>
    <t>fixed_operation_and_maintenance_costs_per_year</t>
  </si>
  <si>
    <t>euro/year</t>
  </si>
  <si>
    <t>Fixed operational and maintenance costs per year</t>
  </si>
  <si>
    <t>variable_operation_and_maintenance_costs_per_full_load_hour</t>
  </si>
  <si>
    <t>euro/FLH</t>
  </si>
  <si>
    <t>Variable operational and maintenance costs</t>
  </si>
  <si>
    <t>variable_operation_and_maintenance_costs_for_ccs_per_full_load_hour</t>
  </si>
  <si>
    <t>Variable operational and maintenance costs for ccs</t>
  </si>
  <si>
    <t>wacc</t>
  </si>
  <si>
    <t>%</t>
  </si>
  <si>
    <t>takes_part_in_ets</t>
  </si>
  <si>
    <t>yes=1, no=0</t>
  </si>
  <si>
    <t>eur0/MWh</t>
  </si>
  <si>
    <t>Other</t>
  </si>
  <si>
    <t>construction_time</t>
  </si>
  <si>
    <t>years</t>
  </si>
  <si>
    <t xml:space="preserve">Construction time of the plant </t>
  </si>
  <si>
    <t>technical_lifetime</t>
  </si>
  <si>
    <t>Technical lifetime of the plant</t>
  </si>
  <si>
    <t>free_co2_factor</t>
  </si>
  <si>
    <t xml:space="preserve">Decommissioning cost </t>
  </si>
  <si>
    <t>Author</t>
  </si>
  <si>
    <t>Node</t>
  </si>
  <si>
    <t>Organisation</t>
  </si>
  <si>
    <t>Quintel</t>
  </si>
  <si>
    <t>Description</t>
  </si>
  <si>
    <t>Published year</t>
  </si>
  <si>
    <t>Subject year</t>
  </si>
  <si>
    <t>Retreived year</t>
  </si>
  <si>
    <t>Link</t>
  </si>
  <si>
    <t>Subject country</t>
  </si>
  <si>
    <t>NL</t>
  </si>
  <si>
    <t>Title</t>
  </si>
  <si>
    <t>Author / organisation</t>
  </si>
  <si>
    <t>Variables</t>
  </si>
  <si>
    <t>value</t>
  </si>
  <si>
    <t>variable</t>
  </si>
  <si>
    <t>unit</t>
  </si>
  <si>
    <t>comment</t>
  </si>
  <si>
    <t>source</t>
  </si>
  <si>
    <t>Quintel assumption, see https://docs.energytransitionmodel.com/main/cost-wacc/</t>
  </si>
  <si>
    <t>Note: "published year" might deviate from "subject year". For example, a study can be published in 2024 about costs parameters in 2020.</t>
  </si>
  <si>
    <r>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r>
    <r>
      <rPr>
        <i/>
        <sz val="12"/>
        <color rgb="FF000000"/>
        <rFont val="Aptos Narrow"/>
        <scheme val="minor"/>
      </rPr>
      <t>Note: in the final dashboard values, use ROUND to avoid long floats.</t>
    </r>
    <r>
      <rPr>
        <sz val="12"/>
        <color rgb="FF000000"/>
        <rFont val="Aptos Narrow"/>
        <scheme val="minor"/>
      </rPr>
      <t xml:space="preserve">
</t>
    </r>
  </si>
  <si>
    <t>CE Delft</t>
  </si>
  <si>
    <t>Jort Wolda</t>
  </si>
  <si>
    <t>Screenshots</t>
  </si>
  <si>
    <t>https://ce.nl/wp-content/uploads/2021/04/04_Factsheet-Luchtwarmtepomp_DEF.pdf</t>
  </si>
  <si>
    <t>Factsheet Luchtwarmtepomp</t>
  </si>
  <si>
    <t>Factsheet warmtepompen</t>
  </si>
  <si>
    <t>Weighted average cost of capital</t>
  </si>
  <si>
    <t>input.ambient_heat</t>
  </si>
  <si>
    <t>The Installatiemonitor tracks smart meter data from households with heat pumps, collected between 01-2023 and 01-2026, and therefore reflects real-world performance. The sample covers 200–250 all-electric and 1,955 hybrid heat pumps with a complete dataset.
The average SCOP for tap water is 2.3</t>
  </si>
  <si>
    <t>input.electricity</t>
  </si>
  <si>
    <t>Installatiemonitor 3.0 - De warmtepomp in de gebouwde omgeving</t>
  </si>
  <si>
    <t>BDH</t>
  </si>
  <si>
    <t xml:space="preserve">https://kennisdelen.rvo.nl/file/download/a29e1ec4-ad00-4a5b-ba62-287ca7602ddf/Installatiemonitor_3_eindrapportage_v1.02.pdf </t>
  </si>
  <si>
    <t>input.ambient_heat, input.electricity</t>
  </si>
  <si>
    <t>2023-2026</t>
  </si>
  <si>
    <t>households_water_heater_hybrid_heatpump_air_water_electricity.ad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</si>
</sst>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7" formatCode="0.00000"/>
    <numFmt numFmtId="170" formatCode="0.00000000"/>
  </numFmts>
  <fonts count="15">
    <font>
      <sz val="12"/>
      <color theme="1"/>
      <name val="Aptos Narrow"/>
      <family val="2"/>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4"/>
      <color theme="1"/>
      <name val="Aptos Narrow"/>
      <scheme val="minor"/>
    </font>
    <font>
      <u/>
      <sz val="12"/>
      <color theme="10"/>
      <name val="Aptos Narrow"/>
      <family val="2"/>
      <scheme val="minor"/>
    </font>
    <font>
      <i/>
      <sz val="12"/>
      <color theme="1"/>
      <name val="Aptos Narrow"/>
      <scheme val="minor"/>
    </font>
    <font>
      <i/>
      <sz val="12"/>
      <color rgb="FF000000"/>
      <name val="Aptos Narrow"/>
      <scheme val="minor"/>
    </font>
    <font>
      <sz val="12"/>
      <color theme="1"/>
      <name val="Lettertype hoofdtekst"/>
      <family val="2"/>
    </font>
    <font>
      <sz val="12"/>
      <color theme="1"/>
      <name val="Aptos Narrow (Hoofdtekst)"/>
    </font>
    <font>
      <i/>
      <sz val="12"/>
      <color rgb="FFFF0000"/>
      <name val="Aptos Narrow"/>
      <scheme val="minor"/>
    </font>
    <font>
      <sz val="12"/>
      <color theme="1"/>
      <name val="Aptos Narrow"/>
      <family val="2"/>
      <scheme val="minor"/>
    </font>
    <font>
      <sz val="12"/>
      <color rgb="FF000000"/>
      <name val="Aptos Narrow"/>
      <family val="2"/>
      <scheme val="minor"/>
    </font>
    <font>
      <b/>
      <i/>
      <sz val="12"/>
      <color theme="5"/>
      <name val="Aptos Narrow"/>
      <scheme val="minor"/>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30">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top/>
      <bottom style="thin">
        <color auto="1"/>
      </bottom>
      <diagonal/>
    </border>
    <border>
      <left/>
      <right style="hair">
        <color indexed="64"/>
      </right>
      <top/>
      <bottom style="thin">
        <color auto="1"/>
      </bottom>
      <diagonal/>
    </border>
    <border>
      <left/>
      <right style="hair">
        <color indexed="64"/>
      </right>
      <top/>
      <bottom/>
      <diagonal/>
    </border>
    <border>
      <left/>
      <right style="hair">
        <color indexed="64"/>
      </right>
      <top style="thin">
        <color indexed="64"/>
      </top>
      <bottom/>
      <diagonal/>
    </border>
    <border>
      <left style="hair">
        <color indexed="64"/>
      </left>
      <right style="hair">
        <color indexed="64"/>
      </right>
      <top/>
      <bottom style="thin">
        <color auto="1"/>
      </bottom>
      <diagonal/>
    </border>
    <border>
      <left style="hair">
        <color indexed="64"/>
      </left>
      <right/>
      <top/>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dotted">
        <color indexed="64"/>
      </left>
      <right style="dotted">
        <color indexed="64"/>
      </right>
      <top/>
      <bottom/>
      <diagonal/>
    </border>
  </borders>
  <cellStyleXfs count="3">
    <xf numFmtId="0" fontId="0" fillId="0" borderId="0"/>
    <xf numFmtId="0" fontId="6" fillId="0" borderId="0" applyNumberFormat="0" applyFill="0" applyBorder="0" applyAlignment="0" applyProtection="0"/>
    <xf numFmtId="0" fontId="9" fillId="0" borderId="0"/>
  </cellStyleXfs>
  <cellXfs count="108">
    <xf numFmtId="0" fontId="0" fillId="0" borderId="0" xfId="0"/>
    <xf numFmtId="0" fontId="2" fillId="2" borderId="0" xfId="0" applyFont="1" applyFill="1"/>
    <xf numFmtId="0" fontId="2" fillId="2" borderId="2" xfId="0" applyFont="1" applyFill="1" applyBorder="1"/>
    <xf numFmtId="0" fontId="3" fillId="2" borderId="3" xfId="0" applyFont="1" applyFill="1" applyBorder="1"/>
    <xf numFmtId="0" fontId="2" fillId="2" borderId="9"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5" fillId="2" borderId="10" xfId="0" applyFont="1" applyFill="1" applyBorder="1"/>
    <xf numFmtId="0" fontId="3" fillId="2" borderId="5" xfId="0" applyFont="1" applyFill="1" applyBorder="1"/>
    <xf numFmtId="0" fontId="3" fillId="2" borderId="0" xfId="0" applyFont="1" applyFill="1"/>
    <xf numFmtId="0" fontId="4" fillId="4" borderId="0" xfId="0" applyFont="1" applyFill="1"/>
    <xf numFmtId="0" fontId="5" fillId="2" borderId="11" xfId="0" applyFont="1" applyFill="1" applyBorder="1"/>
    <xf numFmtId="0" fontId="5" fillId="2" borderId="0" xfId="0" applyFont="1" applyFill="1"/>
    <xf numFmtId="0" fontId="2" fillId="0" borderId="0" xfId="0" applyFont="1"/>
    <xf numFmtId="0" fontId="3" fillId="0" borderId="0" xfId="0" applyFont="1"/>
    <xf numFmtId="0" fontId="2" fillId="2" borderId="6" xfId="0" applyFont="1" applyFill="1" applyBorder="1"/>
    <xf numFmtId="165" fontId="2" fillId="2" borderId="6" xfId="0" applyNumberFormat="1" applyFont="1" applyFill="1" applyBorder="1"/>
    <xf numFmtId="49" fontId="2" fillId="2" borderId="0" xfId="0" applyNumberFormat="1" applyFont="1" applyFill="1"/>
    <xf numFmtId="0" fontId="1" fillId="0" borderId="0" xfId="0" applyFont="1"/>
    <xf numFmtId="0" fontId="2" fillId="2" borderId="5" xfId="0" applyFont="1" applyFill="1" applyBorder="1"/>
    <xf numFmtId="0" fontId="2" fillId="2" borderId="11" xfId="0" applyFont="1" applyFill="1" applyBorder="1"/>
    <xf numFmtId="0" fontId="1" fillId="2" borderId="0" xfId="0" applyFont="1" applyFill="1"/>
    <xf numFmtId="2" fontId="2" fillId="2" borderId="0" xfId="0" applyNumberFormat="1" applyFont="1" applyFill="1"/>
    <xf numFmtId="2" fontId="2" fillId="0" borderId="6" xfId="0" applyNumberFormat="1" applyFont="1" applyBorder="1"/>
    <xf numFmtId="0" fontId="2" fillId="2" borderId="7" xfId="0" applyFont="1" applyFill="1" applyBorder="1"/>
    <xf numFmtId="0" fontId="2" fillId="2" borderId="8" xfId="0" applyFont="1" applyFill="1" applyBorder="1"/>
    <xf numFmtId="0" fontId="2" fillId="2" borderId="12" xfId="0" applyFont="1" applyFill="1" applyBorder="1"/>
    <xf numFmtId="0" fontId="3" fillId="2" borderId="2" xfId="0" applyFont="1" applyFill="1" applyBorder="1"/>
    <xf numFmtId="0" fontId="2" fillId="2" borderId="3" xfId="0" applyFont="1" applyFill="1" applyBorder="1"/>
    <xf numFmtId="0" fontId="0" fillId="2" borderId="0" xfId="0" applyFill="1"/>
    <xf numFmtId="0" fontId="0" fillId="2" borderId="8" xfId="0" applyFill="1" applyBorder="1"/>
    <xf numFmtId="0" fontId="3" fillId="2" borderId="7" xfId="0" applyFont="1" applyFill="1" applyBorder="1" applyAlignment="1">
      <alignment vertical="top"/>
    </xf>
    <xf numFmtId="0" fontId="2" fillId="2" borderId="8" xfId="0" applyFont="1" applyFill="1" applyBorder="1" applyAlignment="1">
      <alignment vertical="top"/>
    </xf>
    <xf numFmtId="0" fontId="0" fillId="2" borderId="2" xfId="0" applyFill="1" applyBorder="1"/>
    <xf numFmtId="0" fontId="0" fillId="2" borderId="3" xfId="0" applyFill="1" applyBorder="1"/>
    <xf numFmtId="0" fontId="0" fillId="2" borderId="9" xfId="0" applyFill="1" applyBorder="1"/>
    <xf numFmtId="0" fontId="0" fillId="2" borderId="4" xfId="0" applyFill="1" applyBorder="1"/>
    <xf numFmtId="0" fontId="0" fillId="2" borderId="10" xfId="0" applyFill="1" applyBorder="1"/>
    <xf numFmtId="0" fontId="0" fillId="2" borderId="5" xfId="0" applyFill="1" applyBorder="1"/>
    <xf numFmtId="0" fontId="0" fillId="2" borderId="11" xfId="0" applyFill="1" applyBorder="1"/>
    <xf numFmtId="0" fontId="0" fillId="2" borderId="7" xfId="0" applyFill="1" applyBorder="1"/>
    <xf numFmtId="0" fontId="0" fillId="2" borderId="12" xfId="0" applyFill="1" applyBorder="1"/>
    <xf numFmtId="0" fontId="0" fillId="2" borderId="0" xfId="0" applyFill="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wrapText="1"/>
    </xf>
    <xf numFmtId="0" fontId="0" fillId="2" borderId="8" xfId="0" applyFill="1" applyBorder="1" applyAlignment="1">
      <alignment horizontal="center"/>
    </xf>
    <xf numFmtId="0" fontId="6" fillId="2" borderId="0" xfId="1" applyFill="1" applyBorder="1"/>
    <xf numFmtId="0" fontId="7" fillId="2" borderId="0" xfId="0" applyFont="1" applyFill="1"/>
    <xf numFmtId="2" fontId="0" fillId="2" borderId="13" xfId="0" applyNumberFormat="1" applyFill="1" applyBorder="1"/>
    <xf numFmtId="0" fontId="0" fillId="2" borderId="13" xfId="0" applyFill="1" applyBorder="1"/>
    <xf numFmtId="0" fontId="0" fillId="2" borderId="14" xfId="0" applyFill="1" applyBorder="1"/>
    <xf numFmtId="0" fontId="0" fillId="2" borderId="15" xfId="0" applyFill="1" applyBorder="1"/>
    <xf numFmtId="0" fontId="0" fillId="2" borderId="1" xfId="0" applyFill="1" applyBorder="1"/>
    <xf numFmtId="0" fontId="0" fillId="2" borderId="16" xfId="0" applyFill="1" applyBorder="1"/>
    <xf numFmtId="0" fontId="0" fillId="2" borderId="20" xfId="0" applyFill="1" applyBorder="1"/>
    <xf numFmtId="0" fontId="0" fillId="2" borderId="22" xfId="0" applyFill="1" applyBorder="1"/>
    <xf numFmtId="0" fontId="0" fillId="2" borderId="23" xfId="0" applyFill="1" applyBorder="1"/>
    <xf numFmtId="0" fontId="0" fillId="2" borderId="21" xfId="0" applyFill="1" applyBorder="1"/>
    <xf numFmtId="0" fontId="0" fillId="2" borderId="27" xfId="0" applyFill="1" applyBorder="1"/>
    <xf numFmtId="0" fontId="0" fillId="2" borderId="24" xfId="0" applyFill="1" applyBorder="1"/>
    <xf numFmtId="0" fontId="0" fillId="2" borderId="28" xfId="0" applyFill="1" applyBorder="1"/>
    <xf numFmtId="0" fontId="11" fillId="2" borderId="0" xfId="0" applyFont="1" applyFill="1"/>
    <xf numFmtId="0" fontId="10" fillId="2" borderId="25" xfId="1" applyFont="1" applyFill="1" applyBorder="1"/>
    <xf numFmtId="0" fontId="7" fillId="2" borderId="26" xfId="0" applyFont="1" applyFill="1" applyBorder="1" applyAlignment="1">
      <alignment vertical="top"/>
    </xf>
    <xf numFmtId="0" fontId="7" fillId="2" borderId="25" xfId="0" applyFont="1" applyFill="1" applyBorder="1"/>
    <xf numFmtId="0" fontId="10" fillId="2" borderId="28" xfId="0" applyFont="1" applyFill="1" applyBorder="1" applyAlignment="1">
      <alignment vertical="top" wrapText="1"/>
    </xf>
    <xf numFmtId="0" fontId="10" fillId="2" borderId="27" xfId="0" applyFont="1" applyFill="1" applyBorder="1" applyAlignment="1">
      <alignment vertical="top" wrapText="1"/>
    </xf>
    <xf numFmtId="0" fontId="10" fillId="2" borderId="24" xfId="0" applyFont="1" applyFill="1" applyBorder="1" applyAlignment="1">
      <alignment vertical="top" wrapText="1"/>
    </xf>
    <xf numFmtId="0" fontId="0" fillId="2" borderId="18" xfId="0" applyFill="1" applyBorder="1"/>
    <xf numFmtId="0" fontId="2" fillId="2" borderId="17" xfId="0" applyFont="1" applyFill="1" applyBorder="1" applyAlignment="1">
      <alignment vertical="top"/>
    </xf>
    <xf numFmtId="0" fontId="2" fillId="2" borderId="18" xfId="0" applyFont="1" applyFill="1" applyBorder="1" applyAlignment="1">
      <alignment vertical="top"/>
    </xf>
    <xf numFmtId="0" fontId="0" fillId="2" borderId="19" xfId="0" applyFill="1" applyBorder="1"/>
    <xf numFmtId="0" fontId="2" fillId="2" borderId="0" xfId="0" applyFont="1" applyFill="1" applyAlignment="1">
      <alignment vertical="top"/>
    </xf>
    <xf numFmtId="0" fontId="0" fillId="2" borderId="29" xfId="0" applyFill="1" applyBorder="1"/>
    <xf numFmtId="0" fontId="0" fillId="2" borderId="29" xfId="0" applyFill="1" applyBorder="1" applyAlignment="1">
      <alignment horizontal="center"/>
    </xf>
    <xf numFmtId="0" fontId="7" fillId="0" borderId="0" xfId="0" applyFont="1"/>
    <xf numFmtId="0" fontId="13" fillId="0" borderId="0" xfId="0" applyFont="1"/>
    <xf numFmtId="0" fontId="12" fillId="2" borderId="0" xfId="0" applyFont="1" applyFill="1"/>
    <xf numFmtId="0" fontId="6" fillId="2" borderId="0" xfId="1" applyFill="1"/>
    <xf numFmtId="167" fontId="2" fillId="2" borderId="6" xfId="0" applyNumberFormat="1" applyFont="1" applyFill="1" applyBorder="1"/>
    <xf numFmtId="0" fontId="2" fillId="0" borderId="6" xfId="0" applyFont="1" applyBorder="1"/>
    <xf numFmtId="165" fontId="0" fillId="2" borderId="0" xfId="0" applyNumberFormat="1" applyFill="1"/>
    <xf numFmtId="165" fontId="11" fillId="2" borderId="0" xfId="0" applyNumberFormat="1" applyFont="1" applyFill="1"/>
    <xf numFmtId="0" fontId="10" fillId="2" borderId="0" xfId="1" applyFont="1" applyFill="1" applyBorder="1"/>
    <xf numFmtId="0" fontId="14" fillId="2" borderId="18" xfId="0" applyFont="1" applyFill="1" applyBorder="1"/>
    <xf numFmtId="0" fontId="0" fillId="2" borderId="26" xfId="0" applyFill="1" applyBorder="1"/>
    <xf numFmtId="0" fontId="0" fillId="2" borderId="25" xfId="0" applyFill="1" applyBorder="1"/>
    <xf numFmtId="0" fontId="2" fillId="2" borderId="18" xfId="0" applyFont="1" applyFill="1" applyBorder="1"/>
    <xf numFmtId="0" fontId="2" fillId="2" borderId="15" xfId="0" applyFont="1" applyFill="1" applyBorder="1" applyAlignment="1">
      <alignment vertical="top"/>
    </xf>
    <xf numFmtId="0" fontId="2" fillId="2" borderId="1" xfId="0" applyFont="1" applyFill="1" applyBorder="1" applyAlignment="1">
      <alignment vertical="top"/>
    </xf>
    <xf numFmtId="0" fontId="2" fillId="2" borderId="16" xfId="0" applyFont="1" applyFill="1" applyBorder="1" applyAlignment="1">
      <alignment vertical="top"/>
    </xf>
    <xf numFmtId="2" fontId="0" fillId="2" borderId="0" xfId="0" applyNumberFormat="1" applyFill="1"/>
    <xf numFmtId="0" fontId="0" fillId="2" borderId="0" xfId="0" applyFill="1" applyAlignment="1">
      <alignment wrapText="1"/>
    </xf>
    <xf numFmtId="2" fontId="0" fillId="2" borderId="0" xfId="0" applyNumberFormat="1" applyFill="1" applyAlignment="1">
      <alignment vertical="top"/>
    </xf>
    <xf numFmtId="0" fontId="10" fillId="2" borderId="0" xfId="0" applyFont="1" applyFill="1" applyAlignment="1">
      <alignment vertical="top" wrapText="1"/>
    </xf>
    <xf numFmtId="164" fontId="0" fillId="2" borderId="0" xfId="0" applyNumberFormat="1" applyFill="1"/>
    <xf numFmtId="0" fontId="7" fillId="2" borderId="0" xfId="0" applyFont="1" applyFill="1" applyAlignment="1">
      <alignment vertical="top"/>
    </xf>
    <xf numFmtId="0" fontId="1" fillId="3" borderId="3"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0" xfId="0" applyFont="1" applyFill="1" applyAlignment="1">
      <alignment horizontal="left" vertical="top" wrapText="1"/>
    </xf>
    <xf numFmtId="0" fontId="1" fillId="3" borderId="1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2" xfId="0" applyFont="1"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 xfId="0" applyFill="1" applyBorder="1" applyAlignment="1">
      <alignment horizontal="left" vertical="top" wrapText="1"/>
    </xf>
    <xf numFmtId="170" fontId="12" fillId="2" borderId="6" xfId="0" applyNumberFormat="1" applyFont="1" applyFill="1" applyBorder="1"/>
  </cellXfs>
  <cellStyles count="3">
    <cellStyle name="Hyperlink" xfId="1" builtinId="8"/>
    <cellStyle name="Normal" xfId="0" builtinId="0"/>
    <cellStyle name="Standaard 2" xfId="2" xr:uid="{0BFE01EF-3352-E84A-B0B8-B4DC3F55C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674661</xdr:colOff>
      <xdr:row>4</xdr:row>
      <xdr:rowOff>75482</xdr:rowOff>
    </xdr:from>
    <xdr:to>
      <xdr:col>15</xdr:col>
      <xdr:colOff>528012</xdr:colOff>
      <xdr:row>8</xdr:row>
      <xdr:rowOff>143767</xdr:rowOff>
    </xdr:to>
    <xdr:pic>
      <xdr:nvPicPr>
        <xdr:cNvPr id="17" name="Afbeelding 16">
          <a:extLst>
            <a:ext uri="{FF2B5EF4-FFF2-40B4-BE49-F238E27FC236}">
              <a16:creationId xmlns:a16="http://schemas.microsoft.com/office/drawing/2014/main" id="{2C0B3021-5A00-BE45-423D-63526E9D6422}"/>
            </a:ext>
          </a:extLst>
        </xdr:cNvPr>
        <xdr:cNvPicPr>
          <a:picLocks noChangeAspect="1"/>
        </xdr:cNvPicPr>
      </xdr:nvPicPr>
      <xdr:blipFill>
        <a:blip xmlns:r="http://schemas.openxmlformats.org/officeDocument/2006/relationships" r:embed="rId1"/>
        <a:stretch>
          <a:fillRect/>
        </a:stretch>
      </xdr:blipFill>
      <xdr:spPr>
        <a:xfrm>
          <a:off x="17243052" y="907551"/>
          <a:ext cx="2349558" cy="885756"/>
        </a:xfrm>
        <a:prstGeom prst="rect">
          <a:avLst/>
        </a:prstGeom>
        <a:ln>
          <a:solidFill>
            <a:schemeClr val="tx1"/>
          </a:solidFill>
        </a:ln>
      </xdr:spPr>
    </xdr:pic>
    <xdr:clientData/>
  </xdr:twoCellAnchor>
  <xdr:twoCellAnchor editAs="oneCell">
    <xdr:from>
      <xdr:col>12</xdr:col>
      <xdr:colOff>322317</xdr:colOff>
      <xdr:row>10</xdr:row>
      <xdr:rowOff>143204</xdr:rowOff>
    </xdr:from>
    <xdr:to>
      <xdr:col>18</xdr:col>
      <xdr:colOff>386151</xdr:colOff>
      <xdr:row>19</xdr:row>
      <xdr:rowOff>100288</xdr:rowOff>
    </xdr:to>
    <xdr:pic>
      <xdr:nvPicPr>
        <xdr:cNvPr id="3" name="Afbeelding 2">
          <a:extLst>
            <a:ext uri="{FF2B5EF4-FFF2-40B4-BE49-F238E27FC236}">
              <a16:creationId xmlns:a16="http://schemas.microsoft.com/office/drawing/2014/main" id="{C9AF4D99-5930-E342-BFCD-1D8B500EAAD5}"/>
            </a:ext>
          </a:extLst>
        </xdr:cNvPr>
        <xdr:cNvPicPr>
          <a:picLocks noChangeAspect="1"/>
        </xdr:cNvPicPr>
      </xdr:nvPicPr>
      <xdr:blipFill>
        <a:blip xmlns:r="http://schemas.openxmlformats.org/officeDocument/2006/relationships" r:embed="rId2"/>
        <a:stretch>
          <a:fillRect/>
        </a:stretch>
      </xdr:blipFill>
      <xdr:spPr>
        <a:xfrm>
          <a:off x="16870417" y="765504"/>
          <a:ext cx="5016834" cy="1963684"/>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quintel.sharepoint.com/Users/dorinevandervlies/Projects/etdataset/nodes_source_analyses/households/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kennisdelen.rvo.nl/file/download/a29e1ec4-ad00-4a5b-ba62-287ca7602ddf/Installatiemonitor_3_eindrapportage_v1.02.pdf" TargetMode="External"/><Relationship Id="rId1" Type="http://schemas.openxmlformats.org/officeDocument/2006/relationships/hyperlink" Target="https://ce.nl/wp-content/uploads/2021/04/04_Factsheet-Luchtwarmtepomp_DEF.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3B62-CE5D-4342-B744-D64F77AEDC7B}">
  <dimension ref="B1:J33"/>
  <sheetViews>
    <sheetView tabSelected="1" zoomScaleNormal="161" workbookViewId="0">
      <selection activeCell="G16" sqref="G16"/>
    </sheetView>
  </sheetViews>
  <sheetFormatPr baseColWidth="10" defaultRowHeight="16"/>
  <cols>
    <col min="1" max="1" width="5.83203125" style="1" customWidth="1"/>
    <col min="2" max="2" width="11.83203125" style="1" customWidth="1"/>
    <col min="3" max="3" width="64.33203125" style="1" customWidth="1"/>
    <col min="4" max="4" width="15.5" style="1" customWidth="1"/>
    <col min="5" max="5" width="17.33203125" style="1" customWidth="1"/>
    <col min="6" max="6" width="5.33203125" style="1" customWidth="1"/>
    <col min="7" max="7" width="45.83203125" style="1" customWidth="1"/>
    <col min="8" max="8" width="4.83203125" style="1" customWidth="1"/>
    <col min="9" max="9" width="38.33203125" style="1" customWidth="1"/>
    <col min="10" max="10" width="5" style="1" customWidth="1"/>
    <col min="11" max="16384" width="10.83203125" style="1"/>
  </cols>
  <sheetData>
    <row r="1" spans="2:10" ht="17" thickBot="1"/>
    <row r="2" spans="2:10" ht="16" customHeight="1">
      <c r="B2" s="28" t="s">
        <v>46</v>
      </c>
      <c r="C2" s="29" t="s">
        <v>82</v>
      </c>
      <c r="D2" s="29"/>
      <c r="E2" s="3" t="s">
        <v>49</v>
      </c>
      <c r="F2" s="98" t="s">
        <v>66</v>
      </c>
      <c r="G2" s="98"/>
      <c r="H2" s="98"/>
      <c r="I2" s="98"/>
      <c r="J2" s="99"/>
    </row>
    <row r="3" spans="2:10">
      <c r="B3" s="9" t="s">
        <v>45</v>
      </c>
      <c r="C3" s="1" t="s">
        <v>68</v>
      </c>
      <c r="E3" s="30"/>
      <c r="F3" s="100"/>
      <c r="G3" s="100"/>
      <c r="H3" s="100"/>
      <c r="I3" s="100"/>
      <c r="J3" s="101"/>
    </row>
    <row r="4" spans="2:10" ht="37" customHeight="1" thickBot="1">
      <c r="B4" s="32" t="s">
        <v>47</v>
      </c>
      <c r="C4" s="33" t="s">
        <v>48</v>
      </c>
      <c r="D4" s="26"/>
      <c r="E4" s="31"/>
      <c r="F4" s="102"/>
      <c r="G4" s="102"/>
      <c r="H4" s="102"/>
      <c r="I4" s="102"/>
      <c r="J4" s="103"/>
    </row>
    <row r="5" spans="2:10" ht="17" thickBot="1"/>
    <row r="6" spans="2:10">
      <c r="B6" s="2"/>
      <c r="C6" s="3"/>
      <c r="D6" s="3"/>
      <c r="E6" s="3"/>
      <c r="F6" s="3"/>
      <c r="G6" s="3"/>
      <c r="H6" s="3"/>
      <c r="I6" s="3"/>
      <c r="J6" s="4"/>
    </row>
    <row r="7" spans="2:10" ht="19">
      <c r="B7" s="5"/>
      <c r="C7" s="6" t="s">
        <v>0</v>
      </c>
      <c r="D7" s="7" t="s">
        <v>1</v>
      </c>
      <c r="E7" s="6" t="s">
        <v>2</v>
      </c>
      <c r="F7" s="6"/>
      <c r="G7" s="6" t="s">
        <v>3</v>
      </c>
      <c r="H7" s="6"/>
      <c r="I7" s="6" t="s">
        <v>4</v>
      </c>
      <c r="J7" s="8"/>
    </row>
    <row r="8" spans="2:10" ht="19">
      <c r="B8" s="9"/>
      <c r="C8" s="10"/>
      <c r="D8" s="11"/>
      <c r="E8" s="10"/>
      <c r="F8" s="10"/>
      <c r="G8" s="10"/>
      <c r="H8" s="10"/>
      <c r="I8" s="10"/>
      <c r="J8" s="12"/>
    </row>
    <row r="9" spans="2:10" ht="20" thickBot="1">
      <c r="B9" s="9"/>
      <c r="C9" s="10" t="s">
        <v>5</v>
      </c>
      <c r="D9" s="11"/>
      <c r="E9" s="10"/>
      <c r="F9" s="10"/>
      <c r="G9" s="10"/>
      <c r="H9" s="10"/>
      <c r="I9" s="10"/>
      <c r="J9" s="12"/>
    </row>
    <row r="10" spans="2:10" ht="20" thickBot="1">
      <c r="B10" s="9"/>
      <c r="C10" s="78" t="s">
        <v>74</v>
      </c>
      <c r="D10" s="77" t="s">
        <v>6</v>
      </c>
      <c r="E10" s="107">
        <f>ROUND(Analysis!D11,8)</f>
        <v>0.56521739000000004</v>
      </c>
      <c r="F10" s="13"/>
      <c r="G10" s="76"/>
      <c r="H10" s="15"/>
      <c r="I10" s="81" t="s">
        <v>78</v>
      </c>
      <c r="J10" s="12"/>
    </row>
    <row r="11" spans="2:10" ht="20" thickBot="1">
      <c r="B11" s="9"/>
      <c r="C11" s="78" t="s">
        <v>76</v>
      </c>
      <c r="D11" s="77" t="s">
        <v>6</v>
      </c>
      <c r="E11" s="107">
        <f>ROUND(Analysis!D12,8)</f>
        <v>0.43478261000000001</v>
      </c>
      <c r="F11" s="13"/>
      <c r="G11" s="76"/>
      <c r="H11" s="15"/>
      <c r="I11" s="81" t="s">
        <v>78</v>
      </c>
      <c r="J11" s="12"/>
    </row>
    <row r="12" spans="2:10" ht="20" thickBot="1">
      <c r="B12" s="9"/>
      <c r="C12" s="18" t="s">
        <v>7</v>
      </c>
      <c r="D12" s="19" t="s">
        <v>8</v>
      </c>
      <c r="E12" s="17"/>
      <c r="F12" s="13"/>
      <c r="G12" s="14"/>
      <c r="H12" s="15"/>
      <c r="I12" s="16"/>
      <c r="J12" s="12"/>
    </row>
    <row r="13" spans="2:10" ht="17" thickBot="1">
      <c r="B13" s="20"/>
      <c r="C13" s="1" t="s">
        <v>10</v>
      </c>
      <c r="D13" s="19" t="s">
        <v>6</v>
      </c>
      <c r="E13" s="17"/>
      <c r="G13" s="14"/>
      <c r="H13" s="14"/>
      <c r="I13" s="16"/>
      <c r="J13" s="21"/>
    </row>
    <row r="14" spans="2:10" ht="17" thickBot="1">
      <c r="B14" s="20"/>
      <c r="C14" s="1" t="s">
        <v>11</v>
      </c>
      <c r="D14" s="19" t="s">
        <v>6</v>
      </c>
      <c r="E14" s="17"/>
      <c r="G14" s="14"/>
      <c r="H14" s="14"/>
      <c r="I14" s="16"/>
      <c r="J14" s="21"/>
    </row>
    <row r="15" spans="2:10" ht="17" thickBot="1">
      <c r="B15" s="20"/>
      <c r="C15" s="1" t="s">
        <v>13</v>
      </c>
      <c r="D15" s="19" t="s">
        <v>12</v>
      </c>
      <c r="E15" s="80"/>
      <c r="G15" s="14" t="s">
        <v>14</v>
      </c>
      <c r="H15" s="14"/>
      <c r="I15" s="16"/>
      <c r="J15" s="21"/>
    </row>
    <row r="16" spans="2:10">
      <c r="B16" s="20"/>
      <c r="D16" s="22"/>
      <c r="E16" s="23"/>
      <c r="J16" s="21"/>
    </row>
    <row r="17" spans="2:10" ht="17" thickBot="1">
      <c r="B17" s="20"/>
      <c r="C17" s="10" t="s">
        <v>15</v>
      </c>
      <c r="D17" s="22"/>
      <c r="J17" s="21"/>
    </row>
    <row r="18" spans="2:10" ht="17" thickBot="1">
      <c r="B18" s="20"/>
      <c r="C18" s="1" t="s">
        <v>16</v>
      </c>
      <c r="D18" s="19" t="s">
        <v>17</v>
      </c>
      <c r="E18" s="24"/>
      <c r="G18" s="14" t="s">
        <v>18</v>
      </c>
      <c r="H18" s="14"/>
      <c r="I18" s="16"/>
      <c r="J18" s="21"/>
    </row>
    <row r="19" spans="2:10" ht="17" thickBot="1">
      <c r="B19" s="20"/>
      <c r="C19" s="1" t="s">
        <v>19</v>
      </c>
      <c r="D19" s="19" t="s">
        <v>17</v>
      </c>
      <c r="E19" s="24"/>
      <c r="G19" s="14" t="s">
        <v>20</v>
      </c>
      <c r="H19" s="14"/>
      <c r="I19" s="16"/>
      <c r="J19" s="21"/>
    </row>
    <row r="20" spans="2:10" ht="17" thickBot="1">
      <c r="B20" s="20"/>
      <c r="C20" s="1" t="s">
        <v>21</v>
      </c>
      <c r="D20" s="19" t="s">
        <v>17</v>
      </c>
      <c r="E20" s="24"/>
      <c r="G20" s="14" t="s">
        <v>22</v>
      </c>
      <c r="H20" s="14"/>
      <c r="I20" s="16"/>
      <c r="J20" s="21"/>
    </row>
    <row r="21" spans="2:10" ht="17" thickBot="1">
      <c r="B21" s="20"/>
      <c r="C21" s="1" t="s">
        <v>23</v>
      </c>
      <c r="D21" s="19" t="s">
        <v>17</v>
      </c>
      <c r="E21" s="24"/>
      <c r="G21" s="14" t="s">
        <v>44</v>
      </c>
      <c r="H21" s="14"/>
      <c r="I21" s="16"/>
      <c r="J21" s="21"/>
    </row>
    <row r="22" spans="2:10" ht="17" thickBot="1">
      <c r="B22" s="20"/>
      <c r="C22" s="1" t="s">
        <v>24</v>
      </c>
      <c r="D22" s="19" t="s">
        <v>25</v>
      </c>
      <c r="E22" s="24"/>
      <c r="G22" s="14" t="s">
        <v>26</v>
      </c>
      <c r="H22" s="14"/>
      <c r="I22" s="16"/>
      <c r="J22" s="21"/>
    </row>
    <row r="23" spans="2:10" ht="17" thickBot="1">
      <c r="B23" s="20"/>
      <c r="C23" s="1" t="s">
        <v>27</v>
      </c>
      <c r="D23" s="19" t="s">
        <v>28</v>
      </c>
      <c r="E23" s="24"/>
      <c r="G23" s="14" t="s">
        <v>29</v>
      </c>
      <c r="H23" s="14"/>
      <c r="I23" s="16"/>
      <c r="J23" s="21"/>
    </row>
    <row r="24" spans="2:10" ht="17" thickBot="1">
      <c r="B24" s="20"/>
      <c r="C24" s="1" t="s">
        <v>30</v>
      </c>
      <c r="D24" s="19" t="s">
        <v>28</v>
      </c>
      <c r="E24" s="24"/>
      <c r="G24" s="14" t="s">
        <v>31</v>
      </c>
      <c r="H24" s="14"/>
      <c r="I24" s="16"/>
      <c r="J24" s="21"/>
    </row>
    <row r="25" spans="2:10" ht="17" thickBot="1">
      <c r="B25" s="20"/>
      <c r="C25" s="1" t="s">
        <v>32</v>
      </c>
      <c r="D25" s="19" t="s">
        <v>33</v>
      </c>
      <c r="E25" s="24">
        <v>0.02</v>
      </c>
      <c r="G25" s="14" t="s">
        <v>73</v>
      </c>
      <c r="H25" s="14"/>
      <c r="I25" s="16" t="s">
        <v>64</v>
      </c>
      <c r="J25" s="21"/>
    </row>
    <row r="26" spans="2:10" ht="17" thickBot="1">
      <c r="B26" s="20"/>
      <c r="C26" s="1" t="s">
        <v>34</v>
      </c>
      <c r="D26" s="19" t="s">
        <v>35</v>
      </c>
      <c r="E26" s="24"/>
      <c r="G26" s="14"/>
      <c r="H26" s="14"/>
      <c r="I26" s="16"/>
      <c r="J26" s="21"/>
    </row>
    <row r="27" spans="2:10" ht="20" thickBot="1">
      <c r="B27" s="9"/>
      <c r="C27" s="1" t="s">
        <v>9</v>
      </c>
      <c r="D27" s="19" t="s">
        <v>36</v>
      </c>
      <c r="E27" s="24"/>
      <c r="F27" s="13"/>
      <c r="G27" s="14"/>
      <c r="H27" s="15"/>
      <c r="I27" s="16"/>
      <c r="J27" s="12"/>
    </row>
    <row r="28" spans="2:10">
      <c r="B28" s="20"/>
      <c r="D28" s="19"/>
      <c r="E28" s="14"/>
      <c r="G28" s="14"/>
      <c r="H28" s="14"/>
      <c r="J28" s="21"/>
    </row>
    <row r="29" spans="2:10" ht="17" thickBot="1">
      <c r="B29" s="20"/>
      <c r="C29" s="10" t="s">
        <v>37</v>
      </c>
      <c r="D29" s="22"/>
      <c r="J29" s="21"/>
    </row>
    <row r="30" spans="2:10" ht="17" thickBot="1">
      <c r="B30" s="20"/>
      <c r="C30" s="1" t="s">
        <v>38</v>
      </c>
      <c r="D30" s="19" t="s">
        <v>39</v>
      </c>
      <c r="E30" s="24"/>
      <c r="G30" s="14" t="s">
        <v>40</v>
      </c>
      <c r="H30" s="14"/>
      <c r="I30" s="16"/>
      <c r="J30" s="21"/>
    </row>
    <row r="31" spans="2:10" ht="17" thickBot="1">
      <c r="B31" s="20"/>
      <c r="C31" s="1" t="s">
        <v>41</v>
      </c>
      <c r="D31" s="19" t="s">
        <v>39</v>
      </c>
      <c r="E31" s="24"/>
      <c r="G31" s="14" t="s">
        <v>42</v>
      </c>
      <c r="H31" s="14"/>
      <c r="I31" s="16"/>
      <c r="J31" s="21"/>
    </row>
    <row r="32" spans="2:10" ht="17" thickBot="1">
      <c r="B32" s="20"/>
      <c r="C32" s="1" t="s">
        <v>43</v>
      </c>
      <c r="D32" s="19" t="s">
        <v>6</v>
      </c>
      <c r="E32" s="24"/>
      <c r="G32" s="14"/>
      <c r="H32" s="14"/>
      <c r="I32" s="16"/>
      <c r="J32" s="21"/>
    </row>
    <row r="33" spans="2:10" ht="17" thickBot="1">
      <c r="B33" s="25"/>
      <c r="C33" s="26"/>
      <c r="D33" s="26"/>
      <c r="E33" s="26"/>
      <c r="F33" s="26"/>
      <c r="G33" s="26"/>
      <c r="H33" s="26"/>
      <c r="I33" s="26"/>
      <c r="J33" s="27"/>
    </row>
  </sheetData>
  <mergeCells count="1">
    <mergeCell ref="F2: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EDC0-AC59-664A-BB9B-BC4ECA4036D4}">
  <dimension ref="B1:K26"/>
  <sheetViews>
    <sheetView topLeftCell="C1" zoomScaleNormal="100" workbookViewId="0">
      <selection activeCell="C53" sqref="C53"/>
    </sheetView>
  </sheetViews>
  <sheetFormatPr baseColWidth="10" defaultRowHeight="16"/>
  <cols>
    <col min="1" max="2" width="4.6640625" style="30" customWidth="1"/>
    <col min="3" max="3" width="69.6640625" style="30" customWidth="1"/>
    <col min="4" max="4" width="114.83203125" style="30" customWidth="1"/>
    <col min="5" max="5" width="35.33203125" style="30" bestFit="1" customWidth="1"/>
    <col min="6" max="9" width="10.5" style="43" customWidth="1"/>
    <col min="10" max="10" width="101.5" style="30" customWidth="1"/>
    <col min="11" max="11" width="3" style="30" customWidth="1"/>
    <col min="12" max="16384" width="10.83203125" style="30"/>
  </cols>
  <sheetData>
    <row r="1" spans="2:11" ht="17" thickBot="1"/>
    <row r="2" spans="2:11">
      <c r="B2" s="34"/>
      <c r="C2" s="35"/>
      <c r="D2" s="35"/>
      <c r="E2" s="35"/>
      <c r="F2" s="44"/>
      <c r="G2" s="44"/>
      <c r="H2" s="44"/>
      <c r="I2" s="44"/>
      <c r="J2" s="35"/>
      <c r="K2" s="36"/>
    </row>
    <row r="3" spans="2:11" ht="34">
      <c r="B3" s="37"/>
      <c r="C3" s="6" t="s">
        <v>58</v>
      </c>
      <c r="D3" s="6" t="s">
        <v>56</v>
      </c>
      <c r="E3" s="6" t="s">
        <v>57</v>
      </c>
      <c r="F3" s="45" t="s">
        <v>54</v>
      </c>
      <c r="G3" s="45" t="s">
        <v>50</v>
      </c>
      <c r="H3" s="45" t="s">
        <v>51</v>
      </c>
      <c r="I3" s="45" t="s">
        <v>52</v>
      </c>
      <c r="J3" s="6" t="s">
        <v>53</v>
      </c>
      <c r="K3" s="38"/>
    </row>
    <row r="4" spans="2:11">
      <c r="B4" s="39"/>
      <c r="C4" s="73" t="s">
        <v>41</v>
      </c>
      <c r="D4" s="74" t="s">
        <v>71</v>
      </c>
      <c r="E4" s="30" t="s">
        <v>67</v>
      </c>
      <c r="F4" s="75" t="s">
        <v>55</v>
      </c>
      <c r="G4" s="43">
        <v>2021</v>
      </c>
      <c r="H4" s="75"/>
      <c r="I4" s="75">
        <v>2026</v>
      </c>
      <c r="J4" s="47" t="s">
        <v>70</v>
      </c>
      <c r="K4" s="40"/>
    </row>
    <row r="5" spans="2:11">
      <c r="B5" s="39"/>
      <c r="C5" s="30" t="s">
        <v>80</v>
      </c>
      <c r="D5" s="74" t="s">
        <v>77</v>
      </c>
      <c r="E5" s="30" t="s">
        <v>78</v>
      </c>
      <c r="F5" s="75" t="s">
        <v>55</v>
      </c>
      <c r="G5" s="43">
        <v>2026</v>
      </c>
      <c r="H5" s="75" t="s">
        <v>81</v>
      </c>
      <c r="I5" s="75">
        <v>2026</v>
      </c>
      <c r="J5" s="79" t="s">
        <v>79</v>
      </c>
      <c r="K5" s="40"/>
    </row>
    <row r="6" spans="2:11">
      <c r="B6" s="39"/>
      <c r="D6" s="74"/>
      <c r="F6" s="75"/>
      <c r="H6" s="75"/>
      <c r="I6" s="75"/>
      <c r="J6" s="47"/>
      <c r="K6" s="40"/>
    </row>
    <row r="7" spans="2:11">
      <c r="B7" s="39"/>
      <c r="C7" s="73"/>
      <c r="D7" s="74"/>
      <c r="F7" s="75"/>
      <c r="H7" s="75"/>
      <c r="I7" s="75"/>
      <c r="J7" s="47"/>
      <c r="K7" s="40"/>
    </row>
    <row r="8" spans="2:11">
      <c r="B8" s="39"/>
      <c r="D8" s="74"/>
      <c r="E8"/>
      <c r="F8" s="75"/>
      <c r="H8" s="75"/>
      <c r="I8" s="75"/>
      <c r="J8" s="79"/>
      <c r="K8" s="40"/>
    </row>
    <row r="9" spans="2:11">
      <c r="B9" s="39"/>
      <c r="D9" s="74"/>
      <c r="F9" s="75"/>
      <c r="H9" s="75"/>
      <c r="I9" s="75"/>
      <c r="J9" s="79"/>
      <c r="K9" s="40"/>
    </row>
    <row r="10" spans="2:11">
      <c r="B10" s="39"/>
      <c r="D10" s="74"/>
      <c r="F10" s="75"/>
      <c r="H10" s="75"/>
      <c r="I10" s="75"/>
      <c r="J10" s="79"/>
      <c r="K10" s="40"/>
    </row>
    <row r="11" spans="2:11">
      <c r="B11" s="39"/>
      <c r="D11" s="74"/>
      <c r="F11" s="75"/>
      <c r="H11" s="75"/>
      <c r="I11" s="75"/>
      <c r="J11" s="79"/>
      <c r="K11" s="40"/>
    </row>
    <row r="12" spans="2:11">
      <c r="B12" s="39"/>
      <c r="D12" s="74"/>
      <c r="F12" s="75"/>
      <c r="H12" s="75"/>
      <c r="I12" s="75"/>
      <c r="J12" s="79"/>
      <c r="K12" s="40"/>
    </row>
    <row r="13" spans="2:11">
      <c r="B13" s="39"/>
      <c r="D13" s="74"/>
      <c r="F13" s="75"/>
      <c r="H13" s="75"/>
      <c r="I13" s="75"/>
      <c r="J13" s="79"/>
      <c r="K13" s="40"/>
    </row>
    <row r="14" spans="2:11">
      <c r="B14" s="39"/>
      <c r="D14" s="74"/>
      <c r="F14" s="75"/>
      <c r="H14" s="75"/>
      <c r="I14" s="75"/>
      <c r="J14" s="79"/>
      <c r="K14" s="40"/>
    </row>
    <row r="15" spans="2:11">
      <c r="B15" s="39"/>
      <c r="D15" s="74"/>
      <c r="F15" s="75"/>
      <c r="H15" s="75"/>
      <c r="I15" s="75"/>
      <c r="J15" s="79"/>
      <c r="K15" s="40"/>
    </row>
    <row r="16" spans="2:11">
      <c r="B16" s="39"/>
      <c r="D16" s="74"/>
      <c r="F16" s="75"/>
      <c r="H16" s="75"/>
      <c r="I16" s="75"/>
      <c r="J16" s="79"/>
      <c r="K16" s="40"/>
    </row>
    <row r="17" spans="2:11">
      <c r="B17" s="39"/>
      <c r="K17" s="40"/>
    </row>
    <row r="18" spans="2:11">
      <c r="B18" s="39"/>
      <c r="K18" s="40"/>
    </row>
    <row r="19" spans="2:11">
      <c r="B19" s="39"/>
      <c r="K19" s="40"/>
    </row>
    <row r="20" spans="2:11">
      <c r="B20" s="39"/>
      <c r="K20" s="40"/>
    </row>
    <row r="21" spans="2:11">
      <c r="B21" s="39"/>
      <c r="C21" s="48"/>
      <c r="K21" s="40"/>
    </row>
    <row r="22" spans="2:11">
      <c r="B22" s="39"/>
      <c r="K22" s="40"/>
    </row>
    <row r="23" spans="2:11">
      <c r="B23" s="39"/>
      <c r="K23" s="40"/>
    </row>
    <row r="24" spans="2:11">
      <c r="B24" s="39"/>
      <c r="C24" s="48"/>
      <c r="K24" s="40"/>
    </row>
    <row r="25" spans="2:11">
      <c r="B25" s="39"/>
      <c r="C25" s="48" t="s">
        <v>65</v>
      </c>
      <c r="K25" s="40"/>
    </row>
    <row r="26" spans="2:11" ht="17" thickBot="1">
      <c r="B26" s="41"/>
      <c r="C26" s="31"/>
      <c r="D26" s="31"/>
      <c r="E26" s="31"/>
      <c r="F26" s="46"/>
      <c r="G26" s="46"/>
      <c r="H26" s="46"/>
      <c r="I26" s="46"/>
      <c r="J26" s="31"/>
      <c r="K26" s="42"/>
    </row>
  </sheetData>
  <hyperlinks>
    <hyperlink ref="J4" r:id="rId1" xr:uid="{ED1CDA47-A6F6-AB40-B87C-F019BE027446}"/>
    <hyperlink ref="J5" r:id="rId2" xr:uid="{4617CAC4-AA34-7940-A63E-CBFD4FE194A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5F35-E6A2-4947-B6EF-DDB70CF5DBF6}">
  <dimension ref="B1:AL47"/>
  <sheetViews>
    <sheetView zoomScaleNormal="100" workbookViewId="0">
      <selection activeCell="D11" sqref="D11"/>
    </sheetView>
  </sheetViews>
  <sheetFormatPr baseColWidth="10" defaultRowHeight="16"/>
  <cols>
    <col min="1" max="2" width="5" style="30" customWidth="1"/>
    <col min="3" max="3" width="43" style="30" bestFit="1" customWidth="1"/>
    <col min="4" max="4" width="10.6640625" style="30" bestFit="1" customWidth="1"/>
    <col min="5" max="5" width="8.5" style="30" customWidth="1"/>
    <col min="6" max="6" width="68.33203125" style="30" customWidth="1"/>
    <col min="7" max="7" width="17" style="30" customWidth="1"/>
    <col min="8" max="11" width="10.83203125" style="30"/>
    <col min="12" max="12" width="16.33203125" style="30" customWidth="1"/>
    <col min="13" max="30" width="10.83203125" style="30"/>
    <col min="31" max="31" width="3.5" style="30" customWidth="1"/>
    <col min="32" max="32" width="3.33203125" style="30" customWidth="1"/>
    <col min="33" max="37" width="10.83203125" style="30"/>
    <col min="38" max="38" width="23" style="30" bestFit="1" customWidth="1"/>
    <col min="39" max="16384" width="10.83203125" style="30"/>
  </cols>
  <sheetData>
    <row r="1" spans="2:31" ht="17" thickBot="1"/>
    <row r="2" spans="2:31">
      <c r="B2" s="34"/>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6"/>
    </row>
    <row r="3" spans="2:31">
      <c r="B3" s="39"/>
      <c r="C3" s="10" t="s">
        <v>60</v>
      </c>
      <c r="D3" s="10" t="s">
        <v>59</v>
      </c>
      <c r="E3" s="10" t="s">
        <v>61</v>
      </c>
      <c r="F3" s="10" t="s">
        <v>62</v>
      </c>
      <c r="G3" s="10" t="s">
        <v>63</v>
      </c>
      <c r="M3" s="10" t="s">
        <v>69</v>
      </c>
      <c r="AE3" s="40"/>
    </row>
    <row r="4" spans="2:31" ht="16" customHeight="1">
      <c r="B4" s="39"/>
      <c r="AE4" s="40"/>
    </row>
    <row r="5" spans="2:31">
      <c r="B5" s="39"/>
      <c r="C5" s="70" t="s">
        <v>41</v>
      </c>
      <c r="D5" s="49">
        <v>15</v>
      </c>
      <c r="E5" s="61" t="s">
        <v>39</v>
      </c>
      <c r="F5" s="66"/>
      <c r="G5" s="64" t="s">
        <v>72</v>
      </c>
      <c r="H5" s="50"/>
      <c r="I5" s="50"/>
      <c r="J5" s="50"/>
      <c r="K5" s="50"/>
      <c r="L5" s="57"/>
      <c r="M5" s="50"/>
      <c r="N5" s="50"/>
      <c r="O5" s="50"/>
      <c r="P5" s="50"/>
      <c r="Q5" s="50"/>
      <c r="R5" s="50"/>
      <c r="S5" s="50"/>
      <c r="T5" s="50"/>
      <c r="U5" s="50"/>
      <c r="V5" s="50"/>
      <c r="W5" s="50"/>
      <c r="X5" s="50"/>
      <c r="Y5" s="50"/>
      <c r="Z5" s="50"/>
      <c r="AA5" s="50"/>
      <c r="AB5" s="50"/>
      <c r="AC5" s="50"/>
      <c r="AD5" s="51"/>
      <c r="AE5" s="40"/>
    </row>
    <row r="6" spans="2:31">
      <c r="B6" s="39"/>
      <c r="C6" s="71"/>
      <c r="D6" s="92"/>
      <c r="E6" s="59"/>
      <c r="F6" s="67"/>
      <c r="G6" s="65"/>
      <c r="L6" s="56"/>
      <c r="AD6" s="52"/>
      <c r="AE6" s="40"/>
    </row>
    <row r="7" spans="2:31">
      <c r="B7" s="39"/>
      <c r="C7" s="85"/>
      <c r="E7" s="59"/>
      <c r="F7" s="67"/>
      <c r="G7" s="65"/>
      <c r="L7" s="56"/>
      <c r="AD7" s="52"/>
      <c r="AE7" s="40"/>
    </row>
    <row r="8" spans="2:31">
      <c r="B8" s="39"/>
      <c r="C8" s="69"/>
      <c r="E8" s="59"/>
      <c r="F8" s="67"/>
      <c r="G8" s="63"/>
      <c r="L8" s="56"/>
      <c r="AD8" s="52"/>
      <c r="AE8" s="40"/>
    </row>
    <row r="9" spans="2:31">
      <c r="B9" s="39"/>
      <c r="C9" s="72"/>
      <c r="D9" s="53"/>
      <c r="E9" s="60"/>
      <c r="F9" s="68"/>
      <c r="G9" s="55"/>
      <c r="H9" s="53"/>
      <c r="I9" s="53"/>
      <c r="J9" s="53"/>
      <c r="K9" s="53"/>
      <c r="L9" s="58"/>
      <c r="M9" s="55"/>
      <c r="N9" s="53"/>
      <c r="O9" s="53"/>
      <c r="P9" s="53"/>
      <c r="Q9" s="53"/>
      <c r="R9" s="53"/>
      <c r="S9" s="53"/>
      <c r="T9" s="53"/>
      <c r="U9" s="53"/>
      <c r="V9" s="53"/>
      <c r="W9" s="53"/>
      <c r="X9" s="53"/>
      <c r="Y9" s="53"/>
      <c r="Z9" s="53"/>
      <c r="AA9" s="53"/>
      <c r="AB9" s="53"/>
      <c r="AC9" s="53"/>
      <c r="AD9" s="54"/>
      <c r="AE9" s="40"/>
    </row>
    <row r="10" spans="2:31" ht="16" customHeight="1">
      <c r="B10" s="39"/>
      <c r="F10" s="93"/>
      <c r="AE10" s="40"/>
    </row>
    <row r="11" spans="2:31">
      <c r="B11" s="39"/>
      <c r="C11" s="70" t="s">
        <v>74</v>
      </c>
      <c r="D11" s="49">
        <f>1-D12</f>
        <v>0.56521739130434778</v>
      </c>
      <c r="E11" s="61"/>
      <c r="F11" s="104" t="s">
        <v>75</v>
      </c>
      <c r="G11" s="64" t="s">
        <v>77</v>
      </c>
      <c r="H11" s="50"/>
      <c r="I11" s="50"/>
      <c r="J11" s="50"/>
      <c r="K11" s="50"/>
      <c r="L11" s="50"/>
      <c r="M11" s="86"/>
      <c r="N11" s="50"/>
      <c r="O11" s="50"/>
      <c r="P11" s="50"/>
      <c r="Q11" s="50"/>
      <c r="R11" s="50"/>
      <c r="S11" s="50"/>
      <c r="T11" s="50"/>
      <c r="U11" s="50"/>
      <c r="V11" s="50"/>
      <c r="W11" s="50"/>
      <c r="X11" s="50"/>
      <c r="Y11" s="50"/>
      <c r="Z11" s="50"/>
      <c r="AA11" s="50"/>
      <c r="AB11" s="50"/>
      <c r="AC11" s="50"/>
      <c r="AD11" s="51"/>
      <c r="AE11" s="40"/>
    </row>
    <row r="12" spans="2:31" ht="29" customHeight="1">
      <c r="B12" s="39"/>
      <c r="C12" s="71" t="s">
        <v>76</v>
      </c>
      <c r="D12" s="94">
        <f>1/2.3</f>
        <v>0.43478260869565222</v>
      </c>
      <c r="E12" s="59"/>
      <c r="F12" s="105"/>
      <c r="G12" s="65"/>
      <c r="M12" s="87"/>
      <c r="AD12" s="52"/>
      <c r="AE12" s="40"/>
    </row>
    <row r="13" spans="2:31">
      <c r="B13" s="39"/>
      <c r="C13" s="88"/>
      <c r="E13" s="59"/>
      <c r="F13" s="105"/>
      <c r="G13" s="87"/>
      <c r="M13" s="87"/>
      <c r="AD13" s="52"/>
      <c r="AE13" s="40"/>
    </row>
    <row r="14" spans="2:31">
      <c r="B14" s="39"/>
      <c r="C14" s="69"/>
      <c r="E14" s="59"/>
      <c r="F14" s="105"/>
      <c r="G14" s="87"/>
      <c r="M14" s="87"/>
      <c r="AD14" s="52"/>
      <c r="AE14" s="40"/>
    </row>
    <row r="15" spans="2:31">
      <c r="B15" s="39"/>
      <c r="C15" s="69"/>
      <c r="E15" s="59"/>
      <c r="F15" s="105"/>
      <c r="G15" s="87"/>
      <c r="M15" s="87"/>
      <c r="AD15" s="52"/>
      <c r="AE15" s="40"/>
    </row>
    <row r="16" spans="2:31">
      <c r="B16" s="39"/>
      <c r="C16" s="69"/>
      <c r="E16" s="59"/>
      <c r="F16" s="105"/>
      <c r="G16" s="87"/>
      <c r="M16" s="87"/>
      <c r="AD16" s="52"/>
      <c r="AE16" s="40"/>
    </row>
    <row r="17" spans="2:38" ht="17" customHeight="1">
      <c r="B17" s="39"/>
      <c r="C17" s="69"/>
      <c r="E17" s="59"/>
      <c r="F17" s="105"/>
      <c r="G17" s="87"/>
      <c r="M17" s="87"/>
      <c r="AD17" s="52"/>
      <c r="AE17" s="40"/>
    </row>
    <row r="18" spans="2:38">
      <c r="B18" s="39"/>
      <c r="C18" s="69"/>
      <c r="E18" s="59"/>
      <c r="F18" s="105"/>
      <c r="G18" s="87"/>
      <c r="M18" s="87"/>
      <c r="AD18" s="52"/>
      <c r="AE18" s="40"/>
    </row>
    <row r="19" spans="2:38">
      <c r="B19" s="39"/>
      <c r="C19" s="69"/>
      <c r="E19" s="59"/>
      <c r="F19" s="105"/>
      <c r="G19" s="87"/>
      <c r="H19" s="73"/>
      <c r="I19" s="73"/>
      <c r="J19" s="73"/>
      <c r="K19" s="73"/>
      <c r="M19" s="87"/>
      <c r="N19" s="73"/>
      <c r="O19" s="73"/>
      <c r="P19" s="73"/>
      <c r="Q19" s="73"/>
      <c r="R19" s="73"/>
      <c r="S19" s="73"/>
      <c r="T19" s="73"/>
      <c r="U19" s="73"/>
      <c r="V19" s="73"/>
      <c r="W19" s="73"/>
      <c r="X19" s="73"/>
      <c r="Y19" s="73"/>
      <c r="Z19" s="73"/>
      <c r="AA19" s="73"/>
      <c r="AB19" s="73"/>
      <c r="AC19" s="73"/>
      <c r="AD19" s="89"/>
      <c r="AE19" s="40"/>
      <c r="AH19" s="10"/>
    </row>
    <row r="20" spans="2:38">
      <c r="B20" s="39"/>
      <c r="C20" s="69"/>
      <c r="E20" s="59"/>
      <c r="F20" s="105"/>
      <c r="G20" s="87"/>
      <c r="H20" s="73"/>
      <c r="I20" s="73"/>
      <c r="J20" s="73"/>
      <c r="K20" s="73"/>
      <c r="M20" s="87"/>
      <c r="N20" s="73"/>
      <c r="O20" s="73"/>
      <c r="P20" s="73"/>
      <c r="Q20" s="73"/>
      <c r="R20" s="73"/>
      <c r="S20" s="73"/>
      <c r="T20" s="73"/>
      <c r="U20" s="73"/>
      <c r="V20" s="73"/>
      <c r="W20" s="73"/>
      <c r="X20" s="73"/>
      <c r="Y20" s="73"/>
      <c r="Z20" s="73"/>
      <c r="AA20" s="73"/>
      <c r="AB20" s="73"/>
      <c r="AC20" s="73"/>
      <c r="AD20" s="89"/>
      <c r="AE20" s="40"/>
    </row>
    <row r="21" spans="2:38">
      <c r="B21" s="39"/>
      <c r="C21" s="72"/>
      <c r="D21" s="53"/>
      <c r="E21" s="60"/>
      <c r="F21" s="106"/>
      <c r="G21" s="55"/>
      <c r="H21" s="90"/>
      <c r="I21" s="90"/>
      <c r="J21" s="90"/>
      <c r="K21" s="90"/>
      <c r="L21" s="53"/>
      <c r="M21" s="55"/>
      <c r="N21" s="90"/>
      <c r="O21" s="90"/>
      <c r="P21" s="90"/>
      <c r="Q21" s="90"/>
      <c r="R21" s="90"/>
      <c r="S21" s="90"/>
      <c r="T21" s="90"/>
      <c r="U21" s="90"/>
      <c r="V21" s="90"/>
      <c r="W21" s="90"/>
      <c r="X21" s="90"/>
      <c r="Y21" s="90"/>
      <c r="Z21" s="90"/>
      <c r="AA21" s="90"/>
      <c r="AB21" s="90"/>
      <c r="AC21" s="90"/>
      <c r="AD21" s="91"/>
      <c r="AE21" s="40"/>
      <c r="AK21" s="82"/>
      <c r="AL21" s="82"/>
    </row>
    <row r="22" spans="2:38">
      <c r="B22" s="39"/>
      <c r="F22" s="95"/>
      <c r="AE22" s="40"/>
      <c r="AK22" s="82"/>
      <c r="AL22" s="82"/>
    </row>
    <row r="23" spans="2:38">
      <c r="B23" s="39"/>
      <c r="F23" s="95"/>
      <c r="AE23" s="40"/>
      <c r="AK23" s="82"/>
      <c r="AL23" s="82"/>
    </row>
    <row r="24" spans="2:38">
      <c r="B24" s="39"/>
      <c r="F24" s="95"/>
      <c r="AE24" s="40"/>
      <c r="AK24" s="82"/>
      <c r="AL24" s="82"/>
    </row>
    <row r="25" spans="2:38">
      <c r="B25" s="39"/>
      <c r="F25" s="95"/>
      <c r="AE25" s="40"/>
      <c r="AK25" s="82"/>
      <c r="AL25" s="82"/>
    </row>
    <row r="26" spans="2:38">
      <c r="B26" s="39"/>
      <c r="F26" s="95"/>
      <c r="AE26" s="40"/>
      <c r="AK26" s="82"/>
      <c r="AL26" s="82"/>
    </row>
    <row r="27" spans="2:38">
      <c r="B27" s="39"/>
      <c r="AE27" s="40"/>
      <c r="AK27" s="82"/>
      <c r="AL27" s="82"/>
    </row>
    <row r="28" spans="2:38">
      <c r="B28" s="39"/>
      <c r="C28" s="73"/>
      <c r="D28" s="96"/>
      <c r="F28" s="95"/>
      <c r="G28" s="97"/>
      <c r="AE28" s="40"/>
      <c r="AK28" s="82"/>
      <c r="AL28" s="82"/>
    </row>
    <row r="29" spans="2:38">
      <c r="B29" s="39"/>
      <c r="C29" s="73"/>
      <c r="D29" s="96"/>
      <c r="F29" s="95"/>
      <c r="G29" s="48"/>
      <c r="AE29" s="40"/>
      <c r="AK29" s="82"/>
      <c r="AL29" s="82"/>
    </row>
    <row r="30" spans="2:38">
      <c r="B30" s="39"/>
      <c r="F30" s="95"/>
      <c r="G30" s="48"/>
      <c r="AE30" s="40"/>
      <c r="AK30" s="82"/>
      <c r="AL30" s="82"/>
    </row>
    <row r="31" spans="2:38">
      <c r="B31" s="39"/>
      <c r="F31" s="95"/>
      <c r="G31" s="84"/>
      <c r="AE31" s="40"/>
      <c r="AG31" s="62"/>
      <c r="AH31" s="62"/>
      <c r="AI31" s="62"/>
      <c r="AJ31" s="62"/>
      <c r="AK31" s="83"/>
      <c r="AL31" s="83"/>
    </row>
    <row r="32" spans="2:38">
      <c r="B32" s="39"/>
      <c r="F32" s="95"/>
      <c r="AE32" s="40"/>
      <c r="AK32" s="82"/>
      <c r="AL32" s="82"/>
    </row>
    <row r="33" spans="2:38">
      <c r="B33" s="39"/>
      <c r="F33" s="95"/>
      <c r="AE33" s="40"/>
      <c r="AK33" s="82"/>
      <c r="AL33" s="82"/>
    </row>
    <row r="34" spans="2:38">
      <c r="B34" s="39"/>
      <c r="F34" s="95"/>
      <c r="AE34" s="40"/>
      <c r="AK34" s="82"/>
      <c r="AL34" s="82"/>
    </row>
    <row r="35" spans="2:38">
      <c r="B35" s="39"/>
      <c r="F35" s="95"/>
      <c r="AE35" s="40"/>
      <c r="AK35" s="82"/>
      <c r="AL35" s="82"/>
    </row>
    <row r="36" spans="2:38">
      <c r="B36" s="39"/>
      <c r="F36" s="95"/>
      <c r="AE36" s="40"/>
      <c r="AK36" s="82"/>
      <c r="AL36" s="82"/>
    </row>
    <row r="37" spans="2:38">
      <c r="B37" s="39"/>
      <c r="F37" s="95"/>
      <c r="AE37" s="40"/>
      <c r="AK37" s="82"/>
      <c r="AL37" s="82"/>
    </row>
    <row r="38" spans="2:38">
      <c r="B38" s="39"/>
      <c r="F38" s="95"/>
      <c r="AE38" s="40"/>
      <c r="AK38" s="82"/>
      <c r="AL38" s="82"/>
    </row>
    <row r="39" spans="2:38">
      <c r="B39" s="39"/>
      <c r="F39" s="95"/>
      <c r="AE39" s="40"/>
      <c r="AK39" s="82"/>
      <c r="AL39" s="82"/>
    </row>
    <row r="40" spans="2:38" ht="16" customHeight="1">
      <c r="B40" s="39"/>
      <c r="F40" s="95"/>
      <c r="AE40" s="40"/>
      <c r="AK40" s="82"/>
      <c r="AL40" s="82"/>
    </row>
    <row r="41" spans="2:38">
      <c r="B41" s="39"/>
      <c r="F41" s="95"/>
      <c r="AE41" s="40"/>
      <c r="AK41" s="82"/>
      <c r="AL41" s="82"/>
    </row>
    <row r="42" spans="2:38">
      <c r="B42" s="39"/>
      <c r="AE42" s="40"/>
      <c r="AK42" s="82"/>
      <c r="AL42" s="82"/>
    </row>
    <row r="43" spans="2:38">
      <c r="B43" s="39"/>
      <c r="AE43" s="40"/>
      <c r="AK43" s="82"/>
      <c r="AL43" s="82"/>
    </row>
    <row r="44" spans="2:38">
      <c r="B44" s="39"/>
      <c r="AE44" s="40"/>
      <c r="AK44" s="82"/>
      <c r="AL44" s="82"/>
    </row>
    <row r="45" spans="2:38">
      <c r="B45" s="39"/>
      <c r="AE45" s="40"/>
      <c r="AK45" s="82"/>
      <c r="AL45" s="82"/>
    </row>
    <row r="46" spans="2:38" ht="17" customHeight="1">
      <c r="B46" s="39"/>
      <c r="AE46" s="40"/>
      <c r="AK46" s="82"/>
      <c r="AL46" s="82"/>
    </row>
    <row r="47" spans="2:38" ht="17" thickBot="1">
      <c r="B47" s="4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42"/>
    </row>
  </sheetData>
  <mergeCells count="1">
    <mergeCell ref="F11:F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B76FF306601E54A9190474F965DF301" ma:contentTypeVersion="16" ma:contentTypeDescription="Een nieuw document maken." ma:contentTypeScope="" ma:versionID="2d5b1a079c3a4d9b8052884479b86ae9">
  <xsd:schema xmlns:xsd="http://www.w3.org/2001/XMLSchema" xmlns:xs="http://www.w3.org/2001/XMLSchema" xmlns:p="http://schemas.microsoft.com/office/2006/metadata/properties" xmlns:ns2="26ea20d7-b07c-4b8c-910d-061b36a62ee7" xmlns:ns3="8ea8976e-b461-4dc7-a1f6-93425136281f" targetNamespace="http://schemas.microsoft.com/office/2006/metadata/properties" ma:root="true" ma:fieldsID="6ec65de6216680c9b2572ace3498044f" ns2:_="" ns3:_="">
    <xsd:import namespace="26ea20d7-b07c-4b8c-910d-061b36a62ee7"/>
    <xsd:import namespace="8ea8976e-b461-4dc7-a1f6-9342513628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a20d7-b07c-4b8c-910d-061b36a62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11aa8d75-97ee-4a6e-a682-6298985b5c9e"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a8976e-b461-4dc7-a1f6-93425136281f"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63fa1f66-9166-4d51-a9dc-77dbf5e90cce}" ma:internalName="TaxCatchAll" ma:showField="CatchAllData" ma:web="8ea8976e-b461-4dc7-a1f6-93425136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6ea20d7-b07c-4b8c-910d-061b36a62ee7">
      <Terms xmlns="http://schemas.microsoft.com/office/infopath/2007/PartnerControls"/>
    </lcf76f155ced4ddcb4097134ff3c332f>
    <TaxCatchAll xmlns="8ea8976e-b461-4dc7-a1f6-93425136281f" xsi:nil="true"/>
  </documentManagement>
</p:properties>
</file>

<file path=customXml/itemProps1.xml><?xml version="1.0" encoding="utf-8"?>
<ds:datastoreItem xmlns:ds="http://schemas.openxmlformats.org/officeDocument/2006/customXml" ds:itemID="{D3242B6A-2C4B-4142-B2E7-3634092A4249}">
  <ds:schemaRefs>
    <ds:schemaRef ds:uri="http://schemas.microsoft.com/sharepoint/v3/contenttype/forms"/>
  </ds:schemaRefs>
</ds:datastoreItem>
</file>

<file path=customXml/itemProps2.xml><?xml version="1.0" encoding="utf-8"?>
<ds:datastoreItem xmlns:ds="http://schemas.openxmlformats.org/officeDocument/2006/customXml" ds:itemID="{62EBE50C-5ACF-4A12-A0A1-294B9C2DDB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a20d7-b07c-4b8c-910d-061b36a62ee7"/>
    <ds:schemaRef ds:uri="8ea8976e-b461-4dc7-a1f6-93425136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31F30F-4767-42F3-B6CA-CBBB67480D65}">
  <ds:schemaRefs>
    <ds:schemaRef ds:uri="http://schemas.microsoft.com/office/2006/documentManagement/types"/>
    <ds:schemaRef ds:uri="http://purl.org/dc/terms/"/>
    <ds:schemaRef ds:uri="http://purl.org/dc/elements/1.1/"/>
    <ds:schemaRef ds:uri="26ea20d7-b07c-4b8c-910d-061b36a62ee7"/>
    <ds:schemaRef ds:uri="http://schemas.openxmlformats.org/package/2006/metadata/core-properties"/>
    <ds:schemaRef ds:uri="http://purl.org/dc/dcmitype/"/>
    <ds:schemaRef ds:uri="http://schemas.microsoft.com/office/infopath/2007/PartnerControls"/>
    <ds:schemaRef ds:uri="http://www.w3.org/XML/1998/namespace"/>
    <ds:schemaRef ds:uri="8ea8976e-b461-4dc7-a1f6-93425136281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Sources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Mathijs Bijkerk</dc:creator>
  <cp:lastModifiedBy>Mathijs Bijkerk</cp:lastModifiedBy>
  <dcterms:created xsi:type="dcterms:W3CDTF">2026-08-13T16:00:32Z</dcterms:created>
  <dcterms:modified xsi:type="dcterms:W3CDTF">2026-08-24T13:57:34Z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0x010100FB76FF306601E54A9190474F965DF301</vt:lpwstr>
  </property>
  <property fmtid="{D5CDD505-2E9C-101B-9397-08002B2CF9AE}" pid="3" name="MediaServiceImageTags">
    <vt:lpwstr/>
  </property>
</Properties>
</file>