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414"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Users/marliekeverweij/Projects/etdataset/source_analyses/be/2013/3_primary_production/"/>
    </mc:Choice>
  </mc:AlternateContent>
  <xr:revisionPtr revIDLastSave="0" documentId="13_ncr:1_{42BAE144-3EB2-2946-ADF2-06D8A329D197}" xr6:coauthVersionLast="43" xr6:coauthVersionMax="43" xr10:uidLastSave="{00000000-0000-0000-0000-000000000000}"/>
  <bookViews>
    <workbookView xWindow="25600" yWindow="460" windowWidth="25600" windowHeight="26960" tabRatio="500" firstSheet="3" activeTab="7" xr2:uid="{00000000-000D-0000-FFFF-FFFF00000000}"/>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functionGroups builtInGroupCount="19"/>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9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20" i="5" l="1"/>
  <c r="B21" i="5"/>
  <c r="B22" i="5"/>
  <c r="B23" i="5"/>
  <c r="C20" i="5"/>
  <c r="C21" i="5"/>
  <c r="C22" i="5"/>
  <c r="C23" i="5"/>
  <c r="D20" i="5"/>
  <c r="D21" i="5"/>
  <c r="D22" i="5"/>
  <c r="D23" i="5"/>
  <c r="D19" i="5"/>
  <c r="C19" i="5"/>
  <c r="B14" i="5"/>
  <c r="B19" i="5"/>
  <c r="F20" i="5"/>
  <c r="F21" i="5"/>
  <c r="F22" i="5"/>
  <c r="F23" i="5"/>
  <c r="F19" i="5"/>
  <c r="F24" i="5"/>
  <c r="D24" i="5"/>
  <c r="C24" i="5"/>
  <c r="B24" i="5"/>
  <c r="D14" i="2" l="1"/>
  <c r="B29" i="5"/>
  <c r="E10" i="6" l="1"/>
  <c r="F10" i="6"/>
  <c r="B3" i="3"/>
  <c r="C3" i="3"/>
  <c r="E12" i="6"/>
  <c r="F12" i="6"/>
  <c r="D3" i="3"/>
  <c r="E11" i="6"/>
  <c r="F11" i="6"/>
  <c r="E3" i="3"/>
  <c r="E13" i="6"/>
  <c r="F13" i="6"/>
  <c r="E16" i="6"/>
  <c r="G19" i="5" s="1"/>
  <c r="F16" i="6"/>
  <c r="B4" i="3"/>
  <c r="C4" i="3"/>
  <c r="D4" i="3"/>
  <c r="E4" i="3"/>
  <c r="G10" i="6"/>
  <c r="C29" i="5" s="1"/>
  <c r="G12" i="6"/>
  <c r="D29" i="5" s="1"/>
  <c r="D12" i="3" s="1"/>
  <c r="G11" i="6"/>
  <c r="G13" i="6"/>
  <c r="F29" i="5" s="1"/>
  <c r="G16" i="6"/>
  <c r="G29" i="5" s="1"/>
  <c r="H10" i="6"/>
  <c r="B34" i="5" s="1"/>
  <c r="B17" i="3" s="1"/>
  <c r="H12" i="6"/>
  <c r="D34" i="5" s="1"/>
  <c r="H11" i="6"/>
  <c r="H13" i="6"/>
  <c r="F34" i="5" s="1"/>
  <c r="H16" i="6"/>
  <c r="G34" i="5" s="1"/>
  <c r="G17" i="3" s="1"/>
  <c r="I10" i="6"/>
  <c r="B39" i="5" s="1"/>
  <c r="B22" i="3" s="1"/>
  <c r="C39" i="5"/>
  <c r="I12" i="6"/>
  <c r="D39" i="5" s="1"/>
  <c r="I11" i="6"/>
  <c r="E22" i="3" s="1"/>
  <c r="I13" i="6"/>
  <c r="F39" i="5" s="1"/>
  <c r="F22" i="3" s="1"/>
  <c r="I16" i="6"/>
  <c r="G39" i="5" s="1"/>
  <c r="G22" i="3" s="1"/>
  <c r="J10" i="6"/>
  <c r="B44" i="5" s="1"/>
  <c r="J12" i="6"/>
  <c r="D44" i="5" s="1"/>
  <c r="J11" i="6"/>
  <c r="E27" i="3" s="1"/>
  <c r="J13" i="6"/>
  <c r="F44" i="5" s="1"/>
  <c r="J16" i="6"/>
  <c r="G44" i="5" s="1"/>
  <c r="G27" i="3" s="1"/>
  <c r="K10" i="6"/>
  <c r="C49" i="5" s="1"/>
  <c r="K12" i="6"/>
  <c r="D49" i="5" s="1"/>
  <c r="K11" i="6"/>
  <c r="K13" i="6"/>
  <c r="F49" i="5" s="1"/>
  <c r="F32" i="3" s="1"/>
  <c r="K16" i="6"/>
  <c r="G49" i="5" s="1"/>
  <c r="L10" i="6"/>
  <c r="B54" i="5" s="1"/>
  <c r="L12" i="6"/>
  <c r="D54" i="5" s="1"/>
  <c r="D37" i="3" s="1"/>
  <c r="L11" i="6"/>
  <c r="L13" i="6"/>
  <c r="F54" i="5" s="1"/>
  <c r="F37" i="3" s="1"/>
  <c r="L16" i="6"/>
  <c r="G54" i="5" s="1"/>
  <c r="M10" i="6"/>
  <c r="B59" i="5" s="1"/>
  <c r="B42" i="3" s="1"/>
  <c r="M12" i="6"/>
  <c r="D59" i="5" s="1"/>
  <c r="D42" i="3" s="1"/>
  <c r="M11" i="6"/>
  <c r="E42" i="3" s="1"/>
  <c r="M13" i="6"/>
  <c r="F59" i="5" s="1"/>
  <c r="M16" i="6"/>
  <c r="G59" i="5" s="1"/>
  <c r="G42" i="3" s="1"/>
  <c r="C2" i="3"/>
  <c r="D2" i="3"/>
  <c r="E2" i="3"/>
  <c r="F2" i="3"/>
  <c r="B2" i="3"/>
  <c r="C10" i="6"/>
  <c r="B9" i="5" s="1"/>
  <c r="C12" i="6"/>
  <c r="D9" i="5" s="1"/>
  <c r="C11" i="6"/>
  <c r="E9" i="5" s="1"/>
  <c r="C13" i="6"/>
  <c r="F9" i="5" s="1"/>
  <c r="C16" i="6"/>
  <c r="G9" i="5" s="1"/>
  <c r="C8" i="7"/>
  <c r="C5" i="7"/>
  <c r="D10" i="6"/>
  <c r="B16" i="5" s="1"/>
  <c r="D12" i="6"/>
  <c r="D14" i="5" s="1"/>
  <c r="D17" i="5" s="1"/>
  <c r="D11" i="6"/>
  <c r="E14" i="5" s="1"/>
  <c r="D13" i="6"/>
  <c r="F14" i="5" s="1"/>
  <c r="F18" i="5" s="1"/>
  <c r="D16" i="6"/>
  <c r="G14" i="5" s="1"/>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 r="D15" i="5" l="1"/>
  <c r="G24" i="5"/>
  <c r="G7" i="3" s="1"/>
  <c r="B40" i="5"/>
  <c r="B23" i="3" s="1"/>
  <c r="D12" i="5"/>
  <c r="D40" i="5"/>
  <c r="D23" i="3" s="1"/>
  <c r="G42" i="5"/>
  <c r="G25" i="3" s="1"/>
  <c r="G45" i="5"/>
  <c r="G28" i="3" s="1"/>
  <c r="G47" i="5"/>
  <c r="G30" i="3" s="1"/>
  <c r="E32" i="3"/>
  <c r="E45" i="5"/>
  <c r="E28" i="3" s="1"/>
  <c r="F35" i="5"/>
  <c r="F18" i="3" s="1"/>
  <c r="F37" i="5"/>
  <c r="F20" i="3" s="1"/>
  <c r="G28" i="5"/>
  <c r="G11" i="3" s="1"/>
  <c r="G12" i="3"/>
  <c r="G2" i="3"/>
  <c r="D5" i="3"/>
  <c r="D7" i="3"/>
  <c r="E25" i="5"/>
  <c r="E27" i="5"/>
  <c r="E7" i="3"/>
  <c r="D36" i="5"/>
  <c r="D19" i="3" s="1"/>
  <c r="D38" i="5"/>
  <c r="D21" i="3" s="1"/>
  <c r="D51" i="5"/>
  <c r="D34" i="3" s="1"/>
  <c r="F25" i="5"/>
  <c r="F8" i="3" s="1"/>
  <c r="B13" i="5"/>
  <c r="G16" i="5"/>
  <c r="E58" i="5"/>
  <c r="E41" i="3" s="1"/>
  <c r="G32" i="3"/>
  <c r="E47" i="5"/>
  <c r="E30" i="3" s="1"/>
  <c r="B49" i="5"/>
  <c r="B32" i="3" s="1"/>
  <c r="E43" i="5"/>
  <c r="E26" i="3" s="1"/>
  <c r="G40" i="5"/>
  <c r="G23" i="3" s="1"/>
  <c r="C44" i="5"/>
  <c r="C42" i="5" s="1"/>
  <c r="C25" i="3" s="1"/>
  <c r="B6" i="3"/>
  <c r="C14" i="5"/>
  <c r="C16" i="5" s="1"/>
  <c r="C59" i="5"/>
  <c r="C42" i="3" s="1"/>
  <c r="G48" i="5"/>
  <c r="G31" i="3" s="1"/>
  <c r="G46" i="5"/>
  <c r="G29" i="3" s="1"/>
  <c r="E41" i="5"/>
  <c r="E24" i="3" s="1"/>
  <c r="C22" i="3"/>
  <c r="B37" i="5"/>
  <c r="B20" i="3" s="1"/>
  <c r="C9" i="5"/>
  <c r="E48" i="5"/>
  <c r="E31" i="3" s="1"/>
  <c r="F45" i="5"/>
  <c r="F28" i="3" s="1"/>
  <c r="F12" i="5"/>
  <c r="F15" i="5"/>
  <c r="F17" i="5"/>
  <c r="C32" i="3"/>
  <c r="F13" i="5"/>
  <c r="B11" i="5"/>
  <c r="B37" i="3"/>
  <c r="B55" i="5"/>
  <c r="B38" i="3" s="1"/>
  <c r="B56" i="5"/>
  <c r="B39" i="3" s="1"/>
  <c r="B57" i="5"/>
  <c r="B40" i="3" s="1"/>
  <c r="B58" i="5"/>
  <c r="B41" i="3" s="1"/>
  <c r="F16" i="5"/>
  <c r="E15" i="5"/>
  <c r="E17" i="5"/>
  <c r="E16" i="5"/>
  <c r="E18" i="5"/>
  <c r="B15" i="5"/>
  <c r="B17" i="5"/>
  <c r="G11" i="5"/>
  <c r="G13" i="5"/>
  <c r="G10" i="5"/>
  <c r="G12" i="5"/>
  <c r="E10" i="5"/>
  <c r="E12" i="5"/>
  <c r="E11" i="5"/>
  <c r="E13" i="5"/>
  <c r="D56" i="5"/>
  <c r="D39" i="3" s="1"/>
  <c r="D57" i="5"/>
  <c r="D40" i="3" s="1"/>
  <c r="D58" i="5"/>
  <c r="D41" i="3" s="1"/>
  <c r="D55" i="5"/>
  <c r="D38" i="3" s="1"/>
  <c r="E55" i="5"/>
  <c r="E38" i="3" s="1"/>
  <c r="E50" i="5"/>
  <c r="E33" i="3" s="1"/>
  <c r="E57" i="5"/>
  <c r="E40" i="3" s="1"/>
  <c r="E51" i="5"/>
  <c r="E34" i="3" s="1"/>
  <c r="E52" i="5"/>
  <c r="E35" i="3" s="1"/>
  <c r="E53" i="5"/>
  <c r="E36" i="3" s="1"/>
  <c r="E37" i="3"/>
  <c r="E56" i="5"/>
  <c r="E39" i="3" s="1"/>
  <c r="C12" i="3"/>
  <c r="C26" i="5"/>
  <c r="C9" i="3" s="1"/>
  <c r="C28" i="5"/>
  <c r="C11" i="3" s="1"/>
  <c r="C25" i="5"/>
  <c r="C8" i="3" s="1"/>
  <c r="C27" i="5"/>
  <c r="C10" i="3" s="1"/>
  <c r="B10" i="5"/>
  <c r="B12" i="5"/>
  <c r="G56" i="5"/>
  <c r="G39" i="3" s="1"/>
  <c r="G57" i="5"/>
  <c r="G40" i="3" s="1"/>
  <c r="G37" i="3"/>
  <c r="G55" i="5"/>
  <c r="G38" i="3" s="1"/>
  <c r="G51" i="5"/>
  <c r="G34" i="3" s="1"/>
  <c r="G52" i="5"/>
  <c r="G35" i="3" s="1"/>
  <c r="G53" i="5"/>
  <c r="G36" i="3" s="1"/>
  <c r="G50" i="5"/>
  <c r="G33" i="3" s="1"/>
  <c r="B18" i="5"/>
  <c r="F11" i="5"/>
  <c r="F10" i="5"/>
  <c r="D10" i="5"/>
  <c r="D11" i="5"/>
  <c r="D13" i="5"/>
  <c r="D16" i="5"/>
  <c r="D18" i="5"/>
  <c r="G58" i="5"/>
  <c r="G41" i="3" s="1"/>
  <c r="F42" i="3"/>
  <c r="F55" i="5"/>
  <c r="F38" i="3" s="1"/>
  <c r="B12" i="3"/>
  <c r="B30" i="5"/>
  <c r="B13" i="3" s="1"/>
  <c r="G17" i="5"/>
  <c r="G15" i="5"/>
  <c r="C15" i="5"/>
  <c r="D50" i="5"/>
  <c r="D33" i="3" s="1"/>
  <c r="C54" i="5"/>
  <c r="C51" i="5" s="1"/>
  <c r="C34" i="3" s="1"/>
  <c r="F17" i="3"/>
  <c r="F33" i="5"/>
  <c r="F16" i="3" s="1"/>
  <c r="B33" i="5"/>
  <c r="B16" i="3" s="1"/>
  <c r="D32" i="5"/>
  <c r="D15" i="3" s="1"/>
  <c r="F31" i="5"/>
  <c r="F14" i="3" s="1"/>
  <c r="B31" i="5"/>
  <c r="B14" i="3" s="1"/>
  <c r="E12" i="3"/>
  <c r="E30" i="5"/>
  <c r="E13" i="3" s="1"/>
  <c r="E31" i="5"/>
  <c r="E14" i="3" s="1"/>
  <c r="E32" i="5"/>
  <c r="E15" i="3" s="1"/>
  <c r="E33" i="5"/>
  <c r="E16" i="3" s="1"/>
  <c r="F27" i="3"/>
  <c r="F46" i="5"/>
  <c r="F29" i="3" s="1"/>
  <c r="F47" i="5"/>
  <c r="F30" i="3" s="1"/>
  <c r="F48" i="5"/>
  <c r="F31" i="3" s="1"/>
  <c r="D17" i="3"/>
  <c r="D35" i="5"/>
  <c r="D18" i="3" s="1"/>
  <c r="F58" i="5"/>
  <c r="F41" i="3" s="1"/>
  <c r="F57" i="5"/>
  <c r="F40" i="3" s="1"/>
  <c r="F56" i="5"/>
  <c r="F39" i="3" s="1"/>
  <c r="D32" i="3"/>
  <c r="E46" i="5"/>
  <c r="E29" i="3" s="1"/>
  <c r="G43" i="5"/>
  <c r="G26" i="3" s="1"/>
  <c r="E42" i="5"/>
  <c r="E25" i="3" s="1"/>
  <c r="G41" i="5"/>
  <c r="G24" i="3" s="1"/>
  <c r="E40" i="5"/>
  <c r="E23" i="3" s="1"/>
  <c r="D46" i="5"/>
  <c r="D29" i="3" s="1"/>
  <c r="D47" i="5"/>
  <c r="D30" i="3" s="1"/>
  <c r="D48" i="5"/>
  <c r="D31" i="3" s="1"/>
  <c r="F38" i="5"/>
  <c r="F21" i="3" s="1"/>
  <c r="B38" i="5"/>
  <c r="B21" i="3" s="1"/>
  <c r="D37" i="5"/>
  <c r="D20" i="3" s="1"/>
  <c r="F36" i="5"/>
  <c r="F19" i="3" s="1"/>
  <c r="B36" i="5"/>
  <c r="B19" i="3" s="1"/>
  <c r="F41" i="5"/>
  <c r="F24" i="3" s="1"/>
  <c r="F42" i="5"/>
  <c r="F25" i="3" s="1"/>
  <c r="F43" i="5"/>
  <c r="F26" i="3" s="1"/>
  <c r="D41" i="5"/>
  <c r="D24" i="3" s="1"/>
  <c r="D42" i="5"/>
  <c r="D25" i="3" s="1"/>
  <c r="D43" i="5"/>
  <c r="D26" i="3" s="1"/>
  <c r="D22" i="3"/>
  <c r="B35" i="5"/>
  <c r="B18" i="3" s="1"/>
  <c r="G35" i="5"/>
  <c r="G18" i="3" s="1"/>
  <c r="G36" i="5"/>
  <c r="G19" i="3" s="1"/>
  <c r="G37" i="5"/>
  <c r="G20" i="3" s="1"/>
  <c r="G38" i="5"/>
  <c r="G21" i="3" s="1"/>
  <c r="E17" i="3"/>
  <c r="E35" i="5"/>
  <c r="E18" i="3" s="1"/>
  <c r="E36" i="5"/>
  <c r="E19" i="3" s="1"/>
  <c r="E37" i="5"/>
  <c r="E20" i="3" s="1"/>
  <c r="E38" i="5"/>
  <c r="E21" i="3" s="1"/>
  <c r="C34" i="5"/>
  <c r="C31" i="5" s="1"/>
  <c r="C14" i="3" s="1"/>
  <c r="E28" i="5"/>
  <c r="E26" i="5"/>
  <c r="F30" i="5"/>
  <c r="F13" i="3" s="1"/>
  <c r="F12" i="3"/>
  <c r="F7" i="3"/>
  <c r="F26" i="5"/>
  <c r="F9" i="3" s="1"/>
  <c r="F27" i="5"/>
  <c r="F10" i="3" s="1"/>
  <c r="F28" i="5"/>
  <c r="F11" i="3" s="1"/>
  <c r="D26" i="5"/>
  <c r="D9" i="3" s="1"/>
  <c r="D27" i="5"/>
  <c r="D10" i="3" s="1"/>
  <c r="D28" i="5"/>
  <c r="D11" i="3" s="1"/>
  <c r="B25" i="5"/>
  <c r="B8" i="3" s="1"/>
  <c r="D30" i="5"/>
  <c r="D13" i="3" s="1"/>
  <c r="G18" i="5"/>
  <c r="F53" i="5"/>
  <c r="F36" i="3" s="1"/>
  <c r="D53" i="5"/>
  <c r="D36" i="3" s="1"/>
  <c r="B53" i="5"/>
  <c r="B36" i="3" s="1"/>
  <c r="F52" i="5"/>
  <c r="F35" i="3" s="1"/>
  <c r="D52" i="5"/>
  <c r="D35" i="3" s="1"/>
  <c r="B52" i="5"/>
  <c r="B35" i="3" s="1"/>
  <c r="F51" i="5"/>
  <c r="F34" i="3" s="1"/>
  <c r="B51" i="5"/>
  <c r="B34" i="3" s="1"/>
  <c r="F50" i="5"/>
  <c r="F33" i="3" s="1"/>
  <c r="D45" i="5"/>
  <c r="D28" i="3" s="1"/>
  <c r="D27" i="3"/>
  <c r="F40" i="5"/>
  <c r="F23" i="3" s="1"/>
  <c r="B27" i="3"/>
  <c r="B45" i="5"/>
  <c r="B28" i="3" s="1"/>
  <c r="B46" i="5"/>
  <c r="B29" i="3" s="1"/>
  <c r="B47" i="5"/>
  <c r="B30" i="3" s="1"/>
  <c r="B48" i="5"/>
  <c r="B31" i="3" s="1"/>
  <c r="B41" i="5"/>
  <c r="B24" i="3" s="1"/>
  <c r="B42" i="5"/>
  <c r="B25" i="3" s="1"/>
  <c r="B43" i="5"/>
  <c r="B26" i="3" s="1"/>
  <c r="D33" i="5"/>
  <c r="D16" i="3" s="1"/>
  <c r="F32" i="5"/>
  <c r="F15" i="3" s="1"/>
  <c r="B32" i="5"/>
  <c r="B15" i="3" s="1"/>
  <c r="D31" i="5"/>
  <c r="D14" i="3" s="1"/>
  <c r="G30" i="5"/>
  <c r="G13" i="3" s="1"/>
  <c r="G31" i="5"/>
  <c r="G14" i="3" s="1"/>
  <c r="G32" i="5"/>
  <c r="G15" i="3" s="1"/>
  <c r="G33" i="5"/>
  <c r="G16" i="3" s="1"/>
  <c r="D25" i="5"/>
  <c r="D8" i="3" s="1"/>
  <c r="G21" i="5"/>
  <c r="G4" i="3" s="1"/>
  <c r="G20" i="5"/>
  <c r="G3" i="3" s="1"/>
  <c r="C6" i="3"/>
  <c r="C5" i="3"/>
  <c r="C7" i="3"/>
  <c r="D6" i="3"/>
  <c r="G22" i="5" l="1"/>
  <c r="G5" i="3" s="1"/>
  <c r="G26" i="5"/>
  <c r="G9" i="3" s="1"/>
  <c r="B50" i="5"/>
  <c r="B33" i="3" s="1"/>
  <c r="G23" i="5"/>
  <c r="G6" i="3" s="1"/>
  <c r="G25" i="5"/>
  <c r="G8" i="3" s="1"/>
  <c r="G27" i="5"/>
  <c r="G10" i="3" s="1"/>
  <c r="C48" i="5"/>
  <c r="C31" i="3" s="1"/>
  <c r="E10" i="3"/>
  <c r="E11" i="3"/>
  <c r="E8" i="3"/>
  <c r="E5" i="3"/>
  <c r="E9" i="3"/>
  <c r="E6" i="3"/>
  <c r="C12" i="5"/>
  <c r="C46" i="5"/>
  <c r="C29" i="3" s="1"/>
  <c r="C47" i="5"/>
  <c r="C30" i="3" s="1"/>
  <c r="C45" i="5"/>
  <c r="C28" i="3" s="1"/>
  <c r="B28" i="5"/>
  <c r="B11" i="3" s="1"/>
  <c r="B7" i="3"/>
  <c r="B27" i="5"/>
  <c r="B10" i="3" s="1"/>
  <c r="B5" i="3"/>
  <c r="B26" i="5"/>
  <c r="B9" i="3" s="1"/>
  <c r="C10" i="5"/>
  <c r="C18" i="5"/>
  <c r="C17" i="5"/>
  <c r="C13" i="5"/>
  <c r="C41" i="5"/>
  <c r="C24" i="3" s="1"/>
  <c r="C40" i="5"/>
  <c r="C23" i="3" s="1"/>
  <c r="C27" i="3"/>
  <c r="C43" i="5"/>
  <c r="C26" i="3" s="1"/>
  <c r="C11" i="5"/>
  <c r="C33" i="5"/>
  <c r="C16" i="3" s="1"/>
  <c r="C56" i="5"/>
  <c r="C39" i="3" s="1"/>
  <c r="C37" i="3"/>
  <c r="C55" i="5"/>
  <c r="C38" i="3" s="1"/>
  <c r="C57" i="5"/>
  <c r="C40" i="3" s="1"/>
  <c r="C58" i="5"/>
  <c r="C41" i="3" s="1"/>
  <c r="C53" i="5"/>
  <c r="C36" i="3" s="1"/>
  <c r="C35" i="5"/>
  <c r="C18" i="3" s="1"/>
  <c r="C36" i="5"/>
  <c r="C19" i="3" s="1"/>
  <c r="C37" i="5"/>
  <c r="C20" i="3" s="1"/>
  <c r="C38" i="5"/>
  <c r="C21" i="3" s="1"/>
  <c r="C17" i="3"/>
  <c r="C30" i="5"/>
  <c r="C13" i="3" s="1"/>
  <c r="C52" i="5"/>
  <c r="C35" i="3" s="1"/>
  <c r="C32" i="5"/>
  <c r="C15" i="3" s="1"/>
  <c r="C50" i="5"/>
  <c r="C33" i="3" s="1"/>
  <c r="F6" i="3"/>
  <c r="F3" i="3"/>
  <c r="F5" i="3"/>
  <c r="F4" i="3"/>
</calcChain>
</file>

<file path=xl/sharedStrings.xml><?xml version="1.0" encoding="utf-8"?>
<sst xmlns="http://schemas.openxmlformats.org/spreadsheetml/2006/main" count="136" uniqueCount="103">
  <si>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</si>
  <si>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</si>
  <si>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</si>
  <si>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</si>
  <si>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</si>
  <si>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</si>
  <si>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</si>
  <si>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</si>
  <si>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</si>
  <si>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</si>
  <si>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</si>
  <si>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</si>
  <si>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</si>
  <si>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</si>
  <si>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</si>
  <si>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</si>
  <si>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</si>
  <si>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</si>
  <si>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</si>
  <si>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</si>
  <si>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</si>
  <si>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</si>
  <si>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</si>
  <si>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</si>
  <si>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</si>
  <si>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</si>
  <si>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</si>
  <si>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</si>
  <si>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</si>
  <si>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</si>
  <si>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</si>
  <si>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</si>
  <si>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</si>
  <si>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</si>
  <si>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</si>
  <si>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</si>
  <si>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</si>
  <si>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</si>
  <si>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</si>
  <si>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</si>
  <si>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</si>
  <si>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</si>
  <si>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</si>
  <si>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</si>
  <si>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</si>
  <si>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</si>
  <si>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</si>
  <si>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</si>
  <si>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</si>
  <si>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</si>
  <si>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</si>
  <si>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</si>
  <si>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</si>
  <si>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</si>
  <si>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</si>
  <si>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</si>
  <si>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</si>
  <si>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</si>
  <si>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</si>
  <si>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</si>
  <si>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</si>
  <si>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</si>
  <si>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</si>
  <si>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</si>
  <si>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</si>
  <si>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</si>
  <si>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</si>
  <si>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</si>
  <si>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</si>
  <si>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</si>
  <si>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</si>
  <si>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</si>
  <si>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</si>
  <si>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</si>
  <si>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</si>
  <si>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</si>
  <si>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</si>
  <si>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</si>
  <si>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</si>
  <si>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</si>
  <si>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</si>
  <si>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</si>
  <si>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</si>
  <si>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</si>
  <si>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</si>
  <si>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</si>
  <si>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</si>
  <si>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</si>
  <si>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</si>
  <si>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</si>
  <si>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</si>
  <si>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</si>
  <si>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</si>
  <si>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This page presents the values from PRIMES (in red). These values are scaled by the corresponding dashboard items. PRIMES only reports data for 5 year intervals. We have linearly interpolated the data between these data points.</t>
  </si>
  <si>
    <t>uk</t>
  </si>
  <si>
    <t>IEA energy balance</t>
  </si>
  <si>
    <t>The values for 2010, 2011, 2012 and 2015 are taken from the IEA energy balances for those years.</t>
  </si>
  <si>
    <t>Production (incl.recovery of products) (ktoe)</t>
  </si>
  <si>
    <t xml:space="preserve">Solids in PRIMES data includes both primary products (hard coal and lignite) and derived fuels (patent fuels, coke, tar, pitch and benzole). </t>
  </si>
  <si>
    <t>See p. 125 of: https://refman.energytransitionmodel.com/publications/2096</t>
  </si>
  <si>
    <t>https://refman.energytransitionmodel.com/publications/2096</t>
  </si>
  <si>
    <t>Based on the 2013 IEA Energy Balances</t>
  </si>
  <si>
    <t>Based on the 2013 IEA Energy Balances ( Primary solid biofuels / (Industrial waste + Municipal waste (renewable) + Primary solid biofuels)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</si>
</sst>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General_)"/>
    <numFmt numFmtId="165" formatCode="0_)"/>
    <numFmt numFmtId="166" formatCode="[$-409]mmmm\ d\,\ yyyy;@"/>
    <numFmt numFmtId="167" formatCode="0.000000"/>
    <numFmt numFmtId="168" formatCode="#,##0.0"/>
  </numFmts>
  <fonts count="26">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b/>
      <sz val="16"/>
      <color theme="3"/>
      <name val="Calibri"/>
      <family val="2"/>
      <scheme val="minor"/>
    </font>
    <font>
      <b/>
      <sz val="12"/>
      <color rgb="FF000000"/>
      <name val="Calibri"/>
      <family val="2"/>
      <scheme val="minor"/>
    </font>
    <font>
      <i/>
      <sz val="12"/>
      <color theme="1"/>
      <name val="Calibri"/>
      <family val="2"/>
      <scheme val="minor"/>
    </font>
    <font>
      <b/>
      <sz val="11"/>
      <color rgb="FF000000"/>
      <name val="Calibri"/>
      <family val="2"/>
      <scheme val="minor"/>
    </font>
    <font>
      <sz val="12"/>
      <color rgb="FF000000"/>
      <name val="Calibri"/>
      <family val="2"/>
      <scheme val="minor"/>
    </font>
    <font>
      <sz val="12"/>
      <name val="Calibri"/>
      <family val="2"/>
      <scheme val="minor"/>
    </font>
    <font>
      <b/>
      <sz val="12"/>
      <name val="Calibri"/>
      <family val="2"/>
      <scheme val="minor"/>
    </font>
    <font>
      <b/>
      <sz val="12"/>
      <color rgb="FFFF0000"/>
      <name val="Calibri"/>
      <family val="2"/>
      <scheme val="minor"/>
    </font>
    <font>
      <u/>
      <sz val="12"/>
      <name val="Calibri"/>
      <family val="2"/>
      <scheme val="minor"/>
    </font>
    <font>
      <i/>
      <sz val="12"/>
      <name val="Calibri"/>
      <family val="2"/>
      <scheme val="minor"/>
    </font>
    <font>
      <b/>
      <sz val="16"/>
      <name val="Calibri"/>
      <family val="2"/>
      <scheme val="minor"/>
    </font>
    <font>
      <sz val="12"/>
      <color theme="0" tint="-0.499984740745262"/>
      <name val="Calibri"/>
      <family val="2"/>
      <scheme val="minor"/>
    </font>
    <font>
      <b/>
      <sz val="12"/>
      <name val="Arial"/>
      <family val="2"/>
      <charset val="161"/>
    </font>
    <font>
      <sz val="12"/>
      <name val="Arial"/>
      <family val="2"/>
      <charset val="161"/>
    </font>
    <font>
      <sz val="10"/>
      <color theme="1"/>
      <name val="Arial,Bold"/>
    </font>
    <font>
      <sz val="12"/>
      <color rgb="FF00B0F0"/>
      <name val="Calibri"/>
      <family val="2"/>
      <scheme val="minor"/>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9">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7">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1" fontId="14" fillId="0" borderId="0" xfId="0" applyNumberFormat="1" applyFont="1"/>
    <xf numFmtId="168" fontId="2" fillId="0" borderId="0" xfId="0" applyNumberFormat="1" applyFont="1" applyFill="1"/>
    <xf numFmtId="168" fontId="0" fillId="0" borderId="0" xfId="0" applyNumberFormat="1" applyFill="1"/>
    <xf numFmtId="168" fontId="15" fillId="0" borderId="0" xfId="0" applyNumberFormat="1" applyFont="1" applyFill="1"/>
    <xf numFmtId="0" fontId="24" fillId="0" borderId="0" xfId="0" applyFont="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xf numFmtId="168" fontId="25" fillId="0" borderId="0" xfId="0" applyNumberFormat="1" applyFont="1" applyFill="1"/>
  </cellXfs>
  <cellStyles count="179">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Normal" xfId="0" builtinId="0"/>
    <cellStyle name="Normal_AppendixAU" xfId="1" xr:uid="{00000000-0005-0000-0000-0000B1000000}"/>
    <cellStyle name="Percent 2" xfId="162" xr:uid="{00000000-0005-0000-0000-0000B2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c:v>
                </c:pt>
                <c:pt idx="1">
                  <c:v>2001</c:v>
                </c:pt>
                <c:pt idx="2">
                  <c:v>2002</c:v>
                </c:pt>
                <c:pt idx="3">
                  <c:v>2003</c:v>
                </c:pt>
                <c:pt idx="4">
                  <c:v>2004</c:v>
                </c:pt>
                <c:pt idx="5">
                  <c:v>2005</c:v>
                </c:pt>
                <c:pt idx="6">
                  <c:v>2006</c:v>
                </c:pt>
                <c:pt idx="7">
                  <c:v>2007</c:v>
                </c:pt>
                <c:pt idx="8">
                  <c:v>2008</c:v>
                </c:pt>
                <c:pt idx="9">
                  <c:v>2009</c:v>
                </c:pt>
                <c:pt idx="10" formatCode="###0.0">
                  <c:v>2010</c:v>
                </c:pt>
                <c:pt idx="11" formatCode="###0.0">
                  <c:v>2011</c:v>
                </c:pt>
                <c:pt idx="12" formatCode="###0.0">
                  <c:v>2012</c:v>
                </c:pt>
                <c:pt idx="13" formatCode="###0.0">
                  <c:v>2013</c:v>
                </c:pt>
                <c:pt idx="14">
                  <c:v>2014</c:v>
                </c:pt>
                <c:pt idx="15" formatCode="###0.0">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numCache>
            </c:numRef>
          </c:val>
          <c:smooth val="0"/>
          <c:extLst>
            <c:ext xmlns:c16="http://schemas.microsoft.com/office/drawing/2014/chart" uri="{C3380CC4-5D6E-409C-BE32-E72D297353CC}">
              <c16:uniqueId val="{00000000-E8D7-9140-A274-D69F80CCB0CA}"/>
            </c:ext>
          </c:extLst>
        </c:ser>
        <c:ser>
          <c:idx val="1"/>
          <c:order val="1"/>
          <c:tx>
            <c:strRef>
              <c:f>interpolation!$B$8</c:f>
              <c:strCache>
                <c:ptCount val="1"/>
                <c:pt idx="0">
                  <c:v>Coal</c:v>
                </c:pt>
              </c:strCache>
            </c:strRef>
          </c:tx>
          <c:val>
            <c:numRef>
              <c:f>interpolation!$B$9:$B$59</c:f>
              <c:numCache>
                <c:formatCode>###0.0</c:formatCode>
                <c:ptCount val="51"/>
                <c:pt idx="0">
                  <c:v>8608.0607999999756</c:v>
                </c:pt>
                <c:pt idx="1">
                  <c:v>7365.4185599999819</c:v>
                </c:pt>
                <c:pt idx="2">
                  <c:v>6122.776319999989</c:v>
                </c:pt>
                <c:pt idx="3">
                  <c:v>4880.1340799999962</c:v>
                </c:pt>
                <c:pt idx="4">
                  <c:v>3637.4918400000024</c:v>
                </c:pt>
                <c:pt idx="5">
                  <c:v>2394.8496000000086</c:v>
                </c:pt>
                <c:pt idx="6">
                  <c:v>1915.8796800000077</c:v>
                </c:pt>
                <c:pt idx="7">
                  <c:v>1436.9097600000066</c:v>
                </c:pt>
                <c:pt idx="8">
                  <c:v>957.93984000000546</c:v>
                </c:pt>
                <c:pt idx="9">
                  <c:v>478.96992000000455</c:v>
                </c:pt>
                <c:pt idx="10">
                  <c:v>3.5698803912964653E-12</c:v>
                </c:pt>
                <c:pt idx="11">
                  <c:v>2.8559043130371723E-12</c:v>
                </c:pt>
                <c:pt idx="12">
                  <c:v>2.1419282347778792E-12</c:v>
                </c:pt>
                <c:pt idx="13">
                  <c:v>1.4279521565185861E-12</c:v>
                </c:pt>
                <c:pt idx="14">
                  <c:v>7.1397607825929307E-13</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mooth val="0"/>
          <c:extLst>
            <c:ext xmlns:c16="http://schemas.microsoft.com/office/drawing/2014/chart" uri="{C3380CC4-5D6E-409C-BE32-E72D297353CC}">
              <c16:uniqueId val="{00000001-E8D7-9140-A274-D69F80CCB0CA}"/>
            </c:ext>
          </c:extLst>
        </c:ser>
        <c:ser>
          <c:idx val="2"/>
          <c:order val="2"/>
          <c:tx>
            <c:strRef>
              <c:f>interpolation!$C$8</c:f>
              <c:strCache>
                <c:ptCount val="1"/>
                <c:pt idx="0">
                  <c:v>Lignite</c:v>
                </c:pt>
              </c:strCache>
            </c:strRef>
          </c:tx>
          <c:val>
            <c:numRef>
              <c:f>interpolation!$C$9:$C$59</c:f>
              <c:numCache>
                <c:formatCode>###0.0</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mooth val="0"/>
          <c:extLst>
            <c:ext xmlns:c16="http://schemas.microsoft.com/office/drawing/2014/chart" uri="{C3380CC4-5D6E-409C-BE32-E72D297353CC}">
              <c16:uniqueId val="{00000002-E8D7-9140-A274-D69F80CCB0CA}"/>
            </c:ext>
          </c:extLst>
        </c:ser>
        <c:ser>
          <c:idx val="3"/>
          <c:order val="3"/>
          <c:tx>
            <c:strRef>
              <c:f>interpolation!$D$8</c:f>
              <c:strCache>
                <c:ptCount val="1"/>
                <c:pt idx="0">
                  <c:v>Natural gas</c:v>
                </c:pt>
              </c:strCache>
            </c:strRef>
          </c:tx>
          <c:val>
            <c:numRef>
              <c:f>interpolation!$D$9:$D$59</c:f>
              <c:numCache>
                <c:formatCode>###0.0</c:formatCode>
                <c:ptCount val="51"/>
                <c:pt idx="0">
                  <c:v>87.922799999969428</c:v>
                </c:pt>
                <c:pt idx="1">
                  <c:v>70.338239999972444</c:v>
                </c:pt>
                <c:pt idx="2">
                  <c:v>52.753679999975468</c:v>
                </c:pt>
                <c:pt idx="3">
                  <c:v>35.169119999978491</c:v>
                </c:pt>
                <c:pt idx="4">
                  <c:v>17.584559999981508</c:v>
                </c:pt>
                <c:pt idx="5">
                  <c:v>-1.5469481695618015E-11</c:v>
                </c:pt>
                <c:pt idx="6">
                  <c:v>-4.2838564695557581E-11</c:v>
                </c:pt>
                <c:pt idx="7">
                  <c:v>-7.0207647695497157E-11</c:v>
                </c:pt>
                <c:pt idx="8">
                  <c:v>-9.7576730695436733E-11</c:v>
                </c:pt>
                <c:pt idx="9">
                  <c:v>-1.2494581369537628E-10</c:v>
                </c:pt>
                <c:pt idx="10">
                  <c:v>-1.5231489669531585E-10</c:v>
                </c:pt>
                <c:pt idx="11">
                  <c:v>-1.2185191735625267E-10</c:v>
                </c:pt>
                <c:pt idx="12">
                  <c:v>-9.1388938017189512E-11</c:v>
                </c:pt>
                <c:pt idx="13">
                  <c:v>-6.0925958678126346E-11</c:v>
                </c:pt>
                <c:pt idx="14">
                  <c:v>-3.0462979339063179E-11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mooth val="0"/>
          <c:extLst>
            <c:ext xmlns:c16="http://schemas.microsoft.com/office/drawing/2014/chart" uri="{C3380CC4-5D6E-409C-BE32-E72D297353CC}">
              <c16:uniqueId val="{00000003-E8D7-9140-A274-D69F80CCB0CA}"/>
            </c:ext>
          </c:extLst>
        </c:ser>
        <c:ser>
          <c:idx val="4"/>
          <c:order val="4"/>
          <c:tx>
            <c:strRef>
              <c:f>interpolation!$E$8</c:f>
              <c:strCache>
                <c:ptCount val="1"/>
                <c:pt idx="0">
                  <c:v>Crude oil</c:v>
                </c:pt>
              </c:strCache>
            </c:strRef>
          </c:tx>
          <c:val>
            <c:numRef>
              <c:f>interpolation!$E$9:$E$59</c:f>
              <c:numCache>
                <c:formatCode>###0.0</c:formatCode>
                <c:ptCount val="51"/>
                <c:pt idx="0">
                  <c:v>-8.3297209130250855E-11</c:v>
                </c:pt>
                <c:pt idx="1">
                  <c:v>50.241599999943837</c:v>
                </c:pt>
                <c:pt idx="2">
                  <c:v>100.48319999997096</c:v>
                </c:pt>
                <c:pt idx="3">
                  <c:v>150.72479999999811</c:v>
                </c:pt>
                <c:pt idx="4">
                  <c:v>200.96640000002523</c:v>
                </c:pt>
                <c:pt idx="5">
                  <c:v>251.20800000005238</c:v>
                </c:pt>
                <c:pt idx="6">
                  <c:v>200.96640000004192</c:v>
                </c:pt>
                <c:pt idx="7">
                  <c:v>150.72480000003142</c:v>
                </c:pt>
                <c:pt idx="8">
                  <c:v>100.48320000002093</c:v>
                </c:pt>
                <c:pt idx="9">
                  <c:v>50.241600000010465</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mooth val="0"/>
          <c:extLst>
            <c:ext xmlns:c16="http://schemas.microsoft.com/office/drawing/2014/chart" uri="{C3380CC4-5D6E-409C-BE32-E72D297353CC}">
              <c16:uniqueId val="{00000004-E8D7-9140-A274-D69F80CCB0CA}"/>
            </c:ext>
          </c:extLst>
        </c:ser>
        <c:ser>
          <c:idx val="5"/>
          <c:order val="5"/>
          <c:tx>
            <c:strRef>
              <c:f>interpolation!$F$8</c:f>
              <c:strCache>
                <c:ptCount val="1"/>
                <c:pt idx="0">
                  <c:v>Uranium oxide</c:v>
                </c:pt>
              </c:strCache>
            </c:strRef>
          </c:tx>
          <c:val>
            <c:numRef>
              <c:f>interpolation!$F$9:$F$59</c:f>
              <c:numCache>
                <c:formatCode>###0.0</c:formatCode>
                <c:ptCount val="51"/>
                <c:pt idx="0">
                  <c:v>520096.85639999999</c:v>
                </c:pt>
                <c:pt idx="1">
                  <c:v>518882.68439999997</c:v>
                </c:pt>
                <c:pt idx="2">
                  <c:v>517668.51240000001</c:v>
                </c:pt>
                <c:pt idx="3">
                  <c:v>516454.34039999999</c:v>
                </c:pt>
                <c:pt idx="4">
                  <c:v>515240.16840000002</c:v>
                </c:pt>
                <c:pt idx="5">
                  <c:v>514025.9964</c:v>
                </c:pt>
                <c:pt idx="6">
                  <c:v>514779.62040000001</c:v>
                </c:pt>
                <c:pt idx="7">
                  <c:v>515533.24440000003</c:v>
                </c:pt>
                <c:pt idx="8">
                  <c:v>516286.86839999998</c:v>
                </c:pt>
                <c:pt idx="9">
                  <c:v>517040.49239999999</c:v>
                </c:pt>
                <c:pt idx="10">
                  <c:v>517794.1164</c:v>
                </c:pt>
                <c:pt idx="11">
                  <c:v>472084.81432189012</c:v>
                </c:pt>
                <c:pt idx="12">
                  <c:v>426375.51224378031</c:v>
                </c:pt>
                <c:pt idx="13">
                  <c:v>380666.21016567043</c:v>
                </c:pt>
                <c:pt idx="14">
                  <c:v>334956.90808756056</c:v>
                </c:pt>
                <c:pt idx="15">
                  <c:v>289247.60600945068</c:v>
                </c:pt>
                <c:pt idx="16">
                  <c:v>303676.21608797635</c:v>
                </c:pt>
                <c:pt idx="17">
                  <c:v>318104.82616650208</c:v>
                </c:pt>
                <c:pt idx="18">
                  <c:v>332533.43624502775</c:v>
                </c:pt>
                <c:pt idx="19">
                  <c:v>346962.04632355348</c:v>
                </c:pt>
                <c:pt idx="20">
                  <c:v>361390.65640207916</c:v>
                </c:pt>
                <c:pt idx="21">
                  <c:v>299500.39460166334</c:v>
                </c:pt>
                <c:pt idx="22">
                  <c:v>237610.13280124747</c:v>
                </c:pt>
                <c:pt idx="23">
                  <c:v>175719.87100083166</c:v>
                </c:pt>
                <c:pt idx="24">
                  <c:v>113829.60920041581</c:v>
                </c:pt>
                <c:pt idx="25">
                  <c:v>51939.347399999999</c:v>
                </c:pt>
                <c:pt idx="26">
                  <c:v>41551.477919999998</c:v>
                </c:pt>
                <c:pt idx="27">
                  <c:v>31163.60844</c:v>
                </c:pt>
                <c:pt idx="28">
                  <c:v>20775.738960000002</c:v>
                </c:pt>
                <c:pt idx="29">
                  <c:v>10387.869480000001</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mooth val="0"/>
          <c:extLst>
            <c:ext xmlns:c16="http://schemas.microsoft.com/office/drawing/2014/chart" uri="{C3380CC4-5D6E-409C-BE32-E72D297353CC}">
              <c16:uniqueId val="{00000005-E8D7-9140-A274-D69F80CCB0CA}"/>
            </c:ext>
          </c:extLst>
        </c:ser>
        <c:ser>
          <c:idx val="6"/>
          <c:order val="6"/>
          <c:tx>
            <c:strRef>
              <c:f>interpolation!$G$8</c:f>
              <c:strCache>
                <c:ptCount val="1"/>
                <c:pt idx="0">
                  <c:v>Woody biomass</c:v>
                </c:pt>
              </c:strCache>
            </c:strRef>
          </c:tx>
          <c:val>
            <c:numRef>
              <c:f>interpolation!$G$9:$G$59</c:f>
              <c:numCache>
                <c:formatCode>###0.0</c:formatCode>
                <c:ptCount val="51"/>
                <c:pt idx="0">
                  <c:v>26901.444498234225</c:v>
                </c:pt>
                <c:pt idx="1">
                  <c:v>29186.074367044966</c:v>
                </c:pt>
                <c:pt idx="2">
                  <c:v>31470.704235855708</c:v>
                </c:pt>
                <c:pt idx="3">
                  <c:v>33755.33410466645</c:v>
                </c:pt>
                <c:pt idx="4">
                  <c:v>36039.963973477192</c:v>
                </c:pt>
                <c:pt idx="5">
                  <c:v>38324.593842287934</c:v>
                </c:pt>
                <c:pt idx="6">
                  <c:v>46795.920523984409</c:v>
                </c:pt>
                <c:pt idx="7">
                  <c:v>55267.247205680877</c:v>
                </c:pt>
                <c:pt idx="8">
                  <c:v>63738.573887377352</c:v>
                </c:pt>
                <c:pt idx="9">
                  <c:v>72209.900569073827</c:v>
                </c:pt>
                <c:pt idx="10">
                  <c:v>80681.227250770302</c:v>
                </c:pt>
                <c:pt idx="11">
                  <c:v>81550.359367065597</c:v>
                </c:pt>
                <c:pt idx="12">
                  <c:v>82419.491483360907</c:v>
                </c:pt>
                <c:pt idx="13">
                  <c:v>83288.623599656203</c:v>
                </c:pt>
                <c:pt idx="14">
                  <c:v>84157.755715951513</c:v>
                </c:pt>
                <c:pt idx="15">
                  <c:v>85026.887832246808</c:v>
                </c:pt>
                <c:pt idx="16">
                  <c:v>90660.121188059289</c:v>
                </c:pt>
                <c:pt idx="17">
                  <c:v>96293.35454387177</c:v>
                </c:pt>
                <c:pt idx="18">
                  <c:v>101926.58789968425</c:v>
                </c:pt>
                <c:pt idx="19">
                  <c:v>107559.82125549673</c:v>
                </c:pt>
                <c:pt idx="20">
                  <c:v>113193.05461130921</c:v>
                </c:pt>
                <c:pt idx="21">
                  <c:v>112936.60299356513</c:v>
                </c:pt>
                <c:pt idx="22">
                  <c:v>112680.15137582105</c:v>
                </c:pt>
                <c:pt idx="23">
                  <c:v>112423.69975807698</c:v>
                </c:pt>
                <c:pt idx="24">
                  <c:v>112167.2481403329</c:v>
                </c:pt>
                <c:pt idx="25">
                  <c:v>111910.79652258882</c:v>
                </c:pt>
                <c:pt idx="26">
                  <c:v>112735.26822280094</c:v>
                </c:pt>
                <c:pt idx="27">
                  <c:v>113559.73992301305</c:v>
                </c:pt>
                <c:pt idx="28">
                  <c:v>114384.21162322517</c:v>
                </c:pt>
                <c:pt idx="29">
                  <c:v>115208.68332343729</c:v>
                </c:pt>
                <c:pt idx="30">
                  <c:v>116033.15502364941</c:v>
                </c:pt>
                <c:pt idx="31">
                  <c:v>112515.91462615289</c:v>
                </c:pt>
                <c:pt idx="32">
                  <c:v>108998.67422865638</c:v>
                </c:pt>
                <c:pt idx="33">
                  <c:v>105481.43383115987</c:v>
                </c:pt>
                <c:pt idx="34">
                  <c:v>101964.19343366336</c:v>
                </c:pt>
                <c:pt idx="35">
                  <c:v>98446.953036166844</c:v>
                </c:pt>
                <c:pt idx="36">
                  <c:v>100514.56887461344</c:v>
                </c:pt>
                <c:pt idx="37">
                  <c:v>102582.18471306004</c:v>
                </c:pt>
                <c:pt idx="38">
                  <c:v>104649.80055150665</c:v>
                </c:pt>
                <c:pt idx="39">
                  <c:v>106717.41638995324</c:v>
                </c:pt>
                <c:pt idx="40">
                  <c:v>108785.03222839984</c:v>
                </c:pt>
                <c:pt idx="41">
                  <c:v>109853.1790171441</c:v>
                </c:pt>
                <c:pt idx="42">
                  <c:v>110921.32580588835</c:v>
                </c:pt>
                <c:pt idx="43">
                  <c:v>111989.47259463259</c:v>
                </c:pt>
                <c:pt idx="44">
                  <c:v>113057.61938337685</c:v>
                </c:pt>
                <c:pt idx="45">
                  <c:v>114125.7661721211</c:v>
                </c:pt>
                <c:pt idx="46">
                  <c:v>114585.9877062743</c:v>
                </c:pt>
                <c:pt idx="47">
                  <c:v>115046.20924042749</c:v>
                </c:pt>
                <c:pt idx="48">
                  <c:v>115506.43077458069</c:v>
                </c:pt>
                <c:pt idx="49">
                  <c:v>115966.65230873387</c:v>
                </c:pt>
                <c:pt idx="50">
                  <c:v>116426.87384288707</c:v>
                </c:pt>
              </c:numCache>
            </c:numRef>
          </c:val>
          <c:smooth val="0"/>
          <c:extLst>
            <c:ext xmlns:c16="http://schemas.microsoft.com/office/drawing/2014/chart" uri="{C3380CC4-5D6E-409C-BE32-E72D297353CC}">
              <c16:uniqueId val="{00000006-E8D7-9140-A274-D69F80CCB0CA}"/>
            </c:ext>
          </c:extLst>
        </c:ser>
        <c:dLbls>
          <c:showLegendKey val="0"/>
          <c:showVal val="0"/>
          <c:showCatName val="0"/>
          <c:showSerName val="0"/>
          <c:showPercent val="0"/>
          <c:showBubbleSize val="0"/>
        </c:dLbls>
        <c:marker val="1"/>
        <c:smooth val="0"/>
        <c:axId val="2125886072"/>
        <c:axId val="2125889048"/>
      </c:lineChart>
      <c:catAx>
        <c:axId val="2125886072"/>
        <c:scaling>
          <c:orientation val="minMax"/>
        </c:scaling>
        <c:delete val="0"/>
        <c:axPos val="b"/>
        <c:majorTickMark val="out"/>
        <c:minorTickMark val="none"/>
        <c:tickLblPos val="nextTo"/>
        <c:crossAx val="2125889048"/>
        <c:crosses val="autoZero"/>
        <c:auto val="1"/>
        <c:lblAlgn val="ctr"/>
        <c:lblOffset val="100"/>
        <c:noMultiLvlLbl val="0"/>
      </c:catAx>
      <c:valAx>
        <c:axId val="2125889048"/>
        <c:scaling>
          <c:orientation val="minMax"/>
        </c:scaling>
        <c:delete val="0"/>
        <c:axPos val="l"/>
        <c:majorGridlines/>
        <c:numFmt formatCode="General" sourceLinked="1"/>
        <c:majorTickMark val="out"/>
        <c:minorTickMark val="none"/>
        <c:tickLblPos val="nextTo"/>
        <c:crossAx val="2125886072"/>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de</v>
          </cell>
        </row>
        <row r="14">
          <cell r="E14">
            <v>2012</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2"/>
  </sheetPr>
  <dimension ref="B2:H39"/>
  <sheetViews>
    <sheetView workbookViewId="0">
      <selection activeCell="C6" sqref="C6"/>
    </sheetView>
  </sheetViews>
  <sheetFormatPr baseColWidth="10" defaultRowHeight="16"/>
  <cols>
    <col min="1" max="1" width="10.83203125" style="16"/>
    <col min="2" max="2" width="13.33203125" style="16" customWidth="1"/>
    <col min="3" max="3" width="44" style="16" customWidth="1"/>
    <col min="4" max="13" width="10.83203125" style="16" customWidth="1"/>
    <col min="14" max="16384" width="10.83203125" style="16"/>
  </cols>
  <sheetData>
    <row r="2" spans="2:8" ht="21">
      <c r="B2" s="15" t="s">
        <v>24</v>
      </c>
    </row>
    <row r="4" spans="2:8">
      <c r="B4" s="17" t="s">
        <v>25</v>
      </c>
      <c r="C4" s="18" t="s">
        <v>49</v>
      </c>
      <c r="D4" s="19"/>
      <c r="F4" s="20"/>
      <c r="G4" s="21"/>
      <c r="H4" s="20"/>
    </row>
    <row r="5" spans="2:8">
      <c r="B5" s="22" t="s">
        <v>26</v>
      </c>
      <c r="C5" s="140">
        <f>MAX(Changelog!D:D)</f>
        <v>1</v>
      </c>
      <c r="D5" s="24"/>
      <c r="F5" s="21"/>
      <c r="G5" s="21"/>
      <c r="H5" s="21"/>
    </row>
    <row r="6" spans="2:8">
      <c r="B6" s="22" t="s">
        <v>27</v>
      </c>
      <c r="C6" s="23" t="s">
        <v>94</v>
      </c>
      <c r="D6" s="24"/>
      <c r="F6" s="21"/>
      <c r="G6" s="21"/>
      <c r="H6" s="21"/>
    </row>
    <row r="7" spans="2:8">
      <c r="B7" s="22" t="s">
        <v>28</v>
      </c>
      <c r="C7" s="23">
        <v>2012</v>
      </c>
      <c r="D7" s="24"/>
      <c r="F7" s="21"/>
      <c r="G7" s="21"/>
      <c r="H7" s="21"/>
    </row>
    <row r="8" spans="2:8">
      <c r="B8" s="22" t="s">
        <v>29</v>
      </c>
      <c r="C8" s="25">
        <f>MAX(Changelog!B:B)</f>
        <v>41794</v>
      </c>
      <c r="D8" s="24"/>
      <c r="F8" s="21"/>
      <c r="G8" s="21"/>
      <c r="H8" s="21"/>
    </row>
    <row r="9" spans="2:8">
      <c r="B9" s="22" t="s">
        <v>30</v>
      </c>
      <c r="C9" s="21" t="s">
        <v>76</v>
      </c>
      <c r="D9" s="24"/>
      <c r="F9" s="21"/>
      <c r="G9" s="21"/>
      <c r="H9" s="21"/>
    </row>
    <row r="10" spans="2:8">
      <c r="B10" s="26" t="s">
        <v>31</v>
      </c>
      <c r="C10" s="27" t="s">
        <v>32</v>
      </c>
      <c r="D10" s="28"/>
      <c r="F10" s="21"/>
      <c r="G10" s="21"/>
      <c r="H10" s="21"/>
    </row>
    <row r="12" spans="2:8">
      <c r="B12" s="17" t="s">
        <v>33</v>
      </c>
      <c r="C12" s="18"/>
      <c r="D12" s="19"/>
    </row>
    <row r="13" spans="2:8">
      <c r="B13" s="29"/>
      <c r="C13" s="21"/>
      <c r="D13" s="24"/>
    </row>
    <row r="14" spans="2:8">
      <c r="B14" s="29" t="s">
        <v>34</v>
      </c>
      <c r="C14" s="30" t="s">
        <v>35</v>
      </c>
      <c r="D14" s="24"/>
    </row>
    <row r="15" spans="2:8" ht="17" thickBot="1">
      <c r="B15" s="29"/>
      <c r="C15" s="20" t="s">
        <v>36</v>
      </c>
      <c r="D15" s="24"/>
    </row>
    <row r="16" spans="2:8" ht="17" thickBot="1">
      <c r="B16" s="29"/>
      <c r="C16" s="31" t="s">
        <v>37</v>
      </c>
      <c r="D16" s="24"/>
    </row>
    <row r="17" spans="2:4">
      <c r="B17" s="29"/>
      <c r="C17" s="21" t="s">
        <v>38</v>
      </c>
      <c r="D17" s="24"/>
    </row>
    <row r="18" spans="2:4">
      <c r="B18" s="29"/>
      <c r="C18" s="21"/>
      <c r="D18" s="24"/>
    </row>
    <row r="19" spans="2:4">
      <c r="B19" s="29" t="s">
        <v>39</v>
      </c>
      <c r="C19" s="32" t="s">
        <v>40</v>
      </c>
      <c r="D19" s="24"/>
    </row>
    <row r="20" spans="2:4">
      <c r="B20" s="29"/>
      <c r="C20" s="33" t="s">
        <v>41</v>
      </c>
      <c r="D20" s="24"/>
    </row>
    <row r="21" spans="2:4">
      <c r="B21" s="29"/>
      <c r="C21" s="34" t="s">
        <v>42</v>
      </c>
      <c r="D21" s="24"/>
    </row>
    <row r="22" spans="2:4">
      <c r="B22" s="29"/>
      <c r="C22" s="35" t="s">
        <v>43</v>
      </c>
      <c r="D22" s="24"/>
    </row>
    <row r="23" spans="2:4">
      <c r="B23" s="36"/>
      <c r="C23" s="37" t="s">
        <v>44</v>
      </c>
      <c r="D23" s="24"/>
    </row>
    <row r="24" spans="2:4">
      <c r="B24" s="36"/>
      <c r="C24" s="38" t="s">
        <v>45</v>
      </c>
      <c r="D24" s="24"/>
    </row>
    <row r="25" spans="2:4">
      <c r="B25" s="36"/>
      <c r="C25" s="39" t="s">
        <v>46</v>
      </c>
      <c r="D25" s="24"/>
    </row>
    <row r="26" spans="2:4">
      <c r="B26" s="36"/>
      <c r="C26" s="40" t="s">
        <v>47</v>
      </c>
      <c r="D26" s="24"/>
    </row>
    <row r="27" spans="2:4">
      <c r="B27" s="41"/>
      <c r="C27" s="27"/>
      <c r="D27" s="28"/>
    </row>
    <row r="29" spans="2:4">
      <c r="B29" s="17" t="s">
        <v>48</v>
      </c>
      <c r="C29" s="18"/>
      <c r="D29" s="19"/>
    </row>
    <row r="30" spans="2:4">
      <c r="B30" s="36"/>
      <c r="C30" s="21"/>
      <c r="D30" s="24"/>
    </row>
    <row r="31" spans="2:4">
      <c r="B31" s="36"/>
      <c r="C31" s="21"/>
      <c r="D31" s="24"/>
    </row>
    <row r="32" spans="2:4">
      <c r="B32" s="36"/>
      <c r="C32" s="21"/>
      <c r="D32" s="24"/>
    </row>
    <row r="33" spans="2:4">
      <c r="B33" s="36"/>
      <c r="C33" s="21"/>
      <c r="D33" s="24"/>
    </row>
    <row r="34" spans="2:4">
      <c r="B34" s="36"/>
      <c r="C34" s="21"/>
      <c r="D34" s="24"/>
    </row>
    <row r="35" spans="2:4">
      <c r="B35" s="36"/>
      <c r="C35" s="21"/>
      <c r="D35" s="24"/>
    </row>
    <row r="36" spans="2:4">
      <c r="B36" s="36"/>
      <c r="C36" s="21"/>
      <c r="D36" s="24"/>
    </row>
    <row r="37" spans="2:4">
      <c r="B37" s="36"/>
      <c r="C37" s="21"/>
      <c r="D37" s="24"/>
    </row>
    <row r="38" spans="2:4">
      <c r="B38" s="36"/>
      <c r="C38" s="21"/>
      <c r="D38" s="24"/>
    </row>
    <row r="39" spans="2:4">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2"/>
  </sheetPr>
  <dimension ref="B2:D45"/>
  <sheetViews>
    <sheetView workbookViewId="0"/>
  </sheetViews>
  <sheetFormatPr baseColWidth="10" defaultRowHeight="16"/>
  <cols>
    <col min="1" max="1" width="10.83203125" style="16"/>
    <col min="2" max="2" width="17.6640625" style="16" bestFit="1" customWidth="1"/>
    <col min="3" max="3" width="59.5" style="16" customWidth="1"/>
    <col min="4" max="16384" width="10.83203125" style="16"/>
  </cols>
  <sheetData>
    <row r="2" spans="2:4" ht="21">
      <c r="B2" s="15" t="s">
        <v>50</v>
      </c>
    </row>
    <row r="4" spans="2:4">
      <c r="B4" s="42" t="s">
        <v>29</v>
      </c>
      <c r="C4" s="43" t="s">
        <v>51</v>
      </c>
      <c r="D4" s="44" t="s">
        <v>52</v>
      </c>
    </row>
    <row r="5" spans="2:4">
      <c r="B5" s="45"/>
      <c r="C5" s="20"/>
      <c r="D5" s="46"/>
    </row>
    <row r="6" spans="2:4">
      <c r="B6" s="47">
        <v>41794</v>
      </c>
      <c r="C6" s="48" t="s">
        <v>75</v>
      </c>
      <c r="D6" s="49">
        <v>1</v>
      </c>
    </row>
    <row r="7" spans="2:4">
      <c r="B7" s="50"/>
      <c r="C7" s="48"/>
      <c r="D7" s="49"/>
    </row>
    <row r="8" spans="2:4">
      <c r="B8" s="50"/>
      <c r="C8" s="48"/>
      <c r="D8" s="49"/>
    </row>
    <row r="9" spans="2:4">
      <c r="B9" s="50"/>
      <c r="C9" s="48"/>
      <c r="D9" s="49"/>
    </row>
    <row r="10" spans="2:4">
      <c r="B10" s="50"/>
      <c r="C10" s="48"/>
      <c r="D10" s="49"/>
    </row>
    <row r="11" spans="2:4">
      <c r="B11" s="50"/>
      <c r="C11" s="48"/>
      <c r="D11" s="49"/>
    </row>
    <row r="12" spans="2:4">
      <c r="B12" s="50"/>
      <c r="C12" s="48"/>
      <c r="D12" s="49"/>
    </row>
    <row r="13" spans="2:4">
      <c r="B13" s="50"/>
      <c r="C13" s="48"/>
      <c r="D13" s="49"/>
    </row>
    <row r="14" spans="2:4">
      <c r="B14" s="50"/>
      <c r="C14" s="51"/>
      <c r="D14" s="49"/>
    </row>
    <row r="15" spans="2:4">
      <c r="B15" s="50"/>
      <c r="C15" s="48"/>
      <c r="D15" s="49"/>
    </row>
    <row r="16" spans="2:4">
      <c r="B16" s="52"/>
      <c r="C16" s="53"/>
      <c r="D16" s="49"/>
    </row>
    <row r="17" spans="2:4">
      <c r="B17" s="50"/>
      <c r="C17" s="48"/>
      <c r="D17" s="49"/>
    </row>
    <row r="18" spans="2:4">
      <c r="B18" s="50"/>
      <c r="C18" s="51"/>
      <c r="D18" s="49"/>
    </row>
    <row r="19" spans="2:4">
      <c r="B19" s="50"/>
      <c r="C19" s="48"/>
      <c r="D19" s="49"/>
    </row>
    <row r="20" spans="2:4">
      <c r="B20" s="50"/>
      <c r="C20" s="48"/>
      <c r="D20" s="49"/>
    </row>
    <row r="21" spans="2:4">
      <c r="B21" s="50"/>
      <c r="C21" s="51"/>
      <c r="D21" s="49"/>
    </row>
    <row r="22" spans="2:4">
      <c r="B22" s="54"/>
      <c r="C22" s="53"/>
      <c r="D22" s="55"/>
    </row>
    <row r="23" spans="2:4">
      <c r="B23" s="54"/>
      <c r="C23" s="53"/>
      <c r="D23" s="55"/>
    </row>
    <row r="24" spans="2:4">
      <c r="B24" s="54"/>
      <c r="C24" s="53"/>
      <c r="D24" s="55"/>
    </row>
    <row r="25" spans="2:4">
      <c r="B25" s="54"/>
      <c r="C25" s="53"/>
      <c r="D25" s="55"/>
    </row>
    <row r="26" spans="2:4">
      <c r="B26" s="54"/>
      <c r="C26" s="53"/>
      <c r="D26" s="55"/>
    </row>
    <row r="27" spans="2:4">
      <c r="B27" s="54"/>
      <c r="C27" s="53"/>
      <c r="D27" s="55"/>
    </row>
    <row r="28" spans="2:4">
      <c r="B28" s="54"/>
      <c r="C28" s="53"/>
      <c r="D28" s="55"/>
    </row>
    <row r="29" spans="2:4">
      <c r="B29" s="54"/>
      <c r="C29" s="53"/>
      <c r="D29" s="55"/>
    </row>
    <row r="30" spans="2:4">
      <c r="B30" s="54"/>
      <c r="C30" s="53"/>
      <c r="D30" s="55"/>
    </row>
    <row r="31" spans="2:4">
      <c r="B31" s="56"/>
      <c r="C31" s="57"/>
      <c r="D31" s="58"/>
    </row>
    <row r="32" spans="2:4">
      <c r="B32" s="54"/>
      <c r="C32" s="53"/>
      <c r="D32" s="55"/>
    </row>
    <row r="33" spans="2:4">
      <c r="B33" s="54"/>
      <c r="C33" s="53"/>
      <c r="D33" s="55"/>
    </row>
    <row r="34" spans="2:4">
      <c r="B34" s="54"/>
      <c r="C34" s="53"/>
      <c r="D34" s="55"/>
    </row>
    <row r="35" spans="2:4">
      <c r="B35" s="54"/>
      <c r="C35" s="53"/>
      <c r="D35" s="55"/>
    </row>
    <row r="36" spans="2:4">
      <c r="B36" s="50"/>
      <c r="C36" s="48"/>
      <c r="D36" s="49"/>
    </row>
    <row r="37" spans="2:4">
      <c r="B37" s="59"/>
      <c r="C37" s="60"/>
      <c r="D37" s="61"/>
    </row>
    <row r="38" spans="2:4">
      <c r="D38" s="62"/>
    </row>
    <row r="39" spans="2:4">
      <c r="D39" s="62"/>
    </row>
    <row r="40" spans="2:4">
      <c r="D40" s="62"/>
    </row>
    <row r="41" spans="2:4">
      <c r="D41" s="62"/>
    </row>
    <row r="42" spans="2:4">
      <c r="D42" s="62"/>
    </row>
    <row r="43" spans="2:4">
      <c r="D43" s="62"/>
    </row>
    <row r="44" spans="2:4">
      <c r="D44" s="62"/>
    </row>
    <row r="45" spans="2:4">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2"/>
  </sheetPr>
  <dimension ref="B2:C13"/>
  <sheetViews>
    <sheetView workbookViewId="0"/>
  </sheetViews>
  <sheetFormatPr baseColWidth="10" defaultRowHeight="16"/>
  <cols>
    <col min="1" max="1" width="8.6640625" style="16" customWidth="1"/>
    <col min="2" max="2" width="35.83203125" style="16" customWidth="1"/>
    <col min="3" max="3" width="100.83203125" style="16" customWidth="1"/>
    <col min="4" max="16384" width="10.83203125" style="16"/>
  </cols>
  <sheetData>
    <row r="2" spans="2:3" ht="21">
      <c r="B2" s="15" t="s">
        <v>53</v>
      </c>
    </row>
    <row r="4" spans="2:3" ht="30" customHeight="1">
      <c r="B4" s="63" t="s">
        <v>54</v>
      </c>
      <c r="C4" s="64" t="s">
        <v>55</v>
      </c>
    </row>
    <row r="5" spans="2:3" s="67" customFormat="1" ht="30" customHeight="1">
      <c r="B5" s="65" t="s">
        <v>24</v>
      </c>
      <c r="C5" s="66" t="s">
        <v>56</v>
      </c>
    </row>
    <row r="6" spans="2:3" s="67" customFormat="1" ht="30" customHeight="1">
      <c r="B6" s="68" t="s">
        <v>50</v>
      </c>
      <c r="C6" s="69" t="s">
        <v>57</v>
      </c>
    </row>
    <row r="7" spans="2:3" s="67" customFormat="1" ht="30" customHeight="1">
      <c r="B7" s="68" t="s">
        <v>53</v>
      </c>
      <c r="C7" s="66" t="s">
        <v>58</v>
      </c>
    </row>
    <row r="8" spans="2:3" s="67" customFormat="1" ht="30" customHeight="1">
      <c r="B8" s="68" t="s">
        <v>59</v>
      </c>
      <c r="C8" s="66" t="s">
        <v>60</v>
      </c>
    </row>
    <row r="9" spans="2:3" s="67" customFormat="1" ht="30" customHeight="1">
      <c r="B9" s="68" t="s">
        <v>18</v>
      </c>
      <c r="C9" s="66" t="s">
        <v>61</v>
      </c>
    </row>
    <row r="10" spans="2:3" s="67" customFormat="1" ht="30" customHeight="1">
      <c r="B10" s="70" t="s">
        <v>41</v>
      </c>
      <c r="C10" s="66" t="s">
        <v>62</v>
      </c>
    </row>
    <row r="11" spans="2:3" s="67" customFormat="1" ht="30" customHeight="1">
      <c r="B11" s="72" t="s">
        <v>80</v>
      </c>
      <c r="C11" s="66" t="s">
        <v>84</v>
      </c>
    </row>
    <row r="12" spans="2:3" s="67" customFormat="1" ht="30" customHeight="1">
      <c r="B12" s="72" t="s">
        <v>79</v>
      </c>
      <c r="C12" s="71" t="s">
        <v>85</v>
      </c>
    </row>
    <row r="13" spans="2:3" s="67" customFormat="1" ht="30" customHeight="1">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2"/>
  </sheetPr>
  <dimension ref="B2:C30"/>
  <sheetViews>
    <sheetView workbookViewId="0">
      <selection activeCell="B58" sqref="B58"/>
    </sheetView>
  </sheetViews>
  <sheetFormatPr baseColWidth="10" defaultRowHeight="16"/>
  <cols>
    <col min="1" max="1" width="10.83203125" style="16" customWidth="1"/>
    <col min="2" max="2" width="140.83203125" style="16" customWidth="1"/>
    <col min="3" max="3" width="20.33203125" style="16" customWidth="1"/>
    <col min="4" max="16384" width="10.83203125" style="16"/>
  </cols>
  <sheetData>
    <row r="2" spans="2:3" ht="21">
      <c r="B2" s="15" t="s">
        <v>59</v>
      </c>
    </row>
    <row r="4" spans="2:3">
      <c r="B4" s="74" t="s">
        <v>63</v>
      </c>
      <c r="C4" s="21"/>
    </row>
    <row r="5" spans="2:3">
      <c r="B5" s="75"/>
      <c r="C5" s="21"/>
    </row>
    <row r="6" spans="2:3" ht="17">
      <c r="B6" s="76" t="s">
        <v>86</v>
      </c>
      <c r="C6" s="21"/>
    </row>
    <row r="7" spans="2:3">
      <c r="B7" s="77"/>
      <c r="C7" s="21"/>
    </row>
    <row r="8" spans="2:3" ht="15" customHeight="1">
      <c r="B8" s="78"/>
      <c r="C8" s="21"/>
    </row>
    <row r="9" spans="2:3" ht="15" customHeight="1">
      <c r="B9" s="74" t="s">
        <v>64</v>
      </c>
      <c r="C9" s="21"/>
    </row>
    <row r="10" spans="2:3" ht="15" customHeight="1">
      <c r="B10" s="75"/>
      <c r="C10" s="21"/>
    </row>
    <row r="11" spans="2:3" ht="15" customHeight="1">
      <c r="B11" s="79" t="s">
        <v>87</v>
      </c>
      <c r="C11" s="21"/>
    </row>
    <row r="12" spans="2:3" ht="15" customHeight="1">
      <c r="B12" s="79" t="s">
        <v>88</v>
      </c>
      <c r="C12" s="21"/>
    </row>
    <row r="13" spans="2:3" ht="15" customHeight="1">
      <c r="B13" s="79" t="s">
        <v>89</v>
      </c>
      <c r="C13" s="21"/>
    </row>
    <row r="14" spans="2:3" ht="15" customHeight="1">
      <c r="B14" s="79" t="s">
        <v>81</v>
      </c>
      <c r="C14" s="21"/>
    </row>
    <row r="15" spans="2:3" ht="15" customHeight="1">
      <c r="B15" s="79" t="s">
        <v>82</v>
      </c>
      <c r="C15" s="21"/>
    </row>
    <row r="16" spans="2:3" ht="15" customHeight="1">
      <c r="B16" s="80"/>
      <c r="C16" s="21"/>
    </row>
    <row r="17" spans="2:2">
      <c r="B17" s="81"/>
    </row>
    <row r="18" spans="2:2">
      <c r="B18" s="82" t="s">
        <v>65</v>
      </c>
    </row>
    <row r="19" spans="2:2">
      <c r="B19" s="83"/>
    </row>
    <row r="20" spans="2:2" ht="102">
      <c r="B20" s="84" t="s">
        <v>66</v>
      </c>
    </row>
    <row r="21" spans="2:2">
      <c r="B21" s="85"/>
    </row>
    <row r="24" spans="2:2" ht="15" customHeight="1"/>
    <row r="30" spans="2:2" ht="30" customHeight="1"/>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2"/>
  </sheetPr>
  <dimension ref="A2:F38"/>
  <sheetViews>
    <sheetView workbookViewId="0">
      <selection activeCell="D12" sqref="D12"/>
    </sheetView>
  </sheetViews>
  <sheetFormatPr baseColWidth="10" defaultRowHeight="16"/>
  <cols>
    <col min="1" max="1" width="10.83203125" style="16"/>
    <col min="2" max="2" width="25.83203125" style="16" customWidth="1"/>
    <col min="3" max="4" width="75.83203125" style="16" customWidth="1"/>
    <col min="5" max="16384" width="10.83203125" style="16"/>
  </cols>
  <sheetData>
    <row r="2" spans="1:6" ht="21">
      <c r="B2" s="15" t="s">
        <v>18</v>
      </c>
      <c r="C2" s="15"/>
    </row>
    <row r="3" spans="1:6">
      <c r="A3" s="86"/>
      <c r="B3" s="86"/>
      <c r="C3" s="86"/>
      <c r="D3" s="86"/>
    </row>
    <row r="4" spans="1:6">
      <c r="A4" s="86"/>
      <c r="B4" s="87" t="s">
        <v>67</v>
      </c>
      <c r="C4" s="88"/>
      <c r="D4" s="86"/>
    </row>
    <row r="5" spans="1:6" ht="79" customHeight="1">
      <c r="A5" s="86"/>
      <c r="B5" s="160" t="s">
        <v>68</v>
      </c>
      <c r="C5" s="161"/>
      <c r="D5" s="86"/>
    </row>
    <row r="6" spans="1:6" ht="17" thickBot="1">
      <c r="A6" s="86"/>
      <c r="B6" s="86"/>
      <c r="C6" s="86"/>
      <c r="D6" s="86"/>
    </row>
    <row r="7" spans="1:6">
      <c r="A7" s="86"/>
      <c r="B7" s="89" t="s">
        <v>69</v>
      </c>
      <c r="C7" s="90"/>
      <c r="D7" s="91"/>
    </row>
    <row r="8" spans="1:6">
      <c r="A8" s="86"/>
      <c r="B8" s="92"/>
      <c r="C8" s="93"/>
      <c r="D8" s="94"/>
      <c r="F8" s="95"/>
    </row>
    <row r="9" spans="1:6">
      <c r="A9" s="86"/>
      <c r="B9" s="96" t="s">
        <v>70</v>
      </c>
      <c r="C9" s="97" t="s">
        <v>71</v>
      </c>
      <c r="D9" s="98" t="s">
        <v>72</v>
      </c>
    </row>
    <row r="10" spans="1:6">
      <c r="A10" s="86"/>
      <c r="B10" s="99"/>
      <c r="C10" s="100"/>
      <c r="D10" s="101"/>
    </row>
    <row r="11" spans="1:6" ht="34">
      <c r="B11" s="104"/>
      <c r="C11" s="103" t="s">
        <v>90</v>
      </c>
      <c r="D11" s="105"/>
      <c r="F11" s="106"/>
    </row>
    <row r="12" spans="1:6" ht="34">
      <c r="B12" s="104"/>
      <c r="C12" s="103" t="s">
        <v>98</v>
      </c>
      <c r="D12" s="105" t="s">
        <v>99</v>
      </c>
      <c r="F12" s="106"/>
    </row>
    <row r="13" spans="1:6">
      <c r="B13" s="104"/>
      <c r="C13" s="103"/>
      <c r="D13" s="105"/>
      <c r="F13" s="106"/>
    </row>
    <row r="14" spans="1:6" ht="17" thickBot="1">
      <c r="B14" s="107"/>
      <c r="C14" s="108"/>
      <c r="D14" s="109"/>
    </row>
    <row r="15" spans="1:6" ht="17" thickBot="1">
      <c r="B15" s="86"/>
      <c r="C15" s="86"/>
      <c r="D15" s="86"/>
    </row>
    <row r="16" spans="1:6">
      <c r="B16" s="89" t="s">
        <v>73</v>
      </c>
      <c r="C16" s="90"/>
      <c r="D16" s="91"/>
    </row>
    <row r="17" spans="2:4">
      <c r="B17" s="92"/>
      <c r="C17" s="93"/>
      <c r="D17" s="94"/>
    </row>
    <row r="18" spans="2:4">
      <c r="B18" s="96" t="s">
        <v>70</v>
      </c>
      <c r="C18" s="97" t="s">
        <v>71</v>
      </c>
      <c r="D18" s="98" t="s">
        <v>74</v>
      </c>
    </row>
    <row r="19" spans="2:4">
      <c r="B19" s="99"/>
      <c r="C19" s="110"/>
      <c r="D19" s="101"/>
    </row>
    <row r="20" spans="2:4" ht="34">
      <c r="B20" s="102"/>
      <c r="C20" s="103" t="s">
        <v>96</v>
      </c>
      <c r="D20" s="112" t="s">
        <v>95</v>
      </c>
    </row>
    <row r="21" spans="2:4">
      <c r="B21" s="102"/>
      <c r="C21" s="111"/>
      <c r="D21" s="112"/>
    </row>
    <row r="22" spans="2:4" ht="17" thickBot="1">
      <c r="B22" s="113"/>
      <c r="C22" s="114"/>
      <c r="D22" s="115"/>
    </row>
    <row r="23" spans="2:4">
      <c r="B23" s="86"/>
      <c r="C23" s="86"/>
      <c r="D23" s="86"/>
    </row>
    <row r="38" spans="3:3">
      <c r="C38" s="159"/>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B1:N33"/>
  <sheetViews>
    <sheetView topLeftCell="A2" workbookViewId="0">
      <selection activeCell="G17" sqref="G17"/>
    </sheetView>
  </sheetViews>
  <sheetFormatPr baseColWidth="10" defaultRowHeight="16"/>
  <cols>
    <col min="2" max="2" width="28.6640625" customWidth="1"/>
  </cols>
  <sheetData>
    <row r="1" spans="2:14" s="16" customFormat="1">
      <c r="D1" s="116"/>
      <c r="E1" s="86"/>
      <c r="F1" s="86"/>
      <c r="G1" s="86"/>
      <c r="H1" s="86"/>
      <c r="I1" s="86"/>
    </row>
    <row r="2" spans="2:14" s="16" customFormat="1" ht="21">
      <c r="B2" s="15" t="s">
        <v>41</v>
      </c>
      <c r="D2" s="116"/>
      <c r="E2" s="86"/>
      <c r="F2" s="86"/>
      <c r="G2" s="86"/>
      <c r="H2" s="86"/>
      <c r="I2" s="86"/>
      <c r="K2" s="123"/>
      <c r="L2" s="20"/>
      <c r="M2" s="21"/>
    </row>
    <row r="3" spans="2:14" s="16" customFormat="1" ht="15" customHeight="1">
      <c r="B3" s="117"/>
      <c r="C3" s="86"/>
      <c r="D3" s="118"/>
      <c r="E3" s="86"/>
      <c r="F3" s="86"/>
      <c r="G3" s="86"/>
      <c r="H3" s="86"/>
      <c r="I3" s="86"/>
      <c r="J3" s="86"/>
      <c r="K3" s="124"/>
      <c r="L3" s="21"/>
      <c r="M3" s="21"/>
    </row>
    <row r="4" spans="2:14" s="16" customFormat="1" ht="15" customHeight="1">
      <c r="B4" s="119" t="s">
        <v>67</v>
      </c>
      <c r="C4" s="120"/>
      <c r="D4" s="120"/>
      <c r="E4" s="120"/>
      <c r="F4" s="120"/>
      <c r="G4" s="121"/>
      <c r="H4" s="93"/>
      <c r="I4" s="93"/>
      <c r="J4" s="86"/>
      <c r="K4" s="125"/>
      <c r="L4" s="21"/>
      <c r="M4" s="21"/>
    </row>
    <row r="5" spans="2:14" s="16" customFormat="1" ht="15" customHeight="1">
      <c r="B5" s="162" t="s">
        <v>91</v>
      </c>
      <c r="C5" s="163"/>
      <c r="D5" s="163"/>
      <c r="E5" s="163"/>
      <c r="F5" s="163"/>
      <c r="G5" s="164"/>
      <c r="H5" s="122"/>
      <c r="I5" s="122"/>
      <c r="J5" s="86"/>
      <c r="K5" s="126"/>
      <c r="L5" s="21"/>
      <c r="M5" s="21"/>
    </row>
    <row r="6" spans="2:14" s="16" customFormat="1">
      <c r="B6" s="162"/>
      <c r="C6" s="163"/>
      <c r="D6" s="163"/>
      <c r="E6" s="163"/>
      <c r="F6" s="163"/>
      <c r="G6" s="164"/>
      <c r="H6" s="122"/>
      <c r="I6" s="122"/>
      <c r="J6" s="86"/>
      <c r="K6" s="126"/>
      <c r="L6" s="21"/>
      <c r="M6" s="21"/>
    </row>
    <row r="7" spans="2:14" s="16" customFormat="1">
      <c r="B7" s="160"/>
      <c r="C7" s="165"/>
      <c r="D7" s="165"/>
      <c r="E7" s="165"/>
      <c r="F7" s="165"/>
      <c r="G7" s="161"/>
      <c r="H7" s="122"/>
      <c r="I7" s="122"/>
      <c r="J7" s="86"/>
      <c r="K7" s="126"/>
      <c r="L7" s="21"/>
      <c r="M7" s="21"/>
    </row>
    <row r="8" spans="2:14" s="16" customFormat="1" ht="15" customHeight="1" thickBot="1">
      <c r="D8" s="116"/>
      <c r="E8" s="86"/>
      <c r="F8" s="86"/>
      <c r="G8" s="86"/>
      <c r="H8" s="86"/>
      <c r="I8" s="86"/>
    </row>
    <row r="9" spans="2:14">
      <c r="B9" s="143" t="s">
        <v>18</v>
      </c>
      <c r="C9" s="127"/>
      <c r="D9" s="127"/>
      <c r="E9" s="127"/>
      <c r="F9" s="144" t="s">
        <v>83</v>
      </c>
      <c r="G9" s="127"/>
      <c r="H9" s="127"/>
      <c r="I9" s="127"/>
      <c r="J9" s="127"/>
      <c r="K9" s="127"/>
      <c r="L9" s="127"/>
      <c r="M9" s="127"/>
      <c r="N9" s="128"/>
    </row>
    <row r="10" spans="2:14" ht="17" thickBot="1">
      <c r="B10" s="129"/>
      <c r="C10" s="130"/>
      <c r="D10" s="130"/>
      <c r="E10" s="130"/>
      <c r="F10" s="130"/>
      <c r="G10" s="130"/>
      <c r="H10" s="130"/>
      <c r="I10" s="130"/>
      <c r="J10" s="130"/>
      <c r="K10" s="130"/>
      <c r="L10" s="130"/>
      <c r="M10" s="130"/>
      <c r="N10" s="131"/>
    </row>
    <row r="11" spans="2:14" ht="15" customHeight="1" thickBot="1">
      <c r="B11" s="129" t="s">
        <v>21</v>
      </c>
      <c r="D11" s="13">
        <v>1</v>
      </c>
      <c r="E11" s="130"/>
      <c r="F11" s="141" t="s">
        <v>101</v>
      </c>
      <c r="G11" s="130"/>
      <c r="H11" s="130"/>
      <c r="I11" s="130"/>
      <c r="J11" s="130"/>
      <c r="K11" s="130"/>
      <c r="L11" s="130"/>
      <c r="M11" s="130"/>
      <c r="N11" s="131"/>
    </row>
    <row r="12" spans="2:14" ht="15" customHeight="1" thickBot="1">
      <c r="B12" s="129" t="s">
        <v>22</v>
      </c>
      <c r="D12" s="13">
        <v>0</v>
      </c>
      <c r="E12" s="130"/>
      <c r="F12" s="141" t="s">
        <v>101</v>
      </c>
      <c r="G12" s="130"/>
      <c r="H12" s="130"/>
      <c r="I12" s="130"/>
      <c r="J12" s="130"/>
      <c r="K12" s="130"/>
      <c r="L12" s="130"/>
      <c r="M12" s="130"/>
      <c r="N12" s="131"/>
    </row>
    <row r="13" spans="2:14" ht="17" thickBot="1">
      <c r="B13" s="129"/>
      <c r="D13" s="14"/>
      <c r="E13" s="130"/>
      <c r="F13" s="130"/>
      <c r="G13" s="130"/>
      <c r="H13" s="130"/>
      <c r="I13" s="130"/>
      <c r="J13" s="130"/>
      <c r="K13" s="130"/>
      <c r="L13" s="130"/>
      <c r="M13" s="130"/>
      <c r="N13" s="131"/>
    </row>
    <row r="14" spans="2:14" ht="17" thickBot="1">
      <c r="B14" s="129" t="s">
        <v>23</v>
      </c>
      <c r="D14" s="13">
        <f>58122.83/(58122.83+12339.63+13791.36)</f>
        <v>0.68985394371436215</v>
      </c>
      <c r="E14" s="130"/>
      <c r="F14" s="142" t="s">
        <v>102</v>
      </c>
      <c r="G14" s="130"/>
      <c r="H14" s="130"/>
      <c r="I14" s="130"/>
      <c r="J14" s="130"/>
      <c r="K14" s="130"/>
      <c r="L14" s="130"/>
      <c r="M14" s="130"/>
      <c r="N14" s="131"/>
    </row>
    <row r="15" spans="2:14">
      <c r="B15" s="129"/>
      <c r="D15" s="130"/>
      <c r="E15" s="130"/>
      <c r="F15" s="130"/>
      <c r="G15" s="155"/>
      <c r="H15" s="130"/>
      <c r="I15" s="130"/>
      <c r="J15" s="130"/>
      <c r="K15" s="130"/>
      <c r="L15" s="130"/>
      <c r="M15" s="130"/>
      <c r="N15" s="131"/>
    </row>
    <row r="16" spans="2:14">
      <c r="B16" s="129" t="s">
        <v>20</v>
      </c>
      <c r="D16" s="130">
        <v>41.868000000000002</v>
      </c>
      <c r="E16" s="130"/>
      <c r="F16" s="130"/>
      <c r="G16" s="130"/>
      <c r="H16" s="130"/>
      <c r="I16" s="130"/>
      <c r="J16" s="130"/>
      <c r="K16" s="130"/>
      <c r="L16" s="130"/>
      <c r="M16" s="130"/>
      <c r="N16" s="131"/>
    </row>
    <row r="17" spans="2:14">
      <c r="B17" s="129"/>
      <c r="C17" s="130"/>
      <c r="D17" s="130"/>
      <c r="E17" s="130"/>
      <c r="F17" s="130"/>
      <c r="G17" s="130"/>
      <c r="H17" s="130"/>
      <c r="I17" s="130"/>
      <c r="J17" s="130"/>
      <c r="K17" s="130"/>
      <c r="L17" s="130"/>
      <c r="M17" s="130"/>
      <c r="N17" s="131"/>
    </row>
    <row r="18" spans="2:14">
      <c r="B18" s="129"/>
      <c r="C18" s="130"/>
      <c r="D18" s="130"/>
      <c r="E18" s="130"/>
      <c r="F18" s="130"/>
      <c r="G18" s="130"/>
      <c r="H18" s="130"/>
      <c r="I18" s="130"/>
      <c r="J18" s="130"/>
      <c r="K18" s="130"/>
      <c r="L18" s="130"/>
      <c r="M18" s="130"/>
      <c r="N18" s="131"/>
    </row>
    <row r="19" spans="2:14">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7" thickBot="1">
      <c r="B20" s="134"/>
      <c r="C20" s="3"/>
      <c r="D20" s="3"/>
      <c r="E20" s="3"/>
      <c r="F20" s="3"/>
      <c r="G20" s="3"/>
      <c r="H20" s="3"/>
      <c r="I20" s="3"/>
      <c r="J20" s="3"/>
      <c r="K20" s="3"/>
      <c r="L20" s="3"/>
      <c r="M20" s="3"/>
      <c r="N20" s="131"/>
    </row>
    <row r="21" spans="2:14">
      <c r="B21" s="132" t="s">
        <v>97</v>
      </c>
      <c r="C21" s="4">
        <v>13606.600000000008</v>
      </c>
      <c r="D21" s="5">
        <v>13717.599999999984</v>
      </c>
      <c r="E21" s="5">
        <v>15356.40000000002</v>
      </c>
      <c r="F21" s="5">
        <v>10619.505167986325</v>
      </c>
      <c r="G21" s="5">
        <v>14049.991209291171</v>
      </c>
      <c r="H21" s="5">
        <v>7018.2537586671533</v>
      </c>
      <c r="I21" s="5">
        <v>6268.4935245973702</v>
      </c>
      <c r="J21" s="5">
        <v>5762.5189153528654</v>
      </c>
      <c r="K21" s="5">
        <v>6376.0197856138138</v>
      </c>
      <c r="L21" s="5">
        <v>6752.0161563675529</v>
      </c>
      <c r="M21" s="6">
        <v>7231.530555687229</v>
      </c>
      <c r="N21" s="131"/>
    </row>
    <row r="22" spans="2:14">
      <c r="B22" s="135" t="s">
        <v>9</v>
      </c>
      <c r="C22" s="7">
        <v>205.5999999999994</v>
      </c>
      <c r="D22" s="8">
        <v>57.200000000000202</v>
      </c>
      <c r="E22" s="8">
        <v>8.5265128291212022E-14</v>
      </c>
      <c r="F22" s="8">
        <v>0</v>
      </c>
      <c r="G22" s="8">
        <v>0</v>
      </c>
      <c r="H22" s="8">
        <v>0</v>
      </c>
      <c r="I22" s="8">
        <v>0</v>
      </c>
      <c r="J22" s="8">
        <v>0</v>
      </c>
      <c r="K22" s="8">
        <v>0</v>
      </c>
      <c r="L22" s="8">
        <v>0</v>
      </c>
      <c r="M22" s="9">
        <v>0</v>
      </c>
      <c r="N22" s="131"/>
    </row>
    <row r="23" spans="2:14">
      <c r="B23" s="135" t="s">
        <v>10</v>
      </c>
      <c r="C23" s="7">
        <v>-1.9895196601282805E-12</v>
      </c>
      <c r="D23" s="8">
        <v>6.0000000000012506</v>
      </c>
      <c r="E23" s="8">
        <v>-6.8000000000016598</v>
      </c>
      <c r="F23" s="8">
        <v>-13.733738669225204</v>
      </c>
      <c r="G23" s="8">
        <v>-13.654449561320007</v>
      </c>
      <c r="H23" s="8">
        <v>-13.734431329470681</v>
      </c>
      <c r="I23" s="8">
        <v>-13.819087461580693</v>
      </c>
      <c r="J23" s="8">
        <v>-13.892507981127892</v>
      </c>
      <c r="K23" s="8">
        <v>-14.037458453547515</v>
      </c>
      <c r="L23" s="8">
        <v>-14.149752411787631</v>
      </c>
      <c r="M23" s="9">
        <v>-14.337757845239366</v>
      </c>
      <c r="N23" s="131"/>
    </row>
    <row r="24" spans="2:14">
      <c r="B24" s="135" t="s">
        <v>3</v>
      </c>
      <c r="C24" s="7">
        <v>2.0999999999992696</v>
      </c>
      <c r="D24" s="8">
        <v>-3.694822225952521E-13</v>
      </c>
      <c r="E24" s="8">
        <v>-3.637978807091713E-12</v>
      </c>
      <c r="F24" s="8">
        <v>0</v>
      </c>
      <c r="G24" s="8">
        <v>0</v>
      </c>
      <c r="H24" s="8">
        <v>0</v>
      </c>
      <c r="I24" s="8">
        <v>0</v>
      </c>
      <c r="J24" s="8">
        <v>0</v>
      </c>
      <c r="K24" s="8">
        <v>0</v>
      </c>
      <c r="L24" s="8">
        <v>0</v>
      </c>
      <c r="M24" s="9">
        <v>0</v>
      </c>
      <c r="N24" s="131"/>
    </row>
    <row r="25" spans="2:14">
      <c r="B25" s="135" t="s">
        <v>11</v>
      </c>
      <c r="C25" s="7">
        <v>12422.3</v>
      </c>
      <c r="D25" s="8">
        <v>12277.3</v>
      </c>
      <c r="E25" s="8">
        <v>12367.3</v>
      </c>
      <c r="F25" s="8">
        <v>6908.5603804683933</v>
      </c>
      <c r="G25" s="8">
        <v>8631.6675361153902</v>
      </c>
      <c r="H25" s="8">
        <v>1240.55</v>
      </c>
      <c r="I25" s="8">
        <v>0</v>
      </c>
      <c r="J25" s="8">
        <v>0</v>
      </c>
      <c r="K25" s="8">
        <v>0</v>
      </c>
      <c r="L25" s="8">
        <v>0</v>
      </c>
      <c r="M25" s="9">
        <v>0</v>
      </c>
      <c r="N25" s="131"/>
    </row>
    <row r="26" spans="2:14">
      <c r="B26" s="135" t="s">
        <v>12</v>
      </c>
      <c r="C26" s="7">
        <v>976.60000000000025</v>
      </c>
      <c r="D26" s="8">
        <v>1377.0999999999997</v>
      </c>
      <c r="E26" s="8">
        <v>2995.9</v>
      </c>
      <c r="F26" s="8">
        <v>3724.6785261871564</v>
      </c>
      <c r="G26" s="8">
        <v>5431.9781227371013</v>
      </c>
      <c r="H26" s="8">
        <v>5791.4381899966247</v>
      </c>
      <c r="I26" s="8">
        <v>6282.3126120589513</v>
      </c>
      <c r="J26" s="8">
        <v>5776.4114233339942</v>
      </c>
      <c r="K26" s="8">
        <v>6390.0572440673623</v>
      </c>
      <c r="L26" s="8">
        <v>6766.1659087793414</v>
      </c>
      <c r="M26" s="9">
        <v>7245.8683135324691</v>
      </c>
      <c r="N26" s="131"/>
    </row>
    <row r="27" spans="2:14">
      <c r="B27" s="136" t="s">
        <v>13</v>
      </c>
      <c r="C27" s="7">
        <v>39.6</v>
      </c>
      <c r="D27" s="8">
        <v>24.8</v>
      </c>
      <c r="E27" s="8">
        <v>26.8</v>
      </c>
      <c r="F27" s="8">
        <v>31.425597775640576</v>
      </c>
      <c r="G27" s="8">
        <v>31.651138666897836</v>
      </c>
      <c r="H27" s="8">
        <v>31.942263107698949</v>
      </c>
      <c r="I27" s="8">
        <v>49.080739101059869</v>
      </c>
      <c r="J27" s="8">
        <v>49.851736529356465</v>
      </c>
      <c r="K27" s="8">
        <v>50.756712093761131</v>
      </c>
      <c r="L27" s="8">
        <v>52.24429848689941</v>
      </c>
      <c r="M27" s="9">
        <v>53.65610936178993</v>
      </c>
      <c r="N27" s="131"/>
    </row>
    <row r="28" spans="2:14">
      <c r="B28" s="136" t="s">
        <v>14</v>
      </c>
      <c r="C28" s="7">
        <v>931.4000000000002</v>
      </c>
      <c r="D28" s="8">
        <v>1326.8999999999999</v>
      </c>
      <c r="E28" s="8">
        <v>2793.3999999999996</v>
      </c>
      <c r="F28" s="8">
        <v>2943.8583988362743</v>
      </c>
      <c r="G28" s="8">
        <v>3919.0464687460772</v>
      </c>
      <c r="H28" s="8">
        <v>3874.6512622391342</v>
      </c>
      <c r="I28" s="8">
        <v>4017.3783454684331</v>
      </c>
      <c r="J28" s="8">
        <v>3408.4969698896452</v>
      </c>
      <c r="K28" s="8">
        <v>3766.4289374565851</v>
      </c>
      <c r="L28" s="8">
        <v>3951.3394390286662</v>
      </c>
      <c r="M28" s="9">
        <v>4031.0099446289178</v>
      </c>
      <c r="N28" s="131"/>
    </row>
    <row r="29" spans="2:14">
      <c r="B29" s="136" t="s">
        <v>15</v>
      </c>
      <c r="C29" s="7">
        <v>1.4</v>
      </c>
      <c r="D29" s="8">
        <v>19.5</v>
      </c>
      <c r="E29" s="8">
        <v>111.1</v>
      </c>
      <c r="F29" s="8">
        <v>430.77617669944595</v>
      </c>
      <c r="G29" s="8">
        <v>1031.8245478418073</v>
      </c>
      <c r="H29" s="8">
        <v>1403.9886696322901</v>
      </c>
      <c r="I29" s="8">
        <v>1656.899902395744</v>
      </c>
      <c r="J29" s="8">
        <v>1731.4856936344343</v>
      </c>
      <c r="K29" s="8">
        <v>1922.9157855781086</v>
      </c>
      <c r="L29" s="8">
        <v>2077.9890419389617</v>
      </c>
      <c r="M29" s="9">
        <v>2364.8060592731658</v>
      </c>
      <c r="N29" s="131"/>
    </row>
    <row r="30" spans="2:14">
      <c r="B30" s="136" t="s">
        <v>16</v>
      </c>
      <c r="C30" s="7">
        <v>1</v>
      </c>
      <c r="D30" s="8">
        <v>2.8000000000000003</v>
      </c>
      <c r="E30" s="8">
        <v>60.300000000000004</v>
      </c>
      <c r="F30" s="8">
        <v>312.5590784000002</v>
      </c>
      <c r="G30" s="8">
        <v>441.95078127367105</v>
      </c>
      <c r="H30" s="8">
        <v>469.46704469632351</v>
      </c>
      <c r="I30" s="8">
        <v>536.80289461755171</v>
      </c>
      <c r="J30" s="8">
        <v>556.10002427563222</v>
      </c>
      <c r="K30" s="8">
        <v>617.38597686711705</v>
      </c>
      <c r="L30" s="8">
        <v>645.88314111255465</v>
      </c>
      <c r="M30" s="9">
        <v>749.4762171598702</v>
      </c>
      <c r="N30" s="131"/>
    </row>
    <row r="31" spans="2:14" ht="17" thickBot="1">
      <c r="B31" s="136" t="s">
        <v>17</v>
      </c>
      <c r="C31" s="10">
        <v>3.1999999999999997</v>
      </c>
      <c r="D31" s="11">
        <v>3.1</v>
      </c>
      <c r="E31" s="11">
        <v>4.3</v>
      </c>
      <c r="F31" s="11">
        <v>6.0592744757953643</v>
      </c>
      <c r="G31" s="11">
        <v>7.5051862086484737</v>
      </c>
      <c r="H31" s="11">
        <v>11.388950321177999</v>
      </c>
      <c r="I31" s="11">
        <v>22.150730476162249</v>
      </c>
      <c r="J31" s="11">
        <v>30.476999004925471</v>
      </c>
      <c r="K31" s="11">
        <v>32.569832071790074</v>
      </c>
      <c r="L31" s="11">
        <v>38.709988212259475</v>
      </c>
      <c r="M31" s="12">
        <v>46.919983108725411</v>
      </c>
      <c r="N31" s="131"/>
    </row>
    <row r="32" spans="2:14">
      <c r="B32" s="129"/>
      <c r="C32" s="130"/>
      <c r="D32" s="130"/>
      <c r="E32" s="130"/>
      <c r="F32" s="130" t="s">
        <v>100</v>
      </c>
      <c r="G32" s="130"/>
      <c r="H32" s="130"/>
      <c r="I32" s="130"/>
      <c r="J32" s="130"/>
      <c r="K32" s="130"/>
      <c r="L32" s="130"/>
      <c r="M32" s="130"/>
      <c r="N32" s="131"/>
    </row>
    <row r="33" spans="2:14" ht="17" thickBot="1">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8" tint="0.39997558519241921"/>
  </sheetPr>
  <dimension ref="B2:M20"/>
  <sheetViews>
    <sheetView workbookViewId="0">
      <selection activeCell="B18" sqref="B18"/>
    </sheetView>
  </sheetViews>
  <sheetFormatPr baseColWidth="10" defaultRowHeight="16"/>
  <cols>
    <col min="2" max="2" width="37.83203125" customWidth="1"/>
  </cols>
  <sheetData>
    <row r="2" spans="2:13" s="16" customFormat="1" ht="15" customHeight="1">
      <c r="B2" s="119" t="s">
        <v>67</v>
      </c>
      <c r="C2" s="120"/>
      <c r="D2" s="120"/>
      <c r="E2" s="120"/>
      <c r="F2" s="120"/>
      <c r="G2" s="121"/>
      <c r="H2" s="93"/>
      <c r="I2" s="93"/>
      <c r="J2" s="86"/>
      <c r="K2" s="125"/>
      <c r="L2" s="21"/>
      <c r="M2" s="21"/>
    </row>
    <row r="3" spans="2:13" s="16" customFormat="1" ht="15" customHeight="1">
      <c r="B3" s="162" t="s">
        <v>92</v>
      </c>
      <c r="C3" s="163"/>
      <c r="D3" s="163"/>
      <c r="E3" s="163"/>
      <c r="F3" s="163"/>
      <c r="G3" s="164"/>
      <c r="H3" s="122"/>
      <c r="I3" s="122"/>
      <c r="J3" s="86"/>
      <c r="K3" s="126"/>
      <c r="L3" s="21"/>
      <c r="M3" s="21"/>
    </row>
    <row r="4" spans="2:13" s="16" customFormat="1">
      <c r="B4" s="162"/>
      <c r="C4" s="163"/>
      <c r="D4" s="163"/>
      <c r="E4" s="163"/>
      <c r="F4" s="163"/>
      <c r="G4" s="164"/>
      <c r="H4" s="122"/>
      <c r="I4" s="122"/>
      <c r="J4" s="86"/>
      <c r="K4" s="126"/>
      <c r="L4" s="21"/>
      <c r="M4" s="21"/>
    </row>
    <row r="5" spans="2:13" s="16" customFormat="1">
      <c r="B5" s="160"/>
      <c r="C5" s="165"/>
      <c r="D5" s="165"/>
      <c r="E5" s="165"/>
      <c r="F5" s="165"/>
      <c r="G5" s="161"/>
      <c r="H5" s="122"/>
      <c r="I5" s="122"/>
      <c r="J5" s="86"/>
      <c r="K5" s="126"/>
      <c r="L5" s="21"/>
      <c r="M5" s="21"/>
    </row>
    <row r="6" spans="2:13">
      <c r="B6" s="145"/>
      <c r="C6" s="145"/>
      <c r="D6" s="145"/>
      <c r="E6" s="145"/>
      <c r="F6" s="145"/>
      <c r="G6" s="145"/>
      <c r="H6" s="145"/>
      <c r="I6" s="145"/>
      <c r="J6" s="145"/>
      <c r="K6" s="145"/>
      <c r="L6" s="145"/>
      <c r="M6" s="145"/>
    </row>
    <row r="7" spans="2:13">
      <c r="B7" s="146" t="s">
        <v>19</v>
      </c>
      <c r="C7" s="150">
        <v>2000</v>
      </c>
      <c r="D7" s="150">
        <v>2005</v>
      </c>
      <c r="E7" s="150">
        <v>2010</v>
      </c>
      <c r="F7" s="150">
        <v>2015</v>
      </c>
      <c r="G7" s="150">
        <v>2020</v>
      </c>
      <c r="H7" s="150">
        <v>2025</v>
      </c>
      <c r="I7" s="150">
        <v>2030</v>
      </c>
      <c r="J7" s="150">
        <v>2035</v>
      </c>
      <c r="K7" s="150">
        <v>2040</v>
      </c>
      <c r="L7" s="150">
        <v>2045</v>
      </c>
      <c r="M7" s="150">
        <v>2050</v>
      </c>
    </row>
    <row r="8" spans="2:13">
      <c r="B8" s="147"/>
      <c r="C8" s="151"/>
      <c r="D8" s="151"/>
      <c r="E8" s="151"/>
      <c r="F8" s="151"/>
      <c r="G8" s="151"/>
      <c r="H8" s="151"/>
      <c r="I8" s="151"/>
      <c r="J8" s="151"/>
      <c r="K8" s="151"/>
      <c r="L8" s="151"/>
      <c r="M8" s="151"/>
    </row>
    <row r="9" spans="2:13">
      <c r="B9" s="147" t="s">
        <v>8</v>
      </c>
      <c r="C9" s="152">
        <f>Dashboard!C21*ktoe_TJ</f>
        <v>569681.1288000003</v>
      </c>
      <c r="D9" s="152">
        <f>Dashboard!D21*ktoe_TJ</f>
        <v>574328.47679999936</v>
      </c>
      <c r="E9" s="152">
        <f>Dashboard!E21*ktoe_TJ</f>
        <v>642941.75520000083</v>
      </c>
      <c r="F9" s="152">
        <f>Dashboard!F21*ktoe_TJ</f>
        <v>444617.44237325148</v>
      </c>
      <c r="G9" s="152">
        <f>Dashboard!G21*ktoe_TJ</f>
        <v>588245.03195060277</v>
      </c>
      <c r="H9" s="152">
        <f>Dashboard!H21*ktoe_TJ</f>
        <v>293840.2483678764</v>
      </c>
      <c r="I9" s="152">
        <f>Dashboard!I21*ktoe_TJ</f>
        <v>262449.2868878427</v>
      </c>
      <c r="J9" s="152">
        <f>Dashboard!J21*ktoe_TJ</f>
        <v>241265.14194799378</v>
      </c>
      <c r="K9" s="152">
        <f>Dashboard!K21*ktoe_TJ</f>
        <v>266951.19638407917</v>
      </c>
      <c r="L9" s="152">
        <f>Dashboard!L21*ktoe_TJ</f>
        <v>282693.41243479674</v>
      </c>
      <c r="M9" s="152">
        <f>Dashboard!M21*ktoe_TJ</f>
        <v>302769.72130551294</v>
      </c>
    </row>
    <row r="10" spans="2:13">
      <c r="B10" s="149" t="s">
        <v>9</v>
      </c>
      <c r="C10" s="153">
        <f>Dashboard!C22*ktoe_TJ</f>
        <v>8608.0607999999756</v>
      </c>
      <c r="D10" s="153">
        <f>Dashboard!D22*ktoe_TJ</f>
        <v>2394.8496000000086</v>
      </c>
      <c r="E10" s="153">
        <f>Dashboard!E22*ktoe_TJ</f>
        <v>3.5698803912964653E-12</v>
      </c>
      <c r="F10" s="153">
        <f>Dashboard!F22*ktoe_TJ</f>
        <v>0</v>
      </c>
      <c r="G10" s="153">
        <f>Dashboard!G22*ktoe_TJ</f>
        <v>0</v>
      </c>
      <c r="H10" s="153">
        <f>Dashboard!H22*ktoe_TJ</f>
        <v>0</v>
      </c>
      <c r="I10" s="153">
        <f>Dashboard!I22*ktoe_TJ</f>
        <v>0</v>
      </c>
      <c r="J10" s="153">
        <f>Dashboard!J22*ktoe_TJ</f>
        <v>0</v>
      </c>
      <c r="K10" s="153">
        <f>Dashboard!K22*ktoe_TJ</f>
        <v>0</v>
      </c>
      <c r="L10" s="153">
        <f>Dashboard!L22*ktoe_TJ</f>
        <v>0</v>
      </c>
      <c r="M10" s="153">
        <f>Dashboard!M22*ktoe_TJ</f>
        <v>0</v>
      </c>
    </row>
    <row r="11" spans="2:13">
      <c r="B11" s="149" t="s">
        <v>10</v>
      </c>
      <c r="C11" s="153">
        <f>Dashboard!C23*ktoe_TJ</f>
        <v>-8.3297209130250855E-11</v>
      </c>
      <c r="D11" s="153">
        <f>Dashboard!D23*ktoe_TJ</f>
        <v>251.20800000005238</v>
      </c>
      <c r="E11" s="153">
        <f>Dashboard!E23*ktoe_TJ</f>
        <v>-284.70240000006953</v>
      </c>
      <c r="F11" s="153">
        <f>Dashboard!F23*ktoe_TJ</f>
        <v>-575.00417060312088</v>
      </c>
      <c r="G11" s="153">
        <f>Dashboard!G23*ktoe_TJ</f>
        <v>-571.68449423334607</v>
      </c>
      <c r="H11" s="153">
        <f>Dashboard!H23*ktoe_TJ</f>
        <v>-575.03317090227847</v>
      </c>
      <c r="I11" s="153">
        <f>Dashboard!I23*ktoe_TJ</f>
        <v>-578.57755384146049</v>
      </c>
      <c r="J11" s="153">
        <f>Dashboard!J23*ktoe_TJ</f>
        <v>-581.65152415386262</v>
      </c>
      <c r="K11" s="153">
        <f>Dashboard!K23*ktoe_TJ</f>
        <v>-587.72031053312742</v>
      </c>
      <c r="L11" s="153">
        <f>Dashboard!L23*ktoe_TJ</f>
        <v>-592.42183397672454</v>
      </c>
      <c r="M11" s="153">
        <f>Dashboard!M23*ktoe_TJ</f>
        <v>-600.29324546448186</v>
      </c>
    </row>
    <row r="12" spans="2:13">
      <c r="B12" s="149" t="s">
        <v>3</v>
      </c>
      <c r="C12" s="153">
        <f>Dashboard!C24*ktoe_TJ</f>
        <v>87.922799999969428</v>
      </c>
      <c r="D12" s="153">
        <f>Dashboard!D24*ktoe_TJ</f>
        <v>-1.5469481695618015E-11</v>
      </c>
      <c r="E12" s="153">
        <f>Dashboard!E24*ktoe_TJ</f>
        <v>-1.5231489669531585E-10</v>
      </c>
      <c r="F12" s="153">
        <f>Dashboard!F24*ktoe_TJ</f>
        <v>0</v>
      </c>
      <c r="G12" s="153">
        <f>Dashboard!G24*ktoe_TJ</f>
        <v>0</v>
      </c>
      <c r="H12" s="153">
        <f>Dashboard!H24*ktoe_TJ</f>
        <v>0</v>
      </c>
      <c r="I12" s="153">
        <f>Dashboard!I24*ktoe_TJ</f>
        <v>0</v>
      </c>
      <c r="J12" s="153">
        <f>Dashboard!J24*ktoe_TJ</f>
        <v>0</v>
      </c>
      <c r="K12" s="153">
        <f>Dashboard!K24*ktoe_TJ</f>
        <v>0</v>
      </c>
      <c r="L12" s="153">
        <f>Dashboard!L24*ktoe_TJ</f>
        <v>0</v>
      </c>
      <c r="M12" s="153">
        <f>Dashboard!M24*ktoe_TJ</f>
        <v>0</v>
      </c>
    </row>
    <row r="13" spans="2:13">
      <c r="B13" s="149" t="s">
        <v>11</v>
      </c>
      <c r="C13" s="153">
        <f>Dashboard!C25*ktoe_TJ</f>
        <v>520096.85639999999</v>
      </c>
      <c r="D13" s="153">
        <f>Dashboard!D25*ktoe_TJ</f>
        <v>514025.9964</v>
      </c>
      <c r="E13" s="153">
        <f>Dashboard!E25*ktoe_TJ</f>
        <v>517794.1164</v>
      </c>
      <c r="F13" s="153">
        <f>Dashboard!F25*ktoe_TJ</f>
        <v>289247.60600945068</v>
      </c>
      <c r="G13" s="153">
        <f>Dashboard!G25*ktoe_TJ</f>
        <v>361390.65640207916</v>
      </c>
      <c r="H13" s="153">
        <f>Dashboard!H25*ktoe_TJ</f>
        <v>51939.347399999999</v>
      </c>
      <c r="I13" s="153">
        <f>Dashboard!I25*ktoe_TJ</f>
        <v>0</v>
      </c>
      <c r="J13" s="153">
        <f>Dashboard!J25*ktoe_TJ</f>
        <v>0</v>
      </c>
      <c r="K13" s="153">
        <f>Dashboard!K25*ktoe_TJ</f>
        <v>0</v>
      </c>
      <c r="L13" s="153">
        <f>Dashboard!L25*ktoe_TJ</f>
        <v>0</v>
      </c>
      <c r="M13" s="153">
        <f>Dashboard!M25*ktoe_TJ</f>
        <v>0</v>
      </c>
    </row>
    <row r="14" spans="2:13">
      <c r="B14" s="149" t="s">
        <v>12</v>
      </c>
      <c r="C14" s="153">
        <f>Dashboard!C26*ktoe_TJ</f>
        <v>40888.288800000009</v>
      </c>
      <c r="D14" s="153">
        <f>Dashboard!D26*ktoe_TJ</f>
        <v>57656.422799999993</v>
      </c>
      <c r="E14" s="153">
        <f>Dashboard!E26*ktoe_TJ</f>
        <v>125432.34120000001</v>
      </c>
      <c r="F14" s="153">
        <f>Dashboard!F26*ktoe_TJ</f>
        <v>155944.84053440386</v>
      </c>
      <c r="G14" s="153">
        <f>Dashboard!G26*ktoe_TJ</f>
        <v>227426.06004275696</v>
      </c>
      <c r="H14" s="153">
        <f>Dashboard!H26*ktoe_TJ</f>
        <v>242475.93413877868</v>
      </c>
      <c r="I14" s="153">
        <f>Dashboard!I26*ktoe_TJ</f>
        <v>263027.86444168421</v>
      </c>
      <c r="J14" s="153">
        <f>Dashboard!J26*ktoe_TJ</f>
        <v>241846.79347214769</v>
      </c>
      <c r="K14" s="153">
        <f>Dashboard!K26*ktoe_TJ</f>
        <v>267538.91669461236</v>
      </c>
      <c r="L14" s="153">
        <f>Dashboard!L26*ktoe_TJ</f>
        <v>283285.8342687735</v>
      </c>
      <c r="M14" s="153">
        <f>Dashboard!M26*ktoe_TJ</f>
        <v>303370.01455097744</v>
      </c>
    </row>
    <row r="15" spans="2:13">
      <c r="B15" s="149" t="s">
        <v>13</v>
      </c>
      <c r="C15" s="153">
        <f>Dashboard!C27*ktoe_TJ</f>
        <v>1657.9728000000002</v>
      </c>
      <c r="D15" s="153">
        <f>Dashboard!D27*ktoe_TJ</f>
        <v>1038.3264000000001</v>
      </c>
      <c r="E15" s="153">
        <f>Dashboard!E27*ktoe_TJ</f>
        <v>1122.0624</v>
      </c>
      <c r="F15" s="153">
        <f>Dashboard!F27*ktoe_TJ</f>
        <v>1315.7269276705197</v>
      </c>
      <c r="G15" s="153">
        <f>Dashboard!G27*ktoe_TJ</f>
        <v>1325.1698737056786</v>
      </c>
      <c r="H15" s="153">
        <f>Dashboard!H27*ktoe_TJ</f>
        <v>1337.3586717931396</v>
      </c>
      <c r="I15" s="153">
        <f>Dashboard!I27*ktoe_TJ</f>
        <v>2054.9123846831749</v>
      </c>
      <c r="J15" s="153">
        <f>Dashboard!J27*ktoe_TJ</f>
        <v>2087.1925050110967</v>
      </c>
      <c r="K15" s="153">
        <f>Dashboard!K27*ktoe_TJ</f>
        <v>2125.0820219415909</v>
      </c>
      <c r="L15" s="153">
        <f>Dashboard!L27*ktoe_TJ</f>
        <v>2187.3642890495048</v>
      </c>
      <c r="M15" s="153">
        <f>Dashboard!M27*ktoe_TJ</f>
        <v>2246.4739867594208</v>
      </c>
    </row>
    <row r="16" spans="2:13">
      <c r="B16" s="149" t="s">
        <v>14</v>
      </c>
      <c r="C16" s="153">
        <f>Dashboard!C28*ktoe_TJ</f>
        <v>38995.855200000013</v>
      </c>
      <c r="D16" s="153">
        <f>Dashboard!D28*ktoe_TJ</f>
        <v>55554.6492</v>
      </c>
      <c r="E16" s="153">
        <f>Dashboard!E28*ktoe_TJ</f>
        <v>116954.07119999999</v>
      </c>
      <c r="F16" s="153">
        <f>Dashboard!F28*ktoe_TJ</f>
        <v>123253.46344247714</v>
      </c>
      <c r="G16" s="153">
        <f>Dashboard!G28*ktoe_TJ</f>
        <v>164082.63755346078</v>
      </c>
      <c r="H16" s="153">
        <f>Dashboard!H28*ktoe_TJ</f>
        <v>162223.89904742807</v>
      </c>
      <c r="I16" s="153">
        <f>Dashboard!I28*ktoe_TJ</f>
        <v>168199.59656807236</v>
      </c>
      <c r="J16" s="153">
        <f>Dashboard!J28*ktoe_TJ</f>
        <v>142706.95113533968</v>
      </c>
      <c r="K16" s="153">
        <f>Dashboard!K28*ktoe_TJ</f>
        <v>157692.84675343233</v>
      </c>
      <c r="L16" s="153">
        <f>Dashboard!L28*ktoe_TJ</f>
        <v>165434.67963325221</v>
      </c>
      <c r="M16" s="153">
        <f>Dashboard!M28*ktoe_TJ</f>
        <v>168770.32436172353</v>
      </c>
    </row>
    <row r="17" spans="2:13">
      <c r="B17" s="148" t="s">
        <v>15</v>
      </c>
      <c r="C17" s="153">
        <f>Dashboard!C29*ktoe_TJ</f>
        <v>58.615200000000002</v>
      </c>
      <c r="D17" s="153">
        <f>Dashboard!D29*ktoe_TJ</f>
        <v>816.42600000000004</v>
      </c>
      <c r="E17" s="153">
        <f>Dashboard!E29*ktoe_TJ</f>
        <v>4651.5348000000004</v>
      </c>
      <c r="F17" s="153">
        <f>Dashboard!F29*ktoe_TJ</f>
        <v>18035.736966052405</v>
      </c>
      <c r="G17" s="153">
        <f>Dashboard!G29*ktoe_TJ</f>
        <v>43200.430169040788</v>
      </c>
      <c r="H17" s="153">
        <f>Dashboard!H29*ktoe_TJ</f>
        <v>58782.197620164727</v>
      </c>
      <c r="I17" s="153">
        <f>Dashboard!I29*ktoe_TJ</f>
        <v>69371.085113505018</v>
      </c>
      <c r="J17" s="153">
        <f>Dashboard!J29*ktoe_TJ</f>
        <v>72493.84302108649</v>
      </c>
      <c r="K17" s="153">
        <f>Dashboard!K29*ktoe_TJ</f>
        <v>80508.638110584259</v>
      </c>
      <c r="L17" s="153">
        <f>Dashboard!L29*ktoe_TJ</f>
        <v>87001.245207900458</v>
      </c>
      <c r="M17" s="153">
        <f>Dashboard!M29*ktoe_TJ</f>
        <v>99009.700089648919</v>
      </c>
    </row>
    <row r="18" spans="2:13">
      <c r="B18" s="148" t="s">
        <v>16</v>
      </c>
      <c r="C18" s="153">
        <f>Dashboard!C30*ktoe_TJ</f>
        <v>41.868000000000002</v>
      </c>
      <c r="D18" s="153">
        <f>Dashboard!D30*ktoe_TJ</f>
        <v>117.23040000000002</v>
      </c>
      <c r="E18" s="153">
        <f>Dashboard!E30*ktoe_TJ</f>
        <v>2524.6404000000002</v>
      </c>
      <c r="F18" s="153">
        <f>Dashboard!F30*ktoe_TJ</f>
        <v>13086.223494451209</v>
      </c>
      <c r="G18" s="153">
        <f>Dashboard!G30*ktoe_TJ</f>
        <v>18503.595310366061</v>
      </c>
      <c r="H18" s="153">
        <f>Dashboard!H30*ktoe_TJ</f>
        <v>19655.646227345675</v>
      </c>
      <c r="I18" s="153">
        <f>Dashboard!I30*ktoe_TJ</f>
        <v>22474.863591847658</v>
      </c>
      <c r="J18" s="153">
        <f>Dashboard!J30*ktoe_TJ</f>
        <v>23282.795816372171</v>
      </c>
      <c r="K18" s="153">
        <f>Dashboard!K30*ktoe_TJ</f>
        <v>25848.716079472459</v>
      </c>
      <c r="L18" s="153">
        <f>Dashboard!L30*ktoe_TJ</f>
        <v>27041.835352100439</v>
      </c>
      <c r="M18" s="153">
        <f>Dashboard!M30*ktoe_TJ</f>
        <v>31379.070260049448</v>
      </c>
    </row>
    <row r="19" spans="2:13">
      <c r="B19" s="148" t="s">
        <v>17</v>
      </c>
      <c r="C19" s="153">
        <f>Dashboard!C31*ktoe_TJ</f>
        <v>133.9776</v>
      </c>
      <c r="D19" s="153">
        <f>Dashboard!D31*ktoe_TJ</f>
        <v>129.79080000000002</v>
      </c>
      <c r="E19" s="153">
        <f>Dashboard!E31*ktoe_TJ</f>
        <v>180.0324</v>
      </c>
      <c r="F19" s="153">
        <f>Dashboard!F31*ktoe_TJ</f>
        <v>253.68970375260034</v>
      </c>
      <c r="G19" s="153">
        <f>Dashboard!G31*ktoe_TJ</f>
        <v>314.22713618369431</v>
      </c>
      <c r="H19" s="153">
        <f>Dashboard!H31*ktoe_TJ</f>
        <v>476.83257204708048</v>
      </c>
      <c r="I19" s="153">
        <f>Dashboard!I31*ktoe_TJ</f>
        <v>927.40678357596107</v>
      </c>
      <c r="J19" s="153">
        <f>Dashboard!J31*ktoe_TJ</f>
        <v>1276.0109943382197</v>
      </c>
      <c r="K19" s="153">
        <f>Dashboard!K31*ktoe_TJ</f>
        <v>1363.6337291817069</v>
      </c>
      <c r="L19" s="153">
        <f>Dashboard!L31*ktoe_TJ</f>
        <v>1620.7097864708799</v>
      </c>
      <c r="M19" s="153">
        <f>Dashboard!M31*ktoe_TJ</f>
        <v>1964.4458527961156</v>
      </c>
    </row>
    <row r="20" spans="2:13">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8" tint="0.39997558519241921"/>
  </sheetPr>
  <dimension ref="A2:M59"/>
  <sheetViews>
    <sheetView tabSelected="1" workbookViewId="0">
      <selection activeCell="G22" sqref="G22"/>
    </sheetView>
  </sheetViews>
  <sheetFormatPr baseColWidth="10" defaultRowHeight="16"/>
  <cols>
    <col min="1" max="6" width="10.83203125" style="1"/>
    <col min="7" max="7" width="12.5" style="1" customWidth="1"/>
    <col min="8" max="16384" width="10.83203125" style="1"/>
  </cols>
  <sheetData>
    <row r="2" spans="1:13" s="16" customFormat="1" ht="15" customHeight="1">
      <c r="B2" s="119" t="s">
        <v>67</v>
      </c>
      <c r="C2" s="120"/>
      <c r="D2" s="120"/>
      <c r="E2" s="120"/>
      <c r="F2" s="120"/>
      <c r="G2" s="121"/>
      <c r="H2" s="93"/>
      <c r="I2" s="93"/>
      <c r="J2" s="86"/>
      <c r="K2" s="125"/>
      <c r="L2" s="21"/>
      <c r="M2" s="21"/>
    </row>
    <row r="3" spans="1:13" s="16" customFormat="1" ht="15" customHeight="1">
      <c r="B3" s="162" t="s">
        <v>93</v>
      </c>
      <c r="C3" s="163"/>
      <c r="D3" s="163"/>
      <c r="E3" s="163"/>
      <c r="F3" s="163"/>
      <c r="G3" s="164"/>
      <c r="H3" s="122"/>
      <c r="I3" s="122"/>
      <c r="J3" s="86"/>
      <c r="K3" s="126"/>
      <c r="L3" s="21"/>
      <c r="M3" s="21"/>
    </row>
    <row r="4" spans="1:13" s="16" customFormat="1">
      <c r="B4" s="162"/>
      <c r="C4" s="163"/>
      <c r="D4" s="163"/>
      <c r="E4" s="163"/>
      <c r="F4" s="163"/>
      <c r="G4" s="164"/>
      <c r="H4" s="122"/>
      <c r="I4" s="122"/>
      <c r="J4" s="86"/>
      <c r="K4" s="126"/>
      <c r="L4" s="21"/>
      <c r="M4" s="21"/>
    </row>
    <row r="5" spans="1:13" s="16" customFormat="1">
      <c r="B5" s="160"/>
      <c r="C5" s="165"/>
      <c r="D5" s="165"/>
      <c r="E5" s="165"/>
      <c r="F5" s="165"/>
      <c r="G5" s="161"/>
      <c r="H5" s="122"/>
      <c r="I5" s="122"/>
      <c r="J5" s="86"/>
      <c r="K5" s="126"/>
      <c r="L5" s="21"/>
      <c r="M5" s="21"/>
    </row>
    <row r="8" spans="1:13">
      <c r="A8" s="154" t="s">
        <v>0</v>
      </c>
      <c r="B8" s="154" t="s">
        <v>1</v>
      </c>
      <c r="C8" s="154" t="s">
        <v>2</v>
      </c>
      <c r="D8" s="154" t="s">
        <v>3</v>
      </c>
      <c r="E8" s="154" t="s">
        <v>4</v>
      </c>
      <c r="F8" s="154" t="s">
        <v>5</v>
      </c>
      <c r="G8" s="154" t="s">
        <v>6</v>
      </c>
    </row>
    <row r="9" spans="1:13">
      <c r="A9" s="2">
        <v>2000</v>
      </c>
      <c r="B9" s="156">
        <f>conversion_to_TJ!C10*Dashboard!$D$11</f>
        <v>8608.0607999999756</v>
      </c>
      <c r="C9" s="156">
        <f>conversion_to_TJ!C10*Dashboard!$D$12</f>
        <v>0</v>
      </c>
      <c r="D9" s="156">
        <f>conversion_to_TJ!C12</f>
        <v>87.922799999969428</v>
      </c>
      <c r="E9" s="156">
        <f>conversion_to_TJ!C11</f>
        <v>-8.3297209130250855E-11</v>
      </c>
      <c r="F9" s="156">
        <f>conversion_to_TJ!C13</f>
        <v>520096.85639999999</v>
      </c>
      <c r="G9" s="156">
        <f>conversion_to_TJ!C16*Dashboard!$D$14</f>
        <v>26901.444498234225</v>
      </c>
    </row>
    <row r="10" spans="1:13">
      <c r="A10" s="1">
        <v>2001</v>
      </c>
      <c r="B10" s="157">
        <f>B$9+(B$14-B$9)/($A$14-$A$9)*($A10-$A$9)</f>
        <v>7365.4185599999819</v>
      </c>
      <c r="C10" s="157">
        <f t="shared" ref="C10:G10" si="0">C$9+(C$14-C$9)/($A$14-$A$9)*($A10-$A$9)</f>
        <v>0</v>
      </c>
      <c r="D10" s="157">
        <f t="shared" si="0"/>
        <v>70.338239999972444</v>
      </c>
      <c r="E10" s="157">
        <f t="shared" si="0"/>
        <v>50.241599999943837</v>
      </c>
      <c r="F10" s="157">
        <f t="shared" si="0"/>
        <v>518882.68439999997</v>
      </c>
      <c r="G10" s="157">
        <f t="shared" si="0"/>
        <v>29186.074367044966</v>
      </c>
    </row>
    <row r="11" spans="1:13">
      <c r="A11" s="1">
        <v>2002</v>
      </c>
      <c r="B11" s="157">
        <f t="shared" ref="B11:G13" si="1">B$9+(B$14-B$9)/($A$14-$A$9)*($A11-$A$9)</f>
        <v>6122.776319999989</v>
      </c>
      <c r="C11" s="157">
        <f t="shared" si="1"/>
        <v>0</v>
      </c>
      <c r="D11" s="157">
        <f t="shared" si="1"/>
        <v>52.753679999975468</v>
      </c>
      <c r="E11" s="157">
        <f t="shared" si="1"/>
        <v>100.48319999997096</v>
      </c>
      <c r="F11" s="157">
        <f t="shared" si="1"/>
        <v>517668.51240000001</v>
      </c>
      <c r="G11" s="157">
        <f t="shared" si="1"/>
        <v>31470.704235855708</v>
      </c>
    </row>
    <row r="12" spans="1:13">
      <c r="A12" s="1">
        <v>2003</v>
      </c>
      <c r="B12" s="157">
        <f t="shared" si="1"/>
        <v>4880.1340799999962</v>
      </c>
      <c r="C12" s="157">
        <f t="shared" si="1"/>
        <v>0</v>
      </c>
      <c r="D12" s="157">
        <f t="shared" si="1"/>
        <v>35.169119999978491</v>
      </c>
      <c r="E12" s="157">
        <f t="shared" si="1"/>
        <v>150.72479999999811</v>
      </c>
      <c r="F12" s="157">
        <f t="shared" si="1"/>
        <v>516454.34039999999</v>
      </c>
      <c r="G12" s="157">
        <f t="shared" si="1"/>
        <v>33755.33410466645</v>
      </c>
    </row>
    <row r="13" spans="1:13">
      <c r="A13" s="1">
        <v>2004</v>
      </c>
      <c r="B13" s="157">
        <f t="shared" si="1"/>
        <v>3637.4918400000024</v>
      </c>
      <c r="C13" s="157">
        <f t="shared" si="1"/>
        <v>0</v>
      </c>
      <c r="D13" s="157">
        <f t="shared" si="1"/>
        <v>17.584559999981508</v>
      </c>
      <c r="E13" s="157">
        <f t="shared" si="1"/>
        <v>200.96640000002523</v>
      </c>
      <c r="F13" s="157">
        <f t="shared" si="1"/>
        <v>515240.16840000002</v>
      </c>
      <c r="G13" s="157">
        <f t="shared" si="1"/>
        <v>36039.963973477192</v>
      </c>
    </row>
    <row r="14" spans="1:13">
      <c r="A14" s="2">
        <v>2005</v>
      </c>
      <c r="B14" s="156">
        <f>conversion_to_TJ!D10*Dashboard!$D$11</f>
        <v>2394.8496000000086</v>
      </c>
      <c r="C14" s="156">
        <f>conversion_to_TJ!D10*Dashboard!$D$12</f>
        <v>0</v>
      </c>
      <c r="D14" s="156">
        <f>conversion_to_TJ!D12</f>
        <v>-1.5469481695618015E-11</v>
      </c>
      <c r="E14" s="156">
        <f>conversion_to_TJ!D11</f>
        <v>251.20800000005238</v>
      </c>
      <c r="F14" s="156">
        <f>conversion_to_TJ!D13</f>
        <v>514025.9964</v>
      </c>
      <c r="G14" s="156">
        <f>conversion_to_TJ!D16*Dashboard!$D$14</f>
        <v>38324.593842287934</v>
      </c>
    </row>
    <row r="15" spans="1:13">
      <c r="A15" s="1">
        <v>2006</v>
      </c>
      <c r="B15" s="157">
        <f>B$14+(B$19-B$14)/($A$19-$A$14)*($A15-$A$14)</f>
        <v>1915.8796800000077</v>
      </c>
      <c r="C15" s="157">
        <f t="shared" ref="C15:G15" si="2">C$14+(C$19-C$14)/($A$19-$A$14)*($A15-$A$14)</f>
        <v>0</v>
      </c>
      <c r="D15" s="157">
        <f t="shared" si="2"/>
        <v>-4.2838564695557581E-11</v>
      </c>
      <c r="E15" s="157">
        <f t="shared" si="2"/>
        <v>200.96640000004192</v>
      </c>
      <c r="F15" s="157">
        <f t="shared" si="2"/>
        <v>514779.62040000001</v>
      </c>
      <c r="G15" s="157">
        <f t="shared" si="2"/>
        <v>46795.920523984409</v>
      </c>
    </row>
    <row r="16" spans="1:13">
      <c r="A16" s="1">
        <v>2007</v>
      </c>
      <c r="B16" s="157">
        <f t="shared" ref="B16:G18" si="3">B$14+(B$19-B$14)/($A$19-$A$14)*($A16-$A$14)</f>
        <v>1436.9097600000066</v>
      </c>
      <c r="C16" s="157">
        <f t="shared" si="3"/>
        <v>0</v>
      </c>
      <c r="D16" s="157">
        <f t="shared" si="3"/>
        <v>-7.0207647695497157E-11</v>
      </c>
      <c r="E16" s="157">
        <f t="shared" si="3"/>
        <v>150.72480000003142</v>
      </c>
      <c r="F16" s="157">
        <f t="shared" si="3"/>
        <v>515533.24440000003</v>
      </c>
      <c r="G16" s="157">
        <f t="shared" si="3"/>
        <v>55267.247205680877</v>
      </c>
    </row>
    <row r="17" spans="1:7">
      <c r="A17" s="1">
        <v>2008</v>
      </c>
      <c r="B17" s="157">
        <f t="shared" si="3"/>
        <v>957.93984000000546</v>
      </c>
      <c r="C17" s="157">
        <f t="shared" si="3"/>
        <v>0</v>
      </c>
      <c r="D17" s="157">
        <f t="shared" si="3"/>
        <v>-9.7576730695436733E-11</v>
      </c>
      <c r="E17" s="157">
        <f t="shared" si="3"/>
        <v>100.48320000002093</v>
      </c>
      <c r="F17" s="157">
        <f t="shared" si="3"/>
        <v>516286.86839999998</v>
      </c>
      <c r="G17" s="157">
        <f t="shared" si="3"/>
        <v>63738.573887377352</v>
      </c>
    </row>
    <row r="18" spans="1:7">
      <c r="A18" s="1">
        <v>2009</v>
      </c>
      <c r="B18" s="157">
        <f t="shared" si="3"/>
        <v>478.96992000000455</v>
      </c>
      <c r="C18" s="157">
        <f t="shared" si="3"/>
        <v>0</v>
      </c>
      <c r="D18" s="157">
        <f t="shared" si="3"/>
        <v>-1.2494581369537628E-10</v>
      </c>
      <c r="E18" s="157">
        <f t="shared" si="3"/>
        <v>50.241600000010465</v>
      </c>
      <c r="F18" s="157">
        <f t="shared" si="3"/>
        <v>517040.49239999999</v>
      </c>
      <c r="G18" s="157">
        <f t="shared" si="3"/>
        <v>72209.900569073827</v>
      </c>
    </row>
    <row r="19" spans="1:7">
      <c r="A19" s="156">
        <v>2010</v>
      </c>
      <c r="B19" s="156">
        <f>conversion_to_TJ!E10*Dashboard!$D$11</f>
        <v>3.5698803912964653E-12</v>
      </c>
      <c r="C19" s="156">
        <f>conversion_to_TJ!E10*Dashboard!$D$12</f>
        <v>0</v>
      </c>
      <c r="D19" s="156">
        <f>conversion_to_TJ!E12</f>
        <v>-1.5231489669531585E-10</v>
      </c>
      <c r="E19" s="156">
        <v>0</v>
      </c>
      <c r="F19" s="156">
        <f>conversion_to_TJ!E13</f>
        <v>517794.1164</v>
      </c>
      <c r="G19" s="156">
        <f>conversion_to_TJ!E16*Dashboard!$D$14</f>
        <v>80681.227250770302</v>
      </c>
    </row>
    <row r="20" spans="1:7">
      <c r="A20" s="157">
        <v>2011</v>
      </c>
      <c r="B20" s="157">
        <f t="shared" ref="B20:B22" si="4">B$19+(B$24-B$19)/($A$24-$A$19)*($A20-$A$19)</f>
        <v>2.8559043130371723E-12</v>
      </c>
      <c r="C20" s="157">
        <f t="shared" ref="C20:C22" si="5">C$19+(C$24-C$19)/($A$24-$A$19)*($A20-$A$19)</f>
        <v>0</v>
      </c>
      <c r="D20" s="157">
        <f t="shared" ref="D20:D22" si="6">D$19+(D$24-D$19)/($A$24-$A$19)*($A20-$A$19)</f>
        <v>-1.2185191735625267E-10</v>
      </c>
      <c r="E20" s="157">
        <v>0</v>
      </c>
      <c r="F20" s="157">
        <f t="shared" ref="F20:F22" si="7">F$19+(F$24-F$19)/($A$24-$A$19)*($A20-$A$19)</f>
        <v>472084.81432189012</v>
      </c>
      <c r="G20" s="158">
        <f t="shared" ref="G20" si="8">G$19+(G$24-G$19)/($A$24-$A$19)*($A20-$A$19)</f>
        <v>81550.359367065597</v>
      </c>
    </row>
    <row r="21" spans="1:7">
      <c r="A21" s="157">
        <v>2012</v>
      </c>
      <c r="B21" s="157">
        <f t="shared" si="4"/>
        <v>2.1419282347778792E-12</v>
      </c>
      <c r="C21" s="157">
        <f t="shared" si="5"/>
        <v>0</v>
      </c>
      <c r="D21" s="157">
        <f t="shared" si="6"/>
        <v>-9.1388938017189512E-11</v>
      </c>
      <c r="E21" s="157">
        <v>0</v>
      </c>
      <c r="F21" s="157">
        <f t="shared" si="7"/>
        <v>426375.51224378031</v>
      </c>
      <c r="G21" s="158">
        <f t="shared" ref="G21:G23" si="9">G$19+(G$24-G$19)/($A$24-$A$19)*($A21-$A$19)</f>
        <v>82419.491483360907</v>
      </c>
    </row>
    <row r="22" spans="1:7">
      <c r="A22" s="166">
        <v>2013</v>
      </c>
      <c r="B22" s="166">
        <f t="shared" si="4"/>
        <v>1.4279521565185861E-12</v>
      </c>
      <c r="C22" s="166">
        <f t="shared" si="5"/>
        <v>0</v>
      </c>
      <c r="D22" s="166">
        <f t="shared" si="6"/>
        <v>-6.0925958678126346E-11</v>
      </c>
      <c r="E22" s="166">
        <v>0</v>
      </c>
      <c r="F22" s="158">
        <f t="shared" si="7"/>
        <v>380666.21016567043</v>
      </c>
      <c r="G22" s="158">
        <f t="shared" si="9"/>
        <v>83288.623599656203</v>
      </c>
    </row>
    <row r="23" spans="1:7">
      <c r="A23" s="1">
        <v>2014</v>
      </c>
      <c r="B23" s="157">
        <f>B$19+(B$24-B$19)/($A$24-$A$19)*($A23-$A$19)</f>
        <v>7.1397607825929307E-13</v>
      </c>
      <c r="C23" s="157">
        <f>C$19+(C$24-C$19)/($A$24-$A$19)*($A23-$A$19)</f>
        <v>0</v>
      </c>
      <c r="D23" s="157">
        <f>D$19+(D$24-D$19)/($A$24-$A$19)*($A23-$A$19)</f>
        <v>-3.0462979339063179E-11</v>
      </c>
      <c r="E23" s="157">
        <v>0</v>
      </c>
      <c r="F23" s="157">
        <f>F$19+(F$24-F$19)/($A$24-$A$19)*($A23-$A$19)</f>
        <v>334956.90808756056</v>
      </c>
      <c r="G23" s="157">
        <f t="shared" si="9"/>
        <v>84157.755715951513</v>
      </c>
    </row>
    <row r="24" spans="1:7">
      <c r="A24" s="156">
        <v>2015</v>
      </c>
      <c r="B24" s="156">
        <f>conversion_to_TJ!F10*Dashboard!$D$11</f>
        <v>0</v>
      </c>
      <c r="C24" s="156">
        <f>conversion_to_TJ!F10*Dashboard!$D$12</f>
        <v>0</v>
      </c>
      <c r="D24" s="156">
        <f>conversion_to_TJ!F12</f>
        <v>0</v>
      </c>
      <c r="E24" s="156">
        <v>0</v>
      </c>
      <c r="F24" s="156">
        <f>conversion_to_TJ!F13</f>
        <v>289247.60600945068</v>
      </c>
      <c r="G24" s="156">
        <f>conversion_to_TJ!F16*Dashboard!$D$14</f>
        <v>85026.887832246808</v>
      </c>
    </row>
    <row r="25" spans="1:7">
      <c r="A25" s="1">
        <v>2016</v>
      </c>
      <c r="B25" s="157">
        <f>B$24+(B$29-B$24)/($A$29-$A$24)*($A25-$A$24)</f>
        <v>0</v>
      </c>
      <c r="C25" s="157">
        <f t="shared" ref="C25:G25" si="10">C$24+(C$29-C$24)/($A$29-$A$24)*($A25-$A$24)</f>
        <v>0</v>
      </c>
      <c r="D25" s="157">
        <f t="shared" si="10"/>
        <v>0</v>
      </c>
      <c r="E25" s="157">
        <f t="shared" si="10"/>
        <v>0</v>
      </c>
      <c r="F25" s="157">
        <f t="shared" si="10"/>
        <v>303676.21608797635</v>
      </c>
      <c r="G25" s="157">
        <f t="shared" si="10"/>
        <v>90660.121188059289</v>
      </c>
    </row>
    <row r="26" spans="1:7">
      <c r="A26" s="1">
        <v>2017</v>
      </c>
      <c r="B26" s="157">
        <f t="shared" ref="B26:G28" si="11">B$24+(B$29-B$24)/($A$29-$A$24)*($A26-$A$24)</f>
        <v>0</v>
      </c>
      <c r="C26" s="157">
        <f t="shared" si="11"/>
        <v>0</v>
      </c>
      <c r="D26" s="157">
        <f t="shared" si="11"/>
        <v>0</v>
      </c>
      <c r="E26" s="157">
        <f t="shared" si="11"/>
        <v>0</v>
      </c>
      <c r="F26" s="157">
        <f t="shared" si="11"/>
        <v>318104.82616650208</v>
      </c>
      <c r="G26" s="157">
        <f t="shared" si="11"/>
        <v>96293.35454387177</v>
      </c>
    </row>
    <row r="27" spans="1:7">
      <c r="A27" s="1">
        <v>2018</v>
      </c>
      <c r="B27" s="157">
        <f t="shared" si="11"/>
        <v>0</v>
      </c>
      <c r="C27" s="157">
        <f t="shared" si="11"/>
        <v>0</v>
      </c>
      <c r="D27" s="157">
        <f t="shared" si="11"/>
        <v>0</v>
      </c>
      <c r="E27" s="157">
        <f t="shared" si="11"/>
        <v>0</v>
      </c>
      <c r="F27" s="157">
        <f t="shared" si="11"/>
        <v>332533.43624502775</v>
      </c>
      <c r="G27" s="157">
        <f t="shared" si="11"/>
        <v>101926.58789968425</v>
      </c>
    </row>
    <row r="28" spans="1:7">
      <c r="A28" s="1">
        <v>2019</v>
      </c>
      <c r="B28" s="157">
        <f t="shared" si="11"/>
        <v>0</v>
      </c>
      <c r="C28" s="157">
        <f t="shared" si="11"/>
        <v>0</v>
      </c>
      <c r="D28" s="157">
        <f t="shared" si="11"/>
        <v>0</v>
      </c>
      <c r="E28" s="157">
        <f t="shared" si="11"/>
        <v>0</v>
      </c>
      <c r="F28" s="157">
        <f t="shared" si="11"/>
        <v>346962.04632355348</v>
      </c>
      <c r="G28" s="157">
        <f t="shared" si="11"/>
        <v>107559.82125549673</v>
      </c>
    </row>
    <row r="29" spans="1:7">
      <c r="A29" s="2">
        <v>2020</v>
      </c>
      <c r="B29" s="156">
        <f>conversion_to_TJ!G10*Dashboard!$D$11</f>
        <v>0</v>
      </c>
      <c r="C29" s="156">
        <f>conversion_to_TJ!G10*Dashboard!$D$12</f>
        <v>0</v>
      </c>
      <c r="D29" s="156">
        <f>conversion_to_TJ!G12</f>
        <v>0</v>
      </c>
      <c r="E29" s="156">
        <v>0</v>
      </c>
      <c r="F29" s="156">
        <f>conversion_to_TJ!G13</f>
        <v>361390.65640207916</v>
      </c>
      <c r="G29" s="156">
        <f>conversion_to_TJ!G16*Dashboard!$D$14</f>
        <v>113193.05461130921</v>
      </c>
    </row>
    <row r="30" spans="1:7">
      <c r="A30" s="1">
        <v>2021</v>
      </c>
      <c r="B30" s="157">
        <f>B$29+(B$34-B$29)/($A$34-$A$29)*($A30-$A$29)</f>
        <v>0</v>
      </c>
      <c r="C30" s="157">
        <f t="shared" ref="C30:G30" si="12">C$29+(C$34-C$29)/($A$34-$A$29)*($A30-$A$29)</f>
        <v>0</v>
      </c>
      <c r="D30" s="157">
        <f t="shared" si="12"/>
        <v>0</v>
      </c>
      <c r="E30" s="157">
        <f t="shared" si="12"/>
        <v>0</v>
      </c>
      <c r="F30" s="157">
        <f t="shared" si="12"/>
        <v>299500.39460166334</v>
      </c>
      <c r="G30" s="157">
        <f t="shared" si="12"/>
        <v>112936.60299356513</v>
      </c>
    </row>
    <row r="31" spans="1:7">
      <c r="A31" s="1">
        <v>2022</v>
      </c>
      <c r="B31" s="157">
        <f t="shared" ref="B31:G33" si="13">B$29+(B$34-B$29)/($A$34-$A$29)*($A31-$A$29)</f>
        <v>0</v>
      </c>
      <c r="C31" s="157">
        <f t="shared" si="13"/>
        <v>0</v>
      </c>
      <c r="D31" s="157">
        <f t="shared" si="13"/>
        <v>0</v>
      </c>
      <c r="E31" s="157">
        <f t="shared" si="13"/>
        <v>0</v>
      </c>
      <c r="F31" s="157">
        <f t="shared" si="13"/>
        <v>237610.13280124747</v>
      </c>
      <c r="G31" s="157">
        <f t="shared" si="13"/>
        <v>112680.15137582105</v>
      </c>
    </row>
    <row r="32" spans="1:7">
      <c r="A32" s="1">
        <v>2023</v>
      </c>
      <c r="B32" s="157">
        <f t="shared" si="13"/>
        <v>0</v>
      </c>
      <c r="C32" s="157">
        <f t="shared" si="13"/>
        <v>0</v>
      </c>
      <c r="D32" s="157">
        <f t="shared" si="13"/>
        <v>0</v>
      </c>
      <c r="E32" s="157">
        <f t="shared" si="13"/>
        <v>0</v>
      </c>
      <c r="F32" s="157">
        <f t="shared" si="13"/>
        <v>175719.87100083166</v>
      </c>
      <c r="G32" s="157">
        <f t="shared" si="13"/>
        <v>112423.69975807698</v>
      </c>
    </row>
    <row r="33" spans="1:7">
      <c r="A33" s="1">
        <v>2024</v>
      </c>
      <c r="B33" s="157">
        <f t="shared" si="13"/>
        <v>0</v>
      </c>
      <c r="C33" s="157">
        <f t="shared" si="13"/>
        <v>0</v>
      </c>
      <c r="D33" s="157">
        <f t="shared" si="13"/>
        <v>0</v>
      </c>
      <c r="E33" s="157">
        <f t="shared" si="13"/>
        <v>0</v>
      </c>
      <c r="F33" s="157">
        <f t="shared" si="13"/>
        <v>113829.60920041581</v>
      </c>
      <c r="G33" s="157">
        <f t="shared" si="13"/>
        <v>112167.2481403329</v>
      </c>
    </row>
    <row r="34" spans="1:7">
      <c r="A34" s="2">
        <v>2025</v>
      </c>
      <c r="B34" s="156">
        <f>conversion_to_TJ!H10*Dashboard!$D$11</f>
        <v>0</v>
      </c>
      <c r="C34" s="156">
        <f>conversion_to_TJ!H10*Dashboard!$D$12</f>
        <v>0</v>
      </c>
      <c r="D34" s="156">
        <f>conversion_to_TJ!H12</f>
        <v>0</v>
      </c>
      <c r="E34" s="156">
        <v>0</v>
      </c>
      <c r="F34" s="156">
        <f>conversion_to_TJ!H13</f>
        <v>51939.347399999999</v>
      </c>
      <c r="G34" s="156">
        <f>conversion_to_TJ!H16*Dashboard!$D$14</f>
        <v>111910.79652258882</v>
      </c>
    </row>
    <row r="35" spans="1:7">
      <c r="A35" s="1">
        <v>2026</v>
      </c>
      <c r="B35" s="157">
        <f>B$34+(B$39-B$34)/($A$39-$A$34)*($A35-$A$34)</f>
        <v>0</v>
      </c>
      <c r="C35" s="157">
        <f t="shared" ref="C35:G35" si="14">C$34+(C$39-C$34)/($A$39-$A$34)*($A35-$A$34)</f>
        <v>0</v>
      </c>
      <c r="D35" s="157">
        <f t="shared" si="14"/>
        <v>0</v>
      </c>
      <c r="E35" s="157">
        <f t="shared" si="14"/>
        <v>0</v>
      </c>
      <c r="F35" s="157">
        <f t="shared" si="14"/>
        <v>41551.477919999998</v>
      </c>
      <c r="G35" s="157">
        <f t="shared" si="14"/>
        <v>112735.26822280094</v>
      </c>
    </row>
    <row r="36" spans="1:7">
      <c r="A36" s="1">
        <v>2027</v>
      </c>
      <c r="B36" s="157">
        <f t="shared" ref="B36:G38" si="15">B$34+(B$39-B$34)/($A$39-$A$34)*($A36-$A$34)</f>
        <v>0</v>
      </c>
      <c r="C36" s="157">
        <f t="shared" si="15"/>
        <v>0</v>
      </c>
      <c r="D36" s="157">
        <f t="shared" si="15"/>
        <v>0</v>
      </c>
      <c r="E36" s="157">
        <f t="shared" si="15"/>
        <v>0</v>
      </c>
      <c r="F36" s="157">
        <f t="shared" si="15"/>
        <v>31163.60844</v>
      </c>
      <c r="G36" s="157">
        <f t="shared" si="15"/>
        <v>113559.73992301305</v>
      </c>
    </row>
    <row r="37" spans="1:7">
      <c r="A37" s="1">
        <v>2028</v>
      </c>
      <c r="B37" s="157">
        <f t="shared" si="15"/>
        <v>0</v>
      </c>
      <c r="C37" s="157">
        <f t="shared" si="15"/>
        <v>0</v>
      </c>
      <c r="D37" s="157">
        <f t="shared" si="15"/>
        <v>0</v>
      </c>
      <c r="E37" s="157">
        <f t="shared" si="15"/>
        <v>0</v>
      </c>
      <c r="F37" s="157">
        <f t="shared" si="15"/>
        <v>20775.738960000002</v>
      </c>
      <c r="G37" s="157">
        <f t="shared" si="15"/>
        <v>114384.21162322517</v>
      </c>
    </row>
    <row r="38" spans="1:7">
      <c r="A38" s="1">
        <v>2029</v>
      </c>
      <c r="B38" s="157">
        <f t="shared" si="15"/>
        <v>0</v>
      </c>
      <c r="C38" s="157">
        <f t="shared" si="15"/>
        <v>0</v>
      </c>
      <c r="D38" s="157">
        <f t="shared" si="15"/>
        <v>0</v>
      </c>
      <c r="E38" s="157">
        <f t="shared" si="15"/>
        <v>0</v>
      </c>
      <c r="F38" s="157">
        <f t="shared" si="15"/>
        <v>10387.869480000001</v>
      </c>
      <c r="G38" s="157">
        <f t="shared" si="15"/>
        <v>115208.68332343729</v>
      </c>
    </row>
    <row r="39" spans="1:7">
      <c r="A39" s="2">
        <v>2030</v>
      </c>
      <c r="B39" s="156">
        <f>conversion_to_TJ!I10*Dashboard!$D$11</f>
        <v>0</v>
      </c>
      <c r="C39" s="156">
        <f>conversion_to_TJ!I10*Dashboard!$D$12</f>
        <v>0</v>
      </c>
      <c r="D39" s="156">
        <f>conversion_to_TJ!I12</f>
        <v>0</v>
      </c>
      <c r="E39" s="156">
        <v>0</v>
      </c>
      <c r="F39" s="156">
        <f>conversion_to_TJ!I13</f>
        <v>0</v>
      </c>
      <c r="G39" s="156">
        <f>conversion_to_TJ!I16*Dashboard!$D$14</f>
        <v>116033.15502364941</v>
      </c>
    </row>
    <row r="40" spans="1:7">
      <c r="A40" s="1">
        <v>2031</v>
      </c>
      <c r="B40" s="157">
        <f>B$39+(B$44-B$39)/($A$44-$A$39)*($A40-$A$39)</f>
        <v>0</v>
      </c>
      <c r="C40" s="157">
        <f t="shared" ref="C40:G40" si="16">C$39+(C$44-C$39)/($A$44-$A$39)*($A40-$A$39)</f>
        <v>0</v>
      </c>
      <c r="D40" s="157">
        <f t="shared" si="16"/>
        <v>0</v>
      </c>
      <c r="E40" s="157">
        <f t="shared" si="16"/>
        <v>0</v>
      </c>
      <c r="F40" s="157">
        <f t="shared" si="16"/>
        <v>0</v>
      </c>
      <c r="G40" s="157">
        <f t="shared" si="16"/>
        <v>112515.91462615289</v>
      </c>
    </row>
    <row r="41" spans="1:7">
      <c r="A41" s="1">
        <v>2032</v>
      </c>
      <c r="B41" s="157">
        <f t="shared" ref="B41:G43" si="17">B$39+(B$44-B$39)/($A$44-$A$39)*($A41-$A$39)</f>
        <v>0</v>
      </c>
      <c r="C41" s="157">
        <f t="shared" si="17"/>
        <v>0</v>
      </c>
      <c r="D41" s="157">
        <f t="shared" si="17"/>
        <v>0</v>
      </c>
      <c r="E41" s="157">
        <f t="shared" si="17"/>
        <v>0</v>
      </c>
      <c r="F41" s="157">
        <f t="shared" si="17"/>
        <v>0</v>
      </c>
      <c r="G41" s="157">
        <f t="shared" si="17"/>
        <v>108998.67422865638</v>
      </c>
    </row>
    <row r="42" spans="1:7">
      <c r="A42" s="1">
        <v>2033</v>
      </c>
      <c r="B42" s="157">
        <f t="shared" si="17"/>
        <v>0</v>
      </c>
      <c r="C42" s="157">
        <f t="shared" si="17"/>
        <v>0</v>
      </c>
      <c r="D42" s="157">
        <f t="shared" si="17"/>
        <v>0</v>
      </c>
      <c r="E42" s="157">
        <f t="shared" si="17"/>
        <v>0</v>
      </c>
      <c r="F42" s="157">
        <f t="shared" si="17"/>
        <v>0</v>
      </c>
      <c r="G42" s="157">
        <f t="shared" si="17"/>
        <v>105481.43383115987</v>
      </c>
    </row>
    <row r="43" spans="1:7">
      <c r="A43" s="1">
        <v>2034</v>
      </c>
      <c r="B43" s="157">
        <f t="shared" si="17"/>
        <v>0</v>
      </c>
      <c r="C43" s="157">
        <f t="shared" si="17"/>
        <v>0</v>
      </c>
      <c r="D43" s="157">
        <f t="shared" si="17"/>
        <v>0</v>
      </c>
      <c r="E43" s="157">
        <f t="shared" si="17"/>
        <v>0</v>
      </c>
      <c r="F43" s="157">
        <f t="shared" si="17"/>
        <v>0</v>
      </c>
      <c r="G43" s="157">
        <f t="shared" si="17"/>
        <v>101964.19343366336</v>
      </c>
    </row>
    <row r="44" spans="1:7">
      <c r="A44" s="2">
        <v>2035</v>
      </c>
      <c r="B44" s="156">
        <f>conversion_to_TJ!J10*Dashboard!$D$11</f>
        <v>0</v>
      </c>
      <c r="C44" s="156">
        <f>conversion_to_TJ!J10*Dashboard!$D$12</f>
        <v>0</v>
      </c>
      <c r="D44" s="156">
        <f>conversion_to_TJ!J12</f>
        <v>0</v>
      </c>
      <c r="E44" s="156">
        <v>0</v>
      </c>
      <c r="F44" s="156">
        <f>conversion_to_TJ!J13</f>
        <v>0</v>
      </c>
      <c r="G44" s="156">
        <f>conversion_to_TJ!J16*Dashboard!$D$14</f>
        <v>98446.953036166844</v>
      </c>
    </row>
    <row r="45" spans="1:7">
      <c r="A45" s="1">
        <v>2036</v>
      </c>
      <c r="B45" s="157">
        <f>B$44+(B$49-B$44)/($A$49-$A$44)*($A45-$A$44)</f>
        <v>0</v>
      </c>
      <c r="C45" s="157">
        <f t="shared" ref="C45:G45" si="18">C$44+(C$49-C$44)/($A$49-$A$44)*($A45-$A$44)</f>
        <v>0</v>
      </c>
      <c r="D45" s="157">
        <f t="shared" si="18"/>
        <v>0</v>
      </c>
      <c r="E45" s="157">
        <f t="shared" si="18"/>
        <v>0</v>
      </c>
      <c r="F45" s="157">
        <f t="shared" si="18"/>
        <v>0</v>
      </c>
      <c r="G45" s="157">
        <f t="shared" si="18"/>
        <v>100514.56887461344</v>
      </c>
    </row>
    <row r="46" spans="1:7">
      <c r="A46" s="1">
        <v>2037</v>
      </c>
      <c r="B46" s="157">
        <f t="shared" ref="B46:G48" si="19">B$44+(B$49-B$44)/($A$49-$A$44)*($A46-$A$44)</f>
        <v>0</v>
      </c>
      <c r="C46" s="157">
        <f t="shared" si="19"/>
        <v>0</v>
      </c>
      <c r="D46" s="157">
        <f t="shared" si="19"/>
        <v>0</v>
      </c>
      <c r="E46" s="157">
        <f t="shared" si="19"/>
        <v>0</v>
      </c>
      <c r="F46" s="157">
        <f t="shared" si="19"/>
        <v>0</v>
      </c>
      <c r="G46" s="157">
        <f t="shared" si="19"/>
        <v>102582.18471306004</v>
      </c>
    </row>
    <row r="47" spans="1:7">
      <c r="A47" s="1">
        <v>2038</v>
      </c>
      <c r="B47" s="157">
        <f t="shared" si="19"/>
        <v>0</v>
      </c>
      <c r="C47" s="157">
        <f t="shared" si="19"/>
        <v>0</v>
      </c>
      <c r="D47" s="157">
        <f t="shared" si="19"/>
        <v>0</v>
      </c>
      <c r="E47" s="157">
        <f t="shared" si="19"/>
        <v>0</v>
      </c>
      <c r="F47" s="157">
        <f t="shared" si="19"/>
        <v>0</v>
      </c>
      <c r="G47" s="157">
        <f t="shared" si="19"/>
        <v>104649.80055150665</v>
      </c>
    </row>
    <row r="48" spans="1:7">
      <c r="A48" s="1">
        <v>2039</v>
      </c>
      <c r="B48" s="157">
        <f t="shared" si="19"/>
        <v>0</v>
      </c>
      <c r="C48" s="157">
        <f t="shared" si="19"/>
        <v>0</v>
      </c>
      <c r="D48" s="157">
        <f t="shared" si="19"/>
        <v>0</v>
      </c>
      <c r="E48" s="157">
        <f t="shared" si="19"/>
        <v>0</v>
      </c>
      <c r="F48" s="157">
        <f t="shared" si="19"/>
        <v>0</v>
      </c>
      <c r="G48" s="157">
        <f t="shared" si="19"/>
        <v>106717.41638995324</v>
      </c>
    </row>
    <row r="49" spans="1:7">
      <c r="A49" s="2">
        <v>2040</v>
      </c>
      <c r="B49" s="156">
        <f>conversion_to_TJ!K10*Dashboard!$D$11</f>
        <v>0</v>
      </c>
      <c r="C49" s="156">
        <f>conversion_to_TJ!K10*Dashboard!$D$12</f>
        <v>0</v>
      </c>
      <c r="D49" s="156">
        <f>conversion_to_TJ!K12</f>
        <v>0</v>
      </c>
      <c r="E49" s="156">
        <v>0</v>
      </c>
      <c r="F49" s="156">
        <f>conversion_to_TJ!K13</f>
        <v>0</v>
      </c>
      <c r="G49" s="156">
        <f>conversion_to_TJ!K16*Dashboard!$D$14</f>
        <v>108785.03222839984</v>
      </c>
    </row>
    <row r="50" spans="1:7">
      <c r="A50" s="1">
        <v>2041</v>
      </c>
      <c r="B50" s="157">
        <f>B$49+(B$54-B$49)/($A$54-$A$49)*($A50-$A$49)</f>
        <v>0</v>
      </c>
      <c r="C50" s="157">
        <f t="shared" ref="C50:G50" si="20">C$49+(C$54-C$49)/($A$54-$A$49)*($A50-$A$49)</f>
        <v>0</v>
      </c>
      <c r="D50" s="157">
        <f t="shared" si="20"/>
        <v>0</v>
      </c>
      <c r="E50" s="157">
        <f t="shared" si="20"/>
        <v>0</v>
      </c>
      <c r="F50" s="157">
        <f t="shared" si="20"/>
        <v>0</v>
      </c>
      <c r="G50" s="157">
        <f t="shared" si="20"/>
        <v>109853.1790171441</v>
      </c>
    </row>
    <row r="51" spans="1:7">
      <c r="A51" s="1">
        <v>2042</v>
      </c>
      <c r="B51" s="157">
        <f t="shared" ref="B51:G53" si="21">B$49+(B$54-B$49)/($A$54-$A$49)*($A51-$A$49)</f>
        <v>0</v>
      </c>
      <c r="C51" s="157">
        <f t="shared" si="21"/>
        <v>0</v>
      </c>
      <c r="D51" s="157">
        <f t="shared" si="21"/>
        <v>0</v>
      </c>
      <c r="E51" s="157">
        <f t="shared" si="21"/>
        <v>0</v>
      </c>
      <c r="F51" s="157">
        <f t="shared" si="21"/>
        <v>0</v>
      </c>
      <c r="G51" s="157">
        <f t="shared" si="21"/>
        <v>110921.32580588835</v>
      </c>
    </row>
    <row r="52" spans="1:7">
      <c r="A52" s="1">
        <v>2043</v>
      </c>
      <c r="B52" s="157">
        <f t="shared" si="21"/>
        <v>0</v>
      </c>
      <c r="C52" s="157">
        <f t="shared" si="21"/>
        <v>0</v>
      </c>
      <c r="D52" s="157">
        <f t="shared" si="21"/>
        <v>0</v>
      </c>
      <c r="E52" s="157">
        <f t="shared" si="21"/>
        <v>0</v>
      </c>
      <c r="F52" s="157">
        <f t="shared" si="21"/>
        <v>0</v>
      </c>
      <c r="G52" s="157">
        <f t="shared" si="21"/>
        <v>111989.47259463259</v>
      </c>
    </row>
    <row r="53" spans="1:7">
      <c r="A53" s="1">
        <v>2044</v>
      </c>
      <c r="B53" s="157">
        <f t="shared" si="21"/>
        <v>0</v>
      </c>
      <c r="C53" s="157">
        <f t="shared" si="21"/>
        <v>0</v>
      </c>
      <c r="D53" s="157">
        <f t="shared" si="21"/>
        <v>0</v>
      </c>
      <c r="E53" s="157">
        <f t="shared" si="21"/>
        <v>0</v>
      </c>
      <c r="F53" s="157">
        <f t="shared" si="21"/>
        <v>0</v>
      </c>
      <c r="G53" s="157">
        <f t="shared" si="21"/>
        <v>113057.61938337685</v>
      </c>
    </row>
    <row r="54" spans="1:7">
      <c r="A54" s="2">
        <v>2045</v>
      </c>
      <c r="B54" s="156">
        <f>conversion_to_TJ!L10*Dashboard!$D$11</f>
        <v>0</v>
      </c>
      <c r="C54" s="156">
        <f>conversion_to_TJ!L10*Dashboard!$D$12</f>
        <v>0</v>
      </c>
      <c r="D54" s="156">
        <f>conversion_to_TJ!L12</f>
        <v>0</v>
      </c>
      <c r="E54" s="156">
        <v>0</v>
      </c>
      <c r="F54" s="156">
        <f>conversion_to_TJ!L13</f>
        <v>0</v>
      </c>
      <c r="G54" s="156">
        <f>conversion_to_TJ!L16*Dashboard!$D$14</f>
        <v>114125.7661721211</v>
      </c>
    </row>
    <row r="55" spans="1:7">
      <c r="A55" s="1">
        <v>2046</v>
      </c>
      <c r="B55" s="157">
        <f>B$54+(B$59-B$54)/($A$59-$A$54)*($A55-$A$54)</f>
        <v>0</v>
      </c>
      <c r="C55" s="157">
        <f t="shared" ref="C55:G55" si="22">C$54+(C$59-C$54)/($A$59-$A$54)*($A55-$A$54)</f>
        <v>0</v>
      </c>
      <c r="D55" s="157">
        <f t="shared" si="22"/>
        <v>0</v>
      </c>
      <c r="E55" s="157">
        <f t="shared" si="22"/>
        <v>0</v>
      </c>
      <c r="F55" s="157">
        <f t="shared" si="22"/>
        <v>0</v>
      </c>
      <c r="G55" s="157">
        <f t="shared" si="22"/>
        <v>114585.9877062743</v>
      </c>
    </row>
    <row r="56" spans="1:7">
      <c r="A56" s="1">
        <v>2047</v>
      </c>
      <c r="B56" s="157">
        <f t="shared" ref="B56:G58" si="23">B$54+(B$59-B$54)/($A$59-$A$54)*($A56-$A$54)</f>
        <v>0</v>
      </c>
      <c r="C56" s="157">
        <f t="shared" si="23"/>
        <v>0</v>
      </c>
      <c r="D56" s="157">
        <f t="shared" si="23"/>
        <v>0</v>
      </c>
      <c r="E56" s="157">
        <f t="shared" si="23"/>
        <v>0</v>
      </c>
      <c r="F56" s="157">
        <f t="shared" si="23"/>
        <v>0</v>
      </c>
      <c r="G56" s="157">
        <f t="shared" si="23"/>
        <v>115046.20924042749</v>
      </c>
    </row>
    <row r="57" spans="1:7">
      <c r="A57" s="1">
        <v>2048</v>
      </c>
      <c r="B57" s="157">
        <f t="shared" si="23"/>
        <v>0</v>
      </c>
      <c r="C57" s="157">
        <f t="shared" si="23"/>
        <v>0</v>
      </c>
      <c r="D57" s="157">
        <f t="shared" si="23"/>
        <v>0</v>
      </c>
      <c r="E57" s="157">
        <f t="shared" si="23"/>
        <v>0</v>
      </c>
      <c r="F57" s="157">
        <f t="shared" si="23"/>
        <v>0</v>
      </c>
      <c r="G57" s="157">
        <f t="shared" si="23"/>
        <v>115506.43077458069</v>
      </c>
    </row>
    <row r="58" spans="1:7">
      <c r="A58" s="1">
        <v>2049</v>
      </c>
      <c r="B58" s="157">
        <f t="shared" si="23"/>
        <v>0</v>
      </c>
      <c r="C58" s="157">
        <f t="shared" si="23"/>
        <v>0</v>
      </c>
      <c r="D58" s="157">
        <f t="shared" si="23"/>
        <v>0</v>
      </c>
      <c r="E58" s="157">
        <f t="shared" si="23"/>
        <v>0</v>
      </c>
      <c r="F58" s="157">
        <f t="shared" si="23"/>
        <v>0</v>
      </c>
      <c r="G58" s="157">
        <f t="shared" si="23"/>
        <v>115966.65230873387</v>
      </c>
    </row>
    <row r="59" spans="1:7">
      <c r="A59" s="2">
        <v>2050</v>
      </c>
      <c r="B59" s="156">
        <f>conversion_to_TJ!M10*Dashboard!$D$11</f>
        <v>0</v>
      </c>
      <c r="C59" s="156">
        <f>conversion_to_TJ!M10*Dashboard!$D$12</f>
        <v>0</v>
      </c>
      <c r="D59" s="156">
        <f>conversion_to_TJ!M12</f>
        <v>0</v>
      </c>
      <c r="E59" s="156">
        <v>0</v>
      </c>
      <c r="F59" s="156">
        <f>conversion_to_TJ!M13</f>
        <v>0</v>
      </c>
      <c r="G59" s="156">
        <f>conversion_to_TJ!M16*Dashboard!$D$14</f>
        <v>116426.87384288707</v>
      </c>
    </row>
  </sheetData>
  <mergeCells count="1">
    <mergeCell ref="B3:G5"/>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7" tint="0.39997558519241921"/>
  </sheetPr>
  <dimension ref="A1:G42"/>
  <sheetViews>
    <sheetView workbookViewId="0"/>
  </sheetViews>
  <sheetFormatPr baseColWidth="10" defaultRowHeight="16"/>
  <sheetData>
    <row r="1" spans="1:7">
      <c r="A1" t="s">
        <v>0</v>
      </c>
      <c r="B1" t="s">
        <v>1</v>
      </c>
      <c r="C1" t="s">
        <v>2</v>
      </c>
      <c r="D1" t="s">
        <v>3</v>
      </c>
      <c r="E1" t="s">
        <v>4</v>
      </c>
      <c r="F1" t="s">
        <v>5</v>
      </c>
      <c r="G1" t="s">
        <v>6</v>
      </c>
    </row>
    <row r="2" spans="1:7">
      <c r="A2">
        <v>2010</v>
      </c>
      <c r="B2">
        <f>interpolation!B19</f>
        <v>3.5698803912964653E-12</v>
      </c>
      <c r="C2">
        <f>interpolation!C19</f>
        <v>0</v>
      </c>
      <c r="D2">
        <f>interpolation!D19</f>
        <v>-1.5231489669531585E-10</v>
      </c>
      <c r="E2">
        <f>interpolation!E19</f>
        <v>0</v>
      </c>
      <c r="F2">
        <f>interpolation!F19</f>
        <v>517794.1164</v>
      </c>
      <c r="G2">
        <f>interpolation!G19</f>
        <v>80681.227250770302</v>
      </c>
    </row>
    <row r="3" spans="1:7">
      <c r="A3">
        <v>2011</v>
      </c>
      <c r="B3">
        <f>interpolation!B20</f>
        <v>2.8559043130371723E-12</v>
      </c>
      <c r="C3">
        <f>interpolation!C20</f>
        <v>0</v>
      </c>
      <c r="D3">
        <f>interpolation!D20</f>
        <v>-1.2185191735625267E-10</v>
      </c>
      <c r="E3">
        <f>interpolation!E20</f>
        <v>0</v>
      </c>
      <c r="F3">
        <f>interpolation!F20</f>
        <v>472084.81432189012</v>
      </c>
      <c r="G3">
        <f>interpolation!G20</f>
        <v>81550.359367065597</v>
      </c>
    </row>
    <row r="4" spans="1:7">
      <c r="A4">
        <v>2012</v>
      </c>
      <c r="B4">
        <f>interpolation!B21</f>
        <v>2.1419282347778792E-12</v>
      </c>
      <c r="C4">
        <f>interpolation!C21</f>
        <v>0</v>
      </c>
      <c r="D4">
        <f>interpolation!D21</f>
        <v>-9.1388938017189512E-11</v>
      </c>
      <c r="E4">
        <f>interpolation!E21</f>
        <v>0</v>
      </c>
      <c r="F4">
        <f>interpolation!F21</f>
        <v>426375.51224378031</v>
      </c>
      <c r="G4">
        <f>interpolation!G21</f>
        <v>82419.491483360907</v>
      </c>
    </row>
    <row r="5" spans="1:7">
      <c r="A5">
        <v>2013</v>
      </c>
      <c r="B5">
        <f>interpolation!B22</f>
        <v>1.4279521565185861E-12</v>
      </c>
      <c r="C5">
        <f>interpolation!C22</f>
        <v>0</v>
      </c>
      <c r="D5">
        <f>interpolation!D22</f>
        <v>-6.0925958678126346E-11</v>
      </c>
      <c r="E5">
        <f>interpolation!E22</f>
        <v>0</v>
      </c>
      <c r="F5">
        <f>interpolation!F22</f>
        <v>380666.21016567043</v>
      </c>
      <c r="G5">
        <f>interpolation!G22</f>
        <v>83288.623599656203</v>
      </c>
    </row>
    <row r="6" spans="1:7">
      <c r="A6">
        <v>2014</v>
      </c>
      <c r="B6">
        <f>interpolation!B23</f>
        <v>7.1397607825929307E-13</v>
      </c>
      <c r="C6">
        <f>interpolation!C23</f>
        <v>0</v>
      </c>
      <c r="D6">
        <f>interpolation!D23</f>
        <v>-3.0462979339063179E-11</v>
      </c>
      <c r="E6">
        <f>interpolation!E23</f>
        <v>0</v>
      </c>
      <c r="F6">
        <f>interpolation!F23</f>
        <v>334956.90808756056</v>
      </c>
      <c r="G6">
        <f>interpolation!G23</f>
        <v>84157.755715951513</v>
      </c>
    </row>
    <row r="7" spans="1:7">
      <c r="A7">
        <v>2015</v>
      </c>
      <c r="B7">
        <f>interpolation!B24</f>
        <v>0</v>
      </c>
      <c r="C7">
        <f>interpolation!C24</f>
        <v>0</v>
      </c>
      <c r="D7">
        <f>interpolation!D24</f>
        <v>0</v>
      </c>
      <c r="E7">
        <f>interpolation!E24</f>
        <v>0</v>
      </c>
      <c r="F7">
        <f>interpolation!F24</f>
        <v>289247.60600945068</v>
      </c>
      <c r="G7">
        <f>interpolation!G24</f>
        <v>85026.887832246808</v>
      </c>
    </row>
    <row r="8" spans="1:7">
      <c r="A8">
        <v>2016</v>
      </c>
      <c r="B8">
        <f>interpolation!B25</f>
        <v>0</v>
      </c>
      <c r="C8">
        <f>interpolation!C25</f>
        <v>0</v>
      </c>
      <c r="D8">
        <f>interpolation!D25</f>
        <v>0</v>
      </c>
      <c r="E8">
        <f>interpolation!E25</f>
        <v>0</v>
      </c>
      <c r="F8">
        <f>interpolation!F25</f>
        <v>303676.21608797635</v>
      </c>
      <c r="G8">
        <f>interpolation!G25</f>
        <v>90660.121188059289</v>
      </c>
    </row>
    <row r="9" spans="1:7">
      <c r="A9">
        <v>2017</v>
      </c>
      <c r="B9">
        <f>interpolation!B26</f>
        <v>0</v>
      </c>
      <c r="C9">
        <f>interpolation!C26</f>
        <v>0</v>
      </c>
      <c r="D9">
        <f>interpolation!D26</f>
        <v>0</v>
      </c>
      <c r="E9">
        <f>interpolation!E26</f>
        <v>0</v>
      </c>
      <c r="F9">
        <f>interpolation!F26</f>
        <v>318104.82616650208</v>
      </c>
      <c r="G9">
        <f>interpolation!G26</f>
        <v>96293.35454387177</v>
      </c>
    </row>
    <row r="10" spans="1:7">
      <c r="A10">
        <v>2018</v>
      </c>
      <c r="B10">
        <f>interpolation!B27</f>
        <v>0</v>
      </c>
      <c r="C10">
        <f>interpolation!C27</f>
        <v>0</v>
      </c>
      <c r="D10">
        <f>interpolation!D27</f>
        <v>0</v>
      </c>
      <c r="E10">
        <f>interpolation!E27</f>
        <v>0</v>
      </c>
      <c r="F10">
        <f>interpolation!F27</f>
        <v>332533.43624502775</v>
      </c>
      <c r="G10">
        <f>interpolation!G27</f>
        <v>101926.58789968425</v>
      </c>
    </row>
    <row r="11" spans="1:7">
      <c r="A11">
        <v>2019</v>
      </c>
      <c r="B11">
        <f>interpolation!B28</f>
        <v>0</v>
      </c>
      <c r="C11">
        <f>interpolation!C28</f>
        <v>0</v>
      </c>
      <c r="D11">
        <f>interpolation!D28</f>
        <v>0</v>
      </c>
      <c r="E11">
        <f>interpolation!E28</f>
        <v>0</v>
      </c>
      <c r="F11">
        <f>interpolation!F28</f>
        <v>346962.04632355348</v>
      </c>
      <c r="G11">
        <f>interpolation!G28</f>
        <v>107559.82125549673</v>
      </c>
    </row>
    <row r="12" spans="1:7">
      <c r="A12">
        <v>2020</v>
      </c>
      <c r="B12">
        <f>interpolation!B29</f>
        <v>0</v>
      </c>
      <c r="C12">
        <f>interpolation!C29</f>
        <v>0</v>
      </c>
      <c r="D12">
        <f>interpolation!D29</f>
        <v>0</v>
      </c>
      <c r="E12">
        <f>interpolation!E29</f>
        <v>0</v>
      </c>
      <c r="F12">
        <f>interpolation!F29</f>
        <v>361390.65640207916</v>
      </c>
      <c r="G12">
        <f>interpolation!G29</f>
        <v>113193.05461130921</v>
      </c>
    </row>
    <row r="13" spans="1:7">
      <c r="A13">
        <v>2021</v>
      </c>
      <c r="B13">
        <f>interpolation!B30</f>
        <v>0</v>
      </c>
      <c r="C13">
        <f>interpolation!C30</f>
        <v>0</v>
      </c>
      <c r="D13">
        <f>interpolation!D30</f>
        <v>0</v>
      </c>
      <c r="E13">
        <f>interpolation!E30</f>
        <v>0</v>
      </c>
      <c r="F13">
        <f>interpolation!F30</f>
        <v>299500.39460166334</v>
      </c>
      <c r="G13">
        <f>interpolation!G30</f>
        <v>112936.60299356513</v>
      </c>
    </row>
    <row r="14" spans="1:7">
      <c r="A14">
        <v>2022</v>
      </c>
      <c r="B14">
        <f>interpolation!B31</f>
        <v>0</v>
      </c>
      <c r="C14">
        <f>interpolation!C31</f>
        <v>0</v>
      </c>
      <c r="D14">
        <f>interpolation!D31</f>
        <v>0</v>
      </c>
      <c r="E14">
        <f>interpolation!E31</f>
        <v>0</v>
      </c>
      <c r="F14">
        <f>interpolation!F31</f>
        <v>237610.13280124747</v>
      </c>
      <c r="G14">
        <f>interpolation!G31</f>
        <v>112680.15137582105</v>
      </c>
    </row>
    <row r="15" spans="1:7">
      <c r="A15">
        <v>2023</v>
      </c>
      <c r="B15">
        <f>interpolation!B32</f>
        <v>0</v>
      </c>
      <c r="C15">
        <f>interpolation!C32</f>
        <v>0</v>
      </c>
      <c r="D15">
        <f>interpolation!D32</f>
        <v>0</v>
      </c>
      <c r="E15">
        <f>interpolation!E32</f>
        <v>0</v>
      </c>
      <c r="F15">
        <f>interpolation!F32</f>
        <v>175719.87100083166</v>
      </c>
      <c r="G15">
        <f>interpolation!G32</f>
        <v>112423.69975807698</v>
      </c>
    </row>
    <row r="16" spans="1:7">
      <c r="A16">
        <v>2024</v>
      </c>
      <c r="B16">
        <f>interpolation!B33</f>
        <v>0</v>
      </c>
      <c r="C16">
        <f>interpolation!C33</f>
        <v>0</v>
      </c>
      <c r="D16">
        <f>interpolation!D33</f>
        <v>0</v>
      </c>
      <c r="E16">
        <f>interpolation!E33</f>
        <v>0</v>
      </c>
      <c r="F16">
        <f>interpolation!F33</f>
        <v>113829.60920041581</v>
      </c>
      <c r="G16">
        <f>interpolation!G33</f>
        <v>112167.2481403329</v>
      </c>
    </row>
    <row r="17" spans="1:7">
      <c r="A17">
        <v>2025</v>
      </c>
      <c r="B17">
        <f>interpolation!B34</f>
        <v>0</v>
      </c>
      <c r="C17">
        <f>interpolation!C34</f>
        <v>0</v>
      </c>
      <c r="D17">
        <f>interpolation!D34</f>
        <v>0</v>
      </c>
      <c r="E17">
        <f>interpolation!E34</f>
        <v>0</v>
      </c>
      <c r="F17">
        <f>interpolation!F34</f>
        <v>51939.347399999999</v>
      </c>
      <c r="G17">
        <f>interpolation!G34</f>
        <v>111910.79652258882</v>
      </c>
    </row>
    <row r="18" spans="1:7">
      <c r="A18">
        <v>2026</v>
      </c>
      <c r="B18">
        <f>interpolation!B35</f>
        <v>0</v>
      </c>
      <c r="C18">
        <f>interpolation!C35</f>
        <v>0</v>
      </c>
      <c r="D18">
        <f>interpolation!D35</f>
        <v>0</v>
      </c>
      <c r="E18">
        <f>interpolation!E35</f>
        <v>0</v>
      </c>
      <c r="F18">
        <f>interpolation!F35</f>
        <v>41551.477919999998</v>
      </c>
      <c r="G18">
        <f>interpolation!G35</f>
        <v>112735.26822280094</v>
      </c>
    </row>
    <row r="19" spans="1:7">
      <c r="A19">
        <v>2027</v>
      </c>
      <c r="B19">
        <f>interpolation!B36</f>
        <v>0</v>
      </c>
      <c r="C19">
        <f>interpolation!C36</f>
        <v>0</v>
      </c>
      <c r="D19">
        <f>interpolation!D36</f>
        <v>0</v>
      </c>
      <c r="E19">
        <f>interpolation!E36</f>
        <v>0</v>
      </c>
      <c r="F19">
        <f>interpolation!F36</f>
        <v>31163.60844</v>
      </c>
      <c r="G19">
        <f>interpolation!G36</f>
        <v>113559.73992301305</v>
      </c>
    </row>
    <row r="20" spans="1:7">
      <c r="A20">
        <v>2028</v>
      </c>
      <c r="B20">
        <f>interpolation!B37</f>
        <v>0</v>
      </c>
      <c r="C20">
        <f>interpolation!C37</f>
        <v>0</v>
      </c>
      <c r="D20">
        <f>interpolation!D37</f>
        <v>0</v>
      </c>
      <c r="E20">
        <f>interpolation!E37</f>
        <v>0</v>
      </c>
      <c r="F20">
        <f>interpolation!F37</f>
        <v>20775.738960000002</v>
      </c>
      <c r="G20">
        <f>interpolation!G37</f>
        <v>114384.21162322517</v>
      </c>
    </row>
    <row r="21" spans="1:7">
      <c r="A21">
        <v>2029</v>
      </c>
      <c r="B21">
        <f>interpolation!B38</f>
        <v>0</v>
      </c>
      <c r="C21">
        <f>interpolation!C38</f>
        <v>0</v>
      </c>
      <c r="D21">
        <f>interpolation!D38</f>
        <v>0</v>
      </c>
      <c r="E21">
        <f>interpolation!E38</f>
        <v>0</v>
      </c>
      <c r="F21">
        <f>interpolation!F38</f>
        <v>10387.869480000001</v>
      </c>
      <c r="G21">
        <f>interpolation!G38</f>
        <v>115208.68332343729</v>
      </c>
    </row>
    <row r="22" spans="1:7">
      <c r="A22">
        <v>2030</v>
      </c>
      <c r="B22">
        <f>interpolation!B39</f>
        <v>0</v>
      </c>
      <c r="C22">
        <f>interpolation!C39</f>
        <v>0</v>
      </c>
      <c r="D22">
        <f>interpolation!D39</f>
        <v>0</v>
      </c>
      <c r="E22">
        <f>interpolation!E39</f>
        <v>0</v>
      </c>
      <c r="F22">
        <f>interpolation!F39</f>
        <v>0</v>
      </c>
      <c r="G22">
        <f>interpolation!G39</f>
        <v>116033.15502364941</v>
      </c>
    </row>
    <row r="23" spans="1:7">
      <c r="A23">
        <v>2031</v>
      </c>
      <c r="B23">
        <f>interpolation!B40</f>
        <v>0</v>
      </c>
      <c r="C23">
        <f>interpolation!C40</f>
        <v>0</v>
      </c>
      <c r="D23">
        <f>interpolation!D40</f>
        <v>0</v>
      </c>
      <c r="E23">
        <f>interpolation!E40</f>
        <v>0</v>
      </c>
      <c r="F23">
        <f>interpolation!F40</f>
        <v>0</v>
      </c>
      <c r="G23">
        <f>interpolation!G40</f>
        <v>112515.91462615289</v>
      </c>
    </row>
    <row r="24" spans="1:7">
      <c r="A24">
        <v>2032</v>
      </c>
      <c r="B24">
        <f>interpolation!B41</f>
        <v>0</v>
      </c>
      <c r="C24">
        <f>interpolation!C41</f>
        <v>0</v>
      </c>
      <c r="D24">
        <f>interpolation!D41</f>
        <v>0</v>
      </c>
      <c r="E24">
        <f>interpolation!E41</f>
        <v>0</v>
      </c>
      <c r="F24">
        <f>interpolation!F41</f>
        <v>0</v>
      </c>
      <c r="G24">
        <f>interpolation!G41</f>
        <v>108998.67422865638</v>
      </c>
    </row>
    <row r="25" spans="1:7">
      <c r="A25">
        <v>2033</v>
      </c>
      <c r="B25">
        <f>interpolation!B42</f>
        <v>0</v>
      </c>
      <c r="C25">
        <f>interpolation!C42</f>
        <v>0</v>
      </c>
      <c r="D25">
        <f>interpolation!D42</f>
        <v>0</v>
      </c>
      <c r="E25">
        <f>interpolation!E42</f>
        <v>0</v>
      </c>
      <c r="F25">
        <f>interpolation!F42</f>
        <v>0</v>
      </c>
      <c r="G25">
        <f>interpolation!G42</f>
        <v>105481.43383115987</v>
      </c>
    </row>
    <row r="26" spans="1:7">
      <c r="A26">
        <v>2034</v>
      </c>
      <c r="B26">
        <f>interpolation!B43</f>
        <v>0</v>
      </c>
      <c r="C26">
        <f>interpolation!C43</f>
        <v>0</v>
      </c>
      <c r="D26">
        <f>interpolation!D43</f>
        <v>0</v>
      </c>
      <c r="E26">
        <f>interpolation!E43</f>
        <v>0</v>
      </c>
      <c r="F26">
        <f>interpolation!F43</f>
        <v>0</v>
      </c>
      <c r="G26">
        <f>interpolation!G43</f>
        <v>101964.19343366336</v>
      </c>
    </row>
    <row r="27" spans="1:7">
      <c r="A27">
        <v>2035</v>
      </c>
      <c r="B27">
        <f>interpolation!B44</f>
        <v>0</v>
      </c>
      <c r="C27">
        <f>interpolation!C44</f>
        <v>0</v>
      </c>
      <c r="D27">
        <f>interpolation!D44</f>
        <v>0</v>
      </c>
      <c r="E27">
        <f>interpolation!E44</f>
        <v>0</v>
      </c>
      <c r="F27">
        <f>interpolation!F44</f>
        <v>0</v>
      </c>
      <c r="G27">
        <f>interpolation!G44</f>
        <v>98446.953036166844</v>
      </c>
    </row>
    <row r="28" spans="1:7">
      <c r="A28">
        <v>2036</v>
      </c>
      <c r="B28">
        <f>interpolation!B45</f>
        <v>0</v>
      </c>
      <c r="C28">
        <f>interpolation!C45</f>
        <v>0</v>
      </c>
      <c r="D28">
        <f>interpolation!D45</f>
        <v>0</v>
      </c>
      <c r="E28">
        <f>interpolation!E45</f>
        <v>0</v>
      </c>
      <c r="F28">
        <f>interpolation!F45</f>
        <v>0</v>
      </c>
      <c r="G28">
        <f>interpolation!G45</f>
        <v>100514.56887461344</v>
      </c>
    </row>
    <row r="29" spans="1:7">
      <c r="A29">
        <v>2037</v>
      </c>
      <c r="B29">
        <f>interpolation!B46</f>
        <v>0</v>
      </c>
      <c r="C29">
        <f>interpolation!C46</f>
        <v>0</v>
      </c>
      <c r="D29">
        <f>interpolation!D46</f>
        <v>0</v>
      </c>
      <c r="E29">
        <f>interpolation!E46</f>
        <v>0</v>
      </c>
      <c r="F29">
        <f>interpolation!F46</f>
        <v>0</v>
      </c>
      <c r="G29">
        <f>interpolation!G46</f>
        <v>102582.18471306004</v>
      </c>
    </row>
    <row r="30" spans="1:7">
      <c r="A30">
        <v>2038</v>
      </c>
      <c r="B30">
        <f>interpolation!B47</f>
        <v>0</v>
      </c>
      <c r="C30">
        <f>interpolation!C47</f>
        <v>0</v>
      </c>
      <c r="D30">
        <f>interpolation!D47</f>
        <v>0</v>
      </c>
      <c r="E30">
        <f>interpolation!E47</f>
        <v>0</v>
      </c>
      <c r="F30">
        <f>interpolation!F47</f>
        <v>0</v>
      </c>
      <c r="G30">
        <f>interpolation!G47</f>
        <v>104649.80055150665</v>
      </c>
    </row>
    <row r="31" spans="1:7">
      <c r="A31">
        <v>2039</v>
      </c>
      <c r="B31">
        <f>interpolation!B48</f>
        <v>0</v>
      </c>
      <c r="C31">
        <f>interpolation!C48</f>
        <v>0</v>
      </c>
      <c r="D31">
        <f>interpolation!D48</f>
        <v>0</v>
      </c>
      <c r="E31">
        <f>interpolation!E48</f>
        <v>0</v>
      </c>
      <c r="F31">
        <f>interpolation!F48</f>
        <v>0</v>
      </c>
      <c r="G31">
        <f>interpolation!G48</f>
        <v>106717.41638995324</v>
      </c>
    </row>
    <row r="32" spans="1:7">
      <c r="A32">
        <v>2040</v>
      </c>
      <c r="B32">
        <f>interpolation!B49</f>
        <v>0</v>
      </c>
      <c r="C32">
        <f>interpolation!C49</f>
        <v>0</v>
      </c>
      <c r="D32">
        <f>interpolation!D49</f>
        <v>0</v>
      </c>
      <c r="E32">
        <f>interpolation!E49</f>
        <v>0</v>
      </c>
      <c r="F32">
        <f>interpolation!F49</f>
        <v>0</v>
      </c>
      <c r="G32">
        <f>interpolation!G49</f>
        <v>108785.03222839984</v>
      </c>
    </row>
    <row r="33" spans="1:7">
      <c r="A33">
        <v>2041</v>
      </c>
      <c r="B33">
        <f>interpolation!B50</f>
        <v>0</v>
      </c>
      <c r="C33">
        <f>interpolation!C50</f>
        <v>0</v>
      </c>
      <c r="D33">
        <f>interpolation!D50</f>
        <v>0</v>
      </c>
      <c r="E33">
        <f>interpolation!E50</f>
        <v>0</v>
      </c>
      <c r="F33">
        <f>interpolation!F50</f>
        <v>0</v>
      </c>
      <c r="G33">
        <f>interpolation!G50</f>
        <v>109853.1790171441</v>
      </c>
    </row>
    <row r="34" spans="1:7">
      <c r="A34">
        <v>2042</v>
      </c>
      <c r="B34">
        <f>interpolation!B51</f>
        <v>0</v>
      </c>
      <c r="C34">
        <f>interpolation!C51</f>
        <v>0</v>
      </c>
      <c r="D34">
        <f>interpolation!D51</f>
        <v>0</v>
      </c>
      <c r="E34">
        <f>interpolation!E51</f>
        <v>0</v>
      </c>
      <c r="F34">
        <f>interpolation!F51</f>
        <v>0</v>
      </c>
      <c r="G34">
        <f>interpolation!G51</f>
        <v>110921.32580588835</v>
      </c>
    </row>
    <row r="35" spans="1:7">
      <c r="A35">
        <v>2043</v>
      </c>
      <c r="B35">
        <f>interpolation!B52</f>
        <v>0</v>
      </c>
      <c r="C35">
        <f>interpolation!C52</f>
        <v>0</v>
      </c>
      <c r="D35">
        <f>interpolation!D52</f>
        <v>0</v>
      </c>
      <c r="E35">
        <f>interpolation!E52</f>
        <v>0</v>
      </c>
      <c r="F35">
        <f>interpolation!F52</f>
        <v>0</v>
      </c>
      <c r="G35">
        <f>interpolation!G52</f>
        <v>111989.47259463259</v>
      </c>
    </row>
    <row r="36" spans="1:7">
      <c r="A36">
        <v>2044</v>
      </c>
      <c r="B36">
        <f>interpolation!B53</f>
        <v>0</v>
      </c>
      <c r="C36">
        <f>interpolation!C53</f>
        <v>0</v>
      </c>
      <c r="D36">
        <f>interpolation!D53</f>
        <v>0</v>
      </c>
      <c r="E36">
        <f>interpolation!E53</f>
        <v>0</v>
      </c>
      <c r="F36">
        <f>interpolation!F53</f>
        <v>0</v>
      </c>
      <c r="G36">
        <f>interpolation!G53</f>
        <v>113057.61938337685</v>
      </c>
    </row>
    <row r="37" spans="1:7">
      <c r="A37">
        <v>2045</v>
      </c>
      <c r="B37">
        <f>interpolation!B54</f>
        <v>0</v>
      </c>
      <c r="C37">
        <f>interpolation!C54</f>
        <v>0</v>
      </c>
      <c r="D37">
        <f>interpolation!D54</f>
        <v>0</v>
      </c>
      <c r="E37">
        <f>interpolation!E54</f>
        <v>0</v>
      </c>
      <c r="F37">
        <f>interpolation!F54</f>
        <v>0</v>
      </c>
      <c r="G37">
        <f>interpolation!G54</f>
        <v>114125.7661721211</v>
      </c>
    </row>
    <row r="38" spans="1:7">
      <c r="A38">
        <v>2046</v>
      </c>
      <c r="B38">
        <f>interpolation!B55</f>
        <v>0</v>
      </c>
      <c r="C38">
        <f>interpolation!C55</f>
        <v>0</v>
      </c>
      <c r="D38">
        <f>interpolation!D55</f>
        <v>0</v>
      </c>
      <c r="E38">
        <f>interpolation!E55</f>
        <v>0</v>
      </c>
      <c r="F38">
        <f>interpolation!F55</f>
        <v>0</v>
      </c>
      <c r="G38">
        <f>interpolation!G55</f>
        <v>114585.9877062743</v>
      </c>
    </row>
    <row r="39" spans="1:7">
      <c r="A39">
        <v>2047</v>
      </c>
      <c r="B39">
        <f>interpolation!B56</f>
        <v>0</v>
      </c>
      <c r="C39">
        <f>interpolation!C56</f>
        <v>0</v>
      </c>
      <c r="D39">
        <f>interpolation!D56</f>
        <v>0</v>
      </c>
      <c r="E39">
        <f>interpolation!E56</f>
        <v>0</v>
      </c>
      <c r="F39">
        <f>interpolation!F56</f>
        <v>0</v>
      </c>
      <c r="G39">
        <f>interpolation!G56</f>
        <v>115046.20924042749</v>
      </c>
    </row>
    <row r="40" spans="1:7">
      <c r="A40">
        <v>2048</v>
      </c>
      <c r="B40">
        <f>interpolation!B57</f>
        <v>0</v>
      </c>
      <c r="C40">
        <f>interpolation!C57</f>
        <v>0</v>
      </c>
      <c r="D40">
        <f>interpolation!D57</f>
        <v>0</v>
      </c>
      <c r="E40">
        <f>interpolation!E57</f>
        <v>0</v>
      </c>
      <c r="F40">
        <f>interpolation!F57</f>
        <v>0</v>
      </c>
      <c r="G40">
        <f>interpolation!G57</f>
        <v>115506.43077458069</v>
      </c>
    </row>
    <row r="41" spans="1:7">
      <c r="A41">
        <v>2049</v>
      </c>
      <c r="B41">
        <f>interpolation!B58</f>
        <v>0</v>
      </c>
      <c r="C41">
        <f>interpolation!C58</f>
        <v>0</v>
      </c>
      <c r="D41">
        <f>interpolation!D58</f>
        <v>0</v>
      </c>
      <c r="E41">
        <f>interpolation!E58</f>
        <v>0</v>
      </c>
      <c r="F41">
        <f>interpolation!F58</f>
        <v>0</v>
      </c>
      <c r="G41">
        <f>interpolation!G58</f>
        <v>115966.65230873387</v>
      </c>
    </row>
    <row r="42" spans="1:7">
      <c r="A42">
        <v>2050</v>
      </c>
      <c r="B42">
        <f>interpolation!B59</f>
        <v>0</v>
      </c>
      <c r="C42">
        <f>interpolation!C59</f>
        <v>0</v>
      </c>
      <c r="D42">
        <f>interpolation!D59</f>
        <v>0</v>
      </c>
      <c r="E42">
        <f>interpolation!E59</f>
        <v>0</v>
      </c>
      <c r="F42">
        <f>interpolation!F59</f>
        <v>0</v>
      </c>
      <c r="G42">
        <f>interpolation!G59</f>
        <v>116426.87384288707</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Cover sheet</vt:lpstr>
      <vt:lpstr>Changelog</vt:lpstr>
      <vt:lpstr>Contents</vt:lpstr>
      <vt:lpstr>Introduction</vt:lpstr>
      <vt:lpstr>Assumptions</vt:lpstr>
      <vt:lpstr>Dashboard</vt:lpstr>
      <vt:lpstr>conversion_to_TJ</vt:lpstr>
      <vt:lpstr>interpolation</vt:lpstr>
      <vt:lpstr>timecurves</vt:lpstr>
      <vt:lpstr>ktoe_TJ</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Marlieke Verweij</cp:lastModifiedBy>
  <dcterms:created xsi:type="dcterms:W3CDTF">2014-06-04T09:13:49Z</dcterms:created>
  <dcterms:modified xsi:type="dcterms:W3CDTF">2019-05-09T13:20:08Z</dcterms:modified>
</cp:coreProperties>
</file>