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claudiavalkenier/Code/etdataset/source_analyses/IE_ireland/2019/primary_production/"/>
    </mc:Choice>
  </mc:AlternateContent>
  <xr:revisionPtr revIDLastSave="0" documentId="13_ncr:1_{7F5212D8-4FB7-1147-91D6-43D688628B3E}" xr6:coauthVersionLast="47" xr6:coauthVersionMax="47" xr10:uidLastSave="{00000000-0000-0000-0000-000000000000}"/>
  <bookViews>
    <workbookView xWindow="-8620" yWindow="-28300" windowWidth="51200" windowHeight="28300" xr2:uid="{A4A4921B-4D24-2F43-B71B-BF4E5C04ECDD}"/>
  </bookViews>
  <sheets>
    <sheet name="Overview" sheetId="1" r:id="rId1"/>
    <sheet name="Calculations" sheetId="2" r:id="rId2"/>
    <sheet name="SEAI Energy Balance 2019" sheetId="3" r:id="rId3"/>
  </sheets>
  <definedNames>
    <definedName name="_xlnm.Print_Area" localSheetId="2">'SEAI Energy Balance 2019'!$A$1:$AQ$82</definedName>
    <definedName name="_xlnm.Print_Titles" localSheetId="2">'SEAI Energy Balance 2019'!$A:$B,'SEAI Energy Balance 2019'!$1:$1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11" i="2"/>
  <c r="B7" i="2"/>
  <c r="B13" i="2" l="1"/>
  <c r="B4" i="1" s="1"/>
  <c r="B9" i="2"/>
  <c r="B3" i="1" s="1"/>
  <c r="B4" i="2"/>
  <c r="B2" i="1" s="1"/>
  <c r="AB71" i="3"/>
  <c r="L71" i="3"/>
  <c r="H71" i="3"/>
  <c r="C71" i="3"/>
  <c r="AB70" i="3"/>
  <c r="L70" i="3"/>
  <c r="H70" i="3"/>
  <c r="C70" i="3"/>
  <c r="AQ70" i="3" s="1"/>
  <c r="AB69" i="3"/>
  <c r="L69" i="3"/>
  <c r="H69" i="3"/>
  <c r="C69" i="3"/>
  <c r="AB68" i="3"/>
  <c r="L68" i="3"/>
  <c r="H68" i="3"/>
  <c r="C68" i="3"/>
  <c r="AQ68" i="3" s="1"/>
  <c r="AB67" i="3"/>
  <c r="L67" i="3"/>
  <c r="H67" i="3"/>
  <c r="C67" i="3"/>
  <c r="AB66" i="3"/>
  <c r="L66" i="3"/>
  <c r="H66" i="3"/>
  <c r="C66" i="3"/>
  <c r="AQ66" i="3" s="1"/>
  <c r="AI65" i="3"/>
  <c r="AE65" i="3"/>
  <c r="AB65" i="3" s="1"/>
  <c r="V65" i="3"/>
  <c r="L65" i="3" s="1"/>
  <c r="H65" i="3"/>
  <c r="D65" i="3"/>
  <c r="D57" i="3" s="1"/>
  <c r="AB64" i="3"/>
  <c r="L64" i="3"/>
  <c r="H64" i="3"/>
  <c r="C64" i="3"/>
  <c r="AQ64" i="3" s="1"/>
  <c r="AB63" i="3"/>
  <c r="AQ63" i="3" s="1"/>
  <c r="L63" i="3"/>
  <c r="H63" i="3"/>
  <c r="C63" i="3"/>
  <c r="AB62" i="3"/>
  <c r="L62" i="3"/>
  <c r="H62" i="3"/>
  <c r="C62" i="3"/>
  <c r="AQ62" i="3" s="1"/>
  <c r="AB61" i="3"/>
  <c r="L61" i="3"/>
  <c r="H61" i="3"/>
  <c r="C61" i="3"/>
  <c r="AB60" i="3"/>
  <c r="L60" i="3"/>
  <c r="H60" i="3"/>
  <c r="C60" i="3"/>
  <c r="AB59" i="3"/>
  <c r="L59" i="3"/>
  <c r="H59" i="3"/>
  <c r="C59" i="3"/>
  <c r="AP58" i="3"/>
  <c r="AP57" i="3" s="1"/>
  <c r="AN58" i="3"/>
  <c r="AJ58" i="3"/>
  <c r="AJ57" i="3" s="1"/>
  <c r="AI58" i="3"/>
  <c r="AI57" i="3" s="1"/>
  <c r="AH58" i="3"/>
  <c r="AH57" i="3" s="1"/>
  <c r="AG58" i="3"/>
  <c r="AG57" i="3" s="1"/>
  <c r="AE58" i="3"/>
  <c r="AD58" i="3"/>
  <c r="AD57" i="3" s="1"/>
  <c r="AC58" i="3"/>
  <c r="Z58" i="3"/>
  <c r="Y58" i="3"/>
  <c r="Y57" i="3" s="1"/>
  <c r="X58" i="3"/>
  <c r="X57" i="3" s="1"/>
  <c r="W58" i="3"/>
  <c r="W57" i="3" s="1"/>
  <c r="V58" i="3"/>
  <c r="R58" i="3"/>
  <c r="P58" i="3"/>
  <c r="O58" i="3"/>
  <c r="O57" i="3" s="1"/>
  <c r="N58" i="3"/>
  <c r="N57" i="3" s="1"/>
  <c r="M58" i="3"/>
  <c r="M57" i="3" s="1"/>
  <c r="K58" i="3"/>
  <c r="K57" i="3" s="1"/>
  <c r="J58" i="3"/>
  <c r="J57" i="3" s="1"/>
  <c r="I58" i="3"/>
  <c r="F58" i="3"/>
  <c r="C58" i="3" s="1"/>
  <c r="AO57" i="3"/>
  <c r="AN57" i="3"/>
  <c r="AM57" i="3"/>
  <c r="AL57" i="3"/>
  <c r="AK57" i="3"/>
  <c r="AF57" i="3"/>
  <c r="AA57" i="3"/>
  <c r="Z57" i="3"/>
  <c r="U57" i="3"/>
  <c r="T57" i="3"/>
  <c r="S57" i="3"/>
  <c r="Q57" i="3"/>
  <c r="P57" i="3"/>
  <c r="G57" i="3"/>
  <c r="F57" i="3"/>
  <c r="E57" i="3"/>
  <c r="AB56" i="3"/>
  <c r="L56" i="3"/>
  <c r="H56" i="3"/>
  <c r="C56" i="3"/>
  <c r="AB55" i="3"/>
  <c r="L55" i="3"/>
  <c r="H55" i="3"/>
  <c r="C55" i="3"/>
  <c r="AQ55" i="3" s="1"/>
  <c r="AB54" i="3"/>
  <c r="L54" i="3"/>
  <c r="H54" i="3"/>
  <c r="C54" i="3"/>
  <c r="AB53" i="3"/>
  <c r="L53" i="3"/>
  <c r="H53" i="3"/>
  <c r="C53" i="3"/>
  <c r="AQ53" i="3" s="1"/>
  <c r="AB52" i="3"/>
  <c r="L52" i="3"/>
  <c r="H52" i="3"/>
  <c r="C52" i="3"/>
  <c r="AB51" i="3"/>
  <c r="L51" i="3"/>
  <c r="H51" i="3"/>
  <c r="C51" i="3"/>
  <c r="AB50" i="3"/>
  <c r="L50" i="3"/>
  <c r="H50" i="3"/>
  <c r="C50" i="3"/>
  <c r="AB49" i="3"/>
  <c r="L49" i="3"/>
  <c r="H49" i="3"/>
  <c r="C49" i="3"/>
  <c r="AQ49" i="3" s="1"/>
  <c r="AB48" i="3"/>
  <c r="L48" i="3"/>
  <c r="H48" i="3"/>
  <c r="C48" i="3"/>
  <c r="AB47" i="3"/>
  <c r="L47" i="3"/>
  <c r="H47" i="3"/>
  <c r="C47" i="3"/>
  <c r="AQ47" i="3" s="1"/>
  <c r="AB46" i="3"/>
  <c r="AB45" i="3" s="1"/>
  <c r="L46" i="3"/>
  <c r="H46" i="3"/>
  <c r="C46" i="3"/>
  <c r="AP45" i="3"/>
  <c r="AO45" i="3"/>
  <c r="AO29" i="3" s="1"/>
  <c r="AN45" i="3"/>
  <c r="AM45" i="3"/>
  <c r="AL45" i="3"/>
  <c r="AK45" i="3"/>
  <c r="AJ45" i="3"/>
  <c r="AI45" i="3"/>
  <c r="AH45" i="3"/>
  <c r="AG45" i="3"/>
  <c r="AF45" i="3"/>
  <c r="AE45" i="3"/>
  <c r="AD45" i="3"/>
  <c r="AC45" i="3"/>
  <c r="AA45" i="3"/>
  <c r="Z45" i="3"/>
  <c r="Y45" i="3"/>
  <c r="X45" i="3"/>
  <c r="W45" i="3"/>
  <c r="W29" i="3" s="1"/>
  <c r="V45" i="3"/>
  <c r="U45" i="3"/>
  <c r="U29" i="3" s="1"/>
  <c r="T45" i="3"/>
  <c r="S45" i="3"/>
  <c r="R45" i="3"/>
  <c r="Q45" i="3"/>
  <c r="Q29" i="3" s="1"/>
  <c r="P45" i="3"/>
  <c r="O45" i="3"/>
  <c r="N45" i="3"/>
  <c r="M45" i="3"/>
  <c r="K45" i="3"/>
  <c r="J45" i="3"/>
  <c r="I45" i="3"/>
  <c r="G45" i="3"/>
  <c r="G29" i="3" s="1"/>
  <c r="F45" i="3"/>
  <c r="F29" i="3" s="1"/>
  <c r="E45" i="3"/>
  <c r="E29" i="3" s="1"/>
  <c r="D45" i="3"/>
  <c r="D29" i="3" s="1"/>
  <c r="AB44" i="3"/>
  <c r="L44" i="3"/>
  <c r="H44" i="3"/>
  <c r="C44" i="3"/>
  <c r="AB43" i="3"/>
  <c r="L43" i="3"/>
  <c r="H43" i="3"/>
  <c r="C43" i="3"/>
  <c r="AQ43" i="3" s="1"/>
  <c r="AB42" i="3"/>
  <c r="AQ42" i="3" s="1"/>
  <c r="L42" i="3"/>
  <c r="H42" i="3"/>
  <c r="C42" i="3"/>
  <c r="AB41" i="3"/>
  <c r="L41" i="3"/>
  <c r="H41" i="3"/>
  <c r="C41" i="3"/>
  <c r="AQ41" i="3" s="1"/>
  <c r="AB40" i="3"/>
  <c r="L40" i="3"/>
  <c r="H40" i="3"/>
  <c r="C40" i="3"/>
  <c r="AB39" i="3"/>
  <c r="L39" i="3"/>
  <c r="H39" i="3"/>
  <c r="C39" i="3"/>
  <c r="AB38" i="3"/>
  <c r="L38" i="3"/>
  <c r="H38" i="3"/>
  <c r="C38" i="3"/>
  <c r="AB37" i="3"/>
  <c r="L37" i="3"/>
  <c r="H37" i="3"/>
  <c r="C37" i="3"/>
  <c r="AQ37" i="3" s="1"/>
  <c r="AB36" i="3"/>
  <c r="L36" i="3"/>
  <c r="H36" i="3"/>
  <c r="C36" i="3"/>
  <c r="AB35" i="3"/>
  <c r="L35" i="3"/>
  <c r="H35" i="3"/>
  <c r="C35" i="3"/>
  <c r="AQ35" i="3" s="1"/>
  <c r="AB34" i="3"/>
  <c r="AQ34" i="3" s="1"/>
  <c r="L34" i="3"/>
  <c r="H34" i="3"/>
  <c r="C34" i="3"/>
  <c r="AB33" i="3"/>
  <c r="L33" i="3"/>
  <c r="H33" i="3"/>
  <c r="C33" i="3"/>
  <c r="AQ33" i="3" s="1"/>
  <c r="AB32" i="3"/>
  <c r="L32" i="3"/>
  <c r="H32" i="3"/>
  <c r="C32" i="3"/>
  <c r="AB31" i="3"/>
  <c r="L31" i="3"/>
  <c r="H31" i="3"/>
  <c r="C31" i="3"/>
  <c r="C30" i="3" s="1"/>
  <c r="AP30" i="3"/>
  <c r="AN30" i="3"/>
  <c r="AM30" i="3"/>
  <c r="AL30" i="3"/>
  <c r="AK30" i="3"/>
  <c r="AK29" i="3" s="1"/>
  <c r="AJ30" i="3"/>
  <c r="AJ29" i="3" s="1"/>
  <c r="AI30" i="3"/>
  <c r="AI29" i="3" s="1"/>
  <c r="AH30" i="3"/>
  <c r="AG30" i="3"/>
  <c r="AF30" i="3"/>
  <c r="AE30" i="3"/>
  <c r="AD30" i="3"/>
  <c r="AC30" i="3"/>
  <c r="AC29" i="3" s="1"/>
  <c r="Z30" i="3"/>
  <c r="Y30" i="3"/>
  <c r="X30" i="3"/>
  <c r="W30" i="3"/>
  <c r="R30" i="3"/>
  <c r="R29" i="3" s="1"/>
  <c r="P30" i="3"/>
  <c r="O30" i="3"/>
  <c r="N30" i="3"/>
  <c r="N29" i="3" s="1"/>
  <c r="M30" i="3"/>
  <c r="M29" i="3" s="1"/>
  <c r="K30" i="3"/>
  <c r="J30" i="3"/>
  <c r="J29" i="3" s="1"/>
  <c r="I30" i="3"/>
  <c r="I29" i="3" s="1"/>
  <c r="AA29" i="3"/>
  <c r="T29" i="3"/>
  <c r="S29" i="3"/>
  <c r="AB28" i="3"/>
  <c r="H28" i="3"/>
  <c r="H27" i="3" s="1"/>
  <c r="C28" i="3"/>
  <c r="C27" i="3" s="1"/>
  <c r="AP27" i="3"/>
  <c r="AO27" i="3"/>
  <c r="AN27" i="3"/>
  <c r="AM27" i="3"/>
  <c r="AL27" i="3"/>
  <c r="AK27" i="3"/>
  <c r="AJ27" i="3"/>
  <c r="AI27" i="3"/>
  <c r="AH27" i="3"/>
  <c r="AG27" i="3"/>
  <c r="AF27" i="3"/>
  <c r="AE27" i="3"/>
  <c r="AD27" i="3"/>
  <c r="AC27" i="3"/>
  <c r="AB27" i="3"/>
  <c r="AA27" i="3"/>
  <c r="V27" i="3"/>
  <c r="U27" i="3"/>
  <c r="T27" i="3"/>
  <c r="S27" i="3"/>
  <c r="R27" i="3"/>
  <c r="Q27" i="3"/>
  <c r="Q8" i="3" s="1"/>
  <c r="P27" i="3"/>
  <c r="O27" i="3"/>
  <c r="O8" i="3" s="1"/>
  <c r="N27" i="3"/>
  <c r="M27" i="3"/>
  <c r="K27" i="3"/>
  <c r="J27" i="3"/>
  <c r="I27" i="3"/>
  <c r="G27" i="3"/>
  <c r="G8" i="3" s="1"/>
  <c r="F27" i="3"/>
  <c r="E27" i="3"/>
  <c r="D27" i="3"/>
  <c r="AB25" i="3"/>
  <c r="L25" i="3"/>
  <c r="H25" i="3"/>
  <c r="C25" i="3"/>
  <c r="AQ25" i="3" s="1"/>
  <c r="AB24" i="3"/>
  <c r="AA24" i="3"/>
  <c r="AA21" i="3" s="1"/>
  <c r="L24" i="3"/>
  <c r="E24" i="3"/>
  <c r="E21" i="3" s="1"/>
  <c r="C24" i="3"/>
  <c r="C21" i="3" s="1"/>
  <c r="AQ23" i="3"/>
  <c r="AD22" i="3"/>
  <c r="AD21" i="3" s="1"/>
  <c r="AC22" i="3"/>
  <c r="AP21" i="3"/>
  <c r="AN21" i="3"/>
  <c r="AM21" i="3"/>
  <c r="AL21" i="3"/>
  <c r="AK21" i="3"/>
  <c r="AJ21" i="3"/>
  <c r="AI21" i="3"/>
  <c r="AH21" i="3"/>
  <c r="AG21" i="3"/>
  <c r="AF21" i="3"/>
  <c r="AE21" i="3"/>
  <c r="AC21" i="3"/>
  <c r="Z21" i="3"/>
  <c r="Y21" i="3"/>
  <c r="X21" i="3"/>
  <c r="W21" i="3"/>
  <c r="V21" i="3"/>
  <c r="U21" i="3"/>
  <c r="T21" i="3"/>
  <c r="S21" i="3"/>
  <c r="R21" i="3"/>
  <c r="Q21" i="3"/>
  <c r="P21" i="3"/>
  <c r="O21" i="3"/>
  <c r="N21" i="3"/>
  <c r="M21" i="3"/>
  <c r="K21" i="3"/>
  <c r="J21" i="3"/>
  <c r="I21" i="3"/>
  <c r="H21" i="3"/>
  <c r="G21" i="3"/>
  <c r="F21" i="3"/>
  <c r="D21" i="3"/>
  <c r="AB20" i="3"/>
  <c r="L20" i="3"/>
  <c r="H20" i="3"/>
  <c r="AQ20" i="3" s="1"/>
  <c r="AQ19" i="3"/>
  <c r="AB19" i="3"/>
  <c r="L19" i="3"/>
  <c r="H19" i="3"/>
  <c r="AQ18" i="3"/>
  <c r="AB17" i="3"/>
  <c r="L17" i="3"/>
  <c r="H17" i="3"/>
  <c r="C17" i="3"/>
  <c r="AB16" i="3"/>
  <c r="AB15" i="3" s="1"/>
  <c r="L16" i="3"/>
  <c r="H16" i="3"/>
  <c r="C16" i="3"/>
  <c r="AQ16" i="3" s="1"/>
  <c r="AP15" i="3"/>
  <c r="AO15" i="3"/>
  <c r="AN15" i="3"/>
  <c r="AM15" i="3"/>
  <c r="AL15" i="3"/>
  <c r="AK15" i="3"/>
  <c r="AJ15" i="3"/>
  <c r="AI15" i="3"/>
  <c r="AH15" i="3"/>
  <c r="AG15" i="3"/>
  <c r="AF15" i="3"/>
  <c r="AE15" i="3"/>
  <c r="AD15" i="3"/>
  <c r="AC15" i="3"/>
  <c r="AA15" i="3"/>
  <c r="Z15" i="3"/>
  <c r="Y15" i="3"/>
  <c r="X15" i="3"/>
  <c r="W15" i="3"/>
  <c r="V15" i="3"/>
  <c r="U15" i="3"/>
  <c r="T15" i="3"/>
  <c r="S15" i="3"/>
  <c r="R15" i="3"/>
  <c r="Q15" i="3"/>
  <c r="P15" i="3"/>
  <c r="O15" i="3"/>
  <c r="N15" i="3"/>
  <c r="M15" i="3"/>
  <c r="K15" i="3"/>
  <c r="J15" i="3"/>
  <c r="I15" i="3"/>
  <c r="G15" i="3"/>
  <c r="F15" i="3"/>
  <c r="E15" i="3"/>
  <c r="D15" i="3"/>
  <c r="AB14" i="3"/>
  <c r="L14" i="3"/>
  <c r="H14" i="3"/>
  <c r="C14" i="3"/>
  <c r="AQ14" i="3" s="1"/>
  <c r="AB13" i="3"/>
  <c r="L13" i="3"/>
  <c r="AQ13" i="3" s="1"/>
  <c r="H13" i="3"/>
  <c r="C13" i="3"/>
  <c r="AQ12" i="3"/>
  <c r="AB11" i="3"/>
  <c r="L11" i="3"/>
  <c r="H11" i="3"/>
  <c r="H9" i="3" s="1"/>
  <c r="C11" i="3"/>
  <c r="AQ11" i="3" s="1"/>
  <c r="AB10" i="3"/>
  <c r="L10" i="3"/>
  <c r="H10" i="3"/>
  <c r="C10" i="3"/>
  <c r="AP9" i="3"/>
  <c r="AO9" i="3"/>
  <c r="AN9" i="3"/>
  <c r="AM9" i="3"/>
  <c r="AL9" i="3"/>
  <c r="AK9" i="3"/>
  <c r="AJ9" i="3"/>
  <c r="AI9" i="3"/>
  <c r="AH9" i="3"/>
  <c r="AG9" i="3"/>
  <c r="AF9" i="3"/>
  <c r="AE9" i="3"/>
  <c r="AD9" i="3"/>
  <c r="AC9" i="3"/>
  <c r="AA9" i="3"/>
  <c r="Z9" i="3"/>
  <c r="Y9" i="3"/>
  <c r="X9" i="3"/>
  <c r="W9" i="3"/>
  <c r="V9" i="3"/>
  <c r="V26" i="3" s="1"/>
  <c r="U9" i="3"/>
  <c r="U26" i="3" s="1"/>
  <c r="T9" i="3"/>
  <c r="S9" i="3"/>
  <c r="R9" i="3"/>
  <c r="Q9" i="3"/>
  <c r="P9" i="3"/>
  <c r="O9" i="3"/>
  <c r="N9" i="3"/>
  <c r="N26" i="3" s="1"/>
  <c r="N72" i="3" s="1"/>
  <c r="M9" i="3"/>
  <c r="K9" i="3"/>
  <c r="J9" i="3"/>
  <c r="I9" i="3"/>
  <c r="G9" i="3"/>
  <c r="F9" i="3"/>
  <c r="E9" i="3"/>
  <c r="D9" i="3"/>
  <c r="AP8" i="3"/>
  <c r="AO8" i="3"/>
  <c r="W8" i="3"/>
  <c r="AP7" i="3"/>
  <c r="AP26" i="3" s="1"/>
  <c r="AO7" i="3"/>
  <c r="AN7" i="3"/>
  <c r="AN8" i="3" s="1"/>
  <c r="AM7" i="3"/>
  <c r="AL7" i="3"/>
  <c r="AL8" i="3" s="1"/>
  <c r="AK7" i="3"/>
  <c r="AK8" i="3" s="1"/>
  <c r="AJ7" i="3"/>
  <c r="AJ26" i="3" s="1"/>
  <c r="AI7" i="3"/>
  <c r="AI26" i="3" s="1"/>
  <c r="AH7" i="3"/>
  <c r="AH26" i="3" s="1"/>
  <c r="AG7" i="3"/>
  <c r="AG8" i="3" s="1"/>
  <c r="AF7" i="3"/>
  <c r="AF8" i="3" s="1"/>
  <c r="AE7" i="3"/>
  <c r="AD7" i="3"/>
  <c r="AD8" i="3" s="1"/>
  <c r="AC7" i="3"/>
  <c r="AC8" i="3" s="1"/>
  <c r="AA7" i="3"/>
  <c r="Z7" i="3"/>
  <c r="Z26" i="3" s="1"/>
  <c r="Y7" i="3"/>
  <c r="X7" i="3"/>
  <c r="W7" i="3"/>
  <c r="V7" i="3"/>
  <c r="U7" i="3"/>
  <c r="U8" i="3" s="1"/>
  <c r="T7" i="3"/>
  <c r="T8" i="3" s="1"/>
  <c r="S7" i="3"/>
  <c r="S26" i="3" s="1"/>
  <c r="R7" i="3"/>
  <c r="R26" i="3" s="1"/>
  <c r="Q7" i="3"/>
  <c r="P7" i="3"/>
  <c r="O7" i="3"/>
  <c r="N7" i="3"/>
  <c r="M7" i="3"/>
  <c r="M8" i="3" s="1"/>
  <c r="K7" i="3"/>
  <c r="K26" i="3" s="1"/>
  <c r="J7" i="3"/>
  <c r="J26" i="3" s="1"/>
  <c r="I7" i="3"/>
  <c r="I26" i="3" s="1"/>
  <c r="G7" i="3"/>
  <c r="F7" i="3"/>
  <c r="F26" i="3" s="1"/>
  <c r="E7" i="3"/>
  <c r="D7" i="3"/>
  <c r="AB6" i="3"/>
  <c r="L6" i="3"/>
  <c r="H6" i="3"/>
  <c r="C6" i="3"/>
  <c r="AB5" i="3"/>
  <c r="L5" i="3"/>
  <c r="H5" i="3"/>
  <c r="C5" i="3"/>
  <c r="AB4" i="3"/>
  <c r="L4" i="3"/>
  <c r="H4" i="3"/>
  <c r="C4" i="3"/>
  <c r="AB3" i="3"/>
  <c r="L3" i="3"/>
  <c r="H3" i="3"/>
  <c r="C3" i="3"/>
  <c r="AQ3" i="3" s="1"/>
  <c r="AB2" i="3"/>
  <c r="L2" i="3"/>
  <c r="H2" i="3"/>
  <c r="C2" i="3"/>
  <c r="U72" i="3" l="1"/>
  <c r="E26" i="3"/>
  <c r="E72" i="3" s="1"/>
  <c r="F72" i="3"/>
  <c r="AI72" i="3"/>
  <c r="S72" i="3"/>
  <c r="AQ31" i="3"/>
  <c r="H7" i="3"/>
  <c r="H26" i="3" s="1"/>
  <c r="AQ4" i="3"/>
  <c r="AQ6" i="3"/>
  <c r="Q26" i="3"/>
  <c r="Y26" i="3"/>
  <c r="G26" i="3"/>
  <c r="G72" i="3" s="1"/>
  <c r="P26" i="3"/>
  <c r="P72" i="3" s="1"/>
  <c r="X26" i="3"/>
  <c r="AB22" i="3"/>
  <c r="AO22" i="3" s="1"/>
  <c r="AO21" i="3" s="1"/>
  <c r="AO26" i="3" s="1"/>
  <c r="AO72" i="3" s="1"/>
  <c r="AQ24" i="3"/>
  <c r="L45" i="3"/>
  <c r="AQ56" i="3"/>
  <c r="AQ69" i="3"/>
  <c r="AQ71" i="3"/>
  <c r="AQ67" i="3"/>
  <c r="AQ54" i="3"/>
  <c r="AB9" i="3"/>
  <c r="AC26" i="3"/>
  <c r="AE57" i="3"/>
  <c r="AQ60" i="3"/>
  <c r="R8" i="3"/>
  <c r="AB30" i="3"/>
  <c r="AQ61" i="3"/>
  <c r="J72" i="3"/>
  <c r="J8" i="3"/>
  <c r="C7" i="3"/>
  <c r="C8" i="3" s="1"/>
  <c r="AD26" i="3"/>
  <c r="AQ39" i="3"/>
  <c r="X29" i="3"/>
  <c r="AG29" i="3"/>
  <c r="AB58" i="3"/>
  <c r="AB57" i="3" s="1"/>
  <c r="D8" i="3"/>
  <c r="V8" i="3"/>
  <c r="AM26" i="3"/>
  <c r="AM72" i="3" s="1"/>
  <c r="AM8" i="3"/>
  <c r="O29" i="3"/>
  <c r="AL29" i="3"/>
  <c r="Y29" i="3"/>
  <c r="AP29" i="3"/>
  <c r="AQ51" i="3"/>
  <c r="AQ59" i="3"/>
  <c r="E8" i="3"/>
  <c r="AQ10" i="3"/>
  <c r="H15" i="3"/>
  <c r="L21" i="3"/>
  <c r="AF26" i="3"/>
  <c r="AN26" i="3"/>
  <c r="AL26" i="3"/>
  <c r="P29" i="3"/>
  <c r="AE29" i="3"/>
  <c r="AM29" i="3"/>
  <c r="AQ36" i="3"/>
  <c r="AQ38" i="3"/>
  <c r="AQ40" i="3"/>
  <c r="Z29" i="3"/>
  <c r="C45" i="3"/>
  <c r="C29" i="3" s="1"/>
  <c r="L58" i="3"/>
  <c r="L57" i="3" s="1"/>
  <c r="I8" i="3"/>
  <c r="AJ72" i="3"/>
  <c r="AQ17" i="3"/>
  <c r="L9" i="3"/>
  <c r="N8" i="3"/>
  <c r="AE26" i="3"/>
  <c r="AE72" i="3" s="1"/>
  <c r="AK26" i="3"/>
  <c r="AK72" i="3" s="1"/>
  <c r="AE8" i="3"/>
  <c r="AD29" i="3"/>
  <c r="AQ32" i="3"/>
  <c r="AH29" i="3"/>
  <c r="AQ5" i="3"/>
  <c r="AB7" i="3"/>
  <c r="AB8" i="3" s="1"/>
  <c r="F8" i="3"/>
  <c r="P8" i="3"/>
  <c r="AG26" i="3"/>
  <c r="AG72" i="3" s="1"/>
  <c r="AH8" i="3"/>
  <c r="C15" i="3"/>
  <c r="O26" i="3"/>
  <c r="W26" i="3"/>
  <c r="W72" i="3" s="1"/>
  <c r="M26" i="3"/>
  <c r="M72" i="3" s="1"/>
  <c r="AF29" i="3"/>
  <c r="AN29" i="3"/>
  <c r="AQ44" i="3"/>
  <c r="AQ48" i="3"/>
  <c r="AQ50" i="3"/>
  <c r="AQ52" i="3"/>
  <c r="H58" i="3"/>
  <c r="H57" i="3" s="1"/>
  <c r="V57" i="3"/>
  <c r="AD72" i="3"/>
  <c r="C57" i="3"/>
  <c r="AQ58" i="3"/>
  <c r="Y28" i="3"/>
  <c r="Y27" i="3" s="1"/>
  <c r="Y8" i="3" s="1"/>
  <c r="Y72" i="3"/>
  <c r="AP72" i="3"/>
  <c r="X28" i="3"/>
  <c r="R72" i="3"/>
  <c r="Z28" i="3"/>
  <c r="Z27" i="3" s="1"/>
  <c r="Z8" i="3" s="1"/>
  <c r="O72" i="3"/>
  <c r="AA26" i="3"/>
  <c r="AA72" i="3" s="1"/>
  <c r="AL72" i="3"/>
  <c r="H8" i="3"/>
  <c r="Q72" i="3"/>
  <c r="AH72" i="3"/>
  <c r="I72" i="3"/>
  <c r="K72" i="3"/>
  <c r="AC72" i="3"/>
  <c r="S8" i="3"/>
  <c r="L15" i="3"/>
  <c r="AQ15" i="3" s="1"/>
  <c r="H30" i="3"/>
  <c r="H45" i="3"/>
  <c r="AQ46" i="3"/>
  <c r="AJ8" i="3"/>
  <c r="V29" i="3"/>
  <c r="V72" i="3" s="1"/>
  <c r="I57" i="3"/>
  <c r="AQ2" i="3"/>
  <c r="D26" i="3"/>
  <c r="D72" i="3" s="1"/>
  <c r="T26" i="3"/>
  <c r="T72" i="3" s="1"/>
  <c r="K29" i="3"/>
  <c r="C65" i="3"/>
  <c r="AQ65" i="3" s="1"/>
  <c r="K8" i="3"/>
  <c r="L7" i="3"/>
  <c r="C9" i="3"/>
  <c r="AQ9" i="3" s="1"/>
  <c r="AA8" i="3"/>
  <c r="R57" i="3"/>
  <c r="AI8" i="3"/>
  <c r="L30" i="3"/>
  <c r="AC57" i="3"/>
  <c r="AB21" i="3" l="1"/>
  <c r="AQ57" i="3"/>
  <c r="AB29" i="3"/>
  <c r="L29" i="3"/>
  <c r="AF72" i="3"/>
  <c r="AN72" i="3"/>
  <c r="AQ45" i="3"/>
  <c r="AB26" i="3"/>
  <c r="AB72" i="3" s="1"/>
  <c r="X27" i="3"/>
  <c r="L28" i="3"/>
  <c r="Z72" i="3"/>
  <c r="L26" i="3"/>
  <c r="H29" i="3"/>
  <c r="H72" i="3" s="1"/>
  <c r="AQ30" i="3"/>
  <c r="AQ22" i="3"/>
  <c r="AQ21" i="3" s="1"/>
  <c r="AQ7" i="3"/>
  <c r="C26" i="3"/>
  <c r="AQ29" i="3" l="1"/>
  <c r="C72" i="3"/>
  <c r="AQ26" i="3"/>
  <c r="L27" i="3"/>
  <c r="L8" i="3" s="1"/>
  <c r="AQ8" i="3" s="1"/>
  <c r="AQ28" i="3"/>
  <c r="AQ27" i="3" s="1"/>
  <c r="X8" i="3"/>
  <c r="X72" i="3"/>
  <c r="L72" i="3"/>
  <c r="AQ72" i="3" l="1"/>
</calcChain>
</file>

<file path=xl/sharedStrings.xml><?xml version="1.0" encoding="utf-8"?>
<sst xmlns="http://schemas.openxmlformats.org/spreadsheetml/2006/main" count="180" uniqueCount="169">
  <si>
    <t>key</t>
  </si>
  <si>
    <t>value</t>
  </si>
  <si>
    <t>comment</t>
  </si>
  <si>
    <t>input_energy_chp_local_engine_ht_network_gas_production</t>
  </si>
  <si>
    <t>input_energy_chp_local_ht_wood_pellets_production</t>
  </si>
  <si>
    <t>input_energy_chp_local_engine_ht_biogas_production</t>
  </si>
  <si>
    <t xml:space="preserve">2019                        Units = ktoe
</t>
  </si>
  <si>
    <t>NACE (Rev 2)</t>
  </si>
  <si>
    <t xml:space="preserve"> Coal</t>
  </si>
  <si>
    <t xml:space="preserve"> Bituminous Coal</t>
  </si>
  <si>
    <t xml:space="preserve"> Anthracite + Manufactured Ovoids</t>
  </si>
  <si>
    <t xml:space="preserve"> Coke</t>
  </si>
  <si>
    <t xml:space="preserve"> Lignite \ Brown Coal Briquettes</t>
  </si>
  <si>
    <t xml:space="preserve"> Peat</t>
  </si>
  <si>
    <t xml:space="preserve"> Milled Peat</t>
  </si>
  <si>
    <t xml:space="preserve"> Sod Peat</t>
  </si>
  <si>
    <t xml:space="preserve"> Briquettes</t>
  </si>
  <si>
    <t xml:space="preserve"> Oil</t>
  </si>
  <si>
    <t xml:space="preserve"> Crude</t>
  </si>
  <si>
    <t xml:space="preserve"> Refinery Feedstocks</t>
  </si>
  <si>
    <t xml:space="preserve"> Refinery Gas</t>
  </si>
  <si>
    <t xml:space="preserve"> Gasoline</t>
  </si>
  <si>
    <t xml:space="preserve"> Kerosene</t>
  </si>
  <si>
    <t xml:space="preserve"> Jet Kerosene</t>
  </si>
  <si>
    <t xml:space="preserve"> Fueloil</t>
  </si>
  <si>
    <t xml:space="preserve"> LPG</t>
  </si>
  <si>
    <t xml:space="preserve"> Gasoil / Diesel /DERV</t>
  </si>
  <si>
    <t xml:space="preserve"> Petroleum Coke</t>
  </si>
  <si>
    <t xml:space="preserve"> Naphta</t>
  </si>
  <si>
    <t xml:space="preserve"> Bitumen</t>
  </si>
  <si>
    <t xml:space="preserve"> White Spirit</t>
  </si>
  <si>
    <t xml:space="preserve"> Lubricants</t>
  </si>
  <si>
    <t xml:space="preserve"> Natural Gas</t>
  </si>
  <si>
    <t xml:space="preserve"> Renewables</t>
  </si>
  <si>
    <t xml:space="preserve"> Hydro</t>
  </si>
  <si>
    <t xml:space="preserve"> Wind</t>
  </si>
  <si>
    <t xml:space="preserve"> Biomass</t>
  </si>
  <si>
    <t xml:space="preserve"> Renewable Waste</t>
  </si>
  <si>
    <t xml:space="preserve"> Landfill Gas</t>
  </si>
  <si>
    <t xml:space="preserve"> Biogas</t>
  </si>
  <si>
    <t xml:space="preserve"> Biodiesel</t>
  </si>
  <si>
    <t xml:space="preserve"> Bioethanol</t>
  </si>
  <si>
    <t xml:space="preserve"> Solar Photovoltaic</t>
  </si>
  <si>
    <t xml:space="preserve"> Solar Thermal</t>
  </si>
  <si>
    <t xml:space="preserve"> Ambient Heat</t>
  </si>
  <si>
    <t xml:space="preserve"> Non-Renewable  Waste</t>
  </si>
  <si>
    <t xml:space="preserve"> Electricity</t>
  </si>
  <si>
    <t xml:space="preserve"> Heat</t>
  </si>
  <si>
    <t xml:space="preserve"> TOTAL</t>
  </si>
  <si>
    <t>Indigenous Production</t>
  </si>
  <si>
    <t>Imports</t>
  </si>
  <si>
    <t>Exports</t>
  </si>
  <si>
    <t>Mar. Bunkers</t>
  </si>
  <si>
    <t>Stock Change</t>
  </si>
  <si>
    <t>Primary Energy Supply (incl non-energy)</t>
  </si>
  <si>
    <t>Primary Energy Requirement (excl. non-energy)</t>
  </si>
  <si>
    <t>Transformation Input</t>
  </si>
  <si>
    <t>Public Thermal Power Plants (Input)</t>
  </si>
  <si>
    <t>Combined Heat and Power Plants (Input)</t>
  </si>
  <si>
    <t>Pumped &amp; Battery Storage (Input)</t>
  </si>
  <si>
    <t>Briquetting Plants (Input)</t>
  </si>
  <si>
    <t>Oil Refineries &amp; other energy sector (Input)</t>
  </si>
  <si>
    <t>Transformation Output</t>
  </si>
  <si>
    <t>Public Thermal Power Plants (Output)</t>
  </si>
  <si>
    <t>Combined Heat and Power Plants (Output)</t>
  </si>
  <si>
    <t>Pumped &amp; Battery Storage (Output)</t>
  </si>
  <si>
    <t>Briquetting Plants (Output)</t>
  </si>
  <si>
    <t>Oil Refineries &amp; other energy sector (Output)</t>
  </si>
  <si>
    <t>Exchanges and transfers</t>
  </si>
  <si>
    <t>Electricity Exchange &amp; Transfers</t>
  </si>
  <si>
    <t>Heat Exchange &amp; Transfers</t>
  </si>
  <si>
    <t>Other Exchange &amp; Transfers</t>
  </si>
  <si>
    <t>Own Use and Distribution Losses</t>
  </si>
  <si>
    <t>Available Final Energy Consumption</t>
  </si>
  <si>
    <t>Non-Energy Consumption</t>
  </si>
  <si>
    <t>Final non-Energy Consumption (Feedstocks)</t>
  </si>
  <si>
    <t>Total Final Energy Consumption</t>
  </si>
  <si>
    <t>Industry*</t>
  </si>
  <si>
    <t>Non-Energy Mining</t>
  </si>
  <si>
    <t>05-09</t>
  </si>
  <si>
    <t>Food &amp; beverages</t>
  </si>
  <si>
    <t>10-11</t>
  </si>
  <si>
    <t>Textiles and textile products</t>
  </si>
  <si>
    <t>13-14</t>
  </si>
  <si>
    <t>Wood and wood products</t>
  </si>
  <si>
    <t>16</t>
  </si>
  <si>
    <t>Pulp, paper, publishing and printing</t>
  </si>
  <si>
    <t>17-18</t>
  </si>
  <si>
    <t>Chemicals &amp; man-made fibres</t>
  </si>
  <si>
    <t>20-21</t>
  </si>
  <si>
    <t>Rubber and plastic products</t>
  </si>
  <si>
    <t>22</t>
  </si>
  <si>
    <t>Other non-metallic mineral products</t>
  </si>
  <si>
    <t>23</t>
  </si>
  <si>
    <t>Basic metals and fabricated metal products</t>
  </si>
  <si>
    <t>24-25</t>
  </si>
  <si>
    <t>Machinery and equipment n.e.c.</t>
  </si>
  <si>
    <t>28</t>
  </si>
  <si>
    <t>Electrical and optical equipment</t>
  </si>
  <si>
    <t>26-27</t>
  </si>
  <si>
    <t>Transport equipment manufacture</t>
  </si>
  <si>
    <t>29-30</t>
  </si>
  <si>
    <t>Other manufacturing</t>
  </si>
  <si>
    <t>31-33, 12 &amp; 15</t>
  </si>
  <si>
    <t>Construction</t>
  </si>
  <si>
    <t>41-43</t>
  </si>
  <si>
    <t>Transport</t>
  </si>
  <si>
    <t>Road Freight</t>
  </si>
  <si>
    <t>Road Light Goods Vehicle</t>
  </si>
  <si>
    <t>Road Private Car</t>
  </si>
  <si>
    <t>Public Passenger Services</t>
  </si>
  <si>
    <t>Rail</t>
  </si>
  <si>
    <t>Domestic Aviation</t>
  </si>
  <si>
    <t>International Aviation</t>
  </si>
  <si>
    <t>Fuel Tourism</t>
  </si>
  <si>
    <t>Navigation</t>
  </si>
  <si>
    <t>Unspecified (other road and pipeline)</t>
  </si>
  <si>
    <t>Residential</t>
  </si>
  <si>
    <t>Commercial/Public Services*</t>
  </si>
  <si>
    <t>Commercial Services*</t>
  </si>
  <si>
    <t>Wholesale, Retail, and Vehicle Repair</t>
  </si>
  <si>
    <t>45-47</t>
  </si>
  <si>
    <t>Transportation and Storage</t>
  </si>
  <si>
    <t>49-53</t>
  </si>
  <si>
    <t>Accommodation and Food Services</t>
  </si>
  <si>
    <t>55-56</t>
  </si>
  <si>
    <t>Information and Communication</t>
  </si>
  <si>
    <t>58-63</t>
  </si>
  <si>
    <t>Financial, Insurance and Real Estate Activities</t>
  </si>
  <si>
    <t>64-68</t>
  </si>
  <si>
    <t>Other Services Sectors</t>
  </si>
  <si>
    <t>Public Services*</t>
  </si>
  <si>
    <t>Water Supply, Sewerage, and Waste Management</t>
  </si>
  <si>
    <t>36-39</t>
  </si>
  <si>
    <t>Public Administration</t>
  </si>
  <si>
    <t>Education</t>
  </si>
  <si>
    <t>Health, Residential Care and Social Work Activities</t>
  </si>
  <si>
    <t>86-88</t>
  </si>
  <si>
    <t>Agricultural</t>
  </si>
  <si>
    <t>Fisheries</t>
  </si>
  <si>
    <t>Statistical Difference</t>
  </si>
  <si>
    <t>*Industry &amp; Services sub-sectoral breakdown is based on the BEUS 2019.</t>
  </si>
  <si>
    <t xml:space="preserve">**a. Unspecified (other road and pipeline transport): a.‘Other road’ includes motorcycles, vintage vehicles, tax exempt vehicles (vehicles exempted under the Disabled Drivers and Disabled Passengers (Tax Concessions) Regulations, state-owned vehicles, diplomatic vehicles, emergency vehicles, etc.), motor caravans, hearses and island vehicles.
</t>
  </si>
  <si>
    <t>b. ‘Pipeline transport’ refers to consumption of natural gas to support the operation of natural gas pipelines. c.Prior to 2006, consumption of fuel oil in domestic navigation was recorded in unspecified.</t>
  </si>
  <si>
    <t>Last Updated : 8 May 2026</t>
  </si>
  <si>
    <t>2019 provisional data</t>
  </si>
  <si>
    <t>2019 provisional data based on 2018 breakdown</t>
  </si>
  <si>
    <t>2018 data</t>
  </si>
  <si>
    <t>Sod peat is estimated due to new legislation and the methodology is under review</t>
  </si>
  <si>
    <t>Statistical differences may exist for crude oil between the calculated primary energy requirement and the observed refinery input</t>
  </si>
  <si>
    <r>
      <t xml:space="preserve">BioLPG used in transport is included in the </t>
    </r>
    <r>
      <rPr>
        <b/>
        <sz val="10"/>
        <rFont val="Myriad Pro"/>
        <family val="2"/>
      </rPr>
      <t>Biodiesel</t>
    </r>
    <r>
      <rPr>
        <sz val="10"/>
        <rFont val="Myriad Pro"/>
        <family val="2"/>
      </rPr>
      <t xml:space="preserve"> column.</t>
    </r>
  </si>
  <si>
    <r>
      <t xml:space="preserve">BioLPG used outside of transport is included within the </t>
    </r>
    <r>
      <rPr>
        <b/>
        <sz val="10"/>
        <rFont val="Myriad Pro"/>
        <family val="2"/>
      </rPr>
      <t>Biomas</t>
    </r>
    <r>
      <rPr>
        <sz val="10"/>
        <rFont val="Myriad Pro"/>
        <family val="2"/>
      </rPr>
      <t>s column.</t>
    </r>
  </si>
  <si>
    <t>ktoe</t>
  </si>
  <si>
    <t>Conversion to TJ</t>
  </si>
  <si>
    <t>Gas plant (small-scale) with heat production (CHP) (ktoe)</t>
  </si>
  <si>
    <t>TJ/ktoe</t>
  </si>
  <si>
    <t>TJ</t>
  </si>
  <si>
    <t>Gas plant (small-scale) with heat production (CHP) (TJ)</t>
  </si>
  <si>
    <t>Biomass CHP (ktoe)</t>
  </si>
  <si>
    <t>Biomass CHP (TJ)</t>
  </si>
  <si>
    <t>Biogas CHP (ktoe)</t>
  </si>
  <si>
    <t>Biogas CHP (TJ)</t>
  </si>
  <si>
    <t>unit</t>
  </si>
  <si>
    <t>Derived from the SEAI energy balance (2019). See &lt;a href="https://github.com/quintel/etdataset-public/tree/master/source_analyses/IE_ireland/2019/production/CHP.xlsx"&gt;this file&lt;/a&gt; for more information.</t>
  </si>
  <si>
    <t>input_energy_chp_ultra_supercritical_ht_lignite_production</t>
  </si>
  <si>
    <t>No lignite CHP present</t>
  </si>
  <si>
    <t>Electrical efficiency</t>
  </si>
  <si>
    <t>%</t>
  </si>
  <si>
    <t>Values are retrieved from the SEAI Energy Balance (2019) (https://www.seai.ie/data-and-insights/seai-statistics/key-publications/national-energy-balance) and are shown in corresponding tab. Since these values are shown in ktoe, in here they are multiplied by their corresponding electrical efficiency (retrieved from the current dataset) and are converted to 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</si>
</sst>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dd/mm/yyyy;@"/>
    <numFmt numFmtId="171" formatCode="0.0"/>
    <numFmt numFmtId="172" formatCode="#,##0.0;[Red]\-#,##0.0"/>
  </numFmts>
  <fonts count="9">
    <font>
      <sz val="11"/>
      <color theme="1"/>
      <name val="Satoshi"/>
      <family val="2"/>
    </font>
    <font>
      <sz val="10"/>
      <name val="MS Sans Serif"/>
      <family val="2"/>
    </font>
    <font>
      <b/>
      <sz val="11"/>
      <name val="Myriad Pro"/>
      <family val="2"/>
    </font>
    <font>
      <b/>
      <sz val="10"/>
      <name val="Myriad Pro"/>
      <family val="2"/>
    </font>
    <font>
      <sz val="10"/>
      <name val="Arial"/>
      <family val="2"/>
    </font>
    <font>
      <sz val="10"/>
      <name val="Myriad Pro"/>
      <family val="2"/>
    </font>
    <font>
      <sz val="8"/>
      <name val="Arial"/>
      <family val="2"/>
    </font>
    <font>
      <b/>
      <sz val="11"/>
      <color theme="4"/>
      <name val="Satoshi"/>
    </font>
    <font>
      <i/>
      <sz val="11"/>
      <color theme="1"/>
      <name val="Satoshi"/>
    </font>
  </fonts>
  <fills count="6">
    <fill>
      <patternFill patternType="none"/>
    </fill>
    <fill>
      <patternFill patternType="gray125"/>
    </fill>
    <fill>
      <patternFill patternType="solid">
        <fgColor rgb="FFC0C0C0"/>
        <bgColor indexed="64"/>
      </patternFill>
    </fill>
    <fill>
      <patternFill patternType="solid">
        <fgColor rgb="FFFFFF99"/>
        <bgColor indexed="64"/>
      </patternFill>
    </fill>
    <fill>
      <patternFill patternType="solid">
        <fgColor indexed="9"/>
        <bgColor indexed="64"/>
      </patternFill>
    </fill>
    <fill>
      <patternFill patternType="solid">
        <fgColor rgb="FFCCFFCC"/>
        <bgColor indexed="64"/>
      </patternFill>
    </fill>
  </fills>
  <borders count="156">
    <border>
      <left/>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hair">
        <color indexed="64"/>
      </right>
      <top style="medium">
        <color indexed="64"/>
      </top>
      <bottom/>
      <diagonal/>
    </border>
    <border>
      <left style="hair">
        <color indexed="64"/>
      </left>
      <right style="hair">
        <color indexed="64"/>
      </right>
      <top style="medium">
        <color indexed="64"/>
      </top>
      <bottom/>
      <diagonal/>
    </border>
    <border>
      <left style="thin">
        <color indexed="64"/>
      </left>
      <right/>
      <top style="medium">
        <color indexed="64"/>
      </top>
      <bottom style="hair">
        <color indexed="64"/>
      </bottom>
      <diagonal/>
    </border>
    <border>
      <left style="medium">
        <color indexed="64"/>
      </left>
      <right/>
      <top style="medium">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top style="hair">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medium">
        <color indexed="64"/>
      </left>
      <right/>
      <top style="thin">
        <color indexed="64"/>
      </top>
      <bottom style="medium">
        <color indexed="64"/>
      </bottom>
      <diagonal/>
    </border>
    <border>
      <left style="hair">
        <color indexed="64"/>
      </left>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bottom style="hair">
        <color indexed="64"/>
      </bottom>
      <diagonal/>
    </border>
    <border>
      <left style="hair">
        <color indexed="64"/>
      </left>
      <right style="hair">
        <color indexed="64"/>
      </right>
      <top/>
      <bottom style="hair">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style="thin">
        <color indexed="64"/>
      </left>
      <right style="thin">
        <color indexed="64"/>
      </right>
      <top/>
      <bottom/>
      <diagonal/>
    </border>
    <border>
      <left style="thin">
        <color indexed="64"/>
      </left>
      <right/>
      <top/>
      <bottom/>
      <diagonal/>
    </border>
    <border>
      <left style="hair">
        <color indexed="64"/>
      </left>
      <right style="hair">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style="hair">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bottom/>
      <diagonal/>
    </border>
    <border>
      <left style="thin">
        <color indexed="64"/>
      </left>
      <right style="hair">
        <color indexed="64"/>
      </right>
      <top/>
      <bottom/>
      <diagonal/>
    </border>
    <border>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medium">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right style="hair">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hair">
        <color indexed="64"/>
      </left>
      <right style="hair">
        <color indexed="64"/>
      </right>
      <top style="hair">
        <color indexed="64"/>
      </top>
      <bottom/>
      <diagonal/>
    </border>
    <border>
      <left style="medium">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right/>
      <top style="hair">
        <color indexed="64"/>
      </top>
      <bottom/>
      <diagonal/>
    </border>
    <border>
      <left style="thin">
        <color indexed="64"/>
      </left>
      <right/>
      <top style="hair">
        <color indexed="64"/>
      </top>
      <bottom/>
      <diagonal/>
    </border>
    <border>
      <left style="medium">
        <color indexed="64"/>
      </left>
      <right/>
      <top style="hair">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medium">
        <color indexed="64"/>
      </top>
      <bottom style="medium">
        <color indexed="64"/>
      </bottom>
      <diagonal/>
    </border>
  </borders>
  <cellStyleXfs count="6">
    <xf numFmtId="0" fontId="0" fillId="0" borderId="0"/>
    <xf numFmtId="0" fontId="1" fillId="0" borderId="0"/>
    <xf numFmtId="0" fontId="4" fillId="0" borderId="0"/>
    <xf numFmtId="0" fontId="6" fillId="0" borderId="0"/>
    <xf numFmtId="164" fontId="4" fillId="0" borderId="0" applyFont="0" applyFill="0" applyBorder="0" applyAlignment="0" applyProtection="0"/>
    <xf numFmtId="9" fontId="4" fillId="0" borderId="0" applyFont="0" applyFill="0" applyBorder="0" applyAlignment="0" applyProtection="0"/>
  </cellStyleXfs>
  <cellXfs count="289">
    <xf numFmtId="0" fontId="0" fillId="0" borderId="0" xfId="0"/>
    <xf numFmtId="38" fontId="2" fillId="0" borderId="0" xfId="1" applyNumberFormat="1" applyFont="1" applyAlignment="1">
      <alignment horizontal="left" wrapText="1"/>
    </xf>
    <xf numFmtId="38" fontId="3" fillId="0" borderId="1" xfId="1" applyNumberFormat="1" applyFont="1" applyBorder="1" applyAlignment="1">
      <alignment horizontal="center" wrapText="1"/>
    </xf>
    <xf numFmtId="38" fontId="3" fillId="0" borderId="2" xfId="1" applyNumberFormat="1" applyFont="1" applyBorder="1" applyAlignment="1">
      <alignment horizontal="center" textRotation="90" wrapText="1"/>
    </xf>
    <xf numFmtId="38" fontId="3" fillId="0" borderId="3" xfId="1" applyNumberFormat="1" applyFont="1" applyBorder="1" applyAlignment="1">
      <alignment horizontal="center" textRotation="90" wrapText="1"/>
    </xf>
    <xf numFmtId="38" fontId="3" fillId="0" borderId="4" xfId="1" applyNumberFormat="1" applyFont="1" applyBorder="1" applyAlignment="1">
      <alignment horizontal="center" textRotation="90" wrapText="1"/>
    </xf>
    <xf numFmtId="38" fontId="3" fillId="0" borderId="5" xfId="1" applyNumberFormat="1" applyFont="1" applyBorder="1" applyAlignment="1">
      <alignment horizontal="center" textRotation="90" wrapText="1"/>
    </xf>
    <xf numFmtId="38" fontId="3" fillId="0" borderId="6" xfId="1" applyNumberFormat="1" applyFont="1" applyBorder="1" applyAlignment="1">
      <alignment horizontal="center" textRotation="90" wrapText="1"/>
    </xf>
    <xf numFmtId="38" fontId="3" fillId="0" borderId="7" xfId="1" applyNumberFormat="1" applyFont="1" applyBorder="1" applyAlignment="1">
      <alignment horizontal="center" textRotation="90" wrapText="1"/>
    </xf>
    <xf numFmtId="38" fontId="3" fillId="0" borderId="8" xfId="1" applyNumberFormat="1" applyFont="1" applyBorder="1" applyAlignment="1">
      <alignment horizontal="center" textRotation="90" wrapText="1"/>
    </xf>
    <xf numFmtId="38" fontId="3" fillId="0" borderId="9" xfId="1" applyNumberFormat="1" applyFont="1" applyBorder="1" applyAlignment="1">
      <alignment horizontal="center" textRotation="90" wrapText="1"/>
    </xf>
    <xf numFmtId="38" fontId="5" fillId="0" borderId="0" xfId="2" applyNumberFormat="1" applyFont="1"/>
    <xf numFmtId="38" fontId="5" fillId="0" borderId="10" xfId="1" applyNumberFormat="1" applyFont="1" applyBorder="1" applyAlignment="1">
      <alignment horizontal="left"/>
    </xf>
    <xf numFmtId="38" fontId="3" fillId="0" borderId="11" xfId="1" applyNumberFormat="1" applyFont="1" applyBorder="1" applyAlignment="1">
      <alignment horizontal="center"/>
    </xf>
    <xf numFmtId="38" fontId="3" fillId="0" borderId="12" xfId="1" applyNumberFormat="1" applyFont="1" applyBorder="1" applyAlignment="1">
      <alignment horizontal="center"/>
    </xf>
    <xf numFmtId="38" fontId="3" fillId="0" borderId="13" xfId="1" applyNumberFormat="1" applyFont="1" applyBorder="1" applyAlignment="1">
      <alignment horizontal="center"/>
    </xf>
    <xf numFmtId="38" fontId="3" fillId="0" borderId="14" xfId="1" applyNumberFormat="1" applyFont="1" applyBorder="1" applyAlignment="1">
      <alignment horizontal="center"/>
    </xf>
    <xf numFmtId="38" fontId="5" fillId="0" borderId="15" xfId="1" applyNumberFormat="1" applyFont="1" applyBorder="1" applyAlignment="1">
      <alignment horizontal="center"/>
    </xf>
    <xf numFmtId="38" fontId="3" fillId="0" borderId="16" xfId="1" applyNumberFormat="1" applyFont="1" applyBorder="1" applyAlignment="1">
      <alignment horizontal="center"/>
    </xf>
    <xf numFmtId="38" fontId="5" fillId="0" borderId="13" xfId="1" applyNumberFormat="1" applyFont="1" applyBorder="1" applyAlignment="1">
      <alignment horizontal="center"/>
    </xf>
    <xf numFmtId="38" fontId="5" fillId="2" borderId="14" xfId="1" applyNumberFormat="1" applyFont="1" applyFill="1" applyBorder="1" applyAlignment="1">
      <alignment horizontal="center"/>
    </xf>
    <xf numFmtId="38" fontId="5" fillId="0" borderId="14" xfId="1" applyNumberFormat="1" applyFont="1" applyBorder="1" applyAlignment="1">
      <alignment horizontal="center"/>
    </xf>
    <xf numFmtId="38" fontId="5" fillId="0" borderId="17" xfId="1" applyNumberFormat="1" applyFont="1" applyBorder="1" applyAlignment="1">
      <alignment horizontal="center"/>
    </xf>
    <xf numFmtId="38" fontId="5" fillId="0" borderId="18" xfId="1" applyNumberFormat="1" applyFont="1" applyBorder="1" applyAlignment="1">
      <alignment horizontal="center"/>
    </xf>
    <xf numFmtId="38" fontId="3" fillId="0" borderId="10" xfId="1" applyNumberFormat="1" applyFont="1" applyBorder="1" applyAlignment="1">
      <alignment horizontal="center"/>
    </xf>
    <xf numFmtId="38" fontId="5" fillId="0" borderId="19" xfId="1" applyNumberFormat="1" applyFont="1" applyBorder="1" applyAlignment="1">
      <alignment horizontal="center"/>
    </xf>
    <xf numFmtId="38" fontId="5" fillId="0" borderId="16" xfId="1" applyNumberFormat="1" applyFont="1" applyBorder="1" applyAlignment="1">
      <alignment horizontal="center"/>
    </xf>
    <xf numFmtId="38" fontId="5" fillId="0" borderId="20" xfId="1" applyNumberFormat="1" applyFont="1" applyBorder="1" applyAlignment="1">
      <alignment horizontal="center"/>
    </xf>
    <xf numFmtId="38" fontId="5" fillId="0" borderId="21" xfId="1" applyNumberFormat="1" applyFont="1" applyBorder="1" applyAlignment="1">
      <alignment horizontal="left"/>
    </xf>
    <xf numFmtId="38" fontId="3" fillId="0" borderId="22" xfId="1" applyNumberFormat="1" applyFont="1" applyBorder="1" applyAlignment="1">
      <alignment horizontal="center"/>
    </xf>
    <xf numFmtId="38" fontId="3" fillId="0" borderId="23" xfId="1" applyNumberFormat="1" applyFont="1" applyBorder="1" applyAlignment="1">
      <alignment horizontal="center"/>
    </xf>
    <xf numFmtId="38" fontId="3" fillId="0" borderId="24" xfId="1" applyNumberFormat="1" applyFont="1" applyBorder="1" applyAlignment="1">
      <alignment horizontal="center"/>
    </xf>
    <xf numFmtId="38" fontId="3" fillId="0" borderId="25" xfId="1" applyNumberFormat="1" applyFont="1" applyBorder="1" applyAlignment="1">
      <alignment horizontal="center"/>
    </xf>
    <xf numFmtId="38" fontId="5" fillId="0" borderId="25" xfId="1" applyNumberFormat="1" applyFont="1" applyBorder="1" applyAlignment="1">
      <alignment horizontal="center"/>
    </xf>
    <xf numFmtId="38" fontId="3" fillId="0" borderId="26" xfId="1" applyNumberFormat="1" applyFont="1" applyBorder="1" applyAlignment="1">
      <alignment horizontal="center"/>
    </xf>
    <xf numFmtId="38" fontId="5" fillId="0" borderId="24" xfId="1" applyNumberFormat="1" applyFont="1" applyBorder="1" applyAlignment="1">
      <alignment horizontal="center"/>
    </xf>
    <xf numFmtId="38" fontId="5" fillId="2" borderId="27" xfId="1" applyNumberFormat="1" applyFont="1" applyFill="1" applyBorder="1" applyAlignment="1">
      <alignment horizontal="center"/>
    </xf>
    <xf numFmtId="38" fontId="5" fillId="0" borderId="27" xfId="1" applyNumberFormat="1" applyFont="1" applyBorder="1" applyAlignment="1">
      <alignment horizontal="center"/>
    </xf>
    <xf numFmtId="38" fontId="3" fillId="0" borderId="21" xfId="1" applyNumberFormat="1" applyFont="1" applyBorder="1" applyAlignment="1">
      <alignment horizontal="center"/>
    </xf>
    <xf numFmtId="38" fontId="5" fillId="0" borderId="28" xfId="1" applyNumberFormat="1" applyFont="1" applyBorder="1" applyAlignment="1">
      <alignment horizontal="center"/>
    </xf>
    <xf numFmtId="38" fontId="5" fillId="0" borderId="26" xfId="1" applyNumberFormat="1" applyFont="1" applyBorder="1" applyAlignment="1">
      <alignment horizontal="center"/>
    </xf>
    <xf numFmtId="38" fontId="5" fillId="0" borderId="29" xfId="1" applyNumberFormat="1" applyFont="1" applyBorder="1" applyAlignment="1">
      <alignment horizontal="center"/>
    </xf>
    <xf numFmtId="38" fontId="3" fillId="0" borderId="27" xfId="1" applyNumberFormat="1" applyFont="1" applyBorder="1" applyAlignment="1">
      <alignment horizontal="center"/>
    </xf>
    <xf numFmtId="38" fontId="5" fillId="0" borderId="30" xfId="1" applyNumberFormat="1" applyFont="1" applyBorder="1" applyAlignment="1">
      <alignment horizontal="left"/>
    </xf>
    <xf numFmtId="38" fontId="3" fillId="0" borderId="31" xfId="1" applyNumberFormat="1" applyFont="1" applyBorder="1" applyAlignment="1">
      <alignment horizontal="center"/>
    </xf>
    <xf numFmtId="38" fontId="3" fillId="0" borderId="32" xfId="1" applyNumberFormat="1" applyFont="1" applyBorder="1" applyAlignment="1">
      <alignment horizontal="center"/>
    </xf>
    <xf numFmtId="38" fontId="5" fillId="0" borderId="33" xfId="1" applyNumberFormat="1" applyFont="1" applyBorder="1" applyAlignment="1">
      <alignment horizontal="center"/>
    </xf>
    <xf numFmtId="38" fontId="3" fillId="0" borderId="34" xfId="1" applyNumberFormat="1" applyFont="1" applyBorder="1" applyAlignment="1">
      <alignment horizontal="center"/>
    </xf>
    <xf numFmtId="38" fontId="5" fillId="0" borderId="32" xfId="1" applyNumberFormat="1" applyFont="1" applyBorder="1" applyAlignment="1">
      <alignment horizontal="center"/>
    </xf>
    <xf numFmtId="38" fontId="5" fillId="2" borderId="32" xfId="1" applyNumberFormat="1" applyFont="1" applyFill="1" applyBorder="1" applyAlignment="1">
      <alignment horizontal="center"/>
    </xf>
    <xf numFmtId="38" fontId="3" fillId="0" borderId="30" xfId="1" applyNumberFormat="1" applyFont="1" applyBorder="1" applyAlignment="1">
      <alignment horizontal="center"/>
    </xf>
    <xf numFmtId="38" fontId="5" fillId="0" borderId="35" xfId="1" applyNumberFormat="1" applyFont="1" applyBorder="1" applyAlignment="1">
      <alignment horizontal="center"/>
    </xf>
    <xf numFmtId="38" fontId="5" fillId="0" borderId="36" xfId="1" applyNumberFormat="1" applyFont="1" applyBorder="1" applyAlignment="1">
      <alignment horizontal="center"/>
    </xf>
    <xf numFmtId="38" fontId="5" fillId="0" borderId="34" xfId="1" applyNumberFormat="1" applyFont="1" applyBorder="1" applyAlignment="1">
      <alignment horizontal="center"/>
    </xf>
    <xf numFmtId="38" fontId="5" fillId="0" borderId="37" xfId="1" applyNumberFormat="1" applyFont="1" applyBorder="1" applyAlignment="1">
      <alignment horizontal="center"/>
    </xf>
    <xf numFmtId="38" fontId="3" fillId="0" borderId="38" xfId="1" applyNumberFormat="1" applyFont="1" applyBorder="1" applyAlignment="1">
      <alignment horizontal="left"/>
    </xf>
    <xf numFmtId="38" fontId="3" fillId="0" borderId="39" xfId="1" applyNumberFormat="1" applyFont="1" applyBorder="1" applyAlignment="1">
      <alignment horizontal="center"/>
    </xf>
    <xf numFmtId="38" fontId="3" fillId="0" borderId="40" xfId="1" applyNumberFormat="1" applyFont="1" applyBorder="1" applyAlignment="1">
      <alignment horizontal="center"/>
    </xf>
    <xf numFmtId="38" fontId="3" fillId="0" borderId="38" xfId="1" applyNumberFormat="1" applyFont="1" applyBorder="1" applyAlignment="1">
      <alignment horizontal="center"/>
    </xf>
    <xf numFmtId="38" fontId="3" fillId="0" borderId="18" xfId="1" applyNumberFormat="1" applyFont="1" applyBorder="1" applyAlignment="1">
      <alignment horizontal="center"/>
    </xf>
    <xf numFmtId="38" fontId="3" fillId="0" borderId="41" xfId="1" applyNumberFormat="1" applyFont="1" applyBorder="1" applyAlignment="1">
      <alignment horizontal="center"/>
    </xf>
    <xf numFmtId="38" fontId="3" fillId="2" borderId="18" xfId="1" applyNumberFormat="1" applyFont="1" applyFill="1" applyBorder="1" applyAlignment="1">
      <alignment horizontal="center"/>
    </xf>
    <xf numFmtId="38" fontId="3" fillId="0" borderId="17" xfId="1" applyNumberFormat="1" applyFont="1" applyBorder="1" applyAlignment="1">
      <alignment horizontal="center"/>
    </xf>
    <xf numFmtId="38" fontId="3" fillId="0" borderId="42" xfId="1" applyNumberFormat="1" applyFont="1" applyBorder="1" applyAlignment="1">
      <alignment horizontal="center"/>
    </xf>
    <xf numFmtId="38" fontId="3" fillId="0" borderId="43" xfId="1" applyNumberFormat="1" applyFont="1" applyBorder="1" applyAlignment="1">
      <alignment horizontal="center"/>
    </xf>
    <xf numFmtId="38" fontId="3" fillId="0" borderId="0" xfId="2" applyNumberFormat="1" applyFont="1"/>
    <xf numFmtId="38" fontId="3" fillId="0" borderId="44" xfId="1" applyNumberFormat="1" applyFont="1" applyBorder="1" applyAlignment="1">
      <alignment horizontal="left"/>
    </xf>
    <xf numFmtId="38" fontId="3" fillId="0" borderId="45" xfId="1" applyNumberFormat="1" applyFont="1" applyBorder="1" applyAlignment="1">
      <alignment horizontal="center"/>
    </xf>
    <xf numFmtId="38" fontId="3" fillId="0" borderId="46" xfId="1" applyNumberFormat="1" applyFont="1" applyBorder="1" applyAlignment="1">
      <alignment horizontal="center"/>
    </xf>
    <xf numFmtId="38" fontId="3" fillId="0" borderId="44" xfId="1" applyNumberFormat="1" applyFont="1" applyBorder="1" applyAlignment="1">
      <alignment horizontal="center"/>
    </xf>
    <xf numFmtId="38" fontId="3" fillId="0" borderId="47" xfId="1" applyNumberFormat="1" applyFont="1" applyBorder="1" applyAlignment="1">
      <alignment horizontal="center"/>
    </xf>
    <xf numFmtId="38" fontId="3" fillId="0" borderId="48" xfId="1" applyNumberFormat="1" applyFont="1" applyBorder="1" applyAlignment="1">
      <alignment horizontal="center"/>
    </xf>
    <xf numFmtId="38" fontId="3" fillId="0" borderId="49" xfId="1" applyNumberFormat="1" applyFont="1" applyBorder="1" applyAlignment="1">
      <alignment horizontal="center"/>
    </xf>
    <xf numFmtId="38" fontId="3" fillId="2" borderId="47" xfId="1" applyNumberFormat="1" applyFont="1" applyFill="1" applyBorder="1" applyAlignment="1">
      <alignment horizontal="center"/>
    </xf>
    <xf numFmtId="38" fontId="5" fillId="0" borderId="49" xfId="1" applyNumberFormat="1" applyFont="1" applyBorder="1" applyAlignment="1">
      <alignment horizontal="center"/>
    </xf>
    <xf numFmtId="38" fontId="3" fillId="0" borderId="50" xfId="1" applyNumberFormat="1" applyFont="1" applyBorder="1" applyAlignment="1">
      <alignment horizontal="center"/>
    </xf>
    <xf numFmtId="38" fontId="3" fillId="0" borderId="51" xfId="1" applyNumberFormat="1" applyFont="1" applyBorder="1" applyAlignment="1">
      <alignment horizontal="center"/>
    </xf>
    <xf numFmtId="38" fontId="3" fillId="0" borderId="52" xfId="1" applyNumberFormat="1" applyFont="1" applyBorder="1" applyAlignment="1">
      <alignment horizontal="center"/>
    </xf>
    <xf numFmtId="38" fontId="3" fillId="0" borderId="53" xfId="1" applyNumberFormat="1" applyFont="1" applyBorder="1" applyAlignment="1">
      <alignment horizontal="center"/>
    </xf>
    <xf numFmtId="38" fontId="3" fillId="0" borderId="54" xfId="1" applyNumberFormat="1" applyFont="1" applyBorder="1" applyAlignment="1">
      <alignment horizontal="center"/>
    </xf>
    <xf numFmtId="38" fontId="5" fillId="0" borderId="55" xfId="1" applyNumberFormat="1" applyFont="1" applyBorder="1" applyAlignment="1">
      <alignment horizontal="left"/>
    </xf>
    <xf numFmtId="38" fontId="3" fillId="0" borderId="56" xfId="1" applyNumberFormat="1" applyFont="1" applyBorder="1" applyAlignment="1">
      <alignment horizontal="center"/>
    </xf>
    <xf numFmtId="38" fontId="3" fillId="0" borderId="57" xfId="1" applyNumberFormat="1" applyFont="1" applyBorder="1" applyAlignment="1">
      <alignment horizontal="center"/>
    </xf>
    <xf numFmtId="38" fontId="5" fillId="0" borderId="58" xfId="1" applyNumberFormat="1" applyFont="1" applyBorder="1" applyAlignment="1">
      <alignment horizontal="center"/>
    </xf>
    <xf numFmtId="38" fontId="5" fillId="0" borderId="59" xfId="1" applyNumberFormat="1" applyFont="1" applyBorder="1" applyAlignment="1">
      <alignment horizontal="center"/>
    </xf>
    <xf numFmtId="38" fontId="5" fillId="0" borderId="60" xfId="1" applyNumberFormat="1" applyFont="1" applyBorder="1" applyAlignment="1">
      <alignment horizontal="center"/>
    </xf>
    <xf numFmtId="38" fontId="3" fillId="0" borderId="61" xfId="1" applyNumberFormat="1" applyFont="1" applyBorder="1" applyAlignment="1">
      <alignment horizontal="center"/>
    </xf>
    <xf numFmtId="38" fontId="5" fillId="2" borderId="59" xfId="1" applyNumberFormat="1" applyFont="1" applyFill="1" applyBorder="1" applyAlignment="1">
      <alignment horizontal="center"/>
    </xf>
    <xf numFmtId="38" fontId="3" fillId="0" borderId="55" xfId="1" applyNumberFormat="1" applyFont="1" applyBorder="1" applyAlignment="1">
      <alignment horizontal="center"/>
    </xf>
    <xf numFmtId="38" fontId="5" fillId="0" borderId="62" xfId="1" applyNumberFormat="1" applyFont="1" applyBorder="1" applyAlignment="1">
      <alignment horizontal="center"/>
    </xf>
    <xf numFmtId="38" fontId="5" fillId="0" borderId="61" xfId="1" applyNumberFormat="1" applyFont="1" applyBorder="1" applyAlignment="1">
      <alignment horizontal="center"/>
    </xf>
    <xf numFmtId="38" fontId="5" fillId="0" borderId="63" xfId="1" applyNumberFormat="1" applyFont="1" applyBorder="1" applyAlignment="1">
      <alignment horizontal="center"/>
    </xf>
    <xf numFmtId="38" fontId="5" fillId="0" borderId="64" xfId="1" applyNumberFormat="1" applyFont="1" applyBorder="1" applyAlignment="1">
      <alignment horizontal="center"/>
    </xf>
    <xf numFmtId="38" fontId="5" fillId="0" borderId="65" xfId="1" applyNumberFormat="1" applyFont="1" applyBorder="1" applyAlignment="1">
      <alignment horizontal="left"/>
    </xf>
    <xf numFmtId="38" fontId="3" fillId="0" borderId="66" xfId="1" applyNumberFormat="1" applyFont="1" applyBorder="1" applyAlignment="1">
      <alignment horizontal="center"/>
    </xf>
    <xf numFmtId="38" fontId="3" fillId="0" borderId="67" xfId="1" applyNumberFormat="1" applyFont="1" applyBorder="1" applyAlignment="1">
      <alignment horizontal="center"/>
    </xf>
    <xf numFmtId="38" fontId="5" fillId="0" borderId="68" xfId="1" applyNumberFormat="1" applyFont="1" applyBorder="1" applyAlignment="1">
      <alignment horizontal="center"/>
    </xf>
    <xf numFmtId="38" fontId="5" fillId="0" borderId="69" xfId="1" applyNumberFormat="1" applyFont="1" applyBorder="1" applyAlignment="1">
      <alignment horizontal="center"/>
    </xf>
    <xf numFmtId="38" fontId="5" fillId="0" borderId="70" xfId="1" applyNumberFormat="1" applyFont="1" applyBorder="1" applyAlignment="1">
      <alignment horizontal="center"/>
    </xf>
    <xf numFmtId="38" fontId="3" fillId="0" borderId="71" xfId="1" applyNumberFormat="1" applyFont="1" applyBorder="1" applyAlignment="1">
      <alignment horizontal="center"/>
    </xf>
    <xf numFmtId="38" fontId="5" fillId="2" borderId="69" xfId="1" applyNumberFormat="1" applyFont="1" applyFill="1" applyBorder="1" applyAlignment="1">
      <alignment horizontal="center"/>
    </xf>
    <xf numFmtId="38" fontId="3" fillId="0" borderId="65" xfId="1" applyNumberFormat="1" applyFont="1" applyBorder="1" applyAlignment="1">
      <alignment horizontal="center"/>
    </xf>
    <xf numFmtId="38" fontId="5" fillId="0" borderId="72" xfId="1" applyNumberFormat="1" applyFont="1" applyBorder="1" applyAlignment="1">
      <alignment horizontal="center"/>
    </xf>
    <xf numFmtId="38" fontId="5" fillId="0" borderId="71" xfId="1" applyNumberFormat="1" applyFont="1" applyBorder="1" applyAlignment="1">
      <alignment horizontal="center"/>
    </xf>
    <xf numFmtId="38" fontId="5" fillId="0" borderId="73" xfId="1" applyNumberFormat="1" applyFont="1" applyBorder="1" applyAlignment="1">
      <alignment horizontal="center"/>
    </xf>
    <xf numFmtId="38" fontId="3" fillId="0" borderId="0" xfId="1" applyNumberFormat="1" applyFont="1" applyAlignment="1">
      <alignment horizontal="left"/>
    </xf>
    <xf numFmtId="38" fontId="3" fillId="0" borderId="1" xfId="1" applyNumberFormat="1" applyFont="1" applyBorder="1" applyAlignment="1">
      <alignment horizontal="center"/>
    </xf>
    <xf numFmtId="38" fontId="3" fillId="0" borderId="74" xfId="1" applyNumberFormat="1" applyFont="1" applyBorder="1" applyAlignment="1">
      <alignment horizontal="center"/>
    </xf>
    <xf numFmtId="38" fontId="3" fillId="0" borderId="75" xfId="1" applyNumberFormat="1" applyFont="1" applyBorder="1" applyAlignment="1">
      <alignment horizontal="center"/>
    </xf>
    <xf numFmtId="38" fontId="3" fillId="0" borderId="76" xfId="1" applyNumberFormat="1" applyFont="1" applyBorder="1" applyAlignment="1">
      <alignment horizontal="center"/>
    </xf>
    <xf numFmtId="38" fontId="3" fillId="0" borderId="77" xfId="1" applyNumberFormat="1" applyFont="1" applyBorder="1" applyAlignment="1">
      <alignment horizontal="center"/>
    </xf>
    <xf numFmtId="38" fontId="3" fillId="0" borderId="78" xfId="1" applyNumberFormat="1" applyFont="1" applyBorder="1" applyAlignment="1">
      <alignment horizontal="center"/>
    </xf>
    <xf numFmtId="38" fontId="3" fillId="2" borderId="76" xfId="1" applyNumberFormat="1" applyFont="1" applyFill="1" applyBorder="1" applyAlignment="1">
      <alignment horizontal="center"/>
    </xf>
    <xf numFmtId="38" fontId="3" fillId="0" borderId="0" xfId="1" applyNumberFormat="1" applyFont="1" applyAlignment="1">
      <alignment horizontal="center"/>
    </xf>
    <xf numFmtId="38" fontId="3" fillId="0" borderId="79" xfId="1" applyNumberFormat="1" applyFont="1" applyBorder="1" applyAlignment="1">
      <alignment horizontal="center"/>
    </xf>
    <xf numFmtId="38" fontId="3" fillId="0" borderId="80" xfId="1" applyNumberFormat="1" applyFont="1" applyBorder="1" applyAlignment="1">
      <alignment horizontal="center"/>
    </xf>
    <xf numFmtId="38" fontId="3" fillId="0" borderId="81" xfId="1" applyNumberFormat="1" applyFont="1" applyBorder="1" applyAlignment="1">
      <alignment horizontal="center"/>
    </xf>
    <xf numFmtId="38" fontId="5" fillId="0" borderId="82" xfId="1" applyNumberFormat="1" applyFont="1" applyBorder="1" applyAlignment="1">
      <alignment horizontal="center"/>
    </xf>
    <xf numFmtId="1" fontId="5" fillId="0" borderId="26" xfId="1" applyNumberFormat="1" applyFont="1" applyBorder="1" applyAlignment="1">
      <alignment horizontal="center"/>
    </xf>
    <xf numFmtId="38" fontId="3" fillId="0" borderId="83" xfId="1" applyNumberFormat="1" applyFont="1" applyBorder="1" applyAlignment="1">
      <alignment horizontal="left"/>
    </xf>
    <xf numFmtId="38" fontId="3" fillId="0" borderId="84" xfId="1" applyNumberFormat="1" applyFont="1" applyBorder="1" applyAlignment="1">
      <alignment horizontal="center"/>
    </xf>
    <xf numFmtId="38" fontId="3" fillId="0" borderId="85" xfId="1" applyNumberFormat="1" applyFont="1" applyBorder="1" applyAlignment="1">
      <alignment horizontal="center"/>
    </xf>
    <xf numFmtId="38" fontId="5" fillId="0" borderId="86" xfId="1" applyNumberFormat="1" applyFont="1" applyBorder="1" applyAlignment="1">
      <alignment horizontal="center"/>
    </xf>
    <xf numFmtId="38" fontId="5" fillId="0" borderId="87" xfId="1" applyNumberFormat="1" applyFont="1" applyBorder="1" applyAlignment="1">
      <alignment horizontal="center"/>
    </xf>
    <xf numFmtId="38" fontId="5" fillId="0" borderId="88" xfId="1" applyNumberFormat="1" applyFont="1" applyBorder="1" applyAlignment="1">
      <alignment horizontal="center"/>
    </xf>
    <xf numFmtId="38" fontId="3" fillId="0" borderId="89" xfId="1" applyNumberFormat="1" applyFont="1" applyBorder="1" applyAlignment="1">
      <alignment horizontal="center"/>
    </xf>
    <xf numFmtId="38" fontId="3" fillId="0" borderId="83" xfId="1" applyNumberFormat="1" applyFont="1" applyBorder="1" applyAlignment="1">
      <alignment horizontal="center"/>
    </xf>
    <xf numFmtId="38" fontId="5" fillId="0" borderId="90" xfId="1" applyNumberFormat="1" applyFont="1" applyBorder="1" applyAlignment="1">
      <alignment horizontal="center"/>
    </xf>
    <xf numFmtId="38" fontId="5" fillId="0" borderId="80" xfId="1" applyNumberFormat="1" applyFont="1" applyBorder="1" applyAlignment="1">
      <alignment horizontal="center"/>
    </xf>
    <xf numFmtId="38" fontId="5" fillId="0" borderId="89" xfId="1" applyNumberFormat="1" applyFont="1" applyBorder="1" applyAlignment="1">
      <alignment horizontal="center"/>
    </xf>
    <xf numFmtId="38" fontId="5" fillId="0" borderId="91" xfId="1" applyNumberFormat="1" applyFont="1" applyBorder="1" applyAlignment="1">
      <alignment horizontal="center"/>
    </xf>
    <xf numFmtId="38" fontId="3" fillId="0" borderId="92" xfId="1" applyNumberFormat="1" applyFont="1" applyBorder="1" applyAlignment="1">
      <alignment horizontal="center"/>
    </xf>
    <xf numFmtId="38" fontId="5" fillId="0" borderId="93" xfId="1" applyNumberFormat="1" applyFont="1" applyBorder="1" applyAlignment="1">
      <alignment horizontal="center"/>
    </xf>
    <xf numFmtId="38" fontId="3" fillId="0" borderId="59" xfId="1" applyNumberFormat="1" applyFont="1" applyBorder="1" applyAlignment="1">
      <alignment horizontal="center"/>
    </xf>
    <xf numFmtId="38" fontId="5" fillId="0" borderId="55" xfId="1" applyNumberFormat="1" applyFont="1" applyBorder="1" applyAlignment="1">
      <alignment horizontal="center"/>
    </xf>
    <xf numFmtId="38" fontId="5" fillId="0" borderId="0" xfId="1" applyNumberFormat="1" applyFont="1" applyAlignment="1">
      <alignment horizontal="left"/>
    </xf>
    <xf numFmtId="38" fontId="3" fillId="0" borderId="94" xfId="1" applyNumberFormat="1" applyFont="1" applyBorder="1" applyAlignment="1">
      <alignment horizontal="center"/>
    </xf>
    <xf numFmtId="38" fontId="3" fillId="0" borderId="95" xfId="1" applyNumberFormat="1" applyFont="1" applyBorder="1" applyAlignment="1">
      <alignment horizontal="center"/>
    </xf>
    <xf numFmtId="38" fontId="5" fillId="0" borderId="77" xfId="1" applyNumberFormat="1" applyFont="1" applyBorder="1" applyAlignment="1">
      <alignment horizontal="center"/>
    </xf>
    <xf numFmtId="38" fontId="5" fillId="0" borderId="0" xfId="1" applyNumberFormat="1" applyFont="1" applyAlignment="1">
      <alignment horizontal="center"/>
    </xf>
    <xf numFmtId="38" fontId="5" fillId="0" borderId="76" xfId="1" applyNumberFormat="1" applyFont="1" applyBorder="1" applyAlignment="1">
      <alignment horizontal="center"/>
    </xf>
    <xf numFmtId="38" fontId="5" fillId="0" borderId="79" xfId="1" applyNumberFormat="1" applyFont="1" applyBorder="1" applyAlignment="1">
      <alignment horizontal="center"/>
    </xf>
    <xf numFmtId="38" fontId="5" fillId="0" borderId="75" xfId="1" applyNumberFormat="1" applyFont="1" applyBorder="1" applyAlignment="1">
      <alignment horizontal="center"/>
    </xf>
    <xf numFmtId="38" fontId="5" fillId="0" borderId="78" xfId="1" applyNumberFormat="1" applyFont="1" applyBorder="1" applyAlignment="1">
      <alignment horizontal="center"/>
    </xf>
    <xf numFmtId="38" fontId="5" fillId="0" borderId="81" xfId="1" applyNumberFormat="1" applyFont="1" applyBorder="1" applyAlignment="1">
      <alignment horizontal="center"/>
    </xf>
    <xf numFmtId="38" fontId="3" fillId="0" borderId="96" xfId="1" applyNumberFormat="1" applyFont="1" applyBorder="1" applyAlignment="1">
      <alignment horizontal="center"/>
    </xf>
    <xf numFmtId="38" fontId="5" fillId="0" borderId="97" xfId="1" applyNumberFormat="1" applyFont="1" applyBorder="1" applyAlignment="1">
      <alignment horizontal="center"/>
    </xf>
    <xf numFmtId="38" fontId="5" fillId="0" borderId="30" xfId="1" applyNumberFormat="1" applyFont="1" applyBorder="1" applyAlignment="1">
      <alignment horizontal="center"/>
    </xf>
    <xf numFmtId="38" fontId="5" fillId="2" borderId="76" xfId="1" applyNumberFormat="1" applyFont="1" applyFill="1" applyBorder="1" applyAlignment="1">
      <alignment horizontal="center"/>
    </xf>
    <xf numFmtId="38" fontId="3" fillId="0" borderId="98" xfId="1" applyNumberFormat="1" applyFont="1" applyBorder="1" applyAlignment="1">
      <alignment horizontal="left"/>
    </xf>
    <xf numFmtId="38" fontId="3" fillId="0" borderId="99" xfId="1" applyNumberFormat="1" applyFont="1" applyBorder="1" applyAlignment="1">
      <alignment horizontal="center"/>
    </xf>
    <xf numFmtId="38" fontId="3" fillId="0" borderId="100" xfId="1" applyNumberFormat="1" applyFont="1" applyBorder="1" applyAlignment="1">
      <alignment horizontal="center"/>
    </xf>
    <xf numFmtId="38" fontId="3" fillId="0" borderId="101" xfId="1" applyNumberFormat="1" applyFont="1" applyBorder="1" applyAlignment="1">
      <alignment horizontal="center"/>
    </xf>
    <xf numFmtId="38" fontId="3" fillId="0" borderId="102" xfId="1" applyNumberFormat="1" applyFont="1" applyBorder="1" applyAlignment="1">
      <alignment horizontal="center"/>
    </xf>
    <xf numFmtId="38" fontId="3" fillId="0" borderId="103" xfId="1" applyNumberFormat="1" applyFont="1" applyBorder="1" applyAlignment="1">
      <alignment horizontal="center"/>
    </xf>
    <xf numFmtId="38" fontId="3" fillId="2" borderId="102" xfId="1" applyNumberFormat="1" applyFont="1" applyFill="1" applyBorder="1" applyAlignment="1">
      <alignment horizontal="center"/>
    </xf>
    <xf numFmtId="38" fontId="3" fillId="0" borderId="98" xfId="1" applyNumberFormat="1" applyFont="1" applyBorder="1" applyAlignment="1">
      <alignment horizontal="center"/>
    </xf>
    <xf numFmtId="38" fontId="3" fillId="0" borderId="104" xfId="1" applyNumberFormat="1" applyFont="1" applyBorder="1" applyAlignment="1">
      <alignment horizontal="center"/>
    </xf>
    <xf numFmtId="38" fontId="3" fillId="0" borderId="105" xfId="1" applyNumberFormat="1" applyFont="1" applyBorder="1" applyAlignment="1">
      <alignment horizontal="center"/>
    </xf>
    <xf numFmtId="38" fontId="5" fillId="0" borderId="83" xfId="1" applyNumberFormat="1" applyFont="1" applyBorder="1" applyAlignment="1">
      <alignment horizontal="left"/>
    </xf>
    <xf numFmtId="38" fontId="5" fillId="0" borderId="84" xfId="1" applyNumberFormat="1" applyFont="1" applyBorder="1" applyAlignment="1">
      <alignment horizontal="center"/>
    </xf>
    <xf numFmtId="38" fontId="5" fillId="0" borderId="85" xfId="1" applyNumberFormat="1" applyFont="1" applyBorder="1" applyAlignment="1">
      <alignment horizontal="center"/>
    </xf>
    <xf numFmtId="38" fontId="5" fillId="2" borderId="87" xfId="1" applyNumberFormat="1" applyFont="1" applyFill="1" applyBorder="1" applyAlignment="1">
      <alignment horizontal="center"/>
    </xf>
    <xf numFmtId="38" fontId="5" fillId="0" borderId="83" xfId="1" applyNumberFormat="1" applyFont="1" applyBorder="1" applyAlignment="1">
      <alignment horizontal="center"/>
    </xf>
    <xf numFmtId="38" fontId="3" fillId="2" borderId="17" xfId="1" applyNumberFormat="1" applyFont="1" applyFill="1" applyBorder="1" applyAlignment="1">
      <alignment horizontal="center"/>
    </xf>
    <xf numFmtId="38" fontId="3" fillId="0" borderId="106" xfId="1" applyNumberFormat="1" applyFont="1" applyBorder="1" applyAlignment="1">
      <alignment horizontal="left"/>
    </xf>
    <xf numFmtId="38" fontId="3" fillId="0" borderId="107" xfId="1" applyNumberFormat="1" applyFont="1" applyBorder="1" applyAlignment="1">
      <alignment horizontal="center"/>
    </xf>
    <xf numFmtId="38" fontId="3" fillId="0" borderId="108" xfId="1" applyNumberFormat="1" applyFont="1" applyBorder="1" applyAlignment="1">
      <alignment horizontal="center"/>
    </xf>
    <xf numFmtId="38" fontId="3" fillId="0" borderId="109" xfId="1" applyNumberFormat="1" applyFont="1" applyBorder="1" applyAlignment="1">
      <alignment horizontal="center"/>
    </xf>
    <xf numFmtId="38" fontId="3" fillId="0" borderId="110" xfId="1" applyNumberFormat="1" applyFont="1" applyBorder="1" applyAlignment="1">
      <alignment horizontal="center"/>
    </xf>
    <xf numFmtId="38" fontId="3" fillId="0" borderId="111" xfId="1" applyNumberFormat="1" applyFont="1" applyBorder="1" applyAlignment="1">
      <alignment horizontal="center"/>
    </xf>
    <xf numFmtId="38" fontId="3" fillId="0" borderId="112" xfId="1" applyNumberFormat="1" applyFont="1" applyBorder="1" applyAlignment="1">
      <alignment horizontal="center"/>
    </xf>
    <xf numFmtId="38" fontId="3" fillId="0" borderId="106" xfId="1" applyNumberFormat="1" applyFont="1" applyBorder="1" applyAlignment="1">
      <alignment horizontal="center"/>
    </xf>
    <xf numFmtId="38" fontId="3" fillId="0" borderId="113" xfId="1" applyNumberFormat="1" applyFont="1" applyBorder="1" applyAlignment="1">
      <alignment horizontal="center"/>
    </xf>
    <xf numFmtId="38" fontId="3" fillId="0" borderId="114" xfId="1" applyNumberFormat="1" applyFont="1" applyBorder="1" applyAlignment="1">
      <alignment horizontal="center"/>
    </xf>
    <xf numFmtId="38" fontId="5" fillId="0" borderId="115" xfId="3" applyNumberFormat="1" applyFont="1" applyBorder="1" applyAlignment="1">
      <alignment horizontal="left" vertical="top" wrapText="1"/>
    </xf>
    <xf numFmtId="38" fontId="5" fillId="0" borderId="116" xfId="3" applyNumberFormat="1" applyFont="1" applyBorder="1" applyAlignment="1">
      <alignment vertical="top"/>
    </xf>
    <xf numFmtId="38" fontId="3" fillId="0" borderId="117" xfId="1" applyNumberFormat="1" applyFont="1" applyBorder="1" applyAlignment="1">
      <alignment horizontal="center"/>
    </xf>
    <xf numFmtId="38" fontId="5" fillId="0" borderId="115" xfId="1" applyNumberFormat="1" applyFont="1" applyBorder="1" applyAlignment="1">
      <alignment horizontal="center"/>
    </xf>
    <xf numFmtId="38" fontId="5" fillId="0" borderId="118" xfId="1" applyNumberFormat="1" applyFont="1" applyBorder="1" applyAlignment="1">
      <alignment horizontal="center"/>
    </xf>
    <xf numFmtId="38" fontId="3" fillId="0" borderId="119" xfId="1" applyNumberFormat="1" applyFont="1" applyBorder="1" applyAlignment="1">
      <alignment horizontal="center"/>
    </xf>
    <xf numFmtId="38" fontId="5" fillId="0" borderId="120" xfId="1" applyNumberFormat="1" applyFont="1" applyBorder="1" applyAlignment="1">
      <alignment horizontal="center"/>
    </xf>
    <xf numFmtId="38" fontId="5" fillId="2" borderId="64" xfId="1" applyNumberFormat="1" applyFont="1" applyFill="1" applyBorder="1" applyAlignment="1">
      <alignment horizontal="center"/>
    </xf>
    <xf numFmtId="38" fontId="5" fillId="0" borderId="121" xfId="1" applyNumberFormat="1" applyFont="1" applyBorder="1" applyAlignment="1">
      <alignment horizontal="center"/>
    </xf>
    <xf numFmtId="38" fontId="3" fillId="0" borderId="115" xfId="1" applyNumberFormat="1" applyFont="1" applyBorder="1" applyAlignment="1">
      <alignment horizontal="center"/>
    </xf>
    <xf numFmtId="38" fontId="5" fillId="0" borderId="122" xfId="1" applyNumberFormat="1" applyFont="1" applyBorder="1" applyAlignment="1">
      <alignment horizontal="center"/>
    </xf>
    <xf numFmtId="38" fontId="5" fillId="0" borderId="21" xfId="3" applyNumberFormat="1" applyFont="1" applyBorder="1" applyAlignment="1">
      <alignment horizontal="left" vertical="top" wrapText="1"/>
    </xf>
    <xf numFmtId="38" fontId="5" fillId="0" borderId="22" xfId="3" applyNumberFormat="1" applyFont="1" applyBorder="1" applyAlignment="1">
      <alignment horizontal="left" vertical="top"/>
    </xf>
    <xf numFmtId="38" fontId="5" fillId="0" borderId="21" xfId="1" applyNumberFormat="1" applyFont="1" applyBorder="1" applyAlignment="1">
      <alignment horizontal="center"/>
    </xf>
    <xf numFmtId="38" fontId="5" fillId="0" borderId="123" xfId="1" applyNumberFormat="1" applyFont="1" applyBorder="1" applyAlignment="1">
      <alignment horizontal="center"/>
    </xf>
    <xf numFmtId="38" fontId="5" fillId="0" borderId="22" xfId="3" applyNumberFormat="1" applyFont="1" applyBorder="1" applyAlignment="1">
      <alignment vertical="top"/>
    </xf>
    <xf numFmtId="38" fontId="5" fillId="0" borderId="119" xfId="1" applyNumberFormat="1" applyFont="1" applyBorder="1" applyAlignment="1">
      <alignment horizontal="center"/>
    </xf>
    <xf numFmtId="38" fontId="5" fillId="0" borderId="65" xfId="3" applyNumberFormat="1" applyFont="1" applyBorder="1" applyAlignment="1">
      <alignment horizontal="left" vertical="top" wrapText="1"/>
    </xf>
    <xf numFmtId="38" fontId="5" fillId="0" borderId="66" xfId="3" applyNumberFormat="1" applyFont="1" applyBorder="1" applyAlignment="1">
      <alignment vertical="top"/>
    </xf>
    <xf numFmtId="38" fontId="5" fillId="0" borderId="65" xfId="1" applyNumberFormat="1" applyFont="1" applyBorder="1" applyAlignment="1">
      <alignment horizontal="center"/>
    </xf>
    <xf numFmtId="38" fontId="5" fillId="0" borderId="124" xfId="1" applyNumberFormat="1" applyFont="1" applyBorder="1" applyAlignment="1">
      <alignment horizontal="center"/>
    </xf>
    <xf numFmtId="38" fontId="3" fillId="0" borderId="125" xfId="1" applyNumberFormat="1" applyFont="1" applyBorder="1" applyAlignment="1">
      <alignment horizontal="center"/>
    </xf>
    <xf numFmtId="38" fontId="3" fillId="0" borderId="126" xfId="1" applyNumberFormat="1" applyFont="1" applyBorder="1" applyAlignment="1">
      <alignment horizontal="center"/>
    </xf>
    <xf numFmtId="38" fontId="3" fillId="0" borderId="127" xfId="1" applyNumberFormat="1" applyFont="1" applyBorder="1" applyAlignment="1">
      <alignment horizontal="center"/>
    </xf>
    <xf numFmtId="38" fontId="3" fillId="0" borderId="128" xfId="1" applyNumberFormat="1" applyFont="1" applyBorder="1" applyAlignment="1">
      <alignment horizontal="center"/>
    </xf>
    <xf numFmtId="38" fontId="3" fillId="0" borderId="129" xfId="1" applyNumberFormat="1" applyFont="1" applyBorder="1" applyAlignment="1">
      <alignment horizontal="center"/>
    </xf>
    <xf numFmtId="38" fontId="3" fillId="2" borderId="126" xfId="1" applyNumberFormat="1" applyFont="1" applyFill="1" applyBorder="1" applyAlignment="1">
      <alignment horizontal="center"/>
    </xf>
    <xf numFmtId="38" fontId="3" fillId="0" borderId="130" xfId="1" applyNumberFormat="1" applyFont="1" applyBorder="1" applyAlignment="1">
      <alignment horizontal="center"/>
    </xf>
    <xf numFmtId="38" fontId="3" fillId="0" borderId="131" xfId="1" applyNumberFormat="1" applyFont="1" applyBorder="1" applyAlignment="1">
      <alignment horizontal="center"/>
    </xf>
    <xf numFmtId="38" fontId="3" fillId="0" borderId="132" xfId="1" applyNumberFormat="1" applyFont="1" applyBorder="1" applyAlignment="1">
      <alignment horizontal="center"/>
    </xf>
    <xf numFmtId="38" fontId="5" fillId="0" borderId="55" xfId="3" applyNumberFormat="1" applyFont="1" applyBorder="1" applyAlignment="1">
      <alignment horizontal="left" vertical="top" wrapText="1"/>
    </xf>
    <xf numFmtId="38" fontId="3" fillId="0" borderId="58" xfId="1" applyNumberFormat="1" applyFont="1" applyBorder="1" applyAlignment="1">
      <alignment horizontal="center"/>
    </xf>
    <xf numFmtId="38" fontId="3" fillId="0" borderId="116" xfId="1" applyNumberFormat="1" applyFont="1" applyBorder="1" applyAlignment="1">
      <alignment horizontal="center"/>
    </xf>
    <xf numFmtId="38" fontId="3" fillId="0" borderId="120" xfId="1" applyNumberFormat="1" applyFont="1" applyBorder="1" applyAlignment="1">
      <alignment horizontal="center"/>
    </xf>
    <xf numFmtId="38" fontId="3" fillId="0" borderId="64" xfId="1" applyNumberFormat="1" applyFont="1" applyBorder="1" applyAlignment="1">
      <alignment horizontal="center"/>
    </xf>
    <xf numFmtId="38" fontId="5" fillId="0" borderId="133" xfId="1" applyNumberFormat="1" applyFont="1" applyBorder="1" applyAlignment="1">
      <alignment horizontal="center"/>
    </xf>
    <xf numFmtId="38" fontId="3" fillId="0" borderId="134" xfId="1" applyNumberFormat="1" applyFont="1" applyBorder="1" applyAlignment="1">
      <alignment horizontal="center"/>
    </xf>
    <xf numFmtId="38" fontId="5" fillId="0" borderId="135" xfId="1" applyNumberFormat="1" applyFont="1" applyBorder="1" applyAlignment="1">
      <alignment horizontal="center"/>
    </xf>
    <xf numFmtId="38" fontId="3" fillId="0" borderId="136" xfId="1" applyNumberFormat="1" applyFont="1" applyBorder="1" applyAlignment="1">
      <alignment horizontal="center"/>
    </xf>
    <xf numFmtId="38" fontId="5" fillId="0" borderId="137" xfId="1" applyNumberFormat="1" applyFont="1" applyBorder="1" applyAlignment="1">
      <alignment horizontal="center"/>
    </xf>
    <xf numFmtId="38" fontId="5" fillId="2" borderId="133" xfId="1" applyNumberFormat="1" applyFont="1" applyFill="1" applyBorder="1" applyAlignment="1">
      <alignment horizontal="center"/>
    </xf>
    <xf numFmtId="38" fontId="3" fillId="0" borderId="138" xfId="1" applyNumberFormat="1" applyFont="1" applyBorder="1" applyAlignment="1">
      <alignment horizontal="center"/>
    </xf>
    <xf numFmtId="38" fontId="5" fillId="0" borderId="139" xfId="1" applyNumberFormat="1" applyFont="1" applyBorder="1" applyAlignment="1">
      <alignment horizontal="center"/>
    </xf>
    <xf numFmtId="38" fontId="5" fillId="0" borderId="140" xfId="1" applyNumberFormat="1" applyFont="1" applyBorder="1" applyAlignment="1">
      <alignment horizontal="center"/>
    </xf>
    <xf numFmtId="38" fontId="3" fillId="0" borderId="68" xfId="1" applyNumberFormat="1" applyFont="1" applyBorder="1" applyAlignment="1">
      <alignment horizontal="center"/>
    </xf>
    <xf numFmtId="38" fontId="3" fillId="0" borderId="69" xfId="1" applyNumberFormat="1" applyFont="1" applyBorder="1" applyAlignment="1">
      <alignment horizontal="center"/>
    </xf>
    <xf numFmtId="38" fontId="3" fillId="0" borderId="141" xfId="1" applyNumberFormat="1" applyFont="1" applyBorder="1" applyAlignment="1">
      <alignment horizontal="left"/>
    </xf>
    <xf numFmtId="38" fontId="3" fillId="0" borderId="142" xfId="1" applyNumberFormat="1" applyFont="1" applyBorder="1" applyAlignment="1">
      <alignment horizontal="center"/>
    </xf>
    <xf numFmtId="38" fontId="3" fillId="0" borderId="143" xfId="1" applyNumberFormat="1" applyFont="1" applyBorder="1" applyAlignment="1">
      <alignment horizontal="center"/>
    </xf>
    <xf numFmtId="38" fontId="3" fillId="0" borderId="144" xfId="1" applyNumberFormat="1" applyFont="1" applyBorder="1" applyAlignment="1">
      <alignment horizontal="center"/>
    </xf>
    <xf numFmtId="38" fontId="3" fillId="0" borderId="145" xfId="1" applyNumberFormat="1" applyFont="1" applyBorder="1" applyAlignment="1">
      <alignment horizontal="center"/>
    </xf>
    <xf numFmtId="38" fontId="3" fillId="0" borderId="146" xfId="1" applyNumberFormat="1" applyFont="1" applyBorder="1" applyAlignment="1">
      <alignment horizontal="center"/>
    </xf>
    <xf numFmtId="38" fontId="3" fillId="2" borderId="80" xfId="1" applyNumberFormat="1" applyFont="1" applyFill="1" applyBorder="1" applyAlignment="1">
      <alignment horizontal="center"/>
    </xf>
    <xf numFmtId="38" fontId="3" fillId="0" borderId="141" xfId="1" applyNumberFormat="1" applyFont="1" applyBorder="1" applyAlignment="1">
      <alignment horizontal="center"/>
    </xf>
    <xf numFmtId="38" fontId="3" fillId="0" borderId="147" xfId="1" applyNumberFormat="1" applyFont="1" applyBorder="1" applyAlignment="1">
      <alignment horizontal="center"/>
    </xf>
    <xf numFmtId="38" fontId="3" fillId="0" borderId="148" xfId="1" applyNumberFormat="1" applyFont="1" applyBorder="1" applyAlignment="1">
      <alignment horizontal="center"/>
    </xf>
    <xf numFmtId="38" fontId="3" fillId="0" borderId="149" xfId="1" applyNumberFormat="1" applyFont="1" applyBorder="1" applyAlignment="1">
      <alignment horizontal="center"/>
    </xf>
    <xf numFmtId="38" fontId="3" fillId="2" borderId="144" xfId="1" applyNumberFormat="1" applyFont="1" applyFill="1" applyBorder="1" applyAlignment="1">
      <alignment horizontal="center"/>
    </xf>
    <xf numFmtId="38" fontId="5" fillId="0" borderId="22" xfId="1" applyNumberFormat="1" applyFont="1" applyBorder="1" applyAlignment="1">
      <alignment horizontal="left" vertical="top"/>
    </xf>
    <xf numFmtId="38" fontId="3" fillId="2" borderId="58" xfId="1" applyNumberFormat="1" applyFont="1" applyFill="1" applyBorder="1" applyAlignment="1">
      <alignment horizontal="center"/>
    </xf>
    <xf numFmtId="38" fontId="3" fillId="0" borderId="60" xfId="1" applyNumberFormat="1" applyFont="1" applyBorder="1" applyAlignment="1">
      <alignment horizontal="center"/>
    </xf>
    <xf numFmtId="38" fontId="3" fillId="0" borderId="62" xfId="1" applyNumberFormat="1" applyFont="1" applyBorder="1" applyAlignment="1">
      <alignment horizontal="center"/>
    </xf>
    <xf numFmtId="38" fontId="3" fillId="0" borderId="123" xfId="1" applyNumberFormat="1" applyFont="1" applyBorder="1" applyAlignment="1">
      <alignment horizontal="center"/>
    </xf>
    <xf numFmtId="38" fontId="3" fillId="2" borderId="24" xfId="1" applyNumberFormat="1" applyFont="1" applyFill="1" applyBorder="1" applyAlignment="1">
      <alignment horizontal="center"/>
    </xf>
    <xf numFmtId="38" fontId="3" fillId="0" borderId="28" xfId="1" applyNumberFormat="1" applyFont="1" applyBorder="1" applyAlignment="1">
      <alignment horizontal="center"/>
    </xf>
    <xf numFmtId="38" fontId="5" fillId="0" borderId="138" xfId="1" applyNumberFormat="1" applyFont="1" applyBorder="1" applyAlignment="1">
      <alignment horizontal="center"/>
    </xf>
    <xf numFmtId="38" fontId="5" fillId="0" borderId="136" xfId="1" applyNumberFormat="1" applyFont="1" applyBorder="1" applyAlignment="1">
      <alignment horizontal="center"/>
    </xf>
    <xf numFmtId="38" fontId="5" fillId="0" borderId="66" xfId="1" applyNumberFormat="1" applyFont="1" applyBorder="1" applyAlignment="1">
      <alignment horizontal="left" vertical="top"/>
    </xf>
    <xf numFmtId="38" fontId="3" fillId="0" borderId="124" xfId="1" applyNumberFormat="1" applyFont="1" applyBorder="1" applyAlignment="1">
      <alignment horizontal="center"/>
    </xf>
    <xf numFmtId="38" fontId="3" fillId="2" borderId="68" xfId="1" applyNumberFormat="1" applyFont="1" applyFill="1" applyBorder="1" applyAlignment="1">
      <alignment horizontal="center"/>
    </xf>
    <xf numFmtId="38" fontId="3" fillId="0" borderId="70" xfId="1" applyNumberFormat="1" applyFont="1" applyBorder="1" applyAlignment="1">
      <alignment horizontal="center"/>
    </xf>
    <xf numFmtId="38" fontId="3" fillId="0" borderId="72" xfId="1" applyNumberFormat="1" applyFont="1" applyBorder="1" applyAlignment="1">
      <alignment horizontal="center"/>
    </xf>
    <xf numFmtId="38" fontId="3" fillId="0" borderId="73" xfId="1" applyNumberFormat="1" applyFont="1" applyBorder="1" applyAlignment="1">
      <alignment horizontal="center"/>
    </xf>
    <xf numFmtId="38" fontId="5" fillId="0" borderId="56" xfId="1" applyNumberFormat="1" applyFont="1" applyBorder="1" applyAlignment="1">
      <alignment horizontal="left" vertical="top"/>
    </xf>
    <xf numFmtId="38" fontId="5" fillId="0" borderId="92" xfId="1" applyNumberFormat="1" applyFont="1" applyBorder="1" applyAlignment="1">
      <alignment horizontal="center"/>
    </xf>
    <xf numFmtId="38" fontId="5" fillId="0" borderId="150" xfId="1" applyNumberFormat="1" applyFont="1" applyBorder="1" applyAlignment="1">
      <alignment horizontal="center"/>
    </xf>
    <xf numFmtId="38" fontId="5" fillId="0" borderId="115" xfId="1" applyNumberFormat="1" applyFont="1" applyBorder="1" applyAlignment="1">
      <alignment horizontal="left"/>
    </xf>
    <xf numFmtId="38" fontId="5" fillId="0" borderId="116" xfId="1" applyNumberFormat="1" applyFont="1" applyBorder="1" applyAlignment="1">
      <alignment horizontal="left" vertical="top"/>
    </xf>
    <xf numFmtId="38" fontId="5" fillId="0" borderId="151" xfId="1" applyNumberFormat="1" applyFont="1" applyBorder="1" applyAlignment="1">
      <alignment horizontal="center"/>
    </xf>
    <xf numFmtId="38" fontId="5" fillId="0" borderId="152" xfId="1" applyNumberFormat="1" applyFont="1" applyBorder="1" applyAlignment="1">
      <alignment horizontal="center"/>
    </xf>
    <xf numFmtId="38" fontId="5" fillId="0" borderId="153" xfId="1" applyNumberFormat="1" applyFont="1" applyBorder="1" applyAlignment="1">
      <alignment horizontal="center"/>
    </xf>
    <xf numFmtId="38" fontId="5" fillId="0" borderId="154" xfId="1" applyNumberFormat="1" applyFont="1" applyBorder="1" applyAlignment="1">
      <alignment horizontal="center"/>
    </xf>
    <xf numFmtId="38" fontId="3" fillId="0" borderId="86" xfId="1" applyNumberFormat="1" applyFont="1" applyBorder="1" applyAlignment="1">
      <alignment horizontal="center"/>
    </xf>
    <xf numFmtId="38" fontId="3" fillId="0" borderId="87" xfId="1" applyNumberFormat="1" applyFont="1" applyBorder="1" applyAlignment="1">
      <alignment horizontal="center"/>
    </xf>
    <xf numFmtId="38" fontId="3" fillId="0" borderId="88" xfId="1" applyNumberFormat="1" applyFont="1" applyBorder="1" applyAlignment="1">
      <alignment horizontal="center"/>
    </xf>
    <xf numFmtId="38" fontId="3" fillId="2" borderId="87" xfId="1" applyNumberFormat="1" applyFont="1" applyFill="1" applyBorder="1" applyAlignment="1">
      <alignment horizontal="center"/>
    </xf>
    <xf numFmtId="164" fontId="3" fillId="0" borderId="87" xfId="4" applyFont="1" applyFill="1" applyBorder="1" applyAlignment="1">
      <alignment horizontal="center"/>
    </xf>
    <xf numFmtId="38" fontId="3" fillId="0" borderId="90" xfId="1" applyNumberFormat="1" applyFont="1" applyBorder="1" applyAlignment="1">
      <alignment horizontal="center"/>
    </xf>
    <xf numFmtId="38" fontId="3" fillId="0" borderId="65" xfId="3" applyNumberFormat="1" applyFont="1" applyBorder="1" applyAlignment="1">
      <alignment horizontal="left" vertical="top" wrapText="1"/>
    </xf>
    <xf numFmtId="38" fontId="3" fillId="0" borderId="155" xfId="1" applyNumberFormat="1" applyFont="1" applyBorder="1" applyAlignment="1">
      <alignment horizontal="center"/>
    </xf>
    <xf numFmtId="38" fontId="4" fillId="0" borderId="0" xfId="2" applyNumberFormat="1"/>
    <xf numFmtId="165" fontId="3" fillId="0" borderId="0" xfId="5" applyNumberFormat="1" applyFont="1" applyFill="1" applyBorder="1" applyAlignment="1">
      <alignment horizontal="center"/>
    </xf>
    <xf numFmtId="38" fontId="5" fillId="0" borderId="0" xfId="2" applyNumberFormat="1" applyFont="1" applyAlignment="1">
      <alignment horizontal="left"/>
    </xf>
    <xf numFmtId="166" fontId="3" fillId="0" borderId="0" xfId="1" applyNumberFormat="1" applyFont="1" applyAlignment="1">
      <alignment horizontal="left"/>
    </xf>
    <xf numFmtId="166" fontId="5" fillId="3" borderId="0" xfId="1" applyNumberFormat="1" applyFont="1" applyFill="1" applyAlignment="1">
      <alignment horizontal="left"/>
    </xf>
    <xf numFmtId="166" fontId="3" fillId="4" borderId="0" xfId="1" applyNumberFormat="1" applyFont="1" applyFill="1" applyAlignment="1">
      <alignment horizontal="left"/>
    </xf>
    <xf numFmtId="166" fontId="5" fillId="5" borderId="0" xfId="1" applyNumberFormat="1" applyFont="1" applyFill="1" applyAlignment="1">
      <alignment horizontal="left"/>
    </xf>
    <xf numFmtId="38" fontId="5" fillId="2" borderId="0" xfId="2" applyNumberFormat="1" applyFont="1" applyFill="1" applyAlignment="1">
      <alignment horizontal="left"/>
    </xf>
    <xf numFmtId="166" fontId="5" fillId="4" borderId="0" xfId="1" applyNumberFormat="1" applyFont="1" applyFill="1" applyAlignment="1">
      <alignment horizontal="left"/>
    </xf>
    <xf numFmtId="38" fontId="4" fillId="4" borderId="0" xfId="2" applyNumberFormat="1" applyFill="1"/>
    <xf numFmtId="38" fontId="3" fillId="4" borderId="0" xfId="1" applyNumberFormat="1" applyFont="1" applyFill="1"/>
    <xf numFmtId="38" fontId="5" fillId="0" borderId="0" xfId="1" applyNumberFormat="1" applyFont="1"/>
    <xf numFmtId="38" fontId="3" fillId="0" borderId="0" xfId="1" applyNumberFormat="1" applyFont="1"/>
    <xf numFmtId="40" fontId="5" fillId="0" borderId="0" xfId="1" applyNumberFormat="1" applyFont="1"/>
    <xf numFmtId="0" fontId="4" fillId="0" borderId="0" xfId="2"/>
    <xf numFmtId="40" fontId="3" fillId="0" borderId="0" xfId="1" applyNumberFormat="1" applyFont="1"/>
    <xf numFmtId="38" fontId="0" fillId="0" borderId="0" xfId="0" applyNumberFormat="1"/>
    <xf numFmtId="0" fontId="7" fillId="0" borderId="0" xfId="0" applyFont="1"/>
    <xf numFmtId="1" fontId="7" fillId="0" borderId="0" xfId="0" applyNumberFormat="1" applyFont="1"/>
    <xf numFmtId="0" fontId="8" fillId="0" borderId="0" xfId="0" applyFont="1"/>
    <xf numFmtId="0" fontId="0" fillId="0" borderId="0" xfId="0" applyAlignment="1">
      <alignment horizontal="left" vertical="top" wrapText="1"/>
    </xf>
    <xf numFmtId="0" fontId="0" fillId="0" borderId="0" xfId="0" applyAlignment="1">
      <alignment horizontal="left" vertical="top" wrapText="1"/>
    </xf>
    <xf numFmtId="171" fontId="0" fillId="0" borderId="0" xfId="0" applyNumberFormat="1"/>
    <xf numFmtId="172" fontId="0" fillId="0" borderId="0" xfId="0" applyNumberFormat="1"/>
  </cellXfs>
  <cellStyles count="6">
    <cellStyle name="Comma 2" xfId="4" xr:uid="{49F7E136-D723-7C41-8F75-E53DBEBED6D5}"/>
    <cellStyle name="Normal" xfId="0" builtinId="0"/>
    <cellStyle name="Normal 2" xfId="2" xr:uid="{2B0274BE-CD90-B04D-BEB7-8B5F2389AD54}"/>
    <cellStyle name="Normal_1990 and 1998 CIP - Prices Quantity and CO2(MH)" xfId="3" xr:uid="{EC1EE531-7B04-7B4F-98AB-6BEF635FF6AA}"/>
    <cellStyle name="Normal_2000balx" xfId="1" xr:uid="{0CF0AAAE-456C-404F-BC6B-0319C89C03DB}"/>
    <cellStyle name="Per cent 2" xfId="5" xr:uid="{9474260E-01C2-DE4F-96CB-82FDA476E8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10D2-AE3F-7B46-B3D8-868B0ADEFACA}">
  <dimension ref="A1:C5"/>
  <sheetViews>
    <sheetView tabSelected="1" zoomScale="114" workbookViewId="0">
      <selection activeCell="C5" sqref="C5"/>
    </sheetView>
  </sheetViews>
  <sheetFormatPr baseColWidth="10" defaultRowHeight="15"/>
  <cols>
    <col min="1" max="1" width="37.875" bestFit="1" customWidth="1"/>
    <col min="3" max="3" width="51.375" customWidth="1"/>
  </cols>
  <sheetData>
    <row r="1" spans="1:3">
      <c r="A1" t="s">
        <v>0</v>
      </c>
      <c r="B1" t="s">
        <v>1</v>
      </c>
      <c r="C1" t="s">
        <v>2</v>
      </c>
    </row>
    <row r="2" spans="1:3" ht="64">
      <c r="A2" t="s">
        <v>3</v>
      </c>
      <c r="B2" s="287">
        <f>ROUND(Calculations!B7,2)</f>
        <v>10478.75</v>
      </c>
      <c r="C2" s="285" t="s">
        <v>163</v>
      </c>
    </row>
    <row r="3" spans="1:3" ht="64">
      <c r="A3" t="s">
        <v>4</v>
      </c>
      <c r="B3" s="287">
        <f>ROUND(Calculations!B11,2)</f>
        <v>62.6</v>
      </c>
      <c r="C3" s="285" t="s">
        <v>163</v>
      </c>
    </row>
    <row r="4" spans="1:3" ht="64">
      <c r="A4" t="s">
        <v>5</v>
      </c>
      <c r="B4" s="287">
        <f>ROUND(Calculations!B15,2)</f>
        <v>199.52</v>
      </c>
      <c r="C4" s="285" t="s">
        <v>163</v>
      </c>
    </row>
    <row r="5" spans="1:3" ht="16">
      <c r="A5" t="s">
        <v>164</v>
      </c>
      <c r="B5">
        <v>0</v>
      </c>
      <c r="C5" s="285"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42FC-E676-E54F-BB5A-B56102E992C9}">
  <sheetPr>
    <tabColor theme="4"/>
  </sheetPr>
  <dimension ref="A1:C15"/>
  <sheetViews>
    <sheetView zoomScale="183" workbookViewId="0">
      <selection activeCell="B11" sqref="B11"/>
    </sheetView>
  </sheetViews>
  <sheetFormatPr baseColWidth="10" defaultRowHeight="15"/>
  <cols>
    <col min="1" max="1" width="37.75" bestFit="1" customWidth="1"/>
  </cols>
  <sheetData>
    <row r="1" spans="1:3" ht="63" customHeight="1">
      <c r="A1" s="286" t="s">
        <v>168</v>
      </c>
      <c r="B1" s="286"/>
      <c r="C1" s="286"/>
    </row>
    <row r="3" spans="1:3">
      <c r="B3" s="284" t="s">
        <v>1</v>
      </c>
      <c r="C3" s="284" t="s">
        <v>162</v>
      </c>
    </row>
    <row r="4" spans="1:3">
      <c r="A4" t="s">
        <v>154</v>
      </c>
      <c r="B4" s="281">
        <f>'SEAI Energy Balance 2019'!AA11</f>
        <v>263.66090359934896</v>
      </c>
      <c r="C4" t="s">
        <v>152</v>
      </c>
    </row>
    <row r="5" spans="1:3">
      <c r="A5" t="s">
        <v>166</v>
      </c>
      <c r="B5" s="287">
        <v>94.925236937020998</v>
      </c>
      <c r="C5" t="s">
        <v>167</v>
      </c>
    </row>
    <row r="6" spans="1:3">
      <c r="A6" t="s">
        <v>153</v>
      </c>
      <c r="B6" s="287">
        <v>41.868000000000002</v>
      </c>
      <c r="C6" t="s">
        <v>155</v>
      </c>
    </row>
    <row r="7" spans="1:3">
      <c r="A7" s="282" t="s">
        <v>157</v>
      </c>
      <c r="B7" s="283">
        <f>B4*(B5/100)*B6</f>
        <v>10478.753915639187</v>
      </c>
      <c r="C7" s="282" t="s">
        <v>156</v>
      </c>
    </row>
    <row r="9" spans="1:3">
      <c r="A9" t="s">
        <v>158</v>
      </c>
      <c r="B9" s="281">
        <f>'SEAI Energy Balance 2019'!AE11</f>
        <v>3.050878270482742</v>
      </c>
      <c r="C9" t="s">
        <v>152</v>
      </c>
    </row>
    <row r="10" spans="1:3">
      <c r="A10" t="s">
        <v>166</v>
      </c>
      <c r="B10" s="288">
        <v>49.0112264549767</v>
      </c>
      <c r="C10" t="s">
        <v>167</v>
      </c>
    </row>
    <row r="11" spans="1:3">
      <c r="A11" s="282" t="s">
        <v>159</v>
      </c>
      <c r="B11" s="283">
        <f>B9*(B10/100)*B6</f>
        <v>62.604084019245306</v>
      </c>
      <c r="C11" s="282" t="s">
        <v>156</v>
      </c>
    </row>
    <row r="13" spans="1:3">
      <c r="A13" t="s">
        <v>160</v>
      </c>
      <c r="B13" s="281">
        <f>'SEAI Energy Balance 2019'!AH11</f>
        <v>8.6764691339413318</v>
      </c>
      <c r="C13" t="s">
        <v>152</v>
      </c>
    </row>
    <row r="14" spans="1:3">
      <c r="A14" t="s">
        <v>166</v>
      </c>
      <c r="B14" s="281">
        <v>54.924765874042698</v>
      </c>
      <c r="C14" t="s">
        <v>167</v>
      </c>
    </row>
    <row r="15" spans="1:3">
      <c r="A15" s="282" t="s">
        <v>161</v>
      </c>
      <c r="B15" s="283">
        <f>B13*(B14/100)*B6</f>
        <v>199.5232250266865</v>
      </c>
      <c r="C15" s="282" t="s">
        <v>156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0B7D-7196-7A4E-9B81-B08E74BE2C60}">
  <sheetPr>
    <tabColor theme="1"/>
  </sheetPr>
  <dimension ref="A1:AR86"/>
  <sheetViews>
    <sheetView zoomScaleNormal="80" zoomScaleSheetLayoutView="70" workbookViewId="0">
      <pane xSplit="2" ySplit="1" topLeftCell="C2" activePane="bottomRight" state="frozen"/>
      <selection activeCell="A81" sqref="A81"/>
      <selection pane="topRight" activeCell="A81" sqref="A81"/>
      <selection pane="bottomLeft" activeCell="A81" sqref="A81"/>
      <selection pane="bottomRight" activeCell="F9" sqref="F9"/>
    </sheetView>
  </sheetViews>
  <sheetFormatPr baseColWidth="10" defaultColWidth="6.875" defaultRowHeight="13"/>
  <cols>
    <col min="1" max="1" width="28.625" style="267" customWidth="1"/>
    <col min="2" max="2" width="9.75" style="11" bestFit="1" customWidth="1"/>
    <col min="3" max="3" width="5.625" style="113" bestFit="1" customWidth="1"/>
    <col min="4" max="4" width="6" style="113" bestFit="1" customWidth="1"/>
    <col min="5" max="5" width="7" style="113" bestFit="1" customWidth="1"/>
    <col min="6" max="6" width="4.625" style="139" customWidth="1"/>
    <col min="7" max="7" width="4.5" style="139" bestFit="1" customWidth="1"/>
    <col min="8" max="8" width="4.875" style="113" bestFit="1" customWidth="1"/>
    <col min="9" max="9" width="4.75" style="139" bestFit="1" customWidth="1"/>
    <col min="10" max="10" width="4.625" style="139" bestFit="1" customWidth="1"/>
    <col min="11" max="11" width="5.25" style="139" bestFit="1" customWidth="1"/>
    <col min="12" max="12" width="6.5" style="277" bestFit="1" customWidth="1"/>
    <col min="13" max="13" width="6.125" style="276" bestFit="1" customWidth="1"/>
    <col min="14" max="14" width="6.125" style="276" customWidth="1"/>
    <col min="15" max="15" width="4" style="276" customWidth="1"/>
    <col min="16" max="16" width="5.625" style="276" customWidth="1"/>
    <col min="17" max="17" width="5.625" style="276" bestFit="1" customWidth="1"/>
    <col min="18" max="18" width="6.25" style="276" bestFit="1" customWidth="1"/>
    <col min="19" max="20" width="5.625" style="276" bestFit="1" customWidth="1"/>
    <col min="21" max="21" width="6.375" style="276" bestFit="1" customWidth="1"/>
    <col min="22" max="22" width="5.25" style="276" bestFit="1" customWidth="1"/>
    <col min="23" max="25" width="4.125" style="276" customWidth="1"/>
    <col min="26" max="26" width="4.125" style="139" customWidth="1"/>
    <col min="27" max="27" width="4.5" style="277" bestFit="1" customWidth="1"/>
    <col min="28" max="28" width="5.5" style="277" bestFit="1" customWidth="1"/>
    <col min="29" max="33" width="4.125" style="276" customWidth="1"/>
    <col min="34" max="34" width="4.5" style="276" customWidth="1"/>
    <col min="35" max="35" width="5.25" style="276" customWidth="1"/>
    <col min="36" max="36" width="5.625" style="276" bestFit="1" customWidth="1"/>
    <col min="37" max="38" width="4.125" style="276" customWidth="1"/>
    <col min="39" max="39" width="5.5" style="276" bestFit="1" customWidth="1"/>
    <col min="40" max="40" width="4.125" style="276" customWidth="1"/>
    <col min="41" max="41" width="6.625" style="277" bestFit="1" customWidth="1"/>
    <col min="42" max="42" width="5.75" style="277" bestFit="1" customWidth="1"/>
    <col min="43" max="43" width="7.125" style="276" bestFit="1" customWidth="1"/>
    <col min="44" max="16384" width="6.875" style="11"/>
  </cols>
  <sheetData>
    <row r="1" spans="1:44" ht="105.75" customHeight="1" thickBot="1">
      <c r="A1" s="1" t="s">
        <v>6</v>
      </c>
      <c r="B1" s="2" t="s">
        <v>7</v>
      </c>
      <c r="C1" s="3" t="s">
        <v>8</v>
      </c>
      <c r="D1" s="4" t="s">
        <v>9</v>
      </c>
      <c r="E1" s="5" t="s">
        <v>10</v>
      </c>
      <c r="F1" s="6" t="s">
        <v>11</v>
      </c>
      <c r="G1" s="6" t="s">
        <v>12</v>
      </c>
      <c r="H1" s="7" t="s">
        <v>13</v>
      </c>
      <c r="I1" s="4" t="s">
        <v>14</v>
      </c>
      <c r="J1" s="5" t="s">
        <v>15</v>
      </c>
      <c r="K1" s="5" t="s">
        <v>16</v>
      </c>
      <c r="L1" s="7" t="s">
        <v>17</v>
      </c>
      <c r="M1" s="4" t="s">
        <v>18</v>
      </c>
      <c r="N1" s="4" t="s">
        <v>19</v>
      </c>
      <c r="O1" s="5" t="s">
        <v>20</v>
      </c>
      <c r="P1" s="5" t="s">
        <v>21</v>
      </c>
      <c r="Q1" s="5" t="s">
        <v>22</v>
      </c>
      <c r="R1" s="5" t="s">
        <v>23</v>
      </c>
      <c r="S1" s="5" t="s">
        <v>24</v>
      </c>
      <c r="T1" s="5" t="s">
        <v>25</v>
      </c>
      <c r="U1" s="5" t="s">
        <v>26</v>
      </c>
      <c r="V1" s="5" t="s">
        <v>27</v>
      </c>
      <c r="W1" s="6" t="s">
        <v>28</v>
      </c>
      <c r="X1" s="6" t="s">
        <v>29</v>
      </c>
      <c r="Y1" s="6" t="s">
        <v>30</v>
      </c>
      <c r="Z1" s="5" t="s">
        <v>31</v>
      </c>
      <c r="AA1" s="7" t="s">
        <v>32</v>
      </c>
      <c r="AB1" s="8" t="s">
        <v>33</v>
      </c>
      <c r="AC1" s="9" t="s">
        <v>34</v>
      </c>
      <c r="AD1" s="5" t="s">
        <v>35</v>
      </c>
      <c r="AE1" s="5" t="s">
        <v>36</v>
      </c>
      <c r="AF1" s="5" t="s">
        <v>37</v>
      </c>
      <c r="AG1" s="5" t="s">
        <v>38</v>
      </c>
      <c r="AH1" s="5" t="s">
        <v>39</v>
      </c>
      <c r="AI1" s="5" t="s">
        <v>40</v>
      </c>
      <c r="AJ1" s="5" t="s">
        <v>41</v>
      </c>
      <c r="AK1" s="5" t="s">
        <v>42</v>
      </c>
      <c r="AL1" s="5" t="s">
        <v>43</v>
      </c>
      <c r="AM1" s="6" t="s">
        <v>44</v>
      </c>
      <c r="AN1" s="7" t="s">
        <v>45</v>
      </c>
      <c r="AO1" s="7" t="s">
        <v>46</v>
      </c>
      <c r="AP1" s="8" t="s">
        <v>47</v>
      </c>
      <c r="AQ1" s="10" t="s">
        <v>48</v>
      </c>
    </row>
    <row r="2" spans="1:44" ht="12.75" customHeight="1">
      <c r="A2" s="12" t="s">
        <v>49</v>
      </c>
      <c r="B2" s="13"/>
      <c r="C2" s="14">
        <f>SUM(D2:G2)</f>
        <v>0</v>
      </c>
      <c r="D2" s="15">
        <v>0</v>
      </c>
      <c r="E2" s="16"/>
      <c r="F2" s="17"/>
      <c r="G2" s="17"/>
      <c r="H2" s="18">
        <f>SUM(I2:K2)</f>
        <v>390.56915758919979</v>
      </c>
      <c r="I2" s="19">
        <v>262.86515758919978</v>
      </c>
      <c r="J2" s="20">
        <v>127.70399999999999</v>
      </c>
      <c r="K2" s="21"/>
      <c r="L2" s="18">
        <f>SUM(M2:Z2)</f>
        <v>0</v>
      </c>
      <c r="M2" s="19"/>
      <c r="N2" s="22"/>
      <c r="O2" s="23"/>
      <c r="P2" s="23"/>
      <c r="Q2" s="23"/>
      <c r="R2" s="23"/>
      <c r="S2" s="23"/>
      <c r="T2" s="23"/>
      <c r="U2" s="23"/>
      <c r="V2" s="23"/>
      <c r="W2" s="17"/>
      <c r="X2" s="17"/>
      <c r="Y2" s="17"/>
      <c r="Z2" s="21"/>
      <c r="AA2" s="18">
        <v>2146.9500460596769</v>
      </c>
      <c r="AB2" s="24">
        <f>SUM(AC2:AM2)</f>
        <v>1481.9779162021782</v>
      </c>
      <c r="AC2" s="25">
        <v>76.246216633583984</v>
      </c>
      <c r="AD2" s="21">
        <v>875.90522118315425</v>
      </c>
      <c r="AE2" s="21">
        <v>237.30386325323539</v>
      </c>
      <c r="AF2" s="21">
        <v>136.80850613103891</v>
      </c>
      <c r="AG2" s="21">
        <v>31.773825593517778</v>
      </c>
      <c r="AH2" s="21">
        <v>18.863525723801075</v>
      </c>
      <c r="AI2" s="21">
        <v>41.448696761249622</v>
      </c>
      <c r="AJ2" s="21">
        <v>4.2536494817759998</v>
      </c>
      <c r="AK2" s="19">
        <v>2.9072165963387184</v>
      </c>
      <c r="AL2" s="19">
        <v>13.693209171744657</v>
      </c>
      <c r="AM2" s="17">
        <v>42.773985672737659</v>
      </c>
      <c r="AN2" s="26">
        <v>145.31908090539065</v>
      </c>
      <c r="AO2" s="26"/>
      <c r="AP2" s="24"/>
      <c r="AQ2" s="27">
        <f t="shared" ref="AQ2:AQ20" si="0">C2+H2+L2+AA2+AB2+AN2+AO2+AP2</f>
        <v>4164.8162007564451</v>
      </c>
    </row>
    <row r="3" spans="1:44" ht="12.75" customHeight="1">
      <c r="A3" s="28" t="s">
        <v>50</v>
      </c>
      <c r="B3" s="29"/>
      <c r="C3" s="30">
        <f>SUM(D3:G3)</f>
        <v>260.65321068596774</v>
      </c>
      <c r="D3" s="31">
        <v>191.54588709730169</v>
      </c>
      <c r="E3" s="32">
        <v>59.028748725677048</v>
      </c>
      <c r="F3" s="33"/>
      <c r="G3" s="33">
        <v>10.078574862989026</v>
      </c>
      <c r="H3" s="34">
        <f>SUM(I3:K3)</f>
        <v>0</v>
      </c>
      <c r="I3" s="35"/>
      <c r="J3" s="36"/>
      <c r="K3" s="37"/>
      <c r="L3" s="34">
        <f>SUM(M3:Z3)</f>
        <v>9048.5517138087871</v>
      </c>
      <c r="M3" s="35">
        <v>2653.5268465452</v>
      </c>
      <c r="N3" s="35">
        <v>157.3369951368</v>
      </c>
      <c r="O3" s="37">
        <v>0</v>
      </c>
      <c r="P3" s="37">
        <v>542.64897193333343</v>
      </c>
      <c r="Q3" s="37">
        <v>348.38683425727999</v>
      </c>
      <c r="R3" s="37">
        <v>1570.8211576005599</v>
      </c>
      <c r="S3" s="37">
        <v>110.02380592316383</v>
      </c>
      <c r="T3" s="37">
        <v>156.63083509070498</v>
      </c>
      <c r="U3" s="37">
        <v>3092.3130134485209</v>
      </c>
      <c r="V3" s="37">
        <v>161.03086494863203</v>
      </c>
      <c r="W3" s="33">
        <v>0</v>
      </c>
      <c r="X3" s="33">
        <v>207.73661690779878</v>
      </c>
      <c r="Y3" s="33">
        <v>2.1978003534318131</v>
      </c>
      <c r="Z3" s="37">
        <v>45.897971663359961</v>
      </c>
      <c r="AA3" s="34">
        <v>2424.3477436077169</v>
      </c>
      <c r="AB3" s="38">
        <f>SUM(AC3:AM3)</f>
        <v>184.89241414437532</v>
      </c>
      <c r="AC3" s="39"/>
      <c r="AD3" s="37"/>
      <c r="AE3" s="37">
        <v>32.276634122344682</v>
      </c>
      <c r="AF3" s="37"/>
      <c r="AG3" s="37"/>
      <c r="AH3" s="37"/>
      <c r="AI3" s="37">
        <v>127.46985111223866</v>
      </c>
      <c r="AJ3" s="37">
        <v>25.145928909791998</v>
      </c>
      <c r="AK3" s="35"/>
      <c r="AL3" s="35"/>
      <c r="AM3" s="33"/>
      <c r="AN3" s="40"/>
      <c r="AO3" s="40">
        <v>187.41005503009455</v>
      </c>
      <c r="AP3" s="38"/>
      <c r="AQ3" s="41">
        <f t="shared" si="0"/>
        <v>12105.855137276943</v>
      </c>
    </row>
    <row r="4" spans="1:44" ht="12.75" customHeight="1">
      <c r="A4" s="28" t="s">
        <v>51</v>
      </c>
      <c r="B4" s="29"/>
      <c r="C4" s="30">
        <f>SUM(D4:G4)</f>
        <v>8.1980002577136002</v>
      </c>
      <c r="D4" s="31">
        <v>0</v>
      </c>
      <c r="E4" s="42">
        <v>7.9590085080000001</v>
      </c>
      <c r="F4" s="33"/>
      <c r="G4" s="33">
        <v>0.23899174971359999</v>
      </c>
      <c r="H4" s="34">
        <f>SUM(I4:K4)</f>
        <v>5.8493720000000007</v>
      </c>
      <c r="I4" s="35"/>
      <c r="J4" s="36"/>
      <c r="K4" s="37">
        <v>5.8493720000000007</v>
      </c>
      <c r="L4" s="34">
        <f>SUM(M4:Z4)</f>
        <v>1567.5630290434847</v>
      </c>
      <c r="M4" s="35">
        <v>43.019193902199994</v>
      </c>
      <c r="N4" s="35">
        <v>7.8404003039999992</v>
      </c>
      <c r="O4" s="37"/>
      <c r="P4" s="37">
        <v>432.94982474444441</v>
      </c>
      <c r="Q4" s="37">
        <v>74.101066224640022</v>
      </c>
      <c r="R4" s="37">
        <v>63.608879690399995</v>
      </c>
      <c r="S4" s="37">
        <v>712.70293289209042</v>
      </c>
      <c r="T4" s="37">
        <v>23.602785146527417</v>
      </c>
      <c r="U4" s="37">
        <v>164.05672925173289</v>
      </c>
      <c r="V4" s="37">
        <v>2.9787871963443114E-2</v>
      </c>
      <c r="W4" s="33">
        <v>28.749403849447511</v>
      </c>
      <c r="X4" s="33">
        <v>9.4628384376000003</v>
      </c>
      <c r="Y4" s="33">
        <v>1.9112571484317421E-2</v>
      </c>
      <c r="Z4" s="37">
        <v>7.4200741569540316</v>
      </c>
      <c r="AA4" s="34">
        <v>0</v>
      </c>
      <c r="AB4" s="38">
        <f>SUM(AC4:AM4)</f>
        <v>6.7023550396484168</v>
      </c>
      <c r="AC4" s="39"/>
      <c r="AD4" s="37"/>
      <c r="AE4" s="37">
        <v>0</v>
      </c>
      <c r="AF4" s="37"/>
      <c r="AG4" s="37"/>
      <c r="AH4" s="37"/>
      <c r="AI4" s="37">
        <v>6.7023550396484168</v>
      </c>
      <c r="AJ4" s="37">
        <v>0</v>
      </c>
      <c r="AK4" s="35"/>
      <c r="AL4" s="35"/>
      <c r="AM4" s="33"/>
      <c r="AN4" s="40"/>
      <c r="AO4" s="40">
        <v>131.9895563198624</v>
      </c>
      <c r="AP4" s="38"/>
      <c r="AQ4" s="41">
        <f t="shared" si="0"/>
        <v>1720.302312660709</v>
      </c>
    </row>
    <row r="5" spans="1:44" ht="12.75" customHeight="1">
      <c r="A5" s="28" t="s">
        <v>52</v>
      </c>
      <c r="B5" s="29"/>
      <c r="C5" s="30">
        <f>SUM(D5:G5)</f>
        <v>0</v>
      </c>
      <c r="D5" s="31"/>
      <c r="E5" s="42"/>
      <c r="F5" s="33"/>
      <c r="G5" s="33"/>
      <c r="H5" s="34">
        <f>SUM(I5:K5)</f>
        <v>0</v>
      </c>
      <c r="I5" s="35"/>
      <c r="J5" s="36"/>
      <c r="K5" s="37"/>
      <c r="L5" s="34">
        <f>SUM(M5:Z5)</f>
        <v>142.2025213725301</v>
      </c>
      <c r="M5" s="35"/>
      <c r="N5" s="35"/>
      <c r="O5" s="37"/>
      <c r="P5" s="37"/>
      <c r="Q5" s="37"/>
      <c r="R5" s="37"/>
      <c r="S5" s="37">
        <v>10.240727745480227</v>
      </c>
      <c r="T5" s="37"/>
      <c r="U5" s="37">
        <v>131.96179362704987</v>
      </c>
      <c r="V5" s="37"/>
      <c r="W5" s="33"/>
      <c r="X5" s="33"/>
      <c r="Y5" s="33"/>
      <c r="Z5" s="37"/>
      <c r="AA5" s="34"/>
      <c r="AB5" s="38">
        <f>SUM(AC5:AM5)</f>
        <v>0</v>
      </c>
      <c r="AC5" s="39"/>
      <c r="AD5" s="37"/>
      <c r="AE5" s="37"/>
      <c r="AF5" s="37"/>
      <c r="AG5" s="37"/>
      <c r="AH5" s="37"/>
      <c r="AI5" s="37"/>
      <c r="AJ5" s="37"/>
      <c r="AK5" s="35"/>
      <c r="AL5" s="35"/>
      <c r="AM5" s="33"/>
      <c r="AN5" s="40"/>
      <c r="AO5" s="40"/>
      <c r="AP5" s="38"/>
      <c r="AQ5" s="41">
        <f t="shared" si="0"/>
        <v>142.2025213725301</v>
      </c>
    </row>
    <row r="6" spans="1:44" ht="12.75" customHeight="1" thickBot="1">
      <c r="A6" s="43" t="s">
        <v>53</v>
      </c>
      <c r="B6" s="44"/>
      <c r="C6" s="30">
        <f>SUM(D6:G6)</f>
        <v>124.36366286038916</v>
      </c>
      <c r="D6" s="45">
        <v>123.51081447568099</v>
      </c>
      <c r="E6" s="33">
        <v>1.0966176076410472</v>
      </c>
      <c r="F6" s="46"/>
      <c r="G6" s="46">
        <v>-0.24376922293288805</v>
      </c>
      <c r="H6" s="47">
        <f>SUM(I6:K6)</f>
        <v>244.39862473091318</v>
      </c>
      <c r="I6" s="48">
        <v>237.15180923091319</v>
      </c>
      <c r="J6" s="49">
        <v>0</v>
      </c>
      <c r="K6" s="48">
        <v>7.2468155000000012</v>
      </c>
      <c r="L6" s="47">
        <f>SUM(M6:Z6)</f>
        <v>78.387630648727523</v>
      </c>
      <c r="M6" s="35">
        <v>-22.361378267999989</v>
      </c>
      <c r="N6" s="35">
        <v>6.6791466600000033</v>
      </c>
      <c r="O6" s="37"/>
      <c r="P6" s="37">
        <v>135.33215412222225</v>
      </c>
      <c r="Q6" s="37">
        <v>2.5411914819200034</v>
      </c>
      <c r="R6" s="37">
        <v>-80.382526302000002</v>
      </c>
      <c r="S6" s="37">
        <v>-0.94198822231638402</v>
      </c>
      <c r="T6" s="37">
        <v>3.4576857142558772</v>
      </c>
      <c r="U6" s="37">
        <v>39.480528890617038</v>
      </c>
      <c r="V6" s="37">
        <v>-2.7286637325293053</v>
      </c>
      <c r="W6" s="46">
        <v>-2.6885196954419883</v>
      </c>
      <c r="X6" s="46">
        <v>0</v>
      </c>
      <c r="Y6" s="46">
        <v>0</v>
      </c>
      <c r="Z6" s="48">
        <v>0</v>
      </c>
      <c r="AA6" s="47">
        <v>0</v>
      </c>
      <c r="AB6" s="50">
        <f>SUM(AC6:AM6)</f>
        <v>-4.9037208242226553</v>
      </c>
      <c r="AC6" s="51"/>
      <c r="AD6" s="52"/>
      <c r="AE6" s="52">
        <v>-2.9300420814407842</v>
      </c>
      <c r="AF6" s="52"/>
      <c r="AG6" s="52"/>
      <c r="AH6" s="52"/>
      <c r="AI6" s="52">
        <v>0.51408602273812876</v>
      </c>
      <c r="AJ6" s="52">
        <v>-2.4877647655199997</v>
      </c>
      <c r="AK6" s="48"/>
      <c r="AL6" s="48"/>
      <c r="AM6" s="46"/>
      <c r="AN6" s="53"/>
      <c r="AO6" s="53"/>
      <c r="AP6" s="50"/>
      <c r="AQ6" s="54">
        <f t="shared" si="0"/>
        <v>442.24619741580716</v>
      </c>
    </row>
    <row r="7" spans="1:44" s="65" customFormat="1" ht="12.75" customHeight="1">
      <c r="A7" s="55" t="s">
        <v>54</v>
      </c>
      <c r="B7" s="56"/>
      <c r="C7" s="57">
        <f t="shared" ref="C7:AP7" si="1">C2+C3-C4-C5+C6</f>
        <v>376.81887328864332</v>
      </c>
      <c r="D7" s="58">
        <f t="shared" si="1"/>
        <v>315.05670157298266</v>
      </c>
      <c r="E7" s="59">
        <f t="shared" si="1"/>
        <v>52.166357825318102</v>
      </c>
      <c r="F7" s="59">
        <f t="shared" si="1"/>
        <v>0</v>
      </c>
      <c r="G7" s="59">
        <f t="shared" si="1"/>
        <v>9.5958138903425372</v>
      </c>
      <c r="H7" s="60">
        <f t="shared" si="1"/>
        <v>629.11841032011296</v>
      </c>
      <c r="I7" s="58">
        <f t="shared" si="1"/>
        <v>500.016966820113</v>
      </c>
      <c r="J7" s="61">
        <f t="shared" si="1"/>
        <v>127.70399999999999</v>
      </c>
      <c r="K7" s="59">
        <f t="shared" si="1"/>
        <v>1.3974435000000005</v>
      </c>
      <c r="L7" s="60">
        <f t="shared" si="1"/>
        <v>7417.1737940414996</v>
      </c>
      <c r="M7" s="58">
        <f t="shared" si="1"/>
        <v>2588.1462743749998</v>
      </c>
      <c r="N7" s="58">
        <f t="shared" si="1"/>
        <v>156.1757414928</v>
      </c>
      <c r="O7" s="59">
        <f t="shared" si="1"/>
        <v>0</v>
      </c>
      <c r="P7" s="59">
        <f t="shared" si="1"/>
        <v>245.03130131111126</v>
      </c>
      <c r="Q7" s="59">
        <f t="shared" si="1"/>
        <v>276.82695951455997</v>
      </c>
      <c r="R7" s="59">
        <f t="shared" si="1"/>
        <v>1426.8297516081598</v>
      </c>
      <c r="S7" s="59">
        <f t="shared" si="1"/>
        <v>-613.86184293672306</v>
      </c>
      <c r="T7" s="59">
        <f t="shared" si="1"/>
        <v>136.48573565843344</v>
      </c>
      <c r="U7" s="59">
        <f t="shared" si="1"/>
        <v>2835.775019460355</v>
      </c>
      <c r="V7" s="59">
        <f t="shared" si="1"/>
        <v>158.2724133441393</v>
      </c>
      <c r="W7" s="59">
        <f t="shared" si="1"/>
        <v>-31.4379235448895</v>
      </c>
      <c r="X7" s="59">
        <f t="shared" si="1"/>
        <v>198.27377847019878</v>
      </c>
      <c r="Y7" s="59">
        <f t="shared" si="1"/>
        <v>2.1786877819474957</v>
      </c>
      <c r="Z7" s="59">
        <f t="shared" si="1"/>
        <v>38.477897506405931</v>
      </c>
      <c r="AA7" s="60">
        <f t="shared" si="1"/>
        <v>4571.2977896673938</v>
      </c>
      <c r="AB7" s="60">
        <f t="shared" si="1"/>
        <v>1655.2642544826826</v>
      </c>
      <c r="AC7" s="58">
        <f t="shared" si="1"/>
        <v>76.246216633583984</v>
      </c>
      <c r="AD7" s="59">
        <f t="shared" si="1"/>
        <v>875.90522118315425</v>
      </c>
      <c r="AE7" s="59">
        <f t="shared" si="1"/>
        <v>266.65045529413931</v>
      </c>
      <c r="AF7" s="59">
        <f t="shared" si="1"/>
        <v>136.80850613103891</v>
      </c>
      <c r="AG7" s="59">
        <f t="shared" si="1"/>
        <v>31.773825593517778</v>
      </c>
      <c r="AH7" s="59">
        <f t="shared" si="1"/>
        <v>18.863525723801075</v>
      </c>
      <c r="AI7" s="59">
        <f t="shared" si="1"/>
        <v>162.730278856578</v>
      </c>
      <c r="AJ7" s="59">
        <f t="shared" si="1"/>
        <v>26.911813626048001</v>
      </c>
      <c r="AK7" s="62">
        <f t="shared" si="1"/>
        <v>2.9072165963387184</v>
      </c>
      <c r="AL7" s="62">
        <f t="shared" si="1"/>
        <v>13.693209171744657</v>
      </c>
      <c r="AM7" s="58">
        <f t="shared" si="1"/>
        <v>42.773985672737659</v>
      </c>
      <c r="AN7" s="60">
        <f t="shared" si="1"/>
        <v>145.31908090539065</v>
      </c>
      <c r="AO7" s="60">
        <f t="shared" si="1"/>
        <v>55.420498710232152</v>
      </c>
      <c r="AP7" s="63">
        <f t="shared" si="1"/>
        <v>0</v>
      </c>
      <c r="AQ7" s="64">
        <f t="shared" si="0"/>
        <v>14850.412701415955</v>
      </c>
      <c r="AR7" s="11"/>
    </row>
    <row r="8" spans="1:44" s="65" customFormat="1" ht="12.75" customHeight="1" thickBot="1">
      <c r="A8" s="66" t="s">
        <v>55</v>
      </c>
      <c r="B8" s="67"/>
      <c r="C8" s="68">
        <f t="shared" ref="C8:AP8" si="2">C7-C27</f>
        <v>376.81887328864332</v>
      </c>
      <c r="D8" s="69">
        <f t="shared" si="2"/>
        <v>315.05670157298266</v>
      </c>
      <c r="E8" s="70">
        <f t="shared" si="2"/>
        <v>52.166357825318102</v>
      </c>
      <c r="F8" s="71">
        <f t="shared" si="2"/>
        <v>0</v>
      </c>
      <c r="G8" s="71">
        <f t="shared" si="2"/>
        <v>9.5958138903425372</v>
      </c>
      <c r="H8" s="72">
        <f t="shared" si="2"/>
        <v>629.11841032011296</v>
      </c>
      <c r="I8" s="69">
        <f t="shared" si="2"/>
        <v>500.016966820113</v>
      </c>
      <c r="J8" s="73">
        <f t="shared" si="2"/>
        <v>127.70399999999999</v>
      </c>
      <c r="K8" s="70">
        <f t="shared" si="2"/>
        <v>1.3974435000000005</v>
      </c>
      <c r="L8" s="72">
        <f t="shared" si="2"/>
        <v>7178.243430282947</v>
      </c>
      <c r="M8" s="69">
        <f t="shared" si="2"/>
        <v>2588.1462743749998</v>
      </c>
      <c r="N8" s="69">
        <f t="shared" si="2"/>
        <v>156.1757414928</v>
      </c>
      <c r="O8" s="70">
        <f t="shared" si="2"/>
        <v>0</v>
      </c>
      <c r="P8" s="70">
        <f t="shared" si="2"/>
        <v>245.03130131111126</v>
      </c>
      <c r="Q8" s="70">
        <f t="shared" si="2"/>
        <v>276.82695951455997</v>
      </c>
      <c r="R8" s="70">
        <f t="shared" si="2"/>
        <v>1426.8297516081598</v>
      </c>
      <c r="S8" s="70">
        <f t="shared" si="2"/>
        <v>-613.86184293672306</v>
      </c>
      <c r="T8" s="70">
        <f t="shared" si="2"/>
        <v>136.48573565843344</v>
      </c>
      <c r="U8" s="70">
        <f t="shared" si="2"/>
        <v>2835.775019460355</v>
      </c>
      <c r="V8" s="70">
        <f t="shared" si="2"/>
        <v>158.2724133441393</v>
      </c>
      <c r="W8" s="71">
        <f t="shared" si="2"/>
        <v>-31.4379235448895</v>
      </c>
      <c r="X8" s="71">
        <f t="shared" si="2"/>
        <v>0</v>
      </c>
      <c r="Y8" s="71">
        <f t="shared" si="2"/>
        <v>0</v>
      </c>
      <c r="Z8" s="70">
        <f t="shared" si="2"/>
        <v>0</v>
      </c>
      <c r="AA8" s="72">
        <f t="shared" si="2"/>
        <v>4571.2977896673938</v>
      </c>
      <c r="AB8" s="74">
        <f t="shared" si="2"/>
        <v>1655.2642544826826</v>
      </c>
      <c r="AC8" s="69">
        <f t="shared" si="2"/>
        <v>76.246216633583984</v>
      </c>
      <c r="AD8" s="70">
        <f t="shared" si="2"/>
        <v>875.90522118315425</v>
      </c>
      <c r="AE8" s="70">
        <f t="shared" si="2"/>
        <v>266.65045529413931</v>
      </c>
      <c r="AF8" s="70">
        <f t="shared" si="2"/>
        <v>136.80850613103891</v>
      </c>
      <c r="AG8" s="70">
        <f t="shared" si="2"/>
        <v>31.773825593517778</v>
      </c>
      <c r="AH8" s="70">
        <f t="shared" si="2"/>
        <v>18.863525723801075</v>
      </c>
      <c r="AI8" s="70">
        <f t="shared" si="2"/>
        <v>162.730278856578</v>
      </c>
      <c r="AJ8" s="70">
        <f t="shared" si="2"/>
        <v>26.911813626048001</v>
      </c>
      <c r="AK8" s="75">
        <f t="shared" si="2"/>
        <v>2.9072165963387184</v>
      </c>
      <c r="AL8" s="75">
        <f t="shared" si="2"/>
        <v>13.693209171744657</v>
      </c>
      <c r="AM8" s="69">
        <f t="shared" si="2"/>
        <v>42.773985672737659</v>
      </c>
      <c r="AN8" s="72">
        <f t="shared" si="2"/>
        <v>145.31908090539065</v>
      </c>
      <c r="AO8" s="72">
        <f t="shared" si="2"/>
        <v>55.420498710232152</v>
      </c>
      <c r="AP8" s="69">
        <f t="shared" si="2"/>
        <v>0</v>
      </c>
      <c r="AQ8" s="76">
        <f t="shared" si="0"/>
        <v>14611.482337657404</v>
      </c>
      <c r="AR8" s="11"/>
    </row>
    <row r="9" spans="1:44" s="65" customFormat="1" ht="12.75" customHeight="1">
      <c r="A9" s="55" t="s">
        <v>56</v>
      </c>
      <c r="B9" s="56"/>
      <c r="C9" s="57">
        <f t="shared" ref="C9:AP9" si="3">SUM(C10:C14)</f>
        <v>147.86636165032934</v>
      </c>
      <c r="D9" s="62">
        <f t="shared" si="3"/>
        <v>147.86636165032934</v>
      </c>
      <c r="E9" s="59">
        <f t="shared" si="3"/>
        <v>0</v>
      </c>
      <c r="F9" s="77">
        <f t="shared" si="3"/>
        <v>0</v>
      </c>
      <c r="G9" s="77">
        <f t="shared" si="3"/>
        <v>0</v>
      </c>
      <c r="H9" s="60">
        <f t="shared" si="3"/>
        <v>491.61136902488784</v>
      </c>
      <c r="I9" s="62">
        <f t="shared" si="3"/>
        <v>491.61136902488784</v>
      </c>
      <c r="J9" s="61">
        <f t="shared" si="3"/>
        <v>0</v>
      </c>
      <c r="K9" s="59">
        <f t="shared" si="3"/>
        <v>0</v>
      </c>
      <c r="L9" s="60">
        <f t="shared" si="3"/>
        <v>2921.2278969394324</v>
      </c>
      <c r="M9" s="59">
        <f t="shared" si="3"/>
        <v>2588.1462743749998</v>
      </c>
      <c r="N9" s="59">
        <f t="shared" ref="N9" si="4">SUM(N10:N14)</f>
        <v>254.61995890956686</v>
      </c>
      <c r="O9" s="59">
        <f t="shared" si="3"/>
        <v>0</v>
      </c>
      <c r="P9" s="59">
        <f t="shared" si="3"/>
        <v>0</v>
      </c>
      <c r="Q9" s="59">
        <f t="shared" si="3"/>
        <v>0</v>
      </c>
      <c r="R9" s="59">
        <f t="shared" si="3"/>
        <v>0</v>
      </c>
      <c r="S9" s="59">
        <f t="shared" si="3"/>
        <v>65.449797530529409</v>
      </c>
      <c r="T9" s="59">
        <f t="shared" si="3"/>
        <v>0.63864536543422179</v>
      </c>
      <c r="U9" s="59">
        <f t="shared" si="3"/>
        <v>12.373220758902022</v>
      </c>
      <c r="V9" s="59">
        <f t="shared" si="3"/>
        <v>0</v>
      </c>
      <c r="W9" s="77">
        <f t="shared" si="3"/>
        <v>0</v>
      </c>
      <c r="X9" s="77">
        <f t="shared" si="3"/>
        <v>0</v>
      </c>
      <c r="Y9" s="77">
        <f t="shared" si="3"/>
        <v>0</v>
      </c>
      <c r="Z9" s="59">
        <f t="shared" si="3"/>
        <v>0</v>
      </c>
      <c r="AA9" s="60">
        <f t="shared" si="3"/>
        <v>2570.4105640457615</v>
      </c>
      <c r="AB9" s="58">
        <f t="shared" si="3"/>
        <v>213.83705063188626</v>
      </c>
      <c r="AC9" s="78">
        <f t="shared" si="3"/>
        <v>0</v>
      </c>
      <c r="AD9" s="59">
        <f t="shared" si="3"/>
        <v>0</v>
      </c>
      <c r="AE9" s="59">
        <f t="shared" si="3"/>
        <v>76.981118613212274</v>
      </c>
      <c r="AF9" s="59">
        <f t="shared" ref="AF9" si="5">SUM(AF10:AF14)</f>
        <v>96.405637291214859</v>
      </c>
      <c r="AG9" s="59">
        <f t="shared" si="3"/>
        <v>31.773825593517778</v>
      </c>
      <c r="AH9" s="59">
        <f t="shared" si="3"/>
        <v>8.6764691339413318</v>
      </c>
      <c r="AI9" s="59">
        <f t="shared" si="3"/>
        <v>0</v>
      </c>
      <c r="AJ9" s="59">
        <f t="shared" ref="AJ9" si="6">SUM(AJ10:AJ14)</f>
        <v>0</v>
      </c>
      <c r="AK9" s="62">
        <f t="shared" si="3"/>
        <v>0</v>
      </c>
      <c r="AL9" s="62">
        <f t="shared" ref="AL9" si="7">SUM(AL10:AL14)</f>
        <v>0</v>
      </c>
      <c r="AM9" s="77">
        <f t="shared" si="3"/>
        <v>0</v>
      </c>
      <c r="AN9" s="60">
        <f t="shared" si="3"/>
        <v>88.64647840573744</v>
      </c>
      <c r="AO9" s="60">
        <f t="shared" si="3"/>
        <v>52.829736027515047</v>
      </c>
      <c r="AP9" s="58">
        <f t="shared" si="3"/>
        <v>0</v>
      </c>
      <c r="AQ9" s="79">
        <f t="shared" si="0"/>
        <v>6486.4294567255483</v>
      </c>
      <c r="AR9" s="11"/>
    </row>
    <row r="10" spans="1:44" ht="12.75" customHeight="1">
      <c r="A10" s="80" t="s">
        <v>57</v>
      </c>
      <c r="B10" s="81"/>
      <c r="C10" s="82">
        <f>SUM(D10:G10)</f>
        <v>147.86636165032934</v>
      </c>
      <c r="D10" s="83">
        <v>147.86636165032934</v>
      </c>
      <c r="E10" s="84"/>
      <c r="F10" s="85"/>
      <c r="G10" s="85"/>
      <c r="H10" s="86">
        <f>SUM(I10:K10)</f>
        <v>429.59646406852596</v>
      </c>
      <c r="I10" s="83">
        <v>429.59646406852596</v>
      </c>
      <c r="J10" s="87">
        <v>0</v>
      </c>
      <c r="K10" s="84"/>
      <c r="L10" s="86">
        <f>SUM(M10:Z10)</f>
        <v>77.823018289431431</v>
      </c>
      <c r="M10" s="84"/>
      <c r="N10" s="84"/>
      <c r="O10" s="84"/>
      <c r="P10" s="84"/>
      <c r="Q10" s="84"/>
      <c r="R10" s="84"/>
      <c r="S10" s="84">
        <v>65.449797530529409</v>
      </c>
      <c r="T10" s="84"/>
      <c r="U10" s="84">
        <v>12.373220758902022</v>
      </c>
      <c r="V10" s="84"/>
      <c r="W10" s="85"/>
      <c r="X10" s="85"/>
      <c r="Y10" s="85"/>
      <c r="Z10" s="84"/>
      <c r="AA10" s="86">
        <v>2262.9232004782652</v>
      </c>
      <c r="AB10" s="88">
        <f>SUM(AC10:AM10)</f>
        <v>202.10970322746218</v>
      </c>
      <c r="AC10" s="89"/>
      <c r="AD10" s="84"/>
      <c r="AE10" s="84">
        <v>73.930240342729533</v>
      </c>
      <c r="AF10" s="84">
        <v>96.405637291214859</v>
      </c>
      <c r="AG10" s="84">
        <v>31.773825593517778</v>
      </c>
      <c r="AH10" s="84"/>
      <c r="AI10" s="84">
        <v>0</v>
      </c>
      <c r="AJ10" s="84"/>
      <c r="AK10" s="83"/>
      <c r="AL10" s="83"/>
      <c r="AM10" s="85"/>
      <c r="AN10" s="90">
        <v>88.64647840573744</v>
      </c>
      <c r="AO10" s="86"/>
      <c r="AP10" s="88"/>
      <c r="AQ10" s="91">
        <f t="shared" si="0"/>
        <v>3208.9652261197516</v>
      </c>
    </row>
    <row r="11" spans="1:44" ht="12.75" customHeight="1">
      <c r="A11" s="28" t="s">
        <v>58</v>
      </c>
      <c r="B11" s="29"/>
      <c r="C11" s="30">
        <f>SUM(D11:G11)</f>
        <v>0</v>
      </c>
      <c r="D11" s="35">
        <v>0</v>
      </c>
      <c r="E11" s="37"/>
      <c r="F11" s="33"/>
      <c r="G11" s="33"/>
      <c r="H11" s="34">
        <f>SUM(I11:K11)</f>
        <v>4.7597803142566182</v>
      </c>
      <c r="I11" s="35">
        <v>4.7597803142566182</v>
      </c>
      <c r="J11" s="37"/>
      <c r="K11" s="37"/>
      <c r="L11" s="34">
        <f>SUM(M11:Z11)</f>
        <v>0.63864536543422179</v>
      </c>
      <c r="M11" s="37"/>
      <c r="N11" s="92"/>
      <c r="O11" s="92">
        <v>0</v>
      </c>
      <c r="P11" s="37"/>
      <c r="Q11" s="37"/>
      <c r="R11" s="37"/>
      <c r="S11" s="37">
        <v>0</v>
      </c>
      <c r="T11" s="37">
        <v>0.63864536543422179</v>
      </c>
      <c r="U11" s="37">
        <v>0</v>
      </c>
      <c r="V11" s="37"/>
      <c r="W11" s="33"/>
      <c r="X11" s="33"/>
      <c r="Y11" s="33"/>
      <c r="Z11" s="37"/>
      <c r="AA11" s="34">
        <v>263.66090359934896</v>
      </c>
      <c r="AB11" s="38">
        <f>SUM(AC11:AM11)</f>
        <v>11.727347404424073</v>
      </c>
      <c r="AC11" s="39"/>
      <c r="AD11" s="37"/>
      <c r="AE11" s="37">
        <v>3.050878270482742</v>
      </c>
      <c r="AF11" s="37"/>
      <c r="AG11" s="37"/>
      <c r="AH11" s="37">
        <v>8.6764691339413318</v>
      </c>
      <c r="AI11" s="37"/>
      <c r="AJ11" s="37"/>
      <c r="AK11" s="35"/>
      <c r="AL11" s="35"/>
      <c r="AM11" s="33"/>
      <c r="AN11" s="40"/>
      <c r="AO11" s="40"/>
      <c r="AP11" s="38"/>
      <c r="AQ11" s="41">
        <f t="shared" si="0"/>
        <v>280.78667668346384</v>
      </c>
    </row>
    <row r="12" spans="1:44" ht="12.75" customHeight="1">
      <c r="A12" s="28" t="s">
        <v>59</v>
      </c>
      <c r="B12" s="29"/>
      <c r="C12" s="30"/>
      <c r="D12" s="35"/>
      <c r="E12" s="37"/>
      <c r="F12" s="33"/>
      <c r="G12" s="33"/>
      <c r="H12" s="34"/>
      <c r="I12" s="35"/>
      <c r="J12" s="36"/>
      <c r="K12" s="37"/>
      <c r="L12" s="34"/>
      <c r="M12" s="37"/>
      <c r="N12" s="92"/>
      <c r="O12" s="92"/>
      <c r="P12" s="37"/>
      <c r="Q12" s="37"/>
      <c r="R12" s="37"/>
      <c r="S12" s="37"/>
      <c r="T12" s="37"/>
      <c r="U12" s="37"/>
      <c r="V12" s="37"/>
      <c r="W12" s="33"/>
      <c r="X12" s="33"/>
      <c r="Y12" s="33"/>
      <c r="Z12" s="37"/>
      <c r="AA12" s="34"/>
      <c r="AB12" s="38"/>
      <c r="AC12" s="39"/>
      <c r="AD12" s="37"/>
      <c r="AE12" s="37"/>
      <c r="AF12" s="37"/>
      <c r="AG12" s="37"/>
      <c r="AH12" s="37"/>
      <c r="AI12" s="37"/>
      <c r="AJ12" s="37"/>
      <c r="AK12" s="35"/>
      <c r="AL12" s="35"/>
      <c r="AM12" s="33"/>
      <c r="AN12" s="40"/>
      <c r="AO12" s="40">
        <v>41.127758383490971</v>
      </c>
      <c r="AP12" s="38"/>
      <c r="AQ12" s="41">
        <f t="shared" si="0"/>
        <v>41.127758383490971</v>
      </c>
    </row>
    <row r="13" spans="1:44" ht="12.75" customHeight="1">
      <c r="A13" s="28" t="s">
        <v>60</v>
      </c>
      <c r="B13" s="29"/>
      <c r="C13" s="30">
        <f>SUM(D13:G13)</f>
        <v>0</v>
      </c>
      <c r="D13" s="35"/>
      <c r="E13" s="33"/>
      <c r="F13" s="33"/>
      <c r="G13" s="33"/>
      <c r="H13" s="34">
        <f>SUM(I13:K13)</f>
        <v>57.255124642105272</v>
      </c>
      <c r="I13" s="35">
        <v>57.255124642105272</v>
      </c>
      <c r="J13" s="36"/>
      <c r="K13" s="37"/>
      <c r="L13" s="34">
        <f>SUM(M13:Z13)</f>
        <v>0</v>
      </c>
      <c r="M13" s="37"/>
      <c r="N13" s="37"/>
      <c r="O13" s="37"/>
      <c r="P13" s="37"/>
      <c r="Q13" s="37"/>
      <c r="R13" s="37"/>
      <c r="S13" s="37"/>
      <c r="T13" s="37"/>
      <c r="U13" s="37"/>
      <c r="V13" s="37"/>
      <c r="W13" s="33"/>
      <c r="X13" s="33"/>
      <c r="Y13" s="33"/>
      <c r="Z13" s="37"/>
      <c r="AA13" s="34"/>
      <c r="AB13" s="38">
        <f>SUM(AC13:AM13)</f>
        <v>0</v>
      </c>
      <c r="AC13" s="39"/>
      <c r="AD13" s="37"/>
      <c r="AE13" s="37"/>
      <c r="AF13" s="37"/>
      <c r="AG13" s="37"/>
      <c r="AH13" s="37"/>
      <c r="AI13" s="37"/>
      <c r="AJ13" s="37"/>
      <c r="AK13" s="35"/>
      <c r="AL13" s="35"/>
      <c r="AM13" s="33"/>
      <c r="AN13" s="40"/>
      <c r="AO13" s="40"/>
      <c r="AP13" s="38"/>
      <c r="AQ13" s="41">
        <f t="shared" si="0"/>
        <v>57.255124642105272</v>
      </c>
    </row>
    <row r="14" spans="1:44" ht="12.75" customHeight="1">
      <c r="A14" s="93" t="s">
        <v>61</v>
      </c>
      <c r="B14" s="94"/>
      <c r="C14" s="95">
        <f>SUM(D14:G14)</f>
        <v>0</v>
      </c>
      <c r="D14" s="96"/>
      <c r="E14" s="97"/>
      <c r="F14" s="98"/>
      <c r="G14" s="98"/>
      <c r="H14" s="99">
        <f>SUM(I14:K14)</f>
        <v>0</v>
      </c>
      <c r="I14" s="96"/>
      <c r="J14" s="100"/>
      <c r="K14" s="97"/>
      <c r="L14" s="99">
        <f>SUM(M14:Z14)</f>
        <v>2842.7662332845666</v>
      </c>
      <c r="M14" s="97">
        <v>2588.1462743749998</v>
      </c>
      <c r="N14" s="97">
        <v>254.61995890956686</v>
      </c>
      <c r="O14" s="97"/>
      <c r="P14" s="97"/>
      <c r="Q14" s="97"/>
      <c r="R14" s="97"/>
      <c r="S14" s="97"/>
      <c r="T14" s="97"/>
      <c r="U14" s="97"/>
      <c r="V14" s="97"/>
      <c r="W14" s="98"/>
      <c r="X14" s="98"/>
      <c r="Y14" s="98"/>
      <c r="Z14" s="97"/>
      <c r="AA14" s="99">
        <v>43.826459968147248</v>
      </c>
      <c r="AB14" s="101">
        <f>SUM(AC14:AM14)</f>
        <v>0</v>
      </c>
      <c r="AC14" s="102"/>
      <c r="AD14" s="97"/>
      <c r="AE14" s="97"/>
      <c r="AF14" s="97"/>
      <c r="AG14" s="97"/>
      <c r="AH14" s="97"/>
      <c r="AI14" s="97"/>
      <c r="AJ14" s="97"/>
      <c r="AK14" s="96"/>
      <c r="AL14" s="96"/>
      <c r="AM14" s="98"/>
      <c r="AN14" s="103"/>
      <c r="AO14" s="103">
        <v>11.701977644024074</v>
      </c>
      <c r="AP14" s="101"/>
      <c r="AQ14" s="104">
        <f t="shared" si="0"/>
        <v>2898.2946708967384</v>
      </c>
    </row>
    <row r="15" spans="1:44" s="65" customFormat="1" ht="12.75" customHeight="1">
      <c r="A15" s="105" t="s">
        <v>62</v>
      </c>
      <c r="B15" s="106"/>
      <c r="C15" s="107">
        <f t="shared" ref="C15:AP15" si="8">SUM(C16:C20)</f>
        <v>0</v>
      </c>
      <c r="D15" s="108">
        <f t="shared" si="8"/>
        <v>0</v>
      </c>
      <c r="E15" s="109">
        <f t="shared" si="8"/>
        <v>0</v>
      </c>
      <c r="F15" s="110">
        <f t="shared" si="8"/>
        <v>0</v>
      </c>
      <c r="G15" s="110">
        <f t="shared" si="8"/>
        <v>0</v>
      </c>
      <c r="H15" s="111">
        <f t="shared" si="8"/>
        <v>54.392368410000003</v>
      </c>
      <c r="I15" s="108">
        <f t="shared" si="8"/>
        <v>0</v>
      </c>
      <c r="J15" s="112">
        <f t="shared" si="8"/>
        <v>0</v>
      </c>
      <c r="K15" s="109">
        <f t="shared" si="8"/>
        <v>54.392368410000003</v>
      </c>
      <c r="L15" s="111">
        <f t="shared" si="8"/>
        <v>2857.1589555141918</v>
      </c>
      <c r="M15" s="109">
        <f t="shared" si="8"/>
        <v>0</v>
      </c>
      <c r="N15" s="109">
        <f t="shared" si="8"/>
        <v>0</v>
      </c>
      <c r="O15" s="109">
        <f t="shared" si="8"/>
        <v>75.391323197283143</v>
      </c>
      <c r="P15" s="109">
        <f t="shared" si="8"/>
        <v>552.13663251111109</v>
      </c>
      <c r="Q15" s="109">
        <f t="shared" si="8"/>
        <v>323.67830540864009</v>
      </c>
      <c r="R15" s="109">
        <f t="shared" si="8"/>
        <v>0</v>
      </c>
      <c r="S15" s="109">
        <f t="shared" si="8"/>
        <v>713.77717964435033</v>
      </c>
      <c r="T15" s="109">
        <f t="shared" si="8"/>
        <v>50.547599406892957</v>
      </c>
      <c r="U15" s="109">
        <f t="shared" si="8"/>
        <v>1097.9678707029586</v>
      </c>
      <c r="V15" s="109">
        <f t="shared" si="8"/>
        <v>0</v>
      </c>
      <c r="W15" s="110">
        <f t="shared" si="8"/>
        <v>43.660044642955796</v>
      </c>
      <c r="X15" s="110">
        <f t="shared" si="8"/>
        <v>0</v>
      </c>
      <c r="Y15" s="110">
        <f t="shared" si="8"/>
        <v>0</v>
      </c>
      <c r="Z15" s="109">
        <f t="shared" si="8"/>
        <v>0</v>
      </c>
      <c r="AA15" s="111">
        <f t="shared" si="8"/>
        <v>0</v>
      </c>
      <c r="AB15" s="113">
        <f t="shared" si="8"/>
        <v>0</v>
      </c>
      <c r="AC15" s="114">
        <f t="shared" si="8"/>
        <v>0</v>
      </c>
      <c r="AD15" s="109">
        <f t="shared" si="8"/>
        <v>0</v>
      </c>
      <c r="AE15" s="109">
        <f t="shared" si="8"/>
        <v>0</v>
      </c>
      <c r="AF15" s="109">
        <f t="shared" si="8"/>
        <v>0</v>
      </c>
      <c r="AG15" s="115">
        <f t="shared" si="8"/>
        <v>0</v>
      </c>
      <c r="AH15" s="115">
        <f t="shared" si="8"/>
        <v>0</v>
      </c>
      <c r="AI15" s="115">
        <f t="shared" si="8"/>
        <v>0</v>
      </c>
      <c r="AJ15" s="115">
        <f t="shared" si="8"/>
        <v>0</v>
      </c>
      <c r="AK15" s="108">
        <f t="shared" si="8"/>
        <v>0</v>
      </c>
      <c r="AL15" s="108">
        <f t="shared" si="8"/>
        <v>0</v>
      </c>
      <c r="AM15" s="110">
        <f t="shared" si="8"/>
        <v>0</v>
      </c>
      <c r="AN15" s="111">
        <f t="shared" si="8"/>
        <v>0</v>
      </c>
      <c r="AO15" s="111">
        <f t="shared" si="8"/>
        <v>1721.0329156886016</v>
      </c>
      <c r="AP15" s="113">
        <f t="shared" si="8"/>
        <v>0</v>
      </c>
      <c r="AQ15" s="116">
        <f t="shared" si="0"/>
        <v>4632.5842396127937</v>
      </c>
      <c r="AR15" s="11"/>
    </row>
    <row r="16" spans="1:44" ht="12.75" customHeight="1">
      <c r="A16" s="80" t="s">
        <v>63</v>
      </c>
      <c r="B16" s="81"/>
      <c r="C16" s="82">
        <f>SUM(D16:G16)</f>
        <v>0</v>
      </c>
      <c r="D16" s="83"/>
      <c r="E16" s="84"/>
      <c r="F16" s="85"/>
      <c r="G16" s="85"/>
      <c r="H16" s="86">
        <f>SUM(I16:K16)</f>
        <v>0</v>
      </c>
      <c r="I16" s="83"/>
      <c r="J16" s="84"/>
      <c r="K16" s="84"/>
      <c r="L16" s="86">
        <f>SUM(M16:Z16)</f>
        <v>0</v>
      </c>
      <c r="M16" s="84"/>
      <c r="N16" s="84"/>
      <c r="O16" s="84"/>
      <c r="P16" s="84"/>
      <c r="Q16" s="84"/>
      <c r="R16" s="84"/>
      <c r="S16" s="84"/>
      <c r="T16" s="84"/>
      <c r="U16" s="84"/>
      <c r="V16" s="84"/>
      <c r="W16" s="85"/>
      <c r="X16" s="85"/>
      <c r="Y16" s="85"/>
      <c r="Z16" s="84"/>
      <c r="AA16" s="86"/>
      <c r="AB16" s="88">
        <f>SUM(AC16:AL16)</f>
        <v>0</v>
      </c>
      <c r="AC16" s="89"/>
      <c r="AD16" s="84"/>
      <c r="AE16" s="84"/>
      <c r="AF16" s="84"/>
      <c r="AG16" s="92"/>
      <c r="AH16" s="92"/>
      <c r="AI16" s="92"/>
      <c r="AJ16" s="92"/>
      <c r="AK16" s="83"/>
      <c r="AL16" s="83"/>
      <c r="AM16" s="85"/>
      <c r="AN16" s="90"/>
      <c r="AO16" s="90">
        <v>1520.7803373413969</v>
      </c>
      <c r="AP16" s="88"/>
      <c r="AQ16" s="117">
        <f>C16+H16+L16+AA16+AO16+AP16</f>
        <v>1520.7803373413969</v>
      </c>
    </row>
    <row r="17" spans="1:44" ht="12.75" customHeight="1">
      <c r="A17" s="28" t="s">
        <v>64</v>
      </c>
      <c r="B17" s="29"/>
      <c r="C17" s="30">
        <f>SUM(D17:G17)</f>
        <v>0</v>
      </c>
      <c r="D17" s="35"/>
      <c r="E17" s="37"/>
      <c r="F17" s="33"/>
      <c r="G17" s="33"/>
      <c r="H17" s="34">
        <f>SUM(I17:K17)</f>
        <v>0</v>
      </c>
      <c r="I17" s="35"/>
      <c r="J17" s="37"/>
      <c r="K17" s="37"/>
      <c r="L17" s="34">
        <f>SUM(M17:Z17)</f>
        <v>0</v>
      </c>
      <c r="M17" s="37"/>
      <c r="N17" s="37"/>
      <c r="O17" s="37"/>
      <c r="P17" s="37"/>
      <c r="Q17" s="37"/>
      <c r="R17" s="37"/>
      <c r="S17" s="37"/>
      <c r="T17" s="37"/>
      <c r="U17" s="37"/>
      <c r="V17" s="37"/>
      <c r="W17" s="33"/>
      <c r="X17" s="33"/>
      <c r="Y17" s="33"/>
      <c r="Z17" s="37"/>
      <c r="AA17" s="34"/>
      <c r="AB17" s="38">
        <f>SUM(AC17:AL17)</f>
        <v>0</v>
      </c>
      <c r="AC17" s="39"/>
      <c r="AD17" s="37"/>
      <c r="AE17" s="37"/>
      <c r="AF17" s="37"/>
      <c r="AG17" s="37"/>
      <c r="AH17" s="37"/>
      <c r="AI17" s="37"/>
      <c r="AJ17" s="37"/>
      <c r="AK17" s="35"/>
      <c r="AL17" s="35"/>
      <c r="AM17" s="33"/>
      <c r="AN17" s="40"/>
      <c r="AO17" s="118">
        <v>179.15896112828824</v>
      </c>
      <c r="AP17" s="38"/>
      <c r="AQ17" s="41">
        <f>C17+H17+L17+AA17+AO17+AP17</f>
        <v>179.15896112828824</v>
      </c>
    </row>
    <row r="18" spans="1:44" ht="12.75" customHeight="1">
      <c r="A18" s="28" t="s">
        <v>65</v>
      </c>
      <c r="B18" s="29"/>
      <c r="C18" s="30"/>
      <c r="D18" s="35"/>
      <c r="E18" s="37"/>
      <c r="F18" s="33"/>
      <c r="G18" s="33"/>
      <c r="H18" s="34"/>
      <c r="I18" s="35"/>
      <c r="J18" s="37"/>
      <c r="K18" s="37"/>
      <c r="L18" s="34"/>
      <c r="M18" s="37"/>
      <c r="N18" s="37"/>
      <c r="O18" s="37"/>
      <c r="P18" s="37"/>
      <c r="Q18" s="37"/>
      <c r="R18" s="37"/>
      <c r="S18" s="37"/>
      <c r="T18" s="37"/>
      <c r="U18" s="37"/>
      <c r="V18" s="37"/>
      <c r="W18" s="33"/>
      <c r="X18" s="33"/>
      <c r="Y18" s="33"/>
      <c r="Z18" s="37"/>
      <c r="AA18" s="34"/>
      <c r="AB18" s="38"/>
      <c r="AC18" s="39"/>
      <c r="AD18" s="37"/>
      <c r="AE18" s="37"/>
      <c r="AF18" s="37"/>
      <c r="AG18" s="37"/>
      <c r="AH18" s="37"/>
      <c r="AI18" s="37"/>
      <c r="AJ18" s="37"/>
      <c r="AK18" s="35"/>
      <c r="AL18" s="35"/>
      <c r="AM18" s="33"/>
      <c r="AN18" s="40"/>
      <c r="AO18" s="40">
        <v>21.093617218916595</v>
      </c>
      <c r="AP18" s="38"/>
      <c r="AQ18" s="41">
        <f t="shared" si="0"/>
        <v>21.093617218916595</v>
      </c>
    </row>
    <row r="19" spans="1:44" ht="12.75" customHeight="1">
      <c r="A19" s="28" t="s">
        <v>66</v>
      </c>
      <c r="B19" s="29"/>
      <c r="C19" s="30"/>
      <c r="D19" s="11"/>
      <c r="E19" s="37"/>
      <c r="F19" s="33"/>
      <c r="G19" s="33"/>
      <c r="H19" s="34">
        <f>SUM(I19:K19)</f>
        <v>54.392368410000003</v>
      </c>
      <c r="I19" s="35"/>
      <c r="J19" s="37"/>
      <c r="K19" s="37">
        <v>54.392368410000003</v>
      </c>
      <c r="L19" s="34">
        <f>SUM(M19:Z19)</f>
        <v>0</v>
      </c>
      <c r="M19" s="37"/>
      <c r="N19" s="37"/>
      <c r="O19" s="37"/>
      <c r="P19" s="37"/>
      <c r="Q19" s="37"/>
      <c r="R19" s="37"/>
      <c r="S19" s="37"/>
      <c r="T19" s="37"/>
      <c r="U19" s="37"/>
      <c r="V19" s="37"/>
      <c r="W19" s="33"/>
      <c r="X19" s="33"/>
      <c r="Y19" s="33"/>
      <c r="Z19" s="37"/>
      <c r="AA19" s="34"/>
      <c r="AB19" s="38">
        <f>SUM(AC19:AL19)</f>
        <v>0</v>
      </c>
      <c r="AC19" s="39"/>
      <c r="AD19" s="37"/>
      <c r="AE19" s="37"/>
      <c r="AF19" s="37"/>
      <c r="AG19" s="37"/>
      <c r="AH19" s="37"/>
      <c r="AI19" s="37"/>
      <c r="AJ19" s="37"/>
      <c r="AK19" s="35"/>
      <c r="AL19" s="35"/>
      <c r="AM19" s="33"/>
      <c r="AN19" s="40"/>
      <c r="AO19" s="40"/>
      <c r="AP19" s="38"/>
      <c r="AQ19" s="41">
        <f t="shared" si="0"/>
        <v>54.392368410000003</v>
      </c>
    </row>
    <row r="20" spans="1:44" ht="12.75" customHeight="1">
      <c r="A20" s="93" t="s">
        <v>67</v>
      </c>
      <c r="B20" s="94"/>
      <c r="C20" s="95"/>
      <c r="D20" s="96"/>
      <c r="E20" s="97"/>
      <c r="F20" s="98"/>
      <c r="G20" s="98"/>
      <c r="H20" s="99">
        <f>SUM(I20:K20)</f>
        <v>0</v>
      </c>
      <c r="I20" s="96"/>
      <c r="J20" s="97"/>
      <c r="K20" s="97"/>
      <c r="L20" s="99">
        <f>SUM(M20:Z20)</f>
        <v>2857.1589555141918</v>
      </c>
      <c r="M20" s="97"/>
      <c r="N20" s="97"/>
      <c r="O20" s="97">
        <v>75.391323197283143</v>
      </c>
      <c r="P20" s="97">
        <v>552.13663251111109</v>
      </c>
      <c r="Q20" s="97">
        <v>323.67830540864009</v>
      </c>
      <c r="R20" s="97">
        <v>0</v>
      </c>
      <c r="S20" s="97">
        <v>713.77717964435033</v>
      </c>
      <c r="T20" s="97">
        <v>50.547599406892957</v>
      </c>
      <c r="U20" s="97">
        <v>1097.9678707029586</v>
      </c>
      <c r="V20" s="97"/>
      <c r="W20" s="98">
        <v>43.660044642955796</v>
      </c>
      <c r="X20" s="98"/>
      <c r="Y20" s="98"/>
      <c r="Z20" s="97"/>
      <c r="AA20" s="99"/>
      <c r="AB20" s="101">
        <f>SUM(AC20:AL20)</f>
        <v>0</v>
      </c>
      <c r="AC20" s="102"/>
      <c r="AD20" s="97"/>
      <c r="AE20" s="97"/>
      <c r="AF20" s="97"/>
      <c r="AG20" s="97"/>
      <c r="AH20" s="97"/>
      <c r="AI20" s="97"/>
      <c r="AJ20" s="97"/>
      <c r="AK20" s="96"/>
      <c r="AL20" s="96"/>
      <c r="AM20" s="98"/>
      <c r="AN20" s="103"/>
      <c r="AO20" s="103"/>
      <c r="AP20" s="101"/>
      <c r="AQ20" s="104">
        <f t="shared" si="0"/>
        <v>2857.1589555141918</v>
      </c>
    </row>
    <row r="21" spans="1:44" ht="12.75" customHeight="1">
      <c r="A21" s="119" t="s">
        <v>68</v>
      </c>
      <c r="B21" s="120"/>
      <c r="C21" s="121">
        <f>SUM(C22:C24)</f>
        <v>17.334133906438232</v>
      </c>
      <c r="D21" s="122">
        <f>SUM(D22:D24)</f>
        <v>-16.109346637649999</v>
      </c>
      <c r="E21" s="123">
        <f>SUM(E22:E24)</f>
        <v>33.443480544088231</v>
      </c>
      <c r="F21" s="124">
        <f>SUM(F22:F24)</f>
        <v>0</v>
      </c>
      <c r="G21" s="124">
        <f>SUM(G22:G24)</f>
        <v>0</v>
      </c>
      <c r="H21" s="125">
        <f>SUM(I21:K21)</f>
        <v>0</v>
      </c>
      <c r="I21" s="122">
        <f>SUM(I22:I24)</f>
        <v>0</v>
      </c>
      <c r="J21" s="123">
        <f>SUM(J22:J24)</f>
        <v>0</v>
      </c>
      <c r="K21" s="123">
        <f>SUM(K22:K24)</f>
        <v>0</v>
      </c>
      <c r="L21" s="125">
        <f>SUM(M21:Z21)</f>
        <v>-50.752198076975397</v>
      </c>
      <c r="M21" s="123">
        <f t="shared" ref="M21:AQ21" si="9">SUM(M22:M24)</f>
        <v>0</v>
      </c>
      <c r="N21" s="123">
        <f t="shared" si="9"/>
        <v>97.460756038998369</v>
      </c>
      <c r="O21" s="123">
        <f t="shared" si="9"/>
        <v>0</v>
      </c>
      <c r="P21" s="123">
        <f t="shared" si="9"/>
        <v>-49.151990444444422</v>
      </c>
      <c r="Q21" s="123">
        <f t="shared" si="9"/>
        <v>307.59405473888006</v>
      </c>
      <c r="R21" s="123">
        <f t="shared" si="9"/>
        <v>-306.92385170184002</v>
      </c>
      <c r="S21" s="123">
        <f t="shared" si="9"/>
        <v>-4.3509951412429373E-2</v>
      </c>
      <c r="T21" s="123">
        <f t="shared" si="9"/>
        <v>0</v>
      </c>
      <c r="U21" s="123">
        <f t="shared" si="9"/>
        <v>-70.130392850718735</v>
      </c>
      <c r="V21" s="123">
        <f t="shared" si="9"/>
        <v>-17.334133906438232</v>
      </c>
      <c r="W21" s="124">
        <f t="shared" si="9"/>
        <v>-12.223129999999999</v>
      </c>
      <c r="X21" s="124">
        <f t="shared" si="9"/>
        <v>0</v>
      </c>
      <c r="Y21" s="124">
        <f t="shared" si="9"/>
        <v>0</v>
      </c>
      <c r="Z21" s="123">
        <f t="shared" si="9"/>
        <v>0</v>
      </c>
      <c r="AA21" s="125">
        <f t="shared" si="9"/>
        <v>0</v>
      </c>
      <c r="AB21" s="126">
        <f t="shared" si="9"/>
        <v>-955.05865441307697</v>
      </c>
      <c r="AC21" s="127">
        <f t="shared" si="9"/>
        <v>-76.246216633583984</v>
      </c>
      <c r="AD21" s="123">
        <f t="shared" si="9"/>
        <v>-875.90522118315425</v>
      </c>
      <c r="AE21" s="123">
        <f t="shared" si="9"/>
        <v>0</v>
      </c>
      <c r="AF21" s="123">
        <f t="shared" si="9"/>
        <v>0</v>
      </c>
      <c r="AG21" s="128">
        <f t="shared" si="9"/>
        <v>0</v>
      </c>
      <c r="AH21" s="128">
        <f t="shared" si="9"/>
        <v>0</v>
      </c>
      <c r="AI21" s="128">
        <f t="shared" si="9"/>
        <v>0</v>
      </c>
      <c r="AJ21" s="128">
        <f t="shared" si="9"/>
        <v>0</v>
      </c>
      <c r="AK21" s="122">
        <f t="shared" si="9"/>
        <v>-2.9072165963387184</v>
      </c>
      <c r="AL21" s="128">
        <f t="shared" si="9"/>
        <v>0</v>
      </c>
      <c r="AM21" s="124">
        <f t="shared" si="9"/>
        <v>0</v>
      </c>
      <c r="AN21" s="129">
        <f t="shared" si="9"/>
        <v>0</v>
      </c>
      <c r="AO21" s="125">
        <f t="shared" si="9"/>
        <v>955.05865441307697</v>
      </c>
      <c r="AP21" s="126">
        <f t="shared" si="9"/>
        <v>0</v>
      </c>
      <c r="AQ21" s="130">
        <f t="shared" si="9"/>
        <v>-33.418064170537164</v>
      </c>
    </row>
    <row r="22" spans="1:44" ht="12.75" customHeight="1">
      <c r="A22" s="80" t="s">
        <v>69</v>
      </c>
      <c r="B22" s="81"/>
      <c r="C22" s="131"/>
      <c r="D22" s="132"/>
      <c r="E22" s="133"/>
      <c r="F22" s="85"/>
      <c r="G22" s="85"/>
      <c r="H22" s="86"/>
      <c r="I22" s="134"/>
      <c r="J22" s="84"/>
      <c r="K22" s="84"/>
      <c r="L22" s="86"/>
      <c r="M22" s="84"/>
      <c r="N22" s="84"/>
      <c r="O22" s="84"/>
      <c r="P22" s="84"/>
      <c r="Q22" s="84"/>
      <c r="R22" s="84"/>
      <c r="S22" s="84"/>
      <c r="T22" s="84"/>
      <c r="U22" s="84"/>
      <c r="V22" s="84"/>
      <c r="W22" s="85"/>
      <c r="X22" s="85"/>
      <c r="Y22" s="85"/>
      <c r="Z22" s="84"/>
      <c r="AA22" s="86"/>
      <c r="AB22" s="88">
        <f>SUM(AC22:AM22)</f>
        <v>-955.05865441307697</v>
      </c>
      <c r="AC22" s="89">
        <f>-AC2</f>
        <v>-76.246216633583984</v>
      </c>
      <c r="AD22" s="84">
        <f>-AD2</f>
        <v>-875.90522118315425</v>
      </c>
      <c r="AE22" s="84"/>
      <c r="AF22" s="84"/>
      <c r="AG22" s="92"/>
      <c r="AH22" s="92"/>
      <c r="AI22" s="92"/>
      <c r="AJ22" s="92"/>
      <c r="AK22" s="83">
        <v>-2.9072165963387184</v>
      </c>
      <c r="AL22" s="92"/>
      <c r="AM22" s="85"/>
      <c r="AN22" s="90"/>
      <c r="AO22" s="86">
        <f>-(C22+H22+L22+AA22+AB22)</f>
        <v>955.05865441307697</v>
      </c>
      <c r="AP22" s="88"/>
      <c r="AQ22" s="117">
        <f>C22+H22+L22+AA22+AB22+AN22+AO22+AP22</f>
        <v>0</v>
      </c>
    </row>
    <row r="23" spans="1:44" ht="12.75" customHeight="1">
      <c r="A23" s="135" t="s">
        <v>70</v>
      </c>
      <c r="B23" s="106"/>
      <c r="C23" s="136"/>
      <c r="D23" s="137"/>
      <c r="E23" s="109"/>
      <c r="F23" s="138"/>
      <c r="G23" s="138"/>
      <c r="H23" s="111"/>
      <c r="J23" s="140"/>
      <c r="K23" s="140"/>
      <c r="L23" s="111"/>
      <c r="M23" s="140"/>
      <c r="N23" s="140"/>
      <c r="O23" s="140"/>
      <c r="P23" s="140"/>
      <c r="Q23" s="140"/>
      <c r="R23" s="140"/>
      <c r="S23" s="140"/>
      <c r="T23" s="140"/>
      <c r="U23" s="140"/>
      <c r="V23" s="140"/>
      <c r="W23" s="138"/>
      <c r="X23" s="138"/>
      <c r="Y23" s="138"/>
      <c r="Z23" s="140"/>
      <c r="AA23" s="111"/>
      <c r="AB23" s="113"/>
      <c r="AC23" s="141"/>
      <c r="AD23" s="140"/>
      <c r="AE23" s="140"/>
      <c r="AF23" s="140"/>
      <c r="AG23" s="140"/>
      <c r="AH23" s="140"/>
      <c r="AI23" s="140"/>
      <c r="AJ23" s="140"/>
      <c r="AK23" s="142"/>
      <c r="AL23" s="142"/>
      <c r="AM23" s="138"/>
      <c r="AN23" s="143"/>
      <c r="AO23" s="111"/>
      <c r="AP23" s="113"/>
      <c r="AQ23" s="144">
        <f>C23+H23+L23+AA23+AB23+AN23+AO23+AP23</f>
        <v>0</v>
      </c>
    </row>
    <row r="24" spans="1:44" ht="12.75" customHeight="1" thickBot="1">
      <c r="A24" s="43" t="s">
        <v>71</v>
      </c>
      <c r="B24" s="44"/>
      <c r="C24" s="145">
        <f>SUM(D24:G24)</f>
        <v>17.334133906438232</v>
      </c>
      <c r="D24" s="146">
        <v>-16.109346637649999</v>
      </c>
      <c r="E24" s="52">
        <f>-D24-V24</f>
        <v>33.443480544088231</v>
      </c>
      <c r="F24" s="46"/>
      <c r="G24" s="46">
        <v>0</v>
      </c>
      <c r="H24" s="47"/>
      <c r="I24" s="147"/>
      <c r="J24" s="52"/>
      <c r="K24" s="52"/>
      <c r="L24" s="47">
        <f>SUM(N24:Z24)</f>
        <v>-50.752198076975397</v>
      </c>
      <c r="M24" s="52"/>
      <c r="N24" s="52">
        <v>97.460756038998369</v>
      </c>
      <c r="O24" s="52"/>
      <c r="P24" s="52">
        <v>-49.151990444444422</v>
      </c>
      <c r="Q24" s="52">
        <v>307.59405473888006</v>
      </c>
      <c r="R24" s="52">
        <v>-306.92385170184002</v>
      </c>
      <c r="S24" s="52">
        <v>-4.3509951412429373E-2</v>
      </c>
      <c r="T24" s="52"/>
      <c r="U24" s="52">
        <v>-70.130392850718735</v>
      </c>
      <c r="V24" s="46">
        <v>-17.334133906438232</v>
      </c>
      <c r="W24" s="46">
        <v>-12.223129999999999</v>
      </c>
      <c r="X24" s="46"/>
      <c r="Y24" s="46"/>
      <c r="Z24" s="52"/>
      <c r="AA24" s="47">
        <f>-AH24</f>
        <v>0</v>
      </c>
      <c r="AB24" s="47">
        <f>SUM(AC24:AM24)</f>
        <v>0</v>
      </c>
      <c r="AC24" s="51"/>
      <c r="AD24" s="52"/>
      <c r="AE24" s="52"/>
      <c r="AF24" s="52"/>
      <c r="AG24" s="52"/>
      <c r="AH24" s="52">
        <v>0</v>
      </c>
      <c r="AI24" s="52"/>
      <c r="AJ24" s="52"/>
      <c r="AK24" s="48"/>
      <c r="AL24" s="48"/>
      <c r="AM24" s="46"/>
      <c r="AN24" s="53"/>
      <c r="AO24" s="47"/>
      <c r="AP24" s="50"/>
      <c r="AQ24" s="54">
        <f>C24+H24+L24+AA24+AB24+AN24+AO24+AP24</f>
        <v>-33.418064170537164</v>
      </c>
    </row>
    <row r="25" spans="1:44" ht="12.75" customHeight="1" thickBot="1">
      <c r="A25" s="105" t="s">
        <v>72</v>
      </c>
      <c r="B25" s="106"/>
      <c r="C25" s="107">
        <f>SUM(D25:G25)</f>
        <v>0</v>
      </c>
      <c r="D25" s="108"/>
      <c r="E25" s="109"/>
      <c r="F25" s="138"/>
      <c r="G25" s="138"/>
      <c r="H25" s="111">
        <f>SUM(I25:K25)</f>
        <v>8.4053952768869742</v>
      </c>
      <c r="I25" s="138">
        <v>8.4053952768869742</v>
      </c>
      <c r="J25" s="148"/>
      <c r="K25" s="140"/>
      <c r="L25" s="111">
        <f>SUM(O25:Z25)</f>
        <v>80.472443177128525</v>
      </c>
      <c r="M25" s="140"/>
      <c r="N25" s="140"/>
      <c r="O25" s="140">
        <v>78.350007757078615</v>
      </c>
      <c r="P25" s="140"/>
      <c r="Q25" s="140"/>
      <c r="R25" s="140"/>
      <c r="S25" s="140">
        <v>0</v>
      </c>
      <c r="T25" s="140">
        <v>4.1693256233877908E-3</v>
      </c>
      <c r="U25" s="140">
        <v>2.1182660944265104</v>
      </c>
      <c r="V25" s="140"/>
      <c r="W25" s="138"/>
      <c r="X25" s="138"/>
      <c r="Y25" s="138"/>
      <c r="Z25" s="140"/>
      <c r="AA25" s="111">
        <v>65.873591094873248</v>
      </c>
      <c r="AB25" s="113">
        <f>SUM(AC25:AI25)</f>
        <v>0</v>
      </c>
      <c r="AC25" s="114"/>
      <c r="AD25" s="140"/>
      <c r="AE25" s="140"/>
      <c r="AF25" s="140"/>
      <c r="AG25" s="140"/>
      <c r="AH25" s="140"/>
      <c r="AI25" s="140"/>
      <c r="AJ25" s="140"/>
      <c r="AK25" s="142"/>
      <c r="AL25" s="142"/>
      <c r="AM25" s="138"/>
      <c r="AN25" s="143"/>
      <c r="AO25" s="111">
        <v>268.73103534828977</v>
      </c>
      <c r="AP25" s="113"/>
      <c r="AQ25" s="144">
        <f>C25+H25+L25+AA25+AB25+AN25+AO25+AP25</f>
        <v>423.48246489717849</v>
      </c>
    </row>
    <row r="26" spans="1:44" s="65" customFormat="1" ht="12.75" customHeight="1" thickBot="1">
      <c r="A26" s="149" t="s">
        <v>73</v>
      </c>
      <c r="B26" s="150"/>
      <c r="C26" s="151">
        <f t="shared" ref="C26:AP26" si="10">C7-C9+C15+C21-C25</f>
        <v>246.28664554475222</v>
      </c>
      <c r="D26" s="152">
        <f t="shared" si="10"/>
        <v>151.08099328500333</v>
      </c>
      <c r="E26" s="153">
        <f t="shared" si="10"/>
        <v>85.609838369406333</v>
      </c>
      <c r="F26" s="153">
        <f t="shared" si="10"/>
        <v>0</v>
      </c>
      <c r="G26" s="153">
        <f t="shared" si="10"/>
        <v>9.5958138903425372</v>
      </c>
      <c r="H26" s="154">
        <f t="shared" si="10"/>
        <v>183.49401442833818</v>
      </c>
      <c r="I26" s="152">
        <f t="shared" si="10"/>
        <v>2.0251833818818454E-4</v>
      </c>
      <c r="J26" s="155">
        <f t="shared" si="10"/>
        <v>127.70399999999999</v>
      </c>
      <c r="K26" s="153">
        <f t="shared" si="10"/>
        <v>55.789811910000005</v>
      </c>
      <c r="L26" s="154">
        <f t="shared" si="10"/>
        <v>7221.880211362155</v>
      </c>
      <c r="M26" s="153">
        <f t="shared" si="10"/>
        <v>0</v>
      </c>
      <c r="N26" s="153">
        <f t="shared" si="10"/>
        <v>-0.98346137776849218</v>
      </c>
      <c r="O26" s="153">
        <f t="shared" si="10"/>
        <v>-2.9586845597954721</v>
      </c>
      <c r="P26" s="153">
        <f t="shared" si="10"/>
        <v>748.01594337777794</v>
      </c>
      <c r="Q26" s="153">
        <f t="shared" si="10"/>
        <v>908.09931966208001</v>
      </c>
      <c r="R26" s="153">
        <f t="shared" si="10"/>
        <v>1119.9058999063197</v>
      </c>
      <c r="S26" s="153">
        <f t="shared" si="10"/>
        <v>34.422029225685435</v>
      </c>
      <c r="T26" s="153">
        <f t="shared" si="10"/>
        <v>186.39052037426879</v>
      </c>
      <c r="U26" s="153">
        <f t="shared" si="10"/>
        <v>3849.1210104592669</v>
      </c>
      <c r="V26" s="153">
        <f t="shared" si="10"/>
        <v>140.93827943770106</v>
      </c>
      <c r="W26" s="153">
        <f t="shared" si="10"/>
        <v>-1.0089019337033989E-3</v>
      </c>
      <c r="X26" s="153">
        <f t="shared" si="10"/>
        <v>198.27377847019878</v>
      </c>
      <c r="Y26" s="153">
        <f t="shared" si="10"/>
        <v>2.1786877819474957</v>
      </c>
      <c r="Z26" s="153">
        <f t="shared" si="10"/>
        <v>38.477897506405931</v>
      </c>
      <c r="AA26" s="154">
        <f t="shared" si="10"/>
        <v>1935.013634526759</v>
      </c>
      <c r="AB26" s="156">
        <f t="shared" si="10"/>
        <v>486.36854943771937</v>
      </c>
      <c r="AC26" s="78">
        <f t="shared" si="10"/>
        <v>0</v>
      </c>
      <c r="AD26" s="59">
        <f t="shared" si="10"/>
        <v>0</v>
      </c>
      <c r="AE26" s="59">
        <f t="shared" si="10"/>
        <v>189.66933668092702</v>
      </c>
      <c r="AF26" s="59">
        <f t="shared" si="10"/>
        <v>40.402868839824052</v>
      </c>
      <c r="AG26" s="59">
        <f t="shared" si="10"/>
        <v>0</v>
      </c>
      <c r="AH26" s="59">
        <f t="shared" si="10"/>
        <v>10.187056589859743</v>
      </c>
      <c r="AI26" s="59">
        <f t="shared" si="10"/>
        <v>162.730278856578</v>
      </c>
      <c r="AJ26" s="59">
        <f t="shared" si="10"/>
        <v>26.911813626048001</v>
      </c>
      <c r="AK26" s="62">
        <f t="shared" si="10"/>
        <v>0</v>
      </c>
      <c r="AL26" s="62">
        <f t="shared" si="10"/>
        <v>13.693209171744657</v>
      </c>
      <c r="AM26" s="157">
        <f t="shared" si="10"/>
        <v>42.773985672737659</v>
      </c>
      <c r="AN26" s="154">
        <f t="shared" si="10"/>
        <v>56.672602499653209</v>
      </c>
      <c r="AO26" s="154">
        <f t="shared" si="10"/>
        <v>2409.951297436106</v>
      </c>
      <c r="AP26" s="156">
        <f t="shared" si="10"/>
        <v>0</v>
      </c>
      <c r="AQ26" s="158">
        <f>C26+H26+L26+AA26+AB26+AN26+AO26+AP26</f>
        <v>12539.666955235482</v>
      </c>
      <c r="AR26" s="11"/>
    </row>
    <row r="27" spans="1:44" s="65" customFormat="1" ht="12.75" customHeight="1">
      <c r="A27" s="55" t="s">
        <v>74</v>
      </c>
      <c r="B27" s="56"/>
      <c r="C27" s="57">
        <f t="shared" ref="C27:V27" si="11">C28</f>
        <v>0</v>
      </c>
      <c r="D27" s="62">
        <f t="shared" si="11"/>
        <v>0</v>
      </c>
      <c r="E27" s="59">
        <f t="shared" si="11"/>
        <v>0</v>
      </c>
      <c r="F27" s="77">
        <f t="shared" si="11"/>
        <v>0</v>
      </c>
      <c r="G27" s="77">
        <f t="shared" si="11"/>
        <v>0</v>
      </c>
      <c r="H27" s="60">
        <f t="shared" si="11"/>
        <v>0</v>
      </c>
      <c r="I27" s="62">
        <f t="shared" si="11"/>
        <v>0</v>
      </c>
      <c r="J27" s="61">
        <f t="shared" si="11"/>
        <v>0</v>
      </c>
      <c r="K27" s="59">
        <f t="shared" si="11"/>
        <v>0</v>
      </c>
      <c r="L27" s="60">
        <f t="shared" si="11"/>
        <v>238.9303637585522</v>
      </c>
      <c r="M27" s="59">
        <f t="shared" si="11"/>
        <v>0</v>
      </c>
      <c r="N27" s="59">
        <f t="shared" si="11"/>
        <v>0</v>
      </c>
      <c r="O27" s="59">
        <f t="shared" si="11"/>
        <v>0</v>
      </c>
      <c r="P27" s="59">
        <f t="shared" si="11"/>
        <v>0</v>
      </c>
      <c r="Q27" s="59">
        <f t="shared" si="11"/>
        <v>0</v>
      </c>
      <c r="R27" s="59">
        <f t="shared" si="11"/>
        <v>0</v>
      </c>
      <c r="S27" s="59">
        <f t="shared" si="11"/>
        <v>0</v>
      </c>
      <c r="T27" s="59">
        <f t="shared" si="11"/>
        <v>0</v>
      </c>
      <c r="U27" s="59">
        <f t="shared" si="11"/>
        <v>0</v>
      </c>
      <c r="V27" s="59">
        <f t="shared" si="11"/>
        <v>0</v>
      </c>
      <c r="W27" s="77"/>
      <c r="X27" s="77">
        <f t="shared" ref="X27:AQ27" si="12">X28</f>
        <v>198.27377847019878</v>
      </c>
      <c r="Y27" s="77">
        <f t="shared" si="12"/>
        <v>2.1786877819474957</v>
      </c>
      <c r="Z27" s="59">
        <f t="shared" si="12"/>
        <v>38.477897506405931</v>
      </c>
      <c r="AA27" s="60">
        <f t="shared" si="12"/>
        <v>0</v>
      </c>
      <c r="AB27" s="58">
        <f t="shared" si="12"/>
        <v>0</v>
      </c>
      <c r="AC27" s="78">
        <f t="shared" si="12"/>
        <v>0</v>
      </c>
      <c r="AD27" s="59">
        <f t="shared" si="12"/>
        <v>0</v>
      </c>
      <c r="AE27" s="59">
        <f t="shared" si="12"/>
        <v>0</v>
      </c>
      <c r="AF27" s="59">
        <f t="shared" si="12"/>
        <v>0</v>
      </c>
      <c r="AG27" s="59">
        <f t="shared" si="12"/>
        <v>0</v>
      </c>
      <c r="AH27" s="59">
        <f t="shared" si="12"/>
        <v>0</v>
      </c>
      <c r="AI27" s="59">
        <f t="shared" si="12"/>
        <v>0</v>
      </c>
      <c r="AJ27" s="59">
        <f t="shared" si="12"/>
        <v>0</v>
      </c>
      <c r="AK27" s="62">
        <f t="shared" si="12"/>
        <v>0</v>
      </c>
      <c r="AL27" s="62">
        <f t="shared" si="12"/>
        <v>0</v>
      </c>
      <c r="AM27" s="77">
        <f t="shared" si="12"/>
        <v>0</v>
      </c>
      <c r="AN27" s="60">
        <f t="shared" si="12"/>
        <v>0</v>
      </c>
      <c r="AO27" s="60">
        <f t="shared" si="12"/>
        <v>0</v>
      </c>
      <c r="AP27" s="58">
        <f t="shared" si="12"/>
        <v>0</v>
      </c>
      <c r="AQ27" s="64">
        <f t="shared" si="12"/>
        <v>238.9303637585522</v>
      </c>
      <c r="AR27" s="11"/>
    </row>
    <row r="28" spans="1:44" ht="12.75" customHeight="1" thickBot="1">
      <c r="A28" s="159" t="s">
        <v>75</v>
      </c>
      <c r="B28" s="160"/>
      <c r="C28" s="161">
        <f>SUM(D28:G28)</f>
        <v>0</v>
      </c>
      <c r="D28" s="122"/>
      <c r="E28" s="123"/>
      <c r="F28" s="124"/>
      <c r="G28" s="124"/>
      <c r="H28" s="129">
        <f>SUM(I28:K28)</f>
        <v>0</v>
      </c>
      <c r="I28" s="122"/>
      <c r="J28" s="162"/>
      <c r="K28" s="123"/>
      <c r="L28" s="129">
        <f>SUM(M28:Z28)</f>
        <v>238.9303637585522</v>
      </c>
      <c r="M28" s="123"/>
      <c r="N28" s="123"/>
      <c r="O28" s="123"/>
      <c r="P28" s="123"/>
      <c r="Q28" s="123"/>
      <c r="R28" s="123"/>
      <c r="S28" s="123"/>
      <c r="T28" s="123"/>
      <c r="U28" s="123"/>
      <c r="V28" s="123"/>
      <c r="W28" s="124"/>
      <c r="X28" s="124">
        <f>X26</f>
        <v>198.27377847019878</v>
      </c>
      <c r="Y28" s="124">
        <f>Y26</f>
        <v>2.1786877819474957</v>
      </c>
      <c r="Z28" s="123">
        <f>Z26</f>
        <v>38.477897506405931</v>
      </c>
      <c r="AA28" s="129">
        <v>0</v>
      </c>
      <c r="AB28" s="163">
        <f>SUM(AC28:AI28)</f>
        <v>0</v>
      </c>
      <c r="AC28" s="127"/>
      <c r="AD28" s="123"/>
      <c r="AE28" s="123"/>
      <c r="AF28" s="123"/>
      <c r="AG28" s="123"/>
      <c r="AH28" s="123"/>
      <c r="AI28" s="123"/>
      <c r="AJ28" s="123"/>
      <c r="AK28" s="122"/>
      <c r="AL28" s="122"/>
      <c r="AM28" s="124"/>
      <c r="AN28" s="129"/>
      <c r="AO28" s="129"/>
      <c r="AP28" s="163"/>
      <c r="AQ28" s="130">
        <f>C28+H28+L28+AA28+AB28+AN28+AO28+AP28</f>
        <v>238.9303637585522</v>
      </c>
    </row>
    <row r="29" spans="1:44" s="65" customFormat="1" ht="12.75" customHeight="1" thickBot="1">
      <c r="A29" s="55" t="s">
        <v>76</v>
      </c>
      <c r="B29" s="56"/>
      <c r="C29" s="57">
        <f t="shared" ref="C29:AQ29" si="13">C30+C45+C56+C58+C65+C70+C71</f>
        <v>255.34477081087016</v>
      </c>
      <c r="D29" s="62">
        <f t="shared" si="13"/>
        <v>158.0164676061994</v>
      </c>
      <c r="E29" s="59">
        <f t="shared" si="13"/>
        <v>88.25682664721495</v>
      </c>
      <c r="F29" s="77">
        <f t="shared" si="13"/>
        <v>0</v>
      </c>
      <c r="G29" s="77">
        <f t="shared" si="13"/>
        <v>9.0714765574558189</v>
      </c>
      <c r="H29" s="60">
        <f t="shared" si="13"/>
        <v>183.49320499999999</v>
      </c>
      <c r="I29" s="62">
        <f t="shared" si="13"/>
        <v>0</v>
      </c>
      <c r="J29" s="164">
        <f t="shared" si="13"/>
        <v>127.70399999999999</v>
      </c>
      <c r="K29" s="62">
        <f t="shared" si="13"/>
        <v>55.789205000000003</v>
      </c>
      <c r="L29" s="60">
        <f t="shared" si="13"/>
        <v>7022.3077142984303</v>
      </c>
      <c r="M29" s="59">
        <f t="shared" si="13"/>
        <v>0</v>
      </c>
      <c r="N29" s="59">
        <f t="shared" si="13"/>
        <v>0</v>
      </c>
      <c r="O29" s="59">
        <f t="shared" si="13"/>
        <v>0</v>
      </c>
      <c r="P29" s="59">
        <f t="shared" si="13"/>
        <v>780.92608129041673</v>
      </c>
      <c r="Q29" s="59">
        <f t="shared" si="13"/>
        <v>910.51333330047999</v>
      </c>
      <c r="R29" s="59">
        <f t="shared" si="13"/>
        <v>1115.6537766794399</v>
      </c>
      <c r="S29" s="59">
        <f t="shared" si="13"/>
        <v>29.695189152151887</v>
      </c>
      <c r="T29" s="59">
        <f t="shared" si="13"/>
        <v>180.27421114819848</v>
      </c>
      <c r="U29" s="59">
        <f t="shared" si="13"/>
        <v>3864.7831126557121</v>
      </c>
      <c r="V29" s="59">
        <f t="shared" si="13"/>
        <v>140.46201007203084</v>
      </c>
      <c r="W29" s="77">
        <f t="shared" si="13"/>
        <v>0</v>
      </c>
      <c r="X29" s="77">
        <f t="shared" si="13"/>
        <v>0</v>
      </c>
      <c r="Y29" s="77">
        <f t="shared" si="13"/>
        <v>0</v>
      </c>
      <c r="Z29" s="62">
        <f t="shared" si="13"/>
        <v>0</v>
      </c>
      <c r="AA29" s="154">
        <f t="shared" si="13"/>
        <v>1968.7619530168281</v>
      </c>
      <c r="AB29" s="58">
        <f t="shared" si="13"/>
        <v>485.74613001484374</v>
      </c>
      <c r="AC29" s="78">
        <f t="shared" si="13"/>
        <v>0</v>
      </c>
      <c r="AD29" s="59">
        <f t="shared" si="13"/>
        <v>0</v>
      </c>
      <c r="AE29" s="59">
        <f t="shared" si="13"/>
        <v>189.37257306160413</v>
      </c>
      <c r="AF29" s="59">
        <f t="shared" si="13"/>
        <v>40.402868839824038</v>
      </c>
      <c r="AG29" s="59">
        <f t="shared" si="13"/>
        <v>0</v>
      </c>
      <c r="AH29" s="59">
        <f t="shared" si="13"/>
        <v>10.187056589859742</v>
      </c>
      <c r="AI29" s="59">
        <f t="shared" si="13"/>
        <v>163.12748726395355</v>
      </c>
      <c r="AJ29" s="59">
        <f t="shared" si="13"/>
        <v>26.188949415119996</v>
      </c>
      <c r="AK29" s="58">
        <f t="shared" si="13"/>
        <v>0</v>
      </c>
      <c r="AL29" s="58">
        <f t="shared" si="13"/>
        <v>13.693209171744657</v>
      </c>
      <c r="AM29" s="58">
        <f t="shared" si="13"/>
        <v>42.773985672737666</v>
      </c>
      <c r="AN29" s="58">
        <f t="shared" si="13"/>
        <v>56.672602499653223</v>
      </c>
      <c r="AO29" s="60">
        <f t="shared" si="13"/>
        <v>2442.2999126905729</v>
      </c>
      <c r="AP29" s="58">
        <f t="shared" si="13"/>
        <v>0</v>
      </c>
      <c r="AQ29" s="158">
        <f t="shared" si="13"/>
        <v>12414.626288331197</v>
      </c>
      <c r="AR29" s="11"/>
    </row>
    <row r="30" spans="1:44" s="65" customFormat="1" ht="12.75" customHeight="1">
      <c r="A30" s="165" t="s">
        <v>77</v>
      </c>
      <c r="B30" s="166"/>
      <c r="C30" s="167">
        <f>SUM(C31:C44)</f>
        <v>68.839405584671127</v>
      </c>
      <c r="D30" s="168">
        <v>68.839405584671127</v>
      </c>
      <c r="E30" s="168">
        <v>0</v>
      </c>
      <c r="F30" s="169"/>
      <c r="G30" s="169"/>
      <c r="H30" s="170">
        <f>SUM(H31:H44)</f>
        <v>0</v>
      </c>
      <c r="I30" s="171">
        <f t="shared" ref="I30:K30" si="14">SUM(I31:I44)</f>
        <v>0</v>
      </c>
      <c r="J30" s="168">
        <f t="shared" si="14"/>
        <v>0</v>
      </c>
      <c r="K30" s="168">
        <f t="shared" si="14"/>
        <v>0</v>
      </c>
      <c r="L30" s="170">
        <f>SUM(L31:L44)</f>
        <v>394.75216520048622</v>
      </c>
      <c r="M30" s="168">
        <f>SUM(M31:M44)</f>
        <v>0</v>
      </c>
      <c r="N30" s="168">
        <f>SUM(N31:N44)</f>
        <v>0</v>
      </c>
      <c r="O30" s="168">
        <f>SUM(O31:O44)</f>
        <v>0</v>
      </c>
      <c r="P30" s="168">
        <f>SUM(P31:P44)</f>
        <v>0</v>
      </c>
      <c r="Q30" s="168">
        <v>6.3323882707917436</v>
      </c>
      <c r="R30" s="168">
        <f>SUM(R31:R44)</f>
        <v>0</v>
      </c>
      <c r="S30" s="168">
        <v>29.48588602919402</v>
      </c>
      <c r="T30" s="168">
        <v>62.661194505149815</v>
      </c>
      <c r="U30" s="168">
        <v>159.29424288251556</v>
      </c>
      <c r="V30" s="168">
        <v>136.9784535128351</v>
      </c>
      <c r="W30" s="168">
        <f>SUM(W31:W44)</f>
        <v>0</v>
      </c>
      <c r="X30" s="168">
        <f>SUM(X31:X44)</f>
        <v>0</v>
      </c>
      <c r="Y30" s="168">
        <f>SUM(Y31:Y44)</f>
        <v>0</v>
      </c>
      <c r="Z30" s="168">
        <f>SUM(Z31:Z44)</f>
        <v>0</v>
      </c>
      <c r="AA30" s="170">
        <v>997.43667798825015</v>
      </c>
      <c r="AB30" s="172">
        <f t="shared" ref="AB30:AN30" si="15">SUM(AB31:AB44)</f>
        <v>191.59736882909439</v>
      </c>
      <c r="AC30" s="173">
        <f t="shared" si="15"/>
        <v>0</v>
      </c>
      <c r="AD30" s="168">
        <f t="shared" si="15"/>
        <v>0</v>
      </c>
      <c r="AE30" s="168">
        <f t="shared" si="15"/>
        <v>147.318983911446</v>
      </c>
      <c r="AF30" s="168">
        <f t="shared" si="15"/>
        <v>40.402868839824038</v>
      </c>
      <c r="AG30" s="168">
        <f t="shared" si="15"/>
        <v>0</v>
      </c>
      <c r="AH30" s="168">
        <f t="shared" si="15"/>
        <v>3.8755160778243574</v>
      </c>
      <c r="AI30" s="168">
        <f t="shared" si="15"/>
        <v>0</v>
      </c>
      <c r="AJ30" s="168">
        <f t="shared" si="15"/>
        <v>0</v>
      </c>
      <c r="AK30" s="168">
        <f t="shared" si="15"/>
        <v>0</v>
      </c>
      <c r="AL30" s="168">
        <f t="shared" si="15"/>
        <v>0</v>
      </c>
      <c r="AM30" s="174">
        <f t="shared" si="15"/>
        <v>0</v>
      </c>
      <c r="AN30" s="171">
        <f t="shared" si="15"/>
        <v>56.672602499653223</v>
      </c>
      <c r="AO30" s="170">
        <v>563.96408847402756</v>
      </c>
      <c r="AP30" s="172">
        <f>SUM(AP31:AP44)</f>
        <v>0</v>
      </c>
      <c r="AQ30" s="79">
        <f t="shared" ref="AQ30:AQ72" si="16">C30+H30+L30+AA30+AB30+AN30+AO30+AP30</f>
        <v>2273.2623085761829</v>
      </c>
      <c r="AR30" s="11"/>
    </row>
    <row r="31" spans="1:44" ht="12.75" customHeight="1">
      <c r="A31" s="175" t="s">
        <v>78</v>
      </c>
      <c r="B31" s="176" t="s">
        <v>79</v>
      </c>
      <c r="C31" s="177">
        <f t="shared" ref="C31:C43" si="17">SUM(D31:G31)</f>
        <v>0</v>
      </c>
      <c r="D31" s="89">
        <v>0</v>
      </c>
      <c r="E31" s="178"/>
      <c r="F31" s="178"/>
      <c r="G31" s="179"/>
      <c r="H31" s="180">
        <f t="shared" ref="H31:H43" si="18">SUM(I31:K31)</f>
        <v>0</v>
      </c>
      <c r="I31" s="181"/>
      <c r="J31" s="182"/>
      <c r="K31" s="92"/>
      <c r="L31" s="180">
        <f t="shared" ref="L31:L43" si="19">SUM(M31:Z31)</f>
        <v>16.584168563043598</v>
      </c>
      <c r="M31" s="92"/>
      <c r="N31" s="92"/>
      <c r="O31" s="92"/>
      <c r="P31" s="183"/>
      <c r="Q31" s="134">
        <v>0.17499999999999999</v>
      </c>
      <c r="R31" s="178"/>
      <c r="S31" s="134">
        <v>0</v>
      </c>
      <c r="T31" s="134">
        <v>1.526168563043597</v>
      </c>
      <c r="U31" s="134">
        <v>14.882999999999999</v>
      </c>
      <c r="V31" s="134">
        <v>0</v>
      </c>
      <c r="W31" s="178"/>
      <c r="X31" s="181"/>
      <c r="Y31" s="183"/>
      <c r="Z31" s="92"/>
      <c r="AA31" s="90">
        <v>13.039794208431157</v>
      </c>
      <c r="AB31" s="184">
        <f t="shared" ref="AB31:AB43" si="20">SUM(AC31:AM31)</f>
        <v>3.3998404996728751E-2</v>
      </c>
      <c r="AC31" s="185"/>
      <c r="AD31" s="92"/>
      <c r="AE31" s="92">
        <v>3.3998404996728751E-2</v>
      </c>
      <c r="AF31" s="92"/>
      <c r="AG31" s="92"/>
      <c r="AH31" s="92"/>
      <c r="AI31" s="92">
        <v>0</v>
      </c>
      <c r="AJ31" s="92"/>
      <c r="AK31" s="83"/>
      <c r="AL31" s="85"/>
      <c r="AM31" s="92"/>
      <c r="AN31" s="90"/>
      <c r="AO31" s="90">
        <v>21.201557771098344</v>
      </c>
      <c r="AP31" s="184"/>
      <c r="AQ31" s="91">
        <f t="shared" si="16"/>
        <v>50.859518947569825</v>
      </c>
    </row>
    <row r="32" spans="1:44" ht="12.75" customHeight="1">
      <c r="A32" s="186" t="s">
        <v>80</v>
      </c>
      <c r="B32" s="187" t="s">
        <v>81</v>
      </c>
      <c r="C32" s="30">
        <f t="shared" si="17"/>
        <v>0</v>
      </c>
      <c r="D32" s="39">
        <v>0</v>
      </c>
      <c r="E32" s="188"/>
      <c r="F32" s="188"/>
      <c r="G32" s="189"/>
      <c r="H32" s="34">
        <f t="shared" si="18"/>
        <v>0</v>
      </c>
      <c r="I32" s="35">
        <v>0</v>
      </c>
      <c r="J32" s="36"/>
      <c r="K32" s="37"/>
      <c r="L32" s="34">
        <f t="shared" si="19"/>
        <v>67.123884048020017</v>
      </c>
      <c r="M32" s="37"/>
      <c r="N32" s="37"/>
      <c r="O32" s="37"/>
      <c r="P32" s="183"/>
      <c r="Q32" s="188">
        <v>1.508</v>
      </c>
      <c r="R32" s="188"/>
      <c r="S32" s="188">
        <v>19.314129079223996</v>
      </c>
      <c r="T32" s="188">
        <v>35.993754968796011</v>
      </c>
      <c r="U32" s="188">
        <v>10.308</v>
      </c>
      <c r="V32" s="188">
        <v>0</v>
      </c>
      <c r="W32" s="188"/>
      <c r="X32" s="35"/>
      <c r="Y32" s="33"/>
      <c r="Z32" s="37"/>
      <c r="AA32" s="40">
        <v>298.05055044089863</v>
      </c>
      <c r="AB32" s="38">
        <f t="shared" si="20"/>
        <v>33.904713455562941</v>
      </c>
      <c r="AC32" s="39"/>
      <c r="AD32" s="37"/>
      <c r="AE32" s="37">
        <v>30.029197377738587</v>
      </c>
      <c r="AF32" s="37"/>
      <c r="AG32" s="92"/>
      <c r="AH32" s="92">
        <v>3.8755160778243574</v>
      </c>
      <c r="AI32" s="92">
        <v>0</v>
      </c>
      <c r="AJ32" s="92"/>
      <c r="AK32" s="35"/>
      <c r="AL32" s="33"/>
      <c r="AM32" s="37"/>
      <c r="AN32" s="40"/>
      <c r="AO32" s="40">
        <v>93.158913758007131</v>
      </c>
      <c r="AP32" s="38"/>
      <c r="AQ32" s="41">
        <f t="shared" si="16"/>
        <v>492.23806170248878</v>
      </c>
    </row>
    <row r="33" spans="1:44" ht="12.75" customHeight="1">
      <c r="A33" s="186" t="s">
        <v>82</v>
      </c>
      <c r="B33" s="190" t="s">
        <v>83</v>
      </c>
      <c r="C33" s="30">
        <f t="shared" si="17"/>
        <v>0</v>
      </c>
      <c r="D33" s="39">
        <v>0</v>
      </c>
      <c r="E33" s="188"/>
      <c r="F33" s="188"/>
      <c r="G33" s="189"/>
      <c r="H33" s="34">
        <f t="shared" si="18"/>
        <v>0</v>
      </c>
      <c r="I33" s="35"/>
      <c r="J33" s="36"/>
      <c r="K33" s="37"/>
      <c r="L33" s="34">
        <f t="shared" si="19"/>
        <v>5.6408726528636288</v>
      </c>
      <c r="M33" s="37"/>
      <c r="N33" s="37"/>
      <c r="O33" s="37"/>
      <c r="P33" s="183"/>
      <c r="Q33" s="188">
        <v>8.9999999999999993E-3</v>
      </c>
      <c r="R33" s="188"/>
      <c r="S33" s="188">
        <v>0</v>
      </c>
      <c r="T33" s="188">
        <v>5.4718726528636283</v>
      </c>
      <c r="U33" s="188">
        <v>0.16</v>
      </c>
      <c r="V33" s="188">
        <v>0</v>
      </c>
      <c r="W33" s="188"/>
      <c r="X33" s="35"/>
      <c r="Y33" s="33"/>
      <c r="Z33" s="37"/>
      <c r="AA33" s="40">
        <v>2.4502481477805826</v>
      </c>
      <c r="AB33" s="38">
        <f t="shared" si="20"/>
        <v>0.12189672035412503</v>
      </c>
      <c r="AC33" s="39"/>
      <c r="AD33" s="37"/>
      <c r="AE33" s="37">
        <v>0.12189672035412503</v>
      </c>
      <c r="AF33" s="37"/>
      <c r="AG33" s="92"/>
      <c r="AH33" s="92"/>
      <c r="AI33" s="92">
        <v>0</v>
      </c>
      <c r="AJ33" s="92"/>
      <c r="AK33" s="35"/>
      <c r="AL33" s="33"/>
      <c r="AM33" s="37"/>
      <c r="AN33" s="40"/>
      <c r="AO33" s="40">
        <v>2.3059740276898633</v>
      </c>
      <c r="AP33" s="38"/>
      <c r="AQ33" s="41">
        <f t="shared" si="16"/>
        <v>10.5189915486882</v>
      </c>
    </row>
    <row r="34" spans="1:44" ht="12.75" customHeight="1">
      <c r="A34" s="186" t="s">
        <v>84</v>
      </c>
      <c r="B34" s="190" t="s">
        <v>85</v>
      </c>
      <c r="C34" s="30">
        <f t="shared" si="17"/>
        <v>0</v>
      </c>
      <c r="D34" s="39">
        <v>0</v>
      </c>
      <c r="E34" s="188"/>
      <c r="F34" s="188"/>
      <c r="G34" s="189"/>
      <c r="H34" s="34">
        <f t="shared" si="18"/>
        <v>0</v>
      </c>
      <c r="I34" s="35"/>
      <c r="J34" s="36"/>
      <c r="K34" s="37"/>
      <c r="L34" s="34">
        <f t="shared" si="19"/>
        <v>2.1906860041463814</v>
      </c>
      <c r="M34" s="37"/>
      <c r="N34" s="37"/>
      <c r="O34" s="37"/>
      <c r="P34" s="183"/>
      <c r="Q34" s="188">
        <v>8.1000000000000003E-2</v>
      </c>
      <c r="R34" s="188"/>
      <c r="S34" s="188">
        <v>0</v>
      </c>
      <c r="T34" s="188">
        <v>0.51368600414638133</v>
      </c>
      <c r="U34" s="188">
        <v>1.5960000000000001</v>
      </c>
      <c r="V34" s="188">
        <v>0</v>
      </c>
      <c r="W34" s="188"/>
      <c r="X34" s="35"/>
      <c r="Y34" s="33"/>
      <c r="Z34" s="37"/>
      <c r="AA34" s="40">
        <v>5.9232389603837028</v>
      </c>
      <c r="AB34" s="38">
        <f t="shared" si="20"/>
        <v>115.59832287738325</v>
      </c>
      <c r="AC34" s="39"/>
      <c r="AD34" s="37"/>
      <c r="AE34" s="37">
        <v>115.59832287738325</v>
      </c>
      <c r="AF34" s="37"/>
      <c r="AG34" s="92"/>
      <c r="AH34" s="92"/>
      <c r="AI34" s="92">
        <v>0</v>
      </c>
      <c r="AJ34" s="92"/>
      <c r="AK34" s="35"/>
      <c r="AL34" s="33"/>
      <c r="AM34" s="37"/>
      <c r="AN34" s="40"/>
      <c r="AO34" s="40">
        <v>23.289220739363582</v>
      </c>
      <c r="AP34" s="38"/>
      <c r="AQ34" s="41">
        <f t="shared" si="16"/>
        <v>147.00146858127692</v>
      </c>
    </row>
    <row r="35" spans="1:44" ht="12.75" customHeight="1">
      <c r="A35" s="186" t="s">
        <v>86</v>
      </c>
      <c r="B35" s="190" t="s">
        <v>87</v>
      </c>
      <c r="C35" s="30">
        <f t="shared" si="17"/>
        <v>0</v>
      </c>
      <c r="D35" s="39">
        <v>0</v>
      </c>
      <c r="E35" s="188"/>
      <c r="F35" s="188"/>
      <c r="G35" s="189"/>
      <c r="H35" s="34">
        <f t="shared" si="18"/>
        <v>0</v>
      </c>
      <c r="I35" s="35"/>
      <c r="J35" s="36"/>
      <c r="K35" s="37"/>
      <c r="L35" s="34">
        <f t="shared" si="19"/>
        <v>0.70068095958645582</v>
      </c>
      <c r="M35" s="37"/>
      <c r="N35" s="37"/>
      <c r="O35" s="37"/>
      <c r="P35" s="183"/>
      <c r="Q35" s="188">
        <v>3.5000000000000003E-2</v>
      </c>
      <c r="R35" s="188"/>
      <c r="S35" s="188">
        <v>0</v>
      </c>
      <c r="T35" s="188">
        <v>0.37968095958645581</v>
      </c>
      <c r="U35" s="188">
        <v>0.28599999999999998</v>
      </c>
      <c r="V35" s="188">
        <v>0</v>
      </c>
      <c r="W35" s="188"/>
      <c r="X35" s="35"/>
      <c r="Y35" s="33"/>
      <c r="Z35" s="37"/>
      <c r="AA35" s="40">
        <v>7.0445508088972701</v>
      </c>
      <c r="AB35" s="38">
        <f t="shared" si="20"/>
        <v>8.4581397796739816E-3</v>
      </c>
      <c r="AC35" s="39"/>
      <c r="AD35" s="37"/>
      <c r="AE35" s="37">
        <v>8.4581397796739816E-3</v>
      </c>
      <c r="AF35" s="37"/>
      <c r="AG35" s="92"/>
      <c r="AH35" s="92"/>
      <c r="AI35" s="92">
        <v>0</v>
      </c>
      <c r="AJ35" s="92"/>
      <c r="AK35" s="35"/>
      <c r="AL35" s="33"/>
      <c r="AM35" s="37"/>
      <c r="AN35" s="40"/>
      <c r="AO35" s="40">
        <v>6.513792773064937</v>
      </c>
      <c r="AP35" s="38"/>
      <c r="AQ35" s="41">
        <f t="shared" si="16"/>
        <v>14.267482681328337</v>
      </c>
    </row>
    <row r="36" spans="1:44" ht="12.75" customHeight="1">
      <c r="A36" s="186" t="s">
        <v>88</v>
      </c>
      <c r="B36" s="190" t="s">
        <v>89</v>
      </c>
      <c r="C36" s="30">
        <f t="shared" si="17"/>
        <v>0</v>
      </c>
      <c r="D36" s="185">
        <v>0</v>
      </c>
      <c r="E36" s="188"/>
      <c r="F36" s="188"/>
      <c r="G36" s="189"/>
      <c r="H36" s="34">
        <f t="shared" si="18"/>
        <v>0</v>
      </c>
      <c r="I36" s="35"/>
      <c r="J36" s="36"/>
      <c r="K36" s="37"/>
      <c r="L36" s="34">
        <f t="shared" si="19"/>
        <v>19.466180382392864</v>
      </c>
      <c r="M36" s="37"/>
      <c r="N36" s="37"/>
      <c r="O36" s="37"/>
      <c r="P36" s="183"/>
      <c r="Q36" s="178">
        <v>0.26700000000000002</v>
      </c>
      <c r="R36" s="188"/>
      <c r="S36" s="178">
        <v>3.4063190006999995</v>
      </c>
      <c r="T36" s="178">
        <v>3.1089170337902736</v>
      </c>
      <c r="U36" s="178">
        <v>3.5880000000000001</v>
      </c>
      <c r="V36" s="178">
        <v>9.0959443479025932</v>
      </c>
      <c r="W36" s="188"/>
      <c r="X36" s="35"/>
      <c r="Y36" s="33"/>
      <c r="Z36" s="37"/>
      <c r="AA36" s="191">
        <v>121.23100800104577</v>
      </c>
      <c r="AB36" s="38">
        <f t="shared" si="20"/>
        <v>6.9257238666506959E-2</v>
      </c>
      <c r="AC36" s="39"/>
      <c r="AD36" s="37"/>
      <c r="AE36" s="37">
        <v>6.9257238666506959E-2</v>
      </c>
      <c r="AF36" s="37"/>
      <c r="AG36" s="92"/>
      <c r="AH36" s="92"/>
      <c r="AI36" s="92">
        <v>0</v>
      </c>
      <c r="AJ36" s="92"/>
      <c r="AK36" s="181"/>
      <c r="AL36" s="183"/>
      <c r="AM36" s="37"/>
      <c r="AN36" s="191"/>
      <c r="AO36" s="191">
        <v>86.273484483782127</v>
      </c>
      <c r="AP36" s="38"/>
      <c r="AQ36" s="41">
        <f t="shared" si="16"/>
        <v>227.03993010588727</v>
      </c>
    </row>
    <row r="37" spans="1:44" ht="12.75" customHeight="1">
      <c r="A37" s="186" t="s">
        <v>90</v>
      </c>
      <c r="B37" s="190" t="s">
        <v>91</v>
      </c>
      <c r="C37" s="30">
        <f t="shared" si="17"/>
        <v>0</v>
      </c>
      <c r="D37" s="39">
        <v>0</v>
      </c>
      <c r="E37" s="188"/>
      <c r="F37" s="188"/>
      <c r="G37" s="189"/>
      <c r="H37" s="34">
        <f t="shared" si="18"/>
        <v>0</v>
      </c>
      <c r="I37" s="35"/>
      <c r="J37" s="36"/>
      <c r="K37" s="37"/>
      <c r="L37" s="34">
        <f t="shared" si="19"/>
        <v>3.5619897501952842</v>
      </c>
      <c r="M37" s="37"/>
      <c r="N37" s="37"/>
      <c r="O37" s="37"/>
      <c r="P37" s="183"/>
      <c r="Q37" s="188">
        <v>0.64</v>
      </c>
      <c r="R37" s="188"/>
      <c r="S37" s="188">
        <v>0</v>
      </c>
      <c r="T37" s="188">
        <v>2.0889897501952843</v>
      </c>
      <c r="U37" s="188">
        <v>0.83299999999999996</v>
      </c>
      <c r="V37" s="188">
        <v>0</v>
      </c>
      <c r="W37" s="188"/>
      <c r="X37" s="35"/>
      <c r="Y37" s="33"/>
      <c r="Z37" s="37"/>
      <c r="AA37" s="40">
        <v>10.91321650071403</v>
      </c>
      <c r="AB37" s="38">
        <f t="shared" si="20"/>
        <v>4.6536353376010184E-2</v>
      </c>
      <c r="AC37" s="39"/>
      <c r="AD37" s="37"/>
      <c r="AE37" s="37">
        <v>4.6536353376010184E-2</v>
      </c>
      <c r="AF37" s="37"/>
      <c r="AG37" s="92"/>
      <c r="AH37" s="92"/>
      <c r="AI37" s="92">
        <v>0</v>
      </c>
      <c r="AJ37" s="92"/>
      <c r="AK37" s="35"/>
      <c r="AL37" s="33"/>
      <c r="AM37" s="37"/>
      <c r="AN37" s="40"/>
      <c r="AO37" s="40">
        <v>20.928415096748466</v>
      </c>
      <c r="AP37" s="38"/>
      <c r="AQ37" s="41">
        <f t="shared" si="16"/>
        <v>35.450157701033788</v>
      </c>
    </row>
    <row r="38" spans="1:44" ht="12.75" customHeight="1">
      <c r="A38" s="186" t="s">
        <v>92</v>
      </c>
      <c r="B38" s="190" t="s">
        <v>93</v>
      </c>
      <c r="C38" s="30">
        <f t="shared" si="17"/>
        <v>68.839405584671127</v>
      </c>
      <c r="D38" s="39">
        <v>68.839405584671127</v>
      </c>
      <c r="E38" s="188"/>
      <c r="F38" s="188"/>
      <c r="G38" s="189"/>
      <c r="H38" s="34">
        <f t="shared" si="18"/>
        <v>0</v>
      </c>
      <c r="I38" s="35"/>
      <c r="J38" s="36"/>
      <c r="K38" s="37"/>
      <c r="L38" s="34">
        <f t="shared" si="19"/>
        <v>157.30446478400586</v>
      </c>
      <c r="M38" s="37"/>
      <c r="N38" s="37"/>
      <c r="O38" s="37"/>
      <c r="P38" s="183"/>
      <c r="Q38" s="188">
        <v>0.92600000000000005</v>
      </c>
      <c r="R38" s="188"/>
      <c r="S38" s="188">
        <v>0</v>
      </c>
      <c r="T38" s="188">
        <v>2.3629556190733547</v>
      </c>
      <c r="U38" s="188">
        <v>26.132999999999999</v>
      </c>
      <c r="V38" s="188">
        <v>127.8825091649325</v>
      </c>
      <c r="W38" s="188"/>
      <c r="X38" s="35"/>
      <c r="Y38" s="33"/>
      <c r="Z38" s="37"/>
      <c r="AA38" s="40">
        <v>35.713502746267224</v>
      </c>
      <c r="AB38" s="38">
        <f t="shared" si="20"/>
        <v>41.564345702924669</v>
      </c>
      <c r="AC38" s="39"/>
      <c r="AD38" s="37"/>
      <c r="AE38" s="37">
        <v>1.1614768631006305</v>
      </c>
      <c r="AF38" s="37">
        <v>40.402868839824038</v>
      </c>
      <c r="AG38" s="92"/>
      <c r="AH38" s="92"/>
      <c r="AI38" s="92">
        <v>0</v>
      </c>
      <c r="AJ38" s="92"/>
      <c r="AK38" s="35"/>
      <c r="AL38" s="33"/>
      <c r="AM38" s="37"/>
      <c r="AN38" s="40">
        <v>56.672602499653223</v>
      </c>
      <c r="AO38" s="40">
        <v>65.698428683218623</v>
      </c>
      <c r="AP38" s="38"/>
      <c r="AQ38" s="41">
        <f t="shared" si="16"/>
        <v>425.79275000074074</v>
      </c>
    </row>
    <row r="39" spans="1:44" ht="12.75" customHeight="1">
      <c r="A39" s="186" t="s">
        <v>94</v>
      </c>
      <c r="B39" s="190" t="s">
        <v>95</v>
      </c>
      <c r="C39" s="30">
        <f t="shared" si="17"/>
        <v>0</v>
      </c>
      <c r="D39" s="39">
        <v>0</v>
      </c>
      <c r="E39" s="188"/>
      <c r="F39" s="188"/>
      <c r="G39" s="189"/>
      <c r="H39" s="34">
        <f t="shared" si="18"/>
        <v>0</v>
      </c>
      <c r="I39" s="35"/>
      <c r="J39" s="36"/>
      <c r="K39" s="37"/>
      <c r="L39" s="34">
        <f t="shared" si="19"/>
        <v>6.5266395638915196</v>
      </c>
      <c r="M39" s="37"/>
      <c r="N39" s="37"/>
      <c r="O39" s="37"/>
      <c r="P39" s="183"/>
      <c r="Q39" s="188">
        <v>0.39100000000000001</v>
      </c>
      <c r="R39" s="188"/>
      <c r="S39" s="188">
        <v>3.2590363652700001</v>
      </c>
      <c r="T39" s="188">
        <v>1.2656031986215195</v>
      </c>
      <c r="U39" s="188">
        <v>1.611</v>
      </c>
      <c r="V39" s="188">
        <v>0</v>
      </c>
      <c r="W39" s="188"/>
      <c r="X39" s="35"/>
      <c r="Y39" s="33"/>
      <c r="Z39" s="37"/>
      <c r="AA39" s="40">
        <v>419.59852888934574</v>
      </c>
      <c r="AB39" s="38">
        <f t="shared" si="20"/>
        <v>2.8193799265579939E-2</v>
      </c>
      <c r="AC39" s="39"/>
      <c r="AD39" s="37"/>
      <c r="AE39" s="37">
        <v>2.8193799265579939E-2</v>
      </c>
      <c r="AF39" s="37"/>
      <c r="AG39" s="92"/>
      <c r="AH39" s="92"/>
      <c r="AI39" s="92">
        <v>0</v>
      </c>
      <c r="AJ39" s="92"/>
      <c r="AK39" s="35"/>
      <c r="AL39" s="33"/>
      <c r="AM39" s="37"/>
      <c r="AN39" s="40"/>
      <c r="AO39" s="40">
        <v>60.36859263242863</v>
      </c>
      <c r="AP39" s="38"/>
      <c r="AQ39" s="41">
        <f t="shared" si="16"/>
        <v>486.52195488493146</v>
      </c>
    </row>
    <row r="40" spans="1:44" ht="12.75" customHeight="1">
      <c r="A40" s="186" t="s">
        <v>96</v>
      </c>
      <c r="B40" s="190" t="s">
        <v>97</v>
      </c>
      <c r="C40" s="30">
        <f t="shared" si="17"/>
        <v>0</v>
      </c>
      <c r="D40" s="39">
        <v>0</v>
      </c>
      <c r="E40" s="188"/>
      <c r="F40" s="188"/>
      <c r="G40" s="189"/>
      <c r="H40" s="34">
        <f t="shared" si="18"/>
        <v>0</v>
      </c>
      <c r="I40" s="35"/>
      <c r="J40" s="36"/>
      <c r="K40" s="37"/>
      <c r="L40" s="34">
        <f t="shared" si="19"/>
        <v>3.280090211679886</v>
      </c>
      <c r="M40" s="37"/>
      <c r="N40" s="37"/>
      <c r="O40" s="37"/>
      <c r="P40" s="183"/>
      <c r="Q40" s="188">
        <v>0.27</v>
      </c>
      <c r="R40" s="188"/>
      <c r="S40" s="188">
        <v>0</v>
      </c>
      <c r="T40" s="188">
        <v>1.8060902116798858</v>
      </c>
      <c r="U40" s="188">
        <v>1.2040000000000002</v>
      </c>
      <c r="V40" s="188">
        <v>0</v>
      </c>
      <c r="W40" s="188"/>
      <c r="X40" s="35"/>
      <c r="Y40" s="33"/>
      <c r="Z40" s="37"/>
      <c r="AA40" s="40">
        <v>16.314248509202702</v>
      </c>
      <c r="AB40" s="38">
        <f t="shared" si="20"/>
        <v>4.0234210010762904E-2</v>
      </c>
      <c r="AC40" s="39"/>
      <c r="AD40" s="37"/>
      <c r="AE40" s="37">
        <v>4.0234210010762904E-2</v>
      </c>
      <c r="AF40" s="37"/>
      <c r="AG40" s="92"/>
      <c r="AH40" s="92"/>
      <c r="AI40" s="92">
        <v>0</v>
      </c>
      <c r="AJ40" s="92"/>
      <c r="AK40" s="35"/>
      <c r="AL40" s="33"/>
      <c r="AM40" s="37"/>
      <c r="AN40" s="40"/>
      <c r="AO40" s="40">
        <v>17.96649249050834</v>
      </c>
      <c r="AP40" s="38"/>
      <c r="AQ40" s="41">
        <f t="shared" si="16"/>
        <v>37.601065421401692</v>
      </c>
    </row>
    <row r="41" spans="1:44" ht="12.75" customHeight="1">
      <c r="A41" s="186" t="s">
        <v>98</v>
      </c>
      <c r="B41" s="190" t="s">
        <v>99</v>
      </c>
      <c r="C41" s="30">
        <f t="shared" si="17"/>
        <v>0</v>
      </c>
      <c r="D41" s="185">
        <v>0</v>
      </c>
      <c r="E41" s="188"/>
      <c r="F41" s="188"/>
      <c r="G41" s="189"/>
      <c r="H41" s="34">
        <f t="shared" si="18"/>
        <v>0</v>
      </c>
      <c r="I41" s="35"/>
      <c r="J41" s="36"/>
      <c r="K41" s="37"/>
      <c r="L41" s="34">
        <f t="shared" si="19"/>
        <v>2.5700876893999229</v>
      </c>
      <c r="M41" s="37"/>
      <c r="N41" s="37"/>
      <c r="O41" s="37"/>
      <c r="P41" s="183"/>
      <c r="Q41" s="178">
        <v>0.25700000000000001</v>
      </c>
      <c r="R41" s="188"/>
      <c r="S41" s="178">
        <v>0</v>
      </c>
      <c r="T41" s="178">
        <v>1.7390876893999232</v>
      </c>
      <c r="U41" s="178">
        <v>0.57399999999999995</v>
      </c>
      <c r="V41" s="178">
        <v>0</v>
      </c>
      <c r="W41" s="188"/>
      <c r="X41" s="35"/>
      <c r="Y41" s="33"/>
      <c r="Z41" s="37"/>
      <c r="AA41" s="191">
        <v>21.535618955928282</v>
      </c>
      <c r="AB41" s="38">
        <f t="shared" si="20"/>
        <v>3.8741597108467495E-2</v>
      </c>
      <c r="AC41" s="39"/>
      <c r="AD41" s="37"/>
      <c r="AE41" s="37">
        <v>3.8741597108467495E-2</v>
      </c>
      <c r="AF41" s="37"/>
      <c r="AG41" s="92"/>
      <c r="AH41" s="92"/>
      <c r="AI41" s="92">
        <v>0</v>
      </c>
      <c r="AJ41" s="92"/>
      <c r="AK41" s="181"/>
      <c r="AL41" s="183"/>
      <c r="AM41" s="37"/>
      <c r="AN41" s="191"/>
      <c r="AO41" s="191">
        <v>94.027080994323654</v>
      </c>
      <c r="AP41" s="38"/>
      <c r="AQ41" s="41">
        <f t="shared" si="16"/>
        <v>118.17152923676034</v>
      </c>
    </row>
    <row r="42" spans="1:44" ht="12.75" customHeight="1">
      <c r="A42" s="186" t="s">
        <v>100</v>
      </c>
      <c r="B42" s="190" t="s">
        <v>101</v>
      </c>
      <c r="C42" s="30">
        <f t="shared" si="17"/>
        <v>0</v>
      </c>
      <c r="D42" s="39">
        <v>0</v>
      </c>
      <c r="E42" s="188"/>
      <c r="F42" s="188"/>
      <c r="G42" s="189"/>
      <c r="H42" s="34">
        <f t="shared" si="18"/>
        <v>0</v>
      </c>
      <c r="I42" s="35"/>
      <c r="J42" s="36"/>
      <c r="K42" s="37"/>
      <c r="L42" s="34">
        <f t="shared" si="19"/>
        <v>1.3589936139576611</v>
      </c>
      <c r="M42" s="37"/>
      <c r="N42" s="37"/>
      <c r="O42" s="37"/>
      <c r="P42" s="183"/>
      <c r="Q42" s="188">
        <v>7.9000000000000001E-2</v>
      </c>
      <c r="R42" s="188"/>
      <c r="S42" s="188">
        <v>0</v>
      </c>
      <c r="T42" s="188">
        <v>1.010993613957661</v>
      </c>
      <c r="U42" s="188">
        <v>0.26900000000000002</v>
      </c>
      <c r="V42" s="188">
        <v>0</v>
      </c>
      <c r="W42" s="188"/>
      <c r="X42" s="35"/>
      <c r="Y42" s="33"/>
      <c r="Z42" s="37"/>
      <c r="AA42" s="40">
        <v>1.3967463050686459</v>
      </c>
      <c r="AB42" s="38">
        <f t="shared" si="20"/>
        <v>2.2521870236857391E-2</v>
      </c>
      <c r="AC42" s="39"/>
      <c r="AD42" s="37"/>
      <c r="AE42" s="37">
        <v>2.2521870236857391E-2</v>
      </c>
      <c r="AF42" s="37"/>
      <c r="AG42" s="92"/>
      <c r="AH42" s="92"/>
      <c r="AI42" s="92">
        <v>0</v>
      </c>
      <c r="AJ42" s="92"/>
      <c r="AK42" s="142"/>
      <c r="AL42" s="138"/>
      <c r="AM42" s="37"/>
      <c r="AN42" s="143"/>
      <c r="AO42" s="40">
        <v>3.6848876030323705</v>
      </c>
      <c r="AP42" s="38"/>
      <c r="AQ42" s="41">
        <f t="shared" si="16"/>
        <v>6.4631493922955343</v>
      </c>
    </row>
    <row r="43" spans="1:44" ht="12.75" customHeight="1">
      <c r="A43" s="186" t="s">
        <v>102</v>
      </c>
      <c r="B43" s="190" t="s">
        <v>103</v>
      </c>
      <c r="C43" s="30">
        <f t="shared" si="17"/>
        <v>0</v>
      </c>
      <c r="D43" s="39">
        <v>0</v>
      </c>
      <c r="E43" s="188"/>
      <c r="F43" s="188"/>
      <c r="G43" s="189"/>
      <c r="H43" s="34">
        <f t="shared" si="18"/>
        <v>0</v>
      </c>
      <c r="I43" s="35"/>
      <c r="J43" s="36"/>
      <c r="K43" s="37">
        <v>0</v>
      </c>
      <c r="L43" s="34">
        <f t="shared" si="19"/>
        <v>10.295533923355613</v>
      </c>
      <c r="M43" s="37"/>
      <c r="N43" s="37"/>
      <c r="O43" s="37"/>
      <c r="P43" s="33"/>
      <c r="Q43" s="188">
        <v>0.371</v>
      </c>
      <c r="R43" s="188"/>
      <c r="S43" s="188">
        <v>3.5064015839999998</v>
      </c>
      <c r="T43" s="188">
        <v>4.6961323393556142</v>
      </c>
      <c r="U43" s="188">
        <v>1.722</v>
      </c>
      <c r="V43" s="188">
        <v>0</v>
      </c>
      <c r="W43" s="188"/>
      <c r="X43" s="35"/>
      <c r="Y43" s="33"/>
      <c r="Z43" s="37"/>
      <c r="AA43" s="40">
        <v>39.919820322642622</v>
      </c>
      <c r="AB43" s="38">
        <f t="shared" si="20"/>
        <v>0.10461557986310487</v>
      </c>
      <c r="AC43" s="39"/>
      <c r="AD43" s="37"/>
      <c r="AE43" s="37">
        <v>0.10461557986310487</v>
      </c>
      <c r="AF43" s="37"/>
      <c r="AG43" s="37"/>
      <c r="AH43" s="37"/>
      <c r="AI43" s="37">
        <v>0</v>
      </c>
      <c r="AJ43" s="37"/>
      <c r="AK43" s="35"/>
      <c r="AL43" s="33"/>
      <c r="AM43" s="37"/>
      <c r="AN43" s="40"/>
      <c r="AO43" s="40">
        <v>45.029956057226933</v>
      </c>
      <c r="AP43" s="38"/>
      <c r="AQ43" s="41">
        <f t="shared" si="16"/>
        <v>95.349925883088275</v>
      </c>
    </row>
    <row r="44" spans="1:44" ht="12.75" customHeight="1">
      <c r="A44" s="192" t="s">
        <v>104</v>
      </c>
      <c r="B44" s="193" t="s">
        <v>105</v>
      </c>
      <c r="C44" s="95">
        <f>SUM(D44:G44)</f>
        <v>0</v>
      </c>
      <c r="D44" s="102">
        <v>0</v>
      </c>
      <c r="E44" s="194"/>
      <c r="F44" s="194"/>
      <c r="G44" s="195"/>
      <c r="H44" s="99">
        <f>SUM(I44:K44)</f>
        <v>0</v>
      </c>
      <c r="I44" s="96"/>
      <c r="J44" s="97"/>
      <c r="K44" s="97"/>
      <c r="L44" s="99">
        <f>SUM(M44:Z44)</f>
        <v>98.147893053947556</v>
      </c>
      <c r="M44" s="97"/>
      <c r="N44" s="97"/>
      <c r="O44" s="97"/>
      <c r="P44" s="98"/>
      <c r="Q44" s="194">
        <v>1.3233882707917439</v>
      </c>
      <c r="R44" s="194"/>
      <c r="S44" s="194">
        <v>0</v>
      </c>
      <c r="T44" s="194">
        <v>0.69726190064023263</v>
      </c>
      <c r="U44" s="194">
        <v>96.127242882515574</v>
      </c>
      <c r="V44" s="194">
        <v>0</v>
      </c>
      <c r="W44" s="194"/>
      <c r="X44" s="96"/>
      <c r="Y44" s="98"/>
      <c r="Z44" s="97"/>
      <c r="AA44" s="103">
        <v>4.3056051916437372</v>
      </c>
      <c r="AB44" s="101">
        <f>SUM(AC44:AM44)</f>
        <v>1.5532879565727424E-2</v>
      </c>
      <c r="AC44" s="102"/>
      <c r="AD44" s="97"/>
      <c r="AE44" s="97">
        <v>1.5532879565727424E-2</v>
      </c>
      <c r="AF44" s="97"/>
      <c r="AG44" s="97"/>
      <c r="AH44" s="97"/>
      <c r="AI44" s="97">
        <v>0</v>
      </c>
      <c r="AJ44" s="97"/>
      <c r="AK44" s="96"/>
      <c r="AL44" s="98"/>
      <c r="AM44" s="97"/>
      <c r="AN44" s="103"/>
      <c r="AO44" s="103">
        <v>23.517291363534515</v>
      </c>
      <c r="AP44" s="101"/>
      <c r="AQ44" s="104">
        <f>C44+H44+L44+AA44+AB44+AN44+AO44+AP44</f>
        <v>125.98632248869153</v>
      </c>
    </row>
    <row r="45" spans="1:44" s="65" customFormat="1" ht="12.75" customHeight="1">
      <c r="A45" s="105" t="s">
        <v>106</v>
      </c>
      <c r="B45" s="106"/>
      <c r="C45" s="196">
        <f t="shared" ref="C45:AP45" si="21">SUM(C46:C55)</f>
        <v>0</v>
      </c>
      <c r="D45" s="197">
        <f t="shared" si="21"/>
        <v>0</v>
      </c>
      <c r="E45" s="197">
        <f t="shared" si="21"/>
        <v>0</v>
      </c>
      <c r="F45" s="198">
        <f t="shared" si="21"/>
        <v>0</v>
      </c>
      <c r="G45" s="198">
        <f t="shared" si="21"/>
        <v>0</v>
      </c>
      <c r="H45" s="199">
        <f t="shared" si="21"/>
        <v>0</v>
      </c>
      <c r="I45" s="200">
        <f t="shared" si="21"/>
        <v>0</v>
      </c>
      <c r="J45" s="201">
        <f t="shared" si="21"/>
        <v>0</v>
      </c>
      <c r="K45" s="197">
        <f t="shared" si="21"/>
        <v>0</v>
      </c>
      <c r="L45" s="199">
        <f t="shared" si="21"/>
        <v>5062.2170979361181</v>
      </c>
      <c r="M45" s="197">
        <f t="shared" si="21"/>
        <v>0</v>
      </c>
      <c r="N45" s="197">
        <f t="shared" ref="N45" si="22">SUM(N46:N55)</f>
        <v>0</v>
      </c>
      <c r="O45" s="197">
        <f t="shared" si="21"/>
        <v>0</v>
      </c>
      <c r="P45" s="197">
        <f t="shared" si="21"/>
        <v>780.92608129041673</v>
      </c>
      <c r="Q45" s="197">
        <f t="shared" si="21"/>
        <v>0</v>
      </c>
      <c r="R45" s="197">
        <f t="shared" si="21"/>
        <v>1115.6537766794399</v>
      </c>
      <c r="S45" s="197">
        <f t="shared" si="21"/>
        <v>0</v>
      </c>
      <c r="T45" s="197">
        <f t="shared" si="21"/>
        <v>1.6291650130548303</v>
      </c>
      <c r="U45" s="197">
        <f>SUM(U46:U55)</f>
        <v>3164.0080749532076</v>
      </c>
      <c r="V45" s="197">
        <f t="shared" si="21"/>
        <v>0</v>
      </c>
      <c r="W45" s="198">
        <f t="shared" si="21"/>
        <v>0</v>
      </c>
      <c r="X45" s="198">
        <f t="shared" si="21"/>
        <v>0</v>
      </c>
      <c r="Y45" s="198">
        <f t="shared" si="21"/>
        <v>0</v>
      </c>
      <c r="Z45" s="197">
        <f t="shared" si="21"/>
        <v>0</v>
      </c>
      <c r="AA45" s="199">
        <f t="shared" si="21"/>
        <v>17.419223807825386</v>
      </c>
      <c r="AB45" s="202">
        <f t="shared" si="21"/>
        <v>189.31643667907355</v>
      </c>
      <c r="AC45" s="203">
        <f t="shared" si="21"/>
        <v>0</v>
      </c>
      <c r="AD45" s="197">
        <f t="shared" si="21"/>
        <v>0</v>
      </c>
      <c r="AE45" s="197">
        <f t="shared" si="21"/>
        <v>0</v>
      </c>
      <c r="AF45" s="197">
        <f t="shared" ref="AF45" si="23">SUM(AF46:AF55)</f>
        <v>0</v>
      </c>
      <c r="AG45" s="197">
        <f t="shared" si="21"/>
        <v>0</v>
      </c>
      <c r="AH45" s="197">
        <f t="shared" si="21"/>
        <v>0</v>
      </c>
      <c r="AI45" s="197">
        <f t="shared" si="21"/>
        <v>163.12748726395355</v>
      </c>
      <c r="AJ45" s="197">
        <f t="shared" ref="AJ45" si="24">SUM(AJ46:AJ55)</f>
        <v>26.188949415119996</v>
      </c>
      <c r="AK45" s="200">
        <f t="shared" si="21"/>
        <v>0</v>
      </c>
      <c r="AL45" s="198">
        <f t="shared" ref="AL45" si="25">SUM(AL46:AL55)</f>
        <v>0</v>
      </c>
      <c r="AM45" s="197">
        <f t="shared" si="21"/>
        <v>0</v>
      </c>
      <c r="AN45" s="199">
        <f t="shared" si="21"/>
        <v>0</v>
      </c>
      <c r="AO45" s="199">
        <f t="shared" si="21"/>
        <v>7.4258747747169753</v>
      </c>
      <c r="AP45" s="202">
        <f t="shared" si="21"/>
        <v>0</v>
      </c>
      <c r="AQ45" s="204">
        <f t="shared" si="16"/>
        <v>5276.3786331977344</v>
      </c>
      <c r="AR45" s="11"/>
    </row>
    <row r="46" spans="1:44" ht="12.75" customHeight="1">
      <c r="A46" s="205" t="s">
        <v>107</v>
      </c>
      <c r="B46" s="81"/>
      <c r="C46" s="82">
        <f t="shared" ref="C46:C64" si="26">SUM(D46:G46)</f>
        <v>0</v>
      </c>
      <c r="D46" s="206"/>
      <c r="E46" s="133"/>
      <c r="F46" s="85"/>
      <c r="G46" s="85"/>
      <c r="H46" s="86">
        <f t="shared" ref="H46:H64" si="27">SUM(I46:K46)</f>
        <v>0</v>
      </c>
      <c r="I46" s="83"/>
      <c r="J46" s="87"/>
      <c r="K46" s="84"/>
      <c r="L46" s="86">
        <f t="shared" ref="L46:L64" si="28">SUM(M46:Z46)</f>
        <v>748.88083382744833</v>
      </c>
      <c r="M46" s="84"/>
      <c r="N46" s="84"/>
      <c r="O46" s="84"/>
      <c r="P46" s="84"/>
      <c r="Q46" s="84"/>
      <c r="R46" s="84"/>
      <c r="S46" s="84"/>
      <c r="T46" s="84"/>
      <c r="U46" s="84">
        <v>748.88083382744833</v>
      </c>
      <c r="V46" s="84"/>
      <c r="W46" s="85"/>
      <c r="X46" s="85"/>
      <c r="Y46" s="85"/>
      <c r="Z46" s="84"/>
      <c r="AA46" s="90">
        <v>0.40475004694754946</v>
      </c>
      <c r="AB46" s="88">
        <f t="shared" ref="AB46:AB56" si="29">SUM(AC46:AM46)</f>
        <v>39.957644433505862</v>
      </c>
      <c r="AC46" s="89"/>
      <c r="AD46" s="84"/>
      <c r="AE46" s="84"/>
      <c r="AF46" s="84"/>
      <c r="AG46" s="84"/>
      <c r="AH46" s="84">
        <v>0</v>
      </c>
      <c r="AI46" s="84">
        <v>39.957644433505862</v>
      </c>
      <c r="AJ46" s="84">
        <v>0</v>
      </c>
      <c r="AK46" s="83"/>
      <c r="AL46" s="85"/>
      <c r="AM46" s="84"/>
      <c r="AN46" s="86"/>
      <c r="AO46" s="90"/>
      <c r="AP46" s="88"/>
      <c r="AQ46" s="117">
        <f t="shared" si="16"/>
        <v>789.24322830790175</v>
      </c>
    </row>
    <row r="47" spans="1:44" ht="12.75" customHeight="1">
      <c r="A47" s="175" t="s">
        <v>108</v>
      </c>
      <c r="B47" s="207"/>
      <c r="C47" s="30">
        <f t="shared" si="26"/>
        <v>0</v>
      </c>
      <c r="D47" s="208"/>
      <c r="E47" s="209"/>
      <c r="F47" s="183"/>
      <c r="G47" s="183"/>
      <c r="H47" s="34">
        <f t="shared" si="27"/>
        <v>0</v>
      </c>
      <c r="I47" s="181"/>
      <c r="J47" s="182"/>
      <c r="K47" s="92"/>
      <c r="L47" s="180">
        <f t="shared" si="28"/>
        <v>311.66883131836522</v>
      </c>
      <c r="M47" s="92"/>
      <c r="N47" s="92"/>
      <c r="O47" s="92"/>
      <c r="P47" s="92">
        <v>0</v>
      </c>
      <c r="Q47" s="92"/>
      <c r="R47" s="92"/>
      <c r="S47" s="92"/>
      <c r="T47" s="92"/>
      <c r="U47" s="92">
        <v>311.66883131836522</v>
      </c>
      <c r="V47" s="92"/>
      <c r="W47" s="183"/>
      <c r="X47" s="183"/>
      <c r="Y47" s="183"/>
      <c r="Z47" s="92"/>
      <c r="AA47" s="191"/>
      <c r="AB47" s="184">
        <f t="shared" si="29"/>
        <v>16.629551432337784</v>
      </c>
      <c r="AC47" s="185"/>
      <c r="AD47" s="92"/>
      <c r="AE47" s="92"/>
      <c r="AF47" s="92"/>
      <c r="AG47" s="92"/>
      <c r="AH47" s="92"/>
      <c r="AI47" s="92">
        <v>16.629551432337784</v>
      </c>
      <c r="AJ47" s="92">
        <v>0</v>
      </c>
      <c r="AK47" s="181"/>
      <c r="AL47" s="183"/>
      <c r="AM47" s="92"/>
      <c r="AN47" s="180"/>
      <c r="AO47" s="191">
        <v>5.9917730901201151E-2</v>
      </c>
      <c r="AP47" s="184"/>
      <c r="AQ47" s="91">
        <f t="shared" si="16"/>
        <v>328.3583004816042</v>
      </c>
    </row>
    <row r="48" spans="1:44" ht="12.75" customHeight="1">
      <c r="A48" s="186" t="s">
        <v>109</v>
      </c>
      <c r="B48" s="29"/>
      <c r="C48" s="30">
        <f t="shared" si="26"/>
        <v>0</v>
      </c>
      <c r="D48" s="31"/>
      <c r="E48" s="42"/>
      <c r="F48" s="33"/>
      <c r="G48" s="33"/>
      <c r="H48" s="34">
        <f t="shared" si="27"/>
        <v>0</v>
      </c>
      <c r="I48" s="35"/>
      <c r="J48" s="36"/>
      <c r="K48" s="37"/>
      <c r="L48" s="34">
        <f t="shared" si="28"/>
        <v>2019.5084707070507</v>
      </c>
      <c r="M48" s="37"/>
      <c r="N48" s="37"/>
      <c r="O48" s="37"/>
      <c r="P48" s="37">
        <v>657.24966568904267</v>
      </c>
      <c r="Q48" s="37"/>
      <c r="R48" s="37"/>
      <c r="S48" s="37"/>
      <c r="T48" s="37">
        <v>1.6291650130548303</v>
      </c>
      <c r="U48" s="37">
        <v>1360.6296400049532</v>
      </c>
      <c r="V48" s="37"/>
      <c r="W48" s="33"/>
      <c r="X48" s="33"/>
      <c r="Y48" s="33"/>
      <c r="Z48" s="37"/>
      <c r="AA48" s="40"/>
      <c r="AB48" s="38">
        <f t="shared" si="29"/>
        <v>95.860765615868175</v>
      </c>
      <c r="AC48" s="39"/>
      <c r="AD48" s="37"/>
      <c r="AE48" s="37"/>
      <c r="AF48" s="37"/>
      <c r="AG48" s="37"/>
      <c r="AH48" s="37"/>
      <c r="AI48" s="37">
        <v>73.798247937120962</v>
      </c>
      <c r="AJ48" s="37">
        <v>22.062517678747216</v>
      </c>
      <c r="AK48" s="35"/>
      <c r="AL48" s="33"/>
      <c r="AM48" s="37"/>
      <c r="AN48" s="34"/>
      <c r="AO48" s="40">
        <v>2.8725088810130739</v>
      </c>
      <c r="AP48" s="38"/>
      <c r="AQ48" s="41">
        <f t="shared" si="16"/>
        <v>2118.2417452039317</v>
      </c>
    </row>
    <row r="49" spans="1:44" ht="12.75" customHeight="1">
      <c r="A49" s="186" t="s">
        <v>110</v>
      </c>
      <c r="B49" s="29"/>
      <c r="C49" s="30">
        <f t="shared" si="26"/>
        <v>0</v>
      </c>
      <c r="D49" s="31"/>
      <c r="E49" s="42"/>
      <c r="F49" s="33"/>
      <c r="G49" s="33"/>
      <c r="H49" s="34">
        <f t="shared" si="27"/>
        <v>0</v>
      </c>
      <c r="I49" s="35"/>
      <c r="J49" s="36"/>
      <c r="K49" s="37"/>
      <c r="L49" s="34">
        <f t="shared" si="28"/>
        <v>129.76144634665545</v>
      </c>
      <c r="M49" s="37"/>
      <c r="N49" s="37"/>
      <c r="O49" s="37"/>
      <c r="P49" s="37">
        <v>7.3983748680264032</v>
      </c>
      <c r="Q49" s="37"/>
      <c r="R49" s="37"/>
      <c r="S49" s="37"/>
      <c r="T49" s="37"/>
      <c r="U49" s="37">
        <v>122.36307147862905</v>
      </c>
      <c r="V49" s="37"/>
      <c r="W49" s="33"/>
      <c r="X49" s="33"/>
      <c r="Y49" s="33"/>
      <c r="Z49" s="37"/>
      <c r="AA49" s="40"/>
      <c r="AB49" s="38">
        <f t="shared" si="29"/>
        <v>6.7772108529853696</v>
      </c>
      <c r="AC49" s="39"/>
      <c r="AD49" s="37"/>
      <c r="AE49" s="37"/>
      <c r="AF49" s="37"/>
      <c r="AG49" s="37"/>
      <c r="AH49" s="37"/>
      <c r="AI49" s="37">
        <v>6.5288626455371253</v>
      </c>
      <c r="AJ49" s="37">
        <v>0.24834820744824429</v>
      </c>
      <c r="AK49" s="35"/>
      <c r="AL49" s="33"/>
      <c r="AM49" s="37"/>
      <c r="AN49" s="34"/>
      <c r="AO49" s="40">
        <v>3.6368627119123004E-2</v>
      </c>
      <c r="AP49" s="38"/>
      <c r="AQ49" s="41">
        <f t="shared" si="16"/>
        <v>136.57502582675994</v>
      </c>
    </row>
    <row r="50" spans="1:44" ht="12.75" customHeight="1">
      <c r="A50" s="186" t="s">
        <v>111</v>
      </c>
      <c r="B50" s="29"/>
      <c r="C50" s="30">
        <f t="shared" si="26"/>
        <v>0</v>
      </c>
      <c r="D50" s="31"/>
      <c r="E50" s="42"/>
      <c r="F50" s="33"/>
      <c r="G50" s="33"/>
      <c r="H50" s="34">
        <f t="shared" si="27"/>
        <v>0</v>
      </c>
      <c r="I50" s="35"/>
      <c r="J50" s="36"/>
      <c r="K50" s="37"/>
      <c r="L50" s="34">
        <f t="shared" si="28"/>
        <v>39.810128252916314</v>
      </c>
      <c r="M50" s="37"/>
      <c r="N50" s="37"/>
      <c r="O50" s="37"/>
      <c r="P50" s="37"/>
      <c r="Q50" s="37"/>
      <c r="R50" s="210"/>
      <c r="S50" s="37"/>
      <c r="T50" s="37"/>
      <c r="U50" s="37">
        <v>39.810128252916314</v>
      </c>
      <c r="V50" s="37"/>
      <c r="W50" s="33"/>
      <c r="X50" s="33"/>
      <c r="Y50" s="33"/>
      <c r="Z50" s="37"/>
      <c r="AA50" s="40"/>
      <c r="AB50" s="38">
        <f t="shared" si="29"/>
        <v>0</v>
      </c>
      <c r="AC50" s="39"/>
      <c r="AD50" s="37"/>
      <c r="AE50" s="37"/>
      <c r="AF50" s="37"/>
      <c r="AG50" s="37"/>
      <c r="AH50" s="37"/>
      <c r="AI50" s="37">
        <v>0</v>
      </c>
      <c r="AJ50" s="37"/>
      <c r="AK50" s="35"/>
      <c r="AL50" s="33"/>
      <c r="AM50" s="37"/>
      <c r="AN50" s="34"/>
      <c r="AO50" s="40">
        <v>4.4570795356835768</v>
      </c>
      <c r="AP50" s="38"/>
      <c r="AQ50" s="41">
        <f t="shared" si="16"/>
        <v>44.26720778859989</v>
      </c>
    </row>
    <row r="51" spans="1:44" ht="12.75" customHeight="1">
      <c r="A51" s="186" t="s">
        <v>112</v>
      </c>
      <c r="B51" s="29"/>
      <c r="C51" s="30">
        <f t="shared" si="26"/>
        <v>0</v>
      </c>
      <c r="D51" s="31"/>
      <c r="E51" s="42"/>
      <c r="F51" s="33"/>
      <c r="G51" s="33"/>
      <c r="H51" s="34">
        <f t="shared" si="27"/>
        <v>0</v>
      </c>
      <c r="I51" s="35"/>
      <c r="J51" s="36"/>
      <c r="K51" s="37"/>
      <c r="L51" s="34">
        <f t="shared" si="28"/>
        <v>5.9575215534131685</v>
      </c>
      <c r="M51" s="37"/>
      <c r="N51" s="37"/>
      <c r="O51" s="37"/>
      <c r="P51" s="37">
        <v>0.74865555555555552</v>
      </c>
      <c r="Q51" s="37"/>
      <c r="R51" s="37">
        <v>5.2088659978576128</v>
      </c>
      <c r="S51" s="37"/>
      <c r="T51" s="37"/>
      <c r="U51" s="37"/>
      <c r="V51" s="37"/>
      <c r="W51" s="33"/>
      <c r="X51" s="33"/>
      <c r="Y51" s="33"/>
      <c r="Z51" s="37"/>
      <c r="AA51" s="40"/>
      <c r="AB51" s="38">
        <f t="shared" si="29"/>
        <v>0</v>
      </c>
      <c r="AC51" s="39"/>
      <c r="AD51" s="37"/>
      <c r="AE51" s="37"/>
      <c r="AF51" s="37"/>
      <c r="AG51" s="37"/>
      <c r="AH51" s="37"/>
      <c r="AI51" s="210">
        <v>0</v>
      </c>
      <c r="AJ51" s="37"/>
      <c r="AK51" s="35"/>
      <c r="AL51" s="33"/>
      <c r="AM51" s="37"/>
      <c r="AN51" s="34"/>
      <c r="AO51" s="40"/>
      <c r="AP51" s="38"/>
      <c r="AQ51" s="41">
        <f t="shared" si="16"/>
        <v>5.9575215534131685</v>
      </c>
    </row>
    <row r="52" spans="1:44" ht="12.75" customHeight="1">
      <c r="A52" s="186" t="s">
        <v>113</v>
      </c>
      <c r="B52" s="190"/>
      <c r="C52" s="211">
        <f t="shared" si="26"/>
        <v>0</v>
      </c>
      <c r="D52" s="210"/>
      <c r="E52" s="210"/>
      <c r="F52" s="212"/>
      <c r="G52" s="212"/>
      <c r="H52" s="213">
        <f t="shared" si="27"/>
        <v>0</v>
      </c>
      <c r="I52" s="214"/>
      <c r="J52" s="215"/>
      <c r="K52" s="210"/>
      <c r="L52" s="213">
        <f t="shared" si="28"/>
        <v>1110.4449106815823</v>
      </c>
      <c r="M52" s="210"/>
      <c r="N52" s="210"/>
      <c r="O52" s="210"/>
      <c r="P52" s="92"/>
      <c r="Q52" s="210"/>
      <c r="R52" s="210">
        <v>1110.4449106815823</v>
      </c>
      <c r="S52" s="210"/>
      <c r="T52" s="210"/>
      <c r="U52" s="210"/>
      <c r="V52" s="210"/>
      <c r="W52" s="212"/>
      <c r="X52" s="212"/>
      <c r="Y52" s="212"/>
      <c r="Z52" s="210"/>
      <c r="AA52" s="191"/>
      <c r="AB52" s="216">
        <f t="shared" si="29"/>
        <v>0</v>
      </c>
      <c r="AC52" s="217"/>
      <c r="AD52" s="210"/>
      <c r="AE52" s="210"/>
      <c r="AF52" s="210"/>
      <c r="AG52" s="210"/>
      <c r="AH52" s="210"/>
      <c r="AI52" s="210">
        <v>0</v>
      </c>
      <c r="AJ52" s="210"/>
      <c r="AK52" s="181"/>
      <c r="AL52" s="183"/>
      <c r="AM52" s="210"/>
      <c r="AN52" s="191"/>
      <c r="AO52" s="191"/>
      <c r="AP52" s="216"/>
      <c r="AQ52" s="218">
        <f t="shared" si="16"/>
        <v>1110.4449106815823</v>
      </c>
    </row>
    <row r="53" spans="1:44" ht="12.75" customHeight="1">
      <c r="A53" s="186" t="s">
        <v>114</v>
      </c>
      <c r="B53" s="190"/>
      <c r="C53" s="211">
        <f t="shared" si="26"/>
        <v>0</v>
      </c>
      <c r="D53" s="214"/>
      <c r="E53" s="210"/>
      <c r="F53" s="212"/>
      <c r="G53" s="212"/>
      <c r="H53" s="213">
        <f t="shared" si="27"/>
        <v>0</v>
      </c>
      <c r="I53" s="214"/>
      <c r="J53" s="215"/>
      <c r="K53" s="210"/>
      <c r="L53" s="213">
        <f t="shared" si="28"/>
        <v>236.14884214225046</v>
      </c>
      <c r="M53" s="210"/>
      <c r="N53" s="210"/>
      <c r="O53" s="210"/>
      <c r="P53" s="210">
        <v>3.0020492303501403</v>
      </c>
      <c r="Q53" s="210"/>
      <c r="R53" s="210"/>
      <c r="S53" s="210"/>
      <c r="T53" s="210"/>
      <c r="U53" s="210">
        <v>233.14679291190032</v>
      </c>
      <c r="V53" s="210"/>
      <c r="W53" s="212"/>
      <c r="X53" s="212"/>
      <c r="Y53" s="212"/>
      <c r="Z53" s="210"/>
      <c r="AA53" s="191"/>
      <c r="AB53" s="216">
        <f t="shared" si="29"/>
        <v>12.540664554295883</v>
      </c>
      <c r="AC53" s="217"/>
      <c r="AD53" s="210"/>
      <c r="AE53" s="210"/>
      <c r="AF53" s="210"/>
      <c r="AG53" s="210"/>
      <c r="AH53" s="210"/>
      <c r="AI53" s="37">
        <v>12.439891944320292</v>
      </c>
      <c r="AJ53" s="37">
        <v>0.10077260997559095</v>
      </c>
      <c r="AK53" s="210"/>
      <c r="AL53" s="210"/>
      <c r="AM53" s="210"/>
      <c r="AN53" s="191"/>
      <c r="AO53" s="40"/>
      <c r="AP53" s="216"/>
      <c r="AQ53" s="218">
        <f t="shared" si="16"/>
        <v>248.68950669654635</v>
      </c>
    </row>
    <row r="54" spans="1:44" ht="12.75" customHeight="1">
      <c r="A54" s="28" t="s">
        <v>115</v>
      </c>
      <c r="B54" s="29"/>
      <c r="C54" s="211">
        <f t="shared" si="26"/>
        <v>0</v>
      </c>
      <c r="D54" s="214"/>
      <c r="E54" s="210"/>
      <c r="F54" s="212"/>
      <c r="G54" s="212"/>
      <c r="H54" s="213">
        <f t="shared" si="27"/>
        <v>0</v>
      </c>
      <c r="I54" s="214"/>
      <c r="J54" s="215"/>
      <c r="K54" s="210"/>
      <c r="L54" s="213">
        <f t="shared" si="28"/>
        <v>89.371637180087745</v>
      </c>
      <c r="M54" s="210"/>
      <c r="N54" s="210"/>
      <c r="O54" s="210"/>
      <c r="P54" s="210"/>
      <c r="Q54" s="210"/>
      <c r="R54" s="210"/>
      <c r="S54" s="210"/>
      <c r="T54" s="210"/>
      <c r="U54" s="210">
        <v>89.371637180087745</v>
      </c>
      <c r="V54" s="210"/>
      <c r="W54" s="212"/>
      <c r="X54" s="212"/>
      <c r="Y54" s="212"/>
      <c r="Z54" s="210"/>
      <c r="AA54" s="143"/>
      <c r="AB54" s="216">
        <f t="shared" si="29"/>
        <v>0</v>
      </c>
      <c r="AC54" s="217"/>
      <c r="AD54" s="210"/>
      <c r="AE54" s="210"/>
      <c r="AF54" s="210"/>
      <c r="AG54" s="210"/>
      <c r="AH54" s="210"/>
      <c r="AI54" s="210">
        <v>0</v>
      </c>
      <c r="AJ54" s="210"/>
      <c r="AK54" s="210"/>
      <c r="AL54" s="210"/>
      <c r="AM54" s="210"/>
      <c r="AN54" s="143"/>
      <c r="AO54" s="191"/>
      <c r="AP54" s="216"/>
      <c r="AQ54" s="218">
        <f t="shared" si="16"/>
        <v>89.371637180087745</v>
      </c>
    </row>
    <row r="55" spans="1:44" ht="12.75" customHeight="1">
      <c r="A55" s="93" t="s">
        <v>116</v>
      </c>
      <c r="B55" s="94"/>
      <c r="C55" s="95">
        <f t="shared" si="26"/>
        <v>0</v>
      </c>
      <c r="D55" s="219"/>
      <c r="E55" s="220"/>
      <c r="F55" s="98"/>
      <c r="G55" s="98"/>
      <c r="H55" s="99">
        <f t="shared" si="27"/>
        <v>0</v>
      </c>
      <c r="I55" s="96"/>
      <c r="J55" s="100"/>
      <c r="K55" s="97"/>
      <c r="L55" s="99">
        <f t="shared" si="28"/>
        <v>370.66447592634904</v>
      </c>
      <c r="M55" s="97"/>
      <c r="N55" s="97"/>
      <c r="O55" s="97"/>
      <c r="P55" s="97">
        <v>112.52733594744195</v>
      </c>
      <c r="Q55" s="97"/>
      <c r="R55" s="97"/>
      <c r="S55" s="97">
        <v>0</v>
      </c>
      <c r="T55" s="97"/>
      <c r="U55" s="97">
        <v>258.1371399789071</v>
      </c>
      <c r="V55" s="97"/>
      <c r="W55" s="98"/>
      <c r="X55" s="98"/>
      <c r="Y55" s="98"/>
      <c r="Z55" s="97"/>
      <c r="AA55" s="103">
        <v>17.014473760877838</v>
      </c>
      <c r="AB55" s="101">
        <f t="shared" si="29"/>
        <v>17.550599790080483</v>
      </c>
      <c r="AC55" s="102"/>
      <c r="AD55" s="97"/>
      <c r="AE55" s="97"/>
      <c r="AF55" s="97"/>
      <c r="AG55" s="97"/>
      <c r="AH55" s="97"/>
      <c r="AI55" s="97">
        <v>13.773288871131538</v>
      </c>
      <c r="AJ55" s="97">
        <v>3.7773109189489458</v>
      </c>
      <c r="AK55" s="96"/>
      <c r="AL55" s="98"/>
      <c r="AM55" s="97"/>
      <c r="AN55" s="99"/>
      <c r="AO55" s="103"/>
      <c r="AP55" s="101"/>
      <c r="AQ55" s="104">
        <f t="shared" si="16"/>
        <v>405.22954947730733</v>
      </c>
    </row>
    <row r="56" spans="1:44" s="65" customFormat="1" ht="12.75" customHeight="1">
      <c r="A56" s="221" t="s">
        <v>117</v>
      </c>
      <c r="B56" s="222"/>
      <c r="C56" s="223">
        <f t="shared" si="26"/>
        <v>186.05143349687572</v>
      </c>
      <c r="D56" s="224">
        <v>88.723130292204957</v>
      </c>
      <c r="E56" s="32">
        <v>88.25682664721495</v>
      </c>
      <c r="F56" s="225"/>
      <c r="G56" s="225">
        <v>9.0714765574558189</v>
      </c>
      <c r="H56" s="226">
        <f t="shared" si="27"/>
        <v>183.49320499999999</v>
      </c>
      <c r="I56" s="224"/>
      <c r="J56" s="227">
        <v>127.70399999999999</v>
      </c>
      <c r="K56" s="115">
        <v>55.789205000000003</v>
      </c>
      <c r="L56" s="226">
        <f t="shared" si="28"/>
        <v>1151.0281508281573</v>
      </c>
      <c r="M56" s="115"/>
      <c r="N56" s="115"/>
      <c r="O56" s="115"/>
      <c r="P56" s="115">
        <v>0</v>
      </c>
      <c r="Q56" s="115">
        <v>851.16694502968824</v>
      </c>
      <c r="R56" s="115"/>
      <c r="S56" s="115">
        <v>0</v>
      </c>
      <c r="T56" s="115">
        <v>50.020612917840218</v>
      </c>
      <c r="U56" s="115">
        <v>246.35703632143318</v>
      </c>
      <c r="V56" s="115">
        <v>3.48355655919572</v>
      </c>
      <c r="W56" s="225"/>
      <c r="X56" s="225"/>
      <c r="Y56" s="225"/>
      <c r="Z56" s="115"/>
      <c r="AA56" s="226">
        <v>591.47065814995699</v>
      </c>
      <c r="AB56" s="228">
        <f t="shared" si="29"/>
        <v>64.846278408715193</v>
      </c>
      <c r="AC56" s="229"/>
      <c r="AD56" s="115"/>
      <c r="AE56" s="115">
        <v>26.574372944072671</v>
      </c>
      <c r="AF56" s="115"/>
      <c r="AG56" s="115"/>
      <c r="AH56" s="115"/>
      <c r="AI56" s="115"/>
      <c r="AJ56" s="115"/>
      <c r="AK56" s="224"/>
      <c r="AL56" s="225">
        <v>13.526682510324193</v>
      </c>
      <c r="AM56" s="115">
        <v>24.745222954318333</v>
      </c>
      <c r="AN56" s="226"/>
      <c r="AO56" s="226">
        <v>696.99094837317045</v>
      </c>
      <c r="AP56" s="228"/>
      <c r="AQ56" s="116">
        <f t="shared" si="16"/>
        <v>2873.8806742568754</v>
      </c>
      <c r="AR56" s="11"/>
    </row>
    <row r="57" spans="1:44" s="65" customFormat="1" ht="12.75" customHeight="1">
      <c r="A57" s="221" t="s">
        <v>118</v>
      </c>
      <c r="B57" s="222"/>
      <c r="C57" s="223">
        <f>C58+C65</f>
        <v>0.45393172932330828</v>
      </c>
      <c r="D57" s="115">
        <f t="shared" ref="D57:AP57" si="30">D58+D65</f>
        <v>0.45393172932330828</v>
      </c>
      <c r="E57" s="115">
        <f t="shared" si="30"/>
        <v>0</v>
      </c>
      <c r="F57" s="225">
        <f t="shared" si="30"/>
        <v>0</v>
      </c>
      <c r="G57" s="225">
        <f t="shared" si="30"/>
        <v>0</v>
      </c>
      <c r="H57" s="226">
        <f t="shared" si="30"/>
        <v>0</v>
      </c>
      <c r="I57" s="224">
        <f t="shared" si="30"/>
        <v>0</v>
      </c>
      <c r="J57" s="224">
        <f t="shared" si="30"/>
        <v>0</v>
      </c>
      <c r="K57" s="224">
        <f t="shared" si="30"/>
        <v>0</v>
      </c>
      <c r="L57" s="226">
        <f t="shared" si="30"/>
        <v>209.31054183511148</v>
      </c>
      <c r="M57" s="115">
        <f t="shared" si="30"/>
        <v>0</v>
      </c>
      <c r="N57" s="115">
        <f t="shared" si="30"/>
        <v>0</v>
      </c>
      <c r="O57" s="115">
        <f t="shared" si="30"/>
        <v>0</v>
      </c>
      <c r="P57" s="115">
        <f t="shared" si="30"/>
        <v>0</v>
      </c>
      <c r="Q57" s="115">
        <f t="shared" si="30"/>
        <v>53.013999999999996</v>
      </c>
      <c r="R57" s="115">
        <f t="shared" si="30"/>
        <v>0</v>
      </c>
      <c r="S57" s="115">
        <f t="shared" si="30"/>
        <v>0.2093031229578676</v>
      </c>
      <c r="T57" s="115">
        <f t="shared" si="30"/>
        <v>65.963238712153597</v>
      </c>
      <c r="U57" s="115">
        <f t="shared" si="30"/>
        <v>90.124000000000009</v>
      </c>
      <c r="V57" s="115">
        <f t="shared" si="30"/>
        <v>0</v>
      </c>
      <c r="W57" s="225">
        <f t="shared" si="30"/>
        <v>0</v>
      </c>
      <c r="X57" s="225">
        <f t="shared" si="30"/>
        <v>0</v>
      </c>
      <c r="Y57" s="225">
        <f t="shared" si="30"/>
        <v>0</v>
      </c>
      <c r="Z57" s="224">
        <f t="shared" si="30"/>
        <v>0</v>
      </c>
      <c r="AA57" s="226">
        <f t="shared" si="30"/>
        <v>362.43539307079561</v>
      </c>
      <c r="AB57" s="228">
        <f t="shared" si="30"/>
        <v>39.986046097960639</v>
      </c>
      <c r="AC57" s="229">
        <f t="shared" si="30"/>
        <v>0</v>
      </c>
      <c r="AD57" s="115">
        <f t="shared" si="30"/>
        <v>0</v>
      </c>
      <c r="AE57" s="115">
        <f t="shared" si="30"/>
        <v>15.47921620608545</v>
      </c>
      <c r="AF57" s="115">
        <f t="shared" si="30"/>
        <v>0</v>
      </c>
      <c r="AG57" s="115">
        <f t="shared" si="30"/>
        <v>0</v>
      </c>
      <c r="AH57" s="115">
        <f t="shared" si="30"/>
        <v>6.3115405120353847</v>
      </c>
      <c r="AI57" s="115">
        <f t="shared" si="30"/>
        <v>0</v>
      </c>
      <c r="AJ57" s="115">
        <f t="shared" si="30"/>
        <v>0</v>
      </c>
      <c r="AK57" s="115">
        <f t="shared" si="30"/>
        <v>0</v>
      </c>
      <c r="AL57" s="115">
        <f t="shared" si="30"/>
        <v>0.16652666142046427</v>
      </c>
      <c r="AM57" s="224">
        <f t="shared" si="30"/>
        <v>18.028762718419333</v>
      </c>
      <c r="AN57" s="226">
        <f t="shared" si="30"/>
        <v>0</v>
      </c>
      <c r="AO57" s="226">
        <f t="shared" si="30"/>
        <v>1126.6851004855082</v>
      </c>
      <c r="AP57" s="228">
        <f t="shared" si="30"/>
        <v>0</v>
      </c>
      <c r="AQ57" s="230">
        <f t="shared" si="16"/>
        <v>1738.8710132186993</v>
      </c>
      <c r="AR57" s="11"/>
    </row>
    <row r="58" spans="1:44" s="65" customFormat="1" ht="12.75" customHeight="1">
      <c r="A58" s="221" t="s">
        <v>119</v>
      </c>
      <c r="B58" s="222"/>
      <c r="C58" s="223">
        <f t="shared" si="26"/>
        <v>0.45093218045112782</v>
      </c>
      <c r="D58" s="229">
        <v>0.45093218045112782</v>
      </c>
      <c r="E58" s="228">
        <v>0</v>
      </c>
      <c r="F58" s="228">
        <f>SUM(F59:F64)</f>
        <v>0</v>
      </c>
      <c r="G58" s="231">
        <v>0</v>
      </c>
      <c r="H58" s="226">
        <f t="shared" si="27"/>
        <v>0</v>
      </c>
      <c r="I58" s="224">
        <f>SUM(I59:I64)</f>
        <v>0</v>
      </c>
      <c r="J58" s="232">
        <f>SUM(J59:J64)</f>
        <v>0</v>
      </c>
      <c r="K58" s="224">
        <f>SUM(K59:K64)</f>
        <v>0</v>
      </c>
      <c r="L58" s="226">
        <f t="shared" si="28"/>
        <v>104.03858812460805</v>
      </c>
      <c r="M58" s="115">
        <f t="shared" ref="M58:AJ58" si="31">SUM(M59:M64)</f>
        <v>0</v>
      </c>
      <c r="N58" s="225">
        <f t="shared" si="31"/>
        <v>0</v>
      </c>
      <c r="O58" s="225">
        <f t="shared" si="31"/>
        <v>0</v>
      </c>
      <c r="P58" s="228">
        <f t="shared" si="31"/>
        <v>0</v>
      </c>
      <c r="Q58" s="228">
        <v>15.784999999999998</v>
      </c>
      <c r="R58" s="228">
        <f t="shared" si="31"/>
        <v>0</v>
      </c>
      <c r="S58" s="228">
        <v>0</v>
      </c>
      <c r="T58" s="228">
        <v>46.319588124608053</v>
      </c>
      <c r="U58" s="228">
        <v>41.934000000000005</v>
      </c>
      <c r="V58" s="228">
        <f t="shared" si="31"/>
        <v>0</v>
      </c>
      <c r="W58" s="228">
        <f t="shared" si="31"/>
        <v>0</v>
      </c>
      <c r="X58" s="228">
        <f t="shared" si="31"/>
        <v>0</v>
      </c>
      <c r="Y58" s="225">
        <f t="shared" si="31"/>
        <v>0</v>
      </c>
      <c r="Z58" s="224">
        <f t="shared" si="31"/>
        <v>0</v>
      </c>
      <c r="AA58" s="226">
        <v>197.92412456269034</v>
      </c>
      <c r="AB58" s="228">
        <f t="shared" ref="AB58:AB71" si="32">SUM(AC58:AM58)</f>
        <v>25.870623671679191</v>
      </c>
      <c r="AC58" s="229">
        <f t="shared" si="31"/>
        <v>0</v>
      </c>
      <c r="AD58" s="115">
        <f t="shared" si="31"/>
        <v>0</v>
      </c>
      <c r="AE58" s="115">
        <f>SUM(AE59:AE64)</f>
        <v>6.8026778477771002</v>
      </c>
      <c r="AF58" s="115"/>
      <c r="AG58" s="115">
        <f t="shared" si="31"/>
        <v>0</v>
      </c>
      <c r="AH58" s="115">
        <f t="shared" si="31"/>
        <v>0.87265644406229104</v>
      </c>
      <c r="AI58" s="115">
        <f t="shared" si="31"/>
        <v>0</v>
      </c>
      <c r="AJ58" s="115">
        <f t="shared" si="31"/>
        <v>0</v>
      </c>
      <c r="AK58" s="115"/>
      <c r="AL58" s="115">
        <v>0.16652666142046427</v>
      </c>
      <c r="AM58" s="225">
        <v>18.028762718419333</v>
      </c>
      <c r="AN58" s="226">
        <f t="shared" ref="AN58" si="33">SUM(AN59:AN64)</f>
        <v>0</v>
      </c>
      <c r="AO58" s="226">
        <v>825.53667111241828</v>
      </c>
      <c r="AP58" s="228">
        <f t="shared" ref="AP58" si="34">SUM(AP59:AP64)</f>
        <v>0</v>
      </c>
      <c r="AQ58" s="230">
        <f t="shared" si="16"/>
        <v>1153.8209396518471</v>
      </c>
      <c r="AR58" s="11"/>
    </row>
    <row r="59" spans="1:44" s="65" customFormat="1" ht="12.75" customHeight="1">
      <c r="A59" s="28" t="s">
        <v>120</v>
      </c>
      <c r="B59" s="233" t="s">
        <v>121</v>
      </c>
      <c r="C59" s="82">
        <f t="shared" si="26"/>
        <v>0</v>
      </c>
      <c r="D59" s="39">
        <v>0</v>
      </c>
      <c r="E59" s="88"/>
      <c r="F59" s="88"/>
      <c r="G59" s="131"/>
      <c r="H59" s="86">
        <f t="shared" si="27"/>
        <v>0</v>
      </c>
      <c r="I59" s="206"/>
      <c r="J59" s="234"/>
      <c r="K59" s="206"/>
      <c r="L59" s="86">
        <f t="shared" si="28"/>
        <v>28.217154557820688</v>
      </c>
      <c r="M59" s="133"/>
      <c r="N59" s="235"/>
      <c r="O59" s="235"/>
      <c r="P59" s="88"/>
      <c r="Q59" s="188">
        <v>6.05</v>
      </c>
      <c r="R59" s="88"/>
      <c r="S59" s="188">
        <v>0</v>
      </c>
      <c r="T59" s="188">
        <v>12.370154557820687</v>
      </c>
      <c r="U59" s="188">
        <v>9.7970000000000006</v>
      </c>
      <c r="V59" s="188">
        <v>0</v>
      </c>
      <c r="W59" s="88"/>
      <c r="X59" s="88"/>
      <c r="Y59" s="235"/>
      <c r="Z59" s="206"/>
      <c r="AA59" s="40">
        <v>44.767187129122107</v>
      </c>
      <c r="AB59" s="88">
        <f t="shared" si="32"/>
        <v>2.2200294839561772</v>
      </c>
      <c r="AC59" s="236"/>
      <c r="AD59" s="133"/>
      <c r="AE59" s="84">
        <v>2.2200294839561772</v>
      </c>
      <c r="AF59" s="84"/>
      <c r="AG59" s="84"/>
      <c r="AH59" s="84">
        <v>0</v>
      </c>
      <c r="AI59" s="84">
        <v>0</v>
      </c>
      <c r="AJ59" s="84"/>
      <c r="AK59" s="84"/>
      <c r="AL59" s="84">
        <v>0</v>
      </c>
      <c r="AM59" s="85">
        <v>0</v>
      </c>
      <c r="AN59" s="86"/>
      <c r="AO59" s="40">
        <v>224.92740762560445</v>
      </c>
      <c r="AP59" s="88"/>
      <c r="AQ59" s="117">
        <f t="shared" si="16"/>
        <v>300.13177879650345</v>
      </c>
      <c r="AR59" s="11"/>
    </row>
    <row r="60" spans="1:44" s="65" customFormat="1" ht="12.75" customHeight="1">
      <c r="A60" s="28" t="s">
        <v>122</v>
      </c>
      <c r="B60" s="233" t="s">
        <v>123</v>
      </c>
      <c r="C60" s="30">
        <f t="shared" si="26"/>
        <v>5.9990977443609029E-3</v>
      </c>
      <c r="D60" s="39">
        <v>5.9990977443609029E-3</v>
      </c>
      <c r="E60" s="38"/>
      <c r="F60" s="38"/>
      <c r="G60" s="237"/>
      <c r="H60" s="34">
        <f t="shared" si="27"/>
        <v>0</v>
      </c>
      <c r="I60" s="31"/>
      <c r="J60" s="238"/>
      <c r="K60" s="31"/>
      <c r="L60" s="34">
        <f t="shared" si="28"/>
        <v>19.983747719663036</v>
      </c>
      <c r="M60" s="42"/>
      <c r="N60" s="32"/>
      <c r="O60" s="32"/>
      <c r="P60" s="38"/>
      <c r="Q60" s="188">
        <v>1.38</v>
      </c>
      <c r="R60" s="38"/>
      <c r="S60" s="188">
        <v>0</v>
      </c>
      <c r="T60" s="188">
        <v>3.3337477196630378</v>
      </c>
      <c r="U60" s="188">
        <v>15.27</v>
      </c>
      <c r="V60" s="188">
        <v>0</v>
      </c>
      <c r="W60" s="38"/>
      <c r="X60" s="38"/>
      <c r="Y60" s="32"/>
      <c r="Z60" s="31"/>
      <c r="AA60" s="40">
        <v>19.626452710111227</v>
      </c>
      <c r="AB60" s="38">
        <f t="shared" si="32"/>
        <v>0.16453682079385096</v>
      </c>
      <c r="AC60" s="239"/>
      <c r="AD60" s="42"/>
      <c r="AE60" s="37">
        <v>0.16453682079385096</v>
      </c>
      <c r="AF60" s="37"/>
      <c r="AG60" s="37"/>
      <c r="AH60" s="37">
        <v>0</v>
      </c>
      <c r="AI60" s="37">
        <v>0</v>
      </c>
      <c r="AJ60" s="37"/>
      <c r="AK60" s="37"/>
      <c r="AL60" s="37">
        <v>0</v>
      </c>
      <c r="AM60" s="33">
        <v>0</v>
      </c>
      <c r="AN60" s="34"/>
      <c r="AO60" s="40">
        <v>64.466748147953197</v>
      </c>
      <c r="AP60" s="38"/>
      <c r="AQ60" s="41">
        <f t="shared" si="16"/>
        <v>104.24748449626567</v>
      </c>
      <c r="AR60" s="11"/>
    </row>
    <row r="61" spans="1:44" s="65" customFormat="1" ht="12.75" customHeight="1">
      <c r="A61" s="28" t="s">
        <v>124</v>
      </c>
      <c r="B61" s="233" t="s">
        <v>125</v>
      </c>
      <c r="C61" s="30">
        <f t="shared" si="26"/>
        <v>0.4279356390977444</v>
      </c>
      <c r="D61" s="39">
        <v>0.4279356390977444</v>
      </c>
      <c r="E61" s="38"/>
      <c r="F61" s="38"/>
      <c r="G61" s="237"/>
      <c r="H61" s="34">
        <f t="shared" si="27"/>
        <v>0</v>
      </c>
      <c r="I61" s="31"/>
      <c r="J61" s="238"/>
      <c r="K61" s="31"/>
      <c r="L61" s="34">
        <f t="shared" si="28"/>
        <v>31.461759635982709</v>
      </c>
      <c r="M61" s="42"/>
      <c r="N61" s="32"/>
      <c r="O61" s="32"/>
      <c r="P61" s="38"/>
      <c r="Q61" s="188">
        <v>4.0309999999999997</v>
      </c>
      <c r="R61" s="38"/>
      <c r="S61" s="188">
        <v>0</v>
      </c>
      <c r="T61" s="188">
        <v>23.130759635982709</v>
      </c>
      <c r="U61" s="188">
        <v>4.3</v>
      </c>
      <c r="V61" s="188">
        <v>0</v>
      </c>
      <c r="W61" s="38"/>
      <c r="X61" s="38"/>
      <c r="Y61" s="32"/>
      <c r="Z61" s="31"/>
      <c r="AA61" s="40">
        <v>37.036846467736169</v>
      </c>
      <c r="AB61" s="38">
        <f t="shared" si="32"/>
        <v>2.4053962924829642</v>
      </c>
      <c r="AC61" s="239"/>
      <c r="AD61" s="42"/>
      <c r="AE61" s="37">
        <v>2.4053962924829642</v>
      </c>
      <c r="AF61" s="37"/>
      <c r="AG61" s="37"/>
      <c r="AH61" s="37">
        <v>0</v>
      </c>
      <c r="AI61" s="37">
        <v>0</v>
      </c>
      <c r="AJ61" s="37"/>
      <c r="AK61" s="37"/>
      <c r="AL61" s="37">
        <v>0</v>
      </c>
      <c r="AM61" s="33">
        <v>0</v>
      </c>
      <c r="AN61" s="34"/>
      <c r="AO61" s="40">
        <v>109.57590542673883</v>
      </c>
      <c r="AP61" s="38"/>
      <c r="AQ61" s="41">
        <f t="shared" si="16"/>
        <v>180.90784346203841</v>
      </c>
      <c r="AR61" s="11"/>
    </row>
    <row r="62" spans="1:44" s="65" customFormat="1" ht="12.75" customHeight="1">
      <c r="A62" s="28" t="s">
        <v>126</v>
      </c>
      <c r="B62" s="233" t="s">
        <v>127</v>
      </c>
      <c r="C62" s="30">
        <f t="shared" si="26"/>
        <v>1.2998045112781954E-2</v>
      </c>
      <c r="D62" s="39">
        <v>1.2998045112781954E-2</v>
      </c>
      <c r="E62" s="38"/>
      <c r="F62" s="38"/>
      <c r="G62" s="237"/>
      <c r="H62" s="34">
        <f t="shared" si="27"/>
        <v>0</v>
      </c>
      <c r="I62" s="31"/>
      <c r="J62" s="238"/>
      <c r="K62" s="31"/>
      <c r="L62" s="34">
        <f t="shared" si="28"/>
        <v>3.8840649888802581</v>
      </c>
      <c r="M62" s="42"/>
      <c r="N62" s="32"/>
      <c r="O62" s="32"/>
      <c r="P62" s="38"/>
      <c r="Q62" s="188">
        <v>0.57999999999999996</v>
      </c>
      <c r="R62" s="38"/>
      <c r="S62" s="188">
        <v>0</v>
      </c>
      <c r="T62" s="188">
        <v>1.1360649888802579</v>
      </c>
      <c r="U62" s="188">
        <v>2.1680000000000001</v>
      </c>
      <c r="V62" s="188">
        <v>0</v>
      </c>
      <c r="W62" s="38"/>
      <c r="X62" s="38"/>
      <c r="Y62" s="32"/>
      <c r="Z62" s="31"/>
      <c r="AA62" s="40">
        <v>17.784397397871047</v>
      </c>
      <c r="AB62" s="38">
        <f t="shared" si="32"/>
        <v>0.21459468380369434</v>
      </c>
      <c r="AC62" s="239"/>
      <c r="AD62" s="42"/>
      <c r="AE62" s="37">
        <v>0.21459468380369434</v>
      </c>
      <c r="AF62" s="37"/>
      <c r="AG62" s="37"/>
      <c r="AH62" s="37">
        <v>0</v>
      </c>
      <c r="AI62" s="37">
        <v>0</v>
      </c>
      <c r="AJ62" s="37"/>
      <c r="AK62" s="37"/>
      <c r="AL62" s="37">
        <v>0</v>
      </c>
      <c r="AM62" s="33">
        <v>0</v>
      </c>
      <c r="AN62" s="34"/>
      <c r="AO62" s="40">
        <v>287.24759958926154</v>
      </c>
      <c r="AP62" s="38"/>
      <c r="AQ62" s="41">
        <f t="shared" si="16"/>
        <v>309.1436547049293</v>
      </c>
      <c r="AR62" s="11"/>
    </row>
    <row r="63" spans="1:44" s="65" customFormat="1" ht="12.75" customHeight="1">
      <c r="A63" s="28" t="s">
        <v>128</v>
      </c>
      <c r="B63" s="233" t="s">
        <v>129</v>
      </c>
      <c r="C63" s="30">
        <f t="shared" si="26"/>
        <v>3.9993984962406011E-3</v>
      </c>
      <c r="D63" s="217">
        <v>3.9993984962406011E-3</v>
      </c>
      <c r="E63" s="38"/>
      <c r="F63" s="38"/>
      <c r="G63" s="237"/>
      <c r="H63" s="34">
        <f t="shared" si="27"/>
        <v>0</v>
      </c>
      <c r="I63" s="31"/>
      <c r="J63" s="238"/>
      <c r="K63" s="31"/>
      <c r="L63" s="34">
        <f t="shared" si="28"/>
        <v>1.5296487603457141</v>
      </c>
      <c r="M63" s="42"/>
      <c r="N63" s="32"/>
      <c r="O63" s="32"/>
      <c r="P63" s="38"/>
      <c r="Q63" s="240">
        <v>0.95499999999999996</v>
      </c>
      <c r="R63" s="38"/>
      <c r="S63" s="240">
        <v>0</v>
      </c>
      <c r="T63" s="240">
        <v>0.1146487603457141</v>
      </c>
      <c r="U63" s="240">
        <v>0.46</v>
      </c>
      <c r="V63" s="240">
        <v>0</v>
      </c>
      <c r="W63" s="38"/>
      <c r="X63" s="38"/>
      <c r="Y63" s="32"/>
      <c r="Z63" s="31"/>
      <c r="AA63" s="241">
        <v>6.9571667808023854</v>
      </c>
      <c r="AB63" s="38">
        <f t="shared" si="32"/>
        <v>4.6014795980120638E-3</v>
      </c>
      <c r="AC63" s="239"/>
      <c r="AD63" s="42"/>
      <c r="AE63" s="37">
        <v>4.6014795980120638E-3</v>
      </c>
      <c r="AF63" s="37"/>
      <c r="AG63" s="37"/>
      <c r="AH63" s="37">
        <v>0</v>
      </c>
      <c r="AI63" s="37">
        <v>0</v>
      </c>
      <c r="AJ63" s="37"/>
      <c r="AK63" s="37"/>
      <c r="AL63" s="37">
        <v>0</v>
      </c>
      <c r="AM63" s="33">
        <v>0</v>
      </c>
      <c r="AN63" s="34"/>
      <c r="AO63" s="241">
        <v>35.149095967640818</v>
      </c>
      <c r="AP63" s="38"/>
      <c r="AQ63" s="41">
        <f t="shared" si="16"/>
        <v>43.644512386883171</v>
      </c>
      <c r="AR63" s="11"/>
    </row>
    <row r="64" spans="1:44" ht="12.75" customHeight="1">
      <c r="A64" s="93" t="s">
        <v>130</v>
      </c>
      <c r="B64" s="242"/>
      <c r="C64" s="95">
        <f t="shared" si="26"/>
        <v>0</v>
      </c>
      <c r="D64" s="217">
        <v>0</v>
      </c>
      <c r="E64" s="101"/>
      <c r="F64" s="101"/>
      <c r="G64" s="243"/>
      <c r="H64" s="99">
        <f t="shared" si="27"/>
        <v>0</v>
      </c>
      <c r="I64" s="219"/>
      <c r="J64" s="244"/>
      <c r="K64" s="219"/>
      <c r="L64" s="99">
        <f t="shared" si="28"/>
        <v>18.962212461915648</v>
      </c>
      <c r="M64" s="220"/>
      <c r="N64" s="245"/>
      <c r="O64" s="245"/>
      <c r="P64" s="101"/>
      <c r="Q64" s="240">
        <v>2.7890000000000001</v>
      </c>
      <c r="R64" s="101"/>
      <c r="S64" s="240">
        <v>0</v>
      </c>
      <c r="T64" s="240">
        <v>6.2342124619156492</v>
      </c>
      <c r="U64" s="240">
        <v>9.9390000000000001</v>
      </c>
      <c r="V64" s="240">
        <v>0</v>
      </c>
      <c r="W64" s="101"/>
      <c r="X64" s="101"/>
      <c r="Y64" s="245"/>
      <c r="Z64" s="219"/>
      <c r="AA64" s="241">
        <v>71.752074077047425</v>
      </c>
      <c r="AB64" s="101">
        <f t="shared" si="32"/>
        <v>20.861464911044489</v>
      </c>
      <c r="AC64" s="246"/>
      <c r="AD64" s="220"/>
      <c r="AE64" s="97">
        <v>1.7935190871424007</v>
      </c>
      <c r="AF64" s="97"/>
      <c r="AG64" s="97"/>
      <c r="AH64" s="97">
        <v>0.87265644406229104</v>
      </c>
      <c r="AI64" s="97">
        <v>0</v>
      </c>
      <c r="AJ64" s="97"/>
      <c r="AK64" s="97"/>
      <c r="AL64" s="97">
        <v>0.16652666142046427</v>
      </c>
      <c r="AM64" s="98">
        <v>18.028762718419333</v>
      </c>
      <c r="AN64" s="99"/>
      <c r="AO64" s="241">
        <v>104.16991435521932</v>
      </c>
      <c r="AP64" s="101"/>
      <c r="AQ64" s="104">
        <f t="shared" si="16"/>
        <v>215.74566580522691</v>
      </c>
    </row>
    <row r="65" spans="1:44" ht="12.75" customHeight="1">
      <c r="A65" s="221" t="s">
        <v>131</v>
      </c>
      <c r="B65" s="222"/>
      <c r="C65" s="95">
        <f>SUM(D65:G65)</f>
        <v>2.9995488721804506E-3</v>
      </c>
      <c r="D65" s="229">
        <f>SUM(D66:D69)</f>
        <v>2.9995488721804506E-3</v>
      </c>
      <c r="E65" s="194"/>
      <c r="F65" s="194"/>
      <c r="G65" s="195"/>
      <c r="H65" s="99">
        <f>SUM(I65:K65)</f>
        <v>0</v>
      </c>
      <c r="I65" s="96"/>
      <c r="J65" s="100">
        <v>0</v>
      </c>
      <c r="K65" s="97">
        <v>0</v>
      </c>
      <c r="L65" s="99">
        <f>SUM(M65:Z65)</f>
        <v>105.27195371050342</v>
      </c>
      <c r="M65" s="97"/>
      <c r="N65" s="98"/>
      <c r="O65" s="98"/>
      <c r="P65" s="194"/>
      <c r="Q65" s="228">
        <v>37.228999999999999</v>
      </c>
      <c r="R65" s="194"/>
      <c r="S65" s="228">
        <v>0.2093031229578676</v>
      </c>
      <c r="T65" s="228">
        <v>19.64365058754554</v>
      </c>
      <c r="U65" s="228">
        <v>48.190000000000005</v>
      </c>
      <c r="V65" s="228">
        <f>SUM(V66:V69)</f>
        <v>0</v>
      </c>
      <c r="W65" s="194"/>
      <c r="X65" s="194"/>
      <c r="Y65" s="98"/>
      <c r="Z65" s="97"/>
      <c r="AA65" s="226">
        <v>164.51126850810527</v>
      </c>
      <c r="AB65" s="101">
        <f t="shared" si="32"/>
        <v>14.115422426281445</v>
      </c>
      <c r="AC65" s="102"/>
      <c r="AD65" s="97"/>
      <c r="AE65" s="97">
        <f>SUM(AE66:AE69)</f>
        <v>8.6765383583083509</v>
      </c>
      <c r="AF65" s="97"/>
      <c r="AG65" s="97"/>
      <c r="AH65" s="97">
        <v>5.4388840679730937</v>
      </c>
      <c r="AI65" s="97">
        <f>SUM(AI66:AI69)</f>
        <v>0</v>
      </c>
      <c r="AJ65" s="97"/>
      <c r="AK65" s="97"/>
      <c r="AL65" s="97"/>
      <c r="AM65" s="98"/>
      <c r="AN65" s="99"/>
      <c r="AO65" s="226">
        <v>301.14842937308993</v>
      </c>
      <c r="AP65" s="101"/>
      <c r="AQ65" s="247">
        <f t="shared" si="16"/>
        <v>585.05007356685223</v>
      </c>
    </row>
    <row r="66" spans="1:44" ht="12.75" customHeight="1">
      <c r="A66" s="80" t="s">
        <v>132</v>
      </c>
      <c r="B66" s="248" t="s">
        <v>133</v>
      </c>
      <c r="C66" s="82">
        <f t="shared" ref="C66:C69" si="35">SUM(D66:G66)</f>
        <v>0</v>
      </c>
      <c r="D66" s="89">
        <v>0</v>
      </c>
      <c r="E66" s="134"/>
      <c r="F66" s="134"/>
      <c r="G66" s="249"/>
      <c r="H66" s="86">
        <f t="shared" ref="H66:H69" si="36">SUM(I66:K66)</f>
        <v>0</v>
      </c>
      <c r="I66" s="132"/>
      <c r="J66" s="87"/>
      <c r="K66" s="250"/>
      <c r="L66" s="86">
        <f t="shared" ref="L66:L69" si="37">SUM(M66:Z66)</f>
        <v>6.4118307699045332</v>
      </c>
      <c r="M66" s="132"/>
      <c r="N66" s="134"/>
      <c r="O66" s="85"/>
      <c r="P66" s="134"/>
      <c r="Q66" s="134">
        <v>0.224</v>
      </c>
      <c r="R66" s="134"/>
      <c r="S66" s="134">
        <v>1.561963604163191E-4</v>
      </c>
      <c r="T66" s="134">
        <v>1.3906745735441166</v>
      </c>
      <c r="U66" s="134">
        <v>4.7969999999999997</v>
      </c>
      <c r="V66" s="134">
        <v>0</v>
      </c>
      <c r="W66" s="134"/>
      <c r="X66" s="134"/>
      <c r="Y66" s="85"/>
      <c r="Z66" s="84"/>
      <c r="AA66" s="90">
        <v>23.460164790690037</v>
      </c>
      <c r="AB66" s="88">
        <f t="shared" si="32"/>
        <v>5.4698640779896248</v>
      </c>
      <c r="AC66" s="89"/>
      <c r="AD66" s="84"/>
      <c r="AE66" s="84">
        <v>3.0980010016531369E-2</v>
      </c>
      <c r="AF66" s="84"/>
      <c r="AG66" s="84"/>
      <c r="AH66" s="84">
        <v>5.4388840679730937</v>
      </c>
      <c r="AI66" s="84">
        <v>0</v>
      </c>
      <c r="AJ66" s="84"/>
      <c r="AK66" s="84"/>
      <c r="AL66" s="84"/>
      <c r="AM66" s="85"/>
      <c r="AN66" s="86"/>
      <c r="AO66" s="90">
        <v>111.94686507211787</v>
      </c>
      <c r="AP66" s="88"/>
      <c r="AQ66" s="117">
        <f t="shared" si="16"/>
        <v>147.28872471070207</v>
      </c>
    </row>
    <row r="67" spans="1:44" ht="12.75" customHeight="1">
      <c r="A67" s="251" t="s">
        <v>134</v>
      </c>
      <c r="B67" s="252">
        <v>84</v>
      </c>
      <c r="C67" s="30">
        <f t="shared" si="35"/>
        <v>1.9996992481203005E-3</v>
      </c>
      <c r="D67" s="185">
        <v>1.9996992481203005E-3</v>
      </c>
      <c r="E67" s="188"/>
      <c r="F67" s="188"/>
      <c r="G67" s="189"/>
      <c r="H67" s="34">
        <f t="shared" si="36"/>
        <v>0</v>
      </c>
      <c r="I67" s="253"/>
      <c r="J67" s="36"/>
      <c r="K67" s="254"/>
      <c r="L67" s="34">
        <f t="shared" si="37"/>
        <v>35.730592272479015</v>
      </c>
      <c r="M67" s="253"/>
      <c r="N67" s="188"/>
      <c r="O67" s="33"/>
      <c r="P67" s="188"/>
      <c r="Q67" s="178">
        <v>6.8959999999999999</v>
      </c>
      <c r="R67" s="188"/>
      <c r="S67" s="178">
        <v>0.1063697214435133</v>
      </c>
      <c r="T67" s="178">
        <v>6.5022225510355005</v>
      </c>
      <c r="U67" s="178">
        <v>22.225999999999999</v>
      </c>
      <c r="V67" s="178">
        <v>0</v>
      </c>
      <c r="W67" s="188"/>
      <c r="X67" s="188"/>
      <c r="Y67" s="33"/>
      <c r="Z67" s="37"/>
      <c r="AA67" s="191">
        <v>56.928946623255847</v>
      </c>
      <c r="AB67" s="38">
        <f t="shared" si="32"/>
        <v>6.2638540947315082</v>
      </c>
      <c r="AC67" s="39"/>
      <c r="AD67" s="37"/>
      <c r="AE67" s="37">
        <v>6.2638540947315082</v>
      </c>
      <c r="AF67" s="37"/>
      <c r="AG67" s="37"/>
      <c r="AH67" s="37">
        <v>0</v>
      </c>
      <c r="AI67" s="37">
        <v>0</v>
      </c>
      <c r="AJ67" s="37"/>
      <c r="AK67" s="37"/>
      <c r="AL67" s="37"/>
      <c r="AM67" s="33"/>
      <c r="AN67" s="34"/>
      <c r="AO67" s="191">
        <v>96.062958548492816</v>
      </c>
      <c r="AP67" s="38"/>
      <c r="AQ67" s="41">
        <f t="shared" si="16"/>
        <v>194.98835123820731</v>
      </c>
    </row>
    <row r="68" spans="1:44" ht="12.75" customHeight="1">
      <c r="A68" s="28" t="s">
        <v>135</v>
      </c>
      <c r="B68" s="233">
        <v>85</v>
      </c>
      <c r="C68" s="30">
        <f t="shared" si="35"/>
        <v>9.9984962406015026E-4</v>
      </c>
      <c r="D68" s="185">
        <v>9.9984962406015026E-4</v>
      </c>
      <c r="E68" s="188"/>
      <c r="F68" s="188"/>
      <c r="G68" s="189"/>
      <c r="H68" s="34">
        <f t="shared" si="36"/>
        <v>0</v>
      </c>
      <c r="I68" s="253"/>
      <c r="J68" s="36"/>
      <c r="K68" s="254"/>
      <c r="L68" s="34">
        <f t="shared" si="37"/>
        <v>49.708046062040211</v>
      </c>
      <c r="M68" s="253"/>
      <c r="N68" s="188"/>
      <c r="O68" s="33"/>
      <c r="P68" s="188"/>
      <c r="Q68" s="178">
        <v>24.622</v>
      </c>
      <c r="R68" s="188"/>
      <c r="S68" s="178">
        <v>1.5619636041631909E-2</v>
      </c>
      <c r="T68" s="178">
        <v>8.9664264259985771</v>
      </c>
      <c r="U68" s="178">
        <v>16.103999999999999</v>
      </c>
      <c r="V68" s="178">
        <v>0</v>
      </c>
      <c r="W68" s="188"/>
      <c r="X68" s="188"/>
      <c r="Y68" s="33"/>
      <c r="Z68" s="37"/>
      <c r="AA68" s="191">
        <v>32.510353812421116</v>
      </c>
      <c r="AB68" s="38">
        <f t="shared" si="32"/>
        <v>1.4360316375935556</v>
      </c>
      <c r="AC68" s="39"/>
      <c r="AD68" s="37"/>
      <c r="AE68" s="37">
        <v>1.4360316375935556</v>
      </c>
      <c r="AF68" s="37"/>
      <c r="AG68" s="37"/>
      <c r="AH68" s="37">
        <v>0</v>
      </c>
      <c r="AI68" s="37">
        <v>0</v>
      </c>
      <c r="AJ68" s="37"/>
      <c r="AK68" s="37"/>
      <c r="AL68" s="37"/>
      <c r="AM68" s="33"/>
      <c r="AN68" s="34"/>
      <c r="AO68" s="191">
        <v>56.548656792635917</v>
      </c>
      <c r="AP68" s="38"/>
      <c r="AQ68" s="41">
        <f t="shared" si="16"/>
        <v>140.20408815431486</v>
      </c>
    </row>
    <row r="69" spans="1:44" s="65" customFormat="1" ht="12.75" customHeight="1">
      <c r="A69" s="93" t="s">
        <v>136</v>
      </c>
      <c r="B69" s="242" t="s">
        <v>137</v>
      </c>
      <c r="C69" s="211">
        <f t="shared" si="35"/>
        <v>0</v>
      </c>
      <c r="D69" s="102">
        <v>0</v>
      </c>
      <c r="E69" s="194"/>
      <c r="F69" s="194"/>
      <c r="G69" s="195"/>
      <c r="H69" s="213">
        <f t="shared" si="36"/>
        <v>0</v>
      </c>
      <c r="I69" s="255"/>
      <c r="J69" s="100"/>
      <c r="K69" s="256"/>
      <c r="L69" s="213">
        <f t="shared" si="37"/>
        <v>13.421484606079648</v>
      </c>
      <c r="M69" s="255"/>
      <c r="N69" s="194"/>
      <c r="O69" s="98"/>
      <c r="P69" s="194"/>
      <c r="Q69" s="194">
        <v>5.4870000000000001</v>
      </c>
      <c r="R69" s="194"/>
      <c r="S69" s="194">
        <v>8.7157569112306058E-2</v>
      </c>
      <c r="T69" s="194">
        <v>2.7843270369673432</v>
      </c>
      <c r="U69" s="194">
        <v>5.0629999999999997</v>
      </c>
      <c r="V69" s="194">
        <v>0</v>
      </c>
      <c r="W69" s="194"/>
      <c r="X69" s="194"/>
      <c r="Y69" s="98"/>
      <c r="Z69" s="97"/>
      <c r="AA69" s="103">
        <v>51.611803281738268</v>
      </c>
      <c r="AB69" s="216">
        <f t="shared" si="32"/>
        <v>0.94567261596675634</v>
      </c>
      <c r="AC69" s="217"/>
      <c r="AD69" s="210"/>
      <c r="AE69" s="210">
        <v>0.94567261596675634</v>
      </c>
      <c r="AF69" s="210"/>
      <c r="AG69" s="210"/>
      <c r="AH69" s="210">
        <v>0</v>
      </c>
      <c r="AI69" s="210">
        <v>0</v>
      </c>
      <c r="AJ69" s="210"/>
      <c r="AK69" s="210"/>
      <c r="AL69" s="210"/>
      <c r="AM69" s="212"/>
      <c r="AN69" s="213"/>
      <c r="AO69" s="103">
        <v>36.589948959843333</v>
      </c>
      <c r="AP69" s="216"/>
      <c r="AQ69" s="218">
        <f t="shared" si="16"/>
        <v>102.56890946362802</v>
      </c>
      <c r="AR69" s="11"/>
    </row>
    <row r="70" spans="1:44" s="65" customFormat="1" ht="12.75" customHeight="1">
      <c r="A70" s="119" t="s">
        <v>138</v>
      </c>
      <c r="B70" s="120"/>
      <c r="C70" s="121">
        <f>SUM(D70:G70)</f>
        <v>0</v>
      </c>
      <c r="D70" s="257">
        <v>0</v>
      </c>
      <c r="E70" s="258"/>
      <c r="F70" s="259"/>
      <c r="G70" s="259"/>
      <c r="H70" s="125">
        <f>SUM(I70:K70)</f>
        <v>0</v>
      </c>
      <c r="I70" s="257"/>
      <c r="J70" s="260"/>
      <c r="K70" s="258"/>
      <c r="L70" s="125">
        <f>SUM(M70:Z70)</f>
        <v>181.47184871191948</v>
      </c>
      <c r="M70" s="258"/>
      <c r="N70" s="258"/>
      <c r="O70" s="258"/>
      <c r="P70" s="258">
        <v>0</v>
      </c>
      <c r="Q70" s="258">
        <v>0</v>
      </c>
      <c r="R70" s="258"/>
      <c r="S70" s="258"/>
      <c r="T70" s="261">
        <v>0</v>
      </c>
      <c r="U70" s="258">
        <v>181.47184871191948</v>
      </c>
      <c r="V70" s="84"/>
      <c r="W70" s="259"/>
      <c r="X70" s="259"/>
      <c r="Y70" s="259"/>
      <c r="Z70" s="258"/>
      <c r="AA70" s="125">
        <v>0</v>
      </c>
      <c r="AB70" s="126">
        <f t="shared" si="32"/>
        <v>0</v>
      </c>
      <c r="AC70" s="262"/>
      <c r="AD70" s="258"/>
      <c r="AE70" s="258"/>
      <c r="AF70" s="258"/>
      <c r="AG70" s="258"/>
      <c r="AH70" s="258"/>
      <c r="AI70" s="258"/>
      <c r="AJ70" s="258"/>
      <c r="AK70" s="257"/>
      <c r="AL70" s="259"/>
      <c r="AM70" s="258"/>
      <c r="AN70" s="125"/>
      <c r="AO70" s="125">
        <v>47.233900583149328</v>
      </c>
      <c r="AP70" s="126"/>
      <c r="AQ70" s="116">
        <f t="shared" si="16"/>
        <v>228.70574929506881</v>
      </c>
      <c r="AR70" s="11"/>
    </row>
    <row r="71" spans="1:44" s="65" customFormat="1" ht="12.75" customHeight="1" thickBot="1">
      <c r="A71" s="263" t="s">
        <v>139</v>
      </c>
      <c r="B71" s="94"/>
      <c r="C71" s="95">
        <f>SUM(D71:G71)</f>
        <v>0</v>
      </c>
      <c r="D71" s="96"/>
      <c r="E71" s="97"/>
      <c r="F71" s="98"/>
      <c r="G71" s="98"/>
      <c r="H71" s="99">
        <f>SUM(I71:K71)</f>
        <v>0</v>
      </c>
      <c r="I71" s="96"/>
      <c r="J71" s="100"/>
      <c r="K71" s="97"/>
      <c r="L71" s="99">
        <f>SUM(M71:Z71)</f>
        <v>23.527909786636457</v>
      </c>
      <c r="M71" s="97"/>
      <c r="N71" s="97"/>
      <c r="O71" s="97"/>
      <c r="P71" s="97"/>
      <c r="Q71" s="97"/>
      <c r="R71" s="97"/>
      <c r="S71" s="97"/>
      <c r="T71" s="97"/>
      <c r="U71" s="220">
        <v>23.527909786636457</v>
      </c>
      <c r="V71" s="97"/>
      <c r="W71" s="98"/>
      <c r="X71" s="98"/>
      <c r="Y71" s="98"/>
      <c r="Z71" s="97"/>
      <c r="AA71" s="99"/>
      <c r="AB71" s="101">
        <f t="shared" si="32"/>
        <v>0</v>
      </c>
      <c r="AC71" s="102"/>
      <c r="AD71" s="97"/>
      <c r="AE71" s="97"/>
      <c r="AF71" s="97"/>
      <c r="AG71" s="97"/>
      <c r="AH71" s="97"/>
      <c r="AI71" s="97"/>
      <c r="AJ71" s="97"/>
      <c r="AK71" s="96"/>
      <c r="AL71" s="98"/>
      <c r="AM71" s="97"/>
      <c r="AN71" s="99"/>
      <c r="AO71" s="103"/>
      <c r="AP71" s="101"/>
      <c r="AQ71" s="247">
        <f t="shared" si="16"/>
        <v>23.527909786636457</v>
      </c>
      <c r="AR71" s="11"/>
    </row>
    <row r="72" spans="1:44" ht="12.75" customHeight="1" thickBot="1">
      <c r="A72" s="149" t="s">
        <v>140</v>
      </c>
      <c r="B72" s="150"/>
      <c r="C72" s="151">
        <f t="shared" ref="C72:AP72" si="38">C26-C27-C29</f>
        <v>-9.0581252661179406</v>
      </c>
      <c r="D72" s="152">
        <f t="shared" si="38"/>
        <v>-6.9354743211960681</v>
      </c>
      <c r="E72" s="153">
        <f t="shared" si="38"/>
        <v>-2.6469882778086173</v>
      </c>
      <c r="F72" s="157">
        <f t="shared" si="38"/>
        <v>0</v>
      </c>
      <c r="G72" s="157">
        <f t="shared" si="38"/>
        <v>0.52433733288671824</v>
      </c>
      <c r="H72" s="154">
        <f t="shared" si="38"/>
        <v>8.0942833818653526E-4</v>
      </c>
      <c r="I72" s="152">
        <f t="shared" si="38"/>
        <v>2.0251833818818454E-4</v>
      </c>
      <c r="J72" s="155">
        <f t="shared" si="38"/>
        <v>0</v>
      </c>
      <c r="K72" s="153">
        <f t="shared" si="38"/>
        <v>6.0691000000190343E-4</v>
      </c>
      <c r="L72" s="154">
        <f t="shared" si="38"/>
        <v>-39.357866694827862</v>
      </c>
      <c r="M72" s="153">
        <f t="shared" si="38"/>
        <v>0</v>
      </c>
      <c r="N72" s="153">
        <f t="shared" si="38"/>
        <v>-0.98346137776849218</v>
      </c>
      <c r="O72" s="153">
        <f t="shared" si="38"/>
        <v>-2.9586845597954721</v>
      </c>
      <c r="P72" s="153">
        <f t="shared" si="38"/>
        <v>-32.910137912638788</v>
      </c>
      <c r="Q72" s="153">
        <f t="shared" si="38"/>
        <v>-2.4140136383999788</v>
      </c>
      <c r="R72" s="153">
        <f t="shared" si="38"/>
        <v>4.252123226879803</v>
      </c>
      <c r="S72" s="153">
        <f t="shared" si="38"/>
        <v>4.7268400735335483</v>
      </c>
      <c r="T72" s="153">
        <f t="shared" si="38"/>
        <v>6.1163092260703138</v>
      </c>
      <c r="U72" s="153">
        <f t="shared" si="38"/>
        <v>-15.662102196445176</v>
      </c>
      <c r="V72" s="153">
        <f t="shared" si="38"/>
        <v>0.47626936567021971</v>
      </c>
      <c r="W72" s="157">
        <f t="shared" si="38"/>
        <v>-1.0089019337033989E-3</v>
      </c>
      <c r="X72" s="157">
        <f t="shared" si="38"/>
        <v>0</v>
      </c>
      <c r="Y72" s="157">
        <f t="shared" si="38"/>
        <v>0</v>
      </c>
      <c r="Z72" s="153">
        <f t="shared" si="38"/>
        <v>0</v>
      </c>
      <c r="AA72" s="154">
        <f t="shared" si="38"/>
        <v>-33.748318490069096</v>
      </c>
      <c r="AB72" s="156">
        <f t="shared" si="38"/>
        <v>0.62241942287562324</v>
      </c>
      <c r="AC72" s="264">
        <f t="shared" si="38"/>
        <v>0</v>
      </c>
      <c r="AD72" s="153">
        <f t="shared" si="38"/>
        <v>0</v>
      </c>
      <c r="AE72" s="153">
        <f t="shared" si="38"/>
        <v>0.29676361932288842</v>
      </c>
      <c r="AF72" s="153">
        <f t="shared" si="38"/>
        <v>0</v>
      </c>
      <c r="AG72" s="153">
        <f t="shared" si="38"/>
        <v>0</v>
      </c>
      <c r="AH72" s="153">
        <f t="shared" si="38"/>
        <v>0</v>
      </c>
      <c r="AI72" s="153">
        <f t="shared" si="38"/>
        <v>-0.39720840737555818</v>
      </c>
      <c r="AJ72" s="153">
        <f t="shared" si="38"/>
        <v>0.72286421092800524</v>
      </c>
      <c r="AK72" s="152">
        <f t="shared" si="38"/>
        <v>0</v>
      </c>
      <c r="AL72" s="157">
        <f t="shared" si="38"/>
        <v>0</v>
      </c>
      <c r="AM72" s="153">
        <f t="shared" si="38"/>
        <v>0</v>
      </c>
      <c r="AN72" s="154">
        <f t="shared" si="38"/>
        <v>0</v>
      </c>
      <c r="AO72" s="154">
        <f t="shared" si="38"/>
        <v>-32.348615254466949</v>
      </c>
      <c r="AP72" s="156">
        <f t="shared" si="38"/>
        <v>0</v>
      </c>
      <c r="AQ72" s="158">
        <f t="shared" si="16"/>
        <v>-113.88969685426804</v>
      </c>
    </row>
    <row r="73" spans="1:44" s="65" customFormat="1" ht="15" customHeight="1">
      <c r="A73" s="265"/>
      <c r="B73" s="265"/>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c r="AA73" s="265"/>
      <c r="AB73" s="265"/>
      <c r="AC73" s="265"/>
      <c r="AD73" s="265"/>
      <c r="AE73" s="265"/>
      <c r="AF73" s="265"/>
      <c r="AG73" s="265"/>
      <c r="AH73" s="265"/>
      <c r="AI73" s="265"/>
      <c r="AJ73" s="265"/>
      <c r="AK73" s="265"/>
      <c r="AL73" s="265"/>
      <c r="AM73" s="265"/>
      <c r="AN73" s="265"/>
      <c r="AO73" s="265"/>
      <c r="AP73" s="265"/>
      <c r="AQ73" s="265"/>
    </row>
    <row r="74" spans="1:44" ht="12.75" customHeight="1">
      <c r="A74" s="135" t="s">
        <v>141</v>
      </c>
      <c r="B74" s="113"/>
      <c r="F74" s="113"/>
      <c r="G74" s="113"/>
      <c r="I74" s="113"/>
      <c r="J74" s="113"/>
      <c r="K74" s="113"/>
      <c r="L74" s="266"/>
      <c r="M74" s="113"/>
      <c r="N74" s="113"/>
      <c r="O74" s="65"/>
      <c r="P74" s="65"/>
      <c r="Q74" s="113"/>
      <c r="R74" s="113"/>
      <c r="S74" s="113"/>
      <c r="T74" s="113"/>
      <c r="U74" s="113"/>
      <c r="V74" s="113"/>
      <c r="W74" s="105"/>
      <c r="X74" s="65"/>
      <c r="Y74" s="113"/>
      <c r="Z74" s="113"/>
      <c r="AA74" s="113"/>
      <c r="AB74" s="113"/>
      <c r="AC74" s="113"/>
      <c r="AD74" s="113"/>
      <c r="AE74" s="113"/>
      <c r="AF74" s="113"/>
      <c r="AG74" s="113"/>
      <c r="AH74" s="113"/>
      <c r="AI74" s="113"/>
      <c r="AJ74" s="113"/>
      <c r="AK74" s="113"/>
      <c r="AL74" s="113"/>
      <c r="AM74" s="113"/>
      <c r="AN74" s="113"/>
      <c r="AO74" s="113"/>
      <c r="AP74" s="113"/>
      <c r="AQ74" s="113"/>
    </row>
    <row r="75" spans="1:44" ht="12.75" customHeight="1">
      <c r="A75" s="267" t="s">
        <v>142</v>
      </c>
      <c r="B75" s="113"/>
      <c r="F75" s="113"/>
      <c r="G75" s="113"/>
      <c r="I75" s="113"/>
      <c r="J75" s="113"/>
      <c r="K75" s="113"/>
      <c r="L75" s="266"/>
      <c r="M75" s="113"/>
      <c r="N75" s="113"/>
      <c r="O75" s="65"/>
      <c r="P75" s="65"/>
      <c r="Q75" s="113"/>
      <c r="R75" s="113"/>
      <c r="S75" s="113"/>
      <c r="T75" s="113"/>
      <c r="U75" s="113"/>
      <c r="V75" s="113"/>
      <c r="W75" s="105"/>
      <c r="X75" s="65"/>
      <c r="Y75" s="113"/>
      <c r="Z75" s="113"/>
      <c r="AA75" s="113"/>
      <c r="AB75" s="113"/>
      <c r="AC75" s="113"/>
      <c r="AD75" s="113"/>
      <c r="AE75" s="113"/>
      <c r="AF75" s="113"/>
      <c r="AG75" s="113"/>
      <c r="AH75" s="113"/>
      <c r="AI75" s="113"/>
      <c r="AJ75" s="113"/>
      <c r="AK75" s="113"/>
      <c r="AL75" s="113"/>
      <c r="AM75" s="113"/>
      <c r="AN75" s="113"/>
      <c r="AO75" s="113"/>
      <c r="AP75" s="113"/>
      <c r="AQ75" s="113"/>
    </row>
    <row r="76" spans="1:44" ht="12.75" customHeight="1">
      <c r="A76" s="267" t="s">
        <v>143</v>
      </c>
      <c r="B76" s="113"/>
      <c r="F76" s="113"/>
      <c r="G76" s="113"/>
      <c r="I76" s="113"/>
      <c r="J76" s="113"/>
      <c r="K76" s="113"/>
      <c r="L76" s="266"/>
      <c r="M76" s="113"/>
      <c r="N76" s="113"/>
      <c r="O76" s="65"/>
      <c r="P76" s="65"/>
      <c r="Q76" s="113"/>
      <c r="R76" s="113"/>
      <c r="S76" s="113"/>
      <c r="T76" s="113"/>
      <c r="U76" s="113"/>
      <c r="V76" s="113"/>
      <c r="W76" s="105"/>
      <c r="X76" s="65"/>
      <c r="Y76" s="113"/>
      <c r="Z76" s="113"/>
      <c r="AA76" s="113"/>
      <c r="AB76" s="113"/>
      <c r="AC76" s="113"/>
      <c r="AD76" s="113"/>
      <c r="AE76" s="113"/>
      <c r="AF76" s="113"/>
      <c r="AG76" s="113"/>
      <c r="AH76" s="113"/>
      <c r="AI76" s="113"/>
      <c r="AJ76" s="113"/>
      <c r="AK76" s="113"/>
      <c r="AL76" s="113"/>
      <c r="AM76" s="113"/>
      <c r="AN76" s="113"/>
      <c r="AO76" s="113"/>
      <c r="AP76" s="113"/>
      <c r="AQ76" s="113"/>
    </row>
    <row r="77" spans="1:44" ht="12.75" customHeight="1">
      <c r="A77" s="268" t="s">
        <v>144</v>
      </c>
      <c r="B77" s="265"/>
      <c r="C77" s="265"/>
      <c r="D77" s="265"/>
      <c r="E77" s="265"/>
      <c r="F77" s="265"/>
      <c r="G77" s="265"/>
      <c r="H77" s="265"/>
      <c r="I77" s="265"/>
      <c r="J77" s="265"/>
      <c r="K77" s="265"/>
      <c r="L77" s="265"/>
      <c r="M77" s="265"/>
      <c r="N77" s="265"/>
      <c r="O77" s="265"/>
      <c r="P77" s="265"/>
      <c r="Q77" s="265"/>
      <c r="R77" s="265"/>
      <c r="S77" s="265"/>
      <c r="T77" s="265"/>
      <c r="U77" s="265"/>
      <c r="V77" s="265"/>
      <c r="W77" s="265"/>
      <c r="X77" s="265"/>
      <c r="Y77" s="265"/>
      <c r="Z77" s="265"/>
      <c r="AA77" s="265"/>
      <c r="AB77" s="265"/>
      <c r="AC77" s="265"/>
      <c r="AD77" s="265"/>
      <c r="AE77" s="265"/>
      <c r="AF77" s="265"/>
      <c r="AG77" s="265"/>
      <c r="AH77" s="265"/>
      <c r="AI77" s="265"/>
      <c r="AJ77" s="265"/>
      <c r="AK77" s="265"/>
      <c r="AL77" s="265"/>
      <c r="AM77" s="265"/>
      <c r="AN77" s="265"/>
      <c r="AO77" s="265"/>
      <c r="AP77" s="265"/>
      <c r="AQ77" s="265"/>
    </row>
    <row r="78" spans="1:44" ht="12.75" customHeight="1">
      <c r="A78" s="269" t="s">
        <v>145</v>
      </c>
      <c r="B78" s="270"/>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c r="AA78" s="265"/>
      <c r="AB78" s="265"/>
      <c r="AC78" s="265"/>
      <c r="AD78" s="265"/>
      <c r="AE78" s="265"/>
      <c r="AF78" s="265"/>
      <c r="AG78" s="265"/>
      <c r="AH78" s="265"/>
      <c r="AI78" s="265"/>
      <c r="AJ78" s="265"/>
      <c r="AK78" s="265"/>
      <c r="AL78" s="265"/>
      <c r="AM78" s="265"/>
      <c r="AN78" s="265"/>
      <c r="AO78" s="265"/>
      <c r="AP78" s="265"/>
      <c r="AQ78" s="265"/>
    </row>
    <row r="79" spans="1:44" ht="12.75" customHeight="1">
      <c r="A79" s="271" t="s">
        <v>146</v>
      </c>
      <c r="B79" s="268"/>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c r="AA79" s="265"/>
      <c r="AB79" s="265"/>
      <c r="AC79" s="265"/>
      <c r="AD79" s="265"/>
      <c r="AE79" s="265"/>
      <c r="AF79" s="265"/>
      <c r="AG79" s="265"/>
      <c r="AH79" s="265"/>
      <c r="AI79" s="265"/>
      <c r="AJ79" s="265"/>
      <c r="AK79" s="265"/>
      <c r="AL79" s="265"/>
      <c r="AM79" s="265"/>
      <c r="AN79" s="265"/>
      <c r="AO79" s="265"/>
      <c r="AP79" s="265"/>
      <c r="AQ79" s="265"/>
    </row>
    <row r="80" spans="1:44" ht="12.75" customHeight="1">
      <c r="A80" s="272" t="s">
        <v>147</v>
      </c>
      <c r="B80" s="268"/>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c r="AA80" s="265"/>
      <c r="AB80" s="265"/>
      <c r="AC80" s="265"/>
      <c r="AD80" s="265"/>
      <c r="AE80" s="265"/>
      <c r="AF80" s="265"/>
      <c r="AG80" s="265"/>
      <c r="AH80" s="265"/>
      <c r="AI80" s="265"/>
      <c r="AJ80" s="265"/>
      <c r="AK80" s="265"/>
      <c r="AL80" s="265"/>
      <c r="AM80" s="265"/>
      <c r="AN80" s="265"/>
      <c r="AO80" s="265"/>
      <c r="AP80" s="265"/>
      <c r="AQ80" s="265"/>
    </row>
    <row r="81" spans="1:42" ht="12.75" customHeight="1">
      <c r="A81" s="273" t="s">
        <v>148</v>
      </c>
      <c r="B81" s="274"/>
      <c r="C81" s="274"/>
      <c r="D81" s="274"/>
      <c r="E81" s="275"/>
      <c r="F81" s="276"/>
      <c r="G81" s="276"/>
      <c r="H81" s="277"/>
      <c r="I81" s="276"/>
      <c r="J81" s="276"/>
      <c r="K81" s="276"/>
      <c r="S81" s="278"/>
      <c r="T81" s="279"/>
      <c r="U81" s="278"/>
      <c r="V81" s="278"/>
      <c r="Z81" s="276"/>
      <c r="AB81" s="280"/>
      <c r="AP81" s="280"/>
    </row>
    <row r="82" spans="1:42" ht="12.75" customHeight="1">
      <c r="A82" s="273" t="s">
        <v>149</v>
      </c>
      <c r="B82" s="274"/>
      <c r="C82" s="274"/>
      <c r="D82" s="274"/>
      <c r="E82" s="275"/>
      <c r="F82" s="276"/>
      <c r="G82" s="276"/>
      <c r="H82" s="277"/>
      <c r="I82" s="276"/>
      <c r="J82" s="276"/>
      <c r="K82" s="276"/>
      <c r="S82" s="278"/>
      <c r="T82" s="279"/>
      <c r="U82" s="278"/>
      <c r="V82" s="278"/>
      <c r="Z82" s="276"/>
      <c r="AB82" s="280"/>
      <c r="AP82" s="280"/>
    </row>
    <row r="83" spans="1:42" ht="12.75" customHeight="1">
      <c r="A83" s="267" t="s">
        <v>150</v>
      </c>
      <c r="B83" s="274"/>
      <c r="C83" s="274"/>
      <c r="D83" s="274"/>
      <c r="E83" s="275"/>
      <c r="F83" s="276"/>
      <c r="G83" s="276"/>
      <c r="H83" s="277"/>
      <c r="I83" s="276"/>
      <c r="J83" s="276"/>
      <c r="K83" s="276"/>
      <c r="S83" s="278"/>
      <c r="T83" s="279"/>
      <c r="U83" s="278"/>
      <c r="V83" s="278"/>
      <c r="Z83" s="276"/>
      <c r="AB83" s="280"/>
      <c r="AP83" s="280"/>
    </row>
    <row r="84" spans="1:42" ht="12.75" customHeight="1">
      <c r="A84" s="273" t="s">
        <v>151</v>
      </c>
      <c r="B84" s="274"/>
      <c r="C84" s="274"/>
      <c r="D84" s="274"/>
      <c r="E84" s="275"/>
      <c r="F84" s="276"/>
      <c r="G84" s="276"/>
      <c r="H84" s="277"/>
      <c r="I84" s="276"/>
      <c r="J84" s="276"/>
      <c r="K84" s="276"/>
      <c r="S84" s="278"/>
      <c r="T84" s="279"/>
      <c r="U84" s="278"/>
      <c r="V84" s="278"/>
      <c r="Z84" s="276"/>
      <c r="AB84" s="280"/>
      <c r="AP84" s="280"/>
    </row>
    <row r="85" spans="1:42" ht="12.75" customHeight="1">
      <c r="B85" s="274"/>
      <c r="C85" s="274"/>
      <c r="D85" s="274"/>
      <c r="E85" s="275"/>
      <c r="F85" s="276"/>
      <c r="G85" s="276"/>
      <c r="H85" s="277"/>
      <c r="I85" s="276"/>
      <c r="J85" s="276"/>
      <c r="K85" s="276"/>
      <c r="S85" s="278"/>
      <c r="T85" s="279"/>
      <c r="U85" s="278"/>
      <c r="V85" s="278"/>
      <c r="Z85" s="276"/>
      <c r="AB85" s="280"/>
      <c r="AP85" s="280"/>
    </row>
    <row r="86" spans="1:42">
      <c r="L86" s="276"/>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Overview</vt:lpstr>
      <vt:lpstr>Calculations</vt:lpstr>
      <vt:lpstr>SEAI Energy Balance 2019</vt:lpstr>
      <vt:lpstr>'SEAI Energy Balance 2019'!Print_Area</vt:lpstr>
      <vt:lpstr>'SEAI Energy Balance 2019'!Print_Titles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Valkenier</dc:creator>
  <cp:lastModifiedBy>Claudia Valkenier</cp:lastModifiedBy>
  <dcterms:created xsi:type="dcterms:W3CDTF">2026-07-16T09:50:55Z</dcterms:created>
  <dcterms:modified xsi:type="dcterms:W3CDTF">2026-08-06T12:12:06Z</dcterms:modified>
</cp:coreProperties>
</file>