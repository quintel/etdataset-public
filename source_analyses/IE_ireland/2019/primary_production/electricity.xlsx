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kyradehaan/github/etm/etdataset/source_analyses/IE_ireland/2019/primary_production/"/>
    </mc:Choice>
  </mc:AlternateContent>
  <xr:revisionPtr revIDLastSave="0" documentId="13_ncr:1_{C2D11B86-9680-974D-B237-7B3F1E999995}" xr6:coauthVersionLast="47" xr6:coauthVersionMax="47" xr10:uidLastSave="{00000000-0000-0000-0000-000000000000}"/>
  <bookViews>
    <workbookView xWindow="-4900" yWindow="-21600" windowWidth="38400" windowHeight="21600" xr2:uid="{751C5F49-894F-8945-ABB8-4017A3C4E56D}"/>
  </bookViews>
  <sheets>
    <sheet name="Overview" sheetId="1" r:id="rId1"/>
    <sheet name="Calculations" sheetId="2" r:id="rId2"/>
    <sheet name="GCS data-workbook (gas)" sheetId="4" r:id="rId3"/>
    <sheet name="GCS data-workbook (wind)" sheetId="6" r:id="rId4"/>
    <sheet name="Eurostat"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B47" i="2"/>
  <c r="B45" i="2"/>
  <c r="B53" i="2"/>
  <c r="B9" i="1" s="1"/>
  <c r="B51" i="2"/>
  <c r="B52" i="2" s="1"/>
  <c r="B7" i="1" s="1"/>
  <c r="B18" i="2"/>
  <c r="B26" i="2" s="1"/>
  <c r="B17" i="2"/>
  <c r="B25" i="2" s="1"/>
  <c r="B28" i="2" l="1"/>
  <c r="B32" i="2" s="1"/>
  <c r="B39" i="2" s="1"/>
  <c r="B6" i="1" s="1"/>
  <c r="B29" i="2"/>
  <c r="B33" i="2" s="1"/>
  <c r="B40" i="2" s="1"/>
  <c r="B5" i="1" s="1"/>
  <c r="B4" i="1" l="1"/>
  <c r="B3" i="1"/>
  <c r="B7" i="2"/>
  <c r="B2" i="1" s="1"/>
</calcChain>
</file>

<file path=xl/sharedStrings.xml><?xml version="1.0" encoding="utf-8"?>
<sst xmlns="http://schemas.openxmlformats.org/spreadsheetml/2006/main" count="347" uniqueCount="222">
  <si>
    <t>key</t>
  </si>
  <si>
    <t>value</t>
  </si>
  <si>
    <t>comment</t>
  </si>
  <si>
    <t>input_energy_power_ultra_supercritical_coal_production</t>
  </si>
  <si>
    <t>input_energy_power_supercritical_coal_production</t>
  </si>
  <si>
    <t>input_energy_power_ultra_supercritical_lignite_production</t>
  </si>
  <si>
    <t>input_energy_power_turbine_network_gas_production</t>
  </si>
  <si>
    <t>input_energy_power_combined_cycle_network_gas_production</t>
  </si>
  <si>
    <t>input_energy_power_wind_turbine_inland_production</t>
  </si>
  <si>
    <t>energy_power_wind_turbine_inland_full_load_hours</t>
  </si>
  <si>
    <t>https://ec.europa.eu/eurostat/databrowser/view/nrg_bal_c__custom_22102229/default/table</t>
  </si>
  <si>
    <t>source</t>
  </si>
  <si>
    <t>Transformation input</t>
  </si>
  <si>
    <t>unit</t>
  </si>
  <si>
    <t>TJ</t>
  </si>
  <si>
    <t>Efficiency</t>
  </si>
  <si>
    <t>%</t>
  </si>
  <si>
    <t>Value retrieved from Ireland dataset update 2024</t>
  </si>
  <si>
    <t>Pulvarized coal demand</t>
  </si>
  <si>
    <t>Coal conventional demand</t>
  </si>
  <si>
    <t>Coal lignite demand</t>
  </si>
  <si>
    <t>Derived from the Eurostat energy balance (2019). Ireland has a single coal-fired power plant (Moneypoint), a pulverised coal plant; all coal demand is therefore attributed to pulverised coal. See &lt;a href="https://github.com/quintel/etdataset-public/tree/master/source_analyses/IE_ireland/2019/production/electricity.xlsx"&gt;this file&lt;/a&gt; for more information.</t>
  </si>
  <si>
    <t>Conventional Generation - IE</t>
  </si>
  <si>
    <t>3.2 Changes to Conventional Generation in Ireland</t>
  </si>
  <si>
    <t>Table 3.3 -Assumptions for conventional plant changes in Ireland</t>
  </si>
  <si>
    <t>Plant</t>
  </si>
  <si>
    <t>Units</t>
  </si>
  <si>
    <t>Export Capacity (MW)</t>
  </si>
  <si>
    <t>Modelled as closing by the end of:</t>
  </si>
  <si>
    <t>Comment</t>
  </si>
  <si>
    <t xml:space="preserve">Aghada </t>
  </si>
  <si>
    <t>AT1</t>
  </si>
  <si>
    <t>IED Limited Life-time Derogation.
ESB has provided a closure notice for these units.</t>
  </si>
  <si>
    <t>AD2</t>
  </si>
  <si>
    <t>Remains open for study horizon</t>
  </si>
  <si>
    <t>Note AD2 has increased capacity from 431 MW to 449 MW</t>
  </si>
  <si>
    <t xml:space="preserve">Tarbert </t>
  </si>
  <si>
    <t>TB1</t>
  </si>
  <si>
    <t>SSE has previously provided a closure notice for this unit to close at end of 2023.
TB1 has since been placed on outage until Dec 2023 so will be excluded from studies</t>
  </si>
  <si>
    <t>TB2</t>
  </si>
  <si>
    <t>SSE has previously provided a closure notice for this unit to close at end of 2023.
TB2 has since been placed on outage until Dec 2023 so will be excluded from studies</t>
  </si>
  <si>
    <t>TB3</t>
  </si>
  <si>
    <t>SSE has provided a closure notice for this unit to close at end of 2023.</t>
  </si>
  <si>
    <t>TB4</t>
  </si>
  <si>
    <t>SSE has previously provided a closure notice for this unit to close at end of 2023.
TB4 has since been placed on outage until end of March 2023.  Will be excluded from studies</t>
  </si>
  <si>
    <t>Moneypoint</t>
  </si>
  <si>
    <t>MP1</t>
  </si>
  <si>
    <t>Moneypoint units could not qualify for the 2024/2025 T-4 Capacity Auction[1]. On this basis, these units will be excluded from end of 2024. EirGrid notes that ESB has not provided a closure notice for these units. MP2 is now running on HFO with a capacity of 250 MW.</t>
  </si>
  <si>
    <t>MP2</t>
  </si>
  <si>
    <t>MP3</t>
  </si>
  <si>
    <t xml:space="preserve">Edenderry </t>
  </si>
  <si>
    <t>ED1</t>
  </si>
  <si>
    <t>The Bord na Móna plant ED1 was due to close at the end of 2023.  Planning permission was recently awarded to keep this unit operating until 2030, running on 100% biomass from 2024.</t>
  </si>
  <si>
    <t>Appendix 3 Generation Plant Information</t>
  </si>
  <si>
    <t>Table A3-1 Registered Capacity of dispatchable generation and interconnectors in Ireland in 2022 (MW) DSU: Demand Side Unit; HFO: Heavy Fuel Oil; DO: Distillate Oil</t>
  </si>
  <si>
    <t>ID</t>
  </si>
  <si>
    <t>Fuel Type</t>
  </si>
  <si>
    <t>Technology Category</t>
  </si>
  <si>
    <t>2022</t>
  </si>
  <si>
    <t>Aghada</t>
  </si>
  <si>
    <t>Gas/DO</t>
  </si>
  <si>
    <t>Gas Turbine</t>
  </si>
  <si>
    <t>To close before end of 2023</t>
  </si>
  <si>
    <t>AT2</t>
  </si>
  <si>
    <t>AT4</t>
  </si>
  <si>
    <t>Increased capacity from 431 MW </t>
  </si>
  <si>
    <t>All DSU</t>
  </si>
  <si>
    <t>DSU</t>
  </si>
  <si>
    <t>Ardnacrusha</t>
  </si>
  <si>
    <t>AA1-4</t>
  </si>
  <si>
    <t>Hydro</t>
  </si>
  <si>
    <t>Dublin Bay</t>
  </si>
  <si>
    <t>DB1</t>
  </si>
  <si>
    <t>Dublin Waste</t>
  </si>
  <si>
    <t>DW1</t>
  </si>
  <si>
    <t>Waste</t>
  </si>
  <si>
    <t>Steam Turbine</t>
  </si>
  <si>
    <t>Edenderry</t>
  </si>
  <si>
    <t>Milled peat/ Biomass</t>
  </si>
  <si>
    <t>Planning Permission was granted to extend operation to 2030. Will run exclusively on biomass from Jan 2024</t>
  </si>
  <si>
    <t>ED3</t>
  </si>
  <si>
    <t>DO/Gas</t>
  </si>
  <si>
    <t>Operating on gas from Oct 2025</t>
  </si>
  <si>
    <t>ED5</t>
  </si>
  <si>
    <t>Erne</t>
  </si>
  <si>
    <t>ER1-4</t>
  </si>
  <si>
    <t>EWIC</t>
  </si>
  <si>
    <t>EW1</t>
  </si>
  <si>
    <t>DC Interconnector</t>
  </si>
  <si>
    <t>Great Island CCGT</t>
  </si>
  <si>
    <t>GI4</t>
  </si>
  <si>
    <t>Huntstown</t>
  </si>
  <si>
    <t>HNC</t>
  </si>
  <si>
    <t>HN2</t>
  </si>
  <si>
    <t xml:space="preserve">Indaver Waste </t>
  </si>
  <si>
    <t>IW1</t>
  </si>
  <si>
    <t xml:space="preserve">Lee </t>
  </si>
  <si>
    <t>LE1-4</t>
  </si>
  <si>
    <t xml:space="preserve">Liffey </t>
  </si>
  <si>
    <t>LI1-4</t>
  </si>
  <si>
    <t>Coal/HFO</t>
  </si>
  <si>
    <t>Modelled as not available from October 2024</t>
  </si>
  <si>
    <t>HFO</t>
  </si>
  <si>
    <t>Poolbeg CC</t>
  </si>
  <si>
    <t>PBA</t>
  </si>
  <si>
    <t>PBB</t>
  </si>
  <si>
    <t>Rhode</t>
  </si>
  <si>
    <t>RP1</t>
  </si>
  <si>
    <t>DO</t>
  </si>
  <si>
    <t>RP2</t>
  </si>
  <si>
    <t>Sealrock</t>
  </si>
  <si>
    <t>SK3</t>
  </si>
  <si>
    <t>SK4</t>
  </si>
  <si>
    <t>Unit has been placed on outage until Dec 2023. Scheduled to close thereafter</t>
  </si>
  <si>
    <t>To close by end of 2023</t>
  </si>
  <si>
    <t>Unit has been placed on outage until March 2023. Scheduled to close by end 2023</t>
  </si>
  <si>
    <t>Tawnaghmore</t>
  </si>
  <si>
    <t>TP1</t>
  </si>
  <si>
    <t>TP3</t>
  </si>
  <si>
    <t>Turlough Hill</t>
  </si>
  <si>
    <t>TH1</t>
  </si>
  <si>
    <t>Pumped storage</t>
  </si>
  <si>
    <t>Storage</t>
  </si>
  <si>
    <t>Tynagh</t>
  </si>
  <si>
    <t>TYC</t>
  </si>
  <si>
    <t>Whitegate</t>
  </si>
  <si>
    <t>WG1</t>
  </si>
  <si>
    <t>Total Dispatchable including DSU</t>
  </si>
  <si>
    <t>Retrieved from: https://cms.eirgrid.ie/2022-2031-all-island-generation-capacity-statement-data-workbook</t>
  </si>
  <si>
    <t xml:space="preserve">Ireland only has a single coal-fired power plant (Moneypoint), which is a pulvarised coal plant; all coal demand is therefore attributed to this technology.
See the tab '2022-2031 GCS data-workbook' for mentioning Moneypont as the only coal plant in Ireland. The authors of this workbook are Eirgrid and SONI (https://cms.eirgrid.ie/2022-2031-all-island-generation-capacity-statement-data-workbook).
</t>
  </si>
  <si>
    <t>Coal plants</t>
  </si>
  <si>
    <t>Gas plants</t>
  </si>
  <si>
    <t>MW</t>
  </si>
  <si>
    <t>https://ec.europa.eu/eurostat/databrowser/view/nrg_bal_c__custom_22103112/default/table</t>
  </si>
  <si>
    <t>The data workbook shows which power plants were present in 2022 (with corresponding capacitites in MW), split into gas turbine and CCGT plants. The Eurostat Energy Balance, however, only reports combined electricity demand (2019) for gas plants, without distinguishing between the two types. To split this 2019 demand, we allocate it proportionally to each plant type's installed capacity in 2022.</t>
  </si>
  <si>
    <t>CCGT plant</t>
  </si>
  <si>
    <t>Gas turbine plant</t>
  </si>
  <si>
    <t>remark</t>
  </si>
  <si>
    <t>As the workbook distinguishes between more plant categories than simply gas turbines and CCGT, including plants that do not use CCGT technology, we examied the individual plants and categorized them accordingly ourselves.</t>
  </si>
  <si>
    <t>conversion to TJ</t>
  </si>
  <si>
    <t>h</t>
  </si>
  <si>
    <t>Eirgrid and SONI Data-workbook</t>
  </si>
  <si>
    <t>Share CCGT</t>
  </si>
  <si>
    <t>Share gas turbine</t>
  </si>
  <si>
    <r>
      <rPr>
        <b/>
        <i/>
        <sz val="11"/>
        <color theme="1"/>
        <rFont val="Satoshi"/>
      </rPr>
      <t>2022</t>
    </r>
    <r>
      <rPr>
        <i/>
        <sz val="11"/>
        <color theme="1"/>
        <rFont val="Satoshi"/>
      </rPr>
      <t xml:space="preserve"> (workbook) - installed capacity in MW</t>
    </r>
  </si>
  <si>
    <r>
      <rPr>
        <b/>
        <i/>
        <sz val="11"/>
        <color theme="1"/>
        <rFont val="Satoshi"/>
      </rPr>
      <t>2022</t>
    </r>
    <r>
      <rPr>
        <i/>
        <sz val="11"/>
        <color theme="1"/>
        <rFont val="Satoshi"/>
      </rPr>
      <t xml:space="preserve"> (workbook) - installed capacity in TJ</t>
    </r>
  </si>
  <si>
    <r>
      <t>2019</t>
    </r>
    <r>
      <rPr>
        <sz val="11"/>
        <color theme="1"/>
        <rFont val="Satoshi"/>
      </rPr>
      <t xml:space="preserve"> - Eurostat EB electricity demand gas plants</t>
    </r>
  </si>
  <si>
    <t>Input to output conversion</t>
  </si>
  <si>
    <t>Full load hours CCGT (ETM)</t>
  </si>
  <si>
    <t>Full load hours gas turbine plant (ETM)</t>
  </si>
  <si>
    <t>Efficiency CCGT (ETM)</t>
  </si>
  <si>
    <t>Efficiency gas turbine plant (ETM)</t>
  </si>
  <si>
    <t>Value retrieved from Ireland dataset update 2022</t>
  </si>
  <si>
    <t>Derived from the Eurostat Energy balance (2019). Gas demand for fossil electricity plants is distributed over gas turbines and CCGT plants proportionally to their installed capacities (source: EirGrid &amp; SONI, All Island Generation Capacity Statement Data Workbook, 2022). See &lt;a href="https://github.com/quintel/etdataset-public/tree/master/source_analyses/IE_ireland/2019/production/electricity.xlsx"&gt;this file&lt;/a&gt; for more information.</t>
  </si>
  <si>
    <t>Wind - inland</t>
  </si>
  <si>
    <t>Renewable Generation - IE</t>
  </si>
  <si>
    <t>3.5(a) Wind Power in Ireland</t>
  </si>
  <si>
    <t>Figure 3.3 - Assumed Build-out of renewables</t>
  </si>
  <si>
    <t>Year</t>
  </si>
  <si>
    <t>Waste (GW)</t>
  </si>
  <si>
    <t>Biomass (GW)</t>
  </si>
  <si>
    <t>Solar (GW)</t>
  </si>
  <si>
    <t>Onshore Wind (GW)</t>
  </si>
  <si>
    <t>Offshore Wind (GW)</t>
  </si>
  <si>
    <t>Hydro (GW)</t>
  </si>
  <si>
    <t>Figure 3.4 - The actual and normalised energy produced from wind power in Ireland over the last ten years</t>
  </si>
  <si>
    <t>Wind Installed Capacity (MW)</t>
  </si>
  <si>
    <t>Total Wind Generation (GWh)</t>
  </si>
  <si>
    <t>Normalised Wind Generation (GWh)</t>
  </si>
  <si>
    <t>Wind CapacityFactor</t>
  </si>
  <si>
    <t>Average Capacity Factor</t>
  </si>
  <si>
    <t>Table A3-2 Partially/Non-Dispatchable plant in Ireland (MW)</t>
  </si>
  <si>
    <t>At year end:</t>
  </si>
  <si>
    <t>Wind Onshore*</t>
  </si>
  <si>
    <t>Wind Offshore*</t>
  </si>
  <si>
    <t>Small Scale Hydro</t>
  </si>
  <si>
    <t>Biomass and Biogas</t>
  </si>
  <si>
    <t>Biomass CHP</t>
  </si>
  <si>
    <t>Industrial</t>
  </si>
  <si>
    <t>Conventional CHP</t>
  </si>
  <si>
    <t>Solar PV</t>
  </si>
  <si>
    <t>Total</t>
  </si>
  <si>
    <t>Table A3-3 All Renewable energy sources in Ireland (MW). We have assumed that the peat plant at Edenderry will be approximately 60% powered by biomass by 2021 and 100% biomass from 2024 onwards</t>
  </si>
  <si>
    <t>All Wind*</t>
  </si>
  <si>
    <t>All Hydro</t>
  </si>
  <si>
    <t>Biomass/LFG (including those units registered in the Capacity Market and Biomass CHP)</t>
  </si>
  <si>
    <t>Waste (Assume 50% renewable)</t>
  </si>
  <si>
    <t>Peat Stations on Biomass</t>
  </si>
  <si>
    <t>Solar</t>
  </si>
  <si>
    <t>Total RES</t>
  </si>
  <si>
    <t>GWh</t>
  </si>
  <si>
    <t>Normalised wind generation in GWh</t>
  </si>
  <si>
    <t>Normalised wind generation in TJ</t>
  </si>
  <si>
    <t>Full load hours</t>
  </si>
  <si>
    <t>Used the normalized generation, not the actual generation (total wind generation). Total wind generation reflects that specific year's weather (windy vs. calm year). The normalised figure corrects for that, showing what the installed capacity would have produced in an average wind year.</t>
  </si>
  <si>
    <t>EirGrid &amp; SONI, All Island Generation Capacity Statement Data Workbook, 2022. See &lt;a href="https://github.com/quintel/etdataset-public/tree/master/source_analyses/IE_ireland/2019/production/electricity.xlsx"&gt;this file&lt;/a&gt; for more information.</t>
  </si>
  <si>
    <t>input_energy_power_engine_diesel_production</t>
  </si>
  <si>
    <t>The data orginates from the Eurostat &lt;a href='https://ec.europa.eu/eurostat/databrowser/view/nrg_bal_c__custom_22103730/default/table'&gt;Energy balance&lt;/a&gt;, 2019, multiplied by its corresponding efficiency.</t>
  </si>
  <si>
    <t>Diesel plants</t>
  </si>
  <si>
    <t>Data extracted on 07/08/2026 13:58:44 from [ESTAT]</t>
  </si>
  <si>
    <t xml:space="preserve">Dataset: </t>
  </si>
  <si>
    <t>Complete energy balances [nrg_bal_c__custom_22103730]</t>
  </si>
  <si>
    <t xml:space="preserve">Last updated: </t>
  </si>
  <si>
    <t>02/06/2026 23:00</t>
  </si>
  <si>
    <t>Time frequency</t>
  </si>
  <si>
    <t>Annual</t>
  </si>
  <si>
    <t>Unit of measure</t>
  </si>
  <si>
    <t>Terajoule</t>
  </si>
  <si>
    <t>Geopolitical entity (reporting)</t>
  </si>
  <si>
    <t>Ireland</t>
  </si>
  <si>
    <t>Time</t>
  </si>
  <si>
    <t>2019</t>
  </si>
  <si>
    <t>NRG_BAL (Labels)</t>
  </si>
  <si>
    <t>Transformation input - electricity and heat generation - main activity producer electricity only - energy use</t>
  </si>
  <si>
    <t/>
  </si>
  <si>
    <t>SIEC (Labels)</t>
  </si>
  <si>
    <t>Gas oil and diesel oil (excluding biofuel portion)</t>
  </si>
  <si>
    <t>Special value</t>
  </si>
  <si>
    <t>:</t>
  </si>
  <si>
    <t>not available</t>
  </si>
  <si>
    <t>Based on complete energy balance from Eurostat. Converted to electricity output with efficiency from IE dataset</t>
  </si>
  <si>
    <t>Electricity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</si>
</sst>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
    <numFmt numFmtId="166" formatCode="#,##0.000"/>
  </numFmts>
  <fonts count="22" x14ac:knownFonts="1">
    <font>
      <sz val="11"/>
      <color theme="1"/>
      <name val="Satoshi"/>
      <family val="2"/>
    </font>
    <font>
      <sz val="11"/>
      <color theme="1"/>
      <name val="Satoshi"/>
      <family val="2"/>
    </font>
    <font>
      <sz val="10"/>
      <name val="Arial"/>
      <family val="2"/>
    </font>
    <font>
      <b/>
      <sz val="11"/>
      <color theme="1"/>
      <name val="Satoshi"/>
    </font>
    <font>
      <i/>
      <sz val="11"/>
      <color theme="1"/>
      <name val="Satoshi"/>
    </font>
    <font>
      <sz val="11"/>
      <color theme="1"/>
      <name val="Satoshi"/>
    </font>
    <font>
      <b/>
      <sz val="11"/>
      <color theme="4"/>
      <name val="Satoshi"/>
    </font>
    <font>
      <sz val="11"/>
      <color theme="4"/>
      <name val="Satoshi"/>
      <family val="2"/>
    </font>
    <font>
      <sz val="11"/>
      <color theme="1"/>
      <name val="Aptos Narrow"/>
      <family val="2"/>
      <scheme val="minor"/>
    </font>
    <font>
      <b/>
      <sz val="24"/>
      <color theme="0"/>
      <name val="Aptos Narrow"/>
      <family val="2"/>
      <scheme val="minor"/>
    </font>
    <font>
      <b/>
      <sz val="11"/>
      <color theme="1"/>
      <name val="Aptos Narrow"/>
      <family val="2"/>
      <scheme val="minor"/>
    </font>
    <font>
      <b/>
      <sz val="16"/>
      <color theme="0"/>
      <name val="Aptos Narrow"/>
      <family val="2"/>
      <scheme val="minor"/>
    </font>
    <font>
      <b/>
      <sz val="11"/>
      <color theme="0"/>
      <name val="Aptos Narrow"/>
      <family val="2"/>
      <scheme val="minor"/>
    </font>
    <font>
      <b/>
      <sz val="11"/>
      <color rgb="FF0070C0"/>
      <name val="Aptos Narrow"/>
      <scheme val="minor"/>
    </font>
    <font>
      <b/>
      <i/>
      <sz val="11"/>
      <color theme="1"/>
      <name val="Satoshi"/>
    </font>
    <font>
      <b/>
      <sz val="11"/>
      <color theme="0"/>
      <name val="Satoshi"/>
    </font>
    <font>
      <sz val="11"/>
      <color theme="0"/>
      <name val="Satoshi"/>
    </font>
    <font>
      <sz val="11"/>
      <name val="Satoshi"/>
      <family val="2"/>
    </font>
    <font>
      <sz val="11"/>
      <color indexed="8"/>
      <name val="Aptos Narrow"/>
      <family val="2"/>
      <scheme val="minor"/>
    </font>
    <font>
      <sz val="9"/>
      <name val="Arial"/>
      <family val="2"/>
    </font>
    <font>
      <b/>
      <sz val="9"/>
      <name val="Arial"/>
      <family val="2"/>
    </font>
    <font>
      <b/>
      <sz val="9"/>
      <color indexed="9"/>
      <name val="Arial"/>
      <family val="2"/>
    </font>
  </fonts>
  <fills count="14">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008C96"/>
        <bgColor indexed="64"/>
      </patternFill>
    </fill>
    <fill>
      <patternFill patternType="solid">
        <fgColor rgb="FF006373"/>
        <bgColor indexed="64"/>
      </patternFill>
    </fill>
    <fill>
      <patternFill patternType="solid">
        <fgColor rgb="FF3DAF2C"/>
        <bgColor indexed="64"/>
      </patternFill>
    </fill>
    <fill>
      <patternFill patternType="solid">
        <fgColor theme="8" tint="0.79998168889431442"/>
        <bgColor indexed="64"/>
      </patternFill>
    </fill>
    <fill>
      <patternFill patternType="solid">
        <fgColor theme="4"/>
        <bgColor indexed="64"/>
      </patternFill>
    </fill>
    <fill>
      <patternFill patternType="solid">
        <fgColor rgb="FF4669AF"/>
      </patternFill>
    </fill>
    <fill>
      <patternFill patternType="solid">
        <fgColor rgb="FF0096DC"/>
      </patternFill>
    </fill>
    <fill>
      <patternFill patternType="mediumGray">
        <bgColor indexed="22"/>
      </patternFill>
    </fill>
    <fill>
      <patternFill patternType="solid">
        <fgColor rgb="FFDCE6F1"/>
      </patternFill>
    </fill>
    <fill>
      <patternFill patternType="solid">
        <fgColor rgb="FFF6F6F6"/>
      </patternFill>
    </fill>
  </fills>
  <borders count="17">
    <border>
      <left/>
      <right/>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rgb="FFB0B0B0"/>
      </left>
      <right style="thin">
        <color rgb="FFB0B0B0"/>
      </right>
      <top style="thin">
        <color rgb="FFB0B0B0"/>
      </top>
      <bottom style="thin">
        <color rgb="FFB0B0B0"/>
      </bottom>
      <diagonal/>
    </border>
  </borders>
  <cellStyleXfs count="8">
    <xf numFmtId="0" fontId="0" fillId="0" borderId="0"/>
    <xf numFmtId="9" fontId="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8" fillId="0" borderId="0"/>
    <xf numFmtId="9" fontId="8" fillId="0" borderId="0" applyFont="0" applyFill="0" applyBorder="0" applyAlignment="0" applyProtection="0"/>
    <xf numFmtId="0" fontId="18" fillId="0" borderId="0"/>
  </cellStyleXfs>
  <cellXfs count="93">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0" fillId="0" borderId="0" xfId="0" applyAlignment="1">
      <alignment wrapText="1"/>
    </xf>
    <xf numFmtId="0" fontId="8" fillId="2" borderId="5" xfId="5" applyFill="1" applyBorder="1"/>
    <xf numFmtId="0" fontId="8" fillId="2" borderId="3" xfId="5" applyFill="1" applyBorder="1"/>
    <xf numFmtId="0" fontId="8" fillId="2" borderId="14" xfId="5" applyFill="1" applyBorder="1"/>
    <xf numFmtId="0" fontId="8" fillId="3" borderId="0" xfId="5" applyFill="1"/>
    <xf numFmtId="0" fontId="8" fillId="2" borderId="0" xfId="5" applyFill="1"/>
    <xf numFmtId="0" fontId="8" fillId="2" borderId="6" xfId="5" applyFill="1" applyBorder="1"/>
    <xf numFmtId="0" fontId="10" fillId="3" borderId="2" xfId="5" applyFont="1" applyFill="1" applyBorder="1" applyAlignment="1">
      <alignment horizontal="center"/>
    </xf>
    <xf numFmtId="0" fontId="10" fillId="3" borderId="0" xfId="5" applyFont="1" applyFill="1" applyAlignment="1">
      <alignment horizontal="center"/>
    </xf>
    <xf numFmtId="0" fontId="10" fillId="3" borderId="6" xfId="5" applyFont="1" applyFill="1" applyBorder="1" applyAlignment="1">
      <alignment horizontal="center"/>
    </xf>
    <xf numFmtId="0" fontId="8" fillId="2" borderId="2" xfId="5" applyFill="1" applyBorder="1"/>
    <xf numFmtId="0" fontId="8" fillId="3" borderId="2" xfId="5" applyFill="1" applyBorder="1"/>
    <xf numFmtId="0" fontId="8" fillId="3" borderId="6" xfId="5" applyFill="1" applyBorder="1"/>
    <xf numFmtId="0" fontId="10" fillId="7" borderId="4" xfId="5" applyFont="1" applyFill="1" applyBorder="1" applyAlignment="1">
      <alignment horizontal="center" vertical="center" wrapText="1"/>
    </xf>
    <xf numFmtId="0" fontId="10" fillId="7" borderId="11" xfId="5" applyFont="1" applyFill="1" applyBorder="1" applyAlignment="1">
      <alignment horizontal="center" vertical="center" wrapText="1"/>
    </xf>
    <xf numFmtId="0" fontId="8" fillId="3" borderId="11" xfId="5" applyFill="1" applyBorder="1" applyAlignment="1">
      <alignment horizontal="center"/>
    </xf>
    <xf numFmtId="0" fontId="8" fillId="3" borderId="11" xfId="5" applyFill="1" applyBorder="1" applyAlignment="1">
      <alignment horizontal="center" wrapText="1"/>
    </xf>
    <xf numFmtId="0" fontId="10" fillId="7" borderId="11" xfId="5" applyFont="1" applyFill="1" applyBorder="1" applyAlignment="1">
      <alignment horizontal="center"/>
    </xf>
    <xf numFmtId="0" fontId="8" fillId="3" borderId="0" xfId="5" applyFill="1" applyAlignment="1">
      <alignment horizontal="center"/>
    </xf>
    <xf numFmtId="0" fontId="10" fillId="3" borderId="0" xfId="5" applyFont="1" applyFill="1" applyAlignment="1">
      <alignment vertical="center" wrapText="1"/>
    </xf>
    <xf numFmtId="0" fontId="8" fillId="3" borderId="11" xfId="5" applyFill="1" applyBorder="1" applyAlignment="1">
      <alignment horizontal="center" vertical="center" wrapText="1"/>
    </xf>
    <xf numFmtId="0" fontId="8" fillId="3" borderId="0" xfId="5" applyFill="1" applyAlignment="1">
      <alignment vertical="center" wrapText="1"/>
    </xf>
    <xf numFmtId="0" fontId="8" fillId="3" borderId="9" xfId="5" applyFill="1" applyBorder="1"/>
    <xf numFmtId="0" fontId="8" fillId="3" borderId="8" xfId="5" applyFill="1" applyBorder="1"/>
    <xf numFmtId="0" fontId="8" fillId="3" borderId="15" xfId="5" applyFill="1" applyBorder="1"/>
    <xf numFmtId="0" fontId="8" fillId="2" borderId="9" xfId="5" applyFill="1" applyBorder="1"/>
    <xf numFmtId="0" fontId="8" fillId="2" borderId="8" xfId="5" applyFill="1" applyBorder="1"/>
    <xf numFmtId="0" fontId="8" fillId="2" borderId="15" xfId="5" applyFill="1" applyBorder="1"/>
    <xf numFmtId="0" fontId="8" fillId="0" borderId="6" xfId="5" applyBorder="1"/>
    <xf numFmtId="0" fontId="0" fillId="0" borderId="0" xfId="0" applyAlignment="1">
      <alignment horizontal="left" vertical="top" wrapText="1"/>
    </xf>
    <xf numFmtId="165" fontId="0" fillId="0" borderId="0" xfId="0" applyNumberFormat="1"/>
    <xf numFmtId="1" fontId="0" fillId="0" borderId="0" xfId="0" applyNumberFormat="1"/>
    <xf numFmtId="9" fontId="0" fillId="0" borderId="0" xfId="1" applyFont="1"/>
    <xf numFmtId="1" fontId="5" fillId="0" borderId="0" xfId="0" applyNumberFormat="1" applyFont="1"/>
    <xf numFmtId="1" fontId="6" fillId="0" borderId="0" xfId="0" applyNumberFormat="1" applyFont="1"/>
    <xf numFmtId="0" fontId="15" fillId="8" borderId="0" xfId="0" applyFont="1" applyFill="1"/>
    <xf numFmtId="0" fontId="16" fillId="8" borderId="0" xfId="0" applyFont="1" applyFill="1"/>
    <xf numFmtId="0" fontId="10" fillId="7" borderId="11" xfId="5" applyFont="1" applyFill="1" applyBorder="1" applyAlignment="1">
      <alignment horizontal="center" vertical="center"/>
    </xf>
    <xf numFmtId="0" fontId="8" fillId="3" borderId="11" xfId="5" applyFill="1" applyBorder="1" applyAlignment="1">
      <alignment horizontal="center" vertical="center"/>
    </xf>
    <xf numFmtId="9" fontId="0" fillId="3" borderId="11" xfId="6" applyFont="1" applyFill="1" applyBorder="1" applyAlignment="1">
      <alignment horizontal="center" vertical="center"/>
    </xf>
    <xf numFmtId="0" fontId="10" fillId="7" borderId="11" xfId="5" applyFont="1" applyFill="1" applyBorder="1" applyAlignment="1">
      <alignment horizontal="center" wrapText="1"/>
    </xf>
    <xf numFmtId="0" fontId="10" fillId="3" borderId="11" xfId="5" applyFont="1" applyFill="1" applyBorder="1" applyAlignment="1">
      <alignment horizontal="center" vertical="center"/>
    </xf>
    <xf numFmtId="1" fontId="17" fillId="0" borderId="0" xfId="0" applyNumberFormat="1" applyFont="1"/>
    <xf numFmtId="2" fontId="0" fillId="0" borderId="0" xfId="0" applyNumberFormat="1"/>
    <xf numFmtId="2" fontId="17" fillId="0" borderId="0" xfId="0" applyNumberFormat="1" applyFont="1"/>
    <xf numFmtId="0" fontId="0" fillId="0" borderId="0" xfId="0" applyAlignment="1">
      <alignment horizontal="left" vertical="top" wrapText="1"/>
    </xf>
    <xf numFmtId="0" fontId="15" fillId="8" borderId="0" xfId="0" applyFont="1" applyFill="1" applyAlignment="1">
      <alignment horizontal="left"/>
    </xf>
    <xf numFmtId="0" fontId="10" fillId="7" borderId="4" xfId="5" applyFont="1" applyFill="1" applyBorder="1" applyAlignment="1">
      <alignment horizontal="center" vertical="center"/>
    </xf>
    <xf numFmtId="0" fontId="10" fillId="7" borderId="1" xfId="5" applyFont="1" applyFill="1" applyBorder="1" applyAlignment="1">
      <alignment horizontal="center" vertical="center"/>
    </xf>
    <xf numFmtId="0" fontId="10" fillId="7" borderId="7" xfId="5" applyFont="1" applyFill="1" applyBorder="1" applyAlignment="1">
      <alignment horizontal="center" vertical="center"/>
    </xf>
    <xf numFmtId="0" fontId="8" fillId="3" borderId="4" xfId="5" applyFill="1" applyBorder="1" applyAlignment="1">
      <alignment horizontal="center" vertical="center"/>
    </xf>
    <xf numFmtId="0" fontId="8" fillId="3" borderId="1" xfId="5" applyFill="1" applyBorder="1" applyAlignment="1">
      <alignment horizontal="center" vertical="center"/>
    </xf>
    <xf numFmtId="0" fontId="8" fillId="3" borderId="7" xfId="5" applyFill="1" applyBorder="1" applyAlignment="1">
      <alignment horizontal="center" vertical="center"/>
    </xf>
    <xf numFmtId="0" fontId="8" fillId="3" borderId="11" xfId="5" applyFill="1" applyBorder="1" applyAlignment="1">
      <alignment horizontal="left" wrapText="1"/>
    </xf>
    <xf numFmtId="0" fontId="9" fillId="4" borderId="12" xfId="5" applyFont="1" applyFill="1" applyBorder="1" applyAlignment="1">
      <alignment horizontal="center"/>
    </xf>
    <xf numFmtId="0" fontId="9" fillId="4" borderId="10" xfId="5" applyFont="1" applyFill="1" applyBorder="1" applyAlignment="1">
      <alignment horizontal="center"/>
    </xf>
    <xf numFmtId="0" fontId="9" fillId="4" borderId="13" xfId="5" applyFont="1" applyFill="1" applyBorder="1" applyAlignment="1">
      <alignment horizontal="center"/>
    </xf>
    <xf numFmtId="0" fontId="11" fillId="5" borderId="12" xfId="5" applyFont="1" applyFill="1" applyBorder="1" applyAlignment="1">
      <alignment horizontal="left"/>
    </xf>
    <xf numFmtId="0" fontId="11" fillId="5" borderId="10" xfId="5" applyFont="1" applyFill="1" applyBorder="1" applyAlignment="1">
      <alignment horizontal="left"/>
    </xf>
    <xf numFmtId="0" fontId="11" fillId="5" borderId="13" xfId="5" applyFont="1" applyFill="1" applyBorder="1" applyAlignment="1">
      <alignment horizontal="left"/>
    </xf>
    <xf numFmtId="0" fontId="12" fillId="6" borderId="5" xfId="5" applyFont="1" applyFill="1" applyBorder="1" applyAlignment="1">
      <alignment horizontal="left" wrapText="1"/>
    </xf>
    <xf numFmtId="0" fontId="12" fillId="6" borderId="3" xfId="5" applyFont="1" applyFill="1" applyBorder="1" applyAlignment="1">
      <alignment horizontal="left" wrapText="1"/>
    </xf>
    <xf numFmtId="0" fontId="12" fillId="6" borderId="14" xfId="5" applyFont="1" applyFill="1" applyBorder="1" applyAlignment="1">
      <alignment horizontal="left" wrapText="1"/>
    </xf>
    <xf numFmtId="0" fontId="12" fillId="6" borderId="9" xfId="5" applyFont="1" applyFill="1" applyBorder="1" applyAlignment="1">
      <alignment horizontal="left" wrapText="1"/>
    </xf>
    <xf numFmtId="0" fontId="12" fillId="6" borderId="8" xfId="5" applyFont="1" applyFill="1" applyBorder="1" applyAlignment="1">
      <alignment horizontal="left" wrapText="1"/>
    </xf>
    <xf numFmtId="0" fontId="12" fillId="6" borderId="15" xfId="5" applyFont="1" applyFill="1" applyBorder="1" applyAlignment="1">
      <alignment horizontal="left" wrapText="1"/>
    </xf>
    <xf numFmtId="0" fontId="10" fillId="7" borderId="11" xfId="5" applyFont="1" applyFill="1" applyBorder="1" applyAlignment="1">
      <alignment horizontal="center" vertical="center" wrapText="1"/>
    </xf>
    <xf numFmtId="0" fontId="8" fillId="3" borderId="11" xfId="5" applyFill="1" applyBorder="1" applyAlignment="1">
      <alignment horizontal="left" vertical="center" wrapText="1"/>
    </xf>
    <xf numFmtId="0" fontId="10" fillId="7" borderId="4" xfId="5" applyFont="1" applyFill="1" applyBorder="1" applyAlignment="1">
      <alignment horizontal="center" vertical="center" wrapText="1"/>
    </xf>
    <xf numFmtId="0" fontId="10" fillId="7" borderId="1" xfId="5" applyFont="1" applyFill="1" applyBorder="1" applyAlignment="1">
      <alignment horizontal="center" vertical="center" wrapText="1"/>
    </xf>
    <xf numFmtId="0" fontId="10" fillId="7" borderId="7" xfId="5" applyFont="1" applyFill="1" applyBorder="1" applyAlignment="1">
      <alignment horizontal="center" vertical="center" wrapText="1"/>
    </xf>
    <xf numFmtId="0" fontId="8" fillId="3" borderId="11" xfId="5" applyFill="1" applyBorder="1" applyAlignment="1">
      <alignment vertical="center" wrapText="1"/>
    </xf>
    <xf numFmtId="0" fontId="10" fillId="7" borderId="11" xfId="5" applyFont="1" applyFill="1" applyBorder="1" applyAlignment="1">
      <alignment vertical="center" wrapText="1"/>
    </xf>
    <xf numFmtId="0" fontId="13" fillId="0" borderId="10" xfId="5" applyFont="1" applyBorder="1" applyAlignment="1">
      <alignment horizontal="left"/>
    </xf>
    <xf numFmtId="9" fontId="0" fillId="3" borderId="4" xfId="6" applyFont="1" applyFill="1" applyBorder="1" applyAlignment="1">
      <alignment horizontal="center" vertical="center"/>
    </xf>
    <xf numFmtId="9" fontId="0" fillId="3" borderId="1" xfId="6" applyFont="1" applyFill="1" applyBorder="1" applyAlignment="1">
      <alignment horizontal="center" vertical="center"/>
    </xf>
    <xf numFmtId="9" fontId="0" fillId="3" borderId="7" xfId="6" applyFont="1" applyFill="1" applyBorder="1" applyAlignment="1">
      <alignment horizontal="center" vertical="center"/>
    </xf>
    <xf numFmtId="0" fontId="19" fillId="0" borderId="0" xfId="7" applyFont="1" applyAlignment="1">
      <alignment horizontal="left" vertical="center"/>
    </xf>
    <xf numFmtId="0" fontId="18" fillId="0" borderId="0" xfId="7"/>
    <xf numFmtId="0" fontId="20" fillId="0" borderId="0" xfId="7" applyFont="1" applyAlignment="1">
      <alignment horizontal="left" vertical="center"/>
    </xf>
    <xf numFmtId="0" fontId="21" fillId="9" borderId="16" xfId="7" applyFont="1" applyFill="1" applyBorder="1" applyAlignment="1">
      <alignment horizontal="right" vertical="center"/>
    </xf>
    <xf numFmtId="0" fontId="21" fillId="9" borderId="16" xfId="7" applyFont="1" applyFill="1" applyBorder="1" applyAlignment="1">
      <alignment horizontal="left" vertical="center"/>
    </xf>
    <xf numFmtId="0" fontId="20" fillId="10" borderId="16" xfId="7" applyFont="1" applyFill="1" applyBorder="1" applyAlignment="1">
      <alignment horizontal="left" vertical="center"/>
    </xf>
    <xf numFmtId="0" fontId="18" fillId="11" borderId="0" xfId="7" applyFill="1"/>
    <xf numFmtId="0" fontId="20" fillId="12" borderId="16" xfId="7" applyFont="1" applyFill="1" applyBorder="1" applyAlignment="1">
      <alignment horizontal="left" vertical="center"/>
    </xf>
    <xf numFmtId="166" fontId="19" fillId="13" borderId="0" xfId="7" applyNumberFormat="1" applyFont="1" applyFill="1" applyAlignment="1">
      <alignment horizontal="right" vertical="center" shrinkToFit="1"/>
    </xf>
    <xf numFmtId="3" fontId="19" fillId="13" borderId="0" xfId="7" applyNumberFormat="1" applyFont="1" applyFill="1" applyAlignment="1">
      <alignment horizontal="right" vertical="center" shrinkToFit="1"/>
    </xf>
  </cellXfs>
  <cellStyles count="8">
    <cellStyle name="Comma 2" xfId="3" xr:uid="{BD35010E-CEC1-6F45-A2E2-E80E80565D75}"/>
    <cellStyle name="Normal" xfId="0" builtinId="0"/>
    <cellStyle name="Normal 2" xfId="2" xr:uid="{B19FF598-0129-9B44-A7F8-347101887576}"/>
    <cellStyle name="Normal 3" xfId="5" xr:uid="{DE982674-2C84-014A-A1D2-9C1758A61722}"/>
    <cellStyle name="Normal 4" xfId="7" xr:uid="{DCC063FD-0B82-AB4D-8836-FE1FBFD97365}"/>
    <cellStyle name="Per cent" xfId="1" builtinId="5"/>
    <cellStyle name="Per cent 2" xfId="4" xr:uid="{20F2E92B-69F7-2947-9FE5-1144524193DE}"/>
    <cellStyle name="Per cent 3" xfId="6" xr:uid="{47ABD04D-448A-634B-93B8-D63B9D4150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308246</xdr:colOff>
      <xdr:row>9</xdr:row>
      <xdr:rowOff>0</xdr:rowOff>
    </xdr:from>
    <xdr:to>
      <xdr:col>21</xdr:col>
      <xdr:colOff>0</xdr:colOff>
      <xdr:row>24</xdr:row>
      <xdr:rowOff>156537</xdr:rowOff>
    </xdr:to>
    <xdr:pic>
      <xdr:nvPicPr>
        <xdr:cNvPr id="2" name="Picture 1">
          <a:extLst>
            <a:ext uri="{FF2B5EF4-FFF2-40B4-BE49-F238E27FC236}">
              <a16:creationId xmlns:a16="http://schemas.microsoft.com/office/drawing/2014/main" id="{955B5C5E-6AF9-9D46-9207-2852A8397267}"/>
            </a:ext>
          </a:extLst>
        </xdr:cNvPr>
        <xdr:cNvPicPr>
          <a:picLocks noChangeAspect="1"/>
        </xdr:cNvPicPr>
      </xdr:nvPicPr>
      <xdr:blipFill>
        <a:blip xmlns:r="http://schemas.openxmlformats.org/officeDocument/2006/relationships" r:embed="rId1"/>
        <a:stretch>
          <a:fillRect/>
        </a:stretch>
      </xdr:blipFill>
      <xdr:spPr>
        <a:xfrm>
          <a:off x="9287146" y="1803400"/>
          <a:ext cx="6676754" cy="3801438"/>
        </a:xfrm>
        <a:prstGeom prst="rect">
          <a:avLst/>
        </a:prstGeom>
      </xdr:spPr>
    </xdr:pic>
    <xdr:clientData/>
  </xdr:twoCellAnchor>
  <xdr:twoCellAnchor editAs="oneCell">
    <xdr:from>
      <xdr:col>11</xdr:col>
      <xdr:colOff>369794</xdr:colOff>
      <xdr:row>33</xdr:row>
      <xdr:rowOff>22411</xdr:rowOff>
    </xdr:from>
    <xdr:to>
      <xdr:col>20</xdr:col>
      <xdr:colOff>608229</xdr:colOff>
      <xdr:row>48</xdr:row>
      <xdr:rowOff>117190</xdr:rowOff>
    </xdr:to>
    <xdr:pic>
      <xdr:nvPicPr>
        <xdr:cNvPr id="3" name="Picture 2">
          <a:extLst>
            <a:ext uri="{FF2B5EF4-FFF2-40B4-BE49-F238E27FC236}">
              <a16:creationId xmlns:a16="http://schemas.microsoft.com/office/drawing/2014/main" id="{1B823C4B-9977-5940-B6AF-4F2D19E5FCB9}"/>
            </a:ext>
          </a:extLst>
        </xdr:cNvPr>
        <xdr:cNvPicPr>
          <a:picLocks noChangeAspect="1"/>
        </xdr:cNvPicPr>
      </xdr:nvPicPr>
      <xdr:blipFill>
        <a:blip xmlns:r="http://schemas.openxmlformats.org/officeDocument/2006/relationships" r:embed="rId2"/>
        <a:stretch>
          <a:fillRect/>
        </a:stretch>
      </xdr:blipFill>
      <xdr:spPr>
        <a:xfrm>
          <a:off x="9348694" y="7185211"/>
          <a:ext cx="6524935" cy="35745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95C67-7F79-A84F-BFF1-5034DFEBB10B}">
  <dimension ref="A1:C9"/>
  <sheetViews>
    <sheetView tabSelected="1" zoomScale="114" workbookViewId="0">
      <selection activeCell="B7" sqref="B7"/>
    </sheetView>
  </sheetViews>
  <sheetFormatPr baseColWidth="10" defaultRowHeight="15" x14ac:dyDescent="0.2"/>
  <cols>
    <col min="1" max="1" width="41.125" bestFit="1" customWidth="1"/>
    <col min="2" max="2" width="12.25" bestFit="1" customWidth="1"/>
    <col min="3" max="3" width="53.25" customWidth="1"/>
  </cols>
  <sheetData>
    <row r="1" spans="1:3" x14ac:dyDescent="0.2">
      <c r="A1" t="s">
        <v>0</v>
      </c>
      <c r="B1" t="s">
        <v>1</v>
      </c>
      <c r="C1" t="s">
        <v>2</v>
      </c>
    </row>
    <row r="2" spans="1:3" ht="80" x14ac:dyDescent="0.2">
      <c r="A2" t="s">
        <v>3</v>
      </c>
      <c r="B2" s="49">
        <f>ROUND(Calculations!B7,2)</f>
        <v>2847.8</v>
      </c>
      <c r="C2" s="6" t="s">
        <v>21</v>
      </c>
    </row>
    <row r="3" spans="1:3" ht="80" x14ac:dyDescent="0.2">
      <c r="A3" t="s">
        <v>4</v>
      </c>
      <c r="B3">
        <f>Calculations!B9</f>
        <v>0</v>
      </c>
      <c r="C3" s="6" t="s">
        <v>21</v>
      </c>
    </row>
    <row r="4" spans="1:3" ht="80" x14ac:dyDescent="0.2">
      <c r="A4" t="s">
        <v>5</v>
      </c>
      <c r="B4">
        <f>Calculations!B10</f>
        <v>0</v>
      </c>
      <c r="C4" s="6" t="s">
        <v>21</v>
      </c>
    </row>
    <row r="5" spans="1:3" ht="95" customHeight="1" x14ac:dyDescent="0.2">
      <c r="A5" t="s">
        <v>6</v>
      </c>
      <c r="B5" s="37">
        <f>Calculations!B40</f>
        <v>5724.8305961897886</v>
      </c>
      <c r="C5" s="6" t="s">
        <v>153</v>
      </c>
    </row>
    <row r="6" spans="1:3" ht="92" customHeight="1" x14ac:dyDescent="0.2">
      <c r="A6" t="s">
        <v>7</v>
      </c>
      <c r="B6" s="49">
        <f>ROUND(Calculations!B39,2)</f>
        <v>40988.93</v>
      </c>
      <c r="C6" s="6" t="s">
        <v>153</v>
      </c>
    </row>
    <row r="7" spans="1:3" ht="64" x14ac:dyDescent="0.2">
      <c r="A7" t="s">
        <v>8</v>
      </c>
      <c r="B7" s="48">
        <f>Calculations!B52</f>
        <v>34632</v>
      </c>
      <c r="C7" s="6" t="s">
        <v>195</v>
      </c>
    </row>
    <row r="8" spans="1:3" ht="48" x14ac:dyDescent="0.2">
      <c r="A8" t="s">
        <v>196</v>
      </c>
      <c r="B8" s="50">
        <f>ROUND(Calculations!B47,2)</f>
        <v>196.99</v>
      </c>
      <c r="C8" s="6" t="s">
        <v>197</v>
      </c>
    </row>
    <row r="9" spans="1:3" ht="64" x14ac:dyDescent="0.2">
      <c r="A9" t="s">
        <v>9</v>
      </c>
      <c r="B9" s="50">
        <f>ROUND(Calculations!B53,2)</f>
        <v>2313.11</v>
      </c>
      <c r="C9" s="6" t="s">
        <v>195</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16A2F-9EAC-944D-9191-AA9880B45910}">
  <sheetPr>
    <tabColor theme="4"/>
  </sheetPr>
  <dimension ref="A1:I53"/>
  <sheetViews>
    <sheetView topLeftCell="A2" workbookViewId="0">
      <selection activeCell="B47" sqref="B47"/>
    </sheetView>
  </sheetViews>
  <sheetFormatPr baseColWidth="10" defaultRowHeight="15" x14ac:dyDescent="0.2"/>
  <cols>
    <col min="1" max="1" width="31.5" customWidth="1"/>
    <col min="3" max="3" width="10.625" customWidth="1"/>
    <col min="4" max="4" width="20.875" customWidth="1"/>
    <col min="8" max="8" width="10.375" customWidth="1"/>
    <col min="9" max="9" width="10.625" customWidth="1"/>
  </cols>
  <sheetData>
    <row r="1" spans="1:9" x14ac:dyDescent="0.2">
      <c r="A1" s="41" t="s">
        <v>130</v>
      </c>
      <c r="B1" s="42"/>
      <c r="C1" s="42"/>
      <c r="D1" s="42"/>
      <c r="E1" s="42"/>
      <c r="F1" s="42"/>
      <c r="G1" s="42"/>
      <c r="H1" s="42"/>
      <c r="I1" s="42"/>
    </row>
    <row r="2" spans="1:9" ht="51" customHeight="1" x14ac:dyDescent="0.2">
      <c r="A2" s="51" t="s">
        <v>129</v>
      </c>
      <c r="B2" s="51"/>
      <c r="C2" s="51"/>
      <c r="D2" s="51"/>
      <c r="E2" s="51"/>
      <c r="F2" s="51"/>
      <c r="G2" s="51"/>
      <c r="H2" s="51"/>
      <c r="I2" s="51"/>
    </row>
    <row r="4" spans="1:9" x14ac:dyDescent="0.2">
      <c r="B4" s="2" t="s">
        <v>1</v>
      </c>
      <c r="C4" s="2" t="s">
        <v>13</v>
      </c>
      <c r="D4" s="2" t="s">
        <v>11</v>
      </c>
    </row>
    <row r="5" spans="1:9" x14ac:dyDescent="0.2">
      <c r="A5" t="s">
        <v>12</v>
      </c>
      <c r="B5" s="37">
        <v>6190.8639999999996</v>
      </c>
      <c r="C5" t="s">
        <v>14</v>
      </c>
      <c r="D5" t="s">
        <v>10</v>
      </c>
    </row>
    <row r="6" spans="1:9" x14ac:dyDescent="0.2">
      <c r="A6" t="s">
        <v>15</v>
      </c>
      <c r="B6">
        <v>46</v>
      </c>
      <c r="C6" t="s">
        <v>16</v>
      </c>
      <c r="D6" t="s">
        <v>17</v>
      </c>
      <c r="E6" s="2"/>
    </row>
    <row r="7" spans="1:9" x14ac:dyDescent="0.2">
      <c r="A7" s="4" t="s">
        <v>18</v>
      </c>
      <c r="B7" s="40">
        <f>B5*B6/100</f>
        <v>2847.7974400000003</v>
      </c>
      <c r="C7" s="4" t="s">
        <v>14</v>
      </c>
      <c r="E7" s="2"/>
    </row>
    <row r="9" spans="1:9" x14ac:dyDescent="0.2">
      <c r="A9" s="5" t="s">
        <v>19</v>
      </c>
      <c r="B9" s="5">
        <v>0</v>
      </c>
      <c r="C9" s="5" t="s">
        <v>14</v>
      </c>
      <c r="E9" s="3"/>
    </row>
    <row r="10" spans="1:9" x14ac:dyDescent="0.2">
      <c r="A10" s="5" t="s">
        <v>20</v>
      </c>
      <c r="B10" s="5">
        <v>0</v>
      </c>
      <c r="C10" s="5" t="s">
        <v>14</v>
      </c>
    </row>
    <row r="13" spans="1:9" x14ac:dyDescent="0.2">
      <c r="A13" s="41" t="s">
        <v>131</v>
      </c>
      <c r="B13" s="42"/>
      <c r="C13" s="42"/>
      <c r="D13" s="42"/>
      <c r="E13" s="42"/>
      <c r="F13" s="42"/>
      <c r="G13" s="42"/>
      <c r="H13" s="42"/>
      <c r="I13" s="42"/>
    </row>
    <row r="14" spans="1:9" ht="34" customHeight="1" x14ac:dyDescent="0.2">
      <c r="A14" s="51" t="s">
        <v>134</v>
      </c>
      <c r="B14" s="51"/>
      <c r="C14" s="51"/>
      <c r="D14" s="51"/>
      <c r="E14" s="51"/>
      <c r="F14" s="51"/>
      <c r="G14" s="51"/>
      <c r="H14" s="51"/>
      <c r="I14" s="51"/>
    </row>
    <row r="15" spans="1:9" ht="18" customHeight="1" x14ac:dyDescent="0.2">
      <c r="A15" s="35"/>
      <c r="B15" s="35"/>
      <c r="C15" s="35"/>
      <c r="D15" s="35"/>
      <c r="E15" s="35"/>
      <c r="F15" s="35"/>
      <c r="G15" s="35"/>
      <c r="H15" s="35"/>
      <c r="I15" s="35"/>
    </row>
    <row r="16" spans="1:9" x14ac:dyDescent="0.2">
      <c r="A16" s="2" t="s">
        <v>144</v>
      </c>
      <c r="B16" s="2" t="s">
        <v>1</v>
      </c>
      <c r="C16" s="2" t="s">
        <v>13</v>
      </c>
      <c r="D16" s="2" t="s">
        <v>11</v>
      </c>
      <c r="E16" s="2" t="s">
        <v>137</v>
      </c>
    </row>
    <row r="17" spans="1:5" x14ac:dyDescent="0.2">
      <c r="A17" t="s">
        <v>135</v>
      </c>
      <c r="B17">
        <f>SUM('GCS data-workbook (gas)'!G29:G32,'GCS data-workbook (gas)'!G35,'GCS data-workbook (gas)'!G42,'GCS data-workbook (gas)'!G43:G44,'GCS data-workbook (gas)'!G51:G52,'GCS data-workbook (gas)'!G64,'GCS data-workbook (gas)'!G65)</f>
        <v>3650</v>
      </c>
      <c r="C17" t="s">
        <v>132</v>
      </c>
      <c r="D17" t="s">
        <v>141</v>
      </c>
      <c r="E17" t="s">
        <v>138</v>
      </c>
    </row>
    <row r="18" spans="1:5" x14ac:dyDescent="0.2">
      <c r="A18" t="s">
        <v>136</v>
      </c>
      <c r="B18">
        <f>SUM('GCS data-workbook (gas)'!G53:G54,'GCS data-workbook (gas)'!G55:G56,'GCS data-workbook (gas)'!G61:G62)</f>
        <v>370</v>
      </c>
      <c r="C18" t="s">
        <v>132</v>
      </c>
      <c r="D18" t="s">
        <v>141</v>
      </c>
      <c r="E18" t="s">
        <v>138</v>
      </c>
    </row>
    <row r="20" spans="1:5" x14ac:dyDescent="0.2">
      <c r="A20" s="2" t="s">
        <v>139</v>
      </c>
    </row>
    <row r="21" spans="1:5" x14ac:dyDescent="0.2">
      <c r="A21" t="s">
        <v>148</v>
      </c>
      <c r="B21" s="37">
        <v>3742.0988390000002</v>
      </c>
      <c r="C21" t="s">
        <v>140</v>
      </c>
      <c r="D21" t="s">
        <v>152</v>
      </c>
    </row>
    <row r="22" spans="1:5" x14ac:dyDescent="0.2">
      <c r="A22" t="s">
        <v>149</v>
      </c>
      <c r="B22">
        <v>8000</v>
      </c>
      <c r="C22" t="s">
        <v>140</v>
      </c>
      <c r="D22" t="s">
        <v>152</v>
      </c>
    </row>
    <row r="24" spans="1:5" x14ac:dyDescent="0.2">
      <c r="A24" s="2" t="s">
        <v>145</v>
      </c>
    </row>
    <row r="25" spans="1:5" x14ac:dyDescent="0.2">
      <c r="A25" t="s">
        <v>135</v>
      </c>
      <c r="B25" s="37">
        <f>B17*B21*0.0036</f>
        <v>49171.178744459998</v>
      </c>
      <c r="C25" t="s">
        <v>14</v>
      </c>
    </row>
    <row r="26" spans="1:5" x14ac:dyDescent="0.2">
      <c r="A26" t="s">
        <v>136</v>
      </c>
      <c r="B26" s="37">
        <f>B18*B22*0.0036</f>
        <v>10656</v>
      </c>
      <c r="C26" t="s">
        <v>14</v>
      </c>
    </row>
    <row r="28" spans="1:5" x14ac:dyDescent="0.2">
      <c r="A28" t="s">
        <v>142</v>
      </c>
      <c r="B28" s="36">
        <f>B25/SUM(B25:B26) *100</f>
        <v>82.188697137942938</v>
      </c>
      <c r="C28" t="s">
        <v>16</v>
      </c>
    </row>
    <row r="29" spans="1:5" x14ac:dyDescent="0.2">
      <c r="A29" t="s">
        <v>143</v>
      </c>
      <c r="B29" s="36">
        <f>B26/SUM(B25:B26) *100</f>
        <v>17.811302862057065</v>
      </c>
      <c r="C29" s="38" t="s">
        <v>16</v>
      </c>
    </row>
    <row r="31" spans="1:5" x14ac:dyDescent="0.2">
      <c r="A31" s="1" t="s">
        <v>146</v>
      </c>
      <c r="B31">
        <v>94534</v>
      </c>
      <c r="C31" t="s">
        <v>14</v>
      </c>
      <c r="D31" t="s">
        <v>133</v>
      </c>
    </row>
    <row r="32" spans="1:5" x14ac:dyDescent="0.2">
      <c r="A32" s="3" t="s">
        <v>135</v>
      </c>
      <c r="B32" s="39">
        <f>B31*B28/100</f>
        <v>77696.262952382967</v>
      </c>
      <c r="C32" s="3" t="s">
        <v>14</v>
      </c>
    </row>
    <row r="33" spans="1:9" x14ac:dyDescent="0.2">
      <c r="A33" s="3" t="s">
        <v>136</v>
      </c>
      <c r="B33" s="39">
        <f>B31*B29/100</f>
        <v>16837.737047617025</v>
      </c>
      <c r="C33" s="3" t="s">
        <v>14</v>
      </c>
    </row>
    <row r="35" spans="1:9" x14ac:dyDescent="0.2">
      <c r="A35" s="2" t="s">
        <v>147</v>
      </c>
    </row>
    <row r="36" spans="1:9" x14ac:dyDescent="0.2">
      <c r="A36" t="s">
        <v>150</v>
      </c>
      <c r="B36" s="37">
        <v>52.755340522601898</v>
      </c>
      <c r="C36" t="s">
        <v>16</v>
      </c>
      <c r="D36" t="s">
        <v>17</v>
      </c>
    </row>
    <row r="37" spans="1:9" x14ac:dyDescent="0.2">
      <c r="A37" t="s">
        <v>151</v>
      </c>
      <c r="B37">
        <v>34</v>
      </c>
      <c r="C37" t="s">
        <v>16</v>
      </c>
      <c r="D37" t="s">
        <v>17</v>
      </c>
    </row>
    <row r="39" spans="1:9" x14ac:dyDescent="0.2">
      <c r="A39" s="4" t="s">
        <v>135</v>
      </c>
      <c r="B39" s="40">
        <f>B32*B36/100</f>
        <v>40988.928093865819</v>
      </c>
      <c r="C39" s="4" t="s">
        <v>14</v>
      </c>
    </row>
    <row r="40" spans="1:9" x14ac:dyDescent="0.2">
      <c r="A40" s="4" t="s">
        <v>136</v>
      </c>
      <c r="B40" s="40">
        <f>B33*B37/100</f>
        <v>5724.8305961897886</v>
      </c>
      <c r="C40" s="4" t="s">
        <v>14</v>
      </c>
    </row>
    <row r="41" spans="1:9" x14ac:dyDescent="0.2">
      <c r="A41" s="4"/>
      <c r="B41" s="40"/>
      <c r="C41" s="4"/>
    </row>
    <row r="42" spans="1:9" x14ac:dyDescent="0.2">
      <c r="A42" s="4"/>
      <c r="B42" s="40"/>
      <c r="C42" s="4"/>
    </row>
    <row r="43" spans="1:9" x14ac:dyDescent="0.2">
      <c r="A43" s="41" t="s">
        <v>198</v>
      </c>
      <c r="B43" s="41"/>
      <c r="C43" s="41"/>
      <c r="D43" s="41"/>
      <c r="E43" s="41"/>
      <c r="F43" s="41"/>
      <c r="G43" s="41"/>
      <c r="H43" s="41"/>
      <c r="I43" s="41"/>
    </row>
    <row r="44" spans="1:9" x14ac:dyDescent="0.2">
      <c r="A44" s="51" t="s">
        <v>220</v>
      </c>
      <c r="B44" s="51"/>
      <c r="C44" s="51"/>
      <c r="D44" s="51"/>
      <c r="E44" s="51"/>
      <c r="F44" s="51"/>
      <c r="G44" s="51"/>
      <c r="H44" s="51"/>
      <c r="I44" s="51"/>
    </row>
    <row r="45" spans="1:9" x14ac:dyDescent="0.2">
      <c r="A45" t="s">
        <v>12</v>
      </c>
      <c r="B45">
        <f>Eurostat!B12</f>
        <v>518.4</v>
      </c>
      <c r="C45" t="s">
        <v>14</v>
      </c>
    </row>
    <row r="46" spans="1:9" x14ac:dyDescent="0.2">
      <c r="A46" t="s">
        <v>15</v>
      </c>
      <c r="B46" s="38">
        <v>0.38</v>
      </c>
    </row>
    <row r="47" spans="1:9" x14ac:dyDescent="0.2">
      <c r="A47" s="4" t="s">
        <v>221</v>
      </c>
      <c r="B47" s="40">
        <f>B45*B46</f>
        <v>196.99199999999999</v>
      </c>
      <c r="C47" s="4" t="s">
        <v>14</v>
      </c>
    </row>
    <row r="48" spans="1:9" x14ac:dyDescent="0.2">
      <c r="A48" s="4"/>
      <c r="B48" s="40"/>
      <c r="C48" s="4"/>
    </row>
    <row r="50" spans="1:9" x14ac:dyDescent="0.2">
      <c r="A50" s="52" t="s">
        <v>154</v>
      </c>
      <c r="B50" s="52"/>
      <c r="C50" s="52"/>
      <c r="D50" s="52"/>
      <c r="E50" s="52"/>
      <c r="F50" s="52"/>
      <c r="G50" s="52"/>
      <c r="H50" s="52"/>
      <c r="I50" s="52"/>
    </row>
    <row r="51" spans="1:9" x14ac:dyDescent="0.2">
      <c r="A51" t="s">
        <v>191</v>
      </c>
      <c r="B51">
        <f>'GCS data-workbook (wind)'!F43</f>
        <v>9620</v>
      </c>
      <c r="C51" t="s">
        <v>190</v>
      </c>
      <c r="D51" t="s">
        <v>194</v>
      </c>
    </row>
    <row r="52" spans="1:9" x14ac:dyDescent="0.2">
      <c r="A52" s="4" t="s">
        <v>192</v>
      </c>
      <c r="B52" s="4">
        <f>B51 *3.6</f>
        <v>34632</v>
      </c>
      <c r="C52" s="4" t="s">
        <v>14</v>
      </c>
    </row>
    <row r="53" spans="1:9" x14ac:dyDescent="0.2">
      <c r="A53" s="4" t="s">
        <v>193</v>
      </c>
      <c r="B53" s="40">
        <f>'GCS data-workbook (wind)'!E43/'GCS data-workbook (wind)'!D43 *1000</f>
        <v>2313.1067961165049</v>
      </c>
      <c r="C53" s="4" t="s">
        <v>140</v>
      </c>
    </row>
  </sheetData>
  <mergeCells count="4">
    <mergeCell ref="A2:I2"/>
    <mergeCell ref="A14:I14"/>
    <mergeCell ref="A50:I50"/>
    <mergeCell ref="A44:I44"/>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387A6-1E7C-A348-8474-BCF0F4D79CFD}">
  <sheetPr>
    <tabColor theme="1"/>
  </sheetPr>
  <dimension ref="A1:W70"/>
  <sheetViews>
    <sheetView topLeftCell="A27" zoomScaleNormal="85" workbookViewId="0">
      <selection activeCell="F41" sqref="F41"/>
    </sheetView>
  </sheetViews>
  <sheetFormatPr baseColWidth="10" defaultColWidth="6.875" defaultRowHeight="15" x14ac:dyDescent="0.2"/>
  <cols>
    <col min="1" max="1" width="2.875" style="10" customWidth="1"/>
    <col min="2" max="2" width="2.625" style="10" customWidth="1"/>
    <col min="3" max="3" width="12.375" style="10" customWidth="1"/>
    <col min="4" max="4" width="9.375" style="10" customWidth="1"/>
    <col min="5" max="5" width="10.875" style="10" customWidth="1"/>
    <col min="6" max="8" width="9.375" style="10" customWidth="1"/>
    <col min="9" max="21" width="6.875" style="10"/>
    <col min="22" max="22" width="2.625" style="10" customWidth="1"/>
    <col min="23" max="23" width="3" style="10" customWidth="1"/>
    <col min="24" max="16384" width="6.875" style="10"/>
  </cols>
  <sheetData>
    <row r="1" spans="1:23" x14ac:dyDescent="0.2">
      <c r="A1" s="7"/>
      <c r="B1" s="8"/>
      <c r="C1" s="8"/>
      <c r="D1" s="8"/>
      <c r="E1" s="8"/>
      <c r="F1" s="8"/>
      <c r="G1" s="8"/>
      <c r="H1" s="8"/>
      <c r="I1" s="8"/>
      <c r="J1" s="8"/>
      <c r="K1" s="8"/>
      <c r="L1" s="8"/>
      <c r="M1" s="8"/>
      <c r="N1" s="8"/>
      <c r="O1" s="8"/>
      <c r="P1" s="8"/>
      <c r="Q1" s="8"/>
      <c r="R1" s="8"/>
      <c r="S1" s="8"/>
      <c r="T1" s="8"/>
      <c r="U1" s="8"/>
      <c r="V1" s="8"/>
      <c r="W1" s="9"/>
    </row>
    <row r="2" spans="1:23" x14ac:dyDescent="0.2">
      <c r="A2" s="11"/>
      <c r="B2" s="79" t="s">
        <v>128</v>
      </c>
      <c r="C2" s="79"/>
      <c r="D2" s="79"/>
      <c r="E2" s="79"/>
      <c r="F2" s="79"/>
      <c r="G2" s="79"/>
      <c r="H2" s="79"/>
      <c r="I2" s="79"/>
      <c r="J2" s="79"/>
      <c r="K2" s="79"/>
      <c r="L2" s="79"/>
      <c r="M2" s="79"/>
      <c r="N2" s="79"/>
      <c r="O2" s="79"/>
      <c r="P2" s="79"/>
      <c r="Q2" s="79"/>
      <c r="R2" s="79"/>
      <c r="S2" s="79"/>
      <c r="T2" s="79"/>
      <c r="U2" s="79"/>
      <c r="V2" s="79"/>
      <c r="W2" s="34"/>
    </row>
    <row r="3" spans="1:23" ht="32" x14ac:dyDescent="0.4">
      <c r="A3" s="11"/>
      <c r="B3" s="60" t="s">
        <v>22</v>
      </c>
      <c r="C3" s="61"/>
      <c r="D3" s="61"/>
      <c r="E3" s="61"/>
      <c r="F3" s="61"/>
      <c r="G3" s="61"/>
      <c r="H3" s="61"/>
      <c r="I3" s="61"/>
      <c r="J3" s="61"/>
      <c r="K3" s="61"/>
      <c r="L3" s="61"/>
      <c r="M3" s="61"/>
      <c r="N3" s="61"/>
      <c r="O3" s="61"/>
      <c r="P3" s="61"/>
      <c r="Q3" s="61"/>
      <c r="R3" s="61"/>
      <c r="S3" s="61"/>
      <c r="T3" s="61"/>
      <c r="U3" s="61"/>
      <c r="V3" s="62"/>
      <c r="W3" s="12"/>
    </row>
    <row r="4" spans="1:23" x14ac:dyDescent="0.2">
      <c r="A4" s="11"/>
      <c r="B4" s="13"/>
      <c r="C4" s="14"/>
      <c r="D4" s="14"/>
      <c r="E4" s="14"/>
      <c r="F4" s="14"/>
      <c r="G4" s="14"/>
      <c r="H4" s="14"/>
      <c r="I4" s="14"/>
      <c r="J4" s="14"/>
      <c r="K4" s="14"/>
      <c r="L4" s="14"/>
      <c r="M4" s="14"/>
      <c r="N4" s="14"/>
      <c r="O4" s="14"/>
      <c r="P4" s="14"/>
      <c r="Q4" s="14"/>
      <c r="R4" s="14"/>
      <c r="S4" s="14"/>
      <c r="T4" s="14"/>
      <c r="U4" s="14"/>
      <c r="V4" s="15"/>
      <c r="W4" s="12"/>
    </row>
    <row r="5" spans="1:23" ht="22" x14ac:dyDescent="0.3">
      <c r="A5" s="11"/>
      <c r="B5" s="63" t="s">
        <v>23</v>
      </c>
      <c r="C5" s="64"/>
      <c r="D5" s="64"/>
      <c r="E5" s="64"/>
      <c r="F5" s="64"/>
      <c r="G5" s="64"/>
      <c r="H5" s="64"/>
      <c r="I5" s="64"/>
      <c r="J5" s="64"/>
      <c r="K5" s="64"/>
      <c r="L5" s="64"/>
      <c r="M5" s="64"/>
      <c r="N5" s="64"/>
      <c r="O5" s="64"/>
      <c r="P5" s="64"/>
      <c r="Q5" s="64"/>
      <c r="R5" s="64"/>
      <c r="S5" s="64"/>
      <c r="T5" s="64"/>
      <c r="U5" s="64"/>
      <c r="V5" s="65"/>
      <c r="W5" s="12"/>
    </row>
    <row r="6" spans="1:23" x14ac:dyDescent="0.2">
      <c r="A6" s="16"/>
      <c r="B6" s="17"/>
      <c r="V6" s="18"/>
      <c r="W6" s="12"/>
    </row>
    <row r="7" spans="1:23" ht="15" customHeight="1" x14ac:dyDescent="0.2">
      <c r="A7" s="11"/>
      <c r="B7" s="66" t="s">
        <v>24</v>
      </c>
      <c r="C7" s="67"/>
      <c r="D7" s="67"/>
      <c r="E7" s="67"/>
      <c r="F7" s="67"/>
      <c r="G7" s="67"/>
      <c r="H7" s="67"/>
      <c r="I7" s="67"/>
      <c r="J7" s="67"/>
      <c r="K7" s="67"/>
      <c r="L7" s="67"/>
      <c r="M7" s="67"/>
      <c r="N7" s="67"/>
      <c r="O7" s="67"/>
      <c r="P7" s="67"/>
      <c r="Q7" s="67"/>
      <c r="R7" s="67"/>
      <c r="S7" s="67"/>
      <c r="T7" s="67"/>
      <c r="U7" s="67"/>
      <c r="V7" s="68"/>
      <c r="W7" s="12"/>
    </row>
    <row r="8" spans="1:23" x14ac:dyDescent="0.2">
      <c r="A8" s="11"/>
      <c r="B8" s="69"/>
      <c r="C8" s="70"/>
      <c r="D8" s="70"/>
      <c r="E8" s="70"/>
      <c r="F8" s="70"/>
      <c r="G8" s="70"/>
      <c r="H8" s="70"/>
      <c r="I8" s="70"/>
      <c r="J8" s="70"/>
      <c r="K8" s="70"/>
      <c r="L8" s="70"/>
      <c r="M8" s="70"/>
      <c r="N8" s="70"/>
      <c r="O8" s="70"/>
      <c r="P8" s="70"/>
      <c r="Q8" s="70"/>
      <c r="R8" s="70"/>
      <c r="S8" s="70"/>
      <c r="T8" s="70"/>
      <c r="U8" s="70"/>
      <c r="V8" s="71"/>
      <c r="W8" s="12"/>
    </row>
    <row r="9" spans="1:23" x14ac:dyDescent="0.2">
      <c r="A9" s="11"/>
      <c r="B9" s="17"/>
      <c r="V9" s="18"/>
      <c r="W9" s="12"/>
    </row>
    <row r="10" spans="1:23" ht="48" x14ac:dyDescent="0.2">
      <c r="A10" s="11"/>
      <c r="B10" s="17"/>
      <c r="C10" s="19" t="s">
        <v>25</v>
      </c>
      <c r="D10" s="19" t="s">
        <v>26</v>
      </c>
      <c r="E10" s="19" t="s">
        <v>27</v>
      </c>
      <c r="F10" s="19" t="s">
        <v>28</v>
      </c>
      <c r="G10" s="72" t="s">
        <v>29</v>
      </c>
      <c r="H10" s="72"/>
      <c r="I10" s="72"/>
      <c r="J10" s="72"/>
      <c r="K10" s="72"/>
      <c r="L10" s="72"/>
      <c r="M10" s="72"/>
      <c r="N10" s="72"/>
      <c r="O10" s="72"/>
      <c r="P10" s="72"/>
      <c r="V10" s="18"/>
      <c r="W10" s="12"/>
    </row>
    <row r="11" spans="1:23" ht="30" customHeight="1" x14ac:dyDescent="0.2">
      <c r="A11" s="11"/>
      <c r="B11" s="17"/>
      <c r="C11" s="53" t="s">
        <v>30</v>
      </c>
      <c r="D11" s="21" t="s">
        <v>31</v>
      </c>
      <c r="E11" s="21">
        <v>90</v>
      </c>
      <c r="F11" s="21">
        <v>2023</v>
      </c>
      <c r="G11" s="59" t="s">
        <v>32</v>
      </c>
      <c r="H11" s="59"/>
      <c r="I11" s="59"/>
      <c r="J11" s="59"/>
      <c r="K11" s="59"/>
      <c r="L11" s="59"/>
      <c r="M11" s="59"/>
      <c r="N11" s="59"/>
      <c r="O11" s="59"/>
      <c r="P11" s="59"/>
      <c r="V11" s="18"/>
      <c r="W11" s="12"/>
    </row>
    <row r="12" spans="1:23" ht="48" x14ac:dyDescent="0.2">
      <c r="A12" s="11"/>
      <c r="B12" s="17"/>
      <c r="C12" s="55"/>
      <c r="D12" s="21" t="s">
        <v>33</v>
      </c>
      <c r="E12" s="21">
        <v>449</v>
      </c>
      <c r="F12" s="22" t="s">
        <v>34</v>
      </c>
      <c r="G12" s="73" t="s">
        <v>35</v>
      </c>
      <c r="H12" s="73"/>
      <c r="I12" s="73"/>
      <c r="J12" s="73"/>
      <c r="K12" s="73"/>
      <c r="L12" s="73"/>
      <c r="M12" s="73"/>
      <c r="N12" s="73"/>
      <c r="O12" s="73"/>
      <c r="P12" s="73"/>
      <c r="V12" s="18"/>
      <c r="W12" s="12"/>
    </row>
    <row r="13" spans="1:23" ht="30" customHeight="1" x14ac:dyDescent="0.2">
      <c r="A13" s="11"/>
      <c r="B13" s="17"/>
      <c r="C13" s="53" t="s">
        <v>36</v>
      </c>
      <c r="D13" s="21" t="s">
        <v>37</v>
      </c>
      <c r="E13" s="21">
        <v>54</v>
      </c>
      <c r="F13" s="21">
        <v>2021</v>
      </c>
      <c r="G13" s="59" t="s">
        <v>38</v>
      </c>
      <c r="H13" s="59"/>
      <c r="I13" s="59"/>
      <c r="J13" s="59"/>
      <c r="K13" s="59"/>
      <c r="L13" s="59"/>
      <c r="M13" s="59"/>
      <c r="N13" s="59"/>
      <c r="O13" s="59"/>
      <c r="P13" s="59"/>
      <c r="V13" s="18"/>
      <c r="W13" s="12"/>
    </row>
    <row r="14" spans="1:23" ht="30" customHeight="1" x14ac:dyDescent="0.2">
      <c r="A14" s="11"/>
      <c r="B14" s="17"/>
      <c r="C14" s="54"/>
      <c r="D14" s="21" t="s">
        <v>39</v>
      </c>
      <c r="E14" s="21">
        <v>54</v>
      </c>
      <c r="F14" s="21">
        <v>2021</v>
      </c>
      <c r="G14" s="59" t="s">
        <v>40</v>
      </c>
      <c r="H14" s="59"/>
      <c r="I14" s="59"/>
      <c r="J14" s="59"/>
      <c r="K14" s="59"/>
      <c r="L14" s="59"/>
      <c r="M14" s="59"/>
      <c r="N14" s="59"/>
      <c r="O14" s="59"/>
      <c r="P14" s="59"/>
      <c r="V14" s="18"/>
      <c r="W14" s="12"/>
    </row>
    <row r="15" spans="1:23" x14ac:dyDescent="0.2">
      <c r="A15" s="11"/>
      <c r="B15" s="17"/>
      <c r="C15" s="54"/>
      <c r="D15" s="21" t="s">
        <v>41</v>
      </c>
      <c r="E15" s="21">
        <v>241</v>
      </c>
      <c r="F15" s="21">
        <v>2023</v>
      </c>
      <c r="G15" s="59" t="s">
        <v>42</v>
      </c>
      <c r="H15" s="59"/>
      <c r="I15" s="59"/>
      <c r="J15" s="59"/>
      <c r="K15" s="59"/>
      <c r="L15" s="59"/>
      <c r="M15" s="59"/>
      <c r="N15" s="59"/>
      <c r="O15" s="59"/>
      <c r="P15" s="59"/>
      <c r="V15" s="18"/>
      <c r="W15" s="12"/>
    </row>
    <row r="16" spans="1:23" ht="30.75" customHeight="1" x14ac:dyDescent="0.2">
      <c r="A16" s="11"/>
      <c r="B16" s="17"/>
      <c r="C16" s="55"/>
      <c r="D16" s="21" t="s">
        <v>43</v>
      </c>
      <c r="E16" s="21">
        <v>243</v>
      </c>
      <c r="F16" s="21">
        <v>2021</v>
      </c>
      <c r="G16" s="59" t="s">
        <v>44</v>
      </c>
      <c r="H16" s="59"/>
      <c r="I16" s="59"/>
      <c r="J16" s="59"/>
      <c r="K16" s="59"/>
      <c r="L16" s="59"/>
      <c r="M16" s="59"/>
      <c r="N16" s="59"/>
      <c r="O16" s="59"/>
      <c r="P16" s="59"/>
      <c r="V16" s="18"/>
      <c r="W16" s="12"/>
    </row>
    <row r="17" spans="1:23" ht="15" customHeight="1" x14ac:dyDescent="0.2">
      <c r="A17" s="11"/>
      <c r="B17" s="17"/>
      <c r="C17" s="53" t="s">
        <v>45</v>
      </c>
      <c r="D17" s="21" t="s">
        <v>46</v>
      </c>
      <c r="E17" s="21">
        <v>285</v>
      </c>
      <c r="F17" s="56">
        <v>2024</v>
      </c>
      <c r="G17" s="59" t="s">
        <v>47</v>
      </c>
      <c r="H17" s="59"/>
      <c r="I17" s="59"/>
      <c r="J17" s="59"/>
      <c r="K17" s="59"/>
      <c r="L17" s="59"/>
      <c r="M17" s="59"/>
      <c r="N17" s="59"/>
      <c r="O17" s="59"/>
      <c r="P17" s="59"/>
      <c r="V17" s="18"/>
      <c r="W17" s="12"/>
    </row>
    <row r="18" spans="1:23" x14ac:dyDescent="0.2">
      <c r="A18" s="11"/>
      <c r="B18" s="17"/>
      <c r="C18" s="54"/>
      <c r="D18" s="21" t="s">
        <v>48</v>
      </c>
      <c r="E18" s="21">
        <v>250</v>
      </c>
      <c r="F18" s="57"/>
      <c r="G18" s="59"/>
      <c r="H18" s="59"/>
      <c r="I18" s="59"/>
      <c r="J18" s="59"/>
      <c r="K18" s="59"/>
      <c r="L18" s="59"/>
      <c r="M18" s="59"/>
      <c r="N18" s="59"/>
      <c r="O18" s="59"/>
      <c r="P18" s="59"/>
      <c r="V18" s="18"/>
      <c r="W18" s="12"/>
    </row>
    <row r="19" spans="1:23" x14ac:dyDescent="0.2">
      <c r="A19" s="11"/>
      <c r="B19" s="17"/>
      <c r="C19" s="55"/>
      <c r="D19" s="21" t="s">
        <v>49</v>
      </c>
      <c r="E19" s="21">
        <v>285</v>
      </c>
      <c r="F19" s="58"/>
      <c r="G19" s="59"/>
      <c r="H19" s="59"/>
      <c r="I19" s="59"/>
      <c r="J19" s="59"/>
      <c r="K19" s="59"/>
      <c r="L19" s="59"/>
      <c r="M19" s="59"/>
      <c r="N19" s="59"/>
      <c r="O19" s="59"/>
      <c r="P19" s="59"/>
      <c r="V19" s="18"/>
      <c r="W19" s="12"/>
    </row>
    <row r="20" spans="1:23" ht="31.5" customHeight="1" x14ac:dyDescent="0.2">
      <c r="A20" s="11"/>
      <c r="B20" s="17"/>
      <c r="C20" s="23" t="s">
        <v>50</v>
      </c>
      <c r="D20" s="21" t="s">
        <v>51</v>
      </c>
      <c r="E20" s="21">
        <v>118</v>
      </c>
      <c r="F20" s="21">
        <v>2030</v>
      </c>
      <c r="G20" s="59" t="s">
        <v>52</v>
      </c>
      <c r="H20" s="59"/>
      <c r="I20" s="59"/>
      <c r="J20" s="59"/>
      <c r="K20" s="59"/>
      <c r="L20" s="59"/>
      <c r="M20" s="59"/>
      <c r="N20" s="59"/>
      <c r="O20" s="59"/>
      <c r="P20" s="59"/>
      <c r="V20" s="18"/>
      <c r="W20" s="12"/>
    </row>
    <row r="21" spans="1:23" x14ac:dyDescent="0.2">
      <c r="A21" s="11"/>
      <c r="B21" s="17"/>
      <c r="C21" s="14"/>
      <c r="D21" s="24"/>
      <c r="E21" s="24"/>
      <c r="F21" s="24"/>
      <c r="G21" s="24"/>
      <c r="H21" s="24"/>
      <c r="I21" s="24"/>
      <c r="J21" s="24"/>
      <c r="V21" s="18"/>
      <c r="W21" s="12"/>
    </row>
    <row r="22" spans="1:23" x14ac:dyDescent="0.2">
      <c r="A22" s="16"/>
      <c r="B22" s="17"/>
      <c r="V22" s="18"/>
      <c r="W22" s="12"/>
    </row>
    <row r="23" spans="1:23" ht="22" x14ac:dyDescent="0.3">
      <c r="A23" s="16"/>
      <c r="B23" s="63" t="s">
        <v>53</v>
      </c>
      <c r="C23" s="64"/>
      <c r="D23" s="64"/>
      <c r="E23" s="64"/>
      <c r="F23" s="64"/>
      <c r="G23" s="64"/>
      <c r="H23" s="64"/>
      <c r="I23" s="64"/>
      <c r="J23" s="64"/>
      <c r="K23" s="64"/>
      <c r="L23" s="64"/>
      <c r="M23" s="64"/>
      <c r="N23" s="64"/>
      <c r="O23" s="64"/>
      <c r="P23" s="64"/>
      <c r="Q23" s="64"/>
      <c r="R23" s="64"/>
      <c r="S23" s="64"/>
      <c r="T23" s="64"/>
      <c r="U23" s="64"/>
      <c r="V23" s="65"/>
      <c r="W23" s="12"/>
    </row>
    <row r="24" spans="1:23" x14ac:dyDescent="0.2">
      <c r="A24" s="16"/>
      <c r="B24" s="17"/>
      <c r="V24" s="18"/>
      <c r="W24" s="12"/>
    </row>
    <row r="25" spans="1:23" x14ac:dyDescent="0.2">
      <c r="A25" s="16"/>
      <c r="B25" s="66" t="s">
        <v>54</v>
      </c>
      <c r="C25" s="67"/>
      <c r="D25" s="67"/>
      <c r="E25" s="67"/>
      <c r="F25" s="67"/>
      <c r="G25" s="67"/>
      <c r="H25" s="67"/>
      <c r="I25" s="67"/>
      <c r="J25" s="67"/>
      <c r="K25" s="67"/>
      <c r="L25" s="67"/>
      <c r="M25" s="67"/>
      <c r="N25" s="67"/>
      <c r="O25" s="67"/>
      <c r="P25" s="67"/>
      <c r="Q25" s="67"/>
      <c r="R25" s="67"/>
      <c r="S25" s="67"/>
      <c r="T25" s="67"/>
      <c r="U25" s="67"/>
      <c r="V25" s="68"/>
      <c r="W25" s="12"/>
    </row>
    <row r="26" spans="1:23" x14ac:dyDescent="0.2">
      <c r="A26" s="16"/>
      <c r="B26" s="69"/>
      <c r="C26" s="70"/>
      <c r="D26" s="70"/>
      <c r="E26" s="70"/>
      <c r="F26" s="70"/>
      <c r="G26" s="70"/>
      <c r="H26" s="70"/>
      <c r="I26" s="70"/>
      <c r="J26" s="70"/>
      <c r="K26" s="70"/>
      <c r="L26" s="70"/>
      <c r="M26" s="70"/>
      <c r="N26" s="70"/>
      <c r="O26" s="70"/>
      <c r="P26" s="70"/>
      <c r="Q26" s="70"/>
      <c r="R26" s="70"/>
      <c r="S26" s="70"/>
      <c r="T26" s="70"/>
      <c r="U26" s="70"/>
      <c r="V26" s="71"/>
      <c r="W26" s="12"/>
    </row>
    <row r="27" spans="1:23" x14ac:dyDescent="0.2">
      <c r="A27" s="16"/>
      <c r="B27" s="17"/>
      <c r="V27" s="18"/>
      <c r="W27" s="12"/>
    </row>
    <row r="28" spans="1:23" ht="32" x14ac:dyDescent="0.2">
      <c r="A28" s="16"/>
      <c r="B28" s="17"/>
      <c r="C28" s="20"/>
      <c r="D28" s="20" t="s">
        <v>55</v>
      </c>
      <c r="E28" s="20" t="s">
        <v>56</v>
      </c>
      <c r="F28" s="20" t="s">
        <v>57</v>
      </c>
      <c r="G28" s="20" t="s">
        <v>58</v>
      </c>
      <c r="H28" s="72" t="s">
        <v>29</v>
      </c>
      <c r="I28" s="72"/>
      <c r="J28" s="72"/>
      <c r="K28" s="72"/>
      <c r="L28" s="72"/>
      <c r="M28" s="25"/>
      <c r="N28" s="25"/>
      <c r="V28" s="18"/>
      <c r="W28" s="12"/>
    </row>
    <row r="29" spans="1:23" ht="15" customHeight="1" x14ac:dyDescent="0.2">
      <c r="A29" s="16"/>
      <c r="B29" s="17"/>
      <c r="C29" s="74" t="s">
        <v>59</v>
      </c>
      <c r="D29" s="26" t="s">
        <v>31</v>
      </c>
      <c r="E29" s="26" t="s">
        <v>60</v>
      </c>
      <c r="F29" s="26" t="s">
        <v>61</v>
      </c>
      <c r="G29" s="26">
        <v>90</v>
      </c>
      <c r="H29" s="77" t="s">
        <v>62</v>
      </c>
      <c r="I29" s="77"/>
      <c r="J29" s="77"/>
      <c r="K29" s="77"/>
      <c r="L29" s="77"/>
      <c r="M29" s="27"/>
      <c r="N29" s="27"/>
      <c r="V29" s="18"/>
      <c r="W29" s="12"/>
    </row>
    <row r="30" spans="1:23" ht="16" x14ac:dyDescent="0.2">
      <c r="A30" s="16"/>
      <c r="B30" s="17"/>
      <c r="C30" s="75"/>
      <c r="D30" s="26" t="s">
        <v>63</v>
      </c>
      <c r="E30" s="26" t="s">
        <v>60</v>
      </c>
      <c r="F30" s="26" t="s">
        <v>61</v>
      </c>
      <c r="G30" s="26">
        <v>90</v>
      </c>
      <c r="H30" s="77"/>
      <c r="I30" s="77"/>
      <c r="J30" s="77"/>
      <c r="K30" s="77"/>
      <c r="L30" s="77"/>
      <c r="M30" s="27"/>
      <c r="N30" s="27"/>
      <c r="V30" s="18"/>
      <c r="W30" s="12"/>
    </row>
    <row r="31" spans="1:23" ht="16" x14ac:dyDescent="0.2">
      <c r="A31" s="16"/>
      <c r="B31" s="17"/>
      <c r="C31" s="75"/>
      <c r="D31" s="26" t="s">
        <v>64</v>
      </c>
      <c r="E31" s="26" t="s">
        <v>60</v>
      </c>
      <c r="F31" s="26" t="s">
        <v>61</v>
      </c>
      <c r="G31" s="26">
        <v>90</v>
      </c>
      <c r="H31" s="77"/>
      <c r="I31" s="77"/>
      <c r="J31" s="77"/>
      <c r="K31" s="77"/>
      <c r="L31" s="77"/>
      <c r="M31" s="27"/>
      <c r="N31" s="27"/>
      <c r="V31" s="18"/>
      <c r="W31" s="12"/>
    </row>
    <row r="32" spans="1:23" ht="15" customHeight="1" x14ac:dyDescent="0.2">
      <c r="A32" s="16"/>
      <c r="B32" s="17"/>
      <c r="C32" s="76"/>
      <c r="D32" s="26" t="s">
        <v>33</v>
      </c>
      <c r="E32" s="26" t="s">
        <v>60</v>
      </c>
      <c r="F32" s="26" t="s">
        <v>61</v>
      </c>
      <c r="G32" s="26">
        <v>449</v>
      </c>
      <c r="H32" s="77" t="s">
        <v>65</v>
      </c>
      <c r="I32" s="77"/>
      <c r="J32" s="77"/>
      <c r="K32" s="77"/>
      <c r="L32" s="77"/>
      <c r="M32" s="27"/>
      <c r="N32" s="27"/>
      <c r="V32" s="18"/>
      <c r="W32" s="12"/>
    </row>
    <row r="33" spans="1:23" ht="16" x14ac:dyDescent="0.2">
      <c r="A33" s="16"/>
      <c r="B33" s="17"/>
      <c r="C33" s="20" t="s">
        <v>66</v>
      </c>
      <c r="D33" s="26" t="s">
        <v>67</v>
      </c>
      <c r="E33" s="26" t="s">
        <v>67</v>
      </c>
      <c r="F33" s="26" t="s">
        <v>67</v>
      </c>
      <c r="G33" s="26">
        <v>604</v>
      </c>
      <c r="H33" s="77"/>
      <c r="I33" s="77"/>
      <c r="J33" s="77"/>
      <c r="K33" s="77"/>
      <c r="L33" s="77"/>
      <c r="M33" s="27"/>
      <c r="N33" s="27"/>
      <c r="V33" s="18"/>
      <c r="W33" s="12"/>
    </row>
    <row r="34" spans="1:23" ht="16" x14ac:dyDescent="0.2">
      <c r="A34" s="16"/>
      <c r="B34" s="17"/>
      <c r="C34" s="20" t="s">
        <v>68</v>
      </c>
      <c r="D34" s="26" t="s">
        <v>69</v>
      </c>
      <c r="E34" s="26" t="s">
        <v>70</v>
      </c>
      <c r="F34" s="26" t="s">
        <v>70</v>
      </c>
      <c r="G34" s="26">
        <v>86</v>
      </c>
      <c r="H34" s="77"/>
      <c r="I34" s="77"/>
      <c r="J34" s="77"/>
      <c r="K34" s="77"/>
      <c r="L34" s="77"/>
      <c r="M34" s="27"/>
      <c r="N34" s="27"/>
      <c r="V34" s="18"/>
      <c r="W34" s="12"/>
    </row>
    <row r="35" spans="1:23" ht="16" x14ac:dyDescent="0.2">
      <c r="A35" s="16"/>
      <c r="B35" s="17"/>
      <c r="C35" s="20" t="s">
        <v>71</v>
      </c>
      <c r="D35" s="26" t="s">
        <v>72</v>
      </c>
      <c r="E35" s="26" t="s">
        <v>60</v>
      </c>
      <c r="F35" s="26" t="s">
        <v>61</v>
      </c>
      <c r="G35" s="26">
        <v>415</v>
      </c>
      <c r="H35" s="77"/>
      <c r="I35" s="77"/>
      <c r="J35" s="77"/>
      <c r="K35" s="77"/>
      <c r="L35" s="77"/>
      <c r="M35" s="27"/>
      <c r="N35" s="27"/>
      <c r="V35" s="18"/>
      <c r="W35" s="12"/>
    </row>
    <row r="36" spans="1:23" ht="16" x14ac:dyDescent="0.2">
      <c r="A36" s="16"/>
      <c r="B36" s="17"/>
      <c r="C36" s="20" t="s">
        <v>73</v>
      </c>
      <c r="D36" s="26" t="s">
        <v>74</v>
      </c>
      <c r="E36" s="26" t="s">
        <v>75</v>
      </c>
      <c r="F36" s="26" t="s">
        <v>76</v>
      </c>
      <c r="G36" s="26">
        <v>61</v>
      </c>
      <c r="H36" s="77"/>
      <c r="I36" s="77"/>
      <c r="J36" s="77"/>
      <c r="K36" s="77"/>
      <c r="L36" s="77"/>
      <c r="M36" s="27"/>
      <c r="N36" s="27"/>
      <c r="V36" s="18"/>
      <c r="W36" s="12"/>
    </row>
    <row r="37" spans="1:23" ht="30" customHeight="1" x14ac:dyDescent="0.2">
      <c r="A37" s="16"/>
      <c r="B37" s="17"/>
      <c r="C37" s="74" t="s">
        <v>77</v>
      </c>
      <c r="D37" s="26" t="s">
        <v>51</v>
      </c>
      <c r="E37" s="26" t="s">
        <v>78</v>
      </c>
      <c r="F37" s="26" t="s">
        <v>76</v>
      </c>
      <c r="G37" s="26">
        <v>118</v>
      </c>
      <c r="H37" s="77" t="s">
        <v>79</v>
      </c>
      <c r="I37" s="77"/>
      <c r="J37" s="77"/>
      <c r="K37" s="77"/>
      <c r="L37" s="77"/>
      <c r="M37" s="27"/>
      <c r="N37" s="27"/>
      <c r="V37" s="18"/>
      <c r="W37" s="12"/>
    </row>
    <row r="38" spans="1:23" ht="15" customHeight="1" x14ac:dyDescent="0.2">
      <c r="A38" s="16"/>
      <c r="B38" s="17"/>
      <c r="C38" s="75"/>
      <c r="D38" s="26" t="s">
        <v>80</v>
      </c>
      <c r="E38" s="26" t="s">
        <v>81</v>
      </c>
      <c r="F38" s="26" t="s">
        <v>61</v>
      </c>
      <c r="G38" s="26">
        <v>58</v>
      </c>
      <c r="H38" s="77" t="s">
        <v>82</v>
      </c>
      <c r="I38" s="77"/>
      <c r="J38" s="77"/>
      <c r="K38" s="77"/>
      <c r="L38" s="77"/>
      <c r="M38" s="27"/>
      <c r="N38" s="27"/>
      <c r="V38" s="18"/>
      <c r="W38" s="12"/>
    </row>
    <row r="39" spans="1:23" ht="15" customHeight="1" x14ac:dyDescent="0.2">
      <c r="A39" s="16"/>
      <c r="B39" s="17"/>
      <c r="C39" s="76"/>
      <c r="D39" s="26" t="s">
        <v>83</v>
      </c>
      <c r="E39" s="26" t="s">
        <v>81</v>
      </c>
      <c r="F39" s="26" t="s">
        <v>61</v>
      </c>
      <c r="G39" s="26">
        <v>58</v>
      </c>
      <c r="H39" s="77" t="s">
        <v>82</v>
      </c>
      <c r="I39" s="77"/>
      <c r="J39" s="77"/>
      <c r="K39" s="77"/>
      <c r="L39" s="77"/>
      <c r="M39" s="27"/>
      <c r="N39" s="27"/>
      <c r="V39" s="18"/>
      <c r="W39" s="12"/>
    </row>
    <row r="40" spans="1:23" ht="16" x14ac:dyDescent="0.2">
      <c r="A40" s="16"/>
      <c r="B40" s="17"/>
      <c r="C40" s="20" t="s">
        <v>84</v>
      </c>
      <c r="D40" s="26" t="s">
        <v>85</v>
      </c>
      <c r="E40" s="26" t="s">
        <v>70</v>
      </c>
      <c r="F40" s="26" t="s">
        <v>70</v>
      </c>
      <c r="G40" s="26">
        <v>65</v>
      </c>
      <c r="H40" s="77"/>
      <c r="I40" s="77"/>
      <c r="J40" s="77"/>
      <c r="K40" s="77"/>
      <c r="L40" s="77"/>
      <c r="M40" s="27"/>
      <c r="N40" s="27"/>
      <c r="V40" s="18"/>
      <c r="W40" s="12"/>
    </row>
    <row r="41" spans="1:23" ht="32" x14ac:dyDescent="0.2">
      <c r="A41" s="16"/>
      <c r="B41" s="17"/>
      <c r="C41" s="20" t="s">
        <v>86</v>
      </c>
      <c r="D41" s="26" t="s">
        <v>87</v>
      </c>
      <c r="E41" s="26" t="s">
        <v>88</v>
      </c>
      <c r="F41" s="26"/>
      <c r="G41" s="26">
        <v>500</v>
      </c>
      <c r="H41" s="77"/>
      <c r="I41" s="77"/>
      <c r="J41" s="77"/>
      <c r="K41" s="77"/>
      <c r="L41" s="77"/>
      <c r="M41" s="27"/>
      <c r="N41" s="27"/>
      <c r="V41" s="18"/>
      <c r="W41" s="12"/>
    </row>
    <row r="42" spans="1:23" ht="16" x14ac:dyDescent="0.2">
      <c r="A42" s="16"/>
      <c r="B42" s="17"/>
      <c r="C42" s="20" t="s">
        <v>89</v>
      </c>
      <c r="D42" s="26" t="s">
        <v>90</v>
      </c>
      <c r="E42" s="26" t="s">
        <v>60</v>
      </c>
      <c r="F42" s="26" t="s">
        <v>61</v>
      </c>
      <c r="G42" s="26">
        <v>464</v>
      </c>
      <c r="H42" s="77"/>
      <c r="I42" s="77"/>
      <c r="J42" s="77"/>
      <c r="K42" s="77"/>
      <c r="L42" s="77"/>
      <c r="M42" s="27"/>
      <c r="N42" s="27"/>
      <c r="V42" s="18"/>
      <c r="W42" s="12"/>
    </row>
    <row r="43" spans="1:23" ht="16" x14ac:dyDescent="0.2">
      <c r="A43" s="16"/>
      <c r="B43" s="17"/>
      <c r="C43" s="74" t="s">
        <v>91</v>
      </c>
      <c r="D43" s="26" t="s">
        <v>92</v>
      </c>
      <c r="E43" s="26" t="s">
        <v>60</v>
      </c>
      <c r="F43" s="26" t="s">
        <v>61</v>
      </c>
      <c r="G43" s="26">
        <v>337</v>
      </c>
      <c r="H43" s="77"/>
      <c r="I43" s="77"/>
      <c r="J43" s="77"/>
      <c r="K43" s="77"/>
      <c r="L43" s="77"/>
      <c r="M43" s="27"/>
      <c r="N43" s="27"/>
      <c r="V43" s="18"/>
      <c r="W43" s="12"/>
    </row>
    <row r="44" spans="1:23" ht="16" x14ac:dyDescent="0.2">
      <c r="A44" s="16"/>
      <c r="B44" s="17"/>
      <c r="C44" s="76"/>
      <c r="D44" s="26" t="s">
        <v>93</v>
      </c>
      <c r="E44" s="26" t="s">
        <v>60</v>
      </c>
      <c r="F44" s="26" t="s">
        <v>61</v>
      </c>
      <c r="G44" s="26">
        <v>408</v>
      </c>
      <c r="H44" s="77"/>
      <c r="I44" s="77"/>
      <c r="J44" s="77"/>
      <c r="K44" s="77"/>
      <c r="L44" s="77"/>
      <c r="M44" s="27"/>
      <c r="N44" s="27"/>
      <c r="V44" s="18"/>
      <c r="W44" s="12"/>
    </row>
    <row r="45" spans="1:23" ht="16" x14ac:dyDescent="0.2">
      <c r="A45" s="16"/>
      <c r="B45" s="17"/>
      <c r="C45" s="20" t="s">
        <v>94</v>
      </c>
      <c r="D45" s="26" t="s">
        <v>95</v>
      </c>
      <c r="E45" s="26" t="s">
        <v>75</v>
      </c>
      <c r="F45" s="26" t="s">
        <v>76</v>
      </c>
      <c r="G45" s="26">
        <v>17</v>
      </c>
      <c r="H45" s="77"/>
      <c r="I45" s="77"/>
      <c r="J45" s="77"/>
      <c r="K45" s="77"/>
      <c r="L45" s="77"/>
      <c r="M45" s="27"/>
      <c r="N45" s="27"/>
      <c r="V45" s="18"/>
      <c r="W45" s="12"/>
    </row>
    <row r="46" spans="1:23" ht="16" x14ac:dyDescent="0.2">
      <c r="A46" s="16"/>
      <c r="B46" s="17"/>
      <c r="C46" s="20" t="s">
        <v>96</v>
      </c>
      <c r="D46" s="26" t="s">
        <v>97</v>
      </c>
      <c r="E46" s="26" t="s">
        <v>70</v>
      </c>
      <c r="F46" s="26" t="s">
        <v>70</v>
      </c>
      <c r="G46" s="26">
        <v>27</v>
      </c>
      <c r="H46" s="77"/>
      <c r="I46" s="77"/>
      <c r="J46" s="77"/>
      <c r="K46" s="77"/>
      <c r="L46" s="77"/>
      <c r="M46" s="27"/>
      <c r="N46" s="27"/>
      <c r="V46" s="18"/>
      <c r="W46" s="12"/>
    </row>
    <row r="47" spans="1:23" ht="16" x14ac:dyDescent="0.2">
      <c r="A47" s="16"/>
      <c r="B47" s="17"/>
      <c r="C47" s="20" t="s">
        <v>98</v>
      </c>
      <c r="D47" s="26" t="s">
        <v>99</v>
      </c>
      <c r="E47" s="26" t="s">
        <v>70</v>
      </c>
      <c r="F47" s="26" t="s">
        <v>70</v>
      </c>
      <c r="G47" s="26">
        <v>38</v>
      </c>
      <c r="H47" s="77"/>
      <c r="I47" s="77"/>
      <c r="J47" s="77"/>
      <c r="K47" s="77"/>
      <c r="L47" s="77"/>
      <c r="M47" s="27"/>
      <c r="N47" s="27"/>
      <c r="V47" s="18"/>
      <c r="W47" s="12"/>
    </row>
    <row r="48" spans="1:23" ht="30" customHeight="1" x14ac:dyDescent="0.2">
      <c r="A48" s="16"/>
      <c r="B48" s="17"/>
      <c r="C48" s="74" t="s">
        <v>45</v>
      </c>
      <c r="D48" s="26" t="s">
        <v>46</v>
      </c>
      <c r="E48" s="26" t="s">
        <v>100</v>
      </c>
      <c r="F48" s="26" t="s">
        <v>76</v>
      </c>
      <c r="G48" s="26">
        <v>285</v>
      </c>
      <c r="H48" s="77" t="s">
        <v>101</v>
      </c>
      <c r="I48" s="77"/>
      <c r="J48" s="77"/>
      <c r="K48" s="77"/>
      <c r="L48" s="77"/>
      <c r="M48" s="27"/>
      <c r="N48" s="27"/>
      <c r="V48" s="18"/>
      <c r="W48" s="12"/>
    </row>
    <row r="49" spans="1:23" ht="30" customHeight="1" x14ac:dyDescent="0.2">
      <c r="A49" s="16"/>
      <c r="B49" s="17"/>
      <c r="C49" s="75"/>
      <c r="D49" s="26" t="s">
        <v>48</v>
      </c>
      <c r="E49" s="26" t="s">
        <v>102</v>
      </c>
      <c r="F49" s="26" t="s">
        <v>76</v>
      </c>
      <c r="G49" s="26">
        <v>250</v>
      </c>
      <c r="H49" s="77" t="s">
        <v>101</v>
      </c>
      <c r="I49" s="77"/>
      <c r="J49" s="77"/>
      <c r="K49" s="77"/>
      <c r="L49" s="77"/>
      <c r="M49" s="27"/>
      <c r="N49" s="27"/>
      <c r="V49" s="18"/>
      <c r="W49" s="12"/>
    </row>
    <row r="50" spans="1:23" ht="30" customHeight="1" x14ac:dyDescent="0.2">
      <c r="A50" s="16"/>
      <c r="B50" s="17"/>
      <c r="C50" s="76"/>
      <c r="D50" s="26" t="s">
        <v>49</v>
      </c>
      <c r="E50" s="26" t="s">
        <v>100</v>
      </c>
      <c r="F50" s="26" t="s">
        <v>76</v>
      </c>
      <c r="G50" s="26">
        <v>285</v>
      </c>
      <c r="H50" s="77" t="s">
        <v>101</v>
      </c>
      <c r="I50" s="77"/>
      <c r="J50" s="77"/>
      <c r="K50" s="77"/>
      <c r="L50" s="77"/>
      <c r="M50" s="27"/>
      <c r="N50" s="27"/>
      <c r="V50" s="18"/>
      <c r="W50" s="12"/>
    </row>
    <row r="51" spans="1:23" ht="16" x14ac:dyDescent="0.2">
      <c r="A51" s="16"/>
      <c r="B51" s="17"/>
      <c r="C51" s="74" t="s">
        <v>103</v>
      </c>
      <c r="D51" s="26" t="s">
        <v>104</v>
      </c>
      <c r="E51" s="26" t="s">
        <v>60</v>
      </c>
      <c r="F51" s="26" t="s">
        <v>61</v>
      </c>
      <c r="G51" s="26">
        <v>234</v>
      </c>
      <c r="H51" s="77"/>
      <c r="I51" s="77"/>
      <c r="J51" s="77"/>
      <c r="K51" s="77"/>
      <c r="L51" s="77"/>
      <c r="M51" s="27"/>
      <c r="N51" s="27"/>
      <c r="V51" s="18"/>
      <c r="W51" s="12"/>
    </row>
    <row r="52" spans="1:23" ht="16" x14ac:dyDescent="0.2">
      <c r="A52" s="16"/>
      <c r="B52" s="17"/>
      <c r="C52" s="76"/>
      <c r="D52" s="26" t="s">
        <v>105</v>
      </c>
      <c r="E52" s="26" t="s">
        <v>60</v>
      </c>
      <c r="F52" s="26" t="s">
        <v>61</v>
      </c>
      <c r="G52" s="26">
        <v>234</v>
      </c>
      <c r="H52" s="77"/>
      <c r="I52" s="77"/>
      <c r="J52" s="77"/>
      <c r="K52" s="77"/>
      <c r="L52" s="77"/>
      <c r="M52" s="27"/>
      <c r="N52" s="27"/>
      <c r="V52" s="18"/>
      <c r="W52" s="12"/>
    </row>
    <row r="53" spans="1:23" ht="16" x14ac:dyDescent="0.2">
      <c r="A53" s="16"/>
      <c r="B53" s="17"/>
      <c r="C53" s="74" t="s">
        <v>106</v>
      </c>
      <c r="D53" s="26" t="s">
        <v>107</v>
      </c>
      <c r="E53" s="26" t="s">
        <v>108</v>
      </c>
      <c r="F53" s="26" t="s">
        <v>61</v>
      </c>
      <c r="G53" s="26">
        <v>52</v>
      </c>
      <c r="H53" s="77"/>
      <c r="I53" s="77"/>
      <c r="J53" s="77"/>
      <c r="K53" s="77"/>
      <c r="L53" s="77"/>
      <c r="M53" s="27"/>
      <c r="N53" s="27"/>
      <c r="V53" s="18"/>
      <c r="W53" s="12"/>
    </row>
    <row r="54" spans="1:23" ht="16" x14ac:dyDescent="0.2">
      <c r="A54" s="16"/>
      <c r="B54" s="17"/>
      <c r="C54" s="76"/>
      <c r="D54" s="26" t="s">
        <v>109</v>
      </c>
      <c r="E54" s="26" t="s">
        <v>108</v>
      </c>
      <c r="F54" s="26" t="s">
        <v>61</v>
      </c>
      <c r="G54" s="26">
        <v>52</v>
      </c>
      <c r="H54" s="77"/>
      <c r="I54" s="77"/>
      <c r="J54" s="77"/>
      <c r="K54" s="77"/>
      <c r="L54" s="77"/>
      <c r="M54" s="27"/>
      <c r="N54" s="27"/>
      <c r="V54" s="18"/>
      <c r="W54" s="12"/>
    </row>
    <row r="55" spans="1:23" ht="16" x14ac:dyDescent="0.2">
      <c r="A55" s="16"/>
      <c r="B55" s="17"/>
      <c r="C55" s="74" t="s">
        <v>110</v>
      </c>
      <c r="D55" s="26" t="s">
        <v>111</v>
      </c>
      <c r="E55" s="26" t="s">
        <v>60</v>
      </c>
      <c r="F55" s="26" t="s">
        <v>61</v>
      </c>
      <c r="G55" s="26">
        <v>81</v>
      </c>
      <c r="H55" s="77"/>
      <c r="I55" s="77"/>
      <c r="J55" s="77"/>
      <c r="K55" s="77"/>
      <c r="L55" s="77"/>
      <c r="M55" s="27"/>
      <c r="N55" s="27"/>
      <c r="V55" s="18"/>
      <c r="W55" s="12"/>
    </row>
    <row r="56" spans="1:23" ht="16" x14ac:dyDescent="0.2">
      <c r="A56" s="16"/>
      <c r="B56" s="17"/>
      <c r="C56" s="76"/>
      <c r="D56" s="26" t="s">
        <v>112</v>
      </c>
      <c r="E56" s="26" t="s">
        <v>60</v>
      </c>
      <c r="F56" s="26" t="s">
        <v>61</v>
      </c>
      <c r="G56" s="26">
        <v>81</v>
      </c>
      <c r="H56" s="77"/>
      <c r="I56" s="77"/>
      <c r="J56" s="77"/>
      <c r="K56" s="77"/>
      <c r="L56" s="77"/>
      <c r="M56" s="27"/>
      <c r="N56" s="27"/>
      <c r="V56" s="18"/>
      <c r="W56" s="12"/>
    </row>
    <row r="57" spans="1:23" ht="30" customHeight="1" x14ac:dyDescent="0.2">
      <c r="A57" s="16"/>
      <c r="B57" s="17"/>
      <c r="C57" s="74" t="s">
        <v>36</v>
      </c>
      <c r="D57" s="26" t="s">
        <v>37</v>
      </c>
      <c r="E57" s="26" t="s">
        <v>102</v>
      </c>
      <c r="F57" s="26" t="s">
        <v>76</v>
      </c>
      <c r="G57" s="26">
        <v>54</v>
      </c>
      <c r="H57" s="77" t="s">
        <v>113</v>
      </c>
      <c r="I57" s="77"/>
      <c r="J57" s="77"/>
      <c r="K57" s="77"/>
      <c r="L57" s="77"/>
      <c r="M57" s="27"/>
      <c r="N57" s="27"/>
      <c r="V57" s="18"/>
      <c r="W57" s="12"/>
    </row>
    <row r="58" spans="1:23" ht="30" customHeight="1" x14ac:dyDescent="0.2">
      <c r="A58" s="16"/>
      <c r="B58" s="17"/>
      <c r="C58" s="75"/>
      <c r="D58" s="26" t="s">
        <v>39</v>
      </c>
      <c r="E58" s="26" t="s">
        <v>102</v>
      </c>
      <c r="F58" s="26" t="s">
        <v>76</v>
      </c>
      <c r="G58" s="26">
        <v>54</v>
      </c>
      <c r="H58" s="77" t="s">
        <v>113</v>
      </c>
      <c r="I58" s="77"/>
      <c r="J58" s="77"/>
      <c r="K58" s="77"/>
      <c r="L58" s="77"/>
      <c r="M58" s="27"/>
      <c r="N58" s="27"/>
      <c r="V58" s="18"/>
      <c r="W58" s="12"/>
    </row>
    <row r="59" spans="1:23" ht="16" x14ac:dyDescent="0.2">
      <c r="A59" s="16"/>
      <c r="B59" s="17"/>
      <c r="C59" s="75"/>
      <c r="D59" s="26" t="s">
        <v>41</v>
      </c>
      <c r="E59" s="26" t="s">
        <v>102</v>
      </c>
      <c r="F59" s="26" t="s">
        <v>76</v>
      </c>
      <c r="G59" s="26">
        <v>241</v>
      </c>
      <c r="H59" s="77" t="s">
        <v>114</v>
      </c>
      <c r="I59" s="77"/>
      <c r="J59" s="77"/>
      <c r="K59" s="77"/>
      <c r="L59" s="77"/>
      <c r="M59" s="27"/>
      <c r="N59" s="27"/>
      <c r="V59" s="18"/>
      <c r="W59" s="12"/>
    </row>
    <row r="60" spans="1:23" ht="30" customHeight="1" x14ac:dyDescent="0.2">
      <c r="A60" s="16"/>
      <c r="B60" s="17"/>
      <c r="C60" s="76"/>
      <c r="D60" s="26" t="s">
        <v>43</v>
      </c>
      <c r="E60" s="26" t="s">
        <v>102</v>
      </c>
      <c r="F60" s="26" t="s">
        <v>76</v>
      </c>
      <c r="G60" s="26">
        <v>243</v>
      </c>
      <c r="H60" s="77" t="s">
        <v>115</v>
      </c>
      <c r="I60" s="77"/>
      <c r="J60" s="77"/>
      <c r="K60" s="77"/>
      <c r="L60" s="77"/>
      <c r="M60" s="27"/>
      <c r="N60" s="27"/>
      <c r="V60" s="18"/>
      <c r="W60" s="12"/>
    </row>
    <row r="61" spans="1:23" ht="16" x14ac:dyDescent="0.2">
      <c r="A61" s="16"/>
      <c r="B61" s="17"/>
      <c r="C61" s="74" t="s">
        <v>116</v>
      </c>
      <c r="D61" s="26" t="s">
        <v>117</v>
      </c>
      <c r="E61" s="26" t="s">
        <v>108</v>
      </c>
      <c r="F61" s="26" t="s">
        <v>61</v>
      </c>
      <c r="G61" s="26">
        <v>52</v>
      </c>
      <c r="H61" s="77"/>
      <c r="I61" s="77"/>
      <c r="J61" s="77"/>
      <c r="K61" s="77"/>
      <c r="L61" s="77"/>
      <c r="M61" s="27"/>
      <c r="N61" s="27"/>
      <c r="V61" s="18"/>
      <c r="W61" s="12"/>
    </row>
    <row r="62" spans="1:23" ht="16" x14ac:dyDescent="0.2">
      <c r="A62" s="16"/>
      <c r="B62" s="17"/>
      <c r="C62" s="76"/>
      <c r="D62" s="26" t="s">
        <v>118</v>
      </c>
      <c r="E62" s="26" t="s">
        <v>108</v>
      </c>
      <c r="F62" s="26" t="s">
        <v>61</v>
      </c>
      <c r="G62" s="26">
        <v>52</v>
      </c>
      <c r="H62" s="77"/>
      <c r="I62" s="77"/>
      <c r="J62" s="77"/>
      <c r="K62" s="77"/>
      <c r="L62" s="77"/>
      <c r="M62" s="27"/>
      <c r="N62" s="27"/>
      <c r="V62" s="18"/>
      <c r="W62" s="12"/>
    </row>
    <row r="63" spans="1:23" ht="16" x14ac:dyDescent="0.2">
      <c r="A63" s="16"/>
      <c r="B63" s="17"/>
      <c r="C63" s="20" t="s">
        <v>119</v>
      </c>
      <c r="D63" s="26" t="s">
        <v>120</v>
      </c>
      <c r="E63" s="26" t="s">
        <v>121</v>
      </c>
      <c r="F63" s="26" t="s">
        <v>122</v>
      </c>
      <c r="G63" s="26">
        <v>292</v>
      </c>
      <c r="H63" s="77"/>
      <c r="I63" s="77"/>
      <c r="J63" s="77"/>
      <c r="K63" s="77"/>
      <c r="L63" s="77"/>
      <c r="M63" s="27"/>
      <c r="N63" s="27"/>
      <c r="V63" s="18"/>
      <c r="W63" s="12"/>
    </row>
    <row r="64" spans="1:23" ht="16" x14ac:dyDescent="0.2">
      <c r="A64" s="16"/>
      <c r="B64" s="17"/>
      <c r="C64" s="20" t="s">
        <v>123</v>
      </c>
      <c r="D64" s="26" t="s">
        <v>124</v>
      </c>
      <c r="E64" s="26" t="s">
        <v>60</v>
      </c>
      <c r="F64" s="26" t="s">
        <v>61</v>
      </c>
      <c r="G64" s="26">
        <v>389</v>
      </c>
      <c r="H64" s="77"/>
      <c r="I64" s="77"/>
      <c r="J64" s="77"/>
      <c r="K64" s="77"/>
      <c r="L64" s="77"/>
      <c r="M64" s="27"/>
      <c r="N64" s="27"/>
      <c r="V64" s="18"/>
      <c r="W64" s="12"/>
    </row>
    <row r="65" spans="1:23" ht="16" x14ac:dyDescent="0.2">
      <c r="A65" s="16"/>
      <c r="B65" s="17"/>
      <c r="C65" s="20" t="s">
        <v>125</v>
      </c>
      <c r="D65" s="26" t="s">
        <v>126</v>
      </c>
      <c r="E65" s="26" t="s">
        <v>60</v>
      </c>
      <c r="F65" s="26" t="s">
        <v>61</v>
      </c>
      <c r="G65" s="26">
        <v>450</v>
      </c>
      <c r="H65" s="77"/>
      <c r="I65" s="77"/>
      <c r="J65" s="77"/>
      <c r="K65" s="77"/>
      <c r="L65" s="77"/>
      <c r="M65" s="27"/>
      <c r="N65" s="27"/>
      <c r="V65" s="18"/>
      <c r="W65" s="12"/>
    </row>
    <row r="66" spans="1:23" ht="32" x14ac:dyDescent="0.2">
      <c r="A66" s="16"/>
      <c r="B66" s="17"/>
      <c r="C66" s="20" t="s">
        <v>127</v>
      </c>
      <c r="D66" s="20"/>
      <c r="E66" s="20"/>
      <c r="F66" s="20"/>
      <c r="G66" s="20">
        <v>7356</v>
      </c>
      <c r="H66" s="78"/>
      <c r="I66" s="78"/>
      <c r="J66" s="78"/>
      <c r="K66" s="78"/>
      <c r="L66" s="78"/>
      <c r="M66" s="25"/>
      <c r="N66" s="25"/>
      <c r="V66" s="18"/>
      <c r="W66" s="12"/>
    </row>
    <row r="67" spans="1:23" x14ac:dyDescent="0.2">
      <c r="A67" s="16"/>
      <c r="B67" s="17"/>
      <c r="V67" s="18"/>
      <c r="W67" s="12"/>
    </row>
    <row r="68" spans="1:23" x14ac:dyDescent="0.2">
      <c r="A68" s="16"/>
      <c r="B68" s="17"/>
      <c r="V68" s="18"/>
      <c r="W68" s="12"/>
    </row>
    <row r="69" spans="1:23" x14ac:dyDescent="0.2">
      <c r="A69" s="16"/>
      <c r="B69" s="28"/>
      <c r="C69" s="29"/>
      <c r="D69" s="29"/>
      <c r="E69" s="29"/>
      <c r="F69" s="29"/>
      <c r="G69" s="29"/>
      <c r="H69" s="29"/>
      <c r="I69" s="29"/>
      <c r="J69" s="29"/>
      <c r="K69" s="29"/>
      <c r="L69" s="29"/>
      <c r="M69" s="29"/>
      <c r="N69" s="29"/>
      <c r="O69" s="29"/>
      <c r="P69" s="29"/>
      <c r="Q69" s="29"/>
      <c r="R69" s="29"/>
      <c r="S69" s="29"/>
      <c r="T69" s="29"/>
      <c r="U69" s="29"/>
      <c r="V69" s="30"/>
      <c r="W69" s="12"/>
    </row>
    <row r="70" spans="1:23" x14ac:dyDescent="0.2">
      <c r="A70" s="31"/>
      <c r="B70" s="32"/>
      <c r="C70" s="32"/>
      <c r="D70" s="32"/>
      <c r="E70" s="32"/>
      <c r="F70" s="32"/>
      <c r="G70" s="32"/>
      <c r="H70" s="32"/>
      <c r="I70" s="32"/>
      <c r="J70" s="32"/>
      <c r="K70" s="32"/>
      <c r="L70" s="32"/>
      <c r="M70" s="32"/>
      <c r="N70" s="32"/>
      <c r="O70" s="32"/>
      <c r="P70" s="32"/>
      <c r="Q70" s="32"/>
      <c r="R70" s="32"/>
      <c r="S70" s="32"/>
      <c r="T70" s="32"/>
      <c r="U70" s="32"/>
      <c r="V70" s="32"/>
      <c r="W70" s="33"/>
    </row>
  </sheetData>
  <mergeCells count="67">
    <mergeCell ref="H66:L66"/>
    <mergeCell ref="B2:V2"/>
    <mergeCell ref="C61:C62"/>
    <mergeCell ref="H61:L61"/>
    <mergeCell ref="H62:L62"/>
    <mergeCell ref="H63:L63"/>
    <mergeCell ref="H64:L64"/>
    <mergeCell ref="H65:L65"/>
    <mergeCell ref="C55:C56"/>
    <mergeCell ref="H55:L55"/>
    <mergeCell ref="H56:L56"/>
    <mergeCell ref="C57:C60"/>
    <mergeCell ref="H57:L57"/>
    <mergeCell ref="H58:L58"/>
    <mergeCell ref="H59:L59"/>
    <mergeCell ref="H60:L60"/>
    <mergeCell ref="C51:C52"/>
    <mergeCell ref="H51:L51"/>
    <mergeCell ref="H52:L52"/>
    <mergeCell ref="C53:C54"/>
    <mergeCell ref="H53:L53"/>
    <mergeCell ref="H54:L54"/>
    <mergeCell ref="H45:L45"/>
    <mergeCell ref="H46:L46"/>
    <mergeCell ref="H47:L47"/>
    <mergeCell ref="C48:C50"/>
    <mergeCell ref="H48:L48"/>
    <mergeCell ref="H49:L49"/>
    <mergeCell ref="H50:L50"/>
    <mergeCell ref="H40:L40"/>
    <mergeCell ref="H41:L41"/>
    <mergeCell ref="H42:L42"/>
    <mergeCell ref="C43:C44"/>
    <mergeCell ref="H43:L43"/>
    <mergeCell ref="H44:L44"/>
    <mergeCell ref="H33:L33"/>
    <mergeCell ref="H34:L34"/>
    <mergeCell ref="H35:L35"/>
    <mergeCell ref="H36:L36"/>
    <mergeCell ref="C37:C39"/>
    <mergeCell ref="H37:L37"/>
    <mergeCell ref="H38:L38"/>
    <mergeCell ref="H39:L39"/>
    <mergeCell ref="G20:P20"/>
    <mergeCell ref="B23:V23"/>
    <mergeCell ref="B25:V26"/>
    <mergeCell ref="H28:L28"/>
    <mergeCell ref="C29:C32"/>
    <mergeCell ref="H29:L29"/>
    <mergeCell ref="H30:L30"/>
    <mergeCell ref="H31:L31"/>
    <mergeCell ref="H32:L32"/>
    <mergeCell ref="C17:C19"/>
    <mergeCell ref="F17:F19"/>
    <mergeCell ref="G17:P19"/>
    <mergeCell ref="B3:V3"/>
    <mergeCell ref="B5:V5"/>
    <mergeCell ref="B7:V8"/>
    <mergeCell ref="G10:P10"/>
    <mergeCell ref="C11:C12"/>
    <mergeCell ref="G11:P11"/>
    <mergeCell ref="G12:P12"/>
    <mergeCell ref="C13:C16"/>
    <mergeCell ref="G13:P13"/>
    <mergeCell ref="G14:P14"/>
    <mergeCell ref="G15:P15"/>
    <mergeCell ref="G16:P1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7A6D6-A361-7B48-8C34-828D3F03C0E6}">
  <sheetPr>
    <tabColor theme="1"/>
  </sheetPr>
  <dimension ref="A1:W82"/>
  <sheetViews>
    <sheetView topLeftCell="A8" zoomScale="81" zoomScaleNormal="85" workbookViewId="0">
      <selection activeCell="D43" sqref="D43"/>
    </sheetView>
  </sheetViews>
  <sheetFormatPr baseColWidth="10" defaultColWidth="6.875" defaultRowHeight="15" x14ac:dyDescent="0.2"/>
  <cols>
    <col min="1" max="1" width="2.875" style="10" customWidth="1"/>
    <col min="2" max="2" width="2.625" style="10" customWidth="1"/>
    <col min="3" max="3" width="12.375" style="10" customWidth="1"/>
    <col min="4" max="6" width="9.375" style="10" customWidth="1"/>
    <col min="7" max="7" width="11.25" style="10" customWidth="1"/>
    <col min="8" max="8" width="9.375" style="10" customWidth="1"/>
    <col min="9" max="9" width="8" style="10" customWidth="1"/>
    <col min="10" max="21" width="6.875" style="10"/>
    <col min="22" max="22" width="2.625" style="10" customWidth="1"/>
    <col min="23" max="23" width="3" style="10" customWidth="1"/>
    <col min="24" max="16384" width="6.875" style="10"/>
  </cols>
  <sheetData>
    <row r="1" spans="1:23" x14ac:dyDescent="0.2">
      <c r="A1" s="7"/>
      <c r="B1" s="8"/>
      <c r="C1" s="8"/>
      <c r="D1" s="8"/>
      <c r="E1" s="8"/>
      <c r="F1" s="8"/>
      <c r="G1" s="8"/>
      <c r="H1" s="8"/>
      <c r="I1" s="8"/>
      <c r="J1" s="8"/>
      <c r="K1" s="8"/>
      <c r="L1" s="8"/>
      <c r="M1" s="8"/>
      <c r="N1" s="8"/>
      <c r="O1" s="8"/>
      <c r="P1" s="8"/>
      <c r="Q1" s="8"/>
      <c r="R1" s="8"/>
      <c r="S1" s="8"/>
      <c r="T1" s="8"/>
      <c r="U1" s="8"/>
      <c r="V1" s="8"/>
      <c r="W1" s="9"/>
    </row>
    <row r="2" spans="1:23" x14ac:dyDescent="0.2">
      <c r="A2" s="11"/>
      <c r="B2" s="79" t="s">
        <v>128</v>
      </c>
      <c r="C2" s="79"/>
      <c r="D2" s="79"/>
      <c r="E2" s="79"/>
      <c r="F2" s="79"/>
      <c r="G2" s="79"/>
      <c r="H2" s="79"/>
      <c r="I2" s="79"/>
      <c r="J2" s="79"/>
      <c r="K2" s="79"/>
      <c r="L2" s="79"/>
      <c r="M2" s="79"/>
      <c r="N2" s="79"/>
      <c r="O2" s="79"/>
      <c r="P2" s="79"/>
      <c r="Q2" s="79"/>
      <c r="R2" s="79"/>
      <c r="S2" s="79"/>
      <c r="T2" s="79"/>
      <c r="U2" s="79"/>
      <c r="V2" s="79"/>
      <c r="W2" s="12"/>
    </row>
    <row r="3" spans="1:23" ht="32" x14ac:dyDescent="0.4">
      <c r="A3" s="11"/>
      <c r="B3" s="60" t="s">
        <v>155</v>
      </c>
      <c r="C3" s="61"/>
      <c r="D3" s="61"/>
      <c r="E3" s="61"/>
      <c r="F3" s="61"/>
      <c r="G3" s="61"/>
      <c r="H3" s="61"/>
      <c r="I3" s="61"/>
      <c r="J3" s="61"/>
      <c r="K3" s="61"/>
      <c r="L3" s="61"/>
      <c r="M3" s="61"/>
      <c r="N3" s="61"/>
      <c r="O3" s="61"/>
      <c r="P3" s="61"/>
      <c r="Q3" s="61"/>
      <c r="R3" s="61"/>
      <c r="S3" s="61"/>
      <c r="T3" s="61"/>
      <c r="U3" s="61"/>
      <c r="V3" s="62"/>
      <c r="W3" s="12"/>
    </row>
    <row r="4" spans="1:23" x14ac:dyDescent="0.2">
      <c r="A4" s="11"/>
      <c r="B4" s="13"/>
      <c r="C4" s="14"/>
      <c r="D4" s="14"/>
      <c r="E4" s="14"/>
      <c r="F4" s="14"/>
      <c r="G4" s="14"/>
      <c r="H4" s="14"/>
      <c r="I4" s="14"/>
      <c r="J4" s="14"/>
      <c r="K4" s="14"/>
      <c r="L4" s="14"/>
      <c r="M4" s="14"/>
      <c r="N4" s="14"/>
      <c r="O4" s="14"/>
      <c r="P4" s="14"/>
      <c r="Q4" s="14"/>
      <c r="R4" s="14"/>
      <c r="S4" s="14"/>
      <c r="T4" s="14"/>
      <c r="U4" s="14"/>
      <c r="V4" s="15"/>
      <c r="W4" s="12"/>
    </row>
    <row r="5" spans="1:23" ht="22" x14ac:dyDescent="0.3">
      <c r="A5" s="11"/>
      <c r="B5" s="63" t="s">
        <v>156</v>
      </c>
      <c r="C5" s="64"/>
      <c r="D5" s="64"/>
      <c r="E5" s="64"/>
      <c r="F5" s="64"/>
      <c r="G5" s="64"/>
      <c r="H5" s="64"/>
      <c r="I5" s="64"/>
      <c r="J5" s="64"/>
      <c r="K5" s="64"/>
      <c r="L5" s="64"/>
      <c r="M5" s="64"/>
      <c r="N5" s="64"/>
      <c r="O5" s="64"/>
      <c r="P5" s="64"/>
      <c r="Q5" s="64"/>
      <c r="R5" s="64"/>
      <c r="S5" s="64"/>
      <c r="T5" s="64"/>
      <c r="U5" s="64"/>
      <c r="V5" s="65"/>
      <c r="W5" s="12"/>
    </row>
    <row r="6" spans="1:23" x14ac:dyDescent="0.2">
      <c r="A6" s="16"/>
      <c r="B6" s="17"/>
      <c r="V6" s="18"/>
      <c r="W6" s="12"/>
    </row>
    <row r="7" spans="1:23" ht="15" customHeight="1" x14ac:dyDescent="0.2">
      <c r="A7" s="11"/>
      <c r="B7" s="66" t="s">
        <v>157</v>
      </c>
      <c r="C7" s="67"/>
      <c r="D7" s="67"/>
      <c r="E7" s="67"/>
      <c r="F7" s="67"/>
      <c r="G7" s="67"/>
      <c r="H7" s="67"/>
      <c r="I7" s="67"/>
      <c r="J7" s="67"/>
      <c r="K7" s="67"/>
      <c r="L7" s="67"/>
      <c r="M7" s="67"/>
      <c r="N7" s="67"/>
      <c r="O7" s="67"/>
      <c r="P7" s="67"/>
      <c r="Q7" s="67"/>
      <c r="R7" s="67"/>
      <c r="S7" s="67"/>
      <c r="T7" s="67"/>
      <c r="U7" s="67"/>
      <c r="V7" s="68"/>
      <c r="W7" s="12"/>
    </row>
    <row r="8" spans="1:23" x14ac:dyDescent="0.2">
      <c r="A8" s="11"/>
      <c r="B8" s="69"/>
      <c r="C8" s="70"/>
      <c r="D8" s="70"/>
      <c r="E8" s="70"/>
      <c r="F8" s="70"/>
      <c r="G8" s="70"/>
      <c r="H8" s="70"/>
      <c r="I8" s="70"/>
      <c r="J8" s="70"/>
      <c r="K8" s="70"/>
      <c r="L8" s="70"/>
      <c r="M8" s="70"/>
      <c r="N8" s="70"/>
      <c r="O8" s="70"/>
      <c r="P8" s="70"/>
      <c r="Q8" s="70"/>
      <c r="R8" s="70"/>
      <c r="S8" s="70"/>
      <c r="T8" s="70"/>
      <c r="U8" s="70"/>
      <c r="V8" s="71"/>
      <c r="W8" s="12"/>
    </row>
    <row r="9" spans="1:23" x14ac:dyDescent="0.2">
      <c r="A9" s="11"/>
      <c r="B9" s="17"/>
      <c r="V9" s="18"/>
      <c r="W9" s="12"/>
    </row>
    <row r="10" spans="1:23" ht="32" x14ac:dyDescent="0.2">
      <c r="A10" s="11"/>
      <c r="B10" s="17"/>
      <c r="C10" s="20" t="s">
        <v>158</v>
      </c>
      <c r="D10" s="20" t="s">
        <v>159</v>
      </c>
      <c r="E10" s="20" t="s">
        <v>160</v>
      </c>
      <c r="F10" s="20" t="s">
        <v>161</v>
      </c>
      <c r="G10" s="20" t="s">
        <v>162</v>
      </c>
      <c r="H10" s="20" t="s">
        <v>163</v>
      </c>
      <c r="I10" s="20" t="s">
        <v>164</v>
      </c>
      <c r="J10" s="17"/>
      <c r="V10" s="18"/>
      <c r="W10" s="12"/>
    </row>
    <row r="11" spans="1:23" ht="30" customHeight="1" x14ac:dyDescent="0.2">
      <c r="A11" s="11"/>
      <c r="B11" s="17"/>
      <c r="C11" s="43">
        <v>2019</v>
      </c>
      <c r="D11" s="44">
        <v>7.6999999999999999E-2</v>
      </c>
      <c r="E11" s="44">
        <v>8.7999999999999995E-2</v>
      </c>
      <c r="F11" s="44">
        <v>1.6E-2</v>
      </c>
      <c r="G11" s="44">
        <v>4.0880000000000001</v>
      </c>
      <c r="H11" s="44">
        <v>2.5000000000000001E-2</v>
      </c>
      <c r="I11" s="44">
        <v>0.24199999999999999</v>
      </c>
      <c r="J11" s="17"/>
      <c r="V11" s="18"/>
      <c r="W11" s="12"/>
    </row>
    <row r="12" spans="1:23" x14ac:dyDescent="0.2">
      <c r="A12" s="11"/>
      <c r="B12" s="17"/>
      <c r="C12" s="43">
        <v>2020</v>
      </c>
      <c r="D12" s="44">
        <v>7.6999999999999999E-2</v>
      </c>
      <c r="E12" s="44">
        <v>8.7999999999999995E-2</v>
      </c>
      <c r="F12" s="44">
        <v>0.13900000000000001</v>
      </c>
      <c r="G12" s="44">
        <v>4.234</v>
      </c>
      <c r="H12" s="44">
        <v>2.5000000000000001E-2</v>
      </c>
      <c r="I12" s="44">
        <v>0.24199999999999999</v>
      </c>
      <c r="J12" s="17"/>
      <c r="V12" s="18"/>
      <c r="W12" s="12"/>
    </row>
    <row r="13" spans="1:23" ht="30" customHeight="1" x14ac:dyDescent="0.2">
      <c r="A13" s="11"/>
      <c r="B13" s="17"/>
      <c r="C13" s="43">
        <v>2021</v>
      </c>
      <c r="D13" s="44">
        <v>7.6999999999999999E-2</v>
      </c>
      <c r="E13" s="44">
        <v>8.7999999999999995E-2</v>
      </c>
      <c r="F13" s="44">
        <v>0</v>
      </c>
      <c r="G13" s="44">
        <v>4.33</v>
      </c>
      <c r="H13" s="44">
        <v>2.5000000000000001E-2</v>
      </c>
      <c r="I13" s="44">
        <v>0.24199999999999999</v>
      </c>
      <c r="J13" s="17"/>
      <c r="V13" s="18"/>
      <c r="W13" s="12"/>
    </row>
    <row r="14" spans="1:23" ht="30" customHeight="1" x14ac:dyDescent="0.2">
      <c r="A14" s="11"/>
      <c r="B14" s="17"/>
      <c r="C14" s="43">
        <v>2022</v>
      </c>
      <c r="D14" s="44">
        <v>7.6999999999999999E-2</v>
      </c>
      <c r="E14" s="44">
        <v>0.13100000000000001</v>
      </c>
      <c r="F14" s="44">
        <v>0.16700000000000001</v>
      </c>
      <c r="G14" s="44">
        <v>4.4820000000000002</v>
      </c>
      <c r="H14" s="44">
        <v>2.5000000000000001E-2</v>
      </c>
      <c r="I14" s="44">
        <v>0.24199999999999999</v>
      </c>
      <c r="J14" s="17"/>
      <c r="V14" s="18"/>
      <c r="W14" s="12"/>
    </row>
    <row r="15" spans="1:23" x14ac:dyDescent="0.2">
      <c r="A15" s="11"/>
      <c r="B15" s="17"/>
      <c r="C15" s="43">
        <v>2023</v>
      </c>
      <c r="D15" s="44">
        <v>7.6999999999999999E-2</v>
      </c>
      <c r="E15" s="44">
        <v>0.13100000000000001</v>
      </c>
      <c r="F15" s="44">
        <v>0.33300000000000002</v>
      </c>
      <c r="G15" s="44">
        <v>4.6340000000000003</v>
      </c>
      <c r="H15" s="44">
        <v>2.5000000000000001E-2</v>
      </c>
      <c r="I15" s="44">
        <v>0.24199999999999999</v>
      </c>
      <c r="J15" s="17"/>
      <c r="V15" s="18"/>
      <c r="W15" s="12"/>
    </row>
    <row r="16" spans="1:23" x14ac:dyDescent="0.2">
      <c r="A16" s="11"/>
      <c r="B16" s="17"/>
      <c r="C16" s="43">
        <v>2024</v>
      </c>
      <c r="D16" s="44">
        <v>7.6999999999999999E-2</v>
      </c>
      <c r="E16" s="44">
        <v>0.17199999999999999</v>
      </c>
      <c r="F16" s="44">
        <v>0.5</v>
      </c>
      <c r="G16" s="44">
        <v>4.7869999999999999</v>
      </c>
      <c r="H16" s="44">
        <v>2.5000000000000001E-2</v>
      </c>
      <c r="I16" s="44">
        <v>0.24199999999999999</v>
      </c>
      <c r="J16" s="17"/>
      <c r="V16" s="18"/>
      <c r="W16" s="12"/>
    </row>
    <row r="17" spans="1:23" ht="15" customHeight="1" x14ac:dyDescent="0.2">
      <c r="A17" s="11"/>
      <c r="B17" s="17"/>
      <c r="C17" s="43">
        <v>2025</v>
      </c>
      <c r="D17" s="44">
        <v>7.6999999999999999E-2</v>
      </c>
      <c r="E17" s="44">
        <v>0.17199999999999999</v>
      </c>
      <c r="F17" s="44">
        <v>0.66700000000000004</v>
      </c>
      <c r="G17" s="44">
        <v>4.9390000000000001</v>
      </c>
      <c r="H17" s="44">
        <v>2.5000000000000001E-2</v>
      </c>
      <c r="I17" s="44">
        <v>0.24199999999999999</v>
      </c>
      <c r="J17" s="17"/>
      <c r="V17" s="18"/>
      <c r="W17" s="12"/>
    </row>
    <row r="18" spans="1:23" x14ac:dyDescent="0.2">
      <c r="A18" s="11"/>
      <c r="B18" s="17"/>
      <c r="C18" s="43">
        <v>2026</v>
      </c>
      <c r="D18" s="44">
        <v>7.6999999999999999E-2</v>
      </c>
      <c r="E18" s="44">
        <v>0.17199999999999999</v>
      </c>
      <c r="F18" s="44">
        <v>0.83299999999999996</v>
      </c>
      <c r="G18" s="44">
        <v>5.0910000000000002</v>
      </c>
      <c r="H18" s="44">
        <v>2.5000000000000001E-2</v>
      </c>
      <c r="I18" s="44">
        <v>0.24199999999999999</v>
      </c>
      <c r="J18" s="17"/>
      <c r="V18" s="18"/>
      <c r="W18" s="12"/>
    </row>
    <row r="19" spans="1:23" x14ac:dyDescent="0.2">
      <c r="A19" s="11"/>
      <c r="B19" s="17"/>
      <c r="C19" s="43">
        <v>2027</v>
      </c>
      <c r="D19" s="44">
        <v>7.6999999999999999E-2</v>
      </c>
      <c r="E19" s="44">
        <v>0.17199999999999999</v>
      </c>
      <c r="F19" s="44">
        <v>1</v>
      </c>
      <c r="G19" s="44">
        <v>5.2430000000000003</v>
      </c>
      <c r="H19" s="44">
        <v>2.5000000000000001E-2</v>
      </c>
      <c r="I19" s="44">
        <v>0.24199999999999999</v>
      </c>
      <c r="J19" s="17"/>
      <c r="V19" s="18"/>
      <c r="W19" s="12"/>
    </row>
    <row r="20" spans="1:23" x14ac:dyDescent="0.2">
      <c r="A20" s="11"/>
      <c r="B20" s="17"/>
      <c r="C20" s="23">
        <v>2028</v>
      </c>
      <c r="D20" s="44">
        <v>7.6999999999999999E-2</v>
      </c>
      <c r="E20" s="44">
        <v>0.17199999999999999</v>
      </c>
      <c r="F20" s="44">
        <v>1.167</v>
      </c>
      <c r="G20" s="44">
        <v>5.3959999999999999</v>
      </c>
      <c r="H20" s="44">
        <v>0.72499999999999998</v>
      </c>
      <c r="I20" s="44">
        <v>0.24199999999999999</v>
      </c>
      <c r="J20" s="17"/>
      <c r="V20" s="18"/>
      <c r="W20" s="12"/>
    </row>
    <row r="21" spans="1:23" x14ac:dyDescent="0.2">
      <c r="A21" s="11"/>
      <c r="B21" s="17"/>
      <c r="C21" s="43">
        <v>2029</v>
      </c>
      <c r="D21" s="44">
        <v>7.6999999999999999E-2</v>
      </c>
      <c r="E21" s="44">
        <v>0.17199999999999999</v>
      </c>
      <c r="F21" s="44">
        <v>1.333</v>
      </c>
      <c r="G21" s="44">
        <v>5.548</v>
      </c>
      <c r="H21" s="44">
        <v>2.863</v>
      </c>
      <c r="I21" s="44">
        <v>0.24199999999999999</v>
      </c>
      <c r="J21" s="17"/>
      <c r="V21" s="18"/>
      <c r="W21" s="12"/>
    </row>
    <row r="22" spans="1:23" x14ac:dyDescent="0.2">
      <c r="A22" s="16"/>
      <c r="B22" s="17"/>
      <c r="C22" s="43">
        <v>2030</v>
      </c>
      <c r="D22" s="44">
        <v>7.6999999999999999E-2</v>
      </c>
      <c r="E22" s="44">
        <v>0.17199999999999999</v>
      </c>
      <c r="F22" s="44">
        <v>1.5</v>
      </c>
      <c r="G22" s="44">
        <v>5.7</v>
      </c>
      <c r="H22" s="44">
        <v>5</v>
      </c>
      <c r="I22" s="44">
        <v>0.24199999999999999</v>
      </c>
      <c r="J22" s="17"/>
      <c r="V22" s="18"/>
      <c r="W22" s="12"/>
    </row>
    <row r="23" spans="1:23" x14ac:dyDescent="0.2">
      <c r="A23" s="16"/>
      <c r="B23" s="17"/>
      <c r="C23" s="43">
        <v>2031</v>
      </c>
      <c r="D23" s="44">
        <v>7.6999999999999999E-2</v>
      </c>
      <c r="E23" s="44">
        <v>0.17199999999999999</v>
      </c>
      <c r="F23" s="44">
        <v>1.667</v>
      </c>
      <c r="G23" s="44">
        <v>5.8520000000000003</v>
      </c>
      <c r="H23" s="44">
        <v>7.1379999999999999</v>
      </c>
      <c r="I23" s="44">
        <v>0.24199999999999999</v>
      </c>
      <c r="J23" s="17"/>
      <c r="V23" s="18"/>
      <c r="W23" s="12"/>
    </row>
    <row r="24" spans="1:23" x14ac:dyDescent="0.2">
      <c r="A24" s="16"/>
      <c r="B24" s="17"/>
      <c r="V24" s="18"/>
      <c r="W24" s="12"/>
    </row>
    <row r="25" spans="1:23" x14ac:dyDescent="0.2">
      <c r="A25" s="16"/>
      <c r="B25" s="17"/>
      <c r="V25" s="18"/>
      <c r="W25" s="12"/>
    </row>
    <row r="26" spans="1:23" x14ac:dyDescent="0.2">
      <c r="A26" s="16"/>
      <c r="B26" s="17"/>
      <c r="V26" s="18"/>
      <c r="W26" s="12"/>
    </row>
    <row r="27" spans="1:23" x14ac:dyDescent="0.2">
      <c r="A27" s="16"/>
      <c r="B27" s="17"/>
      <c r="V27" s="18"/>
      <c r="W27" s="12"/>
    </row>
    <row r="28" spans="1:23" x14ac:dyDescent="0.2">
      <c r="A28" s="16"/>
      <c r="B28" s="17"/>
      <c r="N28" s="25"/>
      <c r="V28" s="18"/>
      <c r="W28" s="12"/>
    </row>
    <row r="29" spans="1:23" ht="15" customHeight="1" x14ac:dyDescent="0.2">
      <c r="A29" s="16"/>
      <c r="B29" s="17"/>
      <c r="N29" s="27"/>
      <c r="V29" s="18"/>
      <c r="W29" s="12"/>
    </row>
    <row r="30" spans="1:23" ht="15" customHeight="1" x14ac:dyDescent="0.2">
      <c r="A30" s="16"/>
      <c r="B30" s="17"/>
      <c r="N30" s="27"/>
      <c r="V30" s="18"/>
      <c r="W30" s="12"/>
    </row>
    <row r="31" spans="1:23" x14ac:dyDescent="0.2">
      <c r="A31" s="16"/>
      <c r="B31" s="66" t="s">
        <v>165</v>
      </c>
      <c r="C31" s="67"/>
      <c r="D31" s="67"/>
      <c r="E31" s="67"/>
      <c r="F31" s="67"/>
      <c r="G31" s="67"/>
      <c r="H31" s="67"/>
      <c r="I31" s="67"/>
      <c r="J31" s="67"/>
      <c r="K31" s="67"/>
      <c r="L31" s="67"/>
      <c r="M31" s="67"/>
      <c r="N31" s="67"/>
      <c r="O31" s="67"/>
      <c r="P31" s="67"/>
      <c r="Q31" s="67"/>
      <c r="R31" s="67"/>
      <c r="S31" s="67"/>
      <c r="T31" s="67"/>
      <c r="U31" s="67"/>
      <c r="V31" s="68"/>
      <c r="W31" s="12"/>
    </row>
    <row r="32" spans="1:23" ht="15" customHeight="1" x14ac:dyDescent="0.2">
      <c r="A32" s="16"/>
      <c r="B32" s="69"/>
      <c r="C32" s="70"/>
      <c r="D32" s="70"/>
      <c r="E32" s="70"/>
      <c r="F32" s="70"/>
      <c r="G32" s="70"/>
      <c r="H32" s="70"/>
      <c r="I32" s="70"/>
      <c r="J32" s="70"/>
      <c r="K32" s="70"/>
      <c r="L32" s="70"/>
      <c r="M32" s="70"/>
      <c r="N32" s="70"/>
      <c r="O32" s="70"/>
      <c r="P32" s="70"/>
      <c r="Q32" s="70"/>
      <c r="R32" s="70"/>
      <c r="S32" s="70"/>
      <c r="T32" s="70"/>
      <c r="U32" s="70"/>
      <c r="V32" s="71"/>
      <c r="W32" s="12"/>
    </row>
    <row r="33" spans="1:23" x14ac:dyDescent="0.2">
      <c r="A33" s="16"/>
      <c r="B33" s="17"/>
      <c r="N33" s="27"/>
      <c r="V33" s="18"/>
      <c r="W33" s="12"/>
    </row>
    <row r="34" spans="1:23" x14ac:dyDescent="0.2">
      <c r="A34" s="16"/>
      <c r="B34" s="17"/>
      <c r="N34" s="27"/>
      <c r="V34" s="18"/>
      <c r="W34" s="12"/>
    </row>
    <row r="35" spans="1:23" ht="64" x14ac:dyDescent="0.2">
      <c r="A35" s="16"/>
      <c r="B35" s="17"/>
      <c r="C35" s="20" t="s">
        <v>158</v>
      </c>
      <c r="D35" s="20" t="s">
        <v>166</v>
      </c>
      <c r="E35" s="20" t="s">
        <v>167</v>
      </c>
      <c r="F35" s="20" t="s">
        <v>168</v>
      </c>
      <c r="G35" s="20" t="s">
        <v>169</v>
      </c>
      <c r="H35" s="20" t="s">
        <v>170</v>
      </c>
      <c r="N35" s="27"/>
      <c r="V35" s="18"/>
      <c r="W35" s="12"/>
    </row>
    <row r="36" spans="1:23" x14ac:dyDescent="0.2">
      <c r="A36" s="16"/>
      <c r="B36" s="17"/>
      <c r="C36" s="43">
        <v>2012</v>
      </c>
      <c r="D36" s="44">
        <v>1700</v>
      </c>
      <c r="E36" s="44">
        <v>4100</v>
      </c>
      <c r="F36" s="44">
        <v>4120</v>
      </c>
      <c r="G36" s="45">
        <v>0.28000000000000003</v>
      </c>
      <c r="H36" s="80">
        <v>0.28000000000000003</v>
      </c>
      <c r="N36" s="27"/>
      <c r="V36" s="18"/>
      <c r="W36" s="12"/>
    </row>
    <row r="37" spans="1:23" x14ac:dyDescent="0.2">
      <c r="A37" s="16"/>
      <c r="B37" s="17"/>
      <c r="C37" s="43">
        <v>2013</v>
      </c>
      <c r="D37" s="44">
        <v>1920</v>
      </c>
      <c r="E37" s="44">
        <v>4640</v>
      </c>
      <c r="F37" s="44">
        <v>4600</v>
      </c>
      <c r="G37" s="45">
        <v>0.28999999999999998</v>
      </c>
      <c r="H37" s="81"/>
      <c r="N37" s="27"/>
      <c r="V37" s="18"/>
      <c r="W37" s="12"/>
    </row>
    <row r="38" spans="1:23" x14ac:dyDescent="0.2">
      <c r="A38" s="16"/>
      <c r="B38" s="17"/>
      <c r="C38" s="23">
        <v>2014</v>
      </c>
      <c r="D38" s="44">
        <v>2270</v>
      </c>
      <c r="E38" s="44">
        <v>5120</v>
      </c>
      <c r="F38" s="44">
        <v>5250</v>
      </c>
      <c r="G38" s="45">
        <v>0.28000000000000003</v>
      </c>
      <c r="H38" s="81"/>
      <c r="N38" s="27"/>
      <c r="V38" s="18"/>
      <c r="W38" s="12"/>
    </row>
    <row r="39" spans="1:23" x14ac:dyDescent="0.2">
      <c r="A39" s="16"/>
      <c r="B39" s="17"/>
      <c r="C39" s="43">
        <v>2015</v>
      </c>
      <c r="D39" s="44">
        <v>2450</v>
      </c>
      <c r="E39" s="44">
        <v>6540</v>
      </c>
      <c r="F39" s="44">
        <v>6190</v>
      </c>
      <c r="G39" s="45">
        <v>0.32</v>
      </c>
      <c r="H39" s="81"/>
      <c r="N39" s="27"/>
      <c r="V39" s="18"/>
      <c r="W39" s="12"/>
    </row>
    <row r="40" spans="1:23" x14ac:dyDescent="0.2">
      <c r="A40" s="16"/>
      <c r="B40" s="17"/>
      <c r="C40" s="43">
        <v>2016</v>
      </c>
      <c r="D40" s="44">
        <v>2800</v>
      </c>
      <c r="E40" s="44">
        <v>6120</v>
      </c>
      <c r="F40" s="44">
        <v>6600</v>
      </c>
      <c r="G40" s="45">
        <v>0.27</v>
      </c>
      <c r="H40" s="81"/>
      <c r="N40" s="27"/>
      <c r="V40" s="18"/>
      <c r="W40" s="12"/>
    </row>
    <row r="41" spans="1:23" x14ac:dyDescent="0.2">
      <c r="A41" s="16"/>
      <c r="B41" s="17"/>
      <c r="C41" s="43">
        <v>2017</v>
      </c>
      <c r="D41" s="44">
        <v>3310</v>
      </c>
      <c r="E41" s="44">
        <v>7230</v>
      </c>
      <c r="F41" s="44">
        <v>7580</v>
      </c>
      <c r="G41" s="45">
        <v>0.27</v>
      </c>
      <c r="H41" s="81"/>
      <c r="N41" s="27"/>
      <c r="V41" s="18"/>
      <c r="W41" s="12"/>
    </row>
    <row r="42" spans="1:23" x14ac:dyDescent="0.2">
      <c r="A42" s="16"/>
      <c r="B42" s="17"/>
      <c r="C42" s="20">
        <v>2018</v>
      </c>
      <c r="D42" s="44">
        <v>3670</v>
      </c>
      <c r="E42" s="44">
        <v>8690</v>
      </c>
      <c r="F42" s="44">
        <v>8630</v>
      </c>
      <c r="G42" s="45">
        <v>0.28000000000000003</v>
      </c>
      <c r="H42" s="81"/>
      <c r="N42" s="27"/>
      <c r="V42" s="18"/>
      <c r="W42" s="12"/>
    </row>
    <row r="43" spans="1:23" x14ac:dyDescent="0.2">
      <c r="A43" s="16"/>
      <c r="B43" s="17"/>
      <c r="C43" s="43">
        <v>2019</v>
      </c>
      <c r="D43" s="44">
        <v>4120</v>
      </c>
      <c r="E43" s="44">
        <v>9530</v>
      </c>
      <c r="F43" s="44">
        <v>9620</v>
      </c>
      <c r="G43" s="45">
        <v>0.28000000000000003</v>
      </c>
      <c r="H43" s="81"/>
      <c r="N43" s="27"/>
      <c r="V43" s="18"/>
      <c r="W43" s="12"/>
    </row>
    <row r="44" spans="1:23" x14ac:dyDescent="0.2">
      <c r="A44" s="16"/>
      <c r="B44" s="17"/>
      <c r="C44" s="43">
        <v>2020</v>
      </c>
      <c r="D44" s="44">
        <v>4300</v>
      </c>
      <c r="E44" s="44">
        <v>11140</v>
      </c>
      <c r="F44" s="44">
        <v>10410</v>
      </c>
      <c r="G44" s="45">
        <v>0.3</v>
      </c>
      <c r="H44" s="81"/>
      <c r="N44" s="27"/>
      <c r="V44" s="18"/>
      <c r="W44" s="12"/>
    </row>
    <row r="45" spans="1:23" x14ac:dyDescent="0.2">
      <c r="A45" s="16"/>
      <c r="B45" s="17"/>
      <c r="C45" s="43">
        <v>2021</v>
      </c>
      <c r="D45" s="44">
        <v>4330</v>
      </c>
      <c r="E45" s="44">
        <v>9530</v>
      </c>
      <c r="F45" s="44">
        <v>10500</v>
      </c>
      <c r="G45" s="45">
        <v>0.25</v>
      </c>
      <c r="H45" s="82"/>
      <c r="N45" s="27"/>
      <c r="V45" s="18"/>
      <c r="W45" s="12"/>
    </row>
    <row r="46" spans="1:23" x14ac:dyDescent="0.2">
      <c r="A46" s="16"/>
      <c r="B46" s="17"/>
      <c r="N46" s="27"/>
      <c r="V46" s="18"/>
      <c r="W46" s="12"/>
    </row>
    <row r="47" spans="1:23" x14ac:dyDescent="0.2">
      <c r="A47" s="16"/>
      <c r="B47" s="17"/>
      <c r="N47" s="27"/>
      <c r="V47" s="18"/>
      <c r="W47" s="12"/>
    </row>
    <row r="48" spans="1:23" x14ac:dyDescent="0.2">
      <c r="A48" s="16"/>
      <c r="B48" s="17"/>
      <c r="N48" s="27"/>
      <c r="V48" s="18"/>
      <c r="W48" s="12"/>
    </row>
    <row r="49" spans="1:23" x14ac:dyDescent="0.2">
      <c r="A49" s="16"/>
      <c r="B49" s="17"/>
      <c r="N49" s="27"/>
      <c r="V49" s="18"/>
      <c r="W49" s="12"/>
    </row>
    <row r="50" spans="1:23" x14ac:dyDescent="0.2">
      <c r="A50" s="16"/>
      <c r="B50" s="17"/>
      <c r="N50" s="27"/>
      <c r="V50" s="18"/>
      <c r="W50" s="12"/>
    </row>
    <row r="51" spans="1:23" x14ac:dyDescent="0.2">
      <c r="A51" s="16"/>
      <c r="B51" s="17"/>
      <c r="N51" s="27"/>
      <c r="V51" s="18"/>
      <c r="W51" s="12"/>
    </row>
    <row r="52" spans="1:23" ht="30" customHeight="1" x14ac:dyDescent="0.3">
      <c r="A52" s="16"/>
      <c r="B52" s="63" t="s">
        <v>53</v>
      </c>
      <c r="C52" s="64"/>
      <c r="D52" s="64"/>
      <c r="E52" s="64"/>
      <c r="F52" s="64"/>
      <c r="G52" s="64"/>
      <c r="H52" s="64"/>
      <c r="I52" s="64"/>
      <c r="J52" s="64"/>
      <c r="K52" s="64"/>
      <c r="L52" s="64"/>
      <c r="M52" s="64"/>
      <c r="N52" s="64"/>
      <c r="O52" s="64"/>
      <c r="P52" s="64"/>
      <c r="Q52" s="64"/>
      <c r="R52" s="64"/>
      <c r="S52" s="64"/>
      <c r="T52" s="64"/>
      <c r="U52" s="64"/>
      <c r="V52" s="65"/>
      <c r="W52" s="12"/>
    </row>
    <row r="53" spans="1:23" ht="30" customHeight="1" x14ac:dyDescent="0.2">
      <c r="A53" s="16"/>
      <c r="B53" s="17"/>
      <c r="N53" s="27"/>
      <c r="V53" s="18"/>
      <c r="W53" s="12"/>
    </row>
    <row r="54" spans="1:23" x14ac:dyDescent="0.2">
      <c r="A54" s="16"/>
      <c r="B54" s="66" t="s">
        <v>171</v>
      </c>
      <c r="C54" s="67"/>
      <c r="D54" s="67"/>
      <c r="E54" s="67"/>
      <c r="F54" s="67"/>
      <c r="G54" s="67"/>
      <c r="H54" s="67"/>
      <c r="I54" s="67"/>
      <c r="J54" s="67"/>
      <c r="K54" s="67"/>
      <c r="L54" s="67"/>
      <c r="M54" s="67"/>
      <c r="N54" s="67"/>
      <c r="O54" s="67"/>
      <c r="P54" s="67"/>
      <c r="Q54" s="67"/>
      <c r="R54" s="67"/>
      <c r="S54" s="67"/>
      <c r="T54" s="67"/>
      <c r="U54" s="67"/>
      <c r="V54" s="68"/>
      <c r="W54" s="12"/>
    </row>
    <row r="55" spans="1:23" x14ac:dyDescent="0.2">
      <c r="A55" s="16"/>
      <c r="B55" s="69"/>
      <c r="C55" s="70"/>
      <c r="D55" s="70"/>
      <c r="E55" s="70"/>
      <c r="F55" s="70"/>
      <c r="G55" s="70"/>
      <c r="H55" s="70"/>
      <c r="I55" s="70"/>
      <c r="J55" s="70"/>
      <c r="K55" s="70"/>
      <c r="L55" s="70"/>
      <c r="M55" s="70"/>
      <c r="N55" s="70"/>
      <c r="O55" s="70"/>
      <c r="P55" s="70"/>
      <c r="Q55" s="70"/>
      <c r="R55" s="70"/>
      <c r="S55" s="70"/>
      <c r="T55" s="70"/>
      <c r="U55" s="70"/>
      <c r="V55" s="71"/>
      <c r="W55" s="12"/>
    </row>
    <row r="56" spans="1:23" x14ac:dyDescent="0.2">
      <c r="A56" s="16"/>
      <c r="B56" s="17"/>
      <c r="N56" s="27"/>
      <c r="V56" s="18"/>
      <c r="W56" s="12"/>
    </row>
    <row r="57" spans="1:23" ht="16" x14ac:dyDescent="0.2">
      <c r="A57" s="16"/>
      <c r="B57" s="17"/>
      <c r="C57" s="20" t="s">
        <v>172</v>
      </c>
      <c r="D57" s="20">
        <v>2022</v>
      </c>
      <c r="E57" s="20">
        <v>2023</v>
      </c>
      <c r="F57" s="20">
        <v>2024</v>
      </c>
      <c r="G57" s="20">
        <v>2025</v>
      </c>
      <c r="H57" s="20">
        <v>2026</v>
      </c>
      <c r="I57" s="20">
        <v>2027</v>
      </c>
      <c r="J57" s="20">
        <v>2028</v>
      </c>
      <c r="K57" s="20">
        <v>2029</v>
      </c>
      <c r="L57" s="20">
        <v>2030</v>
      </c>
      <c r="M57" s="20">
        <v>2031</v>
      </c>
      <c r="N57" s="27"/>
      <c r="V57" s="18"/>
      <c r="W57" s="12"/>
    </row>
    <row r="58" spans="1:23" ht="16" x14ac:dyDescent="0.2">
      <c r="A58" s="16"/>
      <c r="B58" s="17"/>
      <c r="C58" s="20" t="s">
        <v>173</v>
      </c>
      <c r="D58" s="44">
        <v>4480</v>
      </c>
      <c r="E58" s="44">
        <v>4630</v>
      </c>
      <c r="F58" s="44">
        <v>4790</v>
      </c>
      <c r="G58" s="44">
        <v>4940</v>
      </c>
      <c r="H58" s="44">
        <v>5100</v>
      </c>
      <c r="I58" s="44">
        <v>5250</v>
      </c>
      <c r="J58" s="44">
        <v>5400</v>
      </c>
      <c r="K58" s="44">
        <v>5550</v>
      </c>
      <c r="L58" s="44">
        <v>5700</v>
      </c>
      <c r="M58" s="44">
        <v>5850</v>
      </c>
      <c r="N58" s="27"/>
      <c r="V58" s="18"/>
      <c r="W58" s="12"/>
    </row>
    <row r="59" spans="1:23" ht="16" x14ac:dyDescent="0.2">
      <c r="A59" s="16"/>
      <c r="B59" s="17"/>
      <c r="C59" s="20" t="s">
        <v>174</v>
      </c>
      <c r="D59" s="44">
        <v>25</v>
      </c>
      <c r="E59" s="44">
        <v>25</v>
      </c>
      <c r="F59" s="44">
        <v>25</v>
      </c>
      <c r="G59" s="44">
        <v>25</v>
      </c>
      <c r="H59" s="44">
        <v>25</v>
      </c>
      <c r="I59" s="44">
        <v>25</v>
      </c>
      <c r="J59" s="44">
        <v>725</v>
      </c>
      <c r="K59" s="44">
        <v>2865</v>
      </c>
      <c r="L59" s="44">
        <v>5000</v>
      </c>
      <c r="M59" s="44">
        <v>7140</v>
      </c>
      <c r="N59" s="27"/>
      <c r="V59" s="18"/>
      <c r="W59" s="12"/>
    </row>
    <row r="60" spans="1:23" ht="16" x14ac:dyDescent="0.2">
      <c r="A60" s="16"/>
      <c r="B60" s="17"/>
      <c r="C60" s="46" t="s">
        <v>175</v>
      </c>
      <c r="D60" s="44">
        <v>26</v>
      </c>
      <c r="E60" s="44">
        <v>26</v>
      </c>
      <c r="F60" s="44">
        <v>26</v>
      </c>
      <c r="G60" s="44">
        <v>26</v>
      </c>
      <c r="H60" s="44">
        <v>26</v>
      </c>
      <c r="I60" s="44">
        <v>26</v>
      </c>
      <c r="J60" s="44">
        <v>26</v>
      </c>
      <c r="K60" s="44">
        <v>26</v>
      </c>
      <c r="L60" s="44">
        <v>26</v>
      </c>
      <c r="M60" s="44">
        <v>26</v>
      </c>
      <c r="N60" s="27"/>
      <c r="V60" s="18"/>
      <c r="W60" s="12"/>
    </row>
    <row r="61" spans="1:23" ht="16" x14ac:dyDescent="0.2">
      <c r="A61" s="16"/>
      <c r="B61" s="17"/>
      <c r="C61" s="20" t="s">
        <v>176</v>
      </c>
      <c r="D61" s="44">
        <v>24</v>
      </c>
      <c r="E61" s="44">
        <v>24</v>
      </c>
      <c r="F61" s="44">
        <v>24</v>
      </c>
      <c r="G61" s="44">
        <v>24</v>
      </c>
      <c r="H61" s="44">
        <v>24</v>
      </c>
      <c r="I61" s="44">
        <v>24</v>
      </c>
      <c r="J61" s="44">
        <v>24</v>
      </c>
      <c r="K61" s="44">
        <v>24</v>
      </c>
      <c r="L61" s="44">
        <v>24</v>
      </c>
      <c r="M61" s="44">
        <v>24</v>
      </c>
      <c r="N61" s="27"/>
      <c r="V61" s="18"/>
      <c r="W61" s="12"/>
    </row>
    <row r="62" spans="1:23" ht="16" x14ac:dyDescent="0.2">
      <c r="A62" s="16"/>
      <c r="B62" s="17"/>
      <c r="C62" s="20" t="s">
        <v>177</v>
      </c>
      <c r="D62" s="44">
        <v>30</v>
      </c>
      <c r="E62" s="44">
        <v>30</v>
      </c>
      <c r="F62" s="44">
        <v>30</v>
      </c>
      <c r="G62" s="44">
        <v>30</v>
      </c>
      <c r="H62" s="44">
        <v>30</v>
      </c>
      <c r="I62" s="44">
        <v>30</v>
      </c>
      <c r="J62" s="44">
        <v>30</v>
      </c>
      <c r="K62" s="44">
        <v>30</v>
      </c>
      <c r="L62" s="44">
        <v>30</v>
      </c>
      <c r="M62" s="44">
        <v>30</v>
      </c>
      <c r="N62" s="27"/>
      <c r="V62" s="18"/>
      <c r="W62" s="12"/>
    </row>
    <row r="63" spans="1:23" ht="16" x14ac:dyDescent="0.2">
      <c r="A63" s="16"/>
      <c r="B63" s="17"/>
      <c r="C63" s="20" t="s">
        <v>178</v>
      </c>
      <c r="D63" s="44">
        <v>9</v>
      </c>
      <c r="E63" s="44">
        <v>9</v>
      </c>
      <c r="F63" s="44">
        <v>9</v>
      </c>
      <c r="G63" s="44">
        <v>9</v>
      </c>
      <c r="H63" s="44">
        <v>9</v>
      </c>
      <c r="I63" s="44">
        <v>9</v>
      </c>
      <c r="J63" s="44">
        <v>9</v>
      </c>
      <c r="K63" s="44">
        <v>9</v>
      </c>
      <c r="L63" s="44">
        <v>9</v>
      </c>
      <c r="M63" s="44">
        <v>9</v>
      </c>
      <c r="N63" s="27"/>
      <c r="V63" s="18"/>
      <c r="W63" s="12"/>
    </row>
    <row r="64" spans="1:23" ht="16" x14ac:dyDescent="0.2">
      <c r="A64" s="16"/>
      <c r="B64" s="17"/>
      <c r="C64" s="20" t="s">
        <v>179</v>
      </c>
      <c r="D64" s="44">
        <v>129</v>
      </c>
      <c r="E64" s="44">
        <v>129</v>
      </c>
      <c r="F64" s="44">
        <v>129</v>
      </c>
      <c r="G64" s="44">
        <v>129</v>
      </c>
      <c r="H64" s="44">
        <v>129</v>
      </c>
      <c r="I64" s="44">
        <v>129</v>
      </c>
      <c r="J64" s="44">
        <v>129</v>
      </c>
      <c r="K64" s="44">
        <v>129</v>
      </c>
      <c r="L64" s="44">
        <v>129</v>
      </c>
      <c r="M64" s="44">
        <v>129</v>
      </c>
      <c r="N64" s="27"/>
      <c r="V64" s="18"/>
      <c r="W64" s="12"/>
    </row>
    <row r="65" spans="1:23" ht="16" x14ac:dyDescent="0.2">
      <c r="A65" s="16"/>
      <c r="B65" s="17"/>
      <c r="C65" s="20" t="s">
        <v>180</v>
      </c>
      <c r="D65" s="44">
        <v>167</v>
      </c>
      <c r="E65" s="44">
        <v>333</v>
      </c>
      <c r="F65" s="44">
        <v>500</v>
      </c>
      <c r="G65" s="44">
        <v>667</v>
      </c>
      <c r="H65" s="44">
        <v>833</v>
      </c>
      <c r="I65" s="44">
        <v>1000</v>
      </c>
      <c r="J65" s="44">
        <v>1167</v>
      </c>
      <c r="K65" s="44">
        <v>1333</v>
      </c>
      <c r="L65" s="44">
        <v>1500</v>
      </c>
      <c r="M65" s="44">
        <v>1667</v>
      </c>
      <c r="N65" s="27"/>
      <c r="V65" s="18"/>
      <c r="W65" s="12"/>
    </row>
    <row r="66" spans="1:23" ht="16" x14ac:dyDescent="0.2">
      <c r="A66" s="16"/>
      <c r="B66" s="17"/>
      <c r="C66" s="20" t="s">
        <v>181</v>
      </c>
      <c r="D66" s="47">
        <v>4890</v>
      </c>
      <c r="E66" s="47">
        <v>5206</v>
      </c>
      <c r="F66" s="47">
        <v>5533</v>
      </c>
      <c r="G66" s="47">
        <v>5850</v>
      </c>
      <c r="H66" s="47">
        <v>6176</v>
      </c>
      <c r="I66" s="47">
        <v>6493</v>
      </c>
      <c r="J66" s="47">
        <v>7510</v>
      </c>
      <c r="K66" s="47">
        <v>9966</v>
      </c>
      <c r="L66" s="47">
        <v>12418</v>
      </c>
      <c r="M66" s="47">
        <v>14875</v>
      </c>
      <c r="N66" s="27"/>
      <c r="V66" s="18"/>
      <c r="W66" s="12"/>
    </row>
    <row r="67" spans="1:23" x14ac:dyDescent="0.2">
      <c r="A67" s="16"/>
      <c r="B67" s="17"/>
      <c r="N67" s="27"/>
      <c r="V67" s="18"/>
      <c r="W67" s="12"/>
    </row>
    <row r="68" spans="1:23" x14ac:dyDescent="0.2">
      <c r="A68" s="16"/>
      <c r="B68" s="17"/>
      <c r="N68" s="27"/>
      <c r="V68" s="18"/>
      <c r="W68" s="12"/>
    </row>
    <row r="69" spans="1:23" x14ac:dyDescent="0.2">
      <c r="A69" s="16"/>
      <c r="B69" s="66" t="s">
        <v>182</v>
      </c>
      <c r="C69" s="67"/>
      <c r="D69" s="67"/>
      <c r="E69" s="67"/>
      <c r="F69" s="67"/>
      <c r="G69" s="67"/>
      <c r="H69" s="67"/>
      <c r="I69" s="67"/>
      <c r="J69" s="67"/>
      <c r="K69" s="67"/>
      <c r="L69" s="67"/>
      <c r="M69" s="67"/>
      <c r="N69" s="67"/>
      <c r="O69" s="67"/>
      <c r="P69" s="67"/>
      <c r="Q69" s="67"/>
      <c r="R69" s="67"/>
      <c r="S69" s="67"/>
      <c r="T69" s="67"/>
      <c r="U69" s="67"/>
      <c r="V69" s="68"/>
      <c r="W69" s="12"/>
    </row>
    <row r="70" spans="1:23" x14ac:dyDescent="0.2">
      <c r="A70" s="16"/>
      <c r="B70" s="69"/>
      <c r="C70" s="70"/>
      <c r="D70" s="70"/>
      <c r="E70" s="70"/>
      <c r="F70" s="70"/>
      <c r="G70" s="70"/>
      <c r="H70" s="70"/>
      <c r="I70" s="70"/>
      <c r="J70" s="70"/>
      <c r="K70" s="70"/>
      <c r="L70" s="70"/>
      <c r="M70" s="70"/>
      <c r="N70" s="70"/>
      <c r="O70" s="70"/>
      <c r="P70" s="70"/>
      <c r="Q70" s="70"/>
      <c r="R70" s="70"/>
      <c r="S70" s="70"/>
      <c r="T70" s="70"/>
      <c r="U70" s="70"/>
      <c r="V70" s="71"/>
      <c r="W70" s="12"/>
    </row>
    <row r="71" spans="1:23" x14ac:dyDescent="0.2">
      <c r="A71" s="16"/>
      <c r="B71" s="17"/>
      <c r="N71" s="27"/>
      <c r="V71" s="18"/>
      <c r="W71" s="12"/>
    </row>
    <row r="72" spans="1:23" ht="16" x14ac:dyDescent="0.2">
      <c r="A72" s="16"/>
      <c r="B72" s="17"/>
      <c r="C72" s="20" t="s">
        <v>172</v>
      </c>
      <c r="D72" s="20">
        <v>2022</v>
      </c>
      <c r="E72" s="20">
        <v>2023</v>
      </c>
      <c r="F72" s="20">
        <v>2024</v>
      </c>
      <c r="G72" s="20">
        <v>2025</v>
      </c>
      <c r="H72" s="20">
        <v>2026</v>
      </c>
      <c r="I72" s="20">
        <v>2027</v>
      </c>
      <c r="J72" s="20">
        <v>2028</v>
      </c>
      <c r="K72" s="20">
        <v>2029</v>
      </c>
      <c r="L72" s="20">
        <v>2030</v>
      </c>
      <c r="M72" s="20">
        <v>2031</v>
      </c>
      <c r="N72" s="27"/>
      <c r="V72" s="18"/>
      <c r="W72" s="12"/>
    </row>
    <row r="73" spans="1:23" ht="16" x14ac:dyDescent="0.2">
      <c r="A73" s="16"/>
      <c r="B73" s="17"/>
      <c r="C73" s="20" t="s">
        <v>183</v>
      </c>
      <c r="D73" s="44">
        <v>4505</v>
      </c>
      <c r="E73" s="44">
        <v>4655</v>
      </c>
      <c r="F73" s="44">
        <v>4815</v>
      </c>
      <c r="G73" s="44">
        <v>4965</v>
      </c>
      <c r="H73" s="44">
        <v>5125</v>
      </c>
      <c r="I73" s="44">
        <v>5275</v>
      </c>
      <c r="J73" s="44">
        <v>6125</v>
      </c>
      <c r="K73" s="44">
        <v>8415</v>
      </c>
      <c r="L73" s="44">
        <v>10700</v>
      </c>
      <c r="M73" s="44">
        <v>12990</v>
      </c>
      <c r="N73" s="27"/>
      <c r="V73" s="18"/>
      <c r="W73" s="12"/>
    </row>
    <row r="74" spans="1:23" ht="16" x14ac:dyDescent="0.2">
      <c r="A74" s="16"/>
      <c r="B74" s="17"/>
      <c r="C74" s="20" t="s">
        <v>184</v>
      </c>
      <c r="D74" s="44">
        <v>242</v>
      </c>
      <c r="E74" s="44">
        <v>242</v>
      </c>
      <c r="F74" s="44">
        <v>242</v>
      </c>
      <c r="G74" s="44">
        <v>242</v>
      </c>
      <c r="H74" s="44">
        <v>242</v>
      </c>
      <c r="I74" s="44">
        <v>242</v>
      </c>
      <c r="J74" s="44">
        <v>242</v>
      </c>
      <c r="K74" s="44">
        <v>242</v>
      </c>
      <c r="L74" s="44">
        <v>242</v>
      </c>
      <c r="M74" s="44">
        <v>242</v>
      </c>
      <c r="N74" s="27"/>
      <c r="V74" s="18"/>
      <c r="W74" s="12"/>
    </row>
    <row r="75" spans="1:23" ht="96" x14ac:dyDescent="0.2">
      <c r="A75" s="16"/>
      <c r="B75" s="17"/>
      <c r="C75" s="46" t="s">
        <v>185</v>
      </c>
      <c r="D75" s="44">
        <v>24</v>
      </c>
      <c r="E75" s="44">
        <v>24</v>
      </c>
      <c r="F75" s="44">
        <v>24</v>
      </c>
      <c r="G75" s="44">
        <v>24</v>
      </c>
      <c r="H75" s="44">
        <v>24</v>
      </c>
      <c r="I75" s="44">
        <v>24</v>
      </c>
      <c r="J75" s="44">
        <v>24</v>
      </c>
      <c r="K75" s="44">
        <v>24</v>
      </c>
      <c r="L75" s="44">
        <v>24</v>
      </c>
      <c r="M75" s="44">
        <v>24</v>
      </c>
      <c r="N75" s="27"/>
      <c r="V75" s="18"/>
      <c r="W75" s="12"/>
    </row>
    <row r="76" spans="1:23" ht="32" x14ac:dyDescent="0.2">
      <c r="A76" s="16"/>
      <c r="B76" s="17"/>
      <c r="C76" s="20" t="s">
        <v>186</v>
      </c>
      <c r="D76" s="44">
        <v>39</v>
      </c>
      <c r="E76" s="44">
        <v>39</v>
      </c>
      <c r="F76" s="44">
        <v>39</v>
      </c>
      <c r="G76" s="44">
        <v>39</v>
      </c>
      <c r="H76" s="44">
        <v>39</v>
      </c>
      <c r="I76" s="44">
        <v>39</v>
      </c>
      <c r="J76" s="44">
        <v>39</v>
      </c>
      <c r="K76" s="44">
        <v>39</v>
      </c>
      <c r="L76" s="44">
        <v>39</v>
      </c>
      <c r="M76" s="44">
        <v>39</v>
      </c>
      <c r="N76" s="27"/>
      <c r="V76" s="18"/>
      <c r="W76" s="12"/>
    </row>
    <row r="77" spans="1:23" ht="32" x14ac:dyDescent="0.2">
      <c r="A77" s="16"/>
      <c r="B77" s="17"/>
      <c r="C77" s="20" t="s">
        <v>187</v>
      </c>
      <c r="D77" s="44">
        <v>77</v>
      </c>
      <c r="E77" s="44">
        <v>77</v>
      </c>
      <c r="F77" s="44">
        <v>118</v>
      </c>
      <c r="G77" s="44">
        <v>118</v>
      </c>
      <c r="H77" s="44">
        <v>118</v>
      </c>
      <c r="I77" s="44">
        <v>118</v>
      </c>
      <c r="J77" s="44">
        <v>118</v>
      </c>
      <c r="K77" s="44">
        <v>118</v>
      </c>
      <c r="L77" s="44">
        <v>118</v>
      </c>
      <c r="M77" s="44">
        <v>0</v>
      </c>
      <c r="N77" s="27"/>
      <c r="V77" s="18"/>
      <c r="W77" s="12"/>
    </row>
    <row r="78" spans="1:23" ht="16" x14ac:dyDescent="0.2">
      <c r="A78" s="16"/>
      <c r="B78" s="17"/>
      <c r="C78" s="20" t="s">
        <v>188</v>
      </c>
      <c r="D78" s="44">
        <v>167</v>
      </c>
      <c r="E78" s="44">
        <v>333</v>
      </c>
      <c r="F78" s="44">
        <v>500</v>
      </c>
      <c r="G78" s="44">
        <v>667</v>
      </c>
      <c r="H78" s="44">
        <v>833</v>
      </c>
      <c r="I78" s="44">
        <v>1000</v>
      </c>
      <c r="J78" s="44">
        <v>1167</v>
      </c>
      <c r="K78" s="44">
        <v>1333</v>
      </c>
      <c r="L78" s="44">
        <v>1500</v>
      </c>
      <c r="M78" s="44">
        <v>1667</v>
      </c>
      <c r="N78" s="27"/>
      <c r="V78" s="18"/>
      <c r="W78" s="12"/>
    </row>
    <row r="79" spans="1:23" ht="16" x14ac:dyDescent="0.2">
      <c r="A79" s="16"/>
      <c r="B79" s="17"/>
      <c r="C79" s="20" t="s">
        <v>189</v>
      </c>
      <c r="D79" s="47">
        <v>5054</v>
      </c>
      <c r="E79" s="47">
        <v>5370</v>
      </c>
      <c r="F79" s="47">
        <v>5738</v>
      </c>
      <c r="G79" s="47">
        <v>6055</v>
      </c>
      <c r="H79" s="47">
        <v>6381</v>
      </c>
      <c r="I79" s="47">
        <v>6698</v>
      </c>
      <c r="J79" s="47">
        <v>7715</v>
      </c>
      <c r="K79" s="47">
        <v>10171</v>
      </c>
      <c r="L79" s="47">
        <v>12623</v>
      </c>
      <c r="M79" s="47">
        <v>14962</v>
      </c>
      <c r="N79" s="27"/>
      <c r="V79" s="18"/>
      <c r="W79" s="12"/>
    </row>
    <row r="80" spans="1:23" x14ac:dyDescent="0.2">
      <c r="A80" s="16"/>
      <c r="B80" s="17"/>
      <c r="N80" s="27"/>
      <c r="V80" s="18"/>
      <c r="W80" s="12"/>
    </row>
    <row r="81" spans="1:23" x14ac:dyDescent="0.2">
      <c r="A81" s="16"/>
      <c r="B81" s="28"/>
      <c r="C81" s="29"/>
      <c r="D81" s="29"/>
      <c r="E81" s="29"/>
      <c r="F81" s="29"/>
      <c r="G81" s="29"/>
      <c r="H81" s="29"/>
      <c r="I81" s="29"/>
      <c r="J81" s="29"/>
      <c r="K81" s="29"/>
      <c r="L81" s="29"/>
      <c r="M81" s="29"/>
      <c r="N81" s="29"/>
      <c r="O81" s="29"/>
      <c r="P81" s="29"/>
      <c r="Q81" s="29"/>
      <c r="R81" s="29"/>
      <c r="S81" s="29"/>
      <c r="T81" s="29"/>
      <c r="U81" s="29"/>
      <c r="V81" s="30"/>
      <c r="W81" s="12"/>
    </row>
    <row r="82" spans="1:23" x14ac:dyDescent="0.2">
      <c r="A82" s="31"/>
      <c r="B82" s="32"/>
      <c r="C82" s="32"/>
      <c r="D82" s="32"/>
      <c r="E82" s="32"/>
      <c r="F82" s="32"/>
      <c r="G82" s="32"/>
      <c r="H82" s="32"/>
      <c r="I82" s="32"/>
      <c r="J82" s="32"/>
      <c r="K82" s="32"/>
      <c r="L82" s="32"/>
      <c r="M82" s="32"/>
      <c r="N82" s="32"/>
      <c r="O82" s="32"/>
      <c r="P82" s="32"/>
      <c r="Q82" s="32"/>
      <c r="R82" s="32"/>
      <c r="S82" s="32"/>
      <c r="T82" s="32"/>
      <c r="U82" s="32"/>
      <c r="V82" s="32"/>
      <c r="W82" s="33"/>
    </row>
  </sheetData>
  <mergeCells count="9">
    <mergeCell ref="B54:V55"/>
    <mergeCell ref="B69:V70"/>
    <mergeCell ref="B2:V2"/>
    <mergeCell ref="B3:V3"/>
    <mergeCell ref="B5:V5"/>
    <mergeCell ref="B7:V8"/>
    <mergeCell ref="B31:V32"/>
    <mergeCell ref="H36:H45"/>
    <mergeCell ref="B52:V5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A2A41-66F8-D54F-97E1-C7D23F77052A}">
  <dimension ref="A1:C15"/>
  <sheetViews>
    <sheetView workbookViewId="0">
      <pane xSplit="1" ySplit="11" topLeftCell="B12" activePane="bottomRight" state="frozen"/>
      <selection pane="topRight"/>
      <selection pane="bottomLeft"/>
      <selection pane="bottomRight"/>
    </sheetView>
  </sheetViews>
  <sheetFormatPr baseColWidth="10" defaultColWidth="6.625" defaultRowHeight="11.25" customHeight="1" x14ac:dyDescent="0.2"/>
  <cols>
    <col min="1" max="1" width="22.375" style="84" customWidth="1"/>
    <col min="2" max="2" width="15" style="84" customWidth="1"/>
    <col min="3" max="3" width="3.75" style="84" customWidth="1"/>
    <col min="4" max="16384" width="6.625" style="84"/>
  </cols>
  <sheetData>
    <row r="1" spans="1:3" x14ac:dyDescent="0.2">
      <c r="A1" s="83" t="s">
        <v>199</v>
      </c>
    </row>
    <row r="2" spans="1:3" x14ac:dyDescent="0.2">
      <c r="A2" s="83" t="s">
        <v>200</v>
      </c>
      <c r="B2" s="85" t="s">
        <v>201</v>
      </c>
    </row>
    <row r="3" spans="1:3" x14ac:dyDescent="0.2">
      <c r="A3" s="83" t="s">
        <v>202</v>
      </c>
      <c r="B3" s="83" t="s">
        <v>203</v>
      </c>
    </row>
    <row r="4" spans="1:3" x14ac:dyDescent="0.2"/>
    <row r="5" spans="1:3" x14ac:dyDescent="0.2">
      <c r="A5" s="85" t="s">
        <v>204</v>
      </c>
      <c r="C5" s="83" t="s">
        <v>205</v>
      </c>
    </row>
    <row r="6" spans="1:3" x14ac:dyDescent="0.2">
      <c r="A6" s="85" t="s">
        <v>206</v>
      </c>
      <c r="C6" s="83" t="s">
        <v>207</v>
      </c>
    </row>
    <row r="7" spans="1:3" x14ac:dyDescent="0.2">
      <c r="A7" s="85" t="s">
        <v>208</v>
      </c>
      <c r="C7" s="83" t="s">
        <v>209</v>
      </c>
    </row>
    <row r="8" spans="1:3" x14ac:dyDescent="0.2">
      <c r="A8" s="85" t="s">
        <v>210</v>
      </c>
      <c r="C8" s="83" t="s">
        <v>211</v>
      </c>
    </row>
    <row r="9" spans="1:3" x14ac:dyDescent="0.2"/>
    <row r="10" spans="1:3" x14ac:dyDescent="0.2">
      <c r="A10" s="86" t="s">
        <v>212</v>
      </c>
      <c r="B10" s="87" t="s">
        <v>213</v>
      </c>
      <c r="C10" s="87" t="s">
        <v>214</v>
      </c>
    </row>
    <row r="11" spans="1:3" x14ac:dyDescent="0.2">
      <c r="A11" s="88" t="s">
        <v>215</v>
      </c>
      <c r="B11" s="89" t="s">
        <v>214</v>
      </c>
      <c r="C11" s="89" t="s">
        <v>214</v>
      </c>
    </row>
    <row r="12" spans="1:3" x14ac:dyDescent="0.2">
      <c r="A12" s="90" t="s">
        <v>216</v>
      </c>
      <c r="B12" s="91">
        <v>518.4</v>
      </c>
      <c r="C12" s="92" t="s">
        <v>214</v>
      </c>
    </row>
    <row r="14" spans="1:3" x14ac:dyDescent="0.2">
      <c r="A14" s="85" t="s">
        <v>217</v>
      </c>
    </row>
    <row r="15" spans="1:3" x14ac:dyDescent="0.2">
      <c r="A15" s="85" t="s">
        <v>218</v>
      </c>
      <c r="B15" s="83" t="s">
        <v>219</v>
      </c>
    </row>
  </sheetData>
  <mergeCells count="1">
    <mergeCell ref="B10:C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Calculations</vt:lpstr>
      <vt:lpstr>GCS data-workbook (gas)</vt:lpstr>
      <vt:lpstr>GCS data-workbook (wind)</vt:lpstr>
      <vt:lpstr>Eurostat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Valkenier</dc:creator>
  <cp:lastModifiedBy>Kyra de Haan</cp:lastModifiedBy>
  <dcterms:created xsi:type="dcterms:W3CDTF">2026-07-14T08:38:02Z</dcterms:created>
  <dcterms:modified xsi:type="dcterms:W3CDTF">2026-08-07T12:07:07Z</dcterms:modified>
</cp:coreProperties>
</file>