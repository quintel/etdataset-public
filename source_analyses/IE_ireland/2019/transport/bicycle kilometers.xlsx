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202300"/>
  <mc:AlternateContent xmlns:mc="http://schemas.openxmlformats.org/markup-compatibility/2006">
    <mc:Choice Requires="x15">
      <x15ac:absPath xmlns:x15ac="http://schemas.microsoft.com/office/spreadsheetml/2010/11/ac" url="/Users/kyradehaan/github/etm/etdataset/source_analyses/IE_ireland/2019/transport/"/>
    </mc:Choice>
  </mc:AlternateContent>
  <xr:revisionPtr revIDLastSave="0" documentId="13_ncr:1_{B16B5544-4614-A344-86A2-01AE0E2F38FD}" xr6:coauthVersionLast="47" xr6:coauthVersionMax="47" xr10:uidLastSave="{00000000-0000-0000-0000-000000000000}"/>
  <bookViews>
    <workbookView xWindow="-5660" yWindow="-21600" windowWidth="38400" windowHeight="21600" xr2:uid="{FEC2160B-A21D-074A-B5BD-AC5776884C52}"/>
  </bookViews>
  <sheets>
    <sheet name="Overview" sheetId="1" r:id="rId1"/>
    <sheet name="Calculations" sheetId="2" r:id="rId2"/>
    <sheet name="(1)" sheetId="3" r:id="rId3"/>
    <sheet name="(2)" sheetId="8" r:id="rId4"/>
    <sheet name="(3)" sheetId="9" r:id="rId5"/>
    <sheet name="(4)"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20" i="2"/>
  <c r="B16" i="2"/>
  <c r="B15" i="2"/>
  <c r="B14" i="2"/>
  <c r="B11" i="2"/>
  <c r="B10" i="2"/>
  <c r="B12" i="2" l="1"/>
  <c r="B17" i="2" s="1"/>
  <c r="B18" i="2" s="1"/>
  <c r="B22" i="2" s="1"/>
  <c r="B23" i="2" l="1"/>
</calcChain>
</file>

<file path=xl/sharedStrings.xml><?xml version="1.0" encoding="utf-8"?>
<sst xmlns="http://schemas.openxmlformats.org/spreadsheetml/2006/main" count="179" uniqueCount="121">
  <si>
    <t>key</t>
  </si>
  <si>
    <t>value</t>
  </si>
  <si>
    <t>comment</t>
  </si>
  <si>
    <t>input_transport_road_human_powered_bicycle_demand</t>
  </si>
  <si>
    <t>Bicycle kilometers</t>
  </si>
  <si>
    <t>Sources:</t>
  </si>
  <si>
    <t>(1):</t>
  </si>
  <si>
    <t>https://www.cso.ie/en/releasesandpublications/ep/p-mip/measuringirelandsprogress2019/society/</t>
  </si>
  <si>
    <t>(2):</t>
  </si>
  <si>
    <t>https://www.cso.ie/en/releasesandpublications/ep/p-nts/nationaltravelsurvey2019/howwetravelled/</t>
  </si>
  <si>
    <t>(3):</t>
  </si>
  <si>
    <t>https://www.cso.ie/en/releasesandpublications/ep/p-syi/statisticalyearbookofireland2020/tt/travel/</t>
  </si>
  <si>
    <t>(4):</t>
  </si>
  <si>
    <t>https://www.cso.ie/en/releasesandpublications/ep/p-nts/nationaltravelsurvey2019/cycling/</t>
  </si>
  <si>
    <t>journeys by bike</t>
  </si>
  <si>
    <t>% travels</t>
  </si>
  <si>
    <t>average number of journeys (total)</t>
  </si>
  <si>
    <t>total journeys per day</t>
  </si>
  <si>
    <t>bike journeys per day</t>
  </si>
  <si>
    <t>average cycling journey</t>
  </si>
  <si>
    <t>km</t>
  </si>
  <si>
    <t>days -&gt; year</t>
  </si>
  <si>
    <t>annual bicycle journeys</t>
  </si>
  <si>
    <t>km/year</t>
  </si>
  <si>
    <t>million km/year</t>
  </si>
  <si>
    <r>
      <t>Table 1.1 Ireland: Population distribution by age group, 2010-2020</t>
    </r>
    <r>
      <rPr>
        <b/>
        <vertAlign val="superscript"/>
        <sz val="8"/>
        <color theme="1"/>
        <rFont val="Arial"/>
        <family val="2"/>
      </rPr>
      <t>1</t>
    </r>
  </si>
  <si>
    <t>Year</t>
  </si>
  <si>
    <t>0 - 14 years</t>
  </si>
  <si>
    <t>15 - 24 years</t>
  </si>
  <si>
    <t>25 - 44 years</t>
  </si>
  <si>
    <t>45 - 64 years</t>
  </si>
  <si>
    <t>65 years and over</t>
  </si>
  <si>
    <t>Total</t>
  </si>
  <si>
    <t>Percentage</t>
  </si>
  <si>
    <t>Thousands</t>
  </si>
  <si>
    <t>Source: CSO Population and Migration Estimates</t>
  </si>
  <si>
    <r>
      <rPr>
        <vertAlign val="superscript"/>
        <sz val="8"/>
        <color theme="1"/>
        <rFont val="Arial"/>
        <family val="2"/>
      </rPr>
      <t>1</t>
    </r>
    <r>
      <rPr>
        <sz val="11"/>
        <color theme="1"/>
        <rFont val="Satoshi"/>
        <family val="2"/>
      </rPr>
      <t>Persons in April of each year. Data are preliminary for 2017, 2018, 2019 and 2020.</t>
    </r>
  </si>
  <si>
    <t>Table 2.1 Percentage distribution of journeys by mode of travel and gender, 2014, 2016 and 2019</t>
  </si>
  <si>
    <t>%</t>
  </si>
  <si>
    <t>Mode of travel</t>
  </si>
  <si>
    <t>Male</t>
  </si>
  <si>
    <t>Female</t>
  </si>
  <si>
    <t>Private car - driver</t>
  </si>
  <si>
    <t>Private car - passenger</t>
  </si>
  <si>
    <t>Walk</t>
  </si>
  <si>
    <t>Bus</t>
  </si>
  <si>
    <t>Cycle</t>
  </si>
  <si>
    <t>Rail/DART/Luas</t>
  </si>
  <si>
    <t xml:space="preserve">   Rail</t>
  </si>
  <si>
    <t>n/a</t>
  </si>
  <si>
    <t xml:space="preserve">   DART/Luas</t>
  </si>
  <si>
    <t>Taxi  / hackney</t>
  </si>
  <si>
    <r>
      <t>Lorry/motorcycle/other</t>
    </r>
    <r>
      <rPr>
        <vertAlign val="superscript"/>
        <sz val="8"/>
        <color theme="1"/>
        <rFont val="Arial"/>
        <family val="2"/>
      </rPr>
      <t>1</t>
    </r>
  </si>
  <si>
    <t xml:space="preserve">   Lorry/motorcycle</t>
  </si>
  <si>
    <t xml:space="preserve">   Van</t>
  </si>
  <si>
    <r>
      <t xml:space="preserve">   Other</t>
    </r>
    <r>
      <rPr>
        <vertAlign val="superscript"/>
        <sz val="8"/>
        <color theme="1"/>
        <rFont val="Arial"/>
        <family val="2"/>
      </rPr>
      <t>2</t>
    </r>
  </si>
  <si>
    <t>All modes of travel</t>
  </si>
  <si>
    <r>
      <rPr>
        <vertAlign val="superscript"/>
        <sz val="8"/>
        <color theme="1"/>
        <rFont val="Arial"/>
        <family val="2"/>
      </rPr>
      <t>1</t>
    </r>
    <r>
      <rPr>
        <sz val="8"/>
        <color theme="1"/>
        <rFont val="Arial"/>
        <family val="2"/>
      </rPr>
      <t>Lorry/motorcycle/other includes lorry, van, motorcycle, and other modes of travel  - see also footnote 2.</t>
    </r>
  </si>
  <si>
    <r>
      <rPr>
        <vertAlign val="superscript"/>
        <sz val="8"/>
        <color theme="1"/>
        <rFont val="Arial"/>
        <family val="2"/>
      </rPr>
      <t>2</t>
    </r>
    <r>
      <rPr>
        <sz val="8"/>
        <color theme="1"/>
        <rFont val="Arial"/>
        <family val="2"/>
      </rPr>
      <t>Includes electric personal mobility vehicles such as electric scooters, electric skateboards, Segways, hoverboards, and electric unicycles.</t>
    </r>
  </si>
  <si>
    <t>Note 1: n/a denotes breakdown not available for 2014 and 2016.</t>
  </si>
  <si>
    <t>Note 2: Data may be subject to sampling or other survey errors, which are greater in respect of smaller values.</t>
  </si>
  <si>
    <r>
      <t>Table 24.1 Percentage persons who travelled or did not travel on the travel reference day</t>
    </r>
    <r>
      <rPr>
        <b/>
        <vertAlign val="superscript"/>
        <sz val="8"/>
        <rFont val="Arial"/>
        <family val="2"/>
      </rPr>
      <t>1</t>
    </r>
    <r>
      <rPr>
        <b/>
        <sz val="8"/>
        <rFont val="Arial"/>
        <family val="2"/>
      </rPr>
      <t xml:space="preserve"> by region, 2019</t>
    </r>
  </si>
  <si>
    <t>% of persons aged 18 and over</t>
  </si>
  <si>
    <t>Region</t>
  </si>
  <si>
    <t>Travelled</t>
  </si>
  <si>
    <t>Did not travel</t>
  </si>
  <si>
    <t>Border</t>
  </si>
  <si>
    <t>Midland</t>
  </si>
  <si>
    <t>West</t>
  </si>
  <si>
    <t>Dublin</t>
  </si>
  <si>
    <t>Mid-East</t>
  </si>
  <si>
    <t>Mid-West</t>
  </si>
  <si>
    <t>South-East</t>
  </si>
  <si>
    <t>South-West</t>
  </si>
  <si>
    <t>All regions</t>
  </si>
  <si>
    <r>
      <rPr>
        <vertAlign val="superscript"/>
        <sz val="8"/>
        <rFont val="Arial"/>
        <family val="2"/>
      </rPr>
      <t>1</t>
    </r>
    <r>
      <rPr>
        <sz val="8"/>
        <rFont val="Arial"/>
        <family val="2"/>
      </rPr>
      <t>The travel reference day is the day for which respondents provided information on their travel pattern.</t>
    </r>
  </si>
  <si>
    <t xml:space="preserve">Data may be subject to sampling or other survey errors, which are greater in respect of smaller values. </t>
  </si>
  <si>
    <t>Source: CSO</t>
  </si>
  <si>
    <t>Table 12.1 Frequency of cycling journeys and average length of cycling journey by sex and age group, 2019</t>
  </si>
  <si>
    <t>Frequency of cycling journeys</t>
  </si>
  <si>
    <t>1 to 2 times a week</t>
  </si>
  <si>
    <t>3 to 4 times a week</t>
  </si>
  <si>
    <t>At least 5 times a week</t>
  </si>
  <si>
    <t>Less than weekly but more than
once a month</t>
  </si>
  <si>
    <t>Less than monthly</t>
  </si>
  <si>
    <t>Never</t>
  </si>
  <si>
    <r>
      <t>Average length of cycling journey (km)</t>
    </r>
    <r>
      <rPr>
        <b/>
        <vertAlign val="superscript"/>
        <sz val="8"/>
        <color theme="1"/>
        <rFont val="Arial"/>
        <family val="2"/>
      </rPr>
      <t>1</t>
    </r>
  </si>
  <si>
    <t>All Persons</t>
  </si>
  <si>
    <t>18-24</t>
  </si>
  <si>
    <t>25-34</t>
  </si>
  <si>
    <t>35-44</t>
  </si>
  <si>
    <t>45-54</t>
  </si>
  <si>
    <t>55-64</t>
  </si>
  <si>
    <t>65-74</t>
  </si>
  <si>
    <t>75+</t>
  </si>
  <si>
    <r>
      <rPr>
        <vertAlign val="superscript"/>
        <sz val="8"/>
        <color theme="1"/>
        <rFont val="Arial"/>
        <family val="2"/>
      </rPr>
      <t>1</t>
    </r>
    <r>
      <rPr>
        <sz val="8"/>
        <color theme="1"/>
        <rFont val="Arial"/>
        <family val="2"/>
      </rPr>
      <t>Respondents were asked for the distance that they travel on a typical cycle.</t>
    </r>
  </si>
  <si>
    <t>Total number of inhabitants</t>
  </si>
  <si>
    <t>Number of inhabitants between 0 and 14 (percentage)</t>
  </si>
  <si>
    <t>Number of inhabitants 14+</t>
  </si>
  <si>
    <r>
      <t>Table 24.2 Average number of journeys taken by travel reference day</t>
    </r>
    <r>
      <rPr>
        <b/>
        <vertAlign val="superscript"/>
        <sz val="8"/>
        <rFont val="Arial"/>
        <family val="2"/>
      </rPr>
      <t xml:space="preserve">1, </t>
    </r>
    <r>
      <rPr>
        <b/>
        <sz val="8"/>
        <rFont val="Arial"/>
        <family val="2"/>
      </rPr>
      <t>2019</t>
    </r>
  </si>
  <si>
    <r>
      <t>Travel reference day</t>
    </r>
    <r>
      <rPr>
        <b/>
        <vertAlign val="superscript"/>
        <sz val="8"/>
        <rFont val="Arial"/>
        <family val="2"/>
      </rPr>
      <t>1</t>
    </r>
  </si>
  <si>
    <t>Average number of journeys taken</t>
  </si>
  <si>
    <t>State</t>
  </si>
  <si>
    <t>Monday</t>
  </si>
  <si>
    <t>Tuesday</t>
  </si>
  <si>
    <t>Wednesday</t>
  </si>
  <si>
    <t>Thursday</t>
  </si>
  <si>
    <t>Friday</t>
  </si>
  <si>
    <t>Saturday</t>
  </si>
  <si>
    <t>Sunday</t>
  </si>
  <si>
    <r>
      <rPr>
        <vertAlign val="superscript"/>
        <sz val="8"/>
        <rFont val="Arial"/>
        <family val="2"/>
      </rPr>
      <t>1</t>
    </r>
    <r>
      <rPr>
        <sz val="8"/>
        <rFont val="Arial"/>
        <family val="2"/>
      </rPr>
      <t>Day for which respondents provide information on their travel pattern.</t>
    </r>
  </si>
  <si>
    <t>Estimated by Quintel based on national surveys and CSO publications. Total cycling distance is calculated by multiplying the number of inhabitants by: (1) the share of journeys made by bike, (2) the share of people who travelled on the reference day, (3) the average number of journeys per person, and (4) the average journey distance (km). See &lt;a href="https://github.com/quintel/etdataset-public/tree/master/source_analyses/IE_ireland/2019/transport/bicycle kilometers.xlsx"&gt;this file&lt;/a&gt; for more information.</t>
  </si>
  <si>
    <t>(1)</t>
  </si>
  <si>
    <t>(2)</t>
  </si>
  <si>
    <t>(3)</t>
  </si>
  <si>
    <t>unit</t>
  </si>
  <si>
    <t>source</t>
  </si>
  <si>
    <t>(4)</t>
  </si>
  <si>
    <t>#</t>
  </si>
  <si>
    <t>#/day</t>
  </si>
  <si>
    <t>days/year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</si>
</sst>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
    <numFmt numFmtId="166" formatCode="#,##0.0"/>
    <numFmt numFmtId="167" formatCode="#,###,##0.0"/>
    <numFmt numFmtId="168" formatCode="&quot;€&quot;\ #,##0.00"/>
    <numFmt numFmtId="170" formatCode="_ * #,##0_ ;_ * \-#,##0_ ;_ * &quot;-&quot;??_ ;_ @_ "/>
  </numFmts>
  <fonts count="20" x14ac:knownFonts="1">
    <font>
      <sz val="11"/>
      <color theme="1"/>
      <name val="Satoshi"/>
      <family val="2"/>
    </font>
    <font>
      <sz val="11"/>
      <color theme="1"/>
      <name val="Satoshi"/>
      <family val="2"/>
    </font>
    <font>
      <u/>
      <sz val="11"/>
      <color theme="10"/>
      <name val="Satoshi"/>
      <family val="2"/>
    </font>
    <font>
      <i/>
      <sz val="11"/>
      <color theme="1"/>
      <name val="Satoshi"/>
    </font>
    <font>
      <sz val="11"/>
      <color theme="4"/>
      <name val="Satoshi"/>
      <family val="2"/>
    </font>
    <font>
      <b/>
      <sz val="11"/>
      <color theme="4"/>
      <name val="Satoshi"/>
    </font>
    <font>
      <sz val="8"/>
      <color theme="1"/>
      <name val="Arial"/>
      <family val="2"/>
    </font>
    <font>
      <b/>
      <sz val="8"/>
      <color theme="1"/>
      <name val="Arial"/>
      <family val="2"/>
    </font>
    <font>
      <b/>
      <vertAlign val="superscript"/>
      <sz val="8"/>
      <color theme="1"/>
      <name val="Arial"/>
      <family val="2"/>
    </font>
    <font>
      <i/>
      <sz val="8"/>
      <color theme="1"/>
      <name val="Arial"/>
      <family val="2"/>
    </font>
    <font>
      <vertAlign val="superscript"/>
      <sz val="8"/>
      <color theme="1"/>
      <name val="Arial"/>
      <family val="2"/>
    </font>
    <font>
      <sz val="11"/>
      <color theme="1"/>
      <name val="Aptos Narrow"/>
      <family val="2"/>
      <scheme val="minor"/>
    </font>
    <font>
      <b/>
      <sz val="8"/>
      <name val="Arial"/>
      <family val="2"/>
    </font>
    <font>
      <b/>
      <vertAlign val="superscript"/>
      <sz val="8"/>
      <name val="Arial"/>
      <family val="2"/>
    </font>
    <font>
      <sz val="8"/>
      <name val="Arial"/>
      <family val="2"/>
    </font>
    <font>
      <i/>
      <sz val="8"/>
      <name val="Arial"/>
      <family val="2"/>
    </font>
    <font>
      <vertAlign val="superscript"/>
      <sz val="8"/>
      <name val="Arial"/>
      <family val="2"/>
    </font>
    <font>
      <b/>
      <sz val="11"/>
      <color theme="0"/>
      <name val="Satoshi"/>
    </font>
    <font>
      <sz val="11"/>
      <color theme="0"/>
      <name val="Satoshi"/>
    </font>
    <font>
      <sz val="11"/>
      <color theme="4"/>
      <name val="Satoshi"/>
    </font>
  </fonts>
  <fills count="3">
    <fill>
      <patternFill patternType="none"/>
    </fill>
    <fill>
      <patternFill patternType="gray125"/>
    </fill>
    <fill>
      <patternFill patternType="solid">
        <fgColor theme="4"/>
        <bgColor indexed="64"/>
      </patternFill>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6">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6" fillId="0" borderId="0"/>
    <xf numFmtId="0" fontId="11" fillId="0" borderId="0"/>
    <xf numFmtId="43" fontId="1" fillId="0" borderId="0" applyFont="0" applyFill="0" applyBorder="0" applyAlignment="0" applyProtection="0"/>
  </cellStyleXfs>
  <cellXfs count="90">
    <xf numFmtId="0" fontId="0" fillId="0" borderId="0" xfId="0"/>
    <xf numFmtId="0" fontId="3" fillId="0" borderId="0" xfId="0" applyFont="1"/>
    <xf numFmtId="0" fontId="2" fillId="0" borderId="0" xfId="2"/>
    <xf numFmtId="164" fontId="0" fillId="0" borderId="0" xfId="0" applyNumberFormat="1"/>
    <xf numFmtId="0" fontId="4" fillId="0" borderId="0" xfId="0" applyFont="1"/>
    <xf numFmtId="0" fontId="5" fillId="0" borderId="0" xfId="0" applyFont="1"/>
    <xf numFmtId="165" fontId="0" fillId="0" borderId="0" xfId="0" applyNumberFormat="1"/>
    <xf numFmtId="0" fontId="6" fillId="0" borderId="0" xfId="3"/>
    <xf numFmtId="0" fontId="7" fillId="0" borderId="1" xfId="3" applyFont="1" applyBorder="1" applyAlignment="1">
      <alignment horizontal="right" wrapText="1"/>
    </xf>
    <xf numFmtId="0" fontId="9" fillId="0" borderId="1" xfId="3" applyFont="1" applyBorder="1" applyAlignment="1">
      <alignment horizontal="right"/>
    </xf>
    <xf numFmtId="0" fontId="6" fillId="0" borderId="0" xfId="3" applyAlignment="1">
      <alignment horizontal="left"/>
    </xf>
    <xf numFmtId="165" fontId="6" fillId="0" borderId="0" xfId="3" applyNumberFormat="1"/>
    <xf numFmtId="166" fontId="6" fillId="0" borderId="0" xfId="3" applyNumberFormat="1"/>
    <xf numFmtId="0" fontId="6" fillId="0" borderId="1" xfId="3" applyBorder="1" applyAlignment="1">
      <alignment horizontal="left"/>
    </xf>
    <xf numFmtId="166" fontId="6" fillId="0" borderId="1" xfId="3" applyNumberFormat="1" applyBorder="1"/>
    <xf numFmtId="0" fontId="7" fillId="0" borderId="0" xfId="4" applyFont="1" applyAlignment="1">
      <alignment horizontal="left"/>
    </xf>
    <xf numFmtId="0" fontId="6" fillId="0" borderId="0" xfId="4" applyFont="1"/>
    <xf numFmtId="0" fontId="7" fillId="0" borderId="2" xfId="4" applyFont="1" applyBorder="1" applyAlignment="1">
      <alignment horizontal="center"/>
    </xf>
    <xf numFmtId="0" fontId="7" fillId="0" borderId="1" xfId="4" applyFont="1" applyBorder="1" applyAlignment="1">
      <alignment horizontal="left"/>
    </xf>
    <xf numFmtId="0" fontId="7" fillId="0" borderId="1" xfId="4" applyFont="1" applyBorder="1" applyAlignment="1">
      <alignment horizontal="right"/>
    </xf>
    <xf numFmtId="49" fontId="6" fillId="0" borderId="0" xfId="4" applyNumberFormat="1" applyFont="1" applyAlignment="1">
      <alignment horizontal="left"/>
    </xf>
    <xf numFmtId="165" fontId="6" fillId="0" borderId="0" xfId="4" applyNumberFormat="1" applyFont="1" applyAlignment="1">
      <alignment horizontal="right"/>
    </xf>
    <xf numFmtId="166" fontId="6" fillId="0" borderId="0" xfId="4" applyNumberFormat="1" applyFont="1" applyAlignment="1">
      <alignment horizontal="right"/>
    </xf>
    <xf numFmtId="49" fontId="7" fillId="0" borderId="1" xfId="4" applyNumberFormat="1" applyFont="1" applyBorder="1" applyAlignment="1">
      <alignment horizontal="left"/>
    </xf>
    <xf numFmtId="165" fontId="7" fillId="0" borderId="1" xfId="4" applyNumberFormat="1" applyFont="1" applyBorder="1" applyAlignment="1">
      <alignment horizontal="right"/>
    </xf>
    <xf numFmtId="0" fontId="6" fillId="0" borderId="0" xfId="4" applyFont="1" applyAlignment="1">
      <alignment horizontal="left"/>
    </xf>
    <xf numFmtId="0" fontId="14" fillId="0" borderId="0" xfId="4" applyFont="1"/>
    <xf numFmtId="0" fontId="14" fillId="0" borderId="2" xfId="4" applyFont="1" applyBorder="1"/>
    <xf numFmtId="0" fontId="12" fillId="0" borderId="1" xfId="4" applyFont="1" applyBorder="1" applyAlignment="1">
      <alignment horizontal="left"/>
    </xf>
    <xf numFmtId="0" fontId="12" fillId="0" borderId="3" xfId="4" applyFont="1" applyBorder="1" applyAlignment="1">
      <alignment horizontal="right"/>
    </xf>
    <xf numFmtId="0" fontId="12" fillId="0" borderId="3" xfId="4" applyFont="1" applyBorder="1" applyAlignment="1">
      <alignment horizontal="right" wrapText="1"/>
    </xf>
    <xf numFmtId="49" fontId="14" fillId="0" borderId="0" xfId="4" applyNumberFormat="1" applyFont="1" applyAlignment="1">
      <alignment horizontal="left"/>
    </xf>
    <xf numFmtId="167" fontId="14" fillId="0" borderId="0" xfId="4" applyNumberFormat="1" applyFont="1" applyAlignment="1">
      <alignment horizontal="right"/>
    </xf>
    <xf numFmtId="165" fontId="14" fillId="0" borderId="0" xfId="4" applyNumberFormat="1" applyFont="1" applyAlignment="1">
      <alignment horizontal="right"/>
    </xf>
    <xf numFmtId="49" fontId="12" fillId="0" borderId="1" xfId="4" applyNumberFormat="1" applyFont="1" applyBorder="1" applyAlignment="1">
      <alignment horizontal="left"/>
    </xf>
    <xf numFmtId="167" fontId="12" fillId="0" borderId="1" xfId="4" applyNumberFormat="1" applyFont="1" applyBorder="1" applyAlignment="1">
      <alignment horizontal="right"/>
    </xf>
    <xf numFmtId="165" fontId="12" fillId="0" borderId="1" xfId="4" applyNumberFormat="1" applyFont="1" applyBorder="1" applyAlignment="1">
      <alignment horizontal="right"/>
    </xf>
    <xf numFmtId="0" fontId="6" fillId="0" borderId="0" xfId="4" applyFont="1" applyAlignment="1">
      <alignment horizontal="right"/>
    </xf>
    <xf numFmtId="0" fontId="7" fillId="0" borderId="0" xfId="4" applyFont="1" applyAlignment="1">
      <alignment wrapText="1"/>
    </xf>
    <xf numFmtId="0" fontId="7" fillId="0" borderId="3" xfId="4" applyFont="1" applyBorder="1" applyAlignment="1">
      <alignment horizontal="right" wrapText="1"/>
    </xf>
    <xf numFmtId="0" fontId="7" fillId="0" borderId="3" xfId="4" applyFont="1" applyBorder="1" applyAlignment="1">
      <alignment horizontal="right"/>
    </xf>
    <xf numFmtId="0" fontId="7" fillId="0" borderId="1" xfId="4" applyFont="1" applyBorder="1" applyAlignment="1">
      <alignment horizontal="right" wrapText="1"/>
    </xf>
    <xf numFmtId="165" fontId="7" fillId="0" borderId="2" xfId="4" applyNumberFormat="1" applyFont="1" applyBorder="1" applyAlignment="1">
      <alignment horizontal="left" wrapText="1"/>
    </xf>
    <xf numFmtId="165" fontId="7" fillId="0" borderId="0" xfId="4" applyNumberFormat="1" applyFont="1" applyAlignment="1">
      <alignment horizontal="right"/>
    </xf>
    <xf numFmtId="165" fontId="6" fillId="0" borderId="0" xfId="4" applyNumberFormat="1" applyFont="1" applyAlignment="1">
      <alignment horizontal="left"/>
    </xf>
    <xf numFmtId="165" fontId="6" fillId="0" borderId="0" xfId="4" applyNumberFormat="1" applyFont="1"/>
    <xf numFmtId="165" fontId="6" fillId="0" borderId="1" xfId="4" applyNumberFormat="1" applyFont="1" applyBorder="1" applyAlignment="1">
      <alignment horizontal="left"/>
    </xf>
    <xf numFmtId="165" fontId="6" fillId="0" borderId="1" xfId="4" applyNumberFormat="1" applyFont="1" applyBorder="1" applyAlignment="1">
      <alignment horizontal="right"/>
    </xf>
    <xf numFmtId="165" fontId="6" fillId="0" borderId="1" xfId="4" applyNumberFormat="1" applyFont="1" applyBorder="1"/>
    <xf numFmtId="49" fontId="4" fillId="0" borderId="0" xfId="0" applyNumberFormat="1" applyFont="1" applyAlignment="1">
      <alignment horizontal="right"/>
    </xf>
    <xf numFmtId="9" fontId="4" fillId="0" borderId="0" xfId="1" applyFont="1"/>
    <xf numFmtId="164" fontId="0" fillId="0" borderId="0" xfId="1" applyNumberFormat="1" applyFont="1"/>
    <xf numFmtId="1" fontId="4" fillId="0" borderId="0" xfId="0" applyNumberFormat="1" applyFont="1"/>
    <xf numFmtId="0" fontId="12" fillId="0" borderId="0" xfId="4" applyFont="1" applyAlignment="1">
      <alignment horizontal="left"/>
    </xf>
    <xf numFmtId="0" fontId="12" fillId="0" borderId="3" xfId="4" applyFont="1" applyBorder="1" applyAlignment="1">
      <alignment horizontal="left"/>
    </xf>
    <xf numFmtId="165" fontId="12" fillId="0" borderId="0" xfId="4" applyNumberFormat="1" applyFont="1" applyAlignment="1">
      <alignment horizontal="right"/>
    </xf>
    <xf numFmtId="49" fontId="14" fillId="0" borderId="0" xfId="4" applyNumberFormat="1" applyFont="1"/>
    <xf numFmtId="165" fontId="14" fillId="0" borderId="0" xfId="4" applyNumberFormat="1" applyFont="1"/>
    <xf numFmtId="49" fontId="14" fillId="0" borderId="1" xfId="4" applyNumberFormat="1" applyFont="1" applyBorder="1"/>
    <xf numFmtId="165" fontId="14" fillId="0" borderId="1" xfId="4" applyNumberFormat="1" applyFont="1" applyBorder="1"/>
    <xf numFmtId="0" fontId="0" fillId="0" borderId="0" xfId="0" applyAlignment="1">
      <alignment wrapText="1"/>
    </xf>
    <xf numFmtId="0" fontId="17" fillId="2" borderId="0" xfId="0" applyFont="1" applyFill="1"/>
    <xf numFmtId="0" fontId="18" fillId="2" borderId="0" xfId="0" applyFont="1" applyFill="1"/>
    <xf numFmtId="168" fontId="0" fillId="0" borderId="0" xfId="0" quotePrefix="1" applyNumberFormat="1"/>
    <xf numFmtId="0" fontId="0" fillId="0" borderId="0" xfId="0" quotePrefix="1"/>
    <xf numFmtId="0" fontId="7" fillId="0" borderId="1" xfId="3" applyFont="1" applyBorder="1"/>
    <xf numFmtId="0" fontId="7" fillId="0" borderId="2" xfId="3" applyFont="1" applyBorder="1"/>
    <xf numFmtId="0" fontId="9" fillId="0" borderId="1" xfId="3" applyFont="1" applyBorder="1" applyAlignment="1">
      <alignment horizontal="center"/>
    </xf>
    <xf numFmtId="0" fontId="9" fillId="0" borderId="2" xfId="3" applyFont="1" applyBorder="1" applyAlignment="1">
      <alignment horizontal="right"/>
    </xf>
    <xf numFmtId="0" fontId="6" fillId="0" borderId="0" xfId="3" applyAlignment="1">
      <alignment horizontal="left"/>
    </xf>
    <xf numFmtId="0" fontId="6" fillId="0" borderId="0" xfId="4" applyFont="1" applyAlignment="1">
      <alignment horizontal="left"/>
    </xf>
    <xf numFmtId="0" fontId="7" fillId="0" borderId="0" xfId="4" applyFont="1" applyAlignment="1">
      <alignment horizontal="left"/>
    </xf>
    <xf numFmtId="0" fontId="9" fillId="0" borderId="1" xfId="4" applyFont="1" applyBorder="1" applyAlignment="1">
      <alignment horizontal="right"/>
    </xf>
    <xf numFmtId="0" fontId="7" fillId="0" borderId="3" xfId="4" applyFont="1" applyBorder="1" applyAlignment="1">
      <alignment horizontal="center"/>
    </xf>
    <xf numFmtId="0" fontId="14" fillId="0" borderId="2" xfId="4" applyFont="1" applyBorder="1" applyAlignment="1">
      <alignment horizontal="left"/>
    </xf>
    <xf numFmtId="0" fontId="14" fillId="0" borderId="0" xfId="4" applyFont="1" applyAlignment="1">
      <alignment horizontal="left"/>
    </xf>
    <xf numFmtId="0" fontId="14" fillId="0" borderId="0" xfId="4" applyFont="1"/>
    <xf numFmtId="0" fontId="15" fillId="0" borderId="0" xfId="4" applyFont="1" applyAlignment="1">
      <alignment horizontal="right"/>
    </xf>
    <xf numFmtId="0" fontId="12" fillId="0" borderId="0" xfId="4" applyFont="1" applyAlignment="1">
      <alignment horizontal="left"/>
    </xf>
    <xf numFmtId="49" fontId="14" fillId="0" borderId="2" xfId="4" applyNumberFormat="1" applyFont="1" applyBorder="1" applyAlignment="1">
      <alignment horizontal="left"/>
    </xf>
    <xf numFmtId="49" fontId="12" fillId="0" borderId="0" xfId="4" applyNumberFormat="1" applyFont="1" applyAlignment="1">
      <alignment horizontal="left" wrapText="1"/>
    </xf>
    <xf numFmtId="49" fontId="15" fillId="0" borderId="1" xfId="4" applyNumberFormat="1" applyFont="1" applyBorder="1" applyAlignment="1">
      <alignment horizontal="right" wrapText="1"/>
    </xf>
    <xf numFmtId="0" fontId="12" fillId="0" borderId="2" xfId="4" applyFont="1" applyBorder="1" applyAlignment="1">
      <alignment horizontal="center"/>
    </xf>
    <xf numFmtId="165" fontId="7" fillId="0" borderId="0" xfId="4" applyNumberFormat="1" applyFont="1" applyAlignment="1">
      <alignment horizontal="left"/>
    </xf>
    <xf numFmtId="0" fontId="7" fillId="0" borderId="0" xfId="4" applyFont="1"/>
    <xf numFmtId="0" fontId="7" fillId="0" borderId="0" xfId="4" applyFont="1" applyAlignment="1">
      <alignment horizontal="center" wrapText="1"/>
    </xf>
    <xf numFmtId="165" fontId="6" fillId="0" borderId="0" xfId="4" applyNumberFormat="1" applyFont="1" applyAlignment="1">
      <alignment horizontal="left"/>
    </xf>
    <xf numFmtId="165" fontId="6" fillId="0" borderId="0" xfId="4" applyNumberFormat="1" applyFont="1"/>
    <xf numFmtId="1" fontId="19" fillId="0" borderId="0" xfId="0" applyNumberFormat="1" applyFont="1"/>
    <xf numFmtId="170" fontId="0" fillId="0" borderId="0" xfId="5" applyNumberFormat="1" applyFont="1"/>
  </cellXfs>
  <cellStyles count="6">
    <cellStyle name="Comma" xfId="5" builtinId="3"/>
    <cellStyle name="Hyperlink" xfId="2" builtinId="8"/>
    <cellStyle name="Normal" xfId="0" builtinId="0"/>
    <cellStyle name="Normal 2" xfId="3" xr:uid="{5D8C0C98-1663-A142-BCAB-8EEC151BFE84}"/>
    <cellStyle name="Normal 3" xfId="4" xr:uid="{7DDD2629-0134-5848-BE04-DF005A9DA766}"/>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cso.ie/en/releasesandpublications/ep/p-syi/statisticalyearbookofireland2020/tt/travel/" TargetMode="External"/><Relationship Id="rId2" Type="http://schemas.openxmlformats.org/officeDocument/2006/relationships/hyperlink" Target="https://www.cso.ie/en/releasesandpublications/ep/p-nts/nationaltravelsurvey2019/howwetravelled/" TargetMode="External"/><Relationship Id="rId1" Type="http://schemas.openxmlformats.org/officeDocument/2006/relationships/hyperlink" Target="https://www.cso.ie/en/releasesandpublications/ep/p-nts/nationaltravelsurvey2019/cycling/" TargetMode="External"/><Relationship Id="rId4" Type="http://schemas.openxmlformats.org/officeDocument/2006/relationships/hyperlink" Target="https://www.cso.ie/en/releasesandpublications/ep/p-mip/measuringirelandsprogress2019/society/"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41B1D-C1BC-E04E-9706-3CEA8E8C3A4B}">
  <dimension ref="A1:C2"/>
  <sheetViews>
    <sheetView tabSelected="1" zoomScale="139" workbookViewId="0">
      <selection activeCell="A2" sqref="A2"/>
    </sheetView>
  </sheetViews>
  <sheetFormatPr baseColWidth="10" defaultRowHeight="15" x14ac:dyDescent="0.2"/>
  <cols>
    <col min="1" max="1" width="35.25" bestFit="1" customWidth="1"/>
    <col min="2" max="2" width="10.875" bestFit="1" customWidth="1"/>
    <col min="3" max="3" width="61" customWidth="1"/>
  </cols>
  <sheetData>
    <row r="1" spans="1:3" x14ac:dyDescent="0.2">
      <c r="A1" t="s">
        <v>0</v>
      </c>
      <c r="B1" t="s">
        <v>1</v>
      </c>
      <c r="C1" t="s">
        <v>2</v>
      </c>
    </row>
    <row r="2" spans="1:3" ht="95" customHeight="1" x14ac:dyDescent="0.2">
      <c r="A2" t="s">
        <v>3</v>
      </c>
      <c r="B2" s="89">
        <f>ROUND(Calculations!B22,0)</f>
        <v>462745131</v>
      </c>
      <c r="C2" s="60" t="s">
        <v>111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F3680-F593-F04D-82D9-B8192A5D1825}">
  <sheetPr>
    <tabColor theme="4"/>
  </sheetPr>
  <dimension ref="A1:G35"/>
  <sheetViews>
    <sheetView zoomScale="140" workbookViewId="0">
      <selection activeCell="C23" sqref="C23"/>
    </sheetView>
  </sheetViews>
  <sheetFormatPr baseColWidth="10" defaultRowHeight="15" x14ac:dyDescent="0.2"/>
  <cols>
    <col min="1" max="1" width="33.75" bestFit="1" customWidth="1"/>
    <col min="3" max="3" width="10" customWidth="1"/>
  </cols>
  <sheetData>
    <row r="1" spans="1:7" x14ac:dyDescent="0.2">
      <c r="A1" s="61" t="s">
        <v>4</v>
      </c>
      <c r="B1" s="62"/>
      <c r="C1" s="62"/>
      <c r="D1" s="62"/>
      <c r="E1" s="62"/>
      <c r="F1" s="62"/>
      <c r="G1" s="62"/>
    </row>
    <row r="2" spans="1:7" x14ac:dyDescent="0.2">
      <c r="A2" s="1" t="s">
        <v>5</v>
      </c>
    </row>
    <row r="3" spans="1:7" x14ac:dyDescent="0.2">
      <c r="A3" t="s">
        <v>6</v>
      </c>
      <c r="B3" s="2" t="s">
        <v>7</v>
      </c>
      <c r="C3" s="2"/>
    </row>
    <row r="4" spans="1:7" x14ac:dyDescent="0.2">
      <c r="A4" t="s">
        <v>8</v>
      </c>
      <c r="B4" s="2" t="s">
        <v>9</v>
      </c>
      <c r="C4" s="2"/>
    </row>
    <row r="5" spans="1:7" x14ac:dyDescent="0.2">
      <c r="A5" t="s">
        <v>10</v>
      </c>
      <c r="B5" s="2" t="s">
        <v>11</v>
      </c>
      <c r="C5" s="2"/>
    </row>
    <row r="6" spans="1:7" x14ac:dyDescent="0.2">
      <c r="A6" t="s">
        <v>12</v>
      </c>
      <c r="B6" s="2" t="s">
        <v>13</v>
      </c>
      <c r="C6" s="2"/>
    </row>
    <row r="9" spans="1:7" x14ac:dyDescent="0.2">
      <c r="B9" s="1" t="s">
        <v>1</v>
      </c>
      <c r="C9" s="1" t="s">
        <v>115</v>
      </c>
      <c r="D9" s="1" t="s">
        <v>116</v>
      </c>
    </row>
    <row r="10" spans="1:7" x14ac:dyDescent="0.2">
      <c r="A10" t="s">
        <v>96</v>
      </c>
      <c r="B10">
        <f>'(1)'!G13 *1000</f>
        <v>4921500</v>
      </c>
      <c r="C10" t="s">
        <v>118</v>
      </c>
      <c r="D10" s="63" t="s">
        <v>112</v>
      </c>
    </row>
    <row r="11" spans="1:7" x14ac:dyDescent="0.2">
      <c r="A11" t="s">
        <v>97</v>
      </c>
      <c r="B11" s="51">
        <f>'(1)'!B13 /100</f>
        <v>0.20499847607436755</v>
      </c>
      <c r="C11" s="51" t="s">
        <v>38</v>
      </c>
      <c r="D11" s="63" t="s">
        <v>112</v>
      </c>
    </row>
    <row r="12" spans="1:7" x14ac:dyDescent="0.2">
      <c r="A12" s="4" t="s">
        <v>98</v>
      </c>
      <c r="B12" s="52">
        <f>B10*(1-B11)</f>
        <v>3912600.0000000005</v>
      </c>
      <c r="C12" s="52" t="s">
        <v>118</v>
      </c>
    </row>
    <row r="14" spans="1:7" x14ac:dyDescent="0.2">
      <c r="A14" t="s">
        <v>14</v>
      </c>
      <c r="B14" s="3">
        <f>'(2)'!L9 /100</f>
        <v>1.4999999999999999E-2</v>
      </c>
      <c r="C14" s="3" t="s">
        <v>38</v>
      </c>
      <c r="D14" s="64" t="s">
        <v>113</v>
      </c>
    </row>
    <row r="15" spans="1:7" x14ac:dyDescent="0.2">
      <c r="A15" t="s">
        <v>15</v>
      </c>
      <c r="B15" s="3">
        <f>'(3)'!B13 /100</f>
        <v>0.72599999999999998</v>
      </c>
      <c r="C15" s="3" t="s">
        <v>38</v>
      </c>
      <c r="D15" s="64" t="s">
        <v>114</v>
      </c>
    </row>
    <row r="16" spans="1:7" x14ac:dyDescent="0.2">
      <c r="A16" t="s">
        <v>16</v>
      </c>
      <c r="B16" s="6">
        <f>AVERAGE('(3)'!G5:G11)</f>
        <v>3.1320743141586478</v>
      </c>
      <c r="C16" s="6" t="s">
        <v>118</v>
      </c>
      <c r="D16" s="64" t="s">
        <v>114</v>
      </c>
    </row>
    <row r="17" spans="1:4" x14ac:dyDescent="0.2">
      <c r="A17" s="4" t="s">
        <v>17</v>
      </c>
      <c r="B17" s="52">
        <f>B12*B15*B16</f>
        <v>8896806.1761049926</v>
      </c>
      <c r="C17" s="4" t="s">
        <v>119</v>
      </c>
    </row>
    <row r="18" spans="1:4" x14ac:dyDescent="0.2">
      <c r="A18" s="4" t="s">
        <v>18</v>
      </c>
      <c r="B18" s="88">
        <f>B17*B14</f>
        <v>133452.09264157488</v>
      </c>
      <c r="C18" s="4" t="s">
        <v>119</v>
      </c>
    </row>
    <row r="20" spans="1:4" x14ac:dyDescent="0.2">
      <c r="A20" t="s">
        <v>19</v>
      </c>
      <c r="B20">
        <f>'(4)'!J5</f>
        <v>9.5</v>
      </c>
      <c r="C20" t="s">
        <v>20</v>
      </c>
      <c r="D20" s="64" t="s">
        <v>117</v>
      </c>
    </row>
    <row r="21" spans="1:4" x14ac:dyDescent="0.2">
      <c r="A21" t="s">
        <v>21</v>
      </c>
      <c r="B21">
        <v>365</v>
      </c>
      <c r="C21" t="s">
        <v>120</v>
      </c>
    </row>
    <row r="22" spans="1:4" x14ac:dyDescent="0.2">
      <c r="A22" s="5" t="s">
        <v>22</v>
      </c>
      <c r="B22" s="5">
        <f>B18*B20*B21</f>
        <v>462745131.23466092</v>
      </c>
      <c r="C22" s="5" t="s">
        <v>23</v>
      </c>
    </row>
    <row r="23" spans="1:4" x14ac:dyDescent="0.2">
      <c r="B23" s="6">
        <f>B22/1000000</f>
        <v>462.7451312346609</v>
      </c>
      <c r="C23" t="s">
        <v>24</v>
      </c>
    </row>
    <row r="33" spans="1:4" x14ac:dyDescent="0.2">
      <c r="A33" s="4"/>
      <c r="B33" s="4"/>
      <c r="C33" s="4"/>
      <c r="D33" s="49"/>
    </row>
    <row r="34" spans="1:4" x14ac:dyDescent="0.2">
      <c r="A34" s="4"/>
      <c r="B34" s="50"/>
      <c r="C34" s="50"/>
    </row>
    <row r="35" spans="1:4" x14ac:dyDescent="0.2">
      <c r="A35" s="4"/>
      <c r="B35" s="4"/>
      <c r="C35" s="4"/>
    </row>
  </sheetData>
  <hyperlinks>
    <hyperlink ref="B6" r:id="rId1" xr:uid="{4A81A86F-B9DC-9C4B-AAE5-313B534DA745}"/>
    <hyperlink ref="B4" r:id="rId2" xr:uid="{57817352-0DA2-4945-8BD9-B63CB285DDDF}"/>
    <hyperlink ref="B5" r:id="rId3" xr:uid="{FA800F51-B58A-C84A-8BA7-365254BE7B7E}"/>
    <hyperlink ref="B3" r:id="rId4" xr:uid="{BED692EC-1E14-D844-95DC-3868F29492E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F72F3-9DA0-0C45-9B5F-6E5C38C1B3BE}">
  <dimension ref="A1:G16"/>
  <sheetViews>
    <sheetView zoomScale="150" workbookViewId="0">
      <selection activeCell="B13" sqref="B13"/>
    </sheetView>
  </sheetViews>
  <sheetFormatPr baseColWidth="10" defaultColWidth="4.625" defaultRowHeight="15" customHeight="1" x14ac:dyDescent="0.15"/>
  <cols>
    <col min="1" max="7" width="7.875" style="7" customWidth="1"/>
    <col min="8" max="16384" width="4.625" style="7"/>
  </cols>
  <sheetData>
    <row r="1" spans="1:7" ht="15" customHeight="1" x14ac:dyDescent="0.15">
      <c r="A1" s="65" t="s">
        <v>25</v>
      </c>
      <c r="B1" s="65"/>
      <c r="C1" s="65"/>
      <c r="D1" s="65"/>
      <c r="E1" s="65"/>
      <c r="F1" s="65"/>
      <c r="G1" s="65"/>
    </row>
    <row r="2" spans="1:7" ht="28.5" customHeight="1" x14ac:dyDescent="0.15">
      <c r="A2" s="66" t="s">
        <v>26</v>
      </c>
      <c r="B2" s="8" t="s">
        <v>27</v>
      </c>
      <c r="C2" s="8" t="s">
        <v>28</v>
      </c>
      <c r="D2" s="8" t="s">
        <v>29</v>
      </c>
      <c r="E2" s="8" t="s">
        <v>30</v>
      </c>
      <c r="F2" s="8" t="s">
        <v>31</v>
      </c>
      <c r="G2" s="8" t="s">
        <v>32</v>
      </c>
    </row>
    <row r="3" spans="1:7" ht="15" customHeight="1" x14ac:dyDescent="0.15">
      <c r="A3" s="65"/>
      <c r="B3" s="67" t="s">
        <v>33</v>
      </c>
      <c r="C3" s="67"/>
      <c r="D3" s="67"/>
      <c r="E3" s="67"/>
      <c r="F3" s="67"/>
      <c r="G3" s="9" t="s">
        <v>34</v>
      </c>
    </row>
    <row r="4" spans="1:7" ht="15" customHeight="1" x14ac:dyDescent="0.15">
      <c r="A4" s="10">
        <v>2010</v>
      </c>
      <c r="B4" s="11">
        <v>21.026170194081001</v>
      </c>
      <c r="C4" s="11">
        <v>13.51760779836656</v>
      </c>
      <c r="D4" s="11">
        <v>31.709405462369368</v>
      </c>
      <c r="E4" s="11">
        <v>22.435672257837883</v>
      </c>
      <c r="F4" s="11">
        <v>11.3089488012646</v>
      </c>
      <c r="G4" s="12">
        <v>4554.8</v>
      </c>
    </row>
    <row r="5" spans="1:7" ht="15" customHeight="1" x14ac:dyDescent="0.15">
      <c r="A5" s="10">
        <v>2011</v>
      </c>
      <c r="B5" s="11">
        <v>21.349100526787474</v>
      </c>
      <c r="C5" s="11">
        <v>12.669129379877155</v>
      </c>
      <c r="D5" s="11">
        <v>31.666265929309933</v>
      </c>
      <c r="E5" s="11">
        <v>22.695578045421758</v>
      </c>
      <c r="F5" s="11">
        <v>11.619926118603686</v>
      </c>
      <c r="G5" s="12">
        <v>4574.8999999999996</v>
      </c>
    </row>
    <row r="6" spans="1:7" ht="15" customHeight="1" x14ac:dyDescent="0.15">
      <c r="A6" s="10">
        <v>2012</v>
      </c>
      <c r="B6" s="11">
        <v>21.507717090798266</v>
      </c>
      <c r="C6" s="11">
        <v>12.334283910573177</v>
      </c>
      <c r="D6" s="11">
        <v>31.244965931601975</v>
      </c>
      <c r="E6" s="11">
        <v>22.94011363388989</v>
      </c>
      <c r="F6" s="11">
        <v>11.975096327579077</v>
      </c>
      <c r="G6" s="12">
        <v>4593.7</v>
      </c>
    </row>
    <row r="7" spans="1:7" ht="15" customHeight="1" x14ac:dyDescent="0.15">
      <c r="A7" s="10">
        <v>2013</v>
      </c>
      <c r="B7" s="11">
        <v>21.537694758055778</v>
      </c>
      <c r="C7" s="11">
        <v>12.206643985524519</v>
      </c>
      <c r="D7" s="11">
        <v>30.795067935077036</v>
      </c>
      <c r="E7" s="11">
        <v>23.126097037727263</v>
      </c>
      <c r="F7" s="11">
        <v>12.334496283615405</v>
      </c>
      <c r="G7" s="12">
        <v>4614.7</v>
      </c>
    </row>
    <row r="8" spans="1:7" ht="15" customHeight="1" x14ac:dyDescent="0.15">
      <c r="A8" s="10">
        <v>2014</v>
      </c>
      <c r="B8" s="11">
        <v>21.472854867180438</v>
      </c>
      <c r="C8" s="11">
        <v>12.209928100917038</v>
      </c>
      <c r="D8" s="11">
        <v>30.294484866749904</v>
      </c>
      <c r="E8" s="11">
        <v>23.332759288758776</v>
      </c>
      <c r="F8" s="11">
        <v>12.689972876393854</v>
      </c>
      <c r="G8" s="12">
        <v>4645.3999999999996</v>
      </c>
    </row>
    <row r="9" spans="1:7" ht="15" customHeight="1" x14ac:dyDescent="0.15">
      <c r="A9" s="10">
        <v>2015</v>
      </c>
      <c r="B9" s="11">
        <v>21.36823243312428</v>
      </c>
      <c r="C9" s="11">
        <v>12.193352958743974</v>
      </c>
      <c r="D9" s="11">
        <v>29.877554503178459</v>
      </c>
      <c r="E9" s="11">
        <v>23.541959981227865</v>
      </c>
      <c r="F9" s="11">
        <v>13.018900123725412</v>
      </c>
      <c r="G9" s="12">
        <v>4687.8</v>
      </c>
    </row>
    <row r="10" spans="1:7" ht="15" customHeight="1" x14ac:dyDescent="0.15">
      <c r="A10" s="10">
        <v>2016</v>
      </c>
      <c r="B10" s="11">
        <v>21.214870453202799</v>
      </c>
      <c r="C10" s="11">
        <v>12.125495822432272</v>
      </c>
      <c r="D10" s="11">
        <v>29.570005907671533</v>
      </c>
      <c r="E10" s="11">
        <v>23.799476749092747</v>
      </c>
      <c r="F10" s="11">
        <v>13.288041184910119</v>
      </c>
      <c r="G10" s="12">
        <v>4739.6000000000004</v>
      </c>
    </row>
    <row r="11" spans="1:7" ht="15" customHeight="1" x14ac:dyDescent="0.15">
      <c r="A11" s="10">
        <v>2017</v>
      </c>
      <c r="B11" s="11">
        <v>21.011997913406365</v>
      </c>
      <c r="C11" s="11">
        <v>12.202399582681272</v>
      </c>
      <c r="D11" s="11">
        <v>29.172665623369848</v>
      </c>
      <c r="E11" s="11">
        <v>24.052164840897237</v>
      </c>
      <c r="F11" s="11">
        <v>13.560772039645277</v>
      </c>
      <c r="G11" s="12">
        <v>4792.5</v>
      </c>
    </row>
    <row r="12" spans="1:7" ht="15" customHeight="1" x14ac:dyDescent="0.15">
      <c r="A12" s="10">
        <v>2018</v>
      </c>
      <c r="B12" s="11">
        <v>20.767963763640108</v>
      </c>
      <c r="C12" s="11">
        <v>12.466543133621578</v>
      </c>
      <c r="D12" s="11">
        <v>28.72555075149269</v>
      </c>
      <c r="E12" s="11">
        <v>24.177475808112003</v>
      </c>
      <c r="F12" s="11">
        <v>13.864525427218446</v>
      </c>
      <c r="G12" s="12">
        <v>4857</v>
      </c>
    </row>
    <row r="13" spans="1:7" ht="15" customHeight="1" x14ac:dyDescent="0.15">
      <c r="A13" s="10">
        <v>2019</v>
      </c>
      <c r="B13" s="11">
        <v>20.499847607436756</v>
      </c>
      <c r="C13" s="11">
        <v>12.559179112059333</v>
      </c>
      <c r="D13" s="11">
        <v>28.385654780046732</v>
      </c>
      <c r="E13" s="11">
        <v>24.407192928985065</v>
      </c>
      <c r="F13" s="11">
        <v>14.148125571472111</v>
      </c>
      <c r="G13" s="12">
        <v>4921.5</v>
      </c>
    </row>
    <row r="14" spans="1:7" ht="15" customHeight="1" x14ac:dyDescent="0.15">
      <c r="A14" s="13">
        <v>2020</v>
      </c>
      <c r="B14" s="11">
        <v>20.165146462008281</v>
      </c>
      <c r="C14" s="11">
        <v>12.681319564431231</v>
      </c>
      <c r="D14" s="11">
        <v>28.052798649897536</v>
      </c>
      <c r="E14" s="11">
        <v>24.635351790091214</v>
      </c>
      <c r="F14" s="11">
        <v>14.467392614618074</v>
      </c>
      <c r="G14" s="14">
        <v>4977.3999999999996</v>
      </c>
    </row>
    <row r="15" spans="1:7" ht="15" customHeight="1" x14ac:dyDescent="0.15">
      <c r="A15" s="68" t="s">
        <v>35</v>
      </c>
      <c r="B15" s="68"/>
      <c r="C15" s="68"/>
      <c r="D15" s="68"/>
      <c r="E15" s="68"/>
      <c r="F15" s="68"/>
      <c r="G15" s="68"/>
    </row>
    <row r="16" spans="1:7" ht="15" customHeight="1" x14ac:dyDescent="0.2">
      <c r="A16" s="69" t="s">
        <v>36</v>
      </c>
      <c r="B16" s="69"/>
      <c r="C16" s="69"/>
      <c r="D16" s="69"/>
      <c r="E16" s="69"/>
      <c r="F16" s="69"/>
      <c r="G16" s="69"/>
    </row>
  </sheetData>
  <mergeCells count="5">
    <mergeCell ref="A1:G1"/>
    <mergeCell ref="A2:A3"/>
    <mergeCell ref="B3:F3"/>
    <mergeCell ref="A15:G15"/>
    <mergeCell ref="A16:G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EC307-EAA4-0F4D-B11F-4B3C8A7D17E8}">
  <dimension ref="A1:L22"/>
  <sheetViews>
    <sheetView zoomScale="150" workbookViewId="0">
      <selection activeCell="L9" sqref="L9"/>
    </sheetView>
  </sheetViews>
  <sheetFormatPr baseColWidth="10" defaultColWidth="6.875" defaultRowHeight="15" customHeight="1" x14ac:dyDescent="0.15"/>
  <cols>
    <col min="1" max="1" width="20.125" style="16" customWidth="1"/>
    <col min="2" max="4" width="7.25" style="16" customWidth="1"/>
    <col min="5" max="5" width="1.75" style="16" customWidth="1"/>
    <col min="6" max="8" width="7.25" style="16" customWidth="1"/>
    <col min="9" max="9" width="1.75" style="16" customWidth="1"/>
    <col min="10" max="12" width="7.25" style="16" customWidth="1"/>
    <col min="13" max="16384" width="6.875" style="16"/>
  </cols>
  <sheetData>
    <row r="1" spans="1:12" ht="15" customHeight="1" x14ac:dyDescent="0.15">
      <c r="A1" s="71" t="s">
        <v>37</v>
      </c>
      <c r="B1" s="71"/>
      <c r="C1" s="71"/>
      <c r="D1" s="71"/>
      <c r="E1" s="71"/>
      <c r="F1" s="71"/>
      <c r="G1" s="71"/>
      <c r="H1" s="71"/>
      <c r="I1" s="71"/>
      <c r="J1" s="71"/>
      <c r="K1" s="71"/>
      <c r="L1" s="71"/>
    </row>
    <row r="2" spans="1:12" ht="15" customHeight="1" x14ac:dyDescent="0.15">
      <c r="A2" s="72" t="s">
        <v>38</v>
      </c>
      <c r="B2" s="72"/>
      <c r="C2" s="72"/>
      <c r="D2" s="72"/>
      <c r="E2" s="72"/>
      <c r="F2" s="72"/>
      <c r="G2" s="72"/>
      <c r="H2" s="72"/>
      <c r="I2" s="72"/>
      <c r="J2" s="72"/>
      <c r="K2" s="72"/>
      <c r="L2" s="72"/>
    </row>
    <row r="3" spans="1:12" ht="15" customHeight="1" x14ac:dyDescent="0.15">
      <c r="A3" s="15"/>
      <c r="B3" s="73">
        <v>2014</v>
      </c>
      <c r="C3" s="73"/>
      <c r="D3" s="73"/>
      <c r="E3" s="17"/>
      <c r="F3" s="73">
        <v>2016</v>
      </c>
      <c r="G3" s="73"/>
      <c r="H3" s="73"/>
      <c r="I3" s="17"/>
      <c r="J3" s="73">
        <v>2019</v>
      </c>
      <c r="K3" s="73"/>
      <c r="L3" s="73"/>
    </row>
    <row r="4" spans="1:12" ht="15" customHeight="1" x14ac:dyDescent="0.15">
      <c r="A4" s="18" t="s">
        <v>39</v>
      </c>
      <c r="B4" s="19" t="s">
        <v>40</v>
      </c>
      <c r="C4" s="19" t="s">
        <v>41</v>
      </c>
      <c r="D4" s="19" t="s">
        <v>32</v>
      </c>
      <c r="E4" s="19"/>
      <c r="F4" s="19" t="s">
        <v>40</v>
      </c>
      <c r="G4" s="19" t="s">
        <v>41</v>
      </c>
      <c r="H4" s="19" t="s">
        <v>32</v>
      </c>
      <c r="I4" s="19"/>
      <c r="J4" s="19" t="s">
        <v>40</v>
      </c>
      <c r="K4" s="19" t="s">
        <v>41</v>
      </c>
      <c r="L4" s="19" t="s">
        <v>32</v>
      </c>
    </row>
    <row r="5" spans="1:12" ht="15" customHeight="1" x14ac:dyDescent="0.15">
      <c r="A5" s="20" t="s">
        <v>42</v>
      </c>
      <c r="B5" s="21">
        <v>69.099999999999994</v>
      </c>
      <c r="C5" s="21">
        <v>69.099999999999994</v>
      </c>
      <c r="D5" s="21">
        <v>69.099999999999994</v>
      </c>
      <c r="E5" s="21"/>
      <c r="F5" s="21">
        <v>67.400000000000006</v>
      </c>
      <c r="G5" s="21">
        <v>71.2</v>
      </c>
      <c r="H5" s="21">
        <v>69.400000000000006</v>
      </c>
      <c r="I5" s="21"/>
      <c r="J5" s="21">
        <v>65.7</v>
      </c>
      <c r="K5" s="21">
        <v>64.400000000000006</v>
      </c>
      <c r="L5" s="21">
        <v>64.900000000000006</v>
      </c>
    </row>
    <row r="6" spans="1:12" ht="15" customHeight="1" x14ac:dyDescent="0.15">
      <c r="A6" s="20" t="s">
        <v>43</v>
      </c>
      <c r="B6" s="21">
        <v>2.8</v>
      </c>
      <c r="C6" s="21">
        <v>7.6</v>
      </c>
      <c r="D6" s="21">
        <v>5.3</v>
      </c>
      <c r="E6" s="21"/>
      <c r="F6" s="21">
        <v>2</v>
      </c>
      <c r="G6" s="21">
        <v>7.5</v>
      </c>
      <c r="H6" s="21">
        <v>4.9000000000000004</v>
      </c>
      <c r="I6" s="21"/>
      <c r="J6" s="21">
        <v>4.7</v>
      </c>
      <c r="K6" s="21">
        <v>11.8</v>
      </c>
      <c r="L6" s="21">
        <v>8.8000000000000007</v>
      </c>
    </row>
    <row r="7" spans="1:12" ht="15" customHeight="1" x14ac:dyDescent="0.15">
      <c r="A7" s="20" t="s">
        <v>44</v>
      </c>
      <c r="B7" s="21">
        <v>13.8</v>
      </c>
      <c r="C7" s="21">
        <v>15.7</v>
      </c>
      <c r="D7" s="21">
        <v>14.8</v>
      </c>
      <c r="E7" s="21"/>
      <c r="F7" s="21">
        <v>14.9</v>
      </c>
      <c r="G7" s="21">
        <v>14.3</v>
      </c>
      <c r="H7" s="21">
        <v>14.6</v>
      </c>
      <c r="I7" s="21"/>
      <c r="J7" s="21">
        <v>12.4</v>
      </c>
      <c r="K7" s="21">
        <v>14.3</v>
      </c>
      <c r="L7" s="21">
        <v>13.5</v>
      </c>
    </row>
    <row r="8" spans="1:12" ht="15" customHeight="1" x14ac:dyDescent="0.15">
      <c r="A8" s="20" t="s">
        <v>45</v>
      </c>
      <c r="B8" s="21">
        <v>4.4000000000000004</v>
      </c>
      <c r="C8" s="21">
        <v>4.4000000000000004</v>
      </c>
      <c r="D8" s="21">
        <v>4.4000000000000004</v>
      </c>
      <c r="E8" s="21"/>
      <c r="F8" s="21">
        <v>4.3</v>
      </c>
      <c r="G8" s="21">
        <v>4.0999999999999996</v>
      </c>
      <c r="H8" s="21">
        <v>4.2</v>
      </c>
      <c r="I8" s="21"/>
      <c r="J8" s="21">
        <v>4.0999999999999996</v>
      </c>
      <c r="K8" s="21">
        <v>5.4</v>
      </c>
      <c r="L8" s="21">
        <v>4.8</v>
      </c>
    </row>
    <row r="9" spans="1:12" ht="15" customHeight="1" x14ac:dyDescent="0.15">
      <c r="A9" s="20" t="s">
        <v>46</v>
      </c>
      <c r="B9" s="21">
        <v>2.5</v>
      </c>
      <c r="C9" s="21">
        <v>0.9</v>
      </c>
      <c r="D9" s="21">
        <v>1.6</v>
      </c>
      <c r="E9" s="21"/>
      <c r="F9" s="21">
        <v>2.6</v>
      </c>
      <c r="G9" s="21">
        <v>0.9</v>
      </c>
      <c r="H9" s="21">
        <v>1.7</v>
      </c>
      <c r="I9" s="21"/>
      <c r="J9" s="21">
        <v>2.6</v>
      </c>
      <c r="K9" s="21">
        <v>0.7</v>
      </c>
      <c r="L9" s="21">
        <v>1.5</v>
      </c>
    </row>
    <row r="10" spans="1:12" ht="15" customHeight="1" x14ac:dyDescent="0.15">
      <c r="A10" s="20" t="s">
        <v>47</v>
      </c>
      <c r="B10" s="21">
        <v>1.7</v>
      </c>
      <c r="C10" s="21">
        <v>1.1000000000000001</v>
      </c>
      <c r="D10" s="21">
        <v>1.4</v>
      </c>
      <c r="E10" s="21"/>
      <c r="F10" s="21">
        <v>1.4</v>
      </c>
      <c r="G10" s="21">
        <v>1.2</v>
      </c>
      <c r="H10" s="21">
        <v>1.3</v>
      </c>
      <c r="I10" s="21"/>
      <c r="J10" s="21">
        <v>1.9</v>
      </c>
      <c r="K10" s="21">
        <v>1.7</v>
      </c>
      <c r="L10" s="21">
        <v>1.7</v>
      </c>
    </row>
    <row r="11" spans="1:12" ht="15" customHeight="1" x14ac:dyDescent="0.15">
      <c r="A11" s="20" t="s">
        <v>48</v>
      </c>
      <c r="B11" s="21" t="s">
        <v>49</v>
      </c>
      <c r="C11" s="21" t="s">
        <v>49</v>
      </c>
      <c r="D11" s="21" t="s">
        <v>49</v>
      </c>
      <c r="E11" s="21"/>
      <c r="F11" s="21" t="s">
        <v>49</v>
      </c>
      <c r="G11" s="21" t="s">
        <v>49</v>
      </c>
      <c r="H11" s="21" t="s">
        <v>49</v>
      </c>
      <c r="I11" s="21"/>
      <c r="J11" s="21">
        <v>0.9</v>
      </c>
      <c r="K11" s="21">
        <v>0.6</v>
      </c>
      <c r="L11" s="21">
        <v>0.7</v>
      </c>
    </row>
    <row r="12" spans="1:12" ht="15" customHeight="1" x14ac:dyDescent="0.15">
      <c r="A12" s="20" t="s">
        <v>50</v>
      </c>
      <c r="B12" s="21" t="s">
        <v>49</v>
      </c>
      <c r="C12" s="21" t="s">
        <v>49</v>
      </c>
      <c r="D12" s="21" t="s">
        <v>49</v>
      </c>
      <c r="E12" s="21"/>
      <c r="F12" s="21" t="s">
        <v>49</v>
      </c>
      <c r="G12" s="21" t="s">
        <v>49</v>
      </c>
      <c r="H12" s="21" t="s">
        <v>49</v>
      </c>
      <c r="I12" s="21"/>
      <c r="J12" s="21">
        <v>1.1000000000000001</v>
      </c>
      <c r="K12" s="21">
        <v>1.1000000000000001</v>
      </c>
      <c r="L12" s="21">
        <v>1.1000000000000001</v>
      </c>
    </row>
    <row r="13" spans="1:12" ht="16.5" customHeight="1" x14ac:dyDescent="0.15">
      <c r="A13" s="20" t="s">
        <v>51</v>
      </c>
      <c r="B13" s="21">
        <v>0.8</v>
      </c>
      <c r="C13" s="21">
        <v>1</v>
      </c>
      <c r="D13" s="21">
        <v>0.9</v>
      </c>
      <c r="E13" s="21"/>
      <c r="F13" s="21">
        <v>0.9</v>
      </c>
      <c r="G13" s="21">
        <v>0.6</v>
      </c>
      <c r="H13" s="21">
        <v>0.8</v>
      </c>
      <c r="I13" s="21"/>
      <c r="J13" s="21">
        <v>1.2</v>
      </c>
      <c r="K13" s="21">
        <v>0.7</v>
      </c>
      <c r="L13" s="21">
        <v>0.9</v>
      </c>
    </row>
    <row r="14" spans="1:12" ht="15" customHeight="1" x14ac:dyDescent="0.15">
      <c r="A14" s="20" t="s">
        <v>52</v>
      </c>
      <c r="B14" s="21">
        <v>5</v>
      </c>
      <c r="C14" s="21">
        <v>0.4</v>
      </c>
      <c r="D14" s="21">
        <v>2.5</v>
      </c>
      <c r="E14" s="21"/>
      <c r="F14" s="21">
        <v>6.4</v>
      </c>
      <c r="G14" s="21">
        <v>0.2</v>
      </c>
      <c r="H14" s="21">
        <v>3.2</v>
      </c>
      <c r="I14" s="21"/>
      <c r="J14" s="21">
        <v>7.2</v>
      </c>
      <c r="K14" s="21">
        <v>1.1000000000000001</v>
      </c>
      <c r="L14" s="21">
        <v>3.6</v>
      </c>
    </row>
    <row r="15" spans="1:12" ht="15" customHeight="1" x14ac:dyDescent="0.15">
      <c r="A15" s="20" t="s">
        <v>53</v>
      </c>
      <c r="B15" s="21" t="s">
        <v>49</v>
      </c>
      <c r="C15" s="21" t="s">
        <v>49</v>
      </c>
      <c r="D15" s="21" t="s">
        <v>49</v>
      </c>
      <c r="E15" s="21"/>
      <c r="F15" s="21" t="s">
        <v>49</v>
      </c>
      <c r="G15" s="21" t="s">
        <v>49</v>
      </c>
      <c r="H15" s="21" t="s">
        <v>49</v>
      </c>
      <c r="I15" s="21"/>
      <c r="J15" s="22">
        <v>0.4</v>
      </c>
      <c r="K15" s="22">
        <v>0.1</v>
      </c>
      <c r="L15" s="22">
        <v>0.2</v>
      </c>
    </row>
    <row r="16" spans="1:12" ht="15" customHeight="1" x14ac:dyDescent="0.15">
      <c r="A16" s="20" t="s">
        <v>54</v>
      </c>
      <c r="B16" s="21" t="s">
        <v>49</v>
      </c>
      <c r="C16" s="21" t="s">
        <v>49</v>
      </c>
      <c r="D16" s="21" t="s">
        <v>49</v>
      </c>
      <c r="E16" s="21"/>
      <c r="F16" s="21" t="s">
        <v>49</v>
      </c>
      <c r="G16" s="21" t="s">
        <v>49</v>
      </c>
      <c r="H16" s="21" t="s">
        <v>49</v>
      </c>
      <c r="I16" s="21"/>
      <c r="J16" s="22">
        <v>5.9</v>
      </c>
      <c r="K16" s="22">
        <v>0.5</v>
      </c>
      <c r="L16" s="22">
        <v>2.8</v>
      </c>
    </row>
    <row r="17" spans="1:12" ht="15" customHeight="1" x14ac:dyDescent="0.15">
      <c r="A17" s="20" t="s">
        <v>55</v>
      </c>
      <c r="B17" s="21" t="s">
        <v>49</v>
      </c>
      <c r="C17" s="21" t="s">
        <v>49</v>
      </c>
      <c r="D17" s="21" t="s">
        <v>49</v>
      </c>
      <c r="E17" s="21"/>
      <c r="F17" s="21" t="s">
        <v>49</v>
      </c>
      <c r="G17" s="21" t="s">
        <v>49</v>
      </c>
      <c r="H17" s="21" t="s">
        <v>49</v>
      </c>
      <c r="I17" s="21"/>
      <c r="J17" s="22">
        <v>1</v>
      </c>
      <c r="K17" s="22">
        <v>0.5</v>
      </c>
      <c r="L17" s="22">
        <v>0.7</v>
      </c>
    </row>
    <row r="18" spans="1:12" ht="15" customHeight="1" x14ac:dyDescent="0.15">
      <c r="A18" s="23" t="s">
        <v>56</v>
      </c>
      <c r="B18" s="24">
        <v>100</v>
      </c>
      <c r="C18" s="24">
        <v>100</v>
      </c>
      <c r="D18" s="24">
        <v>100</v>
      </c>
      <c r="E18" s="24"/>
      <c r="F18" s="24">
        <v>100</v>
      </c>
      <c r="G18" s="24">
        <v>100</v>
      </c>
      <c r="H18" s="24">
        <v>100</v>
      </c>
      <c r="I18" s="24"/>
      <c r="J18" s="24">
        <v>100</v>
      </c>
      <c r="K18" s="24">
        <v>100</v>
      </c>
      <c r="L18" s="24">
        <v>100</v>
      </c>
    </row>
    <row r="19" spans="1:12" ht="15" customHeight="1" x14ac:dyDescent="0.15">
      <c r="A19" s="70" t="s">
        <v>57</v>
      </c>
      <c r="B19" s="70"/>
      <c r="C19" s="70"/>
      <c r="D19" s="70"/>
      <c r="E19" s="70"/>
      <c r="F19" s="70"/>
      <c r="G19" s="70"/>
      <c r="H19" s="70"/>
      <c r="I19" s="70"/>
      <c r="J19" s="70"/>
      <c r="K19" s="70"/>
      <c r="L19" s="70"/>
    </row>
    <row r="20" spans="1:12" ht="15" customHeight="1" x14ac:dyDescent="0.15">
      <c r="A20" s="70" t="s">
        <v>58</v>
      </c>
      <c r="B20" s="70"/>
      <c r="C20" s="70"/>
      <c r="D20" s="70"/>
      <c r="E20" s="70"/>
      <c r="F20" s="70"/>
      <c r="G20" s="70"/>
      <c r="H20" s="70"/>
      <c r="I20" s="70"/>
      <c r="J20" s="70"/>
      <c r="K20" s="70"/>
      <c r="L20" s="70"/>
    </row>
    <row r="21" spans="1:12" ht="15" customHeight="1" x14ac:dyDescent="0.15">
      <c r="A21" s="70" t="s">
        <v>59</v>
      </c>
      <c r="B21" s="70"/>
      <c r="C21" s="70"/>
      <c r="D21" s="70"/>
      <c r="E21" s="70"/>
      <c r="F21" s="70"/>
      <c r="G21" s="70"/>
      <c r="H21" s="70"/>
      <c r="I21" s="70"/>
      <c r="J21" s="70"/>
      <c r="K21" s="70"/>
      <c r="L21" s="70"/>
    </row>
    <row r="22" spans="1:12" ht="15" customHeight="1" x14ac:dyDescent="0.15">
      <c r="A22" s="70" t="s">
        <v>60</v>
      </c>
      <c r="B22" s="70"/>
      <c r="C22" s="70"/>
      <c r="D22" s="70"/>
      <c r="E22" s="70"/>
      <c r="F22" s="70"/>
      <c r="G22" s="70"/>
      <c r="H22" s="70"/>
      <c r="I22" s="70"/>
      <c r="J22" s="70"/>
      <c r="K22" s="70"/>
      <c r="L22" s="70"/>
    </row>
  </sheetData>
  <mergeCells count="9">
    <mergeCell ref="A20:L20"/>
    <mergeCell ref="A21:L21"/>
    <mergeCell ref="A22:L22"/>
    <mergeCell ref="A1:L1"/>
    <mergeCell ref="A2:L2"/>
    <mergeCell ref="B3:D3"/>
    <mergeCell ref="F3:H3"/>
    <mergeCell ref="J3:L3"/>
    <mergeCell ref="A19:L19"/>
  </mergeCells>
  <pageMargins left="0.39370078740157483" right="0.39370078740157483" top="0.59055118110236215" bottom="0.59055118110236215"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DA501-4DDF-6C49-88C1-07761CDC3086}">
  <dimension ref="A1:I16"/>
  <sheetViews>
    <sheetView zoomScale="163" zoomScaleNormal="100" workbookViewId="0">
      <selection activeCell="G6" sqref="G6"/>
    </sheetView>
  </sheetViews>
  <sheetFormatPr baseColWidth="10" defaultColWidth="6.875" defaultRowHeight="15" customHeight="1" x14ac:dyDescent="0.15"/>
  <cols>
    <col min="1" max="1" width="14.75" style="26" customWidth="1"/>
    <col min="2" max="2" width="13.625" style="26" customWidth="1"/>
    <col min="3" max="3" width="11.5" style="26" customWidth="1"/>
    <col min="4" max="4" width="12.75" style="26" customWidth="1"/>
    <col min="5" max="5" width="6.875" style="26"/>
    <col min="6" max="6" width="14.375" style="26" customWidth="1"/>
    <col min="7" max="7" width="23.375" style="26" customWidth="1"/>
    <col min="8" max="16384" width="6.875" style="26"/>
  </cols>
  <sheetData>
    <row r="1" spans="1:9" ht="15" customHeight="1" x14ac:dyDescent="0.15">
      <c r="A1" s="80" t="s">
        <v>61</v>
      </c>
      <c r="B1" s="80"/>
      <c r="C1" s="80"/>
      <c r="D1" s="80"/>
      <c r="F1" s="78" t="s">
        <v>99</v>
      </c>
      <c r="G1" s="78"/>
    </row>
    <row r="2" spans="1:9" ht="15" customHeight="1" x14ac:dyDescent="0.15">
      <c r="A2" s="81" t="s">
        <v>62</v>
      </c>
      <c r="B2" s="81"/>
      <c r="C2" s="81"/>
      <c r="D2" s="81"/>
      <c r="F2" s="54" t="s">
        <v>100</v>
      </c>
      <c r="G2" s="29" t="s">
        <v>101</v>
      </c>
    </row>
    <row r="3" spans="1:9" ht="15" customHeight="1" x14ac:dyDescent="0.15">
      <c r="A3" s="27"/>
      <c r="B3" s="82">
        <v>2019</v>
      </c>
      <c r="C3" s="82"/>
      <c r="D3" s="82"/>
      <c r="F3" s="53" t="s">
        <v>102</v>
      </c>
      <c r="G3" s="55">
        <v>3</v>
      </c>
    </row>
    <row r="4" spans="1:9" ht="15" customHeight="1" x14ac:dyDescent="0.15">
      <c r="A4" s="28" t="s">
        <v>63</v>
      </c>
      <c r="B4" s="29" t="s">
        <v>64</v>
      </c>
      <c r="C4" s="30" t="s">
        <v>65</v>
      </c>
      <c r="D4" s="29" t="s">
        <v>32</v>
      </c>
      <c r="F4" s="75"/>
      <c r="G4" s="75"/>
    </row>
    <row r="5" spans="1:9" ht="15" customHeight="1" x14ac:dyDescent="0.15">
      <c r="A5" s="31" t="s">
        <v>66</v>
      </c>
      <c r="B5" s="32">
        <v>56.7</v>
      </c>
      <c r="C5" s="32">
        <v>43.3</v>
      </c>
      <c r="D5" s="33">
        <v>100</v>
      </c>
      <c r="F5" s="56" t="s">
        <v>103</v>
      </c>
      <c r="G5" s="57">
        <v>3.1330868761552679</v>
      </c>
      <c r="I5" s="57"/>
    </row>
    <row r="6" spans="1:9" ht="15" customHeight="1" x14ac:dyDescent="0.15">
      <c r="A6" s="31" t="s">
        <v>67</v>
      </c>
      <c r="B6" s="32">
        <v>65</v>
      </c>
      <c r="C6" s="32">
        <v>35</v>
      </c>
      <c r="D6" s="33">
        <v>100</v>
      </c>
      <c r="F6" s="56" t="s">
        <v>104</v>
      </c>
      <c r="G6" s="57">
        <v>3.2868589743589745</v>
      </c>
    </row>
    <row r="7" spans="1:9" ht="15" customHeight="1" x14ac:dyDescent="0.15">
      <c r="A7" s="31" t="s">
        <v>68</v>
      </c>
      <c r="B7" s="32">
        <v>73.099999999999994</v>
      </c>
      <c r="C7" s="32">
        <v>26.9</v>
      </c>
      <c r="D7" s="33">
        <v>100</v>
      </c>
      <c r="F7" s="56" t="s">
        <v>105</v>
      </c>
      <c r="G7" s="57">
        <v>3.2823529411764705</v>
      </c>
    </row>
    <row r="8" spans="1:9" ht="15" customHeight="1" x14ac:dyDescent="0.15">
      <c r="A8" s="31" t="s">
        <v>69</v>
      </c>
      <c r="B8" s="32">
        <v>76.5</v>
      </c>
      <c r="C8" s="32">
        <v>23.5</v>
      </c>
      <c r="D8" s="33">
        <v>100</v>
      </c>
      <c r="F8" s="56" t="s">
        <v>106</v>
      </c>
      <c r="G8" s="57">
        <v>3.2175438596491226</v>
      </c>
    </row>
    <row r="9" spans="1:9" ht="15" customHeight="1" x14ac:dyDescent="0.15">
      <c r="A9" s="31" t="s">
        <v>70</v>
      </c>
      <c r="B9" s="32">
        <v>75.099999999999994</v>
      </c>
      <c r="C9" s="32">
        <v>24.9</v>
      </c>
      <c r="D9" s="33">
        <v>100</v>
      </c>
      <c r="F9" s="56" t="s">
        <v>107</v>
      </c>
      <c r="G9" s="57">
        <v>3.0828025477707008</v>
      </c>
    </row>
    <row r="10" spans="1:9" ht="15" customHeight="1" x14ac:dyDescent="0.15">
      <c r="A10" s="31" t="s">
        <v>71</v>
      </c>
      <c r="B10" s="32">
        <v>75.099999999999994</v>
      </c>
      <c r="C10" s="32">
        <v>24.9</v>
      </c>
      <c r="D10" s="33">
        <v>100</v>
      </c>
      <c r="F10" s="56" t="s">
        <v>108</v>
      </c>
      <c r="G10" s="57">
        <v>3</v>
      </c>
    </row>
    <row r="11" spans="1:9" ht="15" customHeight="1" x14ac:dyDescent="0.15">
      <c r="A11" s="31" t="s">
        <v>72</v>
      </c>
      <c r="B11" s="32">
        <v>78</v>
      </c>
      <c r="C11" s="32">
        <v>22</v>
      </c>
      <c r="D11" s="33">
        <v>100</v>
      </c>
      <c r="F11" s="58" t="s">
        <v>109</v>
      </c>
      <c r="G11" s="59">
        <v>2.921875</v>
      </c>
    </row>
    <row r="12" spans="1:9" ht="15" customHeight="1" x14ac:dyDescent="0.15">
      <c r="A12" s="31" t="s">
        <v>73</v>
      </c>
      <c r="B12" s="32">
        <v>68.900000000000006</v>
      </c>
      <c r="C12" s="32">
        <v>31.1</v>
      </c>
      <c r="D12" s="33">
        <v>100</v>
      </c>
      <c r="F12" s="79" t="s">
        <v>110</v>
      </c>
      <c r="G12" s="79"/>
    </row>
    <row r="13" spans="1:9" ht="15" customHeight="1" x14ac:dyDescent="0.15">
      <c r="A13" s="34" t="s">
        <v>74</v>
      </c>
      <c r="B13" s="35">
        <v>72.599999999999994</v>
      </c>
      <c r="C13" s="35">
        <v>27.4</v>
      </c>
      <c r="D13" s="36">
        <v>100</v>
      </c>
      <c r="F13" s="77" t="s">
        <v>77</v>
      </c>
      <c r="G13" s="77"/>
    </row>
    <row r="14" spans="1:9" ht="15" customHeight="1" x14ac:dyDescent="0.15">
      <c r="A14" s="74" t="s">
        <v>75</v>
      </c>
      <c r="B14" s="75"/>
      <c r="C14" s="75"/>
      <c r="D14" s="74"/>
    </row>
    <row r="15" spans="1:9" ht="15" customHeight="1" x14ac:dyDescent="0.15">
      <c r="A15" s="76" t="s">
        <v>76</v>
      </c>
      <c r="B15" s="76"/>
      <c r="C15" s="76"/>
      <c r="D15" s="76"/>
    </row>
    <row r="16" spans="1:9" ht="15" customHeight="1" x14ac:dyDescent="0.15">
      <c r="A16" s="77" t="s">
        <v>77</v>
      </c>
      <c r="B16" s="77"/>
      <c r="C16" s="77"/>
      <c r="D16" s="77"/>
    </row>
  </sheetData>
  <mergeCells count="10">
    <mergeCell ref="A14:D14"/>
    <mergeCell ref="A15:D15"/>
    <mergeCell ref="A16:D16"/>
    <mergeCell ref="F1:G1"/>
    <mergeCell ref="F4:G4"/>
    <mergeCell ref="F12:G12"/>
    <mergeCell ref="F13:G13"/>
    <mergeCell ref="A1:D1"/>
    <mergeCell ref="A2:D2"/>
    <mergeCell ref="B3:D3"/>
  </mergeCells>
  <pageMargins left="0.7" right="0.7" top="0.75" bottom="0.75" header="0.3" footer="0.3"/>
  <pageSetup paperSize="9" scale="9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522E2-F9BB-2541-87D9-9CAD289B7EF5}">
  <dimension ref="A1:J24"/>
  <sheetViews>
    <sheetView zoomScale="125" workbookViewId="0">
      <selection activeCell="H12" sqref="H12"/>
    </sheetView>
  </sheetViews>
  <sheetFormatPr baseColWidth="10" defaultColWidth="6.875" defaultRowHeight="15" customHeight="1" x14ac:dyDescent="0.15"/>
  <cols>
    <col min="1" max="1" width="9.25" style="25" customWidth="1"/>
    <col min="2" max="4" width="8" style="25" customWidth="1"/>
    <col min="5" max="5" width="11.875" style="25" customWidth="1"/>
    <col min="6" max="8" width="8" style="25" customWidth="1"/>
    <col min="9" max="9" width="1.25" style="25" customWidth="1"/>
    <col min="10" max="10" width="11" style="25" customWidth="1"/>
    <col min="11" max="16384" width="6.875" style="25"/>
  </cols>
  <sheetData>
    <row r="1" spans="1:10" s="16" customFormat="1" ht="15" customHeight="1" x14ac:dyDescent="0.15">
      <c r="A1" s="84" t="s">
        <v>78</v>
      </c>
      <c r="B1" s="84"/>
      <c r="C1" s="84"/>
      <c r="D1" s="84"/>
      <c r="E1" s="84"/>
      <c r="F1" s="84"/>
      <c r="G1" s="84"/>
      <c r="H1" s="84"/>
      <c r="I1" s="84"/>
      <c r="J1" s="84"/>
    </row>
    <row r="2" spans="1:10" s="16" customFormat="1" ht="15" customHeight="1" x14ac:dyDescent="0.15">
      <c r="A2" s="72" t="s">
        <v>62</v>
      </c>
      <c r="B2" s="72"/>
      <c r="C2" s="72"/>
      <c r="D2" s="72"/>
      <c r="E2" s="72"/>
      <c r="F2" s="72"/>
      <c r="G2" s="72"/>
      <c r="H2" s="72"/>
      <c r="I2" s="72"/>
      <c r="J2" s="72"/>
    </row>
    <row r="3" spans="1:10" s="16" customFormat="1" ht="15" customHeight="1" x14ac:dyDescent="0.15">
      <c r="A3" s="37"/>
      <c r="B3" s="85" t="s">
        <v>79</v>
      </c>
      <c r="C3" s="85"/>
      <c r="D3" s="85"/>
      <c r="E3" s="85"/>
      <c r="F3" s="85"/>
      <c r="G3" s="85"/>
      <c r="H3" s="38"/>
      <c r="I3" s="38"/>
    </row>
    <row r="4" spans="1:10" s="37" customFormat="1" ht="39" customHeight="1" x14ac:dyDescent="0.15">
      <c r="A4" s="18"/>
      <c r="B4" s="39" t="s">
        <v>80</v>
      </c>
      <c r="C4" s="39" t="s">
        <v>81</v>
      </c>
      <c r="D4" s="39" t="s">
        <v>82</v>
      </c>
      <c r="E4" s="39" t="s">
        <v>83</v>
      </c>
      <c r="F4" s="39" t="s">
        <v>84</v>
      </c>
      <c r="G4" s="39" t="s">
        <v>85</v>
      </c>
      <c r="H4" s="40" t="s">
        <v>32</v>
      </c>
      <c r="I4" s="19"/>
      <c r="J4" s="41" t="s">
        <v>86</v>
      </c>
    </row>
    <row r="5" spans="1:10" s="16" customFormat="1" ht="15" customHeight="1" x14ac:dyDescent="0.15">
      <c r="A5" s="42" t="s">
        <v>87</v>
      </c>
      <c r="B5" s="43">
        <v>2.8</v>
      </c>
      <c r="C5" s="43">
        <v>1.8</v>
      </c>
      <c r="D5" s="43">
        <v>2.2000000000000002</v>
      </c>
      <c r="E5" s="43">
        <v>2.1</v>
      </c>
      <c r="F5" s="43">
        <v>6.1</v>
      </c>
      <c r="G5" s="43">
        <v>85</v>
      </c>
      <c r="H5" s="43">
        <v>100</v>
      </c>
      <c r="I5" s="43"/>
      <c r="J5" s="43">
        <v>9.5</v>
      </c>
    </row>
    <row r="6" spans="1:10" s="16" customFormat="1" ht="15" customHeight="1" x14ac:dyDescent="0.15">
      <c r="A6" s="86"/>
      <c r="B6" s="86"/>
      <c r="C6" s="86"/>
      <c r="D6" s="86"/>
      <c r="E6" s="86"/>
      <c r="F6" s="86"/>
      <c r="G6" s="86"/>
      <c r="H6" s="86"/>
      <c r="I6" s="86"/>
      <c r="J6" s="86"/>
    </row>
    <row r="7" spans="1:10" s="16" customFormat="1" ht="15" customHeight="1" x14ac:dyDescent="0.15">
      <c r="A7" s="83" t="s">
        <v>40</v>
      </c>
      <c r="B7" s="83"/>
      <c r="C7" s="83"/>
      <c r="D7" s="83"/>
      <c r="E7" s="83"/>
      <c r="F7" s="83"/>
      <c r="G7" s="83"/>
      <c r="H7" s="83"/>
      <c r="I7" s="83"/>
      <c r="J7" s="83"/>
    </row>
    <row r="8" spans="1:10" s="16" customFormat="1" ht="15" customHeight="1" x14ac:dyDescent="0.15">
      <c r="A8" s="44" t="s">
        <v>88</v>
      </c>
      <c r="B8" s="21">
        <v>4.7</v>
      </c>
      <c r="C8" s="21">
        <v>2.1</v>
      </c>
      <c r="D8" s="21">
        <v>10.8</v>
      </c>
      <c r="E8" s="45">
        <v>3.3</v>
      </c>
      <c r="F8" s="45">
        <v>9.3000000000000007</v>
      </c>
      <c r="G8" s="45">
        <v>69.8</v>
      </c>
      <c r="H8" s="45">
        <v>100</v>
      </c>
      <c r="I8" s="45"/>
      <c r="J8" s="45">
        <v>4.9000000000000004</v>
      </c>
    </row>
    <row r="9" spans="1:10" s="16" customFormat="1" ht="15" customHeight="1" x14ac:dyDescent="0.15">
      <c r="A9" s="44" t="s">
        <v>89</v>
      </c>
      <c r="B9" s="21">
        <v>9.6</v>
      </c>
      <c r="C9" s="21">
        <v>5.2</v>
      </c>
      <c r="D9" s="21">
        <v>7.8</v>
      </c>
      <c r="E9" s="45">
        <v>3.1</v>
      </c>
      <c r="F9" s="45">
        <v>7.8</v>
      </c>
      <c r="G9" s="45">
        <v>66.5</v>
      </c>
      <c r="H9" s="45">
        <v>100</v>
      </c>
      <c r="I9" s="45"/>
      <c r="J9" s="45">
        <v>9.1</v>
      </c>
    </row>
    <row r="10" spans="1:10" s="16" customFormat="1" ht="15" customHeight="1" x14ac:dyDescent="0.15">
      <c r="A10" s="44" t="s">
        <v>90</v>
      </c>
      <c r="B10" s="21">
        <v>6.8</v>
      </c>
      <c r="C10" s="21">
        <v>5.6</v>
      </c>
      <c r="D10" s="21">
        <v>5.8</v>
      </c>
      <c r="E10" s="45">
        <v>2.9</v>
      </c>
      <c r="F10" s="45">
        <v>12.1</v>
      </c>
      <c r="G10" s="45">
        <v>66.8</v>
      </c>
      <c r="H10" s="45">
        <v>100</v>
      </c>
      <c r="I10" s="45"/>
      <c r="J10" s="45">
        <v>12.6</v>
      </c>
    </row>
    <row r="11" spans="1:10" s="16" customFormat="1" ht="15" customHeight="1" x14ac:dyDescent="0.15">
      <c r="A11" s="44" t="s">
        <v>91</v>
      </c>
      <c r="B11" s="21">
        <v>4.8</v>
      </c>
      <c r="C11" s="21">
        <v>2.4</v>
      </c>
      <c r="D11" s="21">
        <v>3.4</v>
      </c>
      <c r="E11" s="45">
        <v>4.8</v>
      </c>
      <c r="F11" s="45">
        <v>9.6999999999999993</v>
      </c>
      <c r="G11" s="45">
        <v>74.900000000000006</v>
      </c>
      <c r="H11" s="45">
        <v>100</v>
      </c>
      <c r="I11" s="45"/>
      <c r="J11" s="45">
        <v>10.7</v>
      </c>
    </row>
    <row r="12" spans="1:10" s="16" customFormat="1" ht="15" customHeight="1" x14ac:dyDescent="0.15">
      <c r="A12" s="44" t="s">
        <v>92</v>
      </c>
      <c r="B12" s="21">
        <v>3.4</v>
      </c>
      <c r="C12" s="21">
        <v>1.8</v>
      </c>
      <c r="D12" s="21">
        <v>2.1</v>
      </c>
      <c r="E12" s="45">
        <v>0.8</v>
      </c>
      <c r="F12" s="45">
        <v>7.9</v>
      </c>
      <c r="G12" s="45">
        <v>84</v>
      </c>
      <c r="H12" s="45">
        <v>100</v>
      </c>
      <c r="I12" s="45"/>
      <c r="J12" s="45">
        <v>18</v>
      </c>
    </row>
    <row r="13" spans="1:10" s="16" customFormat="1" ht="15" customHeight="1" x14ac:dyDescent="0.15">
      <c r="A13" s="44" t="s">
        <v>93</v>
      </c>
      <c r="B13" s="21">
        <v>4.2</v>
      </c>
      <c r="C13" s="21">
        <v>4.0999999999999996</v>
      </c>
      <c r="D13" s="21">
        <v>0.9</v>
      </c>
      <c r="E13" s="45">
        <v>1.9</v>
      </c>
      <c r="F13" s="45">
        <v>4.7</v>
      </c>
      <c r="G13" s="45">
        <v>84.2</v>
      </c>
      <c r="H13" s="45">
        <v>100</v>
      </c>
      <c r="I13" s="45"/>
      <c r="J13" s="45">
        <v>10.199999999999999</v>
      </c>
    </row>
    <row r="14" spans="1:10" s="16" customFormat="1" ht="15" customHeight="1" x14ac:dyDescent="0.15">
      <c r="A14" s="44" t="s">
        <v>94</v>
      </c>
      <c r="B14" s="21">
        <v>0.6</v>
      </c>
      <c r="C14" s="21">
        <v>0.7</v>
      </c>
      <c r="D14" s="21">
        <v>0.9</v>
      </c>
      <c r="E14" s="45">
        <v>0.9</v>
      </c>
      <c r="F14" s="45">
        <v>2</v>
      </c>
      <c r="G14" s="45">
        <v>94.8</v>
      </c>
      <c r="H14" s="45">
        <v>100</v>
      </c>
      <c r="I14" s="45"/>
      <c r="J14" s="45">
        <v>13.6</v>
      </c>
    </row>
    <row r="15" spans="1:10" s="16" customFormat="1" ht="15" customHeight="1" x14ac:dyDescent="0.15">
      <c r="A15" s="87"/>
      <c r="B15" s="87"/>
      <c r="C15" s="87"/>
      <c r="D15" s="87"/>
      <c r="E15" s="87"/>
      <c r="F15" s="87"/>
      <c r="G15" s="87"/>
      <c r="H15" s="87"/>
      <c r="I15" s="87"/>
      <c r="J15" s="87"/>
    </row>
    <row r="16" spans="1:10" s="16" customFormat="1" ht="15" customHeight="1" x14ac:dyDescent="0.15">
      <c r="A16" s="83" t="s">
        <v>41</v>
      </c>
      <c r="B16" s="83"/>
      <c r="C16" s="83"/>
      <c r="D16" s="83"/>
      <c r="E16" s="83"/>
      <c r="F16" s="83"/>
      <c r="G16" s="83"/>
      <c r="H16" s="83"/>
      <c r="I16" s="83"/>
      <c r="J16" s="83"/>
    </row>
    <row r="17" spans="1:10" s="16" customFormat="1" ht="15" customHeight="1" x14ac:dyDescent="0.15">
      <c r="A17" s="44" t="s">
        <v>88</v>
      </c>
      <c r="B17" s="21">
        <v>0.8</v>
      </c>
      <c r="C17" s="21">
        <v>0</v>
      </c>
      <c r="D17" s="21">
        <v>1</v>
      </c>
      <c r="E17" s="45">
        <v>4.0999999999999996</v>
      </c>
      <c r="F17" s="45">
        <v>7.2</v>
      </c>
      <c r="G17" s="45">
        <v>86.9</v>
      </c>
      <c r="H17" s="45">
        <v>100</v>
      </c>
      <c r="I17" s="45"/>
      <c r="J17" s="45">
        <v>5.0999999999999996</v>
      </c>
    </row>
    <row r="18" spans="1:10" s="16" customFormat="1" ht="15" customHeight="1" x14ac:dyDescent="0.15">
      <c r="A18" s="44" t="s">
        <v>89</v>
      </c>
      <c r="B18" s="21">
        <v>1.7</v>
      </c>
      <c r="C18" s="21">
        <v>0.5</v>
      </c>
      <c r="D18" s="21">
        <v>2</v>
      </c>
      <c r="E18" s="45">
        <v>0.9</v>
      </c>
      <c r="F18" s="45">
        <v>1.1000000000000001</v>
      </c>
      <c r="G18" s="45">
        <v>93.9</v>
      </c>
      <c r="H18" s="45">
        <v>100</v>
      </c>
      <c r="I18" s="45"/>
      <c r="J18" s="45">
        <v>9.4</v>
      </c>
    </row>
    <row r="19" spans="1:10" s="16" customFormat="1" ht="15" customHeight="1" x14ac:dyDescent="0.15">
      <c r="A19" s="44" t="s">
        <v>90</v>
      </c>
      <c r="B19" s="21">
        <v>1.8</v>
      </c>
      <c r="C19" s="21">
        <v>1.5</v>
      </c>
      <c r="D19" s="21">
        <v>1.2</v>
      </c>
      <c r="E19" s="45">
        <v>2.6</v>
      </c>
      <c r="F19" s="45">
        <v>7.2</v>
      </c>
      <c r="G19" s="45">
        <v>85.7</v>
      </c>
      <c r="H19" s="45">
        <v>100</v>
      </c>
      <c r="I19" s="45"/>
      <c r="J19" s="45">
        <v>8.4</v>
      </c>
    </row>
    <row r="20" spans="1:10" s="16" customFormat="1" ht="15" customHeight="1" x14ac:dyDescent="0.15">
      <c r="A20" s="44" t="s">
        <v>91</v>
      </c>
      <c r="B20" s="21">
        <v>2.5</v>
      </c>
      <c r="C20" s="21">
        <v>0.7</v>
      </c>
      <c r="D20" s="21">
        <v>1.1000000000000001</v>
      </c>
      <c r="E20" s="45">
        <v>3.4</v>
      </c>
      <c r="F20" s="45">
        <v>8.6999999999999993</v>
      </c>
      <c r="G20" s="45">
        <v>83.6</v>
      </c>
      <c r="H20" s="45">
        <v>100</v>
      </c>
      <c r="I20" s="45"/>
      <c r="J20" s="45">
        <v>9.3000000000000007</v>
      </c>
    </row>
    <row r="21" spans="1:10" s="16" customFormat="1" ht="15" customHeight="1" x14ac:dyDescent="0.15">
      <c r="A21" s="44" t="s">
        <v>92</v>
      </c>
      <c r="B21" s="21">
        <v>2</v>
      </c>
      <c r="C21" s="21">
        <v>0.7</v>
      </c>
      <c r="D21" s="21">
        <v>1.9</v>
      </c>
      <c r="E21" s="45">
        <v>1.4</v>
      </c>
      <c r="F21" s="45">
        <v>7.1</v>
      </c>
      <c r="G21" s="45">
        <v>87</v>
      </c>
      <c r="H21" s="45">
        <v>100</v>
      </c>
      <c r="I21" s="45"/>
      <c r="J21" s="45">
        <v>9.3000000000000007</v>
      </c>
    </row>
    <row r="22" spans="1:10" s="16" customFormat="1" ht="15" customHeight="1" x14ac:dyDescent="0.15">
      <c r="A22" s="44" t="s">
        <v>93</v>
      </c>
      <c r="B22" s="21">
        <v>0.1</v>
      </c>
      <c r="C22" s="21">
        <v>0.8</v>
      </c>
      <c r="D22" s="21">
        <v>0</v>
      </c>
      <c r="E22" s="45">
        <v>1.2</v>
      </c>
      <c r="F22" s="45">
        <v>1.4</v>
      </c>
      <c r="G22" s="45">
        <v>96.5</v>
      </c>
      <c r="H22" s="45">
        <v>100</v>
      </c>
      <c r="I22" s="45"/>
      <c r="J22" s="45">
        <v>7</v>
      </c>
    </row>
    <row r="23" spans="1:10" s="16" customFormat="1" ht="15" customHeight="1" x14ac:dyDescent="0.15">
      <c r="A23" s="46" t="s">
        <v>94</v>
      </c>
      <c r="B23" s="47">
        <v>0.6</v>
      </c>
      <c r="C23" s="47">
        <v>0</v>
      </c>
      <c r="D23" s="47">
        <v>0.8</v>
      </c>
      <c r="E23" s="48">
        <v>0</v>
      </c>
      <c r="F23" s="48">
        <v>1.2</v>
      </c>
      <c r="G23" s="48">
        <v>97.5</v>
      </c>
      <c r="H23" s="48">
        <v>100</v>
      </c>
      <c r="I23" s="48"/>
      <c r="J23" s="48">
        <v>5.7</v>
      </c>
    </row>
    <row r="24" spans="1:10" ht="15" customHeight="1" x14ac:dyDescent="0.15">
      <c r="A24" s="70" t="s">
        <v>95</v>
      </c>
      <c r="B24" s="70"/>
      <c r="C24" s="70"/>
      <c r="D24" s="70"/>
      <c r="E24" s="70"/>
      <c r="F24" s="70"/>
      <c r="G24" s="70"/>
      <c r="H24" s="70"/>
      <c r="I24" s="70"/>
      <c r="J24" s="70"/>
    </row>
  </sheetData>
  <mergeCells count="8">
    <mergeCell ref="A16:J16"/>
    <mergeCell ref="A24:J24"/>
    <mergeCell ref="A1:J1"/>
    <mergeCell ref="A2:J2"/>
    <mergeCell ref="B3:G3"/>
    <mergeCell ref="A6:J6"/>
    <mergeCell ref="A7:J7"/>
    <mergeCell ref="A15:J1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Calculations</vt:lpstr>
      <vt:lpstr>(1)</vt:lpstr>
      <vt:lpstr>(2)</vt:lpstr>
      <vt:lpstr>(3)</vt:lpstr>
      <vt:lpstr>(4)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Valkenier</dc:creator>
  <cp:lastModifiedBy>Kyra de Haan</cp:lastModifiedBy>
  <dcterms:created xsi:type="dcterms:W3CDTF">2026-07-13T14:08:45Z</dcterms:created>
  <dcterms:modified xsi:type="dcterms:W3CDTF">2026-07-29T12:34:30Z</dcterms:modified>
</cp:coreProperties>
</file>