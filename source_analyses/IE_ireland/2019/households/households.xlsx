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udiavalkenier/Code/etdataset/source_analyses/IE_ireland/2019/households/"/>
    </mc:Choice>
  </mc:AlternateContent>
  <xr:revisionPtr revIDLastSave="0" documentId="13_ncr:1_{D86CF931-0E07-614B-BEE2-167D2347FB07}" xr6:coauthVersionLast="47" xr6:coauthVersionMax="47" xr10:uidLastSave="{00000000-0000-0000-0000-000000000000}"/>
  <bookViews>
    <workbookView xWindow="-5660" yWindow="-21600" windowWidth="38400" windowHeight="21600" xr2:uid="{30A8E204-1E9C-DE4D-B734-3CF61FEEFB39}"/>
  </bookViews>
  <sheets>
    <sheet name="Overview" sheetId="1" r:id="rId1"/>
    <sheet name="Calculations" sheetId="2" r:id="rId2"/>
    <sheet name="Eurostat" sheetId="8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2"/>
  <c r="B3" i="2" s="1"/>
</calcChain>
</file>

<file path=xl/sharedStrings.xml><?xml version="1.0" encoding="utf-8"?>
<sst xmlns="http://schemas.openxmlformats.org/spreadsheetml/2006/main" count="65" uniqueCount="40">
  <si>
    <t>key</t>
  </si>
  <si>
    <t>value</t>
  </si>
  <si>
    <t>comment</t>
  </si>
  <si>
    <t>Value</t>
  </si>
  <si>
    <t>Ireland</t>
  </si>
  <si>
    <t>Unit</t>
  </si>
  <si>
    <t/>
  </si>
  <si>
    <t>Natural gas</t>
  </si>
  <si>
    <t>Data extracted on 29/07/2026 14:37:19 from [ESTAT]</t>
  </si>
  <si>
    <t xml:space="preserve">Dataset: </t>
  </si>
  <si>
    <t>Electricity production and self-consumption by sector and fuel [nrg_ind_epsc__custom_22253319]</t>
  </si>
  <si>
    <t xml:space="preserve">Last updated: </t>
  </si>
  <si>
    <t>16/07/2026 23:00</t>
  </si>
  <si>
    <t>Time frequency</t>
  </si>
  <si>
    <t>Annual</t>
  </si>
  <si>
    <t>Energy balance</t>
  </si>
  <si>
    <t>Production</t>
  </si>
  <si>
    <t>Unit of measure</t>
  </si>
  <si>
    <t>Gigawatt-hour</t>
  </si>
  <si>
    <t>Geopolitical entity (reporting)</t>
  </si>
  <si>
    <t>Time</t>
  </si>
  <si>
    <t>2019</t>
  </si>
  <si>
    <t>SIEC (Labels)</t>
  </si>
  <si>
    <t>Wind</t>
  </si>
  <si>
    <t>Solar</t>
  </si>
  <si>
    <t>Biofuels</t>
  </si>
  <si>
    <t>Other renewable energies</t>
  </si>
  <si>
    <t>CUSTOMER (Labels)</t>
  </si>
  <si>
    <t>Household</t>
  </si>
  <si>
    <t>Services</t>
  </si>
  <si>
    <t>Special value</t>
  </si>
  <si>
    <t>:</t>
  </si>
  <si>
    <t>not available</t>
  </si>
  <si>
    <t>Data is retrieved from Eurostat table "Electricity production and self-consumption by sector and fuel"</t>
  </si>
  <si>
    <t>Solar PV production</t>
  </si>
  <si>
    <t>GWh</t>
  </si>
  <si>
    <t>Production converted to TJ</t>
  </si>
  <si>
    <t>TJ</t>
  </si>
  <si>
    <t>https://ec.europa.eu/eurostat/databrowser/view/road_eqs_carpda__custom_20632494/default/table</t>
  </si>
  <si>
    <t>input_households_solar_pv_demand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</si>
</sst>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##########"/>
    <numFmt numFmtId="166" formatCode="0.000"/>
  </numFmts>
  <fonts count="8" x14ac:knownFonts="1">
    <font>
      <sz val="11"/>
      <color theme="1"/>
      <name val="Satoshi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u/>
      <sz val="11"/>
      <color theme="10"/>
      <name val="Satoshi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4" fillId="0" borderId="0" xfId="3" applyFont="1" applyAlignment="1">
      <alignment horizontal="left" vertical="center"/>
    </xf>
    <xf numFmtId="0" fontId="3" fillId="0" borderId="0" xfId="3"/>
    <xf numFmtId="0" fontId="5" fillId="0" borderId="0" xfId="3" applyFont="1" applyAlignment="1">
      <alignment horizontal="left" vertical="center"/>
    </xf>
    <xf numFmtId="0" fontId="6" fillId="2" borderId="1" xfId="3" applyFont="1" applyFill="1" applyBorder="1" applyAlignment="1">
      <alignment horizontal="right" vertical="center"/>
    </xf>
    <xf numFmtId="0" fontId="5" fillId="3" borderId="1" xfId="3" applyFont="1" applyFill="1" applyBorder="1" applyAlignment="1">
      <alignment horizontal="left" vertical="center"/>
    </xf>
    <xf numFmtId="0" fontId="3" fillId="4" borderId="0" xfId="3" applyFill="1"/>
    <xf numFmtId="0" fontId="5" fillId="5" borderId="1" xfId="3" applyFont="1" applyFill="1" applyBorder="1" applyAlignment="1">
      <alignment horizontal="left" vertical="center"/>
    </xf>
    <xf numFmtId="164" fontId="4" fillId="0" borderId="0" xfId="3" applyNumberFormat="1" applyFont="1" applyAlignment="1">
      <alignment horizontal="right" vertical="center" shrinkToFit="1"/>
    </xf>
    <xf numFmtId="3" fontId="4" fillId="0" borderId="0" xfId="3" applyNumberFormat="1" applyFont="1" applyAlignment="1">
      <alignment horizontal="right" vertical="center" shrinkToFit="1"/>
    </xf>
    <xf numFmtId="165" fontId="4" fillId="0" borderId="0" xfId="3" applyNumberFormat="1" applyFont="1" applyAlignment="1">
      <alignment horizontal="right" vertical="center" shrinkToFit="1"/>
    </xf>
    <xf numFmtId="165" fontId="4" fillId="6" borderId="0" xfId="3" applyNumberFormat="1" applyFont="1" applyFill="1" applyAlignment="1">
      <alignment horizontal="right" vertical="center" shrinkToFit="1"/>
    </xf>
    <xf numFmtId="3" fontId="4" fillId="6" borderId="0" xfId="3" applyNumberFormat="1" applyFont="1" applyFill="1" applyAlignment="1">
      <alignment horizontal="right" vertical="center" shrinkToFit="1"/>
    </xf>
    <xf numFmtId="164" fontId="4" fillId="6" borderId="0" xfId="3" applyNumberFormat="1" applyFont="1" applyFill="1" applyAlignment="1">
      <alignment horizontal="right" vertical="center" shrinkToFit="1"/>
    </xf>
    <xf numFmtId="166" fontId="0" fillId="0" borderId="0" xfId="0" applyNumberFormat="1"/>
    <xf numFmtId="0" fontId="7" fillId="0" borderId="0" xfId="4"/>
    <xf numFmtId="0" fontId="6" fillId="2" borderId="1" xfId="3" applyFont="1" applyFill="1" applyBorder="1" applyAlignment="1">
      <alignment horizontal="left" vertical="center"/>
    </xf>
  </cellXfs>
  <cellStyles count="5">
    <cellStyle name="Hyperlink" xfId="4" builtinId="8"/>
    <cellStyle name="Hyperlink 2" xfId="2" xr:uid="{8AFCD349-B31F-244A-AF57-59042A4FCF93}"/>
    <cellStyle name="Normal" xfId="0" builtinId="0"/>
    <cellStyle name="Normal 2" xfId="1" xr:uid="{50FB7923-B3F7-0C48-8E62-FFF8EA8C6634}"/>
    <cellStyle name="Normal 3" xfId="3" xr:uid="{1DAC92D7-6AB2-6E44-9EAA-F17045CCD6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c.europa.eu/eurostat/databrowser/view/road_eqs_carpda__custom_20632494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7760-5753-974D-8A6E-E440C36BDABC}">
  <dimension ref="A1:C2"/>
  <sheetViews>
    <sheetView tabSelected="1" workbookViewId="0">
      <selection activeCell="A3" sqref="A3"/>
    </sheetView>
  </sheetViews>
  <sheetFormatPr baseColWidth="10" defaultRowHeight="15" x14ac:dyDescent="0.2"/>
  <cols>
    <col min="1" max="1" width="18.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39</v>
      </c>
      <c r="B2" s="14">
        <f>Calculations!B3</f>
        <v>95.007599999999996</v>
      </c>
      <c r="C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6DEF-CC03-1E47-ACAC-7E125E9FB3BF}">
  <sheetPr>
    <tabColor theme="4"/>
  </sheetPr>
  <dimension ref="A1:C3"/>
  <sheetViews>
    <sheetView workbookViewId="0">
      <selection activeCell="B3" sqref="B3"/>
    </sheetView>
  </sheetViews>
  <sheetFormatPr baseColWidth="10" defaultRowHeight="15" x14ac:dyDescent="0.2"/>
  <cols>
    <col min="1" max="1" width="26.125" customWidth="1"/>
  </cols>
  <sheetData>
    <row r="1" spans="1:3" x14ac:dyDescent="0.2">
      <c r="A1" t="s">
        <v>34</v>
      </c>
      <c r="B1" t="s">
        <v>3</v>
      </c>
      <c r="C1" t="s">
        <v>5</v>
      </c>
    </row>
    <row r="2" spans="1:3" x14ac:dyDescent="0.2">
      <c r="A2" t="s">
        <v>16</v>
      </c>
      <c r="B2">
        <f>Eurostat!F13</f>
        <v>26.390999999999998</v>
      </c>
      <c r="C2" t="s">
        <v>35</v>
      </c>
    </row>
    <row r="3" spans="1:3" x14ac:dyDescent="0.2">
      <c r="A3" t="s">
        <v>36</v>
      </c>
      <c r="B3">
        <f>B2*3.6</f>
        <v>95.007599999999996</v>
      </c>
      <c r="C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AE07-7830-3545-9695-64C2BBF2300C}">
  <dimension ref="A1:K19"/>
  <sheetViews>
    <sheetView zoomScale="133" workbookViewId="0">
      <pane xSplit="1" ySplit="12" topLeftCell="B13" activePane="bottomRight" state="frozen"/>
      <selection pane="topRight"/>
      <selection pane="bottomLeft"/>
      <selection pane="bottomRight" activeCell="A24" sqref="A24"/>
    </sheetView>
  </sheetViews>
  <sheetFormatPr baseColWidth="10" defaultColWidth="6.625" defaultRowHeight="11.25" customHeight="1" x14ac:dyDescent="0.2"/>
  <cols>
    <col min="1" max="1" width="12.75" style="2" customWidth="1"/>
    <col min="2" max="2" width="8.25" style="2" customWidth="1"/>
    <col min="3" max="3" width="3.75" style="2" customWidth="1"/>
    <col min="4" max="4" width="7.5" style="2" customWidth="1"/>
    <col min="5" max="5" width="3.75" style="2" customWidth="1"/>
    <col min="6" max="6" width="7.5" style="2" customWidth="1"/>
    <col min="7" max="7" width="3.75" style="2" customWidth="1"/>
    <col min="8" max="8" width="7.5" style="2" customWidth="1"/>
    <col min="9" max="9" width="3.75" style="2" customWidth="1"/>
    <col min="10" max="10" width="15" style="2" customWidth="1"/>
    <col min="11" max="11" width="3.75" style="2" customWidth="1"/>
    <col min="12" max="16384" width="6.625" style="2"/>
  </cols>
  <sheetData>
    <row r="1" spans="1:11" x14ac:dyDescent="0.2">
      <c r="A1" s="1" t="s">
        <v>8</v>
      </c>
    </row>
    <row r="2" spans="1:11" x14ac:dyDescent="0.2">
      <c r="A2" s="1" t="s">
        <v>9</v>
      </c>
      <c r="B2" s="3" t="s">
        <v>10</v>
      </c>
    </row>
    <row r="3" spans="1:11" x14ac:dyDescent="0.2">
      <c r="A3" s="1" t="s">
        <v>11</v>
      </c>
      <c r="B3" s="1" t="s">
        <v>12</v>
      </c>
    </row>
    <row r="4" spans="1:11" x14ac:dyDescent="0.2"/>
    <row r="5" spans="1:11" x14ac:dyDescent="0.2">
      <c r="A5" s="3" t="s">
        <v>13</v>
      </c>
      <c r="C5" s="1" t="s">
        <v>14</v>
      </c>
    </row>
    <row r="6" spans="1:11" x14ac:dyDescent="0.2">
      <c r="A6" s="3" t="s">
        <v>15</v>
      </c>
      <c r="C6" s="1" t="s">
        <v>16</v>
      </c>
    </row>
    <row r="7" spans="1:11" x14ac:dyDescent="0.2">
      <c r="A7" s="3" t="s">
        <v>17</v>
      </c>
      <c r="C7" s="1" t="s">
        <v>18</v>
      </c>
    </row>
    <row r="8" spans="1:11" x14ac:dyDescent="0.2">
      <c r="A8" s="3" t="s">
        <v>19</v>
      </c>
      <c r="C8" s="1" t="s">
        <v>4</v>
      </c>
    </row>
    <row r="9" spans="1:11" x14ac:dyDescent="0.2">
      <c r="A9" s="3" t="s">
        <v>20</v>
      </c>
      <c r="C9" s="1" t="s">
        <v>21</v>
      </c>
    </row>
    <row r="10" spans="1:11" x14ac:dyDescent="0.2"/>
    <row r="11" spans="1:11" x14ac:dyDescent="0.2">
      <c r="A11" s="4" t="s">
        <v>22</v>
      </c>
      <c r="B11" s="16" t="s">
        <v>7</v>
      </c>
      <c r="C11" s="16" t="s">
        <v>6</v>
      </c>
      <c r="D11" s="16" t="s">
        <v>23</v>
      </c>
      <c r="E11" s="16" t="s">
        <v>6</v>
      </c>
      <c r="F11" s="16" t="s">
        <v>24</v>
      </c>
      <c r="G11" s="16" t="s">
        <v>6</v>
      </c>
      <c r="H11" s="16" t="s">
        <v>25</v>
      </c>
      <c r="I11" s="16" t="s">
        <v>6</v>
      </c>
      <c r="J11" s="16" t="s">
        <v>26</v>
      </c>
      <c r="K11" s="16" t="s">
        <v>6</v>
      </c>
    </row>
    <row r="12" spans="1:11" x14ac:dyDescent="0.2">
      <c r="A12" s="5" t="s">
        <v>27</v>
      </c>
      <c r="B12" s="6" t="s">
        <v>6</v>
      </c>
      <c r="C12" s="6" t="s">
        <v>6</v>
      </c>
      <c r="D12" s="6" t="s">
        <v>6</v>
      </c>
      <c r="E12" s="6" t="s">
        <v>6</v>
      </c>
      <c r="F12" s="6" t="s">
        <v>6</v>
      </c>
      <c r="G12" s="6" t="s">
        <v>6</v>
      </c>
      <c r="H12" s="6" t="s">
        <v>6</v>
      </c>
      <c r="I12" s="6" t="s">
        <v>6</v>
      </c>
      <c r="J12" s="6" t="s">
        <v>6</v>
      </c>
      <c r="K12" s="6" t="s">
        <v>6</v>
      </c>
    </row>
    <row r="13" spans="1:11" x14ac:dyDescent="0.2">
      <c r="A13" s="7" t="s">
        <v>28</v>
      </c>
      <c r="B13" s="8">
        <v>0</v>
      </c>
      <c r="C13" s="9" t="s">
        <v>6</v>
      </c>
      <c r="D13" s="8">
        <v>0</v>
      </c>
      <c r="E13" s="9" t="s">
        <v>6</v>
      </c>
      <c r="F13" s="10">
        <v>26.390999999999998</v>
      </c>
      <c r="G13" s="9" t="s">
        <v>6</v>
      </c>
      <c r="H13" s="8">
        <v>0</v>
      </c>
      <c r="I13" s="9" t="s">
        <v>6</v>
      </c>
      <c r="J13" s="8">
        <v>0</v>
      </c>
      <c r="K13" s="9" t="s">
        <v>6</v>
      </c>
    </row>
    <row r="14" spans="1:11" x14ac:dyDescent="0.2">
      <c r="A14" s="7" t="s">
        <v>29</v>
      </c>
      <c r="B14" s="11">
        <v>106.214</v>
      </c>
      <c r="C14" s="12" t="s">
        <v>6</v>
      </c>
      <c r="D14" s="13">
        <v>0</v>
      </c>
      <c r="E14" s="12" t="s">
        <v>6</v>
      </c>
      <c r="F14" s="13">
        <v>7.42</v>
      </c>
      <c r="G14" s="12" t="s">
        <v>6</v>
      </c>
      <c r="H14" s="11">
        <v>46.478999999999999</v>
      </c>
      <c r="I14" s="12" t="s">
        <v>6</v>
      </c>
      <c r="J14" s="13">
        <v>0</v>
      </c>
      <c r="K14" s="12" t="s">
        <v>6</v>
      </c>
    </row>
    <row r="16" spans="1:11" x14ac:dyDescent="0.2">
      <c r="A16" s="3" t="s">
        <v>30</v>
      </c>
    </row>
    <row r="17" spans="1:2" x14ac:dyDescent="0.2">
      <c r="A17" s="3" t="s">
        <v>31</v>
      </c>
      <c r="B17" s="1" t="s">
        <v>32</v>
      </c>
    </row>
    <row r="19" spans="1:2" ht="11.25" customHeight="1" x14ac:dyDescent="0.2">
      <c r="A19" s="15" t="s">
        <v>38</v>
      </c>
    </row>
  </sheetData>
  <mergeCells count="5">
    <mergeCell ref="B11:C11"/>
    <mergeCell ref="D11:E11"/>
    <mergeCell ref="F11:G11"/>
    <mergeCell ref="H11:I11"/>
    <mergeCell ref="J11:K11"/>
  </mergeCells>
  <hyperlinks>
    <hyperlink ref="A19" r:id="rId1" xr:uid="{DF5BFA4F-8301-0648-9600-4D442F7626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Calculations</vt:lpstr>
      <vt:lpstr>Eurostat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Valkenier</dc:creator>
  <cp:lastModifiedBy>Claudia Valkenier</cp:lastModifiedBy>
  <dcterms:created xsi:type="dcterms:W3CDTF">2026-07-10T13:10:05Z</dcterms:created>
  <dcterms:modified xsi:type="dcterms:W3CDTF">2026-09-11T07:48:39Z</dcterms:modified>
</cp:coreProperties>
</file>