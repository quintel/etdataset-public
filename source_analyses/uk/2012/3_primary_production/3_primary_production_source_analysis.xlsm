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414"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marliekeverweij/Projects/etdataset/source_analyses/uk/2012/3_primary_production/"/>
    </mc:Choice>
  </mc:AlternateContent>
  <xr:revisionPtr revIDLastSave="0" documentId="13_ncr:1_{578FF287-E007-854E-A343-13D3E82485A9}" xr6:coauthVersionLast="43" xr6:coauthVersionMax="43" xr10:uidLastSave="{00000000-0000-0000-0000-000000000000}"/>
  <bookViews>
    <workbookView xWindow="25600" yWindow="460" windowWidth="25600" windowHeight="26940" tabRatio="500" firstSheet="3" activeTab="5" xr2:uid="{00000000-000D-0000-FFFF-FFFF00000000}"/>
  </bookViews>
  <sheets>
    <sheet name="Cover sheet" sheetId="7" r:id="rId1"/>
    <sheet name="Changelog" sheetId="8" r:id="rId2"/>
    <sheet name="Contents" sheetId="9" r:id="rId3"/>
    <sheet name="Introduction" sheetId="10" r:id="rId4"/>
    <sheet name="Assumptions" sheetId="11" r:id="rId5"/>
    <sheet name="Dashboard" sheetId="2" r:id="rId6"/>
    <sheet name="conversion_to_TJ" sheetId="6" r:id="rId7"/>
    <sheet name="interpolation" sheetId="5" r:id="rId8"/>
    <sheet name="timecurves" sheetId="3" r:id="rId9"/>
  </sheets>
  <functionGroups builtInGroupCount="19"/>
  <externalReferences>
    <externalReference r:id="rId10"/>
  </externalReferences>
  <definedNames>
    <definedName name="base_year">[1]Dashboard!$E$14</definedName>
    <definedName name="country">[1]Dashboard!$E$13</definedName>
    <definedName name="export_csv">"Button 2"</definedName>
    <definedName name="import_ceb2">"Button 1"</definedName>
    <definedName name="ktoe_TJ">Dashboard!$D$16</definedName>
  </definedNames>
  <calcPr calcId="191029"/>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5" l="1"/>
  <c r="D20" i="5"/>
  <c r="D3" i="3" s="1"/>
  <c r="B20" i="5"/>
  <c r="B3" i="3" s="1"/>
  <c r="C3" i="3"/>
  <c r="B4" i="3"/>
  <c r="C4" i="3"/>
  <c r="D4" i="3"/>
  <c r="E4" i="3"/>
  <c r="F4" i="3"/>
  <c r="C2" i="3"/>
  <c r="D2" i="3"/>
  <c r="B2" i="3"/>
  <c r="C10" i="6"/>
  <c r="C9" i="5" s="1"/>
  <c r="C12" i="6"/>
  <c r="D9" i="5" s="1"/>
  <c r="C11" i="6"/>
  <c r="E9" i="5" s="1"/>
  <c r="C13" i="6"/>
  <c r="F9" i="5" s="1"/>
  <c r="C16" i="6"/>
  <c r="G9" i="5" s="1"/>
  <c r="C8" i="7"/>
  <c r="C5" i="7"/>
  <c r="D10" i="6"/>
  <c r="D12" i="6"/>
  <c r="D14" i="5" s="1"/>
  <c r="D15" i="5" s="1"/>
  <c r="D11" i="6"/>
  <c r="E14" i="5" s="1"/>
  <c r="D13" i="6"/>
  <c r="F14" i="5" s="1"/>
  <c r="D16" i="6"/>
  <c r="G14" i="5" s="1"/>
  <c r="E10" i="6"/>
  <c r="E12" i="6"/>
  <c r="E11" i="6"/>
  <c r="E19" i="5" s="1"/>
  <c r="E18" i="5" s="1"/>
  <c r="E13" i="6"/>
  <c r="F19" i="5" s="1"/>
  <c r="E16" i="6"/>
  <c r="G19" i="5" s="1"/>
  <c r="F10" i="6"/>
  <c r="C24" i="5" s="1"/>
  <c r="F12" i="6"/>
  <c r="D24" i="5" s="1"/>
  <c r="F11" i="6"/>
  <c r="E24" i="5" s="1"/>
  <c r="F13" i="6"/>
  <c r="F24" i="5" s="1"/>
  <c r="F16" i="6"/>
  <c r="G24" i="5" s="1"/>
  <c r="G7" i="3" s="1"/>
  <c r="G10" i="6"/>
  <c r="C29" i="5" s="1"/>
  <c r="G12" i="6"/>
  <c r="D29" i="5" s="1"/>
  <c r="G11" i="6"/>
  <c r="E29" i="5" s="1"/>
  <c r="G13" i="6"/>
  <c r="F29" i="5" s="1"/>
  <c r="G16" i="6"/>
  <c r="G29" i="5"/>
  <c r="G30" i="5" s="1"/>
  <c r="G13" i="3" s="1"/>
  <c r="H10" i="6"/>
  <c r="H12" i="6"/>
  <c r="D34" i="5" s="1"/>
  <c r="D17" i="3" s="1"/>
  <c r="H11" i="6"/>
  <c r="E34" i="5" s="1"/>
  <c r="H13" i="6"/>
  <c r="F34" i="5" s="1"/>
  <c r="H16" i="6"/>
  <c r="G34" i="5" s="1"/>
  <c r="I10" i="6"/>
  <c r="C39" i="5" s="1"/>
  <c r="C22" i="3" s="1"/>
  <c r="B39" i="5"/>
  <c r="I12" i="6"/>
  <c r="D39" i="5" s="1"/>
  <c r="I11" i="6"/>
  <c r="E39" i="5"/>
  <c r="I13" i="6"/>
  <c r="F39" i="5" s="1"/>
  <c r="I16" i="6"/>
  <c r="G39" i="5"/>
  <c r="G22" i="3" s="1"/>
  <c r="J10" i="6"/>
  <c r="C44" i="5" s="1"/>
  <c r="J12" i="6"/>
  <c r="D44" i="5" s="1"/>
  <c r="J11" i="6"/>
  <c r="E44" i="5" s="1"/>
  <c r="E27" i="3" s="1"/>
  <c r="J13" i="6"/>
  <c r="F44" i="5" s="1"/>
  <c r="F27" i="3" s="1"/>
  <c r="J16" i="6"/>
  <c r="G44" i="5" s="1"/>
  <c r="G41" i="5" s="1"/>
  <c r="G24" i="3" s="1"/>
  <c r="K10" i="6"/>
  <c r="B49" i="5" s="1"/>
  <c r="B32" i="3" s="1"/>
  <c r="K12" i="6"/>
  <c r="D49" i="5" s="1"/>
  <c r="K11" i="6"/>
  <c r="E49" i="5" s="1"/>
  <c r="K13" i="6"/>
  <c r="F49" i="5" s="1"/>
  <c r="K16" i="6"/>
  <c r="G49" i="5" s="1"/>
  <c r="L10" i="6"/>
  <c r="C54" i="5" s="1"/>
  <c r="M10" i="6"/>
  <c r="B59" i="5" s="1"/>
  <c r="B42" i="3" s="1"/>
  <c r="L12" i="6"/>
  <c r="D54" i="5" s="1"/>
  <c r="D37" i="3" s="1"/>
  <c r="M12" i="6"/>
  <c r="D59" i="5" s="1"/>
  <c r="L11" i="6"/>
  <c r="E54" i="5" s="1"/>
  <c r="M11" i="6"/>
  <c r="E59" i="5" s="1"/>
  <c r="E42" i="3" s="1"/>
  <c r="L13" i="6"/>
  <c r="F54" i="5" s="1"/>
  <c r="M13" i="6"/>
  <c r="F59" i="5" s="1"/>
  <c r="F42" i="3" s="1"/>
  <c r="L16" i="6"/>
  <c r="G54" i="5" s="1"/>
  <c r="M16" i="6"/>
  <c r="G59" i="5" s="1"/>
  <c r="G42" i="3" s="1"/>
  <c r="C14" i="6"/>
  <c r="D14" i="6"/>
  <c r="E14" i="6"/>
  <c r="F14" i="6"/>
  <c r="G14" i="6"/>
  <c r="H14" i="6"/>
  <c r="I14" i="6"/>
  <c r="J14" i="6"/>
  <c r="K14" i="6"/>
  <c r="L14" i="6"/>
  <c r="M14" i="6"/>
  <c r="C15" i="6"/>
  <c r="D15" i="6"/>
  <c r="E15" i="6"/>
  <c r="F15" i="6"/>
  <c r="G15" i="6"/>
  <c r="H15" i="6"/>
  <c r="I15" i="6"/>
  <c r="J15" i="6"/>
  <c r="K15" i="6"/>
  <c r="L15" i="6"/>
  <c r="M15" i="6"/>
  <c r="C17" i="6"/>
  <c r="D17" i="6"/>
  <c r="E17" i="6"/>
  <c r="F17" i="6"/>
  <c r="G17" i="6"/>
  <c r="H17" i="6"/>
  <c r="I17" i="6"/>
  <c r="J17" i="6"/>
  <c r="K17" i="6"/>
  <c r="L17" i="6"/>
  <c r="M17" i="6"/>
  <c r="C18" i="6"/>
  <c r="D18" i="6"/>
  <c r="E18" i="6"/>
  <c r="F18" i="6"/>
  <c r="G18" i="6"/>
  <c r="H18" i="6"/>
  <c r="I18" i="6"/>
  <c r="J18" i="6"/>
  <c r="K18" i="6"/>
  <c r="L18" i="6"/>
  <c r="M18" i="6"/>
  <c r="C19" i="6"/>
  <c r="D19" i="6"/>
  <c r="E19" i="6"/>
  <c r="F19" i="6"/>
  <c r="G19" i="6"/>
  <c r="H19" i="6"/>
  <c r="I19" i="6"/>
  <c r="J19" i="6"/>
  <c r="K19" i="6"/>
  <c r="L19" i="6"/>
  <c r="M19" i="6"/>
  <c r="D9" i="6"/>
  <c r="E9" i="6"/>
  <c r="F9" i="6"/>
  <c r="G9" i="6"/>
  <c r="H9" i="6"/>
  <c r="I9" i="6"/>
  <c r="J9" i="6"/>
  <c r="K9" i="6"/>
  <c r="L9" i="6"/>
  <c r="M9" i="6"/>
  <c r="C9" i="6"/>
  <c r="F36" i="5" l="1"/>
  <c r="F19" i="3" s="1"/>
  <c r="F35" i="5"/>
  <c r="F18" i="3" s="1"/>
  <c r="E12" i="3"/>
  <c r="E33" i="5"/>
  <c r="E16" i="3" s="1"/>
  <c r="C43" i="5"/>
  <c r="C26" i="3" s="1"/>
  <c r="G32" i="5"/>
  <c r="G15" i="3" s="1"/>
  <c r="D58" i="5"/>
  <c r="D41" i="3" s="1"/>
  <c r="B29" i="5"/>
  <c r="B12" i="3" s="1"/>
  <c r="G52" i="5"/>
  <c r="G35" i="3" s="1"/>
  <c r="E32" i="3"/>
  <c r="E50" i="5"/>
  <c r="E33" i="3" s="1"/>
  <c r="D51" i="5"/>
  <c r="D34" i="3" s="1"/>
  <c r="D18" i="5"/>
  <c r="F47" i="5"/>
  <c r="F30" i="3" s="1"/>
  <c r="C49" i="5"/>
  <c r="D46" i="5"/>
  <c r="D29" i="3" s="1"/>
  <c r="B9" i="5"/>
  <c r="F38" i="5"/>
  <c r="F21" i="3" s="1"/>
  <c r="G55" i="5"/>
  <c r="G38" i="3" s="1"/>
  <c r="D16" i="5"/>
  <c r="F27" i="5"/>
  <c r="F10" i="3" s="1"/>
  <c r="E15" i="5"/>
  <c r="F56" i="5"/>
  <c r="F39" i="3" s="1"/>
  <c r="F53" i="5"/>
  <c r="F36" i="3" s="1"/>
  <c r="D13" i="5"/>
  <c r="D11" i="5"/>
  <c r="F17" i="5"/>
  <c r="F12" i="5"/>
  <c r="C52" i="5"/>
  <c r="C35" i="3" s="1"/>
  <c r="D12" i="5"/>
  <c r="D48" i="5"/>
  <c r="D31" i="3" s="1"/>
  <c r="E26" i="5"/>
  <c r="E9" i="3" s="1"/>
  <c r="D23" i="5"/>
  <c r="D6" i="3" s="1"/>
  <c r="D22" i="5"/>
  <c r="D5" i="3" s="1"/>
  <c r="D7" i="3"/>
  <c r="D27" i="5"/>
  <c r="D10" i="3" s="1"/>
  <c r="G2" i="3"/>
  <c r="G21" i="5"/>
  <c r="G4" i="3" s="1"/>
  <c r="G20" i="5"/>
  <c r="G3" i="3" s="1"/>
  <c r="G22" i="5"/>
  <c r="G5" i="3" s="1"/>
  <c r="G12" i="5"/>
  <c r="G13" i="5"/>
  <c r="G17" i="5"/>
  <c r="G18" i="5"/>
  <c r="B54" i="5"/>
  <c r="E58" i="5"/>
  <c r="E41" i="3" s="1"/>
  <c r="E55" i="5"/>
  <c r="E38" i="3" s="1"/>
  <c r="E52" i="5"/>
  <c r="E35" i="3" s="1"/>
  <c r="E37" i="3"/>
  <c r="E56" i="5"/>
  <c r="E39" i="3" s="1"/>
  <c r="G53" i="5"/>
  <c r="G36" i="3" s="1"/>
  <c r="G50" i="5"/>
  <c r="G33" i="3" s="1"/>
  <c r="G51" i="5"/>
  <c r="G34" i="3" s="1"/>
  <c r="E42" i="5"/>
  <c r="E25" i="3" s="1"/>
  <c r="D27" i="3"/>
  <c r="D47" i="5"/>
  <c r="D30" i="3" s="1"/>
  <c r="F22" i="3"/>
  <c r="F42" i="5"/>
  <c r="F25" i="3" s="1"/>
  <c r="F40" i="5"/>
  <c r="F23" i="3" s="1"/>
  <c r="F41" i="5"/>
  <c r="F24" i="3" s="1"/>
  <c r="F43" i="5"/>
  <c r="F26" i="3" s="1"/>
  <c r="G17" i="3"/>
  <c r="G36" i="5"/>
  <c r="G19" i="3" s="1"/>
  <c r="G38" i="5"/>
  <c r="G21" i="3" s="1"/>
  <c r="G35" i="5"/>
  <c r="G18" i="3" s="1"/>
  <c r="G37" i="5"/>
  <c r="G20" i="3" s="1"/>
  <c r="D28" i="5"/>
  <c r="D11" i="3" s="1"/>
  <c r="G25" i="5"/>
  <c r="G8" i="3" s="1"/>
  <c r="G27" i="5"/>
  <c r="G10" i="3" s="1"/>
  <c r="G12" i="3"/>
  <c r="G31" i="5"/>
  <c r="G14" i="3" s="1"/>
  <c r="G33" i="5"/>
  <c r="G16" i="3" s="1"/>
  <c r="G26" i="5"/>
  <c r="G9" i="3" s="1"/>
  <c r="G28" i="5"/>
  <c r="G11" i="3" s="1"/>
  <c r="F23" i="5"/>
  <c r="F6" i="3" s="1"/>
  <c r="F22" i="5"/>
  <c r="F5" i="3" s="1"/>
  <c r="F7" i="3"/>
  <c r="F25" i="5"/>
  <c r="F8" i="3" s="1"/>
  <c r="F26" i="5"/>
  <c r="F9" i="3" s="1"/>
  <c r="F28" i="5"/>
  <c r="F11" i="3" s="1"/>
  <c r="C26" i="5"/>
  <c r="C9" i="3" s="1"/>
  <c r="G16" i="5"/>
  <c r="F20" i="5"/>
  <c r="F3" i="3" s="1"/>
  <c r="F2" i="3"/>
  <c r="G11" i="5"/>
  <c r="E46" i="5"/>
  <c r="E29" i="3" s="1"/>
  <c r="E48" i="5"/>
  <c r="E31" i="3" s="1"/>
  <c r="E45" i="5"/>
  <c r="E28" i="3" s="1"/>
  <c r="E47" i="5"/>
  <c r="E30" i="3" s="1"/>
  <c r="E17" i="3"/>
  <c r="E35" i="5"/>
  <c r="E18" i="3" s="1"/>
  <c r="E37" i="5"/>
  <c r="E20" i="3" s="1"/>
  <c r="E30" i="5"/>
  <c r="E13" i="3" s="1"/>
  <c r="E32" i="5"/>
  <c r="E15" i="3" s="1"/>
  <c r="E36" i="5"/>
  <c r="E19" i="3" s="1"/>
  <c r="E38" i="5"/>
  <c r="E21" i="3" s="1"/>
  <c r="B34" i="5"/>
  <c r="C34" i="5"/>
  <c r="C31" i="5" s="1"/>
  <c r="C14" i="3" s="1"/>
  <c r="D26" i="5"/>
  <c r="D9" i="3" s="1"/>
  <c r="C12" i="3"/>
  <c r="E10" i="5"/>
  <c r="E11" i="5"/>
  <c r="E12" i="5"/>
  <c r="F37" i="3"/>
  <c r="F57" i="5"/>
  <c r="F40" i="3" s="1"/>
  <c r="F58" i="5"/>
  <c r="F41" i="3" s="1"/>
  <c r="F55" i="5"/>
  <c r="F38" i="3" s="1"/>
  <c r="D42" i="3"/>
  <c r="D56" i="5"/>
  <c r="D39" i="3" s="1"/>
  <c r="D45" i="5"/>
  <c r="D28" i="3" s="1"/>
  <c r="E22" i="3"/>
  <c r="E41" i="5"/>
  <c r="E24" i="3" s="1"/>
  <c r="E43" i="5"/>
  <c r="E26" i="3" s="1"/>
  <c r="B22" i="3"/>
  <c r="F17" i="3"/>
  <c r="F37" i="5"/>
  <c r="F20" i="3" s="1"/>
  <c r="D25" i="5"/>
  <c r="D8" i="3" s="1"/>
  <c r="E13" i="5"/>
  <c r="C37" i="3"/>
  <c r="C53" i="5"/>
  <c r="C36" i="3" s="1"/>
  <c r="C50" i="5"/>
  <c r="C33" i="3" s="1"/>
  <c r="C32" i="3"/>
  <c r="C51" i="5"/>
  <c r="C34" i="3" s="1"/>
  <c r="G27" i="3"/>
  <c r="G45" i="5"/>
  <c r="G28" i="3" s="1"/>
  <c r="G47" i="5"/>
  <c r="G30" i="3" s="1"/>
  <c r="G40" i="5"/>
  <c r="G23" i="3" s="1"/>
  <c r="G42" i="5"/>
  <c r="G25" i="3" s="1"/>
  <c r="G46" i="5"/>
  <c r="G29" i="3" s="1"/>
  <c r="G48" i="5"/>
  <c r="G31" i="3" s="1"/>
  <c r="C27" i="3"/>
  <c r="C45" i="5"/>
  <c r="C28" i="3" s="1"/>
  <c r="C47" i="5"/>
  <c r="C30" i="3" s="1"/>
  <c r="C40" i="5"/>
  <c r="C23" i="3" s="1"/>
  <c r="C42" i="5"/>
  <c r="C25" i="3" s="1"/>
  <c r="C46" i="5"/>
  <c r="C29" i="3" s="1"/>
  <c r="C48" i="5"/>
  <c r="C31" i="3" s="1"/>
  <c r="D22" i="3"/>
  <c r="D40" i="5"/>
  <c r="D23" i="3" s="1"/>
  <c r="D41" i="5"/>
  <c r="D24" i="3" s="1"/>
  <c r="D43" i="5"/>
  <c r="D26" i="3" s="1"/>
  <c r="D35" i="5"/>
  <c r="D18" i="3" s="1"/>
  <c r="D36" i="5"/>
  <c r="D19" i="3" s="1"/>
  <c r="D38" i="5"/>
  <c r="D21" i="3" s="1"/>
  <c r="D42" i="5"/>
  <c r="D25" i="3" s="1"/>
  <c r="E57" i="5"/>
  <c r="E40" i="3" s="1"/>
  <c r="G37" i="3"/>
  <c r="G56" i="5"/>
  <c r="G39" i="3" s="1"/>
  <c r="G57" i="5"/>
  <c r="G40" i="3" s="1"/>
  <c r="G58" i="5"/>
  <c r="G41" i="3" s="1"/>
  <c r="F32" i="3"/>
  <c r="F50" i="5"/>
  <c r="F33" i="3" s="1"/>
  <c r="F45" i="5"/>
  <c r="F28" i="3" s="1"/>
  <c r="F46" i="5"/>
  <c r="F29" i="3" s="1"/>
  <c r="F48" i="5"/>
  <c r="F31" i="3" s="1"/>
  <c r="F51" i="5"/>
  <c r="F34" i="3" s="1"/>
  <c r="F52" i="5"/>
  <c r="F35" i="3" s="1"/>
  <c r="D32" i="3"/>
  <c r="D52" i="5"/>
  <c r="D35" i="3" s="1"/>
  <c r="D53" i="5"/>
  <c r="D36" i="3" s="1"/>
  <c r="D50" i="5"/>
  <c r="D33" i="3" s="1"/>
  <c r="G43" i="5"/>
  <c r="G26" i="3" s="1"/>
  <c r="C41" i="5"/>
  <c r="C24" i="3" s="1"/>
  <c r="E40" i="5"/>
  <c r="E23" i="3" s="1"/>
  <c r="D37" i="5"/>
  <c r="D20" i="3" s="1"/>
  <c r="E31" i="5"/>
  <c r="E14" i="3" s="1"/>
  <c r="C30" i="5"/>
  <c r="C13" i="3" s="1"/>
  <c r="F12" i="3"/>
  <c r="F30" i="5"/>
  <c r="F13" i="3" s="1"/>
  <c r="F31" i="5"/>
  <c r="F14" i="3" s="1"/>
  <c r="F33" i="5"/>
  <c r="F16" i="3" s="1"/>
  <c r="F32" i="5"/>
  <c r="F15" i="3" s="1"/>
  <c r="D12" i="3"/>
  <c r="D32" i="5"/>
  <c r="D15" i="3" s="1"/>
  <c r="D30" i="5"/>
  <c r="D13" i="3" s="1"/>
  <c r="D31" i="5"/>
  <c r="D14" i="3" s="1"/>
  <c r="D33" i="5"/>
  <c r="D16" i="3" s="1"/>
  <c r="G23" i="5"/>
  <c r="G6" i="3" s="1"/>
  <c r="G15" i="5"/>
  <c r="G10" i="5"/>
  <c r="G32" i="3"/>
  <c r="B52" i="5"/>
  <c r="B35" i="3" s="1"/>
  <c r="E53" i="5"/>
  <c r="E36" i="3" s="1"/>
  <c r="D57" i="5"/>
  <c r="D40" i="3" s="1"/>
  <c r="C59" i="5"/>
  <c r="C42" i="3" s="1"/>
  <c r="B44" i="5"/>
  <c r="B43" i="5" s="1"/>
  <c r="B26" i="3" s="1"/>
  <c r="C28" i="5"/>
  <c r="C11" i="3" s="1"/>
  <c r="E27" i="5"/>
  <c r="E10" i="3" s="1"/>
  <c r="E25" i="5"/>
  <c r="E8" i="3" s="1"/>
  <c r="B24" i="5"/>
  <c r="E17" i="5"/>
  <c r="E16" i="5"/>
  <c r="E22" i="5"/>
  <c r="E5" i="3" s="1"/>
  <c r="C23" i="5"/>
  <c r="C6" i="3" s="1"/>
  <c r="C22" i="5"/>
  <c r="C5" i="3" s="1"/>
  <c r="C7" i="3"/>
  <c r="E20" i="5"/>
  <c r="E3" i="3" s="1"/>
  <c r="E2" i="3"/>
  <c r="B14" i="5"/>
  <c r="B10" i="5" s="1"/>
  <c r="C14" i="5"/>
  <c r="C13" i="5" s="1"/>
  <c r="E7" i="3"/>
  <c r="E23" i="5"/>
  <c r="E6" i="3" s="1"/>
  <c r="B50" i="5"/>
  <c r="B33" i="3" s="1"/>
  <c r="E51" i="5"/>
  <c r="E34" i="3" s="1"/>
  <c r="D55" i="5"/>
  <c r="D38" i="3" s="1"/>
  <c r="B33" i="5"/>
  <c r="B16" i="3" s="1"/>
  <c r="B31" i="5"/>
  <c r="B14" i="3" s="1"/>
  <c r="E28" i="5"/>
  <c r="E11" i="3" s="1"/>
  <c r="C27" i="5"/>
  <c r="C10" i="3" s="1"/>
  <c r="C25" i="5"/>
  <c r="C8" i="3" s="1"/>
  <c r="F10" i="5"/>
  <c r="F11" i="5"/>
  <c r="F13" i="5"/>
  <c r="F15" i="5"/>
  <c r="F16" i="5"/>
  <c r="F18" i="5"/>
  <c r="D10" i="5"/>
  <c r="D17" i="5"/>
  <c r="B11" i="5" l="1"/>
  <c r="C33" i="5"/>
  <c r="C16" i="3" s="1"/>
  <c r="C32" i="5"/>
  <c r="C15" i="3" s="1"/>
  <c r="C57" i="5"/>
  <c r="C40" i="3" s="1"/>
  <c r="B27" i="3"/>
  <c r="B46" i="5"/>
  <c r="B29" i="3" s="1"/>
  <c r="B48" i="5"/>
  <c r="B31" i="3" s="1"/>
  <c r="B45" i="5"/>
  <c r="B28" i="3" s="1"/>
  <c r="B40" i="5"/>
  <c r="B23" i="3" s="1"/>
  <c r="B47" i="5"/>
  <c r="B30" i="3" s="1"/>
  <c r="C15" i="5"/>
  <c r="C16" i="5"/>
  <c r="C17" i="5"/>
  <c r="C18" i="5"/>
  <c r="C56" i="5"/>
  <c r="C39" i="3" s="1"/>
  <c r="B41" i="5"/>
  <c r="B24" i="3" s="1"/>
  <c r="C17" i="3"/>
  <c r="C36" i="5"/>
  <c r="C19" i="3" s="1"/>
  <c r="C38" i="5"/>
  <c r="C21" i="3" s="1"/>
  <c r="C35" i="5"/>
  <c r="C18" i="3" s="1"/>
  <c r="C37" i="5"/>
  <c r="C20" i="3" s="1"/>
  <c r="C12" i="5"/>
  <c r="B16" i="5"/>
  <c r="B18" i="5"/>
  <c r="B12" i="5"/>
  <c r="B17" i="5"/>
  <c r="B15" i="5"/>
  <c r="B42" i="5"/>
  <c r="B25" i="3" s="1"/>
  <c r="B17" i="3"/>
  <c r="B35" i="5"/>
  <c r="B18" i="3" s="1"/>
  <c r="B30" i="5"/>
  <c r="B13" i="3" s="1"/>
  <c r="B37" i="5"/>
  <c r="B20" i="3" s="1"/>
  <c r="B38" i="5"/>
  <c r="B21" i="3" s="1"/>
  <c r="B36" i="5"/>
  <c r="B19" i="3" s="1"/>
  <c r="B37" i="3"/>
  <c r="B55" i="5"/>
  <c r="B38" i="3" s="1"/>
  <c r="B56" i="5"/>
  <c r="B39" i="3" s="1"/>
  <c r="B51" i="5"/>
  <c r="B34" i="3" s="1"/>
  <c r="B57" i="5"/>
  <c r="B40" i="3" s="1"/>
  <c r="B53" i="5"/>
  <c r="B36" i="3" s="1"/>
  <c r="B58" i="5"/>
  <c r="B41" i="3" s="1"/>
  <c r="C11" i="5"/>
  <c r="B13" i="5"/>
  <c r="B7" i="3"/>
  <c r="B23" i="5"/>
  <c r="B6" i="3" s="1"/>
  <c r="B22" i="5"/>
  <c r="B5" i="3" s="1"/>
  <c r="B26" i="5"/>
  <c r="B9" i="3" s="1"/>
  <c r="B28" i="5"/>
  <c r="B11" i="3" s="1"/>
  <c r="B25" i="5"/>
  <c r="B8" i="3" s="1"/>
  <c r="B27" i="5"/>
  <c r="B10" i="3" s="1"/>
  <c r="B32" i="5"/>
  <c r="B15" i="3" s="1"/>
  <c r="C58" i="5"/>
  <c r="C41" i="3" s="1"/>
  <c r="C10" i="5"/>
  <c r="C55" i="5"/>
  <c r="C38" i="3" s="1"/>
</calcChain>
</file>

<file path=xl/sharedStrings.xml><?xml version="1.0" encoding="utf-8"?>
<sst xmlns="http://schemas.openxmlformats.org/spreadsheetml/2006/main" count="132" uniqueCount="99">
  <si>
    <t>Year</t>
  </si>
  <si>
    <t>Coal</t>
  </si>
  <si>
    <t>Lignite</t>
  </si>
  <si>
    <t>Natural gas</t>
  </si>
  <si>
    <t>Crude oil</t>
  </si>
  <si>
    <t>Uranium oxide</t>
  </si>
  <si>
    <t>Woody biomass</t>
  </si>
  <si>
    <t>ktoe</t>
  </si>
  <si>
    <t>Production (incl.recovery of products)</t>
  </si>
  <si>
    <t>Solids</t>
  </si>
  <si>
    <t>Oil</t>
  </si>
  <si>
    <t>Nuclear</t>
  </si>
  <si>
    <t>Renewable energy sources</t>
  </si>
  <si>
    <t>Hydro</t>
  </si>
  <si>
    <t>Biomass &amp; Waste</t>
  </si>
  <si>
    <t>Wind</t>
  </si>
  <si>
    <t>Solar and others</t>
  </si>
  <si>
    <t>Geothermal</t>
  </si>
  <si>
    <t>Assumptions</t>
  </si>
  <si>
    <t>TJ</t>
  </si>
  <si>
    <t>ktoe_TJ_conversion</t>
  </si>
  <si>
    <t>Percentage of solids that is coal</t>
  </si>
  <si>
    <t>Percentage of solids that is lignite</t>
  </si>
  <si>
    <t>Percentage of Biomass &amp; Waste that is Biomass</t>
  </si>
  <si>
    <t>Cover sheet</t>
  </si>
  <si>
    <t>Document</t>
  </si>
  <si>
    <t>Version #</t>
  </si>
  <si>
    <t>Country</t>
  </si>
  <si>
    <t>Year data</t>
  </si>
  <si>
    <t>Date</t>
  </si>
  <si>
    <t>Author</t>
  </si>
  <si>
    <t>Organisation</t>
  </si>
  <si>
    <t>Quintel Intelligence</t>
  </si>
  <si>
    <t>Legend</t>
  </si>
  <si>
    <t>Cells</t>
  </si>
  <si>
    <t>Intermediate (calculation)</t>
  </si>
  <si>
    <t>Result</t>
  </si>
  <si>
    <t>Manual input</t>
  </si>
  <si>
    <t>Reference to manual input or data input</t>
  </si>
  <si>
    <t>Sheets</t>
  </si>
  <si>
    <t>Introductory</t>
  </si>
  <si>
    <t>Dashboard</t>
  </si>
  <si>
    <t>Research data</t>
  </si>
  <si>
    <t>Sources</t>
  </si>
  <si>
    <t>Results</t>
  </si>
  <si>
    <t>Main calculations</t>
  </si>
  <si>
    <t>Additional calculations</t>
  </si>
  <si>
    <t>Output to csv</t>
  </si>
  <si>
    <t>Comments</t>
  </si>
  <si>
    <t>Primary production source analysis</t>
  </si>
  <si>
    <t>Changelog</t>
  </si>
  <si>
    <t>Changes</t>
  </si>
  <si>
    <t>Version</t>
  </si>
  <si>
    <t>Contents</t>
  </si>
  <si>
    <t>Sheet</t>
  </si>
  <si>
    <t>Description</t>
  </si>
  <si>
    <t>Information about this document and a legend to sheet and cell formatting</t>
  </si>
  <si>
    <t>Documentation of the changes to this analysis</t>
  </si>
  <si>
    <t>Index with description of all the sheets in this analysis</t>
  </si>
  <si>
    <t>Introduction</t>
  </si>
  <si>
    <t>Introduction to the Energy Transition Model (ETM) and the Primary production analysis</t>
  </si>
  <si>
    <t>Description of the modeling and country-specific assumptions for this analysis</t>
  </si>
  <si>
    <t>On the dashboard the country-specific assumptions can be changed manually. It also shows the most important checks</t>
  </si>
  <si>
    <t>This analysis</t>
  </si>
  <si>
    <t>Steps to perform the analysis</t>
  </si>
  <si>
    <t>The Energy Transition Model</t>
  </si>
  <si>
    <t>In short, the Energy Transition Model (ETM) is a calculation engine with a front-end interface that is free to be used by private, commercial and public users. The engine exists of a collection of 'converters' that are linked together to approach the structure of an energy system at the country level. It includes for example import, export, electricity and heat production, final demand sectors and useful demand applications. Every converter has technical and economical specifications that were determined from scientific and technical literature. The model's initial configuration is mostly based on 2010 statistical data. Useful demand of energy applications is gathered from other sources. By moving sliders in a front end dashboard, representing energy use, energy production or socio-economical parameters, the calculation engine determines the results from these actions in a future scenario and communicates them to the user.</t>
  </si>
  <si>
    <t>Notes</t>
  </si>
  <si>
    <t>On this page, a description of the assumptions for this analysis is given. There are two types of assumptions, Modeling assumptions and Country specific assumptions. The modeling assumptions form the structure or framework to be able to do this analysis. They are the same for every country. The country specific assumptions must be entered by the researcher on the Dashboard page and are used to correctly adjust the calculations to the specific country. The fuels table gives an overview of how the ETM fuel carriers correspond with the IEA fuel carriers.</t>
  </si>
  <si>
    <t>Modeling assumptions</t>
  </si>
  <si>
    <t>Type</t>
  </si>
  <si>
    <t>Assumption</t>
  </si>
  <si>
    <t>Comment</t>
  </si>
  <si>
    <t>Country specific assumptions</t>
  </si>
  <si>
    <t>Proposed source</t>
  </si>
  <si>
    <t>Initial document</t>
  </si>
  <si>
    <t>Joris Berkhout</t>
  </si>
  <si>
    <t>timecurves</t>
  </si>
  <si>
    <t>Output data from this source analysis. The timecurves as required for the 3_primary_production_analysis</t>
  </si>
  <si>
    <t>interpolation</t>
  </si>
  <si>
    <t>conversion_to_TJ</t>
  </si>
  <si>
    <t>4. Check the interpolation sheet for the results.</t>
  </si>
  <si>
    <t>5. Use the export timecurves button in the Dashboard to export the timecurves in the ETM format.</t>
  </si>
  <si>
    <t>Source</t>
  </si>
  <si>
    <t>Conversion of the original PRIMES data from ktoe to TJ</t>
  </si>
  <si>
    <t>Interpolation of the PRIMES data for years not reported in PRIMES</t>
  </si>
  <si>
    <t>This analysis is used to transform the PRIMES forecast for Production of carriers into timecurves that can be used by the ETM.</t>
  </si>
  <si>
    <t>1. Copy the PRIMES data in the dashboard.</t>
  </si>
  <si>
    <t>2. PRIMES reports forecasts for Solids while the ETM requires coal and lignite. Make an assumption on the percentage of Solids that is Coal and Lignite.</t>
  </si>
  <si>
    <t>3. PRIMES reports forecasts for Biomass and waste while the ETM needs Woody Biomass. Make an assumption on the percentage of Woody Biomass in Biomass and waste.</t>
  </si>
  <si>
    <t>The PRIMES data gives forecasts of the primary production of several carriers in 5 year intervals. We have linearly interpolated the data between the 5 year datapoints.</t>
  </si>
  <si>
    <t>On this page PRIMES data and the country specific assumptions must be entered, with the source of the data when applicable.</t>
  </si>
  <si>
    <t>The table on this page displays the PRIMES data converted from ktoe to TJ.</t>
  </si>
  <si>
    <t>This page presents the values from PRIMES (in red). These values are scaled by the corresponding dashboard items. PRIMES only reports data for 5 year intervals. We have linearly interpolated the data between these data points.</t>
  </si>
  <si>
    <t>Based on the 2012 IEA Energy Balances</t>
  </si>
  <si>
    <t>uk</t>
  </si>
  <si>
    <t>Based on the 2012 IEA Energy Balances ( Primary solid biofuels / (Industrial waste + Municipal waste (renewable) + Primary solid biofuels) )</t>
  </si>
  <si>
    <t>The values for 2010 and 2012 are based on the IEA energy balance.</t>
  </si>
  <si>
    <t>Production (incl.recovery of products) (ktoe)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</si>
</sst>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General_)"/>
    <numFmt numFmtId="165" formatCode="0_)"/>
    <numFmt numFmtId="166" formatCode="[$-409]mmmm\ d\,\ yyyy;@"/>
    <numFmt numFmtId="167" formatCode="0.000000"/>
  </numFmts>
  <fonts count="25" x14ac:knownFonts="1">
    <font>
      <sz val="12"/>
      <color theme="1"/>
      <name val="Calibri"/>
      <family val="2"/>
      <scheme val="minor"/>
    </font>
    <font>
      <sz val="12"/>
      <color theme="1"/>
      <name val="Calibri"/>
      <family val="2"/>
      <scheme val="minor"/>
    </font>
    <font>
      <sz val="12"/>
      <color rgb="FFFF0000"/>
      <name val="Calibri"/>
      <family val="2"/>
      <scheme val="minor"/>
    </font>
    <font>
      <sz val="10"/>
      <name val="Courier"/>
      <family val="3"/>
    </font>
    <font>
      <b/>
      <sz val="8"/>
      <name val="Arial"/>
      <family val="2"/>
      <charset val="161"/>
    </font>
    <font>
      <sz val="8"/>
      <name val="Arial"/>
      <family val="2"/>
      <charset val="161"/>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b/>
      <sz val="16"/>
      <color theme="3"/>
      <name val="Calibri"/>
      <family val="2"/>
      <scheme val="minor"/>
    </font>
    <font>
      <b/>
      <sz val="12"/>
      <color rgb="FF000000"/>
      <name val="Calibri"/>
      <family val="2"/>
      <scheme val="minor"/>
    </font>
    <font>
      <i/>
      <sz val="12"/>
      <color theme="1"/>
      <name val="Calibri"/>
      <family val="2"/>
      <scheme val="minor"/>
    </font>
    <font>
      <b/>
      <sz val="11"/>
      <color rgb="FF000000"/>
      <name val="Calibri"/>
      <family val="2"/>
      <scheme val="minor"/>
    </font>
    <font>
      <sz val="12"/>
      <color rgb="FF000000"/>
      <name val="Calibri"/>
      <family val="2"/>
      <scheme val="minor"/>
    </font>
    <font>
      <sz val="12"/>
      <name val="Calibri"/>
      <family val="2"/>
      <scheme val="minor"/>
    </font>
    <font>
      <b/>
      <sz val="12"/>
      <name val="Calibri"/>
      <family val="2"/>
      <scheme val="minor"/>
    </font>
    <font>
      <b/>
      <sz val="12"/>
      <color rgb="FFFF0000"/>
      <name val="Calibri"/>
      <family val="2"/>
      <scheme val="minor"/>
    </font>
    <font>
      <u/>
      <sz val="12"/>
      <name val="Calibri"/>
      <family val="2"/>
      <scheme val="minor"/>
    </font>
    <font>
      <i/>
      <sz val="12"/>
      <name val="Calibri"/>
      <family val="2"/>
      <scheme val="minor"/>
    </font>
    <font>
      <b/>
      <sz val="16"/>
      <name val="Calibri"/>
      <family val="2"/>
      <scheme val="minor"/>
    </font>
    <font>
      <sz val="12"/>
      <color theme="0" tint="-0.499984740745262"/>
      <name val="Calibri"/>
      <family val="2"/>
      <scheme val="minor"/>
    </font>
    <font>
      <b/>
      <sz val="12"/>
      <name val="Arial"/>
      <family val="2"/>
      <charset val="161"/>
    </font>
    <font>
      <sz val="12"/>
      <name val="Arial"/>
      <family val="2"/>
      <charset val="161"/>
    </font>
    <font>
      <sz val="12"/>
      <color rgb="FF0000FF"/>
      <name val="Calibri"/>
      <family val="2"/>
      <scheme val="minor"/>
    </font>
  </fonts>
  <fills count="13">
    <fill>
      <patternFill patternType="none"/>
    </fill>
    <fill>
      <patternFill patternType="gray125"/>
    </fill>
    <fill>
      <patternFill patternType="solid">
        <fgColor theme="9" tint="0.59999389629810485"/>
        <bgColor indexed="64"/>
      </patternFill>
    </fill>
    <fill>
      <patternFill patternType="solid">
        <fgColor theme="0"/>
        <bgColor indexed="64"/>
      </patternFill>
    </fill>
    <fill>
      <patternFill patternType="solid">
        <fgColor theme="0"/>
        <bgColor rgb="FF000000"/>
      </patternFill>
    </fill>
    <fill>
      <patternFill patternType="solid">
        <fgColor theme="2"/>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7" tint="0.39997558519241921"/>
        <bgColor indexed="64"/>
      </patternFill>
    </fill>
  </fills>
  <borders count="27">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top/>
      <bottom style="thin">
        <color auto="1"/>
      </bottom>
      <diagonal/>
    </border>
    <border>
      <left/>
      <right style="medium">
        <color auto="1"/>
      </right>
      <top/>
      <bottom style="thin">
        <color auto="1"/>
      </bottom>
      <diagonal/>
    </border>
    <border>
      <left style="medium">
        <color auto="1"/>
      </left>
      <right/>
      <top/>
      <bottom style="dotted">
        <color auto="1"/>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s>
  <cellStyleXfs count="175">
    <xf numFmtId="0" fontId="0" fillId="0" borderId="0"/>
    <xf numFmtId="164" fontId="3" fillId="0" borderId="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9" fontId="1" fillId="0" borderId="0" applyFon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cellStyleXfs>
  <cellXfs count="162">
    <xf numFmtId="0" fontId="0" fillId="0" borderId="0" xfId="0"/>
    <xf numFmtId="0" fontId="0" fillId="0" borderId="0" xfId="0" applyFill="1"/>
    <xf numFmtId="0" fontId="2" fillId="0" borderId="0" xfId="0" applyFont="1" applyFill="1"/>
    <xf numFmtId="164" fontId="5" fillId="2" borderId="0" xfId="1" applyFont="1" applyFill="1" applyBorder="1"/>
    <xf numFmtId="165" fontId="4" fillId="2" borderId="4" xfId="1" applyNumberFormat="1" applyFont="1" applyFill="1" applyBorder="1"/>
    <xf numFmtId="165" fontId="4" fillId="2" borderId="5" xfId="1" applyNumberFormat="1" applyFont="1" applyFill="1" applyBorder="1"/>
    <xf numFmtId="165" fontId="4" fillId="2" borderId="6" xfId="1" applyNumberFormat="1" applyFont="1" applyFill="1" applyBorder="1"/>
    <xf numFmtId="165" fontId="5" fillId="2" borderId="1" xfId="1" applyNumberFormat="1" applyFont="1" applyFill="1" applyBorder="1"/>
    <xf numFmtId="165" fontId="5" fillId="2" borderId="0" xfId="1" applyNumberFormat="1" applyFont="1" applyFill="1" applyBorder="1"/>
    <xf numFmtId="165" fontId="5" fillId="2" borderId="2" xfId="1" applyNumberFormat="1" applyFont="1" applyFill="1" applyBorder="1"/>
    <xf numFmtId="165" fontId="5" fillId="2" borderId="7" xfId="1" applyNumberFormat="1" applyFont="1" applyFill="1" applyBorder="1"/>
    <xf numFmtId="165" fontId="5" fillId="2" borderId="8" xfId="1" applyNumberFormat="1" applyFont="1" applyFill="1" applyBorder="1"/>
    <xf numFmtId="165" fontId="5" fillId="2" borderId="9" xfId="1" applyNumberFormat="1" applyFont="1" applyFill="1" applyBorder="1"/>
    <xf numFmtId="10" fontId="0" fillId="0" borderId="3" xfId="0" applyNumberFormat="1" applyBorder="1"/>
    <xf numFmtId="10" fontId="0" fillId="0" borderId="0" xfId="0" applyNumberFormat="1" applyBorder="1"/>
    <xf numFmtId="0" fontId="10" fillId="3" borderId="0" xfId="0" applyFont="1" applyFill="1"/>
    <xf numFmtId="0" fontId="0" fillId="3" borderId="0" xfId="0" applyFill="1"/>
    <xf numFmtId="0" fontId="9" fillId="3" borderId="10" xfId="0" applyFont="1" applyFill="1" applyBorder="1"/>
    <xf numFmtId="0" fontId="0" fillId="3" borderId="11" xfId="0" applyFill="1" applyBorder="1"/>
    <xf numFmtId="0" fontId="0" fillId="3" borderId="12" xfId="0" applyFill="1" applyBorder="1"/>
    <xf numFmtId="0" fontId="9" fillId="3" borderId="0" xfId="0" applyFont="1" applyFill="1" applyBorder="1"/>
    <xf numFmtId="0" fontId="0" fillId="3" borderId="0" xfId="0" applyFill="1" applyBorder="1"/>
    <xf numFmtId="0" fontId="11" fillId="4" borderId="13" xfId="0" applyFont="1" applyFill="1" applyBorder="1" applyAlignment="1">
      <alignment vertical="center"/>
    </xf>
    <xf numFmtId="0" fontId="0" fillId="3" borderId="0" xfId="0" applyFill="1" applyBorder="1" applyAlignment="1">
      <alignment horizontal="left"/>
    </xf>
    <xf numFmtId="0" fontId="0" fillId="3" borderId="14" xfId="0" applyFill="1" applyBorder="1"/>
    <xf numFmtId="166" fontId="0" fillId="3" borderId="0" xfId="0" applyNumberFormat="1" applyFill="1" applyBorder="1" applyAlignment="1">
      <alignment horizontal="left"/>
    </xf>
    <xf numFmtId="0" fontId="11" fillId="4" borderId="15" xfId="0" applyFont="1" applyFill="1" applyBorder="1" applyAlignment="1">
      <alignment vertical="center"/>
    </xf>
    <xf numFmtId="0" fontId="0" fillId="3" borderId="16" xfId="0" applyFill="1" applyBorder="1"/>
    <xf numFmtId="0" fontId="0" fillId="3" borderId="17" xfId="0" applyFill="1" applyBorder="1"/>
    <xf numFmtId="0" fontId="9" fillId="3" borderId="13" xfId="0" applyFont="1" applyFill="1" applyBorder="1"/>
    <xf numFmtId="0" fontId="12" fillId="3" borderId="0" xfId="0" applyFont="1" applyFill="1" applyBorder="1"/>
    <xf numFmtId="0" fontId="0" fillId="3" borderId="3" xfId="0" applyFill="1" applyBorder="1"/>
    <xf numFmtId="0" fontId="0" fillId="5" borderId="0" xfId="0" applyFill="1" applyBorder="1"/>
    <xf numFmtId="0" fontId="0" fillId="6" borderId="0" xfId="0" applyFill="1" applyBorder="1"/>
    <xf numFmtId="0" fontId="0" fillId="7" borderId="0" xfId="0" applyFill="1" applyBorder="1"/>
    <xf numFmtId="0" fontId="0" fillId="8" borderId="0" xfId="0" applyFill="1" applyBorder="1"/>
    <xf numFmtId="0" fontId="0" fillId="3" borderId="13" xfId="0" applyFill="1" applyBorder="1"/>
    <xf numFmtId="0" fontId="0" fillId="9" borderId="0" xfId="0" applyFill="1" applyBorder="1"/>
    <xf numFmtId="0" fontId="0" fillId="10" borderId="0" xfId="0" applyFill="1" applyBorder="1"/>
    <xf numFmtId="0" fontId="0" fillId="11" borderId="0" xfId="0" applyFill="1" applyBorder="1"/>
    <xf numFmtId="0" fontId="0" fillId="12" borderId="0" xfId="0" applyFill="1" applyBorder="1"/>
    <xf numFmtId="0" fontId="0" fillId="3" borderId="15" xfId="0" applyFill="1" applyBorder="1"/>
    <xf numFmtId="0" fontId="13" fillId="4" borderId="10" xfId="0" applyFont="1" applyFill="1" applyBorder="1" applyAlignment="1">
      <alignment vertical="center"/>
    </xf>
    <xf numFmtId="0" fontId="9" fillId="3" borderId="11" xfId="0" applyFont="1" applyFill="1" applyBorder="1"/>
    <xf numFmtId="0" fontId="9" fillId="3" borderId="12" xfId="0" applyFont="1" applyFill="1" applyBorder="1"/>
    <xf numFmtId="0" fontId="13" fillId="4" borderId="13" xfId="0" applyFont="1" applyFill="1" applyBorder="1" applyAlignment="1">
      <alignment vertical="center"/>
    </xf>
    <xf numFmtId="0" fontId="9" fillId="3" borderId="14" xfId="0" applyFont="1" applyFill="1" applyBorder="1"/>
    <xf numFmtId="166" fontId="14" fillId="0" borderId="13" xfId="0" applyNumberFormat="1" applyFont="1" applyFill="1" applyBorder="1" applyAlignment="1">
      <alignment horizontal="left" vertical="center"/>
    </xf>
    <xf numFmtId="0" fontId="0" fillId="0" borderId="0" xfId="0" applyFill="1" applyBorder="1" applyAlignment="1">
      <alignment vertical="center"/>
    </xf>
    <xf numFmtId="2" fontId="0" fillId="0" borderId="14" xfId="0" applyNumberFormat="1" applyFill="1" applyBorder="1" applyAlignment="1">
      <alignment vertical="center"/>
    </xf>
    <xf numFmtId="166" fontId="0" fillId="0" borderId="13" xfId="0" applyNumberFormat="1" applyFill="1" applyBorder="1" applyAlignment="1">
      <alignment horizontal="left" vertical="center"/>
    </xf>
    <xf numFmtId="0" fontId="0" fillId="0" borderId="0" xfId="0" applyFill="1" applyBorder="1" applyAlignment="1">
      <alignment vertical="center" wrapText="1"/>
    </xf>
    <xf numFmtId="166" fontId="0" fillId="0" borderId="13" xfId="0" applyNumberFormat="1" applyFill="1" applyBorder="1" applyAlignment="1">
      <alignment horizontal="left"/>
    </xf>
    <xf numFmtId="0" fontId="0" fillId="0" borderId="0" xfId="0" applyFill="1" applyBorder="1" applyAlignment="1">
      <alignment wrapText="1"/>
    </xf>
    <xf numFmtId="166" fontId="0" fillId="0" borderId="13" xfId="0" applyNumberFormat="1" applyFill="1" applyBorder="1" applyAlignment="1">
      <alignment horizontal="left" vertical="top"/>
    </xf>
    <xf numFmtId="2" fontId="0" fillId="0" borderId="14" xfId="0" applyNumberFormat="1" applyFill="1" applyBorder="1" applyAlignment="1">
      <alignment vertical="top"/>
    </xf>
    <xf numFmtId="166" fontId="14" fillId="0" borderId="13" xfId="0" applyNumberFormat="1" applyFont="1" applyBorder="1" applyAlignment="1">
      <alignment horizontal="left" vertical="top"/>
    </xf>
    <xf numFmtId="0" fontId="14" fillId="0" borderId="0" xfId="0" applyFont="1" applyAlignment="1">
      <alignment wrapText="1"/>
    </xf>
    <xf numFmtId="2" fontId="14" fillId="0" borderId="14" xfId="0" applyNumberFormat="1" applyFont="1" applyBorder="1" applyAlignment="1">
      <alignment vertical="top"/>
    </xf>
    <xf numFmtId="166" fontId="0" fillId="3" borderId="15" xfId="0" applyNumberFormat="1" applyFill="1" applyBorder="1" applyAlignment="1">
      <alignment horizontal="left" vertical="center"/>
    </xf>
    <xf numFmtId="0" fontId="0" fillId="3" borderId="16" xfId="0" applyFill="1" applyBorder="1" applyAlignment="1">
      <alignment vertical="center"/>
    </xf>
    <xf numFmtId="2" fontId="0" fillId="3" borderId="17" xfId="0" applyNumberFormat="1" applyFill="1" applyBorder="1" applyAlignment="1">
      <alignment vertical="center"/>
    </xf>
    <xf numFmtId="2" fontId="0" fillId="3" borderId="0" xfId="0" applyNumberFormat="1" applyFill="1"/>
    <xf numFmtId="0" fontId="9" fillId="3" borderId="10" xfId="0" applyFont="1" applyFill="1" applyBorder="1" applyAlignment="1">
      <alignment vertical="center"/>
    </xf>
    <xf numFmtId="0" fontId="9" fillId="3" borderId="18" xfId="0" applyFont="1" applyFill="1" applyBorder="1" applyAlignment="1">
      <alignment vertical="center" wrapText="1"/>
    </xf>
    <xf numFmtId="0" fontId="0" fillId="5" borderId="19" xfId="0" applyFont="1" applyFill="1" applyBorder="1" applyAlignment="1">
      <alignment vertical="center"/>
    </xf>
    <xf numFmtId="0" fontId="15" fillId="0" borderId="19" xfId="0" applyFont="1" applyFill="1" applyBorder="1" applyAlignment="1">
      <alignment vertical="center" wrapText="1"/>
    </xf>
    <xf numFmtId="0" fontId="0" fillId="3" borderId="0" xfId="0" applyFill="1" applyAlignment="1">
      <alignment vertical="center"/>
    </xf>
    <xf numFmtId="0" fontId="0" fillId="5" borderId="19" xfId="0" applyFill="1" applyBorder="1" applyAlignment="1">
      <alignment vertical="center"/>
    </xf>
    <xf numFmtId="0" fontId="15" fillId="0" borderId="14" xfId="0" applyFont="1" applyFill="1" applyBorder="1" applyAlignment="1">
      <alignment vertical="center" wrapText="1"/>
    </xf>
    <xf numFmtId="0" fontId="0" fillId="6" borderId="19" xfId="0" applyFill="1" applyBorder="1" applyAlignment="1">
      <alignment vertical="center"/>
    </xf>
    <xf numFmtId="0" fontId="0" fillId="0" borderId="19" xfId="0" applyFill="1" applyBorder="1" applyAlignment="1">
      <alignment vertical="center" wrapText="1"/>
    </xf>
    <xf numFmtId="0" fontId="15" fillId="10" borderId="19" xfId="0" applyFont="1" applyFill="1" applyBorder="1" applyAlignment="1">
      <alignment vertical="center"/>
    </xf>
    <xf numFmtId="0" fontId="15" fillId="12" borderId="19" xfId="0" applyFont="1" applyFill="1" applyBorder="1" applyAlignment="1">
      <alignment vertical="center"/>
    </xf>
    <xf numFmtId="0" fontId="16" fillId="3" borderId="18" xfId="0" applyFont="1" applyFill="1" applyBorder="1"/>
    <xf numFmtId="0" fontId="16" fillId="3" borderId="20" xfId="0" applyFont="1" applyFill="1" applyBorder="1"/>
    <xf numFmtId="0" fontId="15" fillId="3" borderId="20" xfId="0" applyFont="1" applyFill="1" applyBorder="1" applyAlignment="1">
      <alignment horizontal="left" vertical="top" wrapText="1"/>
    </xf>
    <xf numFmtId="0" fontId="15" fillId="3" borderId="21" xfId="0" applyFont="1" applyFill="1" applyBorder="1" applyAlignment="1">
      <alignment horizontal="left" vertical="top" wrapText="1"/>
    </xf>
    <xf numFmtId="0" fontId="15" fillId="0" borderId="0" xfId="0" applyFont="1" applyBorder="1" applyAlignment="1">
      <alignment horizontal="left" vertical="top" wrapText="1"/>
    </xf>
    <xf numFmtId="0" fontId="15" fillId="3" borderId="20" xfId="0" applyFont="1" applyFill="1" applyBorder="1"/>
    <xf numFmtId="0" fontId="2" fillId="3" borderId="21" xfId="0" applyFont="1" applyFill="1" applyBorder="1"/>
    <xf numFmtId="0" fontId="2" fillId="3" borderId="0" xfId="0" applyFont="1" applyFill="1"/>
    <xf numFmtId="0" fontId="9" fillId="3" borderId="18" xfId="0" applyFont="1" applyFill="1" applyBorder="1"/>
    <xf numFmtId="0" fontId="9" fillId="3" borderId="20" xfId="0" applyFont="1" applyFill="1" applyBorder="1"/>
    <xf numFmtId="0" fontId="15" fillId="3" borderId="20" xfId="0" applyFont="1" applyFill="1" applyBorder="1" applyAlignment="1">
      <alignment vertical="top" wrapText="1"/>
    </xf>
    <xf numFmtId="0" fontId="15" fillId="3" borderId="21" xfId="0" applyFont="1" applyFill="1" applyBorder="1" applyAlignment="1">
      <alignment vertical="top" wrapText="1"/>
    </xf>
    <xf numFmtId="0" fontId="15" fillId="3" borderId="0" xfId="0" applyFont="1" applyFill="1"/>
    <xf numFmtId="0" fontId="16" fillId="3" borderId="10" xfId="0" applyFont="1" applyFill="1" applyBorder="1"/>
    <xf numFmtId="0" fontId="15" fillId="3" borderId="12" xfId="0" applyFont="1" applyFill="1" applyBorder="1"/>
    <xf numFmtId="0" fontId="16" fillId="3" borderId="4" xfId="0" applyFont="1" applyFill="1" applyBorder="1"/>
    <xf numFmtId="0" fontId="16" fillId="3" borderId="5" xfId="0" applyFont="1" applyFill="1" applyBorder="1"/>
    <xf numFmtId="0" fontId="15" fillId="3" borderId="6" xfId="0" applyFont="1" applyFill="1" applyBorder="1"/>
    <xf numFmtId="0" fontId="15" fillId="3" borderId="1" xfId="0" applyFont="1" applyFill="1" applyBorder="1"/>
    <xf numFmtId="0" fontId="15" fillId="3" borderId="0" xfId="0" applyFont="1" applyFill="1" applyBorder="1"/>
    <xf numFmtId="0" fontId="15" fillId="3" borderId="2" xfId="0" applyFont="1" applyFill="1" applyBorder="1"/>
    <xf numFmtId="0" fontId="17" fillId="3" borderId="0" xfId="0" applyFont="1" applyFill="1"/>
    <xf numFmtId="0" fontId="16" fillId="3" borderId="22" xfId="0" applyFont="1" applyFill="1" applyBorder="1"/>
    <xf numFmtId="0" fontId="16" fillId="3" borderId="16" xfId="0" applyFont="1" applyFill="1" applyBorder="1"/>
    <xf numFmtId="0" fontId="16" fillId="3" borderId="23" xfId="0" applyFont="1" applyFill="1" applyBorder="1"/>
    <xf numFmtId="0" fontId="18" fillId="3" borderId="1" xfId="0" applyFont="1" applyFill="1" applyBorder="1"/>
    <xf numFmtId="0" fontId="16" fillId="3" borderId="0" xfId="0" applyFont="1" applyFill="1" applyBorder="1"/>
    <xf numFmtId="0" fontId="16" fillId="3" borderId="2" xfId="0" applyFont="1" applyFill="1" applyBorder="1"/>
    <xf numFmtId="0" fontId="15" fillId="3" borderId="1" xfId="0" applyFont="1" applyFill="1" applyBorder="1" applyAlignment="1">
      <alignment vertical="top"/>
    </xf>
    <xf numFmtId="0" fontId="15" fillId="0" borderId="0" xfId="0" applyFont="1" applyFill="1" applyBorder="1" applyAlignment="1">
      <alignment vertical="top" wrapText="1"/>
    </xf>
    <xf numFmtId="0" fontId="2" fillId="3" borderId="1" xfId="0" applyFont="1" applyFill="1" applyBorder="1"/>
    <xf numFmtId="0" fontId="2" fillId="0" borderId="2" xfId="0" applyFont="1" applyFill="1" applyBorder="1" applyAlignment="1">
      <alignment vertical="top"/>
    </xf>
    <xf numFmtId="167" fontId="0" fillId="3" borderId="0" xfId="0" applyNumberFormat="1" applyFill="1"/>
    <xf numFmtId="0" fontId="2" fillId="3" borderId="7" xfId="0" applyFont="1" applyFill="1" applyBorder="1"/>
    <xf numFmtId="0" fontId="2" fillId="3" borderId="8" xfId="0" applyFont="1" applyFill="1" applyBorder="1"/>
    <xf numFmtId="0" fontId="2" fillId="3" borderId="9" xfId="0" applyFont="1" applyFill="1" applyBorder="1"/>
    <xf numFmtId="0" fontId="19" fillId="3" borderId="0" xfId="0" applyFont="1" applyFill="1" applyBorder="1"/>
    <xf numFmtId="0" fontId="15" fillId="0" borderId="0" xfId="0" applyFont="1" applyFill="1" applyBorder="1"/>
    <xf numFmtId="0" fontId="15" fillId="0" borderId="2" xfId="0" applyFont="1" applyFill="1" applyBorder="1" applyAlignment="1">
      <alignment vertical="top"/>
    </xf>
    <xf numFmtId="0" fontId="15" fillId="3" borderId="7" xfId="0" applyFont="1" applyFill="1" applyBorder="1"/>
    <xf numFmtId="0" fontId="15" fillId="3" borderId="8" xfId="0" applyFont="1" applyFill="1" applyBorder="1"/>
    <xf numFmtId="0" fontId="15" fillId="3" borderId="9" xfId="0" applyFont="1" applyFill="1" applyBorder="1"/>
    <xf numFmtId="0" fontId="0" fillId="3" borderId="0" xfId="0" applyFill="1" applyAlignment="1">
      <alignment horizontal="center"/>
    </xf>
    <xf numFmtId="0" fontId="20" fillId="3" borderId="0" xfId="0" applyFont="1" applyFill="1"/>
    <xf numFmtId="0" fontId="15" fillId="3" borderId="0" xfId="0" applyFont="1" applyFill="1" applyAlignment="1">
      <alignment horizontal="center"/>
    </xf>
    <xf numFmtId="0" fontId="16" fillId="3" borderId="10" xfId="0" applyFont="1" applyFill="1" applyBorder="1" applyAlignment="1">
      <alignment horizontal="left"/>
    </xf>
    <xf numFmtId="0" fontId="15" fillId="3" borderId="11" xfId="0" applyFont="1" applyFill="1" applyBorder="1" applyAlignment="1">
      <alignment horizontal="left"/>
    </xf>
    <xf numFmtId="0" fontId="15" fillId="3" borderId="12" xfId="0" applyFont="1" applyFill="1" applyBorder="1" applyAlignment="1">
      <alignment horizontal="left"/>
    </xf>
    <xf numFmtId="0" fontId="15" fillId="3" borderId="0" xfId="0" applyFont="1" applyFill="1" applyBorder="1" applyAlignment="1">
      <alignment vertical="top" wrapText="1"/>
    </xf>
    <xf numFmtId="0" fontId="9" fillId="3" borderId="0" xfId="0" applyFont="1" applyFill="1" applyBorder="1" applyAlignment="1">
      <alignment vertical="top"/>
    </xf>
    <xf numFmtId="0" fontId="21" fillId="3" borderId="0" xfId="0" applyFont="1" applyFill="1" applyBorder="1" applyAlignment="1">
      <alignment vertical="top" wrapText="1"/>
    </xf>
    <xf numFmtId="0" fontId="21" fillId="3" borderId="0" xfId="0" applyFont="1" applyFill="1" applyBorder="1"/>
    <xf numFmtId="0" fontId="21" fillId="3" borderId="0" xfId="0" applyFont="1" applyFill="1" applyBorder="1" applyAlignment="1">
      <alignment vertical="top"/>
    </xf>
    <xf numFmtId="0" fontId="0" fillId="0" borderId="5" xfId="0" applyBorder="1"/>
    <xf numFmtId="0" fontId="0" fillId="0" borderId="6" xfId="0" applyBorder="1"/>
    <xf numFmtId="0" fontId="0" fillId="0" borderId="1" xfId="0" applyBorder="1"/>
    <xf numFmtId="0" fontId="0" fillId="0" borderId="0" xfId="0" applyBorder="1"/>
    <xf numFmtId="0" fontId="0" fillId="0" borderId="2" xfId="0" applyBorder="1"/>
    <xf numFmtId="164" fontId="4" fillId="2" borderId="1" xfId="1" applyFont="1" applyFill="1" applyBorder="1" applyAlignment="1">
      <alignment horizontal="left" indent="1"/>
    </xf>
    <xf numFmtId="164" fontId="4" fillId="2" borderId="0" xfId="1" quotePrefix="1" applyFont="1" applyFill="1" applyBorder="1"/>
    <xf numFmtId="164" fontId="4" fillId="2" borderId="24" xfId="1" applyFont="1" applyFill="1" applyBorder="1" applyAlignment="1">
      <alignment horizontal="left" indent="1"/>
    </xf>
    <xf numFmtId="164" fontId="5" fillId="2" borderId="1" xfId="1" applyFont="1" applyFill="1" applyBorder="1" applyAlignment="1">
      <alignment horizontal="left" indent="2"/>
    </xf>
    <xf numFmtId="164" fontId="5" fillId="2" borderId="1" xfId="1" applyFont="1" applyFill="1" applyBorder="1" applyAlignment="1">
      <alignment horizontal="left" indent="3"/>
    </xf>
    <xf numFmtId="0" fontId="0" fillId="0" borderId="7" xfId="0" applyBorder="1"/>
    <xf numFmtId="0" fontId="0" fillId="0" borderId="8" xfId="0" applyBorder="1"/>
    <xf numFmtId="0" fontId="0" fillId="0" borderId="9" xfId="0" applyBorder="1"/>
    <xf numFmtId="2" fontId="0" fillId="3" borderId="0" xfId="0" applyNumberFormat="1" applyFill="1" applyBorder="1" applyAlignment="1">
      <alignment horizontal="left"/>
    </xf>
    <xf numFmtId="0" fontId="0" fillId="0" borderId="25" xfId="0" applyBorder="1"/>
    <xf numFmtId="0" fontId="0" fillId="0" borderId="26" xfId="0" applyBorder="1"/>
    <xf numFmtId="0" fontId="9" fillId="0" borderId="4" xfId="0" applyFont="1" applyBorder="1"/>
    <xf numFmtId="0" fontId="9" fillId="0" borderId="5" xfId="0" applyFont="1" applyBorder="1"/>
    <xf numFmtId="0" fontId="0" fillId="0" borderId="0" xfId="0" applyFont="1" applyFill="1"/>
    <xf numFmtId="164" fontId="22" fillId="0" borderId="0" xfId="1" applyFont="1" applyFill="1" applyAlignment="1">
      <alignment horizontal="left"/>
    </xf>
    <xf numFmtId="164" fontId="22" fillId="0" borderId="0" xfId="1" applyFont="1" applyFill="1" applyBorder="1" applyAlignment="1">
      <alignment horizontal="left"/>
    </xf>
    <xf numFmtId="164" fontId="23" fillId="0" borderId="0" xfId="1" applyFont="1" applyFill="1" applyBorder="1" applyAlignment="1">
      <alignment horizontal="left"/>
    </xf>
    <xf numFmtId="164" fontId="23" fillId="0" borderId="0" xfId="1" applyFont="1" applyFill="1" applyAlignment="1">
      <alignment horizontal="left"/>
    </xf>
    <xf numFmtId="164" fontId="22" fillId="0" borderId="0" xfId="1" quotePrefix="1" applyFont="1" applyFill="1" applyAlignment="1">
      <alignment horizontal="right"/>
    </xf>
    <xf numFmtId="164" fontId="23" fillId="0" borderId="0" xfId="1" applyFont="1" applyFill="1" applyBorder="1" applyAlignment="1">
      <alignment horizontal="right"/>
    </xf>
    <xf numFmtId="165" fontId="22" fillId="0" borderId="0" xfId="1" applyNumberFormat="1" applyFont="1" applyFill="1" applyBorder="1" applyAlignment="1">
      <alignment horizontal="right"/>
    </xf>
    <xf numFmtId="165" fontId="23" fillId="0" borderId="0" xfId="1" applyNumberFormat="1" applyFont="1" applyFill="1" applyBorder="1" applyAlignment="1">
      <alignment horizontal="right"/>
    </xf>
    <xf numFmtId="0" fontId="9" fillId="0" borderId="0" xfId="0" applyFont="1" applyFill="1"/>
    <xf numFmtId="0" fontId="24" fillId="0" borderId="0" xfId="0" applyFont="1" applyFill="1"/>
    <xf numFmtId="0" fontId="15" fillId="3" borderId="15" xfId="0" applyFont="1" applyFill="1" applyBorder="1" applyAlignment="1">
      <alignment horizontal="left" vertical="top" wrapText="1"/>
    </xf>
    <xf numFmtId="0" fontId="15" fillId="3" borderId="17" xfId="0" applyFont="1" applyFill="1" applyBorder="1" applyAlignment="1">
      <alignment horizontal="left" vertical="top" wrapText="1"/>
    </xf>
    <xf numFmtId="0" fontId="15" fillId="3" borderId="13" xfId="0" applyFont="1" applyFill="1" applyBorder="1" applyAlignment="1">
      <alignment horizontal="left" vertical="top" wrapText="1"/>
    </xf>
    <xf numFmtId="0" fontId="15" fillId="3" borderId="0" xfId="0" applyFont="1" applyFill="1" applyBorder="1" applyAlignment="1">
      <alignment horizontal="left" vertical="top" wrapText="1"/>
    </xf>
    <xf numFmtId="0" fontId="15" fillId="3" borderId="14" xfId="0" applyFont="1" applyFill="1" applyBorder="1" applyAlignment="1">
      <alignment horizontal="left" vertical="top" wrapText="1"/>
    </xf>
    <xf numFmtId="0" fontId="15" fillId="3" borderId="16" xfId="0" applyFont="1" applyFill="1" applyBorder="1" applyAlignment="1">
      <alignment horizontal="left" vertical="top" wrapText="1"/>
    </xf>
  </cellXfs>
  <cellStyles count="175">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Normal" xfId="0" builtinId="0"/>
    <cellStyle name="Normal_AppendixAU" xfId="1" xr:uid="{00000000-0005-0000-0000-0000AD000000}"/>
    <cellStyle name="Percent 2" xfId="162" xr:uid="{00000000-0005-0000-0000-0000AE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interpolation!$A$8</c:f>
              <c:strCache>
                <c:ptCount val="1"/>
                <c:pt idx="0">
                  <c:v>Year</c:v>
                </c:pt>
              </c:strCache>
            </c:strRef>
          </c:tx>
          <c:val>
            <c:numRef>
              <c:f>interpolation!$A$9:$A$59</c:f>
              <c:numCache>
                <c:formatCode>General</c:formatCode>
                <c:ptCount val="51"/>
                <c:pt idx="0">
                  <c:v>2000</c:v>
                </c:pt>
                <c:pt idx="1">
                  <c:v>2001</c:v>
                </c:pt>
                <c:pt idx="2">
                  <c:v>2002</c:v>
                </c:pt>
                <c:pt idx="3">
                  <c:v>2003</c:v>
                </c:pt>
                <c:pt idx="4">
                  <c:v>2004</c:v>
                </c:pt>
                <c:pt idx="5">
                  <c:v>2005</c:v>
                </c:pt>
                <c:pt idx="6">
                  <c:v>2006</c:v>
                </c:pt>
                <c:pt idx="7">
                  <c:v>2007</c:v>
                </c:pt>
                <c:pt idx="8">
                  <c:v>2008</c:v>
                </c:pt>
                <c:pt idx="9">
                  <c:v>2009</c:v>
                </c:pt>
                <c:pt idx="10">
                  <c:v>2010</c:v>
                </c:pt>
                <c:pt idx="11">
                  <c:v>2011</c:v>
                </c:pt>
                <c:pt idx="12">
                  <c:v>2012</c:v>
                </c:pt>
                <c:pt idx="13">
                  <c:v>2013</c:v>
                </c:pt>
                <c:pt idx="14">
                  <c:v>2014</c:v>
                </c:pt>
                <c:pt idx="15">
                  <c:v>2015</c:v>
                </c:pt>
                <c:pt idx="16">
                  <c:v>2016</c:v>
                </c:pt>
                <c:pt idx="17">
                  <c:v>2017</c:v>
                </c:pt>
                <c:pt idx="18">
                  <c:v>2018</c:v>
                </c:pt>
                <c:pt idx="19">
                  <c:v>2019</c:v>
                </c:pt>
                <c:pt idx="20">
                  <c:v>2020</c:v>
                </c:pt>
                <c:pt idx="21">
                  <c:v>2021</c:v>
                </c:pt>
                <c:pt idx="22">
                  <c:v>2022</c:v>
                </c:pt>
                <c:pt idx="23">
                  <c:v>2023</c:v>
                </c:pt>
                <c:pt idx="24">
                  <c:v>2024</c:v>
                </c:pt>
                <c:pt idx="25">
                  <c:v>2025</c:v>
                </c:pt>
                <c:pt idx="26">
                  <c:v>2026</c:v>
                </c:pt>
                <c:pt idx="27">
                  <c:v>2027</c:v>
                </c:pt>
                <c:pt idx="28">
                  <c:v>2028</c:v>
                </c:pt>
                <c:pt idx="29">
                  <c:v>2029</c:v>
                </c:pt>
                <c:pt idx="30">
                  <c:v>2030</c:v>
                </c:pt>
                <c:pt idx="31">
                  <c:v>2031</c:v>
                </c:pt>
                <c:pt idx="32">
                  <c:v>2032</c:v>
                </c:pt>
                <c:pt idx="33">
                  <c:v>2033</c:v>
                </c:pt>
                <c:pt idx="34">
                  <c:v>2034</c:v>
                </c:pt>
                <c:pt idx="35">
                  <c:v>2035</c:v>
                </c:pt>
                <c:pt idx="36">
                  <c:v>2036</c:v>
                </c:pt>
                <c:pt idx="37">
                  <c:v>2037</c:v>
                </c:pt>
                <c:pt idx="38">
                  <c:v>2038</c:v>
                </c:pt>
                <c:pt idx="39">
                  <c:v>2039</c:v>
                </c:pt>
                <c:pt idx="40">
                  <c:v>2040</c:v>
                </c:pt>
                <c:pt idx="41">
                  <c:v>2041</c:v>
                </c:pt>
                <c:pt idx="42">
                  <c:v>2042</c:v>
                </c:pt>
                <c:pt idx="43">
                  <c:v>2043</c:v>
                </c:pt>
                <c:pt idx="44">
                  <c:v>2044</c:v>
                </c:pt>
                <c:pt idx="45">
                  <c:v>2045</c:v>
                </c:pt>
                <c:pt idx="46">
                  <c:v>2046</c:v>
                </c:pt>
                <c:pt idx="47">
                  <c:v>2047</c:v>
                </c:pt>
                <c:pt idx="48">
                  <c:v>2048</c:v>
                </c:pt>
                <c:pt idx="49">
                  <c:v>2049</c:v>
                </c:pt>
                <c:pt idx="50">
                  <c:v>2050</c:v>
                </c:pt>
              </c:numCache>
            </c:numRef>
          </c:val>
          <c:smooth val="0"/>
          <c:extLst>
            <c:ext xmlns:c16="http://schemas.microsoft.com/office/drawing/2014/chart" uri="{C3380CC4-5D6E-409C-BE32-E72D297353CC}">
              <c16:uniqueId val="{00000000-3FB8-AC4A-BA91-8A74053FE7B3}"/>
            </c:ext>
          </c:extLst>
        </c:ser>
        <c:ser>
          <c:idx val="1"/>
          <c:order val="1"/>
          <c:tx>
            <c:strRef>
              <c:f>interpolation!$B$8</c:f>
              <c:strCache>
                <c:ptCount val="1"/>
                <c:pt idx="0">
                  <c:v>Coal</c:v>
                </c:pt>
              </c:strCache>
            </c:strRef>
          </c:tx>
          <c:val>
            <c:numRef>
              <c:f>interpolation!$B$9:$B$59</c:f>
              <c:numCache>
                <c:formatCode>General</c:formatCode>
                <c:ptCount val="51"/>
                <c:pt idx="0">
                  <c:v>781173.14399999985</c:v>
                </c:pt>
                <c:pt idx="1">
                  <c:v>724575.14423999994</c:v>
                </c:pt>
                <c:pt idx="2">
                  <c:v>667977.1444799999</c:v>
                </c:pt>
                <c:pt idx="3">
                  <c:v>611379.14471999998</c:v>
                </c:pt>
                <c:pt idx="4">
                  <c:v>554781.14495999995</c:v>
                </c:pt>
                <c:pt idx="5">
                  <c:v>498183.14520000003</c:v>
                </c:pt>
                <c:pt idx="6">
                  <c:v>490918.11816000001</c:v>
                </c:pt>
                <c:pt idx="7">
                  <c:v>483653.09112</c:v>
                </c:pt>
                <c:pt idx="8">
                  <c:v>476388.06408000004</c:v>
                </c:pt>
                <c:pt idx="9">
                  <c:v>469123.03704000002</c:v>
                </c:pt>
                <c:pt idx="10">
                  <c:v>461858.01</c:v>
                </c:pt>
                <c:pt idx="11">
                  <c:v>439700.58499999996</c:v>
                </c:pt>
                <c:pt idx="12">
                  <c:v>417543.16</c:v>
                </c:pt>
                <c:pt idx="13">
                  <c:v>363038.26521841198</c:v>
                </c:pt>
                <c:pt idx="14">
                  <c:v>308533.37043682393</c:v>
                </c:pt>
                <c:pt idx="15">
                  <c:v>254028.47565523593</c:v>
                </c:pt>
                <c:pt idx="16">
                  <c:v>231870.72652453714</c:v>
                </c:pt>
                <c:pt idx="17">
                  <c:v>209712.97739383837</c:v>
                </c:pt>
                <c:pt idx="18">
                  <c:v>187555.22826313958</c:v>
                </c:pt>
                <c:pt idx="19">
                  <c:v>165397.47913244081</c:v>
                </c:pt>
                <c:pt idx="20">
                  <c:v>143239.73000174202</c:v>
                </c:pt>
                <c:pt idx="21">
                  <c:v>140103.54552592369</c:v>
                </c:pt>
                <c:pt idx="22">
                  <c:v>136967.36105010536</c:v>
                </c:pt>
                <c:pt idx="23">
                  <c:v>133831.17657428706</c:v>
                </c:pt>
                <c:pt idx="24">
                  <c:v>130694.99209846873</c:v>
                </c:pt>
                <c:pt idx="25">
                  <c:v>127558.80762265041</c:v>
                </c:pt>
                <c:pt idx="26">
                  <c:v>116584.73769975222</c:v>
                </c:pt>
                <c:pt idx="27">
                  <c:v>105610.66777685404</c:v>
                </c:pt>
                <c:pt idx="28">
                  <c:v>94636.597853955856</c:v>
                </c:pt>
                <c:pt idx="29">
                  <c:v>83662.527931057673</c:v>
                </c:pt>
                <c:pt idx="30">
                  <c:v>72688.45800815949</c:v>
                </c:pt>
                <c:pt idx="31">
                  <c:v>67920.258924668422</c:v>
                </c:pt>
                <c:pt idx="32">
                  <c:v>63152.059841177368</c:v>
                </c:pt>
                <c:pt idx="33">
                  <c:v>58383.8607576863</c:v>
                </c:pt>
                <c:pt idx="34">
                  <c:v>53615.661674195238</c:v>
                </c:pt>
                <c:pt idx="35">
                  <c:v>48847.462590704177</c:v>
                </c:pt>
                <c:pt idx="36">
                  <c:v>46096.967170174154</c:v>
                </c:pt>
                <c:pt idx="37">
                  <c:v>43346.471749644137</c:v>
                </c:pt>
                <c:pt idx="38">
                  <c:v>40595.976329114113</c:v>
                </c:pt>
                <c:pt idx="39">
                  <c:v>37845.480908584097</c:v>
                </c:pt>
                <c:pt idx="40">
                  <c:v>35094.985488054073</c:v>
                </c:pt>
                <c:pt idx="41">
                  <c:v>33985.583190607722</c:v>
                </c:pt>
                <c:pt idx="42">
                  <c:v>32876.180893161363</c:v>
                </c:pt>
                <c:pt idx="43">
                  <c:v>31766.778595715008</c:v>
                </c:pt>
                <c:pt idx="44">
                  <c:v>30657.376298268653</c:v>
                </c:pt>
                <c:pt idx="45">
                  <c:v>29547.974000822298</c:v>
                </c:pt>
                <c:pt idx="46">
                  <c:v>28012.244747111901</c:v>
                </c:pt>
                <c:pt idx="47">
                  <c:v>26476.515493401501</c:v>
                </c:pt>
                <c:pt idx="48">
                  <c:v>24940.786239691104</c:v>
                </c:pt>
                <c:pt idx="49">
                  <c:v>23405.056985980707</c:v>
                </c:pt>
                <c:pt idx="50">
                  <c:v>21869.327732270307</c:v>
                </c:pt>
              </c:numCache>
            </c:numRef>
          </c:val>
          <c:smooth val="0"/>
          <c:extLst>
            <c:ext xmlns:c16="http://schemas.microsoft.com/office/drawing/2014/chart" uri="{C3380CC4-5D6E-409C-BE32-E72D297353CC}">
              <c16:uniqueId val="{00000001-3FB8-AC4A-BA91-8A74053FE7B3}"/>
            </c:ext>
          </c:extLst>
        </c:ser>
        <c:ser>
          <c:idx val="2"/>
          <c:order val="2"/>
          <c:tx>
            <c:strRef>
              <c:f>interpolation!$C$8</c:f>
              <c:strCache>
                <c:ptCount val="1"/>
                <c:pt idx="0">
                  <c:v>Lignite</c:v>
                </c:pt>
              </c:strCache>
            </c:strRef>
          </c:tx>
          <c:val>
            <c:numRef>
              <c:f>interpolation!$C$9:$C$59</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smooth val="0"/>
          <c:extLst>
            <c:ext xmlns:c16="http://schemas.microsoft.com/office/drawing/2014/chart" uri="{C3380CC4-5D6E-409C-BE32-E72D297353CC}">
              <c16:uniqueId val="{00000002-3FB8-AC4A-BA91-8A74053FE7B3}"/>
            </c:ext>
          </c:extLst>
        </c:ser>
        <c:ser>
          <c:idx val="3"/>
          <c:order val="3"/>
          <c:tx>
            <c:strRef>
              <c:f>interpolation!$D$8</c:f>
              <c:strCache>
                <c:ptCount val="1"/>
                <c:pt idx="0">
                  <c:v>Natural gas</c:v>
                </c:pt>
              </c:strCache>
            </c:strRef>
          </c:tx>
          <c:val>
            <c:numRef>
              <c:f>interpolation!$D$9:$D$59</c:f>
              <c:numCache>
                <c:formatCode>General</c:formatCode>
                <c:ptCount val="51"/>
                <c:pt idx="0">
                  <c:v>4084403.4324000003</c:v>
                </c:pt>
                <c:pt idx="1">
                  <c:v>3932363.9772000001</c:v>
                </c:pt>
                <c:pt idx="2">
                  <c:v>3780324.5220000003</c:v>
                </c:pt>
                <c:pt idx="3">
                  <c:v>3628285.0668000001</c:v>
                </c:pt>
                <c:pt idx="4">
                  <c:v>3476245.6116000004</c:v>
                </c:pt>
                <c:pt idx="5">
                  <c:v>3324206.1564000002</c:v>
                </c:pt>
                <c:pt idx="6">
                  <c:v>3090215.8351199999</c:v>
                </c:pt>
                <c:pt idx="7">
                  <c:v>2856225.5138400001</c:v>
                </c:pt>
                <c:pt idx="8">
                  <c:v>2622235.1925599999</c:v>
                </c:pt>
                <c:pt idx="9">
                  <c:v>2388244.8712799996</c:v>
                </c:pt>
                <c:pt idx="10">
                  <c:v>2154254.5499999998</c:v>
                </c:pt>
                <c:pt idx="11">
                  <c:v>1810463.9699999997</c:v>
                </c:pt>
                <c:pt idx="12">
                  <c:v>1466673.39</c:v>
                </c:pt>
                <c:pt idx="13">
                  <c:v>1455731.6989174385</c:v>
                </c:pt>
                <c:pt idx="14">
                  <c:v>1444790.0078348771</c:v>
                </c:pt>
                <c:pt idx="15">
                  <c:v>1433848.3167523157</c:v>
                </c:pt>
                <c:pt idx="16">
                  <c:v>1371651.1330493384</c:v>
                </c:pt>
                <c:pt idx="17">
                  <c:v>1309453.949346361</c:v>
                </c:pt>
                <c:pt idx="18">
                  <c:v>1247256.7656433838</c:v>
                </c:pt>
                <c:pt idx="19">
                  <c:v>1185059.5819404065</c:v>
                </c:pt>
                <c:pt idx="20">
                  <c:v>1122862.3982374291</c:v>
                </c:pt>
                <c:pt idx="21">
                  <c:v>1088685.804273407</c:v>
                </c:pt>
                <c:pt idx="22">
                  <c:v>1054509.2103093849</c:v>
                </c:pt>
                <c:pt idx="23">
                  <c:v>1020332.6163453627</c:v>
                </c:pt>
                <c:pt idx="24">
                  <c:v>986156.0223813405</c:v>
                </c:pt>
                <c:pt idx="25">
                  <c:v>951979.42841731838</c:v>
                </c:pt>
                <c:pt idx="26">
                  <c:v>896313.25699654699</c:v>
                </c:pt>
                <c:pt idx="27">
                  <c:v>840647.08557577548</c:v>
                </c:pt>
                <c:pt idx="28">
                  <c:v>784980.91415500408</c:v>
                </c:pt>
                <c:pt idx="29">
                  <c:v>729314.74273423268</c:v>
                </c:pt>
                <c:pt idx="30">
                  <c:v>673648.57131346117</c:v>
                </c:pt>
                <c:pt idx="31">
                  <c:v>642529.27272965084</c:v>
                </c:pt>
                <c:pt idx="32">
                  <c:v>611409.9741458405</c:v>
                </c:pt>
                <c:pt idx="33">
                  <c:v>580290.67556203017</c:v>
                </c:pt>
                <c:pt idx="34">
                  <c:v>549171.37697821984</c:v>
                </c:pt>
                <c:pt idx="35">
                  <c:v>518052.0783944095</c:v>
                </c:pt>
                <c:pt idx="36">
                  <c:v>486181.49076163943</c:v>
                </c:pt>
                <c:pt idx="37">
                  <c:v>454310.90312886931</c:v>
                </c:pt>
                <c:pt idx="38">
                  <c:v>422440.31549609924</c:v>
                </c:pt>
                <c:pt idx="39">
                  <c:v>390569.72786332911</c:v>
                </c:pt>
                <c:pt idx="40">
                  <c:v>358699.14023055905</c:v>
                </c:pt>
                <c:pt idx="41">
                  <c:v>337817.0381847698</c:v>
                </c:pt>
                <c:pt idx="42">
                  <c:v>316934.93613898061</c:v>
                </c:pt>
                <c:pt idx="43">
                  <c:v>296052.83409319137</c:v>
                </c:pt>
                <c:pt idx="44">
                  <c:v>275170.73204740213</c:v>
                </c:pt>
                <c:pt idx="45">
                  <c:v>254288.63000161291</c:v>
                </c:pt>
                <c:pt idx="46">
                  <c:v>221630.13338506568</c:v>
                </c:pt>
                <c:pt idx="47">
                  <c:v>188971.63676851842</c:v>
                </c:pt>
                <c:pt idx="48">
                  <c:v>156313.14015197119</c:v>
                </c:pt>
                <c:pt idx="49">
                  <c:v>123654.64353542397</c:v>
                </c:pt>
                <c:pt idx="50">
                  <c:v>90996.146918876737</c:v>
                </c:pt>
              </c:numCache>
            </c:numRef>
          </c:val>
          <c:smooth val="0"/>
          <c:extLst>
            <c:ext xmlns:c16="http://schemas.microsoft.com/office/drawing/2014/chart" uri="{C3380CC4-5D6E-409C-BE32-E72D297353CC}">
              <c16:uniqueId val="{00000003-3FB8-AC4A-BA91-8A74053FE7B3}"/>
            </c:ext>
          </c:extLst>
        </c:ser>
        <c:ser>
          <c:idx val="4"/>
          <c:order val="4"/>
          <c:tx>
            <c:strRef>
              <c:f>interpolation!$E$8</c:f>
              <c:strCache>
                <c:ptCount val="1"/>
                <c:pt idx="0">
                  <c:v>Crude oil</c:v>
                </c:pt>
              </c:strCache>
            </c:strRef>
          </c:tx>
          <c:val>
            <c:numRef>
              <c:f>interpolation!$E$9:$E$59</c:f>
              <c:numCache>
                <c:formatCode>General</c:formatCode>
                <c:ptCount val="51"/>
                <c:pt idx="0">
                  <c:v>5356529.1180000007</c:v>
                </c:pt>
                <c:pt idx="1">
                  <c:v>5021513.1050400008</c:v>
                </c:pt>
                <c:pt idx="2">
                  <c:v>4686497.0920800008</c:v>
                </c:pt>
                <c:pt idx="3">
                  <c:v>4351481.0791200008</c:v>
                </c:pt>
                <c:pt idx="4">
                  <c:v>4016465.0661599999</c:v>
                </c:pt>
                <c:pt idx="5">
                  <c:v>3681449.0532</c:v>
                </c:pt>
                <c:pt idx="6">
                  <c:v>3479293.602</c:v>
                </c:pt>
                <c:pt idx="7">
                  <c:v>3277138.1507999999</c:v>
                </c:pt>
                <c:pt idx="8">
                  <c:v>3074982.6995999999</c:v>
                </c:pt>
                <c:pt idx="9">
                  <c:v>2872827.2483999999</c:v>
                </c:pt>
                <c:pt idx="10">
                  <c:v>2670671.7971999999</c:v>
                </c:pt>
                <c:pt idx="11">
                  <c:v>2682805.2885999996</c:v>
                </c:pt>
                <c:pt idx="12">
                  <c:v>2694938.78</c:v>
                </c:pt>
                <c:pt idx="13">
                  <c:v>2469285.8180019595</c:v>
                </c:pt>
                <c:pt idx="14">
                  <c:v>2243632.8560039196</c:v>
                </c:pt>
                <c:pt idx="15">
                  <c:v>2017979.8940058795</c:v>
                </c:pt>
                <c:pt idx="16">
                  <c:v>1957411.4112812986</c:v>
                </c:pt>
                <c:pt idx="17">
                  <c:v>1896842.9285567177</c:v>
                </c:pt>
                <c:pt idx="18">
                  <c:v>1836274.4458321366</c:v>
                </c:pt>
                <c:pt idx="19">
                  <c:v>1775705.9631075556</c:v>
                </c:pt>
                <c:pt idx="20">
                  <c:v>1715137.4803829747</c:v>
                </c:pt>
                <c:pt idx="21">
                  <c:v>1648786.6327150355</c:v>
                </c:pt>
                <c:pt idx="22">
                  <c:v>1582435.7850470962</c:v>
                </c:pt>
                <c:pt idx="23">
                  <c:v>1516084.9373791572</c:v>
                </c:pt>
                <c:pt idx="24">
                  <c:v>1449734.0897112179</c:v>
                </c:pt>
                <c:pt idx="25">
                  <c:v>1383383.2420432786</c:v>
                </c:pt>
                <c:pt idx="26">
                  <c:v>1328162.7289318112</c:v>
                </c:pt>
                <c:pt idx="27">
                  <c:v>1272942.2158203437</c:v>
                </c:pt>
                <c:pt idx="28">
                  <c:v>1217721.7027088762</c:v>
                </c:pt>
                <c:pt idx="29">
                  <c:v>1162501.1895974085</c:v>
                </c:pt>
                <c:pt idx="30">
                  <c:v>1107280.676485941</c:v>
                </c:pt>
                <c:pt idx="31">
                  <c:v>1054752.708902895</c:v>
                </c:pt>
                <c:pt idx="32">
                  <c:v>1002224.7413198489</c:v>
                </c:pt>
                <c:pt idx="33">
                  <c:v>949696.77373680286</c:v>
                </c:pt>
                <c:pt idx="34">
                  <c:v>897168.80615375668</c:v>
                </c:pt>
                <c:pt idx="35">
                  <c:v>844640.83857071062</c:v>
                </c:pt>
                <c:pt idx="36">
                  <c:v>795669.3546412976</c:v>
                </c:pt>
                <c:pt idx="37">
                  <c:v>746697.87071188458</c:v>
                </c:pt>
                <c:pt idx="38">
                  <c:v>697726.38678247156</c:v>
                </c:pt>
                <c:pt idx="39">
                  <c:v>648754.90285305865</c:v>
                </c:pt>
                <c:pt idx="40">
                  <c:v>599783.41892364563</c:v>
                </c:pt>
                <c:pt idx="41">
                  <c:v>547942.62734000722</c:v>
                </c:pt>
                <c:pt idx="42">
                  <c:v>496101.83575636876</c:v>
                </c:pt>
                <c:pt idx="43">
                  <c:v>444261.04417273036</c:v>
                </c:pt>
                <c:pt idx="44">
                  <c:v>392420.25258909189</c:v>
                </c:pt>
                <c:pt idx="45">
                  <c:v>340579.46100545349</c:v>
                </c:pt>
                <c:pt idx="46">
                  <c:v>297185.76741043729</c:v>
                </c:pt>
                <c:pt idx="47">
                  <c:v>253792.07381542106</c:v>
                </c:pt>
                <c:pt idx="48">
                  <c:v>210398.38022040483</c:v>
                </c:pt>
                <c:pt idx="49">
                  <c:v>167004.68662538863</c:v>
                </c:pt>
                <c:pt idx="50">
                  <c:v>123610.99303037241</c:v>
                </c:pt>
              </c:numCache>
            </c:numRef>
          </c:val>
          <c:smooth val="0"/>
          <c:extLst>
            <c:ext xmlns:c16="http://schemas.microsoft.com/office/drawing/2014/chart" uri="{C3380CC4-5D6E-409C-BE32-E72D297353CC}">
              <c16:uniqueId val="{00000004-3FB8-AC4A-BA91-8A74053FE7B3}"/>
            </c:ext>
          </c:extLst>
        </c:ser>
        <c:ser>
          <c:idx val="5"/>
          <c:order val="5"/>
          <c:tx>
            <c:strRef>
              <c:f>interpolation!$F$8</c:f>
              <c:strCache>
                <c:ptCount val="1"/>
                <c:pt idx="0">
                  <c:v>Uranium oxide</c:v>
                </c:pt>
              </c:strCache>
            </c:strRef>
          </c:tx>
          <c:val>
            <c:numRef>
              <c:f>interpolation!$F$9:$F$59</c:f>
              <c:numCache>
                <c:formatCode>General</c:formatCode>
                <c:ptCount val="51"/>
                <c:pt idx="0">
                  <c:v>918680.21640000003</c:v>
                </c:pt>
                <c:pt idx="1">
                  <c:v>911239.43544000003</c:v>
                </c:pt>
                <c:pt idx="2">
                  <c:v>903798.65448000003</c:v>
                </c:pt>
                <c:pt idx="3">
                  <c:v>896357.87352000014</c:v>
                </c:pt>
                <c:pt idx="4">
                  <c:v>888917.09256000014</c:v>
                </c:pt>
                <c:pt idx="5">
                  <c:v>881476.31160000013</c:v>
                </c:pt>
                <c:pt idx="6">
                  <c:v>839403.15840000007</c:v>
                </c:pt>
                <c:pt idx="7">
                  <c:v>797330.00520000013</c:v>
                </c:pt>
                <c:pt idx="8">
                  <c:v>755256.85200000007</c:v>
                </c:pt>
                <c:pt idx="9">
                  <c:v>713183.69880000013</c:v>
                </c:pt>
                <c:pt idx="10">
                  <c:v>671110.54560000007</c:v>
                </c:pt>
                <c:pt idx="11">
                  <c:v>719651.67780000006</c:v>
                </c:pt>
                <c:pt idx="12">
                  <c:v>768192.81</c:v>
                </c:pt>
                <c:pt idx="13">
                  <c:v>732533.4715431605</c:v>
                </c:pt>
                <c:pt idx="14">
                  <c:v>696874.13308632094</c:v>
                </c:pt>
                <c:pt idx="15">
                  <c:v>661214.79462948139</c:v>
                </c:pt>
                <c:pt idx="16">
                  <c:v>657708.91963483242</c:v>
                </c:pt>
                <c:pt idx="17">
                  <c:v>654203.04464018345</c:v>
                </c:pt>
                <c:pt idx="18">
                  <c:v>650697.1696455346</c:v>
                </c:pt>
                <c:pt idx="19">
                  <c:v>647191.29465088563</c:v>
                </c:pt>
                <c:pt idx="20">
                  <c:v>643685.41965623666</c:v>
                </c:pt>
                <c:pt idx="21">
                  <c:v>631006.73880988196</c:v>
                </c:pt>
                <c:pt idx="22">
                  <c:v>618328.05796352727</c:v>
                </c:pt>
                <c:pt idx="23">
                  <c:v>605649.3771171727</c:v>
                </c:pt>
                <c:pt idx="24">
                  <c:v>592970.69627081801</c:v>
                </c:pt>
                <c:pt idx="25">
                  <c:v>580292.01542446332</c:v>
                </c:pt>
                <c:pt idx="26">
                  <c:v>663309.18253767118</c:v>
                </c:pt>
                <c:pt idx="27">
                  <c:v>746326.34965087916</c:v>
                </c:pt>
                <c:pt idx="28">
                  <c:v>829343.51676408702</c:v>
                </c:pt>
                <c:pt idx="29">
                  <c:v>912360.68387729488</c:v>
                </c:pt>
                <c:pt idx="30">
                  <c:v>995377.85099050275</c:v>
                </c:pt>
                <c:pt idx="31">
                  <c:v>976147.10221587203</c:v>
                </c:pt>
                <c:pt idx="32">
                  <c:v>956916.35344124131</c:v>
                </c:pt>
                <c:pt idx="33">
                  <c:v>937685.60466661048</c:v>
                </c:pt>
                <c:pt idx="34">
                  <c:v>918454.85589197977</c:v>
                </c:pt>
                <c:pt idx="35">
                  <c:v>899224.10711734905</c:v>
                </c:pt>
                <c:pt idx="36">
                  <c:v>907512.74692156515</c:v>
                </c:pt>
                <c:pt idx="37">
                  <c:v>915801.38672578137</c:v>
                </c:pt>
                <c:pt idx="38">
                  <c:v>924090.02652999747</c:v>
                </c:pt>
                <c:pt idx="39">
                  <c:v>932378.66633421369</c:v>
                </c:pt>
                <c:pt idx="40">
                  <c:v>940667.30613842979</c:v>
                </c:pt>
                <c:pt idx="41">
                  <c:v>965525.99042264023</c:v>
                </c:pt>
                <c:pt idx="42">
                  <c:v>990384.67470685078</c:v>
                </c:pt>
                <c:pt idx="43">
                  <c:v>1015243.3589910612</c:v>
                </c:pt>
                <c:pt idx="44">
                  <c:v>1040102.0432752718</c:v>
                </c:pt>
                <c:pt idx="45">
                  <c:v>1064960.7275594822</c:v>
                </c:pt>
                <c:pt idx="46">
                  <c:v>1114678.0961279033</c:v>
                </c:pt>
                <c:pt idx="47">
                  <c:v>1164395.4646963244</c:v>
                </c:pt>
                <c:pt idx="48">
                  <c:v>1214112.8332647453</c:v>
                </c:pt>
                <c:pt idx="49">
                  <c:v>1263830.2018331664</c:v>
                </c:pt>
                <c:pt idx="50">
                  <c:v>1313547.5704015875</c:v>
                </c:pt>
              </c:numCache>
            </c:numRef>
          </c:val>
          <c:smooth val="0"/>
          <c:extLst>
            <c:ext xmlns:c16="http://schemas.microsoft.com/office/drawing/2014/chart" uri="{C3380CC4-5D6E-409C-BE32-E72D297353CC}">
              <c16:uniqueId val="{00000005-3FB8-AC4A-BA91-8A74053FE7B3}"/>
            </c:ext>
          </c:extLst>
        </c:ser>
        <c:ser>
          <c:idx val="6"/>
          <c:order val="6"/>
          <c:tx>
            <c:strRef>
              <c:f>interpolation!$G$8</c:f>
              <c:strCache>
                <c:ptCount val="1"/>
                <c:pt idx="0">
                  <c:v>Woody biomass</c:v>
                </c:pt>
              </c:strCache>
            </c:strRef>
          </c:tx>
          <c:val>
            <c:numRef>
              <c:f>interpolation!$G$9:$G$59</c:f>
              <c:numCache>
                <c:formatCode>General</c:formatCode>
                <c:ptCount val="51"/>
                <c:pt idx="0">
                  <c:v>50170.619086200015</c:v>
                </c:pt>
                <c:pt idx="1">
                  <c:v>58079.298392280012</c:v>
                </c:pt>
                <c:pt idx="2">
                  <c:v>65987.977698360017</c:v>
                </c:pt>
                <c:pt idx="3">
                  <c:v>73896.657004440014</c:v>
                </c:pt>
                <c:pt idx="4">
                  <c:v>81805.336310520011</c:v>
                </c:pt>
                <c:pt idx="5">
                  <c:v>89714.015616600009</c:v>
                </c:pt>
                <c:pt idx="6">
                  <c:v>94294.868021639995</c:v>
                </c:pt>
                <c:pt idx="7">
                  <c:v>98875.720426679996</c:v>
                </c:pt>
                <c:pt idx="8">
                  <c:v>103456.57283171998</c:v>
                </c:pt>
                <c:pt idx="9">
                  <c:v>108037.42523675997</c:v>
                </c:pt>
                <c:pt idx="10">
                  <c:v>112618.27764179997</c:v>
                </c:pt>
                <c:pt idx="11">
                  <c:v>123684.58454447622</c:v>
                </c:pt>
                <c:pt idx="12">
                  <c:v>134750.89144715248</c:v>
                </c:pt>
                <c:pt idx="13">
                  <c:v>145817.19834982874</c:v>
                </c:pt>
                <c:pt idx="14">
                  <c:v>156883.50525250501</c:v>
                </c:pt>
                <c:pt idx="15">
                  <c:v>167949.81215518125</c:v>
                </c:pt>
                <c:pt idx="16">
                  <c:v>195663.00466691423</c:v>
                </c:pt>
                <c:pt idx="17">
                  <c:v>223376.19717864721</c:v>
                </c:pt>
                <c:pt idx="18">
                  <c:v>251089.38969038019</c:v>
                </c:pt>
                <c:pt idx="19">
                  <c:v>278802.58220211318</c:v>
                </c:pt>
                <c:pt idx="20">
                  <c:v>306515.77471384616</c:v>
                </c:pt>
                <c:pt idx="21">
                  <c:v>313968.92672924144</c:v>
                </c:pt>
                <c:pt idx="22">
                  <c:v>321422.07874463673</c:v>
                </c:pt>
                <c:pt idx="23">
                  <c:v>328875.23076003202</c:v>
                </c:pt>
                <c:pt idx="24">
                  <c:v>336328.38277542731</c:v>
                </c:pt>
                <c:pt idx="25">
                  <c:v>343781.5347908226</c:v>
                </c:pt>
                <c:pt idx="26">
                  <c:v>351245.85129712807</c:v>
                </c:pt>
                <c:pt idx="27">
                  <c:v>358710.16780343349</c:v>
                </c:pt>
                <c:pt idx="28">
                  <c:v>366174.48430973897</c:v>
                </c:pt>
                <c:pt idx="29">
                  <c:v>373638.80081604439</c:v>
                </c:pt>
                <c:pt idx="30">
                  <c:v>381103.11732234986</c:v>
                </c:pt>
                <c:pt idx="31">
                  <c:v>384693.04898102488</c:v>
                </c:pt>
                <c:pt idx="32">
                  <c:v>388282.98063969985</c:v>
                </c:pt>
                <c:pt idx="33">
                  <c:v>391872.91229837487</c:v>
                </c:pt>
                <c:pt idx="34">
                  <c:v>395462.84395704983</c:v>
                </c:pt>
                <c:pt idx="35">
                  <c:v>399052.77561572485</c:v>
                </c:pt>
                <c:pt idx="36">
                  <c:v>399447.90397597692</c:v>
                </c:pt>
                <c:pt idx="37">
                  <c:v>399843.03233622899</c:v>
                </c:pt>
                <c:pt idx="38">
                  <c:v>400238.16069648101</c:v>
                </c:pt>
                <c:pt idx="39">
                  <c:v>400633.28905673308</c:v>
                </c:pt>
                <c:pt idx="40">
                  <c:v>401028.41741698515</c:v>
                </c:pt>
                <c:pt idx="41">
                  <c:v>388364.21847177809</c:v>
                </c:pt>
                <c:pt idx="42">
                  <c:v>375700.01952657104</c:v>
                </c:pt>
                <c:pt idx="43">
                  <c:v>363035.82058136398</c:v>
                </c:pt>
                <c:pt idx="44">
                  <c:v>350371.62163615687</c:v>
                </c:pt>
                <c:pt idx="45">
                  <c:v>337707.42269094981</c:v>
                </c:pt>
                <c:pt idx="46">
                  <c:v>338679.56798548694</c:v>
                </c:pt>
                <c:pt idx="47">
                  <c:v>339651.71328002407</c:v>
                </c:pt>
                <c:pt idx="48">
                  <c:v>340623.85857456125</c:v>
                </c:pt>
                <c:pt idx="49">
                  <c:v>341596.00386909838</c:v>
                </c:pt>
                <c:pt idx="50">
                  <c:v>342568.14916363551</c:v>
                </c:pt>
              </c:numCache>
            </c:numRef>
          </c:val>
          <c:smooth val="0"/>
          <c:extLst>
            <c:ext xmlns:c16="http://schemas.microsoft.com/office/drawing/2014/chart" uri="{C3380CC4-5D6E-409C-BE32-E72D297353CC}">
              <c16:uniqueId val="{00000006-3FB8-AC4A-BA91-8A74053FE7B3}"/>
            </c:ext>
          </c:extLst>
        </c:ser>
        <c:dLbls>
          <c:showLegendKey val="0"/>
          <c:showVal val="0"/>
          <c:showCatName val="0"/>
          <c:showSerName val="0"/>
          <c:showPercent val="0"/>
          <c:showBubbleSize val="0"/>
        </c:dLbls>
        <c:marker val="1"/>
        <c:smooth val="0"/>
        <c:axId val="-2133554776"/>
        <c:axId val="-2133557768"/>
      </c:lineChart>
      <c:catAx>
        <c:axId val="-2133554776"/>
        <c:scaling>
          <c:orientation val="minMax"/>
        </c:scaling>
        <c:delete val="0"/>
        <c:axPos val="b"/>
        <c:majorTickMark val="out"/>
        <c:minorTickMark val="none"/>
        <c:tickLblPos val="nextTo"/>
        <c:crossAx val="-2133557768"/>
        <c:crosses val="autoZero"/>
        <c:auto val="1"/>
        <c:lblAlgn val="ctr"/>
        <c:lblOffset val="100"/>
        <c:noMultiLvlLbl val="0"/>
      </c:catAx>
      <c:valAx>
        <c:axId val="-2133557768"/>
        <c:scaling>
          <c:orientation val="minMax"/>
        </c:scaling>
        <c:delete val="0"/>
        <c:axPos val="l"/>
        <c:majorGridlines/>
        <c:numFmt formatCode="General" sourceLinked="1"/>
        <c:majorTickMark val="out"/>
        <c:minorTickMark val="none"/>
        <c:tickLblPos val="nextTo"/>
        <c:crossAx val="-2133554776"/>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4</xdr:row>
          <xdr:rowOff>114300</xdr:rowOff>
        </xdr:from>
        <xdr:to>
          <xdr:col>12</xdr:col>
          <xdr:colOff>0</xdr:colOff>
          <xdr:row>5</xdr:row>
          <xdr:rowOff>101600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export timecurves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152400</xdr:colOff>
      <xdr:row>1</xdr:row>
      <xdr:rowOff>12700</xdr:rowOff>
    </xdr:from>
    <xdr:to>
      <xdr:col>21</xdr:col>
      <xdr:colOff>12700</xdr:colOff>
      <xdr:row>37</xdr:row>
      <xdr:rowOff>127000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orisberkhout/Projects/etdataset/analyses/3_primary_production_analysi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Changelog"/>
      <sheetName val="Contents"/>
      <sheetName val="Introduction"/>
      <sheetName val="Dataflow"/>
      <sheetName val="Assumptions"/>
      <sheetName val="Dashboard"/>
      <sheetName val="Corrected energy balance step 2"/>
      <sheetName val="Timecurves"/>
      <sheetName val="technical_specs"/>
      <sheetName val="Production analysis"/>
      <sheetName val="Greengas analysis"/>
      <sheetName val="Waste analysis"/>
      <sheetName val="Fuel aggregation"/>
      <sheetName val="csv_carrier_domestic_production"/>
      <sheetName val="csv_coal_time_curve"/>
      <sheetName val="csv_lignite_time_curve"/>
      <sheetName val="csv_natural_gas_time_curve"/>
      <sheetName val="csv_crude_oil_time_curve"/>
      <sheetName val="csv_uranium_oxide_time_curve"/>
      <sheetName val="csv_bio_residues_time_curve"/>
      <sheetName val="csv_energy_distribution_wood_pa"/>
      <sheetName val="csv_energy_distribution_waste_m"/>
    </sheetNames>
    <sheetDataSet>
      <sheetData sheetId="0"/>
      <sheetData sheetId="1"/>
      <sheetData sheetId="2"/>
      <sheetData sheetId="3"/>
      <sheetData sheetId="4"/>
      <sheetData sheetId="5"/>
      <sheetData sheetId="6">
        <row r="13">
          <cell r="E13" t="str">
            <v>uk</v>
          </cell>
        </row>
        <row r="14">
          <cell r="E14">
            <v>2012</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2"/>
  </sheetPr>
  <dimension ref="B2:H39"/>
  <sheetViews>
    <sheetView workbookViewId="0">
      <selection activeCell="C6" sqref="C6"/>
    </sheetView>
  </sheetViews>
  <sheetFormatPr baseColWidth="10" defaultRowHeight="16" x14ac:dyDescent="0.2"/>
  <cols>
    <col min="1" max="1" width="10.83203125" style="16"/>
    <col min="2" max="2" width="13.33203125" style="16" customWidth="1"/>
    <col min="3" max="3" width="44" style="16" customWidth="1"/>
    <col min="4" max="13" width="10.83203125" style="16" customWidth="1"/>
    <col min="14" max="16384" width="10.83203125" style="16"/>
  </cols>
  <sheetData>
    <row r="2" spans="2:8" ht="21" x14ac:dyDescent="0.25">
      <c r="B2" s="15" t="s">
        <v>24</v>
      </c>
    </row>
    <row r="4" spans="2:8" x14ac:dyDescent="0.2">
      <c r="B4" s="17" t="s">
        <v>25</v>
      </c>
      <c r="C4" s="18" t="s">
        <v>49</v>
      </c>
      <c r="D4" s="19"/>
      <c r="F4" s="20"/>
      <c r="G4" s="21"/>
      <c r="H4" s="20"/>
    </row>
    <row r="5" spans="2:8" x14ac:dyDescent="0.2">
      <c r="B5" s="22" t="s">
        <v>26</v>
      </c>
      <c r="C5" s="140">
        <f>MAX(Changelog!D:D)</f>
        <v>1</v>
      </c>
      <c r="D5" s="24"/>
      <c r="F5" s="21"/>
      <c r="G5" s="21"/>
      <c r="H5" s="21"/>
    </row>
    <row r="6" spans="2:8" x14ac:dyDescent="0.2">
      <c r="B6" s="22" t="s">
        <v>27</v>
      </c>
      <c r="C6" s="23" t="s">
        <v>95</v>
      </c>
      <c r="D6" s="24"/>
      <c r="F6" s="21"/>
      <c r="G6" s="21"/>
      <c r="H6" s="21"/>
    </row>
    <row r="7" spans="2:8" x14ac:dyDescent="0.2">
      <c r="B7" s="22" t="s">
        <v>28</v>
      </c>
      <c r="C7" s="23">
        <v>2012</v>
      </c>
      <c r="D7" s="24"/>
      <c r="F7" s="21"/>
      <c r="G7" s="21"/>
      <c r="H7" s="21"/>
    </row>
    <row r="8" spans="2:8" x14ac:dyDescent="0.2">
      <c r="B8" s="22" t="s">
        <v>29</v>
      </c>
      <c r="C8" s="25">
        <f>MAX(Changelog!B:B)</f>
        <v>41794</v>
      </c>
      <c r="D8" s="24"/>
      <c r="F8" s="21"/>
      <c r="G8" s="21"/>
      <c r="H8" s="21"/>
    </row>
    <row r="9" spans="2:8" x14ac:dyDescent="0.2">
      <c r="B9" s="22" t="s">
        <v>30</v>
      </c>
      <c r="C9" s="21" t="s">
        <v>76</v>
      </c>
      <c r="D9" s="24"/>
      <c r="F9" s="21"/>
      <c r="G9" s="21"/>
      <c r="H9" s="21"/>
    </row>
    <row r="10" spans="2:8" x14ac:dyDescent="0.2">
      <c r="B10" s="26" t="s">
        <v>31</v>
      </c>
      <c r="C10" s="27" t="s">
        <v>32</v>
      </c>
      <c r="D10" s="28"/>
      <c r="F10" s="21"/>
      <c r="G10" s="21"/>
      <c r="H10" s="21"/>
    </row>
    <row r="12" spans="2:8" x14ac:dyDescent="0.2">
      <c r="B12" s="17" t="s">
        <v>33</v>
      </c>
      <c r="C12" s="18"/>
      <c r="D12" s="19"/>
    </row>
    <row r="13" spans="2:8" x14ac:dyDescent="0.2">
      <c r="B13" s="29"/>
      <c r="C13" s="21"/>
      <c r="D13" s="24"/>
    </row>
    <row r="14" spans="2:8" x14ac:dyDescent="0.2">
      <c r="B14" s="29" t="s">
        <v>34</v>
      </c>
      <c r="C14" s="30" t="s">
        <v>35</v>
      </c>
      <c r="D14" s="24"/>
    </row>
    <row r="15" spans="2:8" ht="17" thickBot="1" x14ac:dyDescent="0.25">
      <c r="B15" s="29"/>
      <c r="C15" s="20" t="s">
        <v>36</v>
      </c>
      <c r="D15" s="24"/>
    </row>
    <row r="16" spans="2:8" ht="17" thickBot="1" x14ac:dyDescent="0.25">
      <c r="B16" s="29"/>
      <c r="C16" s="31" t="s">
        <v>37</v>
      </c>
      <c r="D16" s="24"/>
    </row>
    <row r="17" spans="2:4" x14ac:dyDescent="0.2">
      <c r="B17" s="29"/>
      <c r="C17" s="21" t="s">
        <v>38</v>
      </c>
      <c r="D17" s="24"/>
    </row>
    <row r="18" spans="2:4" x14ac:dyDescent="0.2">
      <c r="B18" s="29"/>
      <c r="C18" s="21"/>
      <c r="D18" s="24"/>
    </row>
    <row r="19" spans="2:4" x14ac:dyDescent="0.2">
      <c r="B19" s="29" t="s">
        <v>39</v>
      </c>
      <c r="C19" s="32" t="s">
        <v>40</v>
      </c>
      <c r="D19" s="24"/>
    </row>
    <row r="20" spans="2:4" x14ac:dyDescent="0.2">
      <c r="B20" s="29"/>
      <c r="C20" s="33" t="s">
        <v>41</v>
      </c>
      <c r="D20" s="24"/>
    </row>
    <row r="21" spans="2:4" x14ac:dyDescent="0.2">
      <c r="B21" s="29"/>
      <c r="C21" s="34" t="s">
        <v>42</v>
      </c>
      <c r="D21" s="24"/>
    </row>
    <row r="22" spans="2:4" x14ac:dyDescent="0.2">
      <c r="B22" s="29"/>
      <c r="C22" s="35" t="s">
        <v>43</v>
      </c>
      <c r="D22" s="24"/>
    </row>
    <row r="23" spans="2:4" x14ac:dyDescent="0.2">
      <c r="B23" s="36"/>
      <c r="C23" s="37" t="s">
        <v>44</v>
      </c>
      <c r="D23" s="24"/>
    </row>
    <row r="24" spans="2:4" x14ac:dyDescent="0.2">
      <c r="B24" s="36"/>
      <c r="C24" s="38" t="s">
        <v>45</v>
      </c>
      <c r="D24" s="24"/>
    </row>
    <row r="25" spans="2:4" x14ac:dyDescent="0.2">
      <c r="B25" s="36"/>
      <c r="C25" s="39" t="s">
        <v>46</v>
      </c>
      <c r="D25" s="24"/>
    </row>
    <row r="26" spans="2:4" x14ac:dyDescent="0.2">
      <c r="B26" s="36"/>
      <c r="C26" s="40" t="s">
        <v>47</v>
      </c>
      <c r="D26" s="24"/>
    </row>
    <row r="27" spans="2:4" x14ac:dyDescent="0.2">
      <c r="B27" s="41"/>
      <c r="C27" s="27"/>
      <c r="D27" s="28"/>
    </row>
    <row r="29" spans="2:4" x14ac:dyDescent="0.2">
      <c r="B29" s="17" t="s">
        <v>48</v>
      </c>
      <c r="C29" s="18"/>
      <c r="D29" s="19"/>
    </row>
    <row r="30" spans="2:4" x14ac:dyDescent="0.2">
      <c r="B30" s="36"/>
      <c r="C30" s="21"/>
      <c r="D30" s="24"/>
    </row>
    <row r="31" spans="2:4" x14ac:dyDescent="0.2">
      <c r="B31" s="36"/>
      <c r="C31" s="21"/>
      <c r="D31" s="24"/>
    </row>
    <row r="32" spans="2:4" x14ac:dyDescent="0.2">
      <c r="B32" s="36"/>
      <c r="C32" s="21"/>
      <c r="D32" s="24"/>
    </row>
    <row r="33" spans="2:4" x14ac:dyDescent="0.2">
      <c r="B33" s="36"/>
      <c r="C33" s="21"/>
      <c r="D33" s="24"/>
    </row>
    <row r="34" spans="2:4" x14ac:dyDescent="0.2">
      <c r="B34" s="36"/>
      <c r="C34" s="21"/>
      <c r="D34" s="24"/>
    </row>
    <row r="35" spans="2:4" x14ac:dyDescent="0.2">
      <c r="B35" s="36"/>
      <c r="C35" s="21"/>
      <c r="D35" s="24"/>
    </row>
    <row r="36" spans="2:4" x14ac:dyDescent="0.2">
      <c r="B36" s="36"/>
      <c r="C36" s="21"/>
      <c r="D36" s="24"/>
    </row>
    <row r="37" spans="2:4" x14ac:dyDescent="0.2">
      <c r="B37" s="36"/>
      <c r="C37" s="21"/>
      <c r="D37" s="24"/>
    </row>
    <row r="38" spans="2:4" x14ac:dyDescent="0.2">
      <c r="B38" s="36"/>
      <c r="C38" s="21"/>
      <c r="D38" s="24"/>
    </row>
    <row r="39" spans="2:4" x14ac:dyDescent="0.2">
      <c r="B39" s="41"/>
      <c r="C39" s="27"/>
      <c r="D39" s="28"/>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2"/>
  </sheetPr>
  <dimension ref="B2:D45"/>
  <sheetViews>
    <sheetView workbookViewId="0"/>
  </sheetViews>
  <sheetFormatPr baseColWidth="10" defaultRowHeight="16" x14ac:dyDescent="0.2"/>
  <cols>
    <col min="1" max="1" width="10.83203125" style="16"/>
    <col min="2" max="2" width="17.6640625" style="16" bestFit="1" customWidth="1"/>
    <col min="3" max="3" width="59.5" style="16" customWidth="1"/>
    <col min="4" max="16384" width="10.83203125" style="16"/>
  </cols>
  <sheetData>
    <row r="2" spans="2:4" ht="21" x14ac:dyDescent="0.25">
      <c r="B2" s="15" t="s">
        <v>50</v>
      </c>
    </row>
    <row r="4" spans="2:4" x14ac:dyDescent="0.2">
      <c r="B4" s="42" t="s">
        <v>29</v>
      </c>
      <c r="C4" s="43" t="s">
        <v>51</v>
      </c>
      <c r="D4" s="44" t="s">
        <v>52</v>
      </c>
    </row>
    <row r="5" spans="2:4" x14ac:dyDescent="0.2">
      <c r="B5" s="45"/>
      <c r="C5" s="20"/>
      <c r="D5" s="46"/>
    </row>
    <row r="6" spans="2:4" x14ac:dyDescent="0.2">
      <c r="B6" s="47">
        <v>41794</v>
      </c>
      <c r="C6" s="48" t="s">
        <v>75</v>
      </c>
      <c r="D6" s="49">
        <v>1</v>
      </c>
    </row>
    <row r="7" spans="2:4" x14ac:dyDescent="0.2">
      <c r="B7" s="50"/>
      <c r="C7" s="48"/>
      <c r="D7" s="49"/>
    </row>
    <row r="8" spans="2:4" x14ac:dyDescent="0.2">
      <c r="B8" s="50"/>
      <c r="C8" s="48"/>
      <c r="D8" s="49"/>
    </row>
    <row r="9" spans="2:4" x14ac:dyDescent="0.2">
      <c r="B9" s="50"/>
      <c r="C9" s="48"/>
      <c r="D9" s="49"/>
    </row>
    <row r="10" spans="2:4" x14ac:dyDescent="0.2">
      <c r="B10" s="50"/>
      <c r="C10" s="48"/>
      <c r="D10" s="49"/>
    </row>
    <row r="11" spans="2:4" x14ac:dyDescent="0.2">
      <c r="B11" s="50"/>
      <c r="C11" s="48"/>
      <c r="D11" s="49"/>
    </row>
    <row r="12" spans="2:4" x14ac:dyDescent="0.2">
      <c r="B12" s="50"/>
      <c r="C12" s="48"/>
      <c r="D12" s="49"/>
    </row>
    <row r="13" spans="2:4" x14ac:dyDescent="0.2">
      <c r="B13" s="50"/>
      <c r="C13" s="48"/>
      <c r="D13" s="49"/>
    </row>
    <row r="14" spans="2:4" x14ac:dyDescent="0.2">
      <c r="B14" s="50"/>
      <c r="C14" s="51"/>
      <c r="D14" s="49"/>
    </row>
    <row r="15" spans="2:4" x14ac:dyDescent="0.2">
      <c r="B15" s="50"/>
      <c r="C15" s="48"/>
      <c r="D15" s="49"/>
    </row>
    <row r="16" spans="2:4" x14ac:dyDescent="0.2">
      <c r="B16" s="52"/>
      <c r="C16" s="53"/>
      <c r="D16" s="49"/>
    </row>
    <row r="17" spans="2:4" x14ac:dyDescent="0.2">
      <c r="B17" s="50"/>
      <c r="C17" s="48"/>
      <c r="D17" s="49"/>
    </row>
    <row r="18" spans="2:4" x14ac:dyDescent="0.2">
      <c r="B18" s="50"/>
      <c r="C18" s="51"/>
      <c r="D18" s="49"/>
    </row>
    <row r="19" spans="2:4" x14ac:dyDescent="0.2">
      <c r="B19" s="50"/>
      <c r="C19" s="48"/>
      <c r="D19" s="49"/>
    </row>
    <row r="20" spans="2:4" x14ac:dyDescent="0.2">
      <c r="B20" s="50"/>
      <c r="C20" s="48"/>
      <c r="D20" s="49"/>
    </row>
    <row r="21" spans="2:4" x14ac:dyDescent="0.2">
      <c r="B21" s="50"/>
      <c r="C21" s="51"/>
      <c r="D21" s="49"/>
    </row>
    <row r="22" spans="2:4" x14ac:dyDescent="0.2">
      <c r="B22" s="54"/>
      <c r="C22" s="53"/>
      <c r="D22" s="55"/>
    </row>
    <row r="23" spans="2:4" x14ac:dyDescent="0.2">
      <c r="B23" s="54"/>
      <c r="C23" s="53"/>
      <c r="D23" s="55"/>
    </row>
    <row r="24" spans="2:4" x14ac:dyDescent="0.2">
      <c r="B24" s="54"/>
      <c r="C24" s="53"/>
      <c r="D24" s="55"/>
    </row>
    <row r="25" spans="2:4" x14ac:dyDescent="0.2">
      <c r="B25" s="54"/>
      <c r="C25" s="53"/>
      <c r="D25" s="55"/>
    </row>
    <row r="26" spans="2:4" x14ac:dyDescent="0.2">
      <c r="B26" s="54"/>
      <c r="C26" s="53"/>
      <c r="D26" s="55"/>
    </row>
    <row r="27" spans="2:4" x14ac:dyDescent="0.2">
      <c r="B27" s="54"/>
      <c r="C27" s="53"/>
      <c r="D27" s="55"/>
    </row>
    <row r="28" spans="2:4" x14ac:dyDescent="0.2">
      <c r="B28" s="54"/>
      <c r="C28" s="53"/>
      <c r="D28" s="55"/>
    </row>
    <row r="29" spans="2:4" x14ac:dyDescent="0.2">
      <c r="B29" s="54"/>
      <c r="C29" s="53"/>
      <c r="D29" s="55"/>
    </row>
    <row r="30" spans="2:4" x14ac:dyDescent="0.2">
      <c r="B30" s="54"/>
      <c r="C30" s="53"/>
      <c r="D30" s="55"/>
    </row>
    <row r="31" spans="2:4" x14ac:dyDescent="0.2">
      <c r="B31" s="56"/>
      <c r="C31" s="57"/>
      <c r="D31" s="58"/>
    </row>
    <row r="32" spans="2:4" x14ac:dyDescent="0.2">
      <c r="B32" s="54"/>
      <c r="C32" s="53"/>
      <c r="D32" s="55"/>
    </row>
    <row r="33" spans="2:4" x14ac:dyDescent="0.2">
      <c r="B33" s="54"/>
      <c r="C33" s="53"/>
      <c r="D33" s="55"/>
    </row>
    <row r="34" spans="2:4" x14ac:dyDescent="0.2">
      <c r="B34" s="54"/>
      <c r="C34" s="53"/>
      <c r="D34" s="55"/>
    </row>
    <row r="35" spans="2:4" x14ac:dyDescent="0.2">
      <c r="B35" s="54"/>
      <c r="C35" s="53"/>
      <c r="D35" s="55"/>
    </row>
    <row r="36" spans="2:4" x14ac:dyDescent="0.2">
      <c r="B36" s="50"/>
      <c r="C36" s="48"/>
      <c r="D36" s="49"/>
    </row>
    <row r="37" spans="2:4" x14ac:dyDescent="0.2">
      <c r="B37" s="59"/>
      <c r="C37" s="60"/>
      <c r="D37" s="61"/>
    </row>
    <row r="38" spans="2:4" x14ac:dyDescent="0.2">
      <c r="D38" s="62"/>
    </row>
    <row r="39" spans="2:4" x14ac:dyDescent="0.2">
      <c r="D39" s="62"/>
    </row>
    <row r="40" spans="2:4" x14ac:dyDescent="0.2">
      <c r="D40" s="62"/>
    </row>
    <row r="41" spans="2:4" x14ac:dyDescent="0.2">
      <c r="D41" s="62"/>
    </row>
    <row r="42" spans="2:4" x14ac:dyDescent="0.2">
      <c r="D42" s="62"/>
    </row>
    <row r="43" spans="2:4" x14ac:dyDescent="0.2">
      <c r="D43" s="62"/>
    </row>
    <row r="44" spans="2:4" x14ac:dyDescent="0.2">
      <c r="D44" s="62"/>
    </row>
    <row r="45" spans="2:4" x14ac:dyDescent="0.2">
      <c r="D45" s="6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2"/>
  </sheetPr>
  <dimension ref="B2:C13"/>
  <sheetViews>
    <sheetView workbookViewId="0"/>
  </sheetViews>
  <sheetFormatPr baseColWidth="10" defaultRowHeight="16" x14ac:dyDescent="0.2"/>
  <cols>
    <col min="1" max="1" width="8.6640625" style="16" customWidth="1"/>
    <col min="2" max="2" width="35.83203125" style="16" customWidth="1"/>
    <col min="3" max="3" width="100.83203125" style="16" customWidth="1"/>
    <col min="4" max="16384" width="10.83203125" style="16"/>
  </cols>
  <sheetData>
    <row r="2" spans="2:3" ht="21" x14ac:dyDescent="0.25">
      <c r="B2" s="15" t="s">
        <v>53</v>
      </c>
    </row>
    <row r="4" spans="2:3" ht="30" customHeight="1" x14ac:dyDescent="0.2">
      <c r="B4" s="63" t="s">
        <v>54</v>
      </c>
      <c r="C4" s="64" t="s">
        <v>55</v>
      </c>
    </row>
    <row r="5" spans="2:3" s="67" customFormat="1" ht="30" customHeight="1" x14ac:dyDescent="0.2">
      <c r="B5" s="65" t="s">
        <v>24</v>
      </c>
      <c r="C5" s="66" t="s">
        <v>56</v>
      </c>
    </row>
    <row r="6" spans="2:3" s="67" customFormat="1" ht="30" customHeight="1" x14ac:dyDescent="0.2">
      <c r="B6" s="68" t="s">
        <v>50</v>
      </c>
      <c r="C6" s="69" t="s">
        <v>57</v>
      </c>
    </row>
    <row r="7" spans="2:3" s="67" customFormat="1" ht="30" customHeight="1" x14ac:dyDescent="0.2">
      <c r="B7" s="68" t="s">
        <v>53</v>
      </c>
      <c r="C7" s="66" t="s">
        <v>58</v>
      </c>
    </row>
    <row r="8" spans="2:3" s="67" customFormat="1" ht="30" customHeight="1" x14ac:dyDescent="0.2">
      <c r="B8" s="68" t="s">
        <v>59</v>
      </c>
      <c r="C8" s="66" t="s">
        <v>60</v>
      </c>
    </row>
    <row r="9" spans="2:3" s="67" customFormat="1" ht="30" customHeight="1" x14ac:dyDescent="0.2">
      <c r="B9" s="68" t="s">
        <v>18</v>
      </c>
      <c r="C9" s="66" t="s">
        <v>61</v>
      </c>
    </row>
    <row r="10" spans="2:3" s="67" customFormat="1" ht="30" customHeight="1" x14ac:dyDescent="0.2">
      <c r="B10" s="70" t="s">
        <v>41</v>
      </c>
      <c r="C10" s="66" t="s">
        <v>62</v>
      </c>
    </row>
    <row r="11" spans="2:3" s="67" customFormat="1" ht="30" customHeight="1" x14ac:dyDescent="0.2">
      <c r="B11" s="72" t="s">
        <v>80</v>
      </c>
      <c r="C11" s="66" t="s">
        <v>84</v>
      </c>
    </row>
    <row r="12" spans="2:3" s="67" customFormat="1" ht="30" customHeight="1" x14ac:dyDescent="0.2">
      <c r="B12" s="72" t="s">
        <v>79</v>
      </c>
      <c r="C12" s="71" t="s">
        <v>85</v>
      </c>
    </row>
    <row r="13" spans="2:3" s="67" customFormat="1" ht="30" customHeight="1" x14ac:dyDescent="0.2">
      <c r="B13" s="73" t="s">
        <v>77</v>
      </c>
      <c r="C13" s="66" t="s">
        <v>78</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2"/>
  </sheetPr>
  <dimension ref="B2:C30"/>
  <sheetViews>
    <sheetView workbookViewId="0"/>
  </sheetViews>
  <sheetFormatPr baseColWidth="10" defaultRowHeight="16" x14ac:dyDescent="0.2"/>
  <cols>
    <col min="1" max="1" width="10.83203125" style="16" customWidth="1"/>
    <col min="2" max="2" width="140.83203125" style="16" customWidth="1"/>
    <col min="3" max="3" width="20.33203125" style="16" customWidth="1"/>
    <col min="4" max="16384" width="10.83203125" style="16"/>
  </cols>
  <sheetData>
    <row r="2" spans="2:3" ht="21" x14ac:dyDescent="0.25">
      <c r="B2" s="15" t="s">
        <v>59</v>
      </c>
    </row>
    <row r="4" spans="2:3" x14ac:dyDescent="0.2">
      <c r="B4" s="74" t="s">
        <v>63</v>
      </c>
      <c r="C4" s="21"/>
    </row>
    <row r="5" spans="2:3" x14ac:dyDescent="0.2">
      <c r="B5" s="75"/>
      <c r="C5" s="21"/>
    </row>
    <row r="6" spans="2:3" ht="17" x14ac:dyDescent="0.2">
      <c r="B6" s="76" t="s">
        <v>86</v>
      </c>
      <c r="C6" s="21"/>
    </row>
    <row r="7" spans="2:3" x14ac:dyDescent="0.2">
      <c r="B7" s="77"/>
      <c r="C7" s="21"/>
    </row>
    <row r="8" spans="2:3" ht="15" customHeight="1" x14ac:dyDescent="0.2">
      <c r="B8" s="78"/>
      <c r="C8" s="21"/>
    </row>
    <row r="9" spans="2:3" ht="15" customHeight="1" x14ac:dyDescent="0.2">
      <c r="B9" s="74" t="s">
        <v>64</v>
      </c>
      <c r="C9" s="21"/>
    </row>
    <row r="10" spans="2:3" ht="15" customHeight="1" x14ac:dyDescent="0.2">
      <c r="B10" s="75"/>
      <c r="C10" s="21"/>
    </row>
    <row r="11" spans="2:3" ht="15" customHeight="1" x14ac:dyDescent="0.2">
      <c r="B11" s="79" t="s">
        <v>87</v>
      </c>
      <c r="C11" s="21"/>
    </row>
    <row r="12" spans="2:3" ht="15" customHeight="1" x14ac:dyDescent="0.2">
      <c r="B12" s="79" t="s">
        <v>88</v>
      </c>
      <c r="C12" s="21"/>
    </row>
    <row r="13" spans="2:3" ht="15" customHeight="1" x14ac:dyDescent="0.2">
      <c r="B13" s="79" t="s">
        <v>89</v>
      </c>
      <c r="C13" s="21"/>
    </row>
    <row r="14" spans="2:3" ht="15" customHeight="1" x14ac:dyDescent="0.2">
      <c r="B14" s="79" t="s">
        <v>81</v>
      </c>
      <c r="C14" s="21"/>
    </row>
    <row r="15" spans="2:3" ht="15" customHeight="1" x14ac:dyDescent="0.2">
      <c r="B15" s="79" t="s">
        <v>82</v>
      </c>
      <c r="C15" s="21"/>
    </row>
    <row r="16" spans="2:3" ht="15" customHeight="1" x14ac:dyDescent="0.2">
      <c r="B16" s="80"/>
      <c r="C16" s="21"/>
    </row>
    <row r="17" spans="2:2" x14ac:dyDescent="0.2">
      <c r="B17" s="81"/>
    </row>
    <row r="18" spans="2:2" x14ac:dyDescent="0.2">
      <c r="B18" s="82" t="s">
        <v>65</v>
      </c>
    </row>
    <row r="19" spans="2:2" x14ac:dyDescent="0.2">
      <c r="B19" s="83"/>
    </row>
    <row r="20" spans="2:2" ht="102" x14ac:dyDescent="0.2">
      <c r="B20" s="84" t="s">
        <v>66</v>
      </c>
    </row>
    <row r="21" spans="2:2" x14ac:dyDescent="0.2">
      <c r="B21" s="85"/>
    </row>
    <row r="24" spans="2:2" ht="15" customHeight="1" x14ac:dyDescent="0.2"/>
    <row r="30" spans="2:2" ht="30" customHeight="1" x14ac:dyDescent="0.2"/>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2"/>
  </sheetPr>
  <dimension ref="A2:F22"/>
  <sheetViews>
    <sheetView workbookViewId="0">
      <selection activeCell="C19" sqref="C19"/>
    </sheetView>
  </sheetViews>
  <sheetFormatPr baseColWidth="10" defaultRowHeight="16" x14ac:dyDescent="0.2"/>
  <cols>
    <col min="1" max="1" width="10.83203125" style="16"/>
    <col min="2" max="2" width="25.83203125" style="16" customWidth="1"/>
    <col min="3" max="4" width="75.83203125" style="16" customWidth="1"/>
    <col min="5" max="16384" width="10.83203125" style="16"/>
  </cols>
  <sheetData>
    <row r="2" spans="1:6" ht="21" x14ac:dyDescent="0.25">
      <c r="B2" s="15" t="s">
        <v>18</v>
      </c>
      <c r="C2" s="15"/>
    </row>
    <row r="3" spans="1:6" x14ac:dyDescent="0.2">
      <c r="A3" s="86"/>
      <c r="B3" s="86"/>
      <c r="C3" s="86"/>
      <c r="D3" s="86"/>
    </row>
    <row r="4" spans="1:6" x14ac:dyDescent="0.2">
      <c r="A4" s="86"/>
      <c r="B4" s="87" t="s">
        <v>67</v>
      </c>
      <c r="C4" s="88"/>
      <c r="D4" s="86"/>
    </row>
    <row r="5" spans="1:6" ht="79" customHeight="1" x14ac:dyDescent="0.2">
      <c r="A5" s="86"/>
      <c r="B5" s="156" t="s">
        <v>68</v>
      </c>
      <c r="C5" s="157"/>
      <c r="D5" s="86"/>
    </row>
    <row r="6" spans="1:6" ht="17" thickBot="1" x14ac:dyDescent="0.25">
      <c r="A6" s="86"/>
      <c r="B6" s="86"/>
      <c r="C6" s="86"/>
      <c r="D6" s="86"/>
    </row>
    <row r="7" spans="1:6" x14ac:dyDescent="0.2">
      <c r="A7" s="86"/>
      <c r="B7" s="89" t="s">
        <v>69</v>
      </c>
      <c r="C7" s="90"/>
      <c r="D7" s="91"/>
    </row>
    <row r="8" spans="1:6" x14ac:dyDescent="0.2">
      <c r="A8" s="86"/>
      <c r="B8" s="92"/>
      <c r="C8" s="93"/>
      <c r="D8" s="94"/>
      <c r="F8" s="95"/>
    </row>
    <row r="9" spans="1:6" x14ac:dyDescent="0.2">
      <c r="A9" s="86"/>
      <c r="B9" s="96" t="s">
        <v>70</v>
      </c>
      <c r="C9" s="97" t="s">
        <v>71</v>
      </c>
      <c r="D9" s="98" t="s">
        <v>72</v>
      </c>
    </row>
    <row r="10" spans="1:6" x14ac:dyDescent="0.2">
      <c r="A10" s="86"/>
      <c r="B10" s="99"/>
      <c r="C10" s="100"/>
      <c r="D10" s="101"/>
    </row>
    <row r="11" spans="1:6" ht="34" x14ac:dyDescent="0.2">
      <c r="B11" s="104"/>
      <c r="C11" s="103" t="s">
        <v>90</v>
      </c>
      <c r="D11" s="105"/>
      <c r="F11" s="106"/>
    </row>
    <row r="12" spans="1:6" x14ac:dyDescent="0.2">
      <c r="B12" s="104"/>
      <c r="C12" s="103"/>
      <c r="D12" s="105"/>
      <c r="F12" s="106"/>
    </row>
    <row r="13" spans="1:6" ht="17" thickBot="1" x14ac:dyDescent="0.25">
      <c r="B13" s="107"/>
      <c r="C13" s="108"/>
      <c r="D13" s="109"/>
    </row>
    <row r="14" spans="1:6" ht="17" thickBot="1" x14ac:dyDescent="0.25">
      <c r="B14" s="86"/>
      <c r="C14" s="86"/>
      <c r="D14" s="86"/>
    </row>
    <row r="15" spans="1:6" x14ac:dyDescent="0.2">
      <c r="B15" s="89" t="s">
        <v>73</v>
      </c>
      <c r="C15" s="90"/>
      <c r="D15" s="91"/>
    </row>
    <row r="16" spans="1:6" x14ac:dyDescent="0.2">
      <c r="B16" s="92"/>
      <c r="C16" s="93"/>
      <c r="D16" s="94"/>
    </row>
    <row r="17" spans="2:4" x14ac:dyDescent="0.2">
      <c r="B17" s="96" t="s">
        <v>70</v>
      </c>
      <c r="C17" s="97" t="s">
        <v>71</v>
      </c>
      <c r="D17" s="98" t="s">
        <v>74</v>
      </c>
    </row>
    <row r="18" spans="2:4" x14ac:dyDescent="0.2">
      <c r="B18" s="99"/>
      <c r="C18" s="110"/>
      <c r="D18" s="101"/>
    </row>
    <row r="19" spans="2:4" ht="17" x14ac:dyDescent="0.2">
      <c r="B19" s="102"/>
      <c r="C19" s="103" t="s">
        <v>97</v>
      </c>
      <c r="D19" s="105"/>
    </row>
    <row r="20" spans="2:4" x14ac:dyDescent="0.2">
      <c r="B20" s="102"/>
      <c r="C20" s="111"/>
      <c r="D20" s="112"/>
    </row>
    <row r="21" spans="2:4" ht="17" thickBot="1" x14ac:dyDescent="0.25">
      <c r="B21" s="113"/>
      <c r="C21" s="114"/>
      <c r="D21" s="115"/>
    </row>
    <row r="22" spans="2:4" x14ac:dyDescent="0.2">
      <c r="B22" s="86"/>
      <c r="C22" s="86"/>
      <c r="D22" s="86"/>
    </row>
  </sheetData>
  <mergeCells count="1">
    <mergeCell ref="B5:C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tabColor rgb="FFFFFF00"/>
  </sheetPr>
  <dimension ref="B1:N33"/>
  <sheetViews>
    <sheetView tabSelected="1" workbookViewId="0">
      <selection activeCell="B2" sqref="B2"/>
    </sheetView>
  </sheetViews>
  <sheetFormatPr baseColWidth="10" defaultRowHeight="16" x14ac:dyDescent="0.2"/>
  <cols>
    <col min="2" max="2" width="28.6640625" customWidth="1"/>
  </cols>
  <sheetData>
    <row r="1" spans="2:14" s="16" customFormat="1" x14ac:dyDescent="0.2">
      <c r="D1" s="116"/>
      <c r="E1" s="86"/>
      <c r="F1" s="86"/>
      <c r="G1" s="86"/>
      <c r="H1" s="86"/>
      <c r="I1" s="86"/>
    </row>
    <row r="2" spans="2:14" s="16" customFormat="1" ht="21" x14ac:dyDescent="0.25">
      <c r="B2" s="15" t="s">
        <v>41</v>
      </c>
      <c r="D2" s="116"/>
      <c r="E2" s="86"/>
      <c r="F2" s="86"/>
      <c r="G2" s="86"/>
      <c r="H2" s="86"/>
      <c r="I2" s="86"/>
      <c r="K2" s="123"/>
      <c r="L2" s="20"/>
      <c r="M2" s="21"/>
    </row>
    <row r="3" spans="2:14" s="16" customFormat="1" ht="15" customHeight="1" x14ac:dyDescent="0.25">
      <c r="B3" s="117"/>
      <c r="C3" s="86"/>
      <c r="D3" s="118"/>
      <c r="E3" s="86"/>
      <c r="F3" s="86"/>
      <c r="G3" s="86"/>
      <c r="H3" s="86"/>
      <c r="I3" s="86"/>
      <c r="J3" s="86"/>
      <c r="K3" s="124"/>
      <c r="L3" s="21"/>
      <c r="M3" s="21"/>
    </row>
    <row r="4" spans="2:14" s="16" customFormat="1" ht="15" customHeight="1" x14ac:dyDescent="0.2">
      <c r="B4" s="119" t="s">
        <v>67</v>
      </c>
      <c r="C4" s="120"/>
      <c r="D4" s="120"/>
      <c r="E4" s="120"/>
      <c r="F4" s="120"/>
      <c r="G4" s="121"/>
      <c r="H4" s="93"/>
      <c r="I4" s="93"/>
      <c r="J4" s="86"/>
      <c r="K4" s="125"/>
      <c r="L4" s="21"/>
      <c r="M4" s="21"/>
    </row>
    <row r="5" spans="2:14" s="16" customFormat="1" ht="15" customHeight="1" x14ac:dyDescent="0.2">
      <c r="B5" s="158" t="s">
        <v>91</v>
      </c>
      <c r="C5" s="159"/>
      <c r="D5" s="159"/>
      <c r="E5" s="159"/>
      <c r="F5" s="159"/>
      <c r="G5" s="160"/>
      <c r="H5" s="122"/>
      <c r="I5" s="122"/>
      <c r="J5" s="86"/>
      <c r="K5" s="126"/>
      <c r="L5" s="21"/>
      <c r="M5" s="21"/>
    </row>
    <row r="6" spans="2:14" s="16" customFormat="1" x14ac:dyDescent="0.2">
      <c r="B6" s="158"/>
      <c r="C6" s="159"/>
      <c r="D6" s="159"/>
      <c r="E6" s="159"/>
      <c r="F6" s="159"/>
      <c r="G6" s="160"/>
      <c r="H6" s="122"/>
      <c r="I6" s="122"/>
      <c r="J6" s="86"/>
      <c r="K6" s="126"/>
      <c r="L6" s="21"/>
      <c r="M6" s="21"/>
    </row>
    <row r="7" spans="2:14" s="16" customFormat="1" x14ac:dyDescent="0.2">
      <c r="B7" s="156"/>
      <c r="C7" s="161"/>
      <c r="D7" s="161"/>
      <c r="E7" s="161"/>
      <c r="F7" s="161"/>
      <c r="G7" s="157"/>
      <c r="H7" s="122"/>
      <c r="I7" s="122"/>
      <c r="J7" s="86"/>
      <c r="K7" s="126"/>
      <c r="L7" s="21"/>
      <c r="M7" s="21"/>
    </row>
    <row r="8" spans="2:14" s="16" customFormat="1" ht="15" customHeight="1" thickBot="1" x14ac:dyDescent="0.25">
      <c r="D8" s="116"/>
      <c r="E8" s="86"/>
      <c r="F8" s="86"/>
      <c r="G8" s="86"/>
      <c r="H8" s="86"/>
      <c r="I8" s="86"/>
    </row>
    <row r="9" spans="2:14" x14ac:dyDescent="0.2">
      <c r="B9" s="143" t="s">
        <v>18</v>
      </c>
      <c r="C9" s="127"/>
      <c r="D9" s="127"/>
      <c r="E9" s="127"/>
      <c r="F9" s="144" t="s">
        <v>83</v>
      </c>
      <c r="G9" s="127"/>
      <c r="H9" s="127"/>
      <c r="I9" s="127"/>
      <c r="J9" s="127"/>
      <c r="K9" s="127"/>
      <c r="L9" s="127"/>
      <c r="M9" s="127"/>
      <c r="N9" s="128"/>
    </row>
    <row r="10" spans="2:14" ht="17" thickBot="1" x14ac:dyDescent="0.25">
      <c r="B10" s="129"/>
      <c r="C10" s="130"/>
      <c r="D10" s="130"/>
      <c r="E10" s="130"/>
      <c r="F10" s="130"/>
      <c r="G10" s="130"/>
      <c r="H10" s="130"/>
      <c r="I10" s="130"/>
      <c r="J10" s="130"/>
      <c r="K10" s="130"/>
      <c r="L10" s="130"/>
      <c r="M10" s="130"/>
      <c r="N10" s="131"/>
    </row>
    <row r="11" spans="2:14" ht="15" customHeight="1" thickBot="1" x14ac:dyDescent="0.25">
      <c r="B11" s="129" t="s">
        <v>21</v>
      </c>
      <c r="D11" s="13">
        <v>1</v>
      </c>
      <c r="E11" s="130"/>
      <c r="F11" s="141" t="s">
        <v>94</v>
      </c>
      <c r="G11" s="130"/>
      <c r="H11" s="130"/>
      <c r="I11" s="130"/>
      <c r="J11" s="130"/>
      <c r="K11" s="130"/>
      <c r="L11" s="130"/>
      <c r="M11" s="130"/>
      <c r="N11" s="131"/>
    </row>
    <row r="12" spans="2:14" ht="15" customHeight="1" thickBot="1" x14ac:dyDescent="0.25">
      <c r="B12" s="129" t="s">
        <v>22</v>
      </c>
      <c r="D12" s="13">
        <v>0</v>
      </c>
      <c r="E12" s="130"/>
      <c r="F12" s="142" t="s">
        <v>94</v>
      </c>
      <c r="G12" s="130"/>
      <c r="H12" s="130"/>
      <c r="I12" s="130"/>
      <c r="J12" s="130"/>
      <c r="K12" s="130"/>
      <c r="L12" s="130"/>
      <c r="M12" s="130"/>
      <c r="N12" s="131"/>
    </row>
    <row r="13" spans="2:14" ht="17" thickBot="1" x14ac:dyDescent="0.25">
      <c r="B13" s="129"/>
      <c r="D13" s="14"/>
      <c r="E13" s="130"/>
      <c r="F13" s="130"/>
      <c r="G13" s="130"/>
      <c r="H13" s="130"/>
      <c r="I13" s="130"/>
      <c r="J13" s="130"/>
      <c r="K13" s="130"/>
      <c r="L13" s="130"/>
      <c r="M13" s="130"/>
      <c r="N13" s="131"/>
    </row>
    <row r="14" spans="2:14" ht="17" thickBot="1" x14ac:dyDescent="0.25">
      <c r="B14" s="129" t="s">
        <v>23</v>
      </c>
      <c r="D14" s="13">
        <v>0.62350000000000005</v>
      </c>
      <c r="E14" s="130"/>
      <c r="F14" s="142" t="s">
        <v>96</v>
      </c>
      <c r="G14" s="130"/>
      <c r="H14" s="130"/>
      <c r="I14" s="130"/>
      <c r="J14" s="130"/>
      <c r="K14" s="130"/>
      <c r="L14" s="130"/>
      <c r="M14" s="130"/>
      <c r="N14" s="131"/>
    </row>
    <row r="15" spans="2:14" x14ac:dyDescent="0.2">
      <c r="B15" s="129"/>
      <c r="D15" s="130"/>
      <c r="E15" s="130"/>
      <c r="F15" s="130"/>
      <c r="G15" s="130"/>
      <c r="H15" s="130"/>
      <c r="I15" s="130"/>
      <c r="J15" s="130"/>
      <c r="K15" s="130"/>
      <c r="L15" s="130"/>
      <c r="M15" s="130"/>
      <c r="N15" s="131"/>
    </row>
    <row r="16" spans="2:14" x14ac:dyDescent="0.2">
      <c r="B16" s="129" t="s">
        <v>20</v>
      </c>
      <c r="D16" s="130">
        <v>41.868000000000002</v>
      </c>
      <c r="E16" s="130"/>
      <c r="F16" s="130"/>
      <c r="G16" s="130"/>
      <c r="H16" s="130"/>
      <c r="I16" s="130"/>
      <c r="J16" s="130"/>
      <c r="K16" s="130"/>
      <c r="L16" s="130"/>
      <c r="M16" s="130"/>
      <c r="N16" s="131"/>
    </row>
    <row r="17" spans="2:14" x14ac:dyDescent="0.2">
      <c r="B17" s="129"/>
      <c r="C17" s="130"/>
      <c r="D17" s="130"/>
      <c r="E17" s="130"/>
      <c r="F17" s="130"/>
      <c r="G17" s="130"/>
      <c r="H17" s="130"/>
      <c r="I17" s="130"/>
      <c r="J17" s="130"/>
      <c r="K17" s="130"/>
      <c r="L17" s="130"/>
      <c r="M17" s="130"/>
      <c r="N17" s="131"/>
    </row>
    <row r="18" spans="2:14" x14ac:dyDescent="0.2">
      <c r="B18" s="129"/>
      <c r="C18" s="130"/>
      <c r="D18" s="130"/>
      <c r="E18" s="130"/>
      <c r="F18" s="130"/>
      <c r="G18" s="130"/>
      <c r="H18" s="130"/>
      <c r="I18" s="130"/>
      <c r="J18" s="130"/>
      <c r="K18" s="130"/>
      <c r="L18" s="130"/>
      <c r="M18" s="130"/>
      <c r="N18" s="131"/>
    </row>
    <row r="19" spans="2:14" x14ac:dyDescent="0.2">
      <c r="B19" s="132" t="s">
        <v>7</v>
      </c>
      <c r="C19" s="133">
        <v>2000</v>
      </c>
      <c r="D19" s="133">
        <v>2005</v>
      </c>
      <c r="E19" s="133">
        <v>2010</v>
      </c>
      <c r="F19" s="133">
        <v>2015</v>
      </c>
      <c r="G19" s="133">
        <v>2020</v>
      </c>
      <c r="H19" s="133">
        <v>2025</v>
      </c>
      <c r="I19" s="133">
        <v>2030</v>
      </c>
      <c r="J19" s="133">
        <v>2035</v>
      </c>
      <c r="K19" s="133">
        <v>2040</v>
      </c>
      <c r="L19" s="133">
        <v>2045</v>
      </c>
      <c r="M19" s="133">
        <v>2050</v>
      </c>
      <c r="N19" s="131"/>
    </row>
    <row r="20" spans="2:14" ht="17" thickBot="1" x14ac:dyDescent="0.25">
      <c r="B20" s="134"/>
      <c r="C20" s="3"/>
      <c r="D20" s="3"/>
      <c r="E20" s="3"/>
      <c r="F20" s="3"/>
      <c r="G20" s="3"/>
      <c r="H20" s="3"/>
      <c r="I20" s="3"/>
      <c r="J20" s="3"/>
      <c r="K20" s="3"/>
      <c r="L20" s="3"/>
      <c r="M20" s="3"/>
      <c r="N20" s="131"/>
    </row>
    <row r="21" spans="2:14" x14ac:dyDescent="0.2">
      <c r="B21" s="132" t="s">
        <v>98</v>
      </c>
      <c r="C21" s="4">
        <v>268545.79999999993</v>
      </c>
      <c r="D21" s="5">
        <v>204420.30000000002</v>
      </c>
      <c r="E21" s="5">
        <v>147634.19999999995</v>
      </c>
      <c r="F21" s="5">
        <v>115064.20257741315</v>
      </c>
      <c r="G21" s="5">
        <v>108346.09252051242</v>
      </c>
      <c r="H21" s="5">
        <v>96097.29358688058</v>
      </c>
      <c r="I21" s="5">
        <v>92745.245650708515</v>
      </c>
      <c r="J21" s="5">
        <v>80655.725063193138</v>
      </c>
      <c r="K21" s="5">
        <v>72256.097727177374</v>
      </c>
      <c r="L21" s="5">
        <v>65238.669961784959</v>
      </c>
      <c r="M21" s="6">
        <v>63581.704407514713</v>
      </c>
      <c r="N21" s="131"/>
    </row>
    <row r="22" spans="2:14" x14ac:dyDescent="0.2">
      <c r="B22" s="135" t="s">
        <v>9</v>
      </c>
      <c r="C22" s="7">
        <v>18657.999999999996</v>
      </c>
      <c r="D22" s="8">
        <v>11898.9</v>
      </c>
      <c r="E22" s="8">
        <v>10750.9</v>
      </c>
      <c r="F22" s="8">
        <v>6067.365903679085</v>
      </c>
      <c r="G22" s="8">
        <v>3421.2221744946501</v>
      </c>
      <c r="H22" s="8">
        <v>3046.68977793662</v>
      </c>
      <c r="I22" s="8">
        <v>1736.133992742894</v>
      </c>
      <c r="J22" s="8">
        <v>1166.7016000454805</v>
      </c>
      <c r="K22" s="8">
        <v>838.22932760232334</v>
      </c>
      <c r="L22" s="8">
        <v>705.74123437523394</v>
      </c>
      <c r="M22" s="9">
        <v>522.33991908546636</v>
      </c>
      <c r="N22" s="131"/>
    </row>
    <row r="23" spans="2:14" x14ac:dyDescent="0.2">
      <c r="B23" s="135" t="s">
        <v>10</v>
      </c>
      <c r="C23" s="7">
        <v>127938.50000000001</v>
      </c>
      <c r="D23" s="8">
        <v>87929.9</v>
      </c>
      <c r="E23" s="8">
        <v>63787.899999999994</v>
      </c>
      <c r="F23" s="8">
        <v>48198.621716009351</v>
      </c>
      <c r="G23" s="8">
        <v>40965.354934149582</v>
      </c>
      <c r="H23" s="8">
        <v>33041.54108252791</v>
      </c>
      <c r="I23" s="8">
        <v>26446.944599358481</v>
      </c>
      <c r="J23" s="8">
        <v>20173.899841662143</v>
      </c>
      <c r="K23" s="8">
        <v>14325.580847512314</v>
      </c>
      <c r="L23" s="8">
        <v>8134.6006736756826</v>
      </c>
      <c r="M23" s="9">
        <v>2952.3978463354447</v>
      </c>
      <c r="N23" s="131"/>
    </row>
    <row r="24" spans="2:14" x14ac:dyDescent="0.2">
      <c r="B24" s="135" t="s">
        <v>3</v>
      </c>
      <c r="C24" s="7">
        <v>97554.3</v>
      </c>
      <c r="D24" s="8">
        <v>79397.3</v>
      </c>
      <c r="E24" s="8">
        <v>51468.199999999983</v>
      </c>
      <c r="F24" s="8">
        <v>34246.878684253265</v>
      </c>
      <c r="G24" s="8">
        <v>26819.107629631915</v>
      </c>
      <c r="H24" s="8">
        <v>22737.638015126548</v>
      </c>
      <c r="I24" s="8">
        <v>16089.819702719527</v>
      </c>
      <c r="J24" s="8">
        <v>12373.461316385055</v>
      </c>
      <c r="K24" s="8">
        <v>8567.3817767879773</v>
      </c>
      <c r="L24" s="8">
        <v>6073.5795834912797</v>
      </c>
      <c r="M24" s="9">
        <v>2173.4056300486463</v>
      </c>
      <c r="N24" s="131"/>
    </row>
    <row r="25" spans="2:14" x14ac:dyDescent="0.2">
      <c r="B25" s="135" t="s">
        <v>11</v>
      </c>
      <c r="C25" s="7">
        <v>21942.3</v>
      </c>
      <c r="D25" s="8">
        <v>21053.7</v>
      </c>
      <c r="E25" s="8">
        <v>16029.2</v>
      </c>
      <c r="F25" s="8">
        <v>15792.844048664405</v>
      </c>
      <c r="G25" s="8">
        <v>15374.162120383982</v>
      </c>
      <c r="H25" s="8">
        <v>13860.036672983264</v>
      </c>
      <c r="I25" s="8">
        <v>23774.191530297667</v>
      </c>
      <c r="J25" s="8">
        <v>21477.598813350269</v>
      </c>
      <c r="K25" s="8">
        <v>22467.452616280447</v>
      </c>
      <c r="L25" s="8">
        <v>25436.149984701497</v>
      </c>
      <c r="M25" s="9">
        <v>31373.5447215436</v>
      </c>
      <c r="N25" s="131"/>
    </row>
    <row r="26" spans="2:14" x14ac:dyDescent="0.2">
      <c r="B26" s="135" t="s">
        <v>12</v>
      </c>
      <c r="C26" s="7">
        <v>2452.7000000000007</v>
      </c>
      <c r="D26" s="8">
        <v>4140.5</v>
      </c>
      <c r="E26" s="8">
        <v>5597.9999999999991</v>
      </c>
      <c r="F26" s="8">
        <v>10758.492224807043</v>
      </c>
      <c r="G26" s="8">
        <v>21766.245661852285</v>
      </c>
      <c r="H26" s="8">
        <v>23411.388038306257</v>
      </c>
      <c r="I26" s="8">
        <v>24698.155825589936</v>
      </c>
      <c r="J26" s="8">
        <v>25464.063491750177</v>
      </c>
      <c r="K26" s="8">
        <v>26057.453158994293</v>
      </c>
      <c r="L26" s="8">
        <v>24888.598485541261</v>
      </c>
      <c r="M26" s="9">
        <v>26560.01629050156</v>
      </c>
      <c r="N26" s="131"/>
    </row>
    <row r="27" spans="2:14" x14ac:dyDescent="0.2">
      <c r="B27" s="136" t="s">
        <v>13</v>
      </c>
      <c r="C27" s="7">
        <v>437.3</v>
      </c>
      <c r="D27" s="8">
        <v>423.20000000000005</v>
      </c>
      <c r="E27" s="8">
        <v>306.8</v>
      </c>
      <c r="F27" s="8">
        <v>477.29433202569305</v>
      </c>
      <c r="G27" s="8">
        <v>465.80142275649706</v>
      </c>
      <c r="H27" s="8">
        <v>469.8774254308334</v>
      </c>
      <c r="I27" s="8">
        <v>470.30371782959133</v>
      </c>
      <c r="J27" s="8">
        <v>470.51575169302942</v>
      </c>
      <c r="K27" s="8">
        <v>470.23274611759336</v>
      </c>
      <c r="L27" s="8">
        <v>470.73803398483886</v>
      </c>
      <c r="M27" s="9">
        <v>477.88085558612539</v>
      </c>
      <c r="N27" s="131"/>
    </row>
    <row r="28" spans="2:14" x14ac:dyDescent="0.2">
      <c r="B28" s="136" t="s">
        <v>14</v>
      </c>
      <c r="C28" s="7">
        <v>1921.9000000000003</v>
      </c>
      <c r="D28" s="8">
        <v>3436.7</v>
      </c>
      <c r="E28" s="8">
        <v>4314.0999999999985</v>
      </c>
      <c r="F28" s="8">
        <v>6433.7006371489624</v>
      </c>
      <c r="G28" s="8">
        <v>11741.78589286289</v>
      </c>
      <c r="H28" s="8">
        <v>13169.335833374613</v>
      </c>
      <c r="I28" s="8">
        <v>14599.024180335271</v>
      </c>
      <c r="J28" s="8">
        <v>15286.626783260424</v>
      </c>
      <c r="K28" s="8">
        <v>15362.308248767524</v>
      </c>
      <c r="L28" s="8">
        <v>12936.653114736273</v>
      </c>
      <c r="M28" s="9">
        <v>13122.854329271899</v>
      </c>
      <c r="N28" s="131"/>
    </row>
    <row r="29" spans="2:14" x14ac:dyDescent="0.2">
      <c r="B29" s="136" t="s">
        <v>15</v>
      </c>
      <c r="C29" s="7">
        <v>81.400000000000006</v>
      </c>
      <c r="D29" s="8">
        <v>249.7</v>
      </c>
      <c r="E29" s="8">
        <v>875.3</v>
      </c>
      <c r="F29" s="8">
        <v>2968.7394056389703</v>
      </c>
      <c r="G29" s="8">
        <v>8203.9218075041772</v>
      </c>
      <c r="H29" s="8">
        <v>8203.9218075041772</v>
      </c>
      <c r="I29" s="8">
        <v>8203.9218075041772</v>
      </c>
      <c r="J29" s="8">
        <v>8226.0812707023942</v>
      </c>
      <c r="K29" s="8">
        <v>8565.1113698178924</v>
      </c>
      <c r="L29" s="8">
        <v>9795.4637887533227</v>
      </c>
      <c r="M29" s="9">
        <v>11233.001019397221</v>
      </c>
      <c r="N29" s="131"/>
    </row>
    <row r="30" spans="2:14" x14ac:dyDescent="0.2">
      <c r="B30" s="136" t="s">
        <v>16</v>
      </c>
      <c r="C30" s="7">
        <v>11.299999999999999</v>
      </c>
      <c r="D30" s="8">
        <v>30.099999999999998</v>
      </c>
      <c r="E30" s="8">
        <v>101</v>
      </c>
      <c r="F30" s="8">
        <v>877.95784999341799</v>
      </c>
      <c r="G30" s="8">
        <v>1351.6702987716667</v>
      </c>
      <c r="H30" s="8">
        <v>1558.0481289672189</v>
      </c>
      <c r="I30" s="8">
        <v>1405.2493073079468</v>
      </c>
      <c r="J30" s="8">
        <v>1457.426323415465</v>
      </c>
      <c r="K30" s="8">
        <v>1624.1108502986647</v>
      </c>
      <c r="L30" s="8">
        <v>1636.0080343276136</v>
      </c>
      <c r="M30" s="9">
        <v>1664.4780049176611</v>
      </c>
      <c r="N30" s="131"/>
    </row>
    <row r="31" spans="2:14" ht="17" thickBot="1" x14ac:dyDescent="0.25">
      <c r="B31" s="136" t="s">
        <v>17</v>
      </c>
      <c r="C31" s="10">
        <v>0.79999999999999993</v>
      </c>
      <c r="D31" s="11">
        <v>0.79999999999999993</v>
      </c>
      <c r="E31" s="11">
        <v>0.79999999999999993</v>
      </c>
      <c r="F31" s="11">
        <v>0.79999999999999993</v>
      </c>
      <c r="G31" s="11">
        <v>3.0662399570545316</v>
      </c>
      <c r="H31" s="11">
        <v>10.204843029414628</v>
      </c>
      <c r="I31" s="11">
        <v>19.656812612950475</v>
      </c>
      <c r="J31" s="11">
        <v>23.413362678866037</v>
      </c>
      <c r="K31" s="11">
        <v>35.689943992618225</v>
      </c>
      <c r="L31" s="11">
        <v>49.735513739215392</v>
      </c>
      <c r="M31" s="12">
        <v>61.802081328651546</v>
      </c>
      <c r="N31" s="131"/>
    </row>
    <row r="32" spans="2:14" x14ac:dyDescent="0.2">
      <c r="B32" s="129"/>
      <c r="C32" s="130"/>
      <c r="D32" s="130"/>
      <c r="E32" s="130"/>
      <c r="F32" s="130"/>
      <c r="G32" s="130"/>
      <c r="H32" s="130"/>
      <c r="I32" s="130"/>
      <c r="J32" s="130"/>
      <c r="K32" s="130"/>
      <c r="L32" s="130"/>
      <c r="M32" s="130"/>
      <c r="N32" s="131"/>
    </row>
    <row r="33" spans="2:14" ht="17" thickBot="1" x14ac:dyDescent="0.25">
      <c r="B33" s="137"/>
      <c r="C33" s="138"/>
      <c r="D33" s="138"/>
      <c r="E33" s="138"/>
      <c r="F33" s="138"/>
      <c r="G33" s="138"/>
      <c r="H33" s="138"/>
      <c r="I33" s="138"/>
      <c r="J33" s="138"/>
      <c r="K33" s="138"/>
      <c r="L33" s="138"/>
      <c r="M33" s="138"/>
      <c r="N33" s="139"/>
    </row>
  </sheetData>
  <mergeCells count="1">
    <mergeCell ref="B5:G7"/>
  </mergeCells>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xport_timecurves">
                <anchor moveWithCells="1" sizeWithCells="1">
                  <from>
                    <xdr:col>8</xdr:col>
                    <xdr:colOff>0</xdr:colOff>
                    <xdr:row>4</xdr:row>
                    <xdr:rowOff>114300</xdr:rowOff>
                  </from>
                  <to>
                    <xdr:col>12</xdr:col>
                    <xdr:colOff>0</xdr:colOff>
                    <xdr:row>5</xdr:row>
                    <xdr:rowOff>101600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theme="8" tint="0.39997558519241921"/>
  </sheetPr>
  <dimension ref="B2:M20"/>
  <sheetViews>
    <sheetView workbookViewId="0">
      <selection activeCell="B18" sqref="B18"/>
    </sheetView>
  </sheetViews>
  <sheetFormatPr baseColWidth="10" defaultRowHeight="16" x14ac:dyDescent="0.2"/>
  <cols>
    <col min="2" max="2" width="37.83203125" customWidth="1"/>
  </cols>
  <sheetData>
    <row r="2" spans="2:13" s="16" customFormat="1" ht="15" customHeight="1" x14ac:dyDescent="0.2">
      <c r="B2" s="119" t="s">
        <v>67</v>
      </c>
      <c r="C2" s="120"/>
      <c r="D2" s="120"/>
      <c r="E2" s="120"/>
      <c r="F2" s="120"/>
      <c r="G2" s="121"/>
      <c r="H2" s="93"/>
      <c r="I2" s="93"/>
      <c r="J2" s="86"/>
      <c r="K2" s="125"/>
      <c r="L2" s="21"/>
      <c r="M2" s="21"/>
    </row>
    <row r="3" spans="2:13" s="16" customFormat="1" ht="15" customHeight="1" x14ac:dyDescent="0.2">
      <c r="B3" s="158" t="s">
        <v>92</v>
      </c>
      <c r="C3" s="159"/>
      <c r="D3" s="159"/>
      <c r="E3" s="159"/>
      <c r="F3" s="159"/>
      <c r="G3" s="160"/>
      <c r="H3" s="122"/>
      <c r="I3" s="122"/>
      <c r="J3" s="86"/>
      <c r="K3" s="126"/>
      <c r="L3" s="21"/>
      <c r="M3" s="21"/>
    </row>
    <row r="4" spans="2:13" s="16" customFormat="1" x14ac:dyDescent="0.2">
      <c r="B4" s="158"/>
      <c r="C4" s="159"/>
      <c r="D4" s="159"/>
      <c r="E4" s="159"/>
      <c r="F4" s="159"/>
      <c r="G4" s="160"/>
      <c r="H4" s="122"/>
      <c r="I4" s="122"/>
      <c r="J4" s="86"/>
      <c r="K4" s="126"/>
      <c r="L4" s="21"/>
      <c r="M4" s="21"/>
    </row>
    <row r="5" spans="2:13" s="16" customFormat="1" x14ac:dyDescent="0.2">
      <c r="B5" s="156"/>
      <c r="C5" s="161"/>
      <c r="D5" s="161"/>
      <c r="E5" s="161"/>
      <c r="F5" s="161"/>
      <c r="G5" s="157"/>
      <c r="H5" s="122"/>
      <c r="I5" s="122"/>
      <c r="J5" s="86"/>
      <c r="K5" s="126"/>
      <c r="L5" s="21"/>
      <c r="M5" s="21"/>
    </row>
    <row r="6" spans="2:13" x14ac:dyDescent="0.2">
      <c r="B6" s="145"/>
      <c r="C6" s="145"/>
      <c r="D6" s="145"/>
      <c r="E6" s="145"/>
      <c r="F6" s="145"/>
      <c r="G6" s="145"/>
      <c r="H6" s="145"/>
      <c r="I6" s="145"/>
      <c r="J6" s="145"/>
      <c r="K6" s="145"/>
      <c r="L6" s="145"/>
      <c r="M6" s="145"/>
    </row>
    <row r="7" spans="2:13" x14ac:dyDescent="0.2">
      <c r="B7" s="146" t="s">
        <v>19</v>
      </c>
      <c r="C7" s="150">
        <v>2000</v>
      </c>
      <c r="D7" s="150">
        <v>2005</v>
      </c>
      <c r="E7" s="150">
        <v>2010</v>
      </c>
      <c r="F7" s="150">
        <v>2015</v>
      </c>
      <c r="G7" s="150">
        <v>2020</v>
      </c>
      <c r="H7" s="150">
        <v>2025</v>
      </c>
      <c r="I7" s="150">
        <v>2030</v>
      </c>
      <c r="J7" s="150">
        <v>2035</v>
      </c>
      <c r="K7" s="150">
        <v>2040</v>
      </c>
      <c r="L7" s="150">
        <v>2045</v>
      </c>
      <c r="M7" s="150">
        <v>2050</v>
      </c>
    </row>
    <row r="8" spans="2:13" x14ac:dyDescent="0.2">
      <c r="B8" s="147"/>
      <c r="C8" s="151"/>
      <c r="D8" s="151"/>
      <c r="E8" s="151"/>
      <c r="F8" s="151"/>
      <c r="G8" s="151"/>
      <c r="H8" s="151"/>
      <c r="I8" s="151"/>
      <c r="J8" s="151"/>
      <c r="K8" s="151"/>
      <c r="L8" s="151"/>
      <c r="M8" s="151"/>
    </row>
    <row r="9" spans="2:13" x14ac:dyDescent="0.2">
      <c r="B9" s="147" t="s">
        <v>8</v>
      </c>
      <c r="C9" s="152">
        <f>Dashboard!C21*ktoe_TJ</f>
        <v>11243475.554399997</v>
      </c>
      <c r="D9" s="152">
        <f>Dashboard!D21*ktoe_TJ</f>
        <v>8558669.1204000004</v>
      </c>
      <c r="E9" s="152">
        <f>Dashboard!E21*ktoe_TJ</f>
        <v>6181148.6855999986</v>
      </c>
      <c r="F9" s="152">
        <f>Dashboard!F21*ktoe_TJ</f>
        <v>4817508.0335111339</v>
      </c>
      <c r="G9" s="152">
        <f>Dashboard!G21*ktoe_TJ</f>
        <v>4536234.2016488146</v>
      </c>
      <c r="H9" s="152">
        <f>Dashboard!H21*ktoe_TJ</f>
        <v>4023401.4878955162</v>
      </c>
      <c r="I9" s="152">
        <f>Dashboard!I21*ktoe_TJ</f>
        <v>3883057.9449038645</v>
      </c>
      <c r="J9" s="152">
        <f>Dashboard!J21*ktoe_TJ</f>
        <v>3376893.8969457704</v>
      </c>
      <c r="K9" s="152">
        <f>Dashboard!K21*ktoe_TJ</f>
        <v>3025218.2996414625</v>
      </c>
      <c r="L9" s="152">
        <f>Dashboard!L21*ktoe_TJ</f>
        <v>2731412.6339600128</v>
      </c>
      <c r="M9" s="152">
        <f>Dashboard!M21*ktoe_TJ</f>
        <v>2662038.8001338262</v>
      </c>
    </row>
    <row r="10" spans="2:13" x14ac:dyDescent="0.2">
      <c r="B10" s="149" t="s">
        <v>9</v>
      </c>
      <c r="C10" s="153">
        <f>Dashboard!C22*ktoe_TJ</f>
        <v>781173.14399999985</v>
      </c>
      <c r="D10" s="153">
        <f>Dashboard!D22*ktoe_TJ</f>
        <v>498183.14520000003</v>
      </c>
      <c r="E10" s="153">
        <f>Dashboard!E22*ktoe_TJ</f>
        <v>450118.68119999999</v>
      </c>
      <c r="F10" s="153">
        <f>Dashboard!F22*ktoe_TJ</f>
        <v>254028.47565523593</v>
      </c>
      <c r="G10" s="153">
        <f>Dashboard!G22*ktoe_TJ</f>
        <v>143239.73000174202</v>
      </c>
      <c r="H10" s="153">
        <f>Dashboard!H22*ktoe_TJ</f>
        <v>127558.80762265041</v>
      </c>
      <c r="I10" s="153">
        <f>Dashboard!I22*ktoe_TJ</f>
        <v>72688.45800815949</v>
      </c>
      <c r="J10" s="153">
        <f>Dashboard!J22*ktoe_TJ</f>
        <v>48847.462590704177</v>
      </c>
      <c r="K10" s="153">
        <f>Dashboard!K22*ktoe_TJ</f>
        <v>35094.985488054073</v>
      </c>
      <c r="L10" s="153">
        <f>Dashboard!L22*ktoe_TJ</f>
        <v>29547.974000822298</v>
      </c>
      <c r="M10" s="153">
        <f>Dashboard!M22*ktoe_TJ</f>
        <v>21869.327732270307</v>
      </c>
    </row>
    <row r="11" spans="2:13" x14ac:dyDescent="0.2">
      <c r="B11" s="149" t="s">
        <v>10</v>
      </c>
      <c r="C11" s="153">
        <f>Dashboard!C23*ktoe_TJ</f>
        <v>5356529.1180000007</v>
      </c>
      <c r="D11" s="153">
        <f>Dashboard!D23*ktoe_TJ</f>
        <v>3681449.0532</v>
      </c>
      <c r="E11" s="153">
        <f>Dashboard!E23*ktoe_TJ</f>
        <v>2670671.7971999999</v>
      </c>
      <c r="F11" s="153">
        <f>Dashboard!F23*ktoe_TJ</f>
        <v>2017979.8940058795</v>
      </c>
      <c r="G11" s="153">
        <f>Dashboard!G23*ktoe_TJ</f>
        <v>1715137.4803829747</v>
      </c>
      <c r="H11" s="153">
        <f>Dashboard!H23*ktoe_TJ</f>
        <v>1383383.2420432786</v>
      </c>
      <c r="I11" s="153">
        <f>Dashboard!I23*ktoe_TJ</f>
        <v>1107280.676485941</v>
      </c>
      <c r="J11" s="153">
        <f>Dashboard!J23*ktoe_TJ</f>
        <v>844640.83857071062</v>
      </c>
      <c r="K11" s="153">
        <f>Dashboard!K23*ktoe_TJ</f>
        <v>599783.41892364563</v>
      </c>
      <c r="L11" s="153">
        <f>Dashboard!L23*ktoe_TJ</f>
        <v>340579.46100545349</v>
      </c>
      <c r="M11" s="153">
        <f>Dashboard!M23*ktoe_TJ</f>
        <v>123610.99303037241</v>
      </c>
    </row>
    <row r="12" spans="2:13" x14ac:dyDescent="0.2">
      <c r="B12" s="149" t="s">
        <v>3</v>
      </c>
      <c r="C12" s="153">
        <f>Dashboard!C24*ktoe_TJ</f>
        <v>4084403.4324000003</v>
      </c>
      <c r="D12" s="153">
        <f>Dashboard!D24*ktoe_TJ</f>
        <v>3324206.1564000002</v>
      </c>
      <c r="E12" s="153">
        <f>Dashboard!E24*ktoe_TJ</f>
        <v>2154870.5975999995</v>
      </c>
      <c r="F12" s="153">
        <f>Dashboard!F24*ktoe_TJ</f>
        <v>1433848.3167523157</v>
      </c>
      <c r="G12" s="153">
        <f>Dashboard!G24*ktoe_TJ</f>
        <v>1122862.3982374291</v>
      </c>
      <c r="H12" s="153">
        <f>Dashboard!H24*ktoe_TJ</f>
        <v>951979.42841731838</v>
      </c>
      <c r="I12" s="153">
        <f>Dashboard!I24*ktoe_TJ</f>
        <v>673648.57131346117</v>
      </c>
      <c r="J12" s="153">
        <f>Dashboard!J24*ktoe_TJ</f>
        <v>518052.0783944095</v>
      </c>
      <c r="K12" s="153">
        <f>Dashboard!K24*ktoe_TJ</f>
        <v>358699.14023055905</v>
      </c>
      <c r="L12" s="153">
        <f>Dashboard!L24*ktoe_TJ</f>
        <v>254288.63000161291</v>
      </c>
      <c r="M12" s="153">
        <f>Dashboard!M24*ktoe_TJ</f>
        <v>90996.146918876737</v>
      </c>
    </row>
    <row r="13" spans="2:13" x14ac:dyDescent="0.2">
      <c r="B13" s="149" t="s">
        <v>11</v>
      </c>
      <c r="C13" s="153">
        <f>Dashboard!C25*ktoe_TJ</f>
        <v>918680.21640000003</v>
      </c>
      <c r="D13" s="153">
        <f>Dashboard!D25*ktoe_TJ</f>
        <v>881476.31160000013</v>
      </c>
      <c r="E13" s="153">
        <f>Dashboard!E25*ktoe_TJ</f>
        <v>671110.54560000007</v>
      </c>
      <c r="F13" s="153">
        <f>Dashboard!F25*ktoe_TJ</f>
        <v>661214.79462948139</v>
      </c>
      <c r="G13" s="153">
        <f>Dashboard!G25*ktoe_TJ</f>
        <v>643685.41965623666</v>
      </c>
      <c r="H13" s="153">
        <f>Dashboard!H25*ktoe_TJ</f>
        <v>580292.01542446332</v>
      </c>
      <c r="I13" s="153">
        <f>Dashboard!I25*ktoe_TJ</f>
        <v>995377.85099050275</v>
      </c>
      <c r="J13" s="153">
        <f>Dashboard!J25*ktoe_TJ</f>
        <v>899224.10711734905</v>
      </c>
      <c r="K13" s="153">
        <f>Dashboard!K25*ktoe_TJ</f>
        <v>940667.30613842979</v>
      </c>
      <c r="L13" s="153">
        <f>Dashboard!L25*ktoe_TJ</f>
        <v>1064960.7275594822</v>
      </c>
      <c r="M13" s="153">
        <f>Dashboard!M25*ktoe_TJ</f>
        <v>1313547.5704015875</v>
      </c>
    </row>
    <row r="14" spans="2:13" x14ac:dyDescent="0.2">
      <c r="B14" s="149" t="s">
        <v>12</v>
      </c>
      <c r="C14" s="153">
        <f>Dashboard!C26*ktoe_TJ</f>
        <v>102689.64360000004</v>
      </c>
      <c r="D14" s="153">
        <f>Dashboard!D26*ktoe_TJ</f>
        <v>173354.454</v>
      </c>
      <c r="E14" s="153">
        <f>Dashboard!E26*ktoe_TJ</f>
        <v>234377.06399999998</v>
      </c>
      <c r="F14" s="153">
        <f>Dashboard!F26*ktoe_TJ</f>
        <v>450436.55246822134</v>
      </c>
      <c r="G14" s="153">
        <f>Dashboard!G26*ktoe_TJ</f>
        <v>911309.17337043153</v>
      </c>
      <c r="H14" s="153">
        <f>Dashboard!H26*ktoe_TJ</f>
        <v>980187.99438780639</v>
      </c>
      <c r="I14" s="153">
        <f>Dashboard!I26*ktoe_TJ</f>
        <v>1034062.3881057996</v>
      </c>
      <c r="J14" s="153">
        <f>Dashboard!J26*ktoe_TJ</f>
        <v>1066129.4102725964</v>
      </c>
      <c r="K14" s="153">
        <f>Dashboard!K26*ktoe_TJ</f>
        <v>1090973.4488607731</v>
      </c>
      <c r="L14" s="153">
        <f>Dashboard!L26*ktoe_TJ</f>
        <v>1042035.8413926415</v>
      </c>
      <c r="M14" s="153">
        <f>Dashboard!M26*ktoe_TJ</f>
        <v>1112014.7620507195</v>
      </c>
    </row>
    <row r="15" spans="2:13" x14ac:dyDescent="0.2">
      <c r="B15" s="149" t="s">
        <v>13</v>
      </c>
      <c r="C15" s="153">
        <f>Dashboard!C27*ktoe_TJ</f>
        <v>18308.876400000001</v>
      </c>
      <c r="D15" s="153">
        <f>Dashboard!D27*ktoe_TJ</f>
        <v>17718.537600000003</v>
      </c>
      <c r="E15" s="153">
        <f>Dashboard!E27*ktoe_TJ</f>
        <v>12845.102400000002</v>
      </c>
      <c r="F15" s="153">
        <f>Dashboard!F27*ktoe_TJ</f>
        <v>19983.359093251718</v>
      </c>
      <c r="G15" s="153">
        <f>Dashboard!G27*ktoe_TJ</f>
        <v>19502.173967969018</v>
      </c>
      <c r="H15" s="153">
        <f>Dashboard!H27*ktoe_TJ</f>
        <v>19672.828047938132</v>
      </c>
      <c r="I15" s="153">
        <f>Dashboard!I27*ktoe_TJ</f>
        <v>19690.676058089331</v>
      </c>
      <c r="J15" s="153">
        <f>Dashboard!J27*ktoe_TJ</f>
        <v>19699.553491883755</v>
      </c>
      <c r="K15" s="153">
        <f>Dashboard!K27*ktoe_TJ</f>
        <v>19687.704614451399</v>
      </c>
      <c r="L15" s="153">
        <f>Dashboard!L27*ktoe_TJ</f>
        <v>19708.860006877236</v>
      </c>
      <c r="M15" s="153">
        <f>Dashboard!M27*ktoe_TJ</f>
        <v>20007.915661679897</v>
      </c>
    </row>
    <row r="16" spans="2:13" x14ac:dyDescent="0.2">
      <c r="B16" s="149" t="s">
        <v>14</v>
      </c>
      <c r="C16" s="153">
        <f>Dashboard!C28*ktoe_TJ</f>
        <v>80466.109200000021</v>
      </c>
      <c r="D16" s="153">
        <f>Dashboard!D28*ktoe_TJ</f>
        <v>143887.7556</v>
      </c>
      <c r="E16" s="153">
        <f>Dashboard!E28*ktoe_TJ</f>
        <v>180622.73879999993</v>
      </c>
      <c r="F16" s="153">
        <f>Dashboard!F28*ktoe_TJ</f>
        <v>269366.17827615276</v>
      </c>
      <c r="G16" s="153">
        <f>Dashboard!G28*ktoe_TJ</f>
        <v>491605.09176238353</v>
      </c>
      <c r="H16" s="153">
        <f>Dashboard!H28*ktoe_TJ</f>
        <v>551373.75267172826</v>
      </c>
      <c r="I16" s="153">
        <f>Dashboard!I28*ktoe_TJ</f>
        <v>611231.9443822772</v>
      </c>
      <c r="J16" s="153">
        <f>Dashboard!J28*ktoe_TJ</f>
        <v>640020.49016154744</v>
      </c>
      <c r="K16" s="153">
        <f>Dashboard!K28*ktoe_TJ</f>
        <v>643189.12175939872</v>
      </c>
      <c r="L16" s="153">
        <f>Dashboard!L28*ktoe_TJ</f>
        <v>541631.79260777833</v>
      </c>
      <c r="M16" s="153">
        <f>Dashboard!M28*ktoe_TJ</f>
        <v>549427.66505795589</v>
      </c>
    </row>
    <row r="17" spans="2:13" x14ac:dyDescent="0.2">
      <c r="B17" s="148" t="s">
        <v>15</v>
      </c>
      <c r="C17" s="153">
        <f>Dashboard!C29*ktoe_TJ</f>
        <v>3408.0552000000002</v>
      </c>
      <c r="D17" s="153">
        <f>Dashboard!D29*ktoe_TJ</f>
        <v>10454.4396</v>
      </c>
      <c r="E17" s="153">
        <f>Dashboard!E29*ktoe_TJ</f>
        <v>36647.060400000002</v>
      </c>
      <c r="F17" s="153">
        <f>Dashboard!F29*ktoe_TJ</f>
        <v>124295.18143529241</v>
      </c>
      <c r="G17" s="153">
        <f>Dashboard!G29*ktoe_TJ</f>
        <v>343481.79823658493</v>
      </c>
      <c r="H17" s="153">
        <f>Dashboard!H29*ktoe_TJ</f>
        <v>343481.79823658493</v>
      </c>
      <c r="I17" s="153">
        <f>Dashboard!I29*ktoe_TJ</f>
        <v>343481.79823658493</v>
      </c>
      <c r="J17" s="153">
        <f>Dashboard!J29*ktoe_TJ</f>
        <v>344409.57064176787</v>
      </c>
      <c r="K17" s="153">
        <f>Dashboard!K29*ktoe_TJ</f>
        <v>358604.08283153555</v>
      </c>
      <c r="L17" s="153">
        <f>Dashboard!L29*ktoe_TJ</f>
        <v>410116.47790752415</v>
      </c>
      <c r="M17" s="153">
        <f>Dashboard!M29*ktoe_TJ</f>
        <v>470303.2866801229</v>
      </c>
    </row>
    <row r="18" spans="2:13" x14ac:dyDescent="0.2">
      <c r="B18" s="148" t="s">
        <v>16</v>
      </c>
      <c r="C18" s="153">
        <f>Dashboard!C30*ktoe_TJ</f>
        <v>473.10839999999996</v>
      </c>
      <c r="D18" s="153">
        <f>Dashboard!D30*ktoe_TJ</f>
        <v>1260.2267999999999</v>
      </c>
      <c r="E18" s="153">
        <f>Dashboard!E30*ktoe_TJ</f>
        <v>4228.6680000000006</v>
      </c>
      <c r="F18" s="153">
        <f>Dashboard!F30*ktoe_TJ</f>
        <v>36758.339263524424</v>
      </c>
      <c r="G18" s="153">
        <f>Dashboard!G30*ktoe_TJ</f>
        <v>56591.732068972145</v>
      </c>
      <c r="H18" s="153">
        <f>Dashboard!H30*ktoe_TJ</f>
        <v>65232.359063599521</v>
      </c>
      <c r="I18" s="153">
        <f>Dashboard!I30*ktoe_TJ</f>
        <v>58834.977998369119</v>
      </c>
      <c r="J18" s="153">
        <f>Dashboard!J30*ktoe_TJ</f>
        <v>61019.525308758697</v>
      </c>
      <c r="K18" s="153">
        <f>Dashboard!K30*ktoe_TJ</f>
        <v>67998.273080304498</v>
      </c>
      <c r="L18" s="153">
        <f>Dashboard!L30*ktoe_TJ</f>
        <v>68496.384381228534</v>
      </c>
      <c r="M18" s="153">
        <f>Dashboard!M30*ktoe_TJ</f>
        <v>69688.365109892635</v>
      </c>
    </row>
    <row r="19" spans="2:13" x14ac:dyDescent="0.2">
      <c r="B19" s="148" t="s">
        <v>17</v>
      </c>
      <c r="C19" s="153">
        <f>Dashboard!C31*ktoe_TJ</f>
        <v>33.494399999999999</v>
      </c>
      <c r="D19" s="153">
        <f>Dashboard!D31*ktoe_TJ</f>
        <v>33.494399999999999</v>
      </c>
      <c r="E19" s="153">
        <f>Dashboard!E31*ktoe_TJ</f>
        <v>33.494399999999999</v>
      </c>
      <c r="F19" s="153">
        <f>Dashboard!F31*ktoe_TJ</f>
        <v>33.494399999999999</v>
      </c>
      <c r="G19" s="153">
        <f>Dashboard!G31*ktoe_TJ</f>
        <v>128.37733452195914</v>
      </c>
      <c r="H19" s="153">
        <f>Dashboard!H31*ktoe_TJ</f>
        <v>427.25636795553163</v>
      </c>
      <c r="I19" s="153">
        <f>Dashboard!I31*ktoe_TJ</f>
        <v>822.99143047901055</v>
      </c>
      <c r="J19" s="153">
        <f>Dashboard!J31*ktoe_TJ</f>
        <v>980.27066863876325</v>
      </c>
      <c r="K19" s="153">
        <f>Dashboard!K31*ktoe_TJ</f>
        <v>1494.2665750829399</v>
      </c>
      <c r="L19" s="153">
        <f>Dashboard!L31*ktoe_TJ</f>
        <v>2082.3264892334701</v>
      </c>
      <c r="M19" s="153">
        <f>Dashboard!M31*ktoe_TJ</f>
        <v>2587.5295410679832</v>
      </c>
    </row>
    <row r="20" spans="2:13" x14ac:dyDescent="0.2">
      <c r="B20" s="145"/>
      <c r="C20" s="145"/>
      <c r="D20" s="145"/>
      <c r="E20" s="145"/>
      <c r="F20" s="145"/>
      <c r="G20" s="145"/>
      <c r="H20" s="145"/>
      <c r="I20" s="145"/>
      <c r="J20" s="145"/>
      <c r="K20" s="145"/>
      <c r="L20" s="145"/>
      <c r="M20" s="145"/>
    </row>
  </sheetData>
  <mergeCells count="1">
    <mergeCell ref="B3:G5"/>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8" tint="0.39997558519241921"/>
  </sheetPr>
  <dimension ref="A2:M59"/>
  <sheetViews>
    <sheetView workbookViewId="0">
      <selection activeCell="D21" sqref="D21"/>
    </sheetView>
  </sheetViews>
  <sheetFormatPr baseColWidth="10" defaultRowHeight="16" x14ac:dyDescent="0.2"/>
  <cols>
    <col min="1" max="6" width="10.83203125" style="1"/>
    <col min="7" max="7" width="12.5" style="1" customWidth="1"/>
    <col min="8" max="16384" width="10.83203125" style="1"/>
  </cols>
  <sheetData>
    <row r="2" spans="1:13" s="16" customFormat="1" ht="15" customHeight="1" x14ac:dyDescent="0.2">
      <c r="B2" s="119" t="s">
        <v>67</v>
      </c>
      <c r="C2" s="120"/>
      <c r="D2" s="120"/>
      <c r="E2" s="120"/>
      <c r="F2" s="120"/>
      <c r="G2" s="121"/>
      <c r="H2" s="93"/>
      <c r="I2" s="93"/>
      <c r="J2" s="86"/>
      <c r="K2" s="125"/>
      <c r="L2" s="21"/>
      <c r="M2" s="21"/>
    </row>
    <row r="3" spans="1:13" s="16" customFormat="1" ht="15" customHeight="1" x14ac:dyDescent="0.2">
      <c r="B3" s="158" t="s">
        <v>93</v>
      </c>
      <c r="C3" s="159"/>
      <c r="D3" s="159"/>
      <c r="E3" s="159"/>
      <c r="F3" s="159"/>
      <c r="G3" s="160"/>
      <c r="H3" s="122"/>
      <c r="I3" s="122"/>
      <c r="J3" s="86"/>
      <c r="K3" s="126"/>
      <c r="L3" s="21"/>
      <c r="M3" s="21"/>
    </row>
    <row r="4" spans="1:13" s="16" customFormat="1" x14ac:dyDescent="0.2">
      <c r="B4" s="158"/>
      <c r="C4" s="159"/>
      <c r="D4" s="159"/>
      <c r="E4" s="159"/>
      <c r="F4" s="159"/>
      <c r="G4" s="160"/>
      <c r="H4" s="122"/>
      <c r="I4" s="122"/>
      <c r="J4" s="86"/>
      <c r="K4" s="126"/>
      <c r="L4" s="21"/>
      <c r="M4" s="21"/>
    </row>
    <row r="5" spans="1:13" s="16" customFormat="1" x14ac:dyDescent="0.2">
      <c r="B5" s="156"/>
      <c r="C5" s="161"/>
      <c r="D5" s="161"/>
      <c r="E5" s="161"/>
      <c r="F5" s="161"/>
      <c r="G5" s="157"/>
      <c r="H5" s="122"/>
      <c r="I5" s="122"/>
      <c r="J5" s="86"/>
      <c r="K5" s="126"/>
      <c r="L5" s="21"/>
      <c r="M5" s="21"/>
    </row>
    <row r="8" spans="1:13" x14ac:dyDescent="0.2">
      <c r="A8" s="154" t="s">
        <v>0</v>
      </c>
      <c r="B8" s="154" t="s">
        <v>1</v>
      </c>
      <c r="C8" s="154" t="s">
        <v>2</v>
      </c>
      <c r="D8" s="154" t="s">
        <v>3</v>
      </c>
      <c r="E8" s="154" t="s">
        <v>4</v>
      </c>
      <c r="F8" s="154" t="s">
        <v>5</v>
      </c>
      <c r="G8" s="154" t="s">
        <v>6</v>
      </c>
    </row>
    <row r="9" spans="1:13" x14ac:dyDescent="0.2">
      <c r="A9" s="2">
        <v>2000</v>
      </c>
      <c r="B9" s="2">
        <f>conversion_to_TJ!C10*Dashboard!$D$11</f>
        <v>781173.14399999985</v>
      </c>
      <c r="C9" s="2">
        <f>conversion_to_TJ!C10*Dashboard!$D$12</f>
        <v>0</v>
      </c>
      <c r="D9" s="2">
        <f>conversion_to_TJ!C12</f>
        <v>4084403.4324000003</v>
      </c>
      <c r="E9" s="2">
        <f>conversion_to_TJ!C11</f>
        <v>5356529.1180000007</v>
      </c>
      <c r="F9" s="2">
        <f>conversion_to_TJ!C13</f>
        <v>918680.21640000003</v>
      </c>
      <c r="G9" s="2">
        <f>conversion_to_TJ!C16*Dashboard!$D$14</f>
        <v>50170.619086200015</v>
      </c>
    </row>
    <row r="10" spans="1:13" x14ac:dyDescent="0.2">
      <c r="A10" s="1">
        <v>2001</v>
      </c>
      <c r="B10" s="1">
        <f>B$9+(B$14-B$9)/($A$14-$A$9)*($A10-$A$9)</f>
        <v>724575.14423999994</v>
      </c>
      <c r="C10" s="1">
        <f t="shared" ref="C10:G10" si="0">C$9+(C$14-C$9)/($A$14-$A$9)*($A10-$A$9)</f>
        <v>0</v>
      </c>
      <c r="D10" s="1">
        <f t="shared" si="0"/>
        <v>3932363.9772000001</v>
      </c>
      <c r="E10" s="1">
        <f t="shared" si="0"/>
        <v>5021513.1050400008</v>
      </c>
      <c r="F10" s="1">
        <f t="shared" si="0"/>
        <v>911239.43544000003</v>
      </c>
      <c r="G10" s="1">
        <f t="shared" si="0"/>
        <v>58079.298392280012</v>
      </c>
    </row>
    <row r="11" spans="1:13" x14ac:dyDescent="0.2">
      <c r="A11" s="1">
        <v>2002</v>
      </c>
      <c r="B11" s="1">
        <f t="shared" ref="B11:G13" si="1">B$9+(B$14-B$9)/($A$14-$A$9)*($A11-$A$9)</f>
        <v>667977.1444799999</v>
      </c>
      <c r="C11" s="1">
        <f t="shared" si="1"/>
        <v>0</v>
      </c>
      <c r="D11" s="1">
        <f t="shared" si="1"/>
        <v>3780324.5220000003</v>
      </c>
      <c r="E11" s="1">
        <f t="shared" si="1"/>
        <v>4686497.0920800008</v>
      </c>
      <c r="F11" s="1">
        <f t="shared" si="1"/>
        <v>903798.65448000003</v>
      </c>
      <c r="G11" s="1">
        <f t="shared" si="1"/>
        <v>65987.977698360017</v>
      </c>
    </row>
    <row r="12" spans="1:13" x14ac:dyDescent="0.2">
      <c r="A12" s="1">
        <v>2003</v>
      </c>
      <c r="B12" s="1">
        <f t="shared" si="1"/>
        <v>611379.14471999998</v>
      </c>
      <c r="C12" s="1">
        <f t="shared" si="1"/>
        <v>0</v>
      </c>
      <c r="D12" s="1">
        <f t="shared" si="1"/>
        <v>3628285.0668000001</v>
      </c>
      <c r="E12" s="1">
        <f t="shared" si="1"/>
        <v>4351481.0791200008</v>
      </c>
      <c r="F12" s="1">
        <f t="shared" si="1"/>
        <v>896357.87352000014</v>
      </c>
      <c r="G12" s="1">
        <f t="shared" si="1"/>
        <v>73896.657004440014</v>
      </c>
    </row>
    <row r="13" spans="1:13" x14ac:dyDescent="0.2">
      <c r="A13" s="1">
        <v>2004</v>
      </c>
      <c r="B13" s="1">
        <f t="shared" si="1"/>
        <v>554781.14495999995</v>
      </c>
      <c r="C13" s="1">
        <f t="shared" si="1"/>
        <v>0</v>
      </c>
      <c r="D13" s="1">
        <f t="shared" si="1"/>
        <v>3476245.6116000004</v>
      </c>
      <c r="E13" s="1">
        <f t="shared" si="1"/>
        <v>4016465.0661599999</v>
      </c>
      <c r="F13" s="1">
        <f t="shared" si="1"/>
        <v>888917.09256000014</v>
      </c>
      <c r="G13" s="1">
        <f t="shared" si="1"/>
        <v>81805.336310520011</v>
      </c>
    </row>
    <row r="14" spans="1:13" x14ac:dyDescent="0.2">
      <c r="A14" s="2">
        <v>2005</v>
      </c>
      <c r="B14" s="2">
        <f>conversion_to_TJ!D10*Dashboard!$D$11</f>
        <v>498183.14520000003</v>
      </c>
      <c r="C14" s="2">
        <f>conversion_to_TJ!D10*Dashboard!$D$12</f>
        <v>0</v>
      </c>
      <c r="D14" s="2">
        <f>conversion_to_TJ!D12</f>
        <v>3324206.1564000002</v>
      </c>
      <c r="E14" s="2">
        <f>conversion_to_TJ!D11</f>
        <v>3681449.0532</v>
      </c>
      <c r="F14" s="2">
        <f>conversion_to_TJ!D13</f>
        <v>881476.31160000013</v>
      </c>
      <c r="G14" s="2">
        <f>conversion_to_TJ!D16*Dashboard!$D$14</f>
        <v>89714.015616600009</v>
      </c>
    </row>
    <row r="15" spans="1:13" x14ac:dyDescent="0.2">
      <c r="A15" s="1">
        <v>2006</v>
      </c>
      <c r="B15" s="1">
        <f>B$14+(B$19-B$14)/($A$19-$A$14)*($A15-$A$14)</f>
        <v>490918.11816000001</v>
      </c>
      <c r="C15" s="1">
        <f t="shared" ref="C15:G15" si="2">C$14+(C$19-C$14)/($A$19-$A$14)*($A15-$A$14)</f>
        <v>0</v>
      </c>
      <c r="D15" s="1">
        <f t="shared" si="2"/>
        <v>3090215.8351199999</v>
      </c>
      <c r="E15" s="1">
        <f t="shared" si="2"/>
        <v>3479293.602</v>
      </c>
      <c r="F15" s="1">
        <f t="shared" si="2"/>
        <v>839403.15840000007</v>
      </c>
      <c r="G15" s="1">
        <f t="shared" si="2"/>
        <v>94294.868021639995</v>
      </c>
    </row>
    <row r="16" spans="1:13" x14ac:dyDescent="0.2">
      <c r="A16" s="1">
        <v>2007</v>
      </c>
      <c r="B16" s="1">
        <f t="shared" ref="B16:G18" si="3">B$14+(B$19-B$14)/($A$19-$A$14)*($A16-$A$14)</f>
        <v>483653.09112</v>
      </c>
      <c r="C16" s="1">
        <f t="shared" si="3"/>
        <v>0</v>
      </c>
      <c r="D16" s="1">
        <f t="shared" si="3"/>
        <v>2856225.5138400001</v>
      </c>
      <c r="E16" s="1">
        <f t="shared" si="3"/>
        <v>3277138.1507999999</v>
      </c>
      <c r="F16" s="1">
        <f t="shared" si="3"/>
        <v>797330.00520000013</v>
      </c>
      <c r="G16" s="1">
        <f t="shared" si="3"/>
        <v>98875.720426679996</v>
      </c>
    </row>
    <row r="17" spans="1:7" x14ac:dyDescent="0.2">
      <c r="A17" s="1">
        <v>2008</v>
      </c>
      <c r="B17" s="1">
        <f t="shared" si="3"/>
        <v>476388.06408000004</v>
      </c>
      <c r="C17" s="1">
        <f t="shared" si="3"/>
        <v>0</v>
      </c>
      <c r="D17" s="1">
        <f t="shared" si="3"/>
        <v>2622235.1925599999</v>
      </c>
      <c r="E17" s="1">
        <f t="shared" si="3"/>
        <v>3074982.6995999999</v>
      </c>
      <c r="F17" s="1">
        <f t="shared" si="3"/>
        <v>755256.85200000007</v>
      </c>
      <c r="G17" s="1">
        <f t="shared" si="3"/>
        <v>103456.57283171998</v>
      </c>
    </row>
    <row r="18" spans="1:7" x14ac:dyDescent="0.2">
      <c r="A18" s="1">
        <v>2009</v>
      </c>
      <c r="B18" s="1">
        <f t="shared" si="3"/>
        <v>469123.03704000002</v>
      </c>
      <c r="C18" s="1">
        <f t="shared" si="3"/>
        <v>0</v>
      </c>
      <c r="D18" s="1">
        <f t="shared" si="3"/>
        <v>2388244.8712799996</v>
      </c>
      <c r="E18" s="1">
        <f t="shared" si="3"/>
        <v>2872827.2483999999</v>
      </c>
      <c r="F18" s="1">
        <f t="shared" si="3"/>
        <v>713183.69880000013</v>
      </c>
      <c r="G18" s="1">
        <f t="shared" si="3"/>
        <v>108037.42523675997</v>
      </c>
    </row>
    <row r="19" spans="1:7" x14ac:dyDescent="0.2">
      <c r="A19" s="155">
        <v>2010</v>
      </c>
      <c r="B19" s="155">
        <v>461858.01</v>
      </c>
      <c r="C19" s="155">
        <v>0</v>
      </c>
      <c r="D19" s="155">
        <v>2154254.5499999998</v>
      </c>
      <c r="E19" s="155">
        <f>conversion_to_TJ!E11</f>
        <v>2670671.7971999999</v>
      </c>
      <c r="F19" s="155">
        <f>conversion_to_TJ!E13</f>
        <v>671110.54560000007</v>
      </c>
      <c r="G19" s="2">
        <f>conversion_to_TJ!E16*Dashboard!$D$14</f>
        <v>112618.27764179997</v>
      </c>
    </row>
    <row r="20" spans="1:7" x14ac:dyDescent="0.2">
      <c r="A20" s="1">
        <v>2011</v>
      </c>
      <c r="B20" s="1">
        <f>AVERAGE(B19,B21)</f>
        <v>439700.58499999996</v>
      </c>
      <c r="C20" s="1">
        <f>AVERAGE(C19,C21)</f>
        <v>0</v>
      </c>
      <c r="D20" s="1">
        <f t="shared" ref="D20:F20" si="4">AVERAGE(D19,D21)</f>
        <v>1810463.9699999997</v>
      </c>
      <c r="E20" s="1">
        <f t="shared" si="4"/>
        <v>2682805.2885999996</v>
      </c>
      <c r="F20" s="1">
        <f t="shared" si="4"/>
        <v>719651.67780000006</v>
      </c>
      <c r="G20" s="1">
        <f t="shared" ref="G20" si="5">G$19+(G$24-G$19)/($A$24-$A$19)*($A20-$A$19)</f>
        <v>123684.58454447622</v>
      </c>
    </row>
    <row r="21" spans="1:7" x14ac:dyDescent="0.2">
      <c r="A21" s="155">
        <v>2012</v>
      </c>
      <c r="B21" s="155">
        <v>417543.16</v>
      </c>
      <c r="C21" s="155">
        <v>0</v>
      </c>
      <c r="D21" s="155">
        <v>1466673.39</v>
      </c>
      <c r="E21" s="155">
        <v>2694938.78</v>
      </c>
      <c r="F21" s="155">
        <v>768192.81</v>
      </c>
      <c r="G21" s="1">
        <f t="shared" ref="G21:G23" si="6">G$19+(G$24-G$19)/($A$24-$A$19)*($A21-$A$19)</f>
        <v>134750.89144715248</v>
      </c>
    </row>
    <row r="22" spans="1:7" x14ac:dyDescent="0.2">
      <c r="A22" s="1">
        <v>2013</v>
      </c>
      <c r="B22" s="1">
        <f>B$21+(B$24-B$21)/($A$24-$A$21)*($A22-$A$21)</f>
        <v>363038.26521841198</v>
      </c>
      <c r="C22" s="1">
        <f t="shared" ref="C22:F23" si="7">C$21+(C$24-C$21)/($A$24-$A$21)*($A22-$A$21)</f>
        <v>0</v>
      </c>
      <c r="D22" s="1">
        <f t="shared" si="7"/>
        <v>1455731.6989174385</v>
      </c>
      <c r="E22" s="1">
        <f t="shared" si="7"/>
        <v>2469285.8180019595</v>
      </c>
      <c r="F22" s="1">
        <f t="shared" si="7"/>
        <v>732533.4715431605</v>
      </c>
      <c r="G22" s="1">
        <f t="shared" si="6"/>
        <v>145817.19834982874</v>
      </c>
    </row>
    <row r="23" spans="1:7" x14ac:dyDescent="0.2">
      <c r="A23" s="1">
        <v>2014</v>
      </c>
      <c r="B23" s="1">
        <f>B$21+(B$24-B$21)/($A$24-$A$21)*($A23-$A$21)</f>
        <v>308533.37043682393</v>
      </c>
      <c r="C23" s="1">
        <f t="shared" si="7"/>
        <v>0</v>
      </c>
      <c r="D23" s="1">
        <f t="shared" si="7"/>
        <v>1444790.0078348771</v>
      </c>
      <c r="E23" s="1">
        <f t="shared" si="7"/>
        <v>2243632.8560039196</v>
      </c>
      <c r="F23" s="1">
        <f t="shared" si="7"/>
        <v>696874.13308632094</v>
      </c>
      <c r="G23" s="1">
        <f t="shared" si="6"/>
        <v>156883.50525250501</v>
      </c>
    </row>
    <row r="24" spans="1:7" x14ac:dyDescent="0.2">
      <c r="A24" s="2">
        <v>2015</v>
      </c>
      <c r="B24" s="2">
        <f>conversion_to_TJ!F10*Dashboard!$D$11</f>
        <v>254028.47565523593</v>
      </c>
      <c r="C24" s="2">
        <f>conversion_to_TJ!F10*Dashboard!$D$12</f>
        <v>0</v>
      </c>
      <c r="D24" s="2">
        <f>conversion_to_TJ!F12</f>
        <v>1433848.3167523157</v>
      </c>
      <c r="E24" s="2">
        <f>conversion_to_TJ!F11</f>
        <v>2017979.8940058795</v>
      </c>
      <c r="F24" s="2">
        <f>conversion_to_TJ!F13</f>
        <v>661214.79462948139</v>
      </c>
      <c r="G24" s="2">
        <f>conversion_to_TJ!F16*Dashboard!$D$14</f>
        <v>167949.81215518125</v>
      </c>
    </row>
    <row r="25" spans="1:7" x14ac:dyDescent="0.2">
      <c r="A25" s="1">
        <v>2016</v>
      </c>
      <c r="B25" s="1">
        <f>B$24+(B$29-B$24)/($A$29-$A$24)*($A25-$A$24)</f>
        <v>231870.72652453714</v>
      </c>
      <c r="C25" s="1">
        <f t="shared" ref="C25:G25" si="8">C$24+(C$29-C$24)/($A$29-$A$24)*($A25-$A$24)</f>
        <v>0</v>
      </c>
      <c r="D25" s="1">
        <f t="shared" si="8"/>
        <v>1371651.1330493384</v>
      </c>
      <c r="E25" s="1">
        <f t="shared" si="8"/>
        <v>1957411.4112812986</v>
      </c>
      <c r="F25" s="1">
        <f t="shared" si="8"/>
        <v>657708.91963483242</v>
      </c>
      <c r="G25" s="1">
        <f t="shared" si="8"/>
        <v>195663.00466691423</v>
      </c>
    </row>
    <row r="26" spans="1:7" x14ac:dyDescent="0.2">
      <c r="A26" s="1">
        <v>2017</v>
      </c>
      <c r="B26" s="1">
        <f t="shared" ref="B26:G28" si="9">B$24+(B$29-B$24)/($A$29-$A$24)*($A26-$A$24)</f>
        <v>209712.97739383837</v>
      </c>
      <c r="C26" s="1">
        <f t="shared" si="9"/>
        <v>0</v>
      </c>
      <c r="D26" s="1">
        <f t="shared" si="9"/>
        <v>1309453.949346361</v>
      </c>
      <c r="E26" s="1">
        <f t="shared" si="9"/>
        <v>1896842.9285567177</v>
      </c>
      <c r="F26" s="1">
        <f t="shared" si="9"/>
        <v>654203.04464018345</v>
      </c>
      <c r="G26" s="1">
        <f t="shared" si="9"/>
        <v>223376.19717864721</v>
      </c>
    </row>
    <row r="27" spans="1:7" x14ac:dyDescent="0.2">
      <c r="A27" s="1">
        <v>2018</v>
      </c>
      <c r="B27" s="1">
        <f t="shared" si="9"/>
        <v>187555.22826313958</v>
      </c>
      <c r="C27" s="1">
        <f t="shared" si="9"/>
        <v>0</v>
      </c>
      <c r="D27" s="1">
        <f t="shared" si="9"/>
        <v>1247256.7656433838</v>
      </c>
      <c r="E27" s="1">
        <f t="shared" si="9"/>
        <v>1836274.4458321366</v>
      </c>
      <c r="F27" s="1">
        <f t="shared" si="9"/>
        <v>650697.1696455346</v>
      </c>
      <c r="G27" s="1">
        <f t="shared" si="9"/>
        <v>251089.38969038019</v>
      </c>
    </row>
    <row r="28" spans="1:7" x14ac:dyDescent="0.2">
      <c r="A28" s="1">
        <v>2019</v>
      </c>
      <c r="B28" s="1">
        <f t="shared" si="9"/>
        <v>165397.47913244081</v>
      </c>
      <c r="C28" s="1">
        <f t="shared" si="9"/>
        <v>0</v>
      </c>
      <c r="D28" s="1">
        <f t="shared" si="9"/>
        <v>1185059.5819404065</v>
      </c>
      <c r="E28" s="1">
        <f t="shared" si="9"/>
        <v>1775705.9631075556</v>
      </c>
      <c r="F28" s="1">
        <f t="shared" si="9"/>
        <v>647191.29465088563</v>
      </c>
      <c r="G28" s="1">
        <f t="shared" si="9"/>
        <v>278802.58220211318</v>
      </c>
    </row>
    <row r="29" spans="1:7" x14ac:dyDescent="0.2">
      <c r="A29" s="2">
        <v>2020</v>
      </c>
      <c r="B29" s="2">
        <f>conversion_to_TJ!G10*Dashboard!$D$11</f>
        <v>143239.73000174202</v>
      </c>
      <c r="C29" s="2">
        <f>conversion_to_TJ!G10*Dashboard!$D$12</f>
        <v>0</v>
      </c>
      <c r="D29" s="2">
        <f>conversion_to_TJ!G12</f>
        <v>1122862.3982374291</v>
      </c>
      <c r="E29" s="2">
        <f>conversion_to_TJ!G11</f>
        <v>1715137.4803829747</v>
      </c>
      <c r="F29" s="2">
        <f>conversion_to_TJ!G13</f>
        <v>643685.41965623666</v>
      </c>
      <c r="G29" s="2">
        <f>conversion_to_TJ!G16*Dashboard!$D$14</f>
        <v>306515.77471384616</v>
      </c>
    </row>
    <row r="30" spans="1:7" x14ac:dyDescent="0.2">
      <c r="A30" s="1">
        <v>2021</v>
      </c>
      <c r="B30" s="1">
        <f>B$29+(B$34-B$29)/($A$34-$A$29)*($A30-$A$29)</f>
        <v>140103.54552592369</v>
      </c>
      <c r="C30" s="1">
        <f t="shared" ref="C30:G30" si="10">C$29+(C$34-C$29)/($A$34-$A$29)*($A30-$A$29)</f>
        <v>0</v>
      </c>
      <c r="D30" s="1">
        <f t="shared" si="10"/>
        <v>1088685.804273407</v>
      </c>
      <c r="E30" s="1">
        <f t="shared" si="10"/>
        <v>1648786.6327150355</v>
      </c>
      <c r="F30" s="1">
        <f t="shared" si="10"/>
        <v>631006.73880988196</v>
      </c>
      <c r="G30" s="1">
        <f t="shared" si="10"/>
        <v>313968.92672924144</v>
      </c>
    </row>
    <row r="31" spans="1:7" x14ac:dyDescent="0.2">
      <c r="A31" s="1">
        <v>2022</v>
      </c>
      <c r="B31" s="1">
        <f t="shared" ref="B31:G33" si="11">B$29+(B$34-B$29)/($A$34-$A$29)*($A31-$A$29)</f>
        <v>136967.36105010536</v>
      </c>
      <c r="C31" s="1">
        <f t="shared" si="11"/>
        <v>0</v>
      </c>
      <c r="D31" s="1">
        <f t="shared" si="11"/>
        <v>1054509.2103093849</v>
      </c>
      <c r="E31" s="1">
        <f t="shared" si="11"/>
        <v>1582435.7850470962</v>
      </c>
      <c r="F31" s="1">
        <f t="shared" si="11"/>
        <v>618328.05796352727</v>
      </c>
      <c r="G31" s="1">
        <f t="shared" si="11"/>
        <v>321422.07874463673</v>
      </c>
    </row>
    <row r="32" spans="1:7" x14ac:dyDescent="0.2">
      <c r="A32" s="1">
        <v>2023</v>
      </c>
      <c r="B32" s="1">
        <f t="shared" si="11"/>
        <v>133831.17657428706</v>
      </c>
      <c r="C32" s="1">
        <f t="shared" si="11"/>
        <v>0</v>
      </c>
      <c r="D32" s="1">
        <f t="shared" si="11"/>
        <v>1020332.6163453627</v>
      </c>
      <c r="E32" s="1">
        <f t="shared" si="11"/>
        <v>1516084.9373791572</v>
      </c>
      <c r="F32" s="1">
        <f t="shared" si="11"/>
        <v>605649.3771171727</v>
      </c>
      <c r="G32" s="1">
        <f t="shared" si="11"/>
        <v>328875.23076003202</v>
      </c>
    </row>
    <row r="33" spans="1:7" x14ac:dyDescent="0.2">
      <c r="A33" s="1">
        <v>2024</v>
      </c>
      <c r="B33" s="1">
        <f t="shared" si="11"/>
        <v>130694.99209846873</v>
      </c>
      <c r="C33" s="1">
        <f t="shared" si="11"/>
        <v>0</v>
      </c>
      <c r="D33" s="1">
        <f t="shared" si="11"/>
        <v>986156.0223813405</v>
      </c>
      <c r="E33" s="1">
        <f t="shared" si="11"/>
        <v>1449734.0897112179</v>
      </c>
      <c r="F33" s="1">
        <f t="shared" si="11"/>
        <v>592970.69627081801</v>
      </c>
      <c r="G33" s="1">
        <f t="shared" si="11"/>
        <v>336328.38277542731</v>
      </c>
    </row>
    <row r="34" spans="1:7" x14ac:dyDescent="0.2">
      <c r="A34" s="2">
        <v>2025</v>
      </c>
      <c r="B34" s="2">
        <f>conversion_to_TJ!H10*Dashboard!$D$11</f>
        <v>127558.80762265041</v>
      </c>
      <c r="C34" s="2">
        <f>conversion_to_TJ!H10*Dashboard!$D$12</f>
        <v>0</v>
      </c>
      <c r="D34" s="2">
        <f>conversion_to_TJ!H12</f>
        <v>951979.42841731838</v>
      </c>
      <c r="E34" s="2">
        <f>conversion_to_TJ!H11</f>
        <v>1383383.2420432786</v>
      </c>
      <c r="F34" s="2">
        <f>conversion_to_TJ!H13</f>
        <v>580292.01542446332</v>
      </c>
      <c r="G34" s="2">
        <f>conversion_to_TJ!H16*Dashboard!$D$14</f>
        <v>343781.5347908226</v>
      </c>
    </row>
    <row r="35" spans="1:7" x14ac:dyDescent="0.2">
      <c r="A35" s="1">
        <v>2026</v>
      </c>
      <c r="B35" s="1">
        <f>B$34+(B$39-B$34)/($A$39-$A$34)*($A35-$A$34)</f>
        <v>116584.73769975222</v>
      </c>
      <c r="C35" s="1">
        <f t="shared" ref="C35:G35" si="12">C$34+(C$39-C$34)/($A$39-$A$34)*($A35-$A$34)</f>
        <v>0</v>
      </c>
      <c r="D35" s="1">
        <f t="shared" si="12"/>
        <v>896313.25699654699</v>
      </c>
      <c r="E35" s="1">
        <f t="shared" si="12"/>
        <v>1328162.7289318112</v>
      </c>
      <c r="F35" s="1">
        <f t="shared" si="12"/>
        <v>663309.18253767118</v>
      </c>
      <c r="G35" s="1">
        <f t="shared" si="12"/>
        <v>351245.85129712807</v>
      </c>
    </row>
    <row r="36" spans="1:7" x14ac:dyDescent="0.2">
      <c r="A36" s="1">
        <v>2027</v>
      </c>
      <c r="B36" s="1">
        <f t="shared" ref="B36:G38" si="13">B$34+(B$39-B$34)/($A$39-$A$34)*($A36-$A$34)</f>
        <v>105610.66777685404</v>
      </c>
      <c r="C36" s="1">
        <f t="shared" si="13"/>
        <v>0</v>
      </c>
      <c r="D36" s="1">
        <f t="shared" si="13"/>
        <v>840647.08557577548</v>
      </c>
      <c r="E36" s="1">
        <f t="shared" si="13"/>
        <v>1272942.2158203437</v>
      </c>
      <c r="F36" s="1">
        <f t="shared" si="13"/>
        <v>746326.34965087916</v>
      </c>
      <c r="G36" s="1">
        <f t="shared" si="13"/>
        <v>358710.16780343349</v>
      </c>
    </row>
    <row r="37" spans="1:7" x14ac:dyDescent="0.2">
      <c r="A37" s="1">
        <v>2028</v>
      </c>
      <c r="B37" s="1">
        <f t="shared" si="13"/>
        <v>94636.597853955856</v>
      </c>
      <c r="C37" s="1">
        <f t="shared" si="13"/>
        <v>0</v>
      </c>
      <c r="D37" s="1">
        <f t="shared" si="13"/>
        <v>784980.91415500408</v>
      </c>
      <c r="E37" s="1">
        <f t="shared" si="13"/>
        <v>1217721.7027088762</v>
      </c>
      <c r="F37" s="1">
        <f t="shared" si="13"/>
        <v>829343.51676408702</v>
      </c>
      <c r="G37" s="1">
        <f t="shared" si="13"/>
        <v>366174.48430973897</v>
      </c>
    </row>
    <row r="38" spans="1:7" x14ac:dyDescent="0.2">
      <c r="A38" s="1">
        <v>2029</v>
      </c>
      <c r="B38" s="1">
        <f t="shared" si="13"/>
        <v>83662.527931057673</v>
      </c>
      <c r="C38" s="1">
        <f t="shared" si="13"/>
        <v>0</v>
      </c>
      <c r="D38" s="1">
        <f t="shared" si="13"/>
        <v>729314.74273423268</v>
      </c>
      <c r="E38" s="1">
        <f t="shared" si="13"/>
        <v>1162501.1895974085</v>
      </c>
      <c r="F38" s="1">
        <f t="shared" si="13"/>
        <v>912360.68387729488</v>
      </c>
      <c r="G38" s="1">
        <f t="shared" si="13"/>
        <v>373638.80081604439</v>
      </c>
    </row>
    <row r="39" spans="1:7" x14ac:dyDescent="0.2">
      <c r="A39" s="2">
        <v>2030</v>
      </c>
      <c r="B39" s="2">
        <f>conversion_to_TJ!I10*Dashboard!$D$11</f>
        <v>72688.45800815949</v>
      </c>
      <c r="C39" s="2">
        <f>conversion_to_TJ!I10*Dashboard!$D$12</f>
        <v>0</v>
      </c>
      <c r="D39" s="2">
        <f>conversion_to_TJ!I12</f>
        <v>673648.57131346117</v>
      </c>
      <c r="E39" s="2">
        <f>conversion_to_TJ!I11</f>
        <v>1107280.676485941</v>
      </c>
      <c r="F39" s="2">
        <f>conversion_to_TJ!I13</f>
        <v>995377.85099050275</v>
      </c>
      <c r="G39" s="2">
        <f>conversion_to_TJ!I16*Dashboard!$D$14</f>
        <v>381103.11732234986</v>
      </c>
    </row>
    <row r="40" spans="1:7" x14ac:dyDescent="0.2">
      <c r="A40" s="1">
        <v>2031</v>
      </c>
      <c r="B40" s="1">
        <f>B$39+(B$44-B$39)/($A$44-$A$39)*($A40-$A$39)</f>
        <v>67920.258924668422</v>
      </c>
      <c r="C40" s="1">
        <f t="shared" ref="C40:G40" si="14">C$39+(C$44-C$39)/($A$44-$A$39)*($A40-$A$39)</f>
        <v>0</v>
      </c>
      <c r="D40" s="1">
        <f t="shared" si="14"/>
        <v>642529.27272965084</v>
      </c>
      <c r="E40" s="1">
        <f t="shared" si="14"/>
        <v>1054752.708902895</v>
      </c>
      <c r="F40" s="1">
        <f t="shared" si="14"/>
        <v>976147.10221587203</v>
      </c>
      <c r="G40" s="1">
        <f t="shared" si="14"/>
        <v>384693.04898102488</v>
      </c>
    </row>
    <row r="41" spans="1:7" x14ac:dyDescent="0.2">
      <c r="A41" s="1">
        <v>2032</v>
      </c>
      <c r="B41" s="1">
        <f t="shared" ref="B41:G43" si="15">B$39+(B$44-B$39)/($A$44-$A$39)*($A41-$A$39)</f>
        <v>63152.059841177368</v>
      </c>
      <c r="C41" s="1">
        <f t="shared" si="15"/>
        <v>0</v>
      </c>
      <c r="D41" s="1">
        <f t="shared" si="15"/>
        <v>611409.9741458405</v>
      </c>
      <c r="E41" s="1">
        <f t="shared" si="15"/>
        <v>1002224.7413198489</v>
      </c>
      <c r="F41" s="1">
        <f t="shared" si="15"/>
        <v>956916.35344124131</v>
      </c>
      <c r="G41" s="1">
        <f t="shared" si="15"/>
        <v>388282.98063969985</v>
      </c>
    </row>
    <row r="42" spans="1:7" x14ac:dyDescent="0.2">
      <c r="A42" s="1">
        <v>2033</v>
      </c>
      <c r="B42" s="1">
        <f t="shared" si="15"/>
        <v>58383.8607576863</v>
      </c>
      <c r="C42" s="1">
        <f t="shared" si="15"/>
        <v>0</v>
      </c>
      <c r="D42" s="1">
        <f t="shared" si="15"/>
        <v>580290.67556203017</v>
      </c>
      <c r="E42" s="1">
        <f t="shared" si="15"/>
        <v>949696.77373680286</v>
      </c>
      <c r="F42" s="1">
        <f t="shared" si="15"/>
        <v>937685.60466661048</v>
      </c>
      <c r="G42" s="1">
        <f t="shared" si="15"/>
        <v>391872.91229837487</v>
      </c>
    </row>
    <row r="43" spans="1:7" x14ac:dyDescent="0.2">
      <c r="A43" s="1">
        <v>2034</v>
      </c>
      <c r="B43" s="1">
        <f t="shared" si="15"/>
        <v>53615.661674195238</v>
      </c>
      <c r="C43" s="1">
        <f t="shared" si="15"/>
        <v>0</v>
      </c>
      <c r="D43" s="1">
        <f t="shared" si="15"/>
        <v>549171.37697821984</v>
      </c>
      <c r="E43" s="1">
        <f t="shared" si="15"/>
        <v>897168.80615375668</v>
      </c>
      <c r="F43" s="1">
        <f t="shared" si="15"/>
        <v>918454.85589197977</v>
      </c>
      <c r="G43" s="1">
        <f t="shared" si="15"/>
        <v>395462.84395704983</v>
      </c>
    </row>
    <row r="44" spans="1:7" x14ac:dyDescent="0.2">
      <c r="A44" s="2">
        <v>2035</v>
      </c>
      <c r="B44" s="2">
        <f>conversion_to_TJ!J10*Dashboard!$D$11</f>
        <v>48847.462590704177</v>
      </c>
      <c r="C44" s="2">
        <f>conversion_to_TJ!J10*Dashboard!$D$12</f>
        <v>0</v>
      </c>
      <c r="D44" s="2">
        <f>conversion_to_TJ!J12</f>
        <v>518052.0783944095</v>
      </c>
      <c r="E44" s="2">
        <f>conversion_to_TJ!J11</f>
        <v>844640.83857071062</v>
      </c>
      <c r="F44" s="2">
        <f>conversion_to_TJ!J13</f>
        <v>899224.10711734905</v>
      </c>
      <c r="G44" s="2">
        <f>conversion_to_TJ!J16*Dashboard!$D$14</f>
        <v>399052.77561572485</v>
      </c>
    </row>
    <row r="45" spans="1:7" x14ac:dyDescent="0.2">
      <c r="A45" s="1">
        <v>2036</v>
      </c>
      <c r="B45" s="1">
        <f>B$44+(B$49-B$44)/($A$49-$A$44)*($A45-$A$44)</f>
        <v>46096.967170174154</v>
      </c>
      <c r="C45" s="1">
        <f t="shared" ref="C45:G45" si="16">C$44+(C$49-C$44)/($A$49-$A$44)*($A45-$A$44)</f>
        <v>0</v>
      </c>
      <c r="D45" s="1">
        <f t="shared" si="16"/>
        <v>486181.49076163943</v>
      </c>
      <c r="E45" s="1">
        <f t="shared" si="16"/>
        <v>795669.3546412976</v>
      </c>
      <c r="F45" s="1">
        <f t="shared" si="16"/>
        <v>907512.74692156515</v>
      </c>
      <c r="G45" s="1">
        <f t="shared" si="16"/>
        <v>399447.90397597692</v>
      </c>
    </row>
    <row r="46" spans="1:7" x14ac:dyDescent="0.2">
      <c r="A46" s="1">
        <v>2037</v>
      </c>
      <c r="B46" s="1">
        <f t="shared" ref="B46:G48" si="17">B$44+(B$49-B$44)/($A$49-$A$44)*($A46-$A$44)</f>
        <v>43346.471749644137</v>
      </c>
      <c r="C46" s="1">
        <f t="shared" si="17"/>
        <v>0</v>
      </c>
      <c r="D46" s="1">
        <f t="shared" si="17"/>
        <v>454310.90312886931</v>
      </c>
      <c r="E46" s="1">
        <f t="shared" si="17"/>
        <v>746697.87071188458</v>
      </c>
      <c r="F46" s="1">
        <f t="shared" si="17"/>
        <v>915801.38672578137</v>
      </c>
      <c r="G46" s="1">
        <f t="shared" si="17"/>
        <v>399843.03233622899</v>
      </c>
    </row>
    <row r="47" spans="1:7" x14ac:dyDescent="0.2">
      <c r="A47" s="1">
        <v>2038</v>
      </c>
      <c r="B47" s="1">
        <f t="shared" si="17"/>
        <v>40595.976329114113</v>
      </c>
      <c r="C47" s="1">
        <f t="shared" si="17"/>
        <v>0</v>
      </c>
      <c r="D47" s="1">
        <f t="shared" si="17"/>
        <v>422440.31549609924</v>
      </c>
      <c r="E47" s="1">
        <f t="shared" si="17"/>
        <v>697726.38678247156</v>
      </c>
      <c r="F47" s="1">
        <f t="shared" si="17"/>
        <v>924090.02652999747</v>
      </c>
      <c r="G47" s="1">
        <f t="shared" si="17"/>
        <v>400238.16069648101</v>
      </c>
    </row>
    <row r="48" spans="1:7" x14ac:dyDescent="0.2">
      <c r="A48" s="1">
        <v>2039</v>
      </c>
      <c r="B48" s="1">
        <f t="shared" si="17"/>
        <v>37845.480908584097</v>
      </c>
      <c r="C48" s="1">
        <f t="shared" si="17"/>
        <v>0</v>
      </c>
      <c r="D48" s="1">
        <f t="shared" si="17"/>
        <v>390569.72786332911</v>
      </c>
      <c r="E48" s="1">
        <f t="shared" si="17"/>
        <v>648754.90285305865</v>
      </c>
      <c r="F48" s="1">
        <f t="shared" si="17"/>
        <v>932378.66633421369</v>
      </c>
      <c r="G48" s="1">
        <f t="shared" si="17"/>
        <v>400633.28905673308</v>
      </c>
    </row>
    <row r="49" spans="1:7" x14ac:dyDescent="0.2">
      <c r="A49" s="2">
        <v>2040</v>
      </c>
      <c r="B49" s="2">
        <f>conversion_to_TJ!K10*Dashboard!$D$11</f>
        <v>35094.985488054073</v>
      </c>
      <c r="C49" s="2">
        <f>conversion_to_TJ!K10*Dashboard!$D$12</f>
        <v>0</v>
      </c>
      <c r="D49" s="2">
        <f>conversion_to_TJ!K12</f>
        <v>358699.14023055905</v>
      </c>
      <c r="E49" s="2">
        <f>conversion_to_TJ!K11</f>
        <v>599783.41892364563</v>
      </c>
      <c r="F49" s="2">
        <f>conversion_to_TJ!K13</f>
        <v>940667.30613842979</v>
      </c>
      <c r="G49" s="2">
        <f>conversion_to_TJ!K16*Dashboard!$D$14</f>
        <v>401028.41741698515</v>
      </c>
    </row>
    <row r="50" spans="1:7" x14ac:dyDescent="0.2">
      <c r="A50" s="1">
        <v>2041</v>
      </c>
      <c r="B50" s="1">
        <f>B$49+(B$54-B$49)/($A$54-$A$49)*($A50-$A$49)</f>
        <v>33985.583190607722</v>
      </c>
      <c r="C50" s="1">
        <f t="shared" ref="C50:G50" si="18">C$49+(C$54-C$49)/($A$54-$A$49)*($A50-$A$49)</f>
        <v>0</v>
      </c>
      <c r="D50" s="1">
        <f t="shared" si="18"/>
        <v>337817.0381847698</v>
      </c>
      <c r="E50" s="1">
        <f t="shared" si="18"/>
        <v>547942.62734000722</v>
      </c>
      <c r="F50" s="1">
        <f t="shared" si="18"/>
        <v>965525.99042264023</v>
      </c>
      <c r="G50" s="1">
        <f t="shared" si="18"/>
        <v>388364.21847177809</v>
      </c>
    </row>
    <row r="51" spans="1:7" x14ac:dyDescent="0.2">
      <c r="A51" s="1">
        <v>2042</v>
      </c>
      <c r="B51" s="1">
        <f t="shared" ref="B51:G53" si="19">B$49+(B$54-B$49)/($A$54-$A$49)*($A51-$A$49)</f>
        <v>32876.180893161363</v>
      </c>
      <c r="C51" s="1">
        <f t="shared" si="19"/>
        <v>0</v>
      </c>
      <c r="D51" s="1">
        <f t="shared" si="19"/>
        <v>316934.93613898061</v>
      </c>
      <c r="E51" s="1">
        <f t="shared" si="19"/>
        <v>496101.83575636876</v>
      </c>
      <c r="F51" s="1">
        <f t="shared" si="19"/>
        <v>990384.67470685078</v>
      </c>
      <c r="G51" s="1">
        <f t="shared" si="19"/>
        <v>375700.01952657104</v>
      </c>
    </row>
    <row r="52" spans="1:7" x14ac:dyDescent="0.2">
      <c r="A52" s="1">
        <v>2043</v>
      </c>
      <c r="B52" s="1">
        <f t="shared" si="19"/>
        <v>31766.778595715008</v>
      </c>
      <c r="C52" s="1">
        <f t="shared" si="19"/>
        <v>0</v>
      </c>
      <c r="D52" s="1">
        <f t="shared" si="19"/>
        <v>296052.83409319137</v>
      </c>
      <c r="E52" s="1">
        <f t="shared" si="19"/>
        <v>444261.04417273036</v>
      </c>
      <c r="F52" s="1">
        <f t="shared" si="19"/>
        <v>1015243.3589910612</v>
      </c>
      <c r="G52" s="1">
        <f t="shared" si="19"/>
        <v>363035.82058136398</v>
      </c>
    </row>
    <row r="53" spans="1:7" x14ac:dyDescent="0.2">
      <c r="A53" s="1">
        <v>2044</v>
      </c>
      <c r="B53" s="1">
        <f t="shared" si="19"/>
        <v>30657.376298268653</v>
      </c>
      <c r="C53" s="1">
        <f t="shared" si="19"/>
        <v>0</v>
      </c>
      <c r="D53" s="1">
        <f t="shared" si="19"/>
        <v>275170.73204740213</v>
      </c>
      <c r="E53" s="1">
        <f t="shared" si="19"/>
        <v>392420.25258909189</v>
      </c>
      <c r="F53" s="1">
        <f t="shared" si="19"/>
        <v>1040102.0432752718</v>
      </c>
      <c r="G53" s="1">
        <f t="shared" si="19"/>
        <v>350371.62163615687</v>
      </c>
    </row>
    <row r="54" spans="1:7" x14ac:dyDescent="0.2">
      <c r="A54" s="2">
        <v>2045</v>
      </c>
      <c r="B54" s="2">
        <f>conversion_to_TJ!L10*Dashboard!$D$11</f>
        <v>29547.974000822298</v>
      </c>
      <c r="C54" s="2">
        <f>conversion_to_TJ!L10*Dashboard!$D$12</f>
        <v>0</v>
      </c>
      <c r="D54" s="2">
        <f>conversion_to_TJ!L12</f>
        <v>254288.63000161291</v>
      </c>
      <c r="E54" s="2">
        <f>conversion_to_TJ!L11</f>
        <v>340579.46100545349</v>
      </c>
      <c r="F54" s="2">
        <f>conversion_to_TJ!L13</f>
        <v>1064960.7275594822</v>
      </c>
      <c r="G54" s="2">
        <f>conversion_to_TJ!L16*Dashboard!$D$14</f>
        <v>337707.42269094981</v>
      </c>
    </row>
    <row r="55" spans="1:7" x14ac:dyDescent="0.2">
      <c r="A55" s="1">
        <v>2046</v>
      </c>
      <c r="B55" s="1">
        <f>B$54+(B$59-B$54)/($A$59-$A$54)*($A55-$A$54)</f>
        <v>28012.244747111901</v>
      </c>
      <c r="C55" s="1">
        <f t="shared" ref="C55:G55" si="20">C$54+(C$59-C$54)/($A$59-$A$54)*($A55-$A$54)</f>
        <v>0</v>
      </c>
      <c r="D55" s="1">
        <f t="shared" si="20"/>
        <v>221630.13338506568</v>
      </c>
      <c r="E55" s="1">
        <f t="shared" si="20"/>
        <v>297185.76741043729</v>
      </c>
      <c r="F55" s="1">
        <f t="shared" si="20"/>
        <v>1114678.0961279033</v>
      </c>
      <c r="G55" s="1">
        <f t="shared" si="20"/>
        <v>338679.56798548694</v>
      </c>
    </row>
    <row r="56" spans="1:7" x14ac:dyDescent="0.2">
      <c r="A56" s="1">
        <v>2047</v>
      </c>
      <c r="B56" s="1">
        <f t="shared" ref="B56:G58" si="21">B$54+(B$59-B$54)/($A$59-$A$54)*($A56-$A$54)</f>
        <v>26476.515493401501</v>
      </c>
      <c r="C56" s="1">
        <f t="shared" si="21"/>
        <v>0</v>
      </c>
      <c r="D56" s="1">
        <f t="shared" si="21"/>
        <v>188971.63676851842</v>
      </c>
      <c r="E56" s="1">
        <f t="shared" si="21"/>
        <v>253792.07381542106</v>
      </c>
      <c r="F56" s="1">
        <f t="shared" si="21"/>
        <v>1164395.4646963244</v>
      </c>
      <c r="G56" s="1">
        <f t="shared" si="21"/>
        <v>339651.71328002407</v>
      </c>
    </row>
    <row r="57" spans="1:7" x14ac:dyDescent="0.2">
      <c r="A57" s="1">
        <v>2048</v>
      </c>
      <c r="B57" s="1">
        <f t="shared" si="21"/>
        <v>24940.786239691104</v>
      </c>
      <c r="C57" s="1">
        <f t="shared" si="21"/>
        <v>0</v>
      </c>
      <c r="D57" s="1">
        <f t="shared" si="21"/>
        <v>156313.14015197119</v>
      </c>
      <c r="E57" s="1">
        <f t="shared" si="21"/>
        <v>210398.38022040483</v>
      </c>
      <c r="F57" s="1">
        <f t="shared" si="21"/>
        <v>1214112.8332647453</v>
      </c>
      <c r="G57" s="1">
        <f t="shared" si="21"/>
        <v>340623.85857456125</v>
      </c>
    </row>
    <row r="58" spans="1:7" x14ac:dyDescent="0.2">
      <c r="A58" s="1">
        <v>2049</v>
      </c>
      <c r="B58" s="1">
        <f t="shared" si="21"/>
        <v>23405.056985980707</v>
      </c>
      <c r="C58" s="1">
        <f t="shared" si="21"/>
        <v>0</v>
      </c>
      <c r="D58" s="1">
        <f t="shared" si="21"/>
        <v>123654.64353542397</v>
      </c>
      <c r="E58" s="1">
        <f t="shared" si="21"/>
        <v>167004.68662538863</v>
      </c>
      <c r="F58" s="1">
        <f t="shared" si="21"/>
        <v>1263830.2018331664</v>
      </c>
      <c r="G58" s="1">
        <f t="shared" si="21"/>
        <v>341596.00386909838</v>
      </c>
    </row>
    <row r="59" spans="1:7" x14ac:dyDescent="0.2">
      <c r="A59" s="2">
        <v>2050</v>
      </c>
      <c r="B59" s="2">
        <f>conversion_to_TJ!M10*Dashboard!$D$11</f>
        <v>21869.327732270307</v>
      </c>
      <c r="C59" s="2">
        <f>conversion_to_TJ!M10*Dashboard!$D$12</f>
        <v>0</v>
      </c>
      <c r="D59" s="2">
        <f>conversion_to_TJ!M12</f>
        <v>90996.146918876737</v>
      </c>
      <c r="E59" s="2">
        <f>conversion_to_TJ!M11</f>
        <v>123610.99303037241</v>
      </c>
      <c r="F59" s="2">
        <f>conversion_to_TJ!M13</f>
        <v>1313547.5704015875</v>
      </c>
      <c r="G59" s="2">
        <f>conversion_to_TJ!M16*Dashboard!$D$14</f>
        <v>342568.14916363551</v>
      </c>
    </row>
  </sheetData>
  <mergeCells count="1">
    <mergeCell ref="B3:G5"/>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7" tint="0.39997558519241921"/>
  </sheetPr>
  <dimension ref="A1:G42"/>
  <sheetViews>
    <sheetView workbookViewId="0"/>
  </sheetViews>
  <sheetFormatPr baseColWidth="10" defaultRowHeight="16" x14ac:dyDescent="0.2"/>
  <sheetData>
    <row r="1" spans="1:7" x14ac:dyDescent="0.2">
      <c r="A1" t="s">
        <v>0</v>
      </c>
      <c r="B1" t="s">
        <v>1</v>
      </c>
      <c r="C1" t="s">
        <v>2</v>
      </c>
      <c r="D1" t="s">
        <v>3</v>
      </c>
      <c r="E1" t="s">
        <v>4</v>
      </c>
      <c r="F1" t="s">
        <v>5</v>
      </c>
      <c r="G1" t="s">
        <v>6</v>
      </c>
    </row>
    <row r="2" spans="1:7" x14ac:dyDescent="0.2">
      <c r="A2">
        <v>2010</v>
      </c>
      <c r="B2">
        <f>interpolation!B19</f>
        <v>461858.01</v>
      </c>
      <c r="C2">
        <f>interpolation!C19</f>
        <v>0</v>
      </c>
      <c r="D2">
        <f>interpolation!D19</f>
        <v>2154254.5499999998</v>
      </c>
      <c r="E2">
        <f>interpolation!E19</f>
        <v>2670671.7971999999</v>
      </c>
      <c r="F2">
        <f>interpolation!F19</f>
        <v>671110.54560000007</v>
      </c>
      <c r="G2">
        <f>interpolation!G19</f>
        <v>112618.27764179997</v>
      </c>
    </row>
    <row r="3" spans="1:7" x14ac:dyDescent="0.2">
      <c r="A3">
        <v>2011</v>
      </c>
      <c r="B3">
        <f>interpolation!B20</f>
        <v>439700.58499999996</v>
      </c>
      <c r="C3">
        <f>interpolation!C20</f>
        <v>0</v>
      </c>
      <c r="D3">
        <f>interpolation!D20</f>
        <v>1810463.9699999997</v>
      </c>
      <c r="E3">
        <f>interpolation!E20</f>
        <v>2682805.2885999996</v>
      </c>
      <c r="F3">
        <f>interpolation!F20</f>
        <v>719651.67780000006</v>
      </c>
      <c r="G3">
        <f>interpolation!G20</f>
        <v>123684.58454447622</v>
      </c>
    </row>
    <row r="4" spans="1:7" x14ac:dyDescent="0.2">
      <c r="A4">
        <v>2012</v>
      </c>
      <c r="B4">
        <f>interpolation!B21</f>
        <v>417543.16</v>
      </c>
      <c r="C4">
        <f>interpolation!C21</f>
        <v>0</v>
      </c>
      <c r="D4">
        <f>interpolation!D21</f>
        <v>1466673.39</v>
      </c>
      <c r="E4">
        <f>interpolation!E21</f>
        <v>2694938.78</v>
      </c>
      <c r="F4">
        <f>interpolation!F21</f>
        <v>768192.81</v>
      </c>
      <c r="G4">
        <f>interpolation!G21</f>
        <v>134750.89144715248</v>
      </c>
    </row>
    <row r="5" spans="1:7" x14ac:dyDescent="0.2">
      <c r="A5">
        <v>2013</v>
      </c>
      <c r="B5">
        <f>interpolation!B22</f>
        <v>363038.26521841198</v>
      </c>
      <c r="C5">
        <f>interpolation!C22</f>
        <v>0</v>
      </c>
      <c r="D5">
        <f>interpolation!D22</f>
        <v>1455731.6989174385</v>
      </c>
      <c r="E5">
        <f>interpolation!E22</f>
        <v>2469285.8180019595</v>
      </c>
      <c r="F5">
        <f>interpolation!F22</f>
        <v>732533.4715431605</v>
      </c>
      <c r="G5">
        <f>interpolation!G22</f>
        <v>145817.19834982874</v>
      </c>
    </row>
    <row r="6" spans="1:7" x14ac:dyDescent="0.2">
      <c r="A6">
        <v>2014</v>
      </c>
      <c r="B6">
        <f>interpolation!B23</f>
        <v>308533.37043682393</v>
      </c>
      <c r="C6">
        <f>interpolation!C23</f>
        <v>0</v>
      </c>
      <c r="D6">
        <f>interpolation!D23</f>
        <v>1444790.0078348771</v>
      </c>
      <c r="E6">
        <f>interpolation!E23</f>
        <v>2243632.8560039196</v>
      </c>
      <c r="F6">
        <f>interpolation!F23</f>
        <v>696874.13308632094</v>
      </c>
      <c r="G6">
        <f>interpolation!G23</f>
        <v>156883.50525250501</v>
      </c>
    </row>
    <row r="7" spans="1:7" x14ac:dyDescent="0.2">
      <c r="A7">
        <v>2015</v>
      </c>
      <c r="B7">
        <f>interpolation!B24</f>
        <v>254028.47565523593</v>
      </c>
      <c r="C7">
        <f>interpolation!C24</f>
        <v>0</v>
      </c>
      <c r="D7">
        <f>interpolation!D24</f>
        <v>1433848.3167523157</v>
      </c>
      <c r="E7">
        <f>interpolation!E24</f>
        <v>2017979.8940058795</v>
      </c>
      <c r="F7">
        <f>interpolation!F24</f>
        <v>661214.79462948139</v>
      </c>
      <c r="G7">
        <f>interpolation!G24</f>
        <v>167949.81215518125</v>
      </c>
    </row>
    <row r="8" spans="1:7" x14ac:dyDescent="0.2">
      <c r="A8">
        <v>2016</v>
      </c>
      <c r="B8">
        <f>interpolation!B25</f>
        <v>231870.72652453714</v>
      </c>
      <c r="C8">
        <f>interpolation!C25</f>
        <v>0</v>
      </c>
      <c r="D8">
        <f>interpolation!D25</f>
        <v>1371651.1330493384</v>
      </c>
      <c r="E8">
        <f>interpolation!E25</f>
        <v>1957411.4112812986</v>
      </c>
      <c r="F8">
        <f>interpolation!F25</f>
        <v>657708.91963483242</v>
      </c>
      <c r="G8">
        <f>interpolation!G25</f>
        <v>195663.00466691423</v>
      </c>
    </row>
    <row r="9" spans="1:7" x14ac:dyDescent="0.2">
      <c r="A9">
        <v>2017</v>
      </c>
      <c r="B9">
        <f>interpolation!B26</f>
        <v>209712.97739383837</v>
      </c>
      <c r="C9">
        <f>interpolation!C26</f>
        <v>0</v>
      </c>
      <c r="D9">
        <f>interpolation!D26</f>
        <v>1309453.949346361</v>
      </c>
      <c r="E9">
        <f>interpolation!E26</f>
        <v>1896842.9285567177</v>
      </c>
      <c r="F9">
        <f>interpolation!F26</f>
        <v>654203.04464018345</v>
      </c>
      <c r="G9">
        <f>interpolation!G26</f>
        <v>223376.19717864721</v>
      </c>
    </row>
    <row r="10" spans="1:7" x14ac:dyDescent="0.2">
      <c r="A10">
        <v>2018</v>
      </c>
      <c r="B10">
        <f>interpolation!B27</f>
        <v>187555.22826313958</v>
      </c>
      <c r="C10">
        <f>interpolation!C27</f>
        <v>0</v>
      </c>
      <c r="D10">
        <f>interpolation!D27</f>
        <v>1247256.7656433838</v>
      </c>
      <c r="E10">
        <f>interpolation!E27</f>
        <v>1836274.4458321366</v>
      </c>
      <c r="F10">
        <f>interpolation!F27</f>
        <v>650697.1696455346</v>
      </c>
      <c r="G10">
        <f>interpolation!G27</f>
        <v>251089.38969038019</v>
      </c>
    </row>
    <row r="11" spans="1:7" x14ac:dyDescent="0.2">
      <c r="A11">
        <v>2019</v>
      </c>
      <c r="B11">
        <f>interpolation!B28</f>
        <v>165397.47913244081</v>
      </c>
      <c r="C11">
        <f>interpolation!C28</f>
        <v>0</v>
      </c>
      <c r="D11">
        <f>interpolation!D28</f>
        <v>1185059.5819404065</v>
      </c>
      <c r="E11">
        <f>interpolation!E28</f>
        <v>1775705.9631075556</v>
      </c>
      <c r="F11">
        <f>interpolation!F28</f>
        <v>647191.29465088563</v>
      </c>
      <c r="G11">
        <f>interpolation!G28</f>
        <v>278802.58220211318</v>
      </c>
    </row>
    <row r="12" spans="1:7" x14ac:dyDescent="0.2">
      <c r="A12">
        <v>2020</v>
      </c>
      <c r="B12">
        <f>interpolation!B29</f>
        <v>143239.73000174202</v>
      </c>
      <c r="C12">
        <f>interpolation!C29</f>
        <v>0</v>
      </c>
      <c r="D12">
        <f>interpolation!D29</f>
        <v>1122862.3982374291</v>
      </c>
      <c r="E12">
        <f>interpolation!E29</f>
        <v>1715137.4803829747</v>
      </c>
      <c r="F12">
        <f>interpolation!F29</f>
        <v>643685.41965623666</v>
      </c>
      <c r="G12">
        <f>interpolation!G29</f>
        <v>306515.77471384616</v>
      </c>
    </row>
    <row r="13" spans="1:7" x14ac:dyDescent="0.2">
      <c r="A13">
        <v>2021</v>
      </c>
      <c r="B13">
        <f>interpolation!B30</f>
        <v>140103.54552592369</v>
      </c>
      <c r="C13">
        <f>interpolation!C30</f>
        <v>0</v>
      </c>
      <c r="D13">
        <f>interpolation!D30</f>
        <v>1088685.804273407</v>
      </c>
      <c r="E13">
        <f>interpolation!E30</f>
        <v>1648786.6327150355</v>
      </c>
      <c r="F13">
        <f>interpolation!F30</f>
        <v>631006.73880988196</v>
      </c>
      <c r="G13">
        <f>interpolation!G30</f>
        <v>313968.92672924144</v>
      </c>
    </row>
    <row r="14" spans="1:7" x14ac:dyDescent="0.2">
      <c r="A14">
        <v>2022</v>
      </c>
      <c r="B14">
        <f>interpolation!B31</f>
        <v>136967.36105010536</v>
      </c>
      <c r="C14">
        <f>interpolation!C31</f>
        <v>0</v>
      </c>
      <c r="D14">
        <f>interpolation!D31</f>
        <v>1054509.2103093849</v>
      </c>
      <c r="E14">
        <f>interpolation!E31</f>
        <v>1582435.7850470962</v>
      </c>
      <c r="F14">
        <f>interpolation!F31</f>
        <v>618328.05796352727</v>
      </c>
      <c r="G14">
        <f>interpolation!G31</f>
        <v>321422.07874463673</v>
      </c>
    </row>
    <row r="15" spans="1:7" x14ac:dyDescent="0.2">
      <c r="A15">
        <v>2023</v>
      </c>
      <c r="B15">
        <f>interpolation!B32</f>
        <v>133831.17657428706</v>
      </c>
      <c r="C15">
        <f>interpolation!C32</f>
        <v>0</v>
      </c>
      <c r="D15">
        <f>interpolation!D32</f>
        <v>1020332.6163453627</v>
      </c>
      <c r="E15">
        <f>interpolation!E32</f>
        <v>1516084.9373791572</v>
      </c>
      <c r="F15">
        <f>interpolation!F32</f>
        <v>605649.3771171727</v>
      </c>
      <c r="G15">
        <f>interpolation!G32</f>
        <v>328875.23076003202</v>
      </c>
    </row>
    <row r="16" spans="1:7" x14ac:dyDescent="0.2">
      <c r="A16">
        <v>2024</v>
      </c>
      <c r="B16">
        <f>interpolation!B33</f>
        <v>130694.99209846873</v>
      </c>
      <c r="C16">
        <f>interpolation!C33</f>
        <v>0</v>
      </c>
      <c r="D16">
        <f>interpolation!D33</f>
        <v>986156.0223813405</v>
      </c>
      <c r="E16">
        <f>interpolation!E33</f>
        <v>1449734.0897112179</v>
      </c>
      <c r="F16">
        <f>interpolation!F33</f>
        <v>592970.69627081801</v>
      </c>
      <c r="G16">
        <f>interpolation!G33</f>
        <v>336328.38277542731</v>
      </c>
    </row>
    <row r="17" spans="1:7" x14ac:dyDescent="0.2">
      <c r="A17">
        <v>2025</v>
      </c>
      <c r="B17">
        <f>interpolation!B34</f>
        <v>127558.80762265041</v>
      </c>
      <c r="C17">
        <f>interpolation!C34</f>
        <v>0</v>
      </c>
      <c r="D17">
        <f>interpolation!D34</f>
        <v>951979.42841731838</v>
      </c>
      <c r="E17">
        <f>interpolation!E34</f>
        <v>1383383.2420432786</v>
      </c>
      <c r="F17">
        <f>interpolation!F34</f>
        <v>580292.01542446332</v>
      </c>
      <c r="G17">
        <f>interpolation!G34</f>
        <v>343781.5347908226</v>
      </c>
    </row>
    <row r="18" spans="1:7" x14ac:dyDescent="0.2">
      <c r="A18">
        <v>2026</v>
      </c>
      <c r="B18">
        <f>interpolation!B35</f>
        <v>116584.73769975222</v>
      </c>
      <c r="C18">
        <f>interpolation!C35</f>
        <v>0</v>
      </c>
      <c r="D18">
        <f>interpolation!D35</f>
        <v>896313.25699654699</v>
      </c>
      <c r="E18">
        <f>interpolation!E35</f>
        <v>1328162.7289318112</v>
      </c>
      <c r="F18">
        <f>interpolation!F35</f>
        <v>663309.18253767118</v>
      </c>
      <c r="G18">
        <f>interpolation!G35</f>
        <v>351245.85129712807</v>
      </c>
    </row>
    <row r="19" spans="1:7" x14ac:dyDescent="0.2">
      <c r="A19">
        <v>2027</v>
      </c>
      <c r="B19">
        <f>interpolation!B36</f>
        <v>105610.66777685404</v>
      </c>
      <c r="C19">
        <f>interpolation!C36</f>
        <v>0</v>
      </c>
      <c r="D19">
        <f>interpolation!D36</f>
        <v>840647.08557577548</v>
      </c>
      <c r="E19">
        <f>interpolation!E36</f>
        <v>1272942.2158203437</v>
      </c>
      <c r="F19">
        <f>interpolation!F36</f>
        <v>746326.34965087916</v>
      </c>
      <c r="G19">
        <f>interpolation!G36</f>
        <v>358710.16780343349</v>
      </c>
    </row>
    <row r="20" spans="1:7" x14ac:dyDescent="0.2">
      <c r="A20">
        <v>2028</v>
      </c>
      <c r="B20">
        <f>interpolation!B37</f>
        <v>94636.597853955856</v>
      </c>
      <c r="C20">
        <f>interpolation!C37</f>
        <v>0</v>
      </c>
      <c r="D20">
        <f>interpolation!D37</f>
        <v>784980.91415500408</v>
      </c>
      <c r="E20">
        <f>interpolation!E37</f>
        <v>1217721.7027088762</v>
      </c>
      <c r="F20">
        <f>interpolation!F37</f>
        <v>829343.51676408702</v>
      </c>
      <c r="G20">
        <f>interpolation!G37</f>
        <v>366174.48430973897</v>
      </c>
    </row>
    <row r="21" spans="1:7" x14ac:dyDescent="0.2">
      <c r="A21">
        <v>2029</v>
      </c>
      <c r="B21">
        <f>interpolation!B38</f>
        <v>83662.527931057673</v>
      </c>
      <c r="C21">
        <f>interpolation!C38</f>
        <v>0</v>
      </c>
      <c r="D21">
        <f>interpolation!D38</f>
        <v>729314.74273423268</v>
      </c>
      <c r="E21">
        <f>interpolation!E38</f>
        <v>1162501.1895974085</v>
      </c>
      <c r="F21">
        <f>interpolation!F38</f>
        <v>912360.68387729488</v>
      </c>
      <c r="G21">
        <f>interpolation!G38</f>
        <v>373638.80081604439</v>
      </c>
    </row>
    <row r="22" spans="1:7" x14ac:dyDescent="0.2">
      <c r="A22">
        <v>2030</v>
      </c>
      <c r="B22">
        <f>interpolation!B39</f>
        <v>72688.45800815949</v>
      </c>
      <c r="C22">
        <f>interpolation!C39</f>
        <v>0</v>
      </c>
      <c r="D22">
        <f>interpolation!D39</f>
        <v>673648.57131346117</v>
      </c>
      <c r="E22">
        <f>interpolation!E39</f>
        <v>1107280.676485941</v>
      </c>
      <c r="F22">
        <f>interpolation!F39</f>
        <v>995377.85099050275</v>
      </c>
      <c r="G22">
        <f>interpolation!G39</f>
        <v>381103.11732234986</v>
      </c>
    </row>
    <row r="23" spans="1:7" x14ac:dyDescent="0.2">
      <c r="A23">
        <v>2031</v>
      </c>
      <c r="B23">
        <f>interpolation!B40</f>
        <v>67920.258924668422</v>
      </c>
      <c r="C23">
        <f>interpolation!C40</f>
        <v>0</v>
      </c>
      <c r="D23">
        <f>interpolation!D40</f>
        <v>642529.27272965084</v>
      </c>
      <c r="E23">
        <f>interpolation!E40</f>
        <v>1054752.708902895</v>
      </c>
      <c r="F23">
        <f>interpolation!F40</f>
        <v>976147.10221587203</v>
      </c>
      <c r="G23">
        <f>interpolation!G40</f>
        <v>384693.04898102488</v>
      </c>
    </row>
    <row r="24" spans="1:7" x14ac:dyDescent="0.2">
      <c r="A24">
        <v>2032</v>
      </c>
      <c r="B24">
        <f>interpolation!B41</f>
        <v>63152.059841177368</v>
      </c>
      <c r="C24">
        <f>interpolation!C41</f>
        <v>0</v>
      </c>
      <c r="D24">
        <f>interpolation!D41</f>
        <v>611409.9741458405</v>
      </c>
      <c r="E24">
        <f>interpolation!E41</f>
        <v>1002224.7413198489</v>
      </c>
      <c r="F24">
        <f>interpolation!F41</f>
        <v>956916.35344124131</v>
      </c>
      <c r="G24">
        <f>interpolation!G41</f>
        <v>388282.98063969985</v>
      </c>
    </row>
    <row r="25" spans="1:7" x14ac:dyDescent="0.2">
      <c r="A25">
        <v>2033</v>
      </c>
      <c r="B25">
        <f>interpolation!B42</f>
        <v>58383.8607576863</v>
      </c>
      <c r="C25">
        <f>interpolation!C42</f>
        <v>0</v>
      </c>
      <c r="D25">
        <f>interpolation!D42</f>
        <v>580290.67556203017</v>
      </c>
      <c r="E25">
        <f>interpolation!E42</f>
        <v>949696.77373680286</v>
      </c>
      <c r="F25">
        <f>interpolation!F42</f>
        <v>937685.60466661048</v>
      </c>
      <c r="G25">
        <f>interpolation!G42</f>
        <v>391872.91229837487</v>
      </c>
    </row>
    <row r="26" spans="1:7" x14ac:dyDescent="0.2">
      <c r="A26">
        <v>2034</v>
      </c>
      <c r="B26">
        <f>interpolation!B43</f>
        <v>53615.661674195238</v>
      </c>
      <c r="C26">
        <f>interpolation!C43</f>
        <v>0</v>
      </c>
      <c r="D26">
        <f>interpolation!D43</f>
        <v>549171.37697821984</v>
      </c>
      <c r="E26">
        <f>interpolation!E43</f>
        <v>897168.80615375668</v>
      </c>
      <c r="F26">
        <f>interpolation!F43</f>
        <v>918454.85589197977</v>
      </c>
      <c r="G26">
        <f>interpolation!G43</f>
        <v>395462.84395704983</v>
      </c>
    </row>
    <row r="27" spans="1:7" x14ac:dyDescent="0.2">
      <c r="A27">
        <v>2035</v>
      </c>
      <c r="B27">
        <f>interpolation!B44</f>
        <v>48847.462590704177</v>
      </c>
      <c r="C27">
        <f>interpolation!C44</f>
        <v>0</v>
      </c>
      <c r="D27">
        <f>interpolation!D44</f>
        <v>518052.0783944095</v>
      </c>
      <c r="E27">
        <f>interpolation!E44</f>
        <v>844640.83857071062</v>
      </c>
      <c r="F27">
        <f>interpolation!F44</f>
        <v>899224.10711734905</v>
      </c>
      <c r="G27">
        <f>interpolation!G44</f>
        <v>399052.77561572485</v>
      </c>
    </row>
    <row r="28" spans="1:7" x14ac:dyDescent="0.2">
      <c r="A28">
        <v>2036</v>
      </c>
      <c r="B28">
        <f>interpolation!B45</f>
        <v>46096.967170174154</v>
      </c>
      <c r="C28">
        <f>interpolation!C45</f>
        <v>0</v>
      </c>
      <c r="D28">
        <f>interpolation!D45</f>
        <v>486181.49076163943</v>
      </c>
      <c r="E28">
        <f>interpolation!E45</f>
        <v>795669.3546412976</v>
      </c>
      <c r="F28">
        <f>interpolation!F45</f>
        <v>907512.74692156515</v>
      </c>
      <c r="G28">
        <f>interpolation!G45</f>
        <v>399447.90397597692</v>
      </c>
    </row>
    <row r="29" spans="1:7" x14ac:dyDescent="0.2">
      <c r="A29">
        <v>2037</v>
      </c>
      <c r="B29">
        <f>interpolation!B46</f>
        <v>43346.471749644137</v>
      </c>
      <c r="C29">
        <f>interpolation!C46</f>
        <v>0</v>
      </c>
      <c r="D29">
        <f>interpolation!D46</f>
        <v>454310.90312886931</v>
      </c>
      <c r="E29">
        <f>interpolation!E46</f>
        <v>746697.87071188458</v>
      </c>
      <c r="F29">
        <f>interpolation!F46</f>
        <v>915801.38672578137</v>
      </c>
      <c r="G29">
        <f>interpolation!G46</f>
        <v>399843.03233622899</v>
      </c>
    </row>
    <row r="30" spans="1:7" x14ac:dyDescent="0.2">
      <c r="A30">
        <v>2038</v>
      </c>
      <c r="B30">
        <f>interpolation!B47</f>
        <v>40595.976329114113</v>
      </c>
      <c r="C30">
        <f>interpolation!C47</f>
        <v>0</v>
      </c>
      <c r="D30">
        <f>interpolation!D47</f>
        <v>422440.31549609924</v>
      </c>
      <c r="E30">
        <f>interpolation!E47</f>
        <v>697726.38678247156</v>
      </c>
      <c r="F30">
        <f>interpolation!F47</f>
        <v>924090.02652999747</v>
      </c>
      <c r="G30">
        <f>interpolation!G47</f>
        <v>400238.16069648101</v>
      </c>
    </row>
    <row r="31" spans="1:7" x14ac:dyDescent="0.2">
      <c r="A31">
        <v>2039</v>
      </c>
      <c r="B31">
        <f>interpolation!B48</f>
        <v>37845.480908584097</v>
      </c>
      <c r="C31">
        <f>interpolation!C48</f>
        <v>0</v>
      </c>
      <c r="D31">
        <f>interpolation!D48</f>
        <v>390569.72786332911</v>
      </c>
      <c r="E31">
        <f>interpolation!E48</f>
        <v>648754.90285305865</v>
      </c>
      <c r="F31">
        <f>interpolation!F48</f>
        <v>932378.66633421369</v>
      </c>
      <c r="G31">
        <f>interpolation!G48</f>
        <v>400633.28905673308</v>
      </c>
    </row>
    <row r="32" spans="1:7" x14ac:dyDescent="0.2">
      <c r="A32">
        <v>2040</v>
      </c>
      <c r="B32">
        <f>interpolation!B49</f>
        <v>35094.985488054073</v>
      </c>
      <c r="C32">
        <f>interpolation!C49</f>
        <v>0</v>
      </c>
      <c r="D32">
        <f>interpolation!D49</f>
        <v>358699.14023055905</v>
      </c>
      <c r="E32">
        <f>interpolation!E49</f>
        <v>599783.41892364563</v>
      </c>
      <c r="F32">
        <f>interpolation!F49</f>
        <v>940667.30613842979</v>
      </c>
      <c r="G32">
        <f>interpolation!G49</f>
        <v>401028.41741698515</v>
      </c>
    </row>
    <row r="33" spans="1:7" x14ac:dyDescent="0.2">
      <c r="A33">
        <v>2041</v>
      </c>
      <c r="B33">
        <f>interpolation!B50</f>
        <v>33985.583190607722</v>
      </c>
      <c r="C33">
        <f>interpolation!C50</f>
        <v>0</v>
      </c>
      <c r="D33">
        <f>interpolation!D50</f>
        <v>337817.0381847698</v>
      </c>
      <c r="E33">
        <f>interpolation!E50</f>
        <v>547942.62734000722</v>
      </c>
      <c r="F33">
        <f>interpolation!F50</f>
        <v>965525.99042264023</v>
      </c>
      <c r="G33">
        <f>interpolation!G50</f>
        <v>388364.21847177809</v>
      </c>
    </row>
    <row r="34" spans="1:7" x14ac:dyDescent="0.2">
      <c r="A34">
        <v>2042</v>
      </c>
      <c r="B34">
        <f>interpolation!B51</f>
        <v>32876.180893161363</v>
      </c>
      <c r="C34">
        <f>interpolation!C51</f>
        <v>0</v>
      </c>
      <c r="D34">
        <f>interpolation!D51</f>
        <v>316934.93613898061</v>
      </c>
      <c r="E34">
        <f>interpolation!E51</f>
        <v>496101.83575636876</v>
      </c>
      <c r="F34">
        <f>interpolation!F51</f>
        <v>990384.67470685078</v>
      </c>
      <c r="G34">
        <f>interpolation!G51</f>
        <v>375700.01952657104</v>
      </c>
    </row>
    <row r="35" spans="1:7" x14ac:dyDescent="0.2">
      <c r="A35">
        <v>2043</v>
      </c>
      <c r="B35">
        <f>interpolation!B52</f>
        <v>31766.778595715008</v>
      </c>
      <c r="C35">
        <f>interpolation!C52</f>
        <v>0</v>
      </c>
      <c r="D35">
        <f>interpolation!D52</f>
        <v>296052.83409319137</v>
      </c>
      <c r="E35">
        <f>interpolation!E52</f>
        <v>444261.04417273036</v>
      </c>
      <c r="F35">
        <f>interpolation!F52</f>
        <v>1015243.3589910612</v>
      </c>
      <c r="G35">
        <f>interpolation!G52</f>
        <v>363035.82058136398</v>
      </c>
    </row>
    <row r="36" spans="1:7" x14ac:dyDescent="0.2">
      <c r="A36">
        <v>2044</v>
      </c>
      <c r="B36">
        <f>interpolation!B53</f>
        <v>30657.376298268653</v>
      </c>
      <c r="C36">
        <f>interpolation!C53</f>
        <v>0</v>
      </c>
      <c r="D36">
        <f>interpolation!D53</f>
        <v>275170.73204740213</v>
      </c>
      <c r="E36">
        <f>interpolation!E53</f>
        <v>392420.25258909189</v>
      </c>
      <c r="F36">
        <f>interpolation!F53</f>
        <v>1040102.0432752718</v>
      </c>
      <c r="G36">
        <f>interpolation!G53</f>
        <v>350371.62163615687</v>
      </c>
    </row>
    <row r="37" spans="1:7" x14ac:dyDescent="0.2">
      <c r="A37">
        <v>2045</v>
      </c>
      <c r="B37">
        <f>interpolation!B54</f>
        <v>29547.974000822298</v>
      </c>
      <c r="C37">
        <f>interpolation!C54</f>
        <v>0</v>
      </c>
      <c r="D37">
        <f>interpolation!D54</f>
        <v>254288.63000161291</v>
      </c>
      <c r="E37">
        <f>interpolation!E54</f>
        <v>340579.46100545349</v>
      </c>
      <c r="F37">
        <f>interpolation!F54</f>
        <v>1064960.7275594822</v>
      </c>
      <c r="G37">
        <f>interpolation!G54</f>
        <v>337707.42269094981</v>
      </c>
    </row>
    <row r="38" spans="1:7" x14ac:dyDescent="0.2">
      <c r="A38">
        <v>2046</v>
      </c>
      <c r="B38">
        <f>interpolation!B55</f>
        <v>28012.244747111901</v>
      </c>
      <c r="C38">
        <f>interpolation!C55</f>
        <v>0</v>
      </c>
      <c r="D38">
        <f>interpolation!D55</f>
        <v>221630.13338506568</v>
      </c>
      <c r="E38">
        <f>interpolation!E55</f>
        <v>297185.76741043729</v>
      </c>
      <c r="F38">
        <f>interpolation!F55</f>
        <v>1114678.0961279033</v>
      </c>
      <c r="G38">
        <f>interpolation!G55</f>
        <v>338679.56798548694</v>
      </c>
    </row>
    <row r="39" spans="1:7" x14ac:dyDescent="0.2">
      <c r="A39">
        <v>2047</v>
      </c>
      <c r="B39">
        <f>interpolation!B56</f>
        <v>26476.515493401501</v>
      </c>
      <c r="C39">
        <f>interpolation!C56</f>
        <v>0</v>
      </c>
      <c r="D39">
        <f>interpolation!D56</f>
        <v>188971.63676851842</v>
      </c>
      <c r="E39">
        <f>interpolation!E56</f>
        <v>253792.07381542106</v>
      </c>
      <c r="F39">
        <f>interpolation!F56</f>
        <v>1164395.4646963244</v>
      </c>
      <c r="G39">
        <f>interpolation!G56</f>
        <v>339651.71328002407</v>
      </c>
    </row>
    <row r="40" spans="1:7" x14ac:dyDescent="0.2">
      <c r="A40">
        <v>2048</v>
      </c>
      <c r="B40">
        <f>interpolation!B57</f>
        <v>24940.786239691104</v>
      </c>
      <c r="C40">
        <f>interpolation!C57</f>
        <v>0</v>
      </c>
      <c r="D40">
        <f>interpolation!D57</f>
        <v>156313.14015197119</v>
      </c>
      <c r="E40">
        <f>interpolation!E57</f>
        <v>210398.38022040483</v>
      </c>
      <c r="F40">
        <f>interpolation!F57</f>
        <v>1214112.8332647453</v>
      </c>
      <c r="G40">
        <f>interpolation!G57</f>
        <v>340623.85857456125</v>
      </c>
    </row>
    <row r="41" spans="1:7" x14ac:dyDescent="0.2">
      <c r="A41">
        <v>2049</v>
      </c>
      <c r="B41">
        <f>interpolation!B58</f>
        <v>23405.056985980707</v>
      </c>
      <c r="C41">
        <f>interpolation!C58</f>
        <v>0</v>
      </c>
      <c r="D41">
        <f>interpolation!D58</f>
        <v>123654.64353542397</v>
      </c>
      <c r="E41">
        <f>interpolation!E58</f>
        <v>167004.68662538863</v>
      </c>
      <c r="F41">
        <f>interpolation!F58</f>
        <v>1263830.2018331664</v>
      </c>
      <c r="G41">
        <f>interpolation!G58</f>
        <v>341596.00386909838</v>
      </c>
    </row>
    <row r="42" spans="1:7" x14ac:dyDescent="0.2">
      <c r="A42">
        <v>2050</v>
      </c>
      <c r="B42">
        <f>interpolation!B59</f>
        <v>21869.327732270307</v>
      </c>
      <c r="C42">
        <f>interpolation!C59</f>
        <v>0</v>
      </c>
      <c r="D42">
        <f>interpolation!D59</f>
        <v>90996.146918876737</v>
      </c>
      <c r="E42">
        <f>interpolation!E59</f>
        <v>123610.99303037241</v>
      </c>
      <c r="F42">
        <f>interpolation!F59</f>
        <v>1313547.5704015875</v>
      </c>
      <c r="G42">
        <f>interpolation!G59</f>
        <v>342568.14916363551</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Cover sheet</vt:lpstr>
      <vt:lpstr>Changelog</vt:lpstr>
      <vt:lpstr>Contents</vt:lpstr>
      <vt:lpstr>Introduction</vt:lpstr>
      <vt:lpstr>Assumptions</vt:lpstr>
      <vt:lpstr>Dashboard</vt:lpstr>
      <vt:lpstr>conversion_to_TJ</vt:lpstr>
      <vt:lpstr>interpolation</vt:lpstr>
      <vt:lpstr>timecurves</vt:lpstr>
      <vt:lpstr>ktoe_TJ</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Marlieke Verweij</cp:lastModifiedBy>
  <dcterms:created xsi:type="dcterms:W3CDTF">2014-06-04T09:13:49Z</dcterms:created>
  <dcterms:modified xsi:type="dcterms:W3CDTF">2019-05-07T12:19:12Z</dcterms:modified>
</cp:coreProperties>
</file>