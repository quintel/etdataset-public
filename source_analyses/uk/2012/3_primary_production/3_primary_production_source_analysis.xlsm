
<file path=[Content_Types].xml><?xml version="1.0" encoding="utf-8"?>
<Types xmlns="http://schemas.openxmlformats.org/package/2006/content-types">
  <Default Extension="xml" ContentType="application/xml"/>
  <Default Extension="jpeg" ContentType="image/jpeg"/>
  <Default Extension="bin" ContentType="application/vnd.ms-office.vbaProject"/>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harts/chart1.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4" Type="http://schemas.openxmlformats.org/officeDocument/2006/relationships/extended-properties" Target="docProps/app.xml"/><Relationship Id="rId1" Type="http://schemas.openxmlformats.org/officeDocument/2006/relationships/officeDocument" Target="xl/workbook.xml"/><Relationship Id="rId2" Type="http://schemas.openxmlformats.org/package/2006/relationships/metadata/thumbnail" Target="docProps/thumbnail.jpeg"/></Relationships>
</file>

<file path=xl/workbook.xml><?xml version="1.0" encoding="utf-8"?>
<workbook xmlns="http://schemas.openxmlformats.org/spreadsheetml/2006/main" xmlns:r="http://schemas.openxmlformats.org/officeDocument/2006/relationships">
  <fileVersion appName="xl" lastEdited="5" lowestEdited="5" rupBuild="24816" codeName="{00000000-0000-0000-0000-000000000000}"/>
  <workbookPr showInkAnnotation="0" codeName="ThisWorkbook" autoCompressPictures="0"/>
  <bookViews>
    <workbookView xWindow="0" yWindow="0" windowWidth="28800" windowHeight="15960" tabRatio="500" firstSheet="3" activeTab="5"/>
  </bookViews>
  <sheets>
    <sheet name="Cover sheet" sheetId="7" r:id="rId1"/>
    <sheet name="Changelog" sheetId="8" r:id="rId2"/>
    <sheet name="Contents" sheetId="9" r:id="rId3"/>
    <sheet name="Introduction" sheetId="10" r:id="rId4"/>
    <sheet name="Assumptions" sheetId="11" r:id="rId5"/>
    <sheet name="Dashboard" sheetId="2" r:id="rId6"/>
    <sheet name="conversion_to_TJ" sheetId="6" r:id="rId7"/>
    <sheet name="interpolation" sheetId="5" r:id="rId8"/>
    <sheet name="timecurves" sheetId="3" r:id="rId9"/>
  </sheets>
  <externalReferences>
    <externalReference r:id="rId10"/>
  </externalReferences>
  <definedNames>
    <definedName name="base_year">[1]Dashboard!$E$14</definedName>
    <definedName name="country">[1]Dashboard!$E$13</definedName>
    <definedName name="export_csv">"Button 2"</definedName>
    <definedName name="import_ceb2">"Button 1"</definedName>
    <definedName name="ktoe_TJ">Dashboard!$D$16</definedName>
  </definedNames>
  <calcPr calcId="140000" concurrentCalc="0"/>
  <extLst>
    <ext xmlns:mx="http://schemas.microsoft.com/office/mac/excel/2008/main" uri="{7523E5D3-25F3-A5E0-1632-64F254C22452}">
      <mx:ArchID Flags="2"/>
    </ext>
  </extLst>
</workbook>
</file>

<file path=xl/calcChain.xml><?xml version="1.0" encoding="utf-8"?>
<calcChain xmlns="http://schemas.openxmlformats.org/spreadsheetml/2006/main">
  <c r="C20" i="5" l="1"/>
  <c r="C23" i="5"/>
  <c r="D23" i="5"/>
  <c r="E23" i="5"/>
  <c r="F23" i="5"/>
  <c r="C22" i="5"/>
  <c r="D22" i="5"/>
  <c r="E22" i="5"/>
  <c r="F22" i="5"/>
  <c r="B23" i="5"/>
  <c r="B22" i="5"/>
  <c r="D20" i="5"/>
  <c r="E20" i="5"/>
  <c r="F20" i="5"/>
  <c r="B20" i="5"/>
  <c r="G21" i="5"/>
  <c r="B3" i="3"/>
  <c r="C3" i="3"/>
  <c r="D3" i="3"/>
  <c r="E3" i="3"/>
  <c r="F3" i="3"/>
  <c r="G3" i="3"/>
  <c r="B4" i="3"/>
  <c r="C4" i="3"/>
  <c r="D4" i="3"/>
  <c r="E4" i="3"/>
  <c r="F4" i="3"/>
  <c r="G4" i="3"/>
  <c r="B5" i="3"/>
  <c r="C5" i="3"/>
  <c r="D5" i="3"/>
  <c r="E5" i="3"/>
  <c r="F5" i="3"/>
  <c r="G5" i="3"/>
  <c r="B6" i="3"/>
  <c r="C6" i="3"/>
  <c r="D6" i="3"/>
  <c r="E6" i="3"/>
  <c r="F6" i="3"/>
  <c r="G6" i="3"/>
  <c r="B7" i="3"/>
  <c r="C7" i="3"/>
  <c r="D7" i="3"/>
  <c r="E7" i="3"/>
  <c r="F7" i="3"/>
  <c r="G7" i="3"/>
  <c r="B8" i="3"/>
  <c r="C8" i="3"/>
  <c r="D8" i="3"/>
  <c r="E8" i="3"/>
  <c r="F8" i="3"/>
  <c r="G8" i="3"/>
  <c r="B9" i="3"/>
  <c r="C9" i="3"/>
  <c r="D9" i="3"/>
  <c r="E9" i="3"/>
  <c r="F9" i="3"/>
  <c r="G9" i="3"/>
  <c r="B10" i="3"/>
  <c r="C10" i="3"/>
  <c r="D10" i="3"/>
  <c r="E10" i="3"/>
  <c r="F10" i="3"/>
  <c r="G10" i="3"/>
  <c r="B11" i="3"/>
  <c r="C11" i="3"/>
  <c r="D11" i="3"/>
  <c r="E11" i="3"/>
  <c r="F11" i="3"/>
  <c r="G11" i="3"/>
  <c r="B12" i="3"/>
  <c r="C12" i="3"/>
  <c r="D12" i="3"/>
  <c r="E12" i="3"/>
  <c r="F12" i="3"/>
  <c r="G12" i="3"/>
  <c r="B13" i="3"/>
  <c r="C13" i="3"/>
  <c r="D13" i="3"/>
  <c r="E13" i="3"/>
  <c r="F13" i="3"/>
  <c r="G13" i="3"/>
  <c r="B14" i="3"/>
  <c r="C14" i="3"/>
  <c r="D14" i="3"/>
  <c r="E14" i="3"/>
  <c r="F14" i="3"/>
  <c r="G14" i="3"/>
  <c r="B15" i="3"/>
  <c r="C15" i="3"/>
  <c r="D15" i="3"/>
  <c r="E15" i="3"/>
  <c r="F15" i="3"/>
  <c r="G15" i="3"/>
  <c r="B16" i="3"/>
  <c r="C16" i="3"/>
  <c r="D16" i="3"/>
  <c r="E16" i="3"/>
  <c r="F16" i="3"/>
  <c r="G16" i="3"/>
  <c r="B17" i="3"/>
  <c r="C17" i="3"/>
  <c r="D17" i="3"/>
  <c r="E17" i="3"/>
  <c r="F17" i="3"/>
  <c r="G17" i="3"/>
  <c r="B18" i="3"/>
  <c r="C18" i="3"/>
  <c r="D18" i="3"/>
  <c r="E18" i="3"/>
  <c r="F18" i="3"/>
  <c r="G18" i="3"/>
  <c r="B19" i="3"/>
  <c r="C19" i="3"/>
  <c r="D19" i="3"/>
  <c r="E19" i="3"/>
  <c r="F19" i="3"/>
  <c r="G19" i="3"/>
  <c r="B20" i="3"/>
  <c r="C20" i="3"/>
  <c r="D20" i="3"/>
  <c r="E20" i="3"/>
  <c r="F20" i="3"/>
  <c r="G20" i="3"/>
  <c r="B21" i="3"/>
  <c r="C21" i="3"/>
  <c r="D21" i="3"/>
  <c r="E21" i="3"/>
  <c r="F21" i="3"/>
  <c r="G21" i="3"/>
  <c r="B22" i="3"/>
  <c r="C22" i="3"/>
  <c r="D22" i="3"/>
  <c r="E22" i="3"/>
  <c r="F22" i="3"/>
  <c r="G22" i="3"/>
  <c r="B23" i="3"/>
  <c r="C23" i="3"/>
  <c r="D23" i="3"/>
  <c r="E23" i="3"/>
  <c r="F23" i="3"/>
  <c r="G23" i="3"/>
  <c r="B24" i="3"/>
  <c r="C24" i="3"/>
  <c r="D24" i="3"/>
  <c r="E24" i="3"/>
  <c r="F24" i="3"/>
  <c r="G24" i="3"/>
  <c r="B25" i="3"/>
  <c r="C25" i="3"/>
  <c r="D25" i="3"/>
  <c r="E25" i="3"/>
  <c r="F25" i="3"/>
  <c r="G25" i="3"/>
  <c r="B26" i="3"/>
  <c r="C26" i="3"/>
  <c r="D26" i="3"/>
  <c r="E26" i="3"/>
  <c r="F26" i="3"/>
  <c r="G26" i="3"/>
  <c r="B27" i="3"/>
  <c r="C27" i="3"/>
  <c r="D27" i="3"/>
  <c r="E27" i="3"/>
  <c r="F27" i="3"/>
  <c r="G27" i="3"/>
  <c r="B28" i="3"/>
  <c r="C28" i="3"/>
  <c r="D28" i="3"/>
  <c r="E28" i="3"/>
  <c r="F28" i="3"/>
  <c r="G28" i="3"/>
  <c r="B29" i="3"/>
  <c r="C29" i="3"/>
  <c r="D29" i="3"/>
  <c r="E29" i="3"/>
  <c r="F29" i="3"/>
  <c r="G29" i="3"/>
  <c r="B30" i="3"/>
  <c r="C30" i="3"/>
  <c r="D30" i="3"/>
  <c r="E30" i="3"/>
  <c r="F30" i="3"/>
  <c r="G30" i="3"/>
  <c r="B31" i="3"/>
  <c r="C31" i="3"/>
  <c r="D31" i="3"/>
  <c r="E31" i="3"/>
  <c r="F31" i="3"/>
  <c r="G31" i="3"/>
  <c r="B32" i="3"/>
  <c r="C32" i="3"/>
  <c r="D32" i="3"/>
  <c r="E32" i="3"/>
  <c r="F32" i="3"/>
  <c r="G32" i="3"/>
  <c r="B33" i="3"/>
  <c r="C33" i="3"/>
  <c r="D33" i="3"/>
  <c r="E33" i="3"/>
  <c r="F33" i="3"/>
  <c r="G33" i="3"/>
  <c r="B34" i="3"/>
  <c r="C34" i="3"/>
  <c r="D34" i="3"/>
  <c r="E34" i="3"/>
  <c r="F34" i="3"/>
  <c r="G34" i="3"/>
  <c r="B35" i="3"/>
  <c r="C35" i="3"/>
  <c r="D35" i="3"/>
  <c r="E35" i="3"/>
  <c r="F35" i="3"/>
  <c r="G35" i="3"/>
  <c r="B36" i="3"/>
  <c r="C36" i="3"/>
  <c r="D36" i="3"/>
  <c r="E36" i="3"/>
  <c r="F36" i="3"/>
  <c r="G36" i="3"/>
  <c r="B37" i="3"/>
  <c r="C37" i="3"/>
  <c r="D37" i="3"/>
  <c r="E37" i="3"/>
  <c r="F37" i="3"/>
  <c r="G37" i="3"/>
  <c r="B38" i="3"/>
  <c r="C38" i="3"/>
  <c r="D38" i="3"/>
  <c r="E38" i="3"/>
  <c r="F38" i="3"/>
  <c r="G38" i="3"/>
  <c r="B39" i="3"/>
  <c r="C39" i="3"/>
  <c r="D39" i="3"/>
  <c r="E39" i="3"/>
  <c r="F39" i="3"/>
  <c r="G39" i="3"/>
  <c r="B40" i="3"/>
  <c r="C40" i="3"/>
  <c r="D40" i="3"/>
  <c r="E40" i="3"/>
  <c r="F40" i="3"/>
  <c r="G40" i="3"/>
  <c r="B41" i="3"/>
  <c r="C41" i="3"/>
  <c r="D41" i="3"/>
  <c r="E41" i="3"/>
  <c r="F41" i="3"/>
  <c r="G41" i="3"/>
  <c r="B42" i="3"/>
  <c r="C42" i="3"/>
  <c r="D42" i="3"/>
  <c r="E42" i="3"/>
  <c r="F42" i="3"/>
  <c r="G42" i="3"/>
  <c r="C2" i="3"/>
  <c r="D2" i="3"/>
  <c r="E2" i="3"/>
  <c r="F2" i="3"/>
  <c r="G2" i="3"/>
  <c r="B2" i="3"/>
  <c r="C10" i="6"/>
  <c r="B9" i="5"/>
  <c r="C9" i="5"/>
  <c r="C12" i="6"/>
  <c r="D9" i="5"/>
  <c r="C11" i="6"/>
  <c r="E9" i="5"/>
  <c r="C13" i="6"/>
  <c r="F9" i="5"/>
  <c r="C16" i="6"/>
  <c r="G9" i="5"/>
  <c r="C8" i="7"/>
  <c r="C5" i="7"/>
  <c r="D10" i="6"/>
  <c r="B14" i="5"/>
  <c r="B10" i="5"/>
  <c r="C14" i="5"/>
  <c r="C10" i="5"/>
  <c r="D12" i="6"/>
  <c r="D14" i="5"/>
  <c r="D10" i="5"/>
  <c r="D11" i="6"/>
  <c r="E14" i="5"/>
  <c r="E10" i="5"/>
  <c r="D13" i="6"/>
  <c r="F14" i="5"/>
  <c r="F10" i="5"/>
  <c r="D16" i="6"/>
  <c r="G14" i="5"/>
  <c r="G10" i="5"/>
  <c r="B11" i="5"/>
  <c r="C11" i="5"/>
  <c r="D11" i="5"/>
  <c r="E11" i="5"/>
  <c r="F11" i="5"/>
  <c r="G11" i="5"/>
  <c r="B12" i="5"/>
  <c r="C12" i="5"/>
  <c r="D12" i="5"/>
  <c r="E12" i="5"/>
  <c r="F12" i="5"/>
  <c r="G12" i="5"/>
  <c r="B13" i="5"/>
  <c r="C13" i="5"/>
  <c r="D13" i="5"/>
  <c r="E13" i="5"/>
  <c r="F13" i="5"/>
  <c r="G13" i="5"/>
  <c r="E10" i="6"/>
  <c r="B15" i="5"/>
  <c r="C15" i="5"/>
  <c r="E12" i="6"/>
  <c r="D15" i="5"/>
  <c r="E11" i="6"/>
  <c r="E19" i="5"/>
  <c r="E15" i="5"/>
  <c r="E13" i="6"/>
  <c r="F19" i="5"/>
  <c r="F15" i="5"/>
  <c r="E16" i="6"/>
  <c r="G19" i="5"/>
  <c r="G15" i="5"/>
  <c r="B16" i="5"/>
  <c r="C16" i="5"/>
  <c r="D16" i="5"/>
  <c r="E16" i="5"/>
  <c r="F16" i="5"/>
  <c r="G16" i="5"/>
  <c r="B17" i="5"/>
  <c r="C17" i="5"/>
  <c r="D17" i="5"/>
  <c r="E17" i="5"/>
  <c r="F17" i="5"/>
  <c r="G17" i="5"/>
  <c r="B18" i="5"/>
  <c r="C18" i="5"/>
  <c r="D18" i="5"/>
  <c r="E18" i="5"/>
  <c r="F18" i="5"/>
  <c r="G18" i="5"/>
  <c r="F10" i="6"/>
  <c r="B24" i="5"/>
  <c r="C24" i="5"/>
  <c r="F12" i="6"/>
  <c r="D24" i="5"/>
  <c r="F11" i="6"/>
  <c r="E24" i="5"/>
  <c r="F13" i="6"/>
  <c r="F24" i="5"/>
  <c r="F16" i="6"/>
  <c r="G24" i="5"/>
  <c r="G20" i="5"/>
  <c r="G22" i="5"/>
  <c r="G23" i="5"/>
  <c r="G10" i="6"/>
  <c r="B29" i="5"/>
  <c r="B25" i="5"/>
  <c r="C29" i="5"/>
  <c r="C25" i="5"/>
  <c r="G12" i="6"/>
  <c r="D29" i="5"/>
  <c r="D25" i="5"/>
  <c r="G11" i="6"/>
  <c r="E29" i="5"/>
  <c r="E25" i="5"/>
  <c r="G13" i="6"/>
  <c r="F29" i="5"/>
  <c r="F25" i="5"/>
  <c r="G16" i="6"/>
  <c r="G29" i="5"/>
  <c r="G25" i="5"/>
  <c r="B26" i="5"/>
  <c r="C26" i="5"/>
  <c r="D26" i="5"/>
  <c r="E26" i="5"/>
  <c r="F26" i="5"/>
  <c r="G26" i="5"/>
  <c r="B27" i="5"/>
  <c r="C27" i="5"/>
  <c r="D27" i="5"/>
  <c r="E27" i="5"/>
  <c r="F27" i="5"/>
  <c r="G27" i="5"/>
  <c r="B28" i="5"/>
  <c r="C28" i="5"/>
  <c r="D28" i="5"/>
  <c r="E28" i="5"/>
  <c r="F28" i="5"/>
  <c r="G28" i="5"/>
  <c r="H10" i="6"/>
  <c r="B34" i="5"/>
  <c r="B30" i="5"/>
  <c r="C34" i="5"/>
  <c r="C30" i="5"/>
  <c r="H12" i="6"/>
  <c r="D34" i="5"/>
  <c r="D30" i="5"/>
  <c r="H11" i="6"/>
  <c r="E34" i="5"/>
  <c r="E30" i="5"/>
  <c r="H13" i="6"/>
  <c r="F34" i="5"/>
  <c r="F30" i="5"/>
  <c r="H16" i="6"/>
  <c r="G34" i="5"/>
  <c r="G30" i="5"/>
  <c r="B31" i="5"/>
  <c r="C31" i="5"/>
  <c r="D31" i="5"/>
  <c r="E31" i="5"/>
  <c r="F31" i="5"/>
  <c r="G31" i="5"/>
  <c r="B32" i="5"/>
  <c r="C32" i="5"/>
  <c r="D32" i="5"/>
  <c r="E32" i="5"/>
  <c r="F32" i="5"/>
  <c r="G32" i="5"/>
  <c r="B33" i="5"/>
  <c r="C33" i="5"/>
  <c r="D33" i="5"/>
  <c r="E33" i="5"/>
  <c r="F33" i="5"/>
  <c r="G33" i="5"/>
  <c r="I10" i="6"/>
  <c r="B39" i="5"/>
  <c r="B35" i="5"/>
  <c r="C39" i="5"/>
  <c r="C35" i="5"/>
  <c r="I12" i="6"/>
  <c r="D39" i="5"/>
  <c r="D35" i="5"/>
  <c r="I11" i="6"/>
  <c r="E39" i="5"/>
  <c r="E35" i="5"/>
  <c r="I13" i="6"/>
  <c r="F39" i="5"/>
  <c r="F35" i="5"/>
  <c r="I16" i="6"/>
  <c r="G39" i="5"/>
  <c r="G35" i="5"/>
  <c r="B36" i="5"/>
  <c r="C36" i="5"/>
  <c r="D36" i="5"/>
  <c r="E36" i="5"/>
  <c r="F36" i="5"/>
  <c r="G36" i="5"/>
  <c r="B37" i="5"/>
  <c r="C37" i="5"/>
  <c r="D37" i="5"/>
  <c r="E37" i="5"/>
  <c r="F37" i="5"/>
  <c r="G37" i="5"/>
  <c r="B38" i="5"/>
  <c r="C38" i="5"/>
  <c r="D38" i="5"/>
  <c r="E38" i="5"/>
  <c r="F38" i="5"/>
  <c r="G38" i="5"/>
  <c r="J10" i="6"/>
  <c r="B44" i="5"/>
  <c r="B40" i="5"/>
  <c r="C44" i="5"/>
  <c r="C40" i="5"/>
  <c r="J12" i="6"/>
  <c r="D44" i="5"/>
  <c r="D40" i="5"/>
  <c r="J11" i="6"/>
  <c r="E44" i="5"/>
  <c r="E40" i="5"/>
  <c r="J13" i="6"/>
  <c r="F44" i="5"/>
  <c r="F40" i="5"/>
  <c r="J16" i="6"/>
  <c r="G44" i="5"/>
  <c r="G40" i="5"/>
  <c r="B41" i="5"/>
  <c r="C41" i="5"/>
  <c r="D41" i="5"/>
  <c r="E41" i="5"/>
  <c r="F41" i="5"/>
  <c r="G41" i="5"/>
  <c r="B42" i="5"/>
  <c r="C42" i="5"/>
  <c r="D42" i="5"/>
  <c r="E42" i="5"/>
  <c r="F42" i="5"/>
  <c r="G42" i="5"/>
  <c r="B43" i="5"/>
  <c r="C43" i="5"/>
  <c r="D43" i="5"/>
  <c r="E43" i="5"/>
  <c r="F43" i="5"/>
  <c r="G43" i="5"/>
  <c r="K10" i="6"/>
  <c r="B49" i="5"/>
  <c r="B45" i="5"/>
  <c r="C49" i="5"/>
  <c r="C45" i="5"/>
  <c r="K12" i="6"/>
  <c r="D49" i="5"/>
  <c r="D45" i="5"/>
  <c r="K11" i="6"/>
  <c r="E49" i="5"/>
  <c r="E45" i="5"/>
  <c r="K13" i="6"/>
  <c r="F49" i="5"/>
  <c r="F45" i="5"/>
  <c r="K16" i="6"/>
  <c r="G49" i="5"/>
  <c r="G45" i="5"/>
  <c r="B46" i="5"/>
  <c r="C46" i="5"/>
  <c r="D46" i="5"/>
  <c r="E46" i="5"/>
  <c r="F46" i="5"/>
  <c r="G46" i="5"/>
  <c r="B47" i="5"/>
  <c r="C47" i="5"/>
  <c r="D47" i="5"/>
  <c r="E47" i="5"/>
  <c r="F47" i="5"/>
  <c r="G47" i="5"/>
  <c r="B48" i="5"/>
  <c r="C48" i="5"/>
  <c r="D48" i="5"/>
  <c r="E48" i="5"/>
  <c r="F48" i="5"/>
  <c r="G48" i="5"/>
  <c r="L10" i="6"/>
  <c r="C54" i="5"/>
  <c r="M10" i="6"/>
  <c r="C59" i="5"/>
  <c r="C55" i="5"/>
  <c r="L12" i="6"/>
  <c r="D54" i="5"/>
  <c r="M12" i="6"/>
  <c r="D59" i="5"/>
  <c r="D55" i="5"/>
  <c r="L11" i="6"/>
  <c r="E54" i="5"/>
  <c r="M11" i="6"/>
  <c r="E59" i="5"/>
  <c r="E55" i="5"/>
  <c r="L13" i="6"/>
  <c r="F54" i="5"/>
  <c r="M13" i="6"/>
  <c r="F59" i="5"/>
  <c r="F55" i="5"/>
  <c r="L16" i="6"/>
  <c r="G54" i="5"/>
  <c r="M16" i="6"/>
  <c r="G59" i="5"/>
  <c r="G55" i="5"/>
  <c r="C56" i="5"/>
  <c r="D56" i="5"/>
  <c r="E56" i="5"/>
  <c r="F56" i="5"/>
  <c r="G56" i="5"/>
  <c r="C57" i="5"/>
  <c r="D57" i="5"/>
  <c r="E57" i="5"/>
  <c r="F57" i="5"/>
  <c r="G57" i="5"/>
  <c r="C58" i="5"/>
  <c r="D58" i="5"/>
  <c r="E58" i="5"/>
  <c r="F58" i="5"/>
  <c r="G58" i="5"/>
  <c r="B54" i="5"/>
  <c r="B59" i="5"/>
  <c r="B56" i="5"/>
  <c r="B57" i="5"/>
  <c r="B58" i="5"/>
  <c r="B55" i="5"/>
  <c r="C50" i="5"/>
  <c r="D50" i="5"/>
  <c r="E50" i="5"/>
  <c r="F50" i="5"/>
  <c r="G50" i="5"/>
  <c r="C51" i="5"/>
  <c r="D51" i="5"/>
  <c r="E51" i="5"/>
  <c r="F51" i="5"/>
  <c r="G51" i="5"/>
  <c r="C52" i="5"/>
  <c r="D52" i="5"/>
  <c r="E52" i="5"/>
  <c r="F52" i="5"/>
  <c r="G52" i="5"/>
  <c r="C53" i="5"/>
  <c r="D53" i="5"/>
  <c r="E53" i="5"/>
  <c r="F53" i="5"/>
  <c r="G53" i="5"/>
  <c r="B51" i="5"/>
  <c r="B52" i="5"/>
  <c r="B53" i="5"/>
  <c r="B50" i="5"/>
  <c r="C14" i="6"/>
  <c r="D14" i="6"/>
  <c r="E14" i="6"/>
  <c r="F14" i="6"/>
  <c r="G14" i="6"/>
  <c r="H14" i="6"/>
  <c r="I14" i="6"/>
  <c r="J14" i="6"/>
  <c r="K14" i="6"/>
  <c r="L14" i="6"/>
  <c r="M14" i="6"/>
  <c r="C15" i="6"/>
  <c r="D15" i="6"/>
  <c r="E15" i="6"/>
  <c r="F15" i="6"/>
  <c r="G15" i="6"/>
  <c r="H15" i="6"/>
  <c r="I15" i="6"/>
  <c r="J15" i="6"/>
  <c r="K15" i="6"/>
  <c r="L15" i="6"/>
  <c r="M15" i="6"/>
  <c r="C17" i="6"/>
  <c r="D17" i="6"/>
  <c r="E17" i="6"/>
  <c r="F17" i="6"/>
  <c r="G17" i="6"/>
  <c r="H17" i="6"/>
  <c r="I17" i="6"/>
  <c r="J17" i="6"/>
  <c r="K17" i="6"/>
  <c r="L17" i="6"/>
  <c r="M17" i="6"/>
  <c r="C18" i="6"/>
  <c r="D18" i="6"/>
  <c r="E18" i="6"/>
  <c r="F18" i="6"/>
  <c r="G18" i="6"/>
  <c r="H18" i="6"/>
  <c r="I18" i="6"/>
  <c r="J18" i="6"/>
  <c r="K18" i="6"/>
  <c r="L18" i="6"/>
  <c r="M18" i="6"/>
  <c r="C19" i="6"/>
  <c r="D19" i="6"/>
  <c r="E19" i="6"/>
  <c r="F19" i="6"/>
  <c r="G19" i="6"/>
  <c r="H19" i="6"/>
  <c r="I19" i="6"/>
  <c r="J19" i="6"/>
  <c r="K19" i="6"/>
  <c r="L19" i="6"/>
  <c r="M19" i="6"/>
  <c r="D9" i="6"/>
  <c r="E9" i="6"/>
  <c r="F9" i="6"/>
  <c r="G9" i="6"/>
  <c r="H9" i="6"/>
  <c r="I9" i="6"/>
  <c r="J9" i="6"/>
  <c r="K9" i="6"/>
  <c r="L9" i="6"/>
  <c r="M9" i="6"/>
  <c r="C9" i="6"/>
</calcChain>
</file>

<file path=xl/sharedStrings.xml><?xml version="1.0" encoding="utf-8"?>
<sst xmlns="http://schemas.openxmlformats.org/spreadsheetml/2006/main" count="132" uniqueCount="98">
  <si>
    <t>Year</t>
  </si>
  <si>
    <t>Coal</t>
  </si>
  <si>
    <t>Lignite</t>
  </si>
  <si>
    <t>Natural gas</t>
  </si>
  <si>
    <t>Crude oil</t>
  </si>
  <si>
    <t>Uranium oxide</t>
  </si>
  <si>
    <t>Woody biomass</t>
  </si>
  <si>
    <t>ktoe</t>
  </si>
  <si>
    <t>Production (incl.recovery of products)</t>
  </si>
  <si>
    <t>Solids</t>
  </si>
  <si>
    <t>Oil</t>
  </si>
  <si>
    <t>Nuclear</t>
  </si>
  <si>
    <t>Renewable energy sources</t>
  </si>
  <si>
    <t>Hydro</t>
  </si>
  <si>
    <t>Biomass &amp; Waste</t>
  </si>
  <si>
    <t>Wind</t>
  </si>
  <si>
    <t>Solar and others</t>
  </si>
  <si>
    <t>Geothermal</t>
  </si>
  <si>
    <t>Assumptions</t>
  </si>
  <si>
    <t>TJ</t>
  </si>
  <si>
    <t>ktoe_TJ_conversion</t>
  </si>
  <si>
    <t>Percentage of solids that is coal</t>
  </si>
  <si>
    <t>Percentage of solids that is lignite</t>
  </si>
  <si>
    <t>Percentage of Biomass &amp; Waste that is Biomass</t>
  </si>
  <si>
    <t>Cover sheet</t>
  </si>
  <si>
    <t>Document</t>
  </si>
  <si>
    <t>Version #</t>
  </si>
  <si>
    <t>Country</t>
  </si>
  <si>
    <t>Year data</t>
  </si>
  <si>
    <t>Date</t>
  </si>
  <si>
    <t>Author</t>
  </si>
  <si>
    <t>Organisation</t>
  </si>
  <si>
    <t>Quintel Intelligence</t>
  </si>
  <si>
    <t>Legend</t>
  </si>
  <si>
    <t>Cells</t>
  </si>
  <si>
    <t>Intermediate (calculation)</t>
  </si>
  <si>
    <t>Result</t>
  </si>
  <si>
    <t>Manual input</t>
  </si>
  <si>
    <t>Reference to manual input or data input</t>
  </si>
  <si>
    <t>Sheets</t>
  </si>
  <si>
    <t>Introductory</t>
  </si>
  <si>
    <t>Dashboard</t>
  </si>
  <si>
    <t>Research data</t>
  </si>
  <si>
    <t>Sources</t>
  </si>
  <si>
    <t>Results</t>
  </si>
  <si>
    <t>Main calculations</t>
  </si>
  <si>
    <t>Additional calculations</t>
  </si>
  <si>
    <t>Output to csv</t>
  </si>
  <si>
    <t>Comments</t>
  </si>
  <si>
    <t>Primary production source analysis</t>
  </si>
  <si>
    <t>Changelog</t>
  </si>
  <si>
    <t>Changes</t>
  </si>
  <si>
    <t>Version</t>
  </si>
  <si>
    <t>Contents</t>
  </si>
  <si>
    <t>Sheet</t>
  </si>
  <si>
    <t>Description</t>
  </si>
  <si>
    <t>Information about this document and a legend to sheet and cell formatting</t>
  </si>
  <si>
    <t>Documentation of the changes to this analysis</t>
  </si>
  <si>
    <t>Index with description of all the sheets in this analysis</t>
  </si>
  <si>
    <t>Introduction</t>
  </si>
  <si>
    <t>Introduction to the Energy Transition Model (ETM) and the Primary production analysis</t>
  </si>
  <si>
    <t>Description of the modeling and country-specific assumptions for this analysis</t>
  </si>
  <si>
    <t>On the dashboard the country-specific assumptions can be changed manually. It also shows the most important checks</t>
  </si>
  <si>
    <t>This analysis</t>
  </si>
  <si>
    <t>Steps to perform the analysis</t>
  </si>
  <si>
    <t>The Energy Transition Model</t>
  </si>
  <si>
    <t>In short, the Energy Transition Model (ETM) is a calculation engine with a front-end interface that is free to be used by private, commercial and public users. The engine exists of a collection of 'converters' that are linked together to approach the structure of an energy system at the country level. It includes for example import, export, electricity and heat production, final demand sectors and useful demand applications. Every converter has technical and economical specifications that were determined from scientific and technical literature. The model's initial configuration is mostly based on 2010 statistical data. Useful demand of energy applications is gathered from other sources. By moving sliders in a front end dashboard, representing energy use, energy production or socio-economical parameters, the calculation engine determines the results from these actions in a future scenario and communicates them to the user.</t>
  </si>
  <si>
    <t>Notes</t>
  </si>
  <si>
    <t>On this page, a description of the assumptions for this analysis is given. There are two types of assumptions, Modeling assumptions and Country specific assumptions. The modeling assumptions form the structure or framework to be able to do this analysis. They are the same for every country. The country specific assumptions must be entered by the researcher on the Dashboard page and are used to correctly adjust the calculations to the specific country. The fuels table gives an overview of how the ETM fuel carriers correspond with the IEA fuel carriers.</t>
  </si>
  <si>
    <t>Modeling assumptions</t>
  </si>
  <si>
    <t>Type</t>
  </si>
  <si>
    <t>Assumption</t>
  </si>
  <si>
    <t>Comment</t>
  </si>
  <si>
    <t>Country specific assumptions</t>
  </si>
  <si>
    <t>Proposed source</t>
  </si>
  <si>
    <t>Initial document</t>
  </si>
  <si>
    <t>Joris Berkhout</t>
  </si>
  <si>
    <t>timecurves</t>
  </si>
  <si>
    <t>Output data from this source analysis. The timecurves as required for the 3_primary_production_analysis</t>
  </si>
  <si>
    <t>interpolation</t>
  </si>
  <si>
    <t>conversion_to_TJ</t>
  </si>
  <si>
    <t>4. Check the interpolation sheet for the results.</t>
  </si>
  <si>
    <t>5. Use the export timecurves button in the Dashboard to export the timecurves in the ETM format.</t>
  </si>
  <si>
    <t>Source</t>
  </si>
  <si>
    <t>Conversion of the original PRIMES data from ktoe to TJ</t>
  </si>
  <si>
    <t>Interpolation of the PRIMES data for years not reported in PRIMES</t>
  </si>
  <si>
    <t>This analysis is used to transform the PRIMES forecast for Production of carriers into timecurves that can be used by the ETM.</t>
  </si>
  <si>
    <t>1. Copy the PRIMES data in the dashboard.</t>
  </si>
  <si>
    <t>2. PRIMES reports forecasts for Solids while the ETM requires coal and lignite. Make an assumption on the percentage of Solids that is Coal and Lignite.</t>
  </si>
  <si>
    <t>3. PRIMES reports forecasts for Biomass and waste while the ETM needs Woody Biomass. Make an assumption on the percentage of Woody Biomass in Biomass and waste.</t>
  </si>
  <si>
    <t>The PRIMES data gives forecasts of the primary production of several carriers in 5 year intervals. We have linearly interpolated the data between the 5 year datapoints.</t>
  </si>
  <si>
    <t>On this page PRIMES data and the country specific assumptions must be entered, with the source of the data when applicable.</t>
  </si>
  <si>
    <t>The table on this page displays the PRIMES data converted from ktoe to TJ.</t>
  </si>
  <si>
    <t>This page presents the values from PRIMES (in red). These values are scaled by the corresponding dashboard items. PRIMES only reports data for 5 year intervals. We have linearly interpolated the data between these data points.</t>
  </si>
  <si>
    <t>Based on the 2012 IEA Energy Balances</t>
  </si>
  <si>
    <t>uk</t>
  </si>
  <si>
    <t>Based on the 2012 IEA Energy Balances ( Primary solid biofuels / (Industrial waste + Municipal waste (renewable) + Primary solid biofuels) )</t>
  </si>
  <si>
    <t>The values for 2010 and 2012 are based on the IEA energy balance.</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</si>
</sst>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General_)"/>
    <numFmt numFmtId="165" formatCode="0_)"/>
    <numFmt numFmtId="166" formatCode="[$-409]mmmm\ d\,\ yyyy;@"/>
    <numFmt numFmtId="167" formatCode="0.000000"/>
  </numFmts>
  <fonts count="25" x14ac:knownFonts="1">
    <font>
      <sz val="12"/>
      <color theme="1"/>
      <name val="Calibri"/>
      <family val="2"/>
      <scheme val="minor"/>
    </font>
    <font>
      <sz val="12"/>
      <color theme="1"/>
      <name val="Calibri"/>
      <family val="2"/>
      <scheme val="minor"/>
    </font>
    <font>
      <sz val="12"/>
      <color rgb="FFFF0000"/>
      <name val="Calibri"/>
      <family val="2"/>
      <scheme val="minor"/>
    </font>
    <font>
      <sz val="10"/>
      <name val="Courier"/>
      <family val="3"/>
    </font>
    <font>
      <b/>
      <sz val="8"/>
      <name val="Arial"/>
      <family val="2"/>
      <charset val="161"/>
    </font>
    <font>
      <sz val="8"/>
      <name val="Arial"/>
      <family val="2"/>
      <charset val="161"/>
    </font>
    <font>
      <u/>
      <sz val="12"/>
      <color theme="10"/>
      <name val="Calibri"/>
      <family val="2"/>
      <scheme val="minor"/>
    </font>
    <font>
      <u/>
      <sz val="12"/>
      <color theme="11"/>
      <name val="Calibri"/>
      <family val="2"/>
      <scheme val="minor"/>
    </font>
    <font>
      <sz val="12"/>
      <color rgb="FF000000"/>
      <name val="Lucida Grande"/>
    </font>
    <font>
      <b/>
      <sz val="12"/>
      <color theme="1"/>
      <name val="Calibri"/>
      <family val="2"/>
      <scheme val="minor"/>
    </font>
    <font>
      <b/>
      <sz val="16"/>
      <color theme="3"/>
      <name val="Calibri"/>
      <scheme val="minor"/>
    </font>
    <font>
      <b/>
      <sz val="12"/>
      <color rgb="FF000000"/>
      <name val="Calibri"/>
      <scheme val="minor"/>
    </font>
    <font>
      <i/>
      <sz val="12"/>
      <color theme="1"/>
      <name val="Calibri"/>
      <scheme val="minor"/>
    </font>
    <font>
      <b/>
      <sz val="11"/>
      <color rgb="FF000000"/>
      <name val="Calibri"/>
      <family val="2"/>
      <scheme val="minor"/>
    </font>
    <font>
      <sz val="12"/>
      <color rgb="FF000000"/>
      <name val="Calibri"/>
      <family val="2"/>
      <scheme val="minor"/>
    </font>
    <font>
      <sz val="12"/>
      <name val="Calibri"/>
      <scheme val="minor"/>
    </font>
    <font>
      <b/>
      <sz val="12"/>
      <name val="Calibri"/>
      <scheme val="minor"/>
    </font>
    <font>
      <b/>
      <sz val="12"/>
      <color rgb="FFFF0000"/>
      <name val="Calibri"/>
      <scheme val="minor"/>
    </font>
    <font>
      <u/>
      <sz val="12"/>
      <name val="Calibri"/>
      <scheme val="minor"/>
    </font>
    <font>
      <i/>
      <sz val="12"/>
      <name val="Calibri"/>
      <scheme val="minor"/>
    </font>
    <font>
      <b/>
      <sz val="16"/>
      <name val="Calibri"/>
      <scheme val="minor"/>
    </font>
    <font>
      <sz val="12"/>
      <color theme="0" tint="-0.499984740745262"/>
      <name val="Calibri"/>
      <scheme val="minor"/>
    </font>
    <font>
      <b/>
      <sz val="12"/>
      <name val="Arial"/>
      <family val="2"/>
      <charset val="161"/>
    </font>
    <font>
      <sz val="12"/>
      <name val="Arial"/>
      <family val="2"/>
      <charset val="161"/>
    </font>
    <font>
      <sz val="12"/>
      <color rgb="FF0000FF"/>
      <name val="Calibri"/>
      <scheme val="minor"/>
    </font>
  </fonts>
  <fills count="13">
    <fill>
      <patternFill patternType="none"/>
    </fill>
    <fill>
      <patternFill patternType="gray125"/>
    </fill>
    <fill>
      <patternFill patternType="solid">
        <fgColor theme="9" tint="0.59999389629810485"/>
        <bgColor indexed="64"/>
      </patternFill>
    </fill>
    <fill>
      <patternFill patternType="solid">
        <fgColor theme="0"/>
        <bgColor indexed="64"/>
      </patternFill>
    </fill>
    <fill>
      <patternFill patternType="solid">
        <fgColor theme="0"/>
        <bgColor rgb="FF000000"/>
      </patternFill>
    </fill>
    <fill>
      <patternFill patternType="solid">
        <fgColor theme="2"/>
        <bgColor indexed="64"/>
      </patternFill>
    </fill>
    <fill>
      <patternFill patternType="solid">
        <fgColor rgb="FFFFFF00"/>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theme="5" tint="0.39997558519241921"/>
        <bgColor indexed="64"/>
      </patternFill>
    </fill>
    <fill>
      <patternFill patternType="solid">
        <fgColor theme="8" tint="0.39997558519241921"/>
        <bgColor indexed="64"/>
      </patternFill>
    </fill>
    <fill>
      <patternFill patternType="solid">
        <fgColor theme="8" tint="0.79998168889431442"/>
        <bgColor indexed="64"/>
      </patternFill>
    </fill>
    <fill>
      <patternFill patternType="solid">
        <fgColor theme="7" tint="0.39997558519241921"/>
        <bgColor indexed="64"/>
      </patternFill>
    </fill>
  </fills>
  <borders count="27">
    <border>
      <left/>
      <right/>
      <top/>
      <bottom/>
      <diagonal/>
    </border>
    <border>
      <left style="medium">
        <color auto="1"/>
      </left>
      <right/>
      <top/>
      <bottom/>
      <diagonal/>
    </border>
    <border>
      <left/>
      <right style="medium">
        <color auto="1"/>
      </right>
      <top/>
      <bottom/>
      <diagonal/>
    </border>
    <border>
      <left style="medium">
        <color auto="1"/>
      </left>
      <right style="medium">
        <color auto="1"/>
      </right>
      <top style="medium">
        <color auto="1"/>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thin">
        <color auto="1"/>
      </left>
      <right style="thin">
        <color auto="1"/>
      </right>
      <top style="thin">
        <color auto="1"/>
      </top>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
      <left style="thin">
        <color auto="1"/>
      </left>
      <right style="thin">
        <color auto="1"/>
      </right>
      <top/>
      <bottom style="thin">
        <color auto="1"/>
      </bottom>
      <diagonal/>
    </border>
    <border>
      <left style="medium">
        <color auto="1"/>
      </left>
      <right/>
      <top/>
      <bottom style="thin">
        <color auto="1"/>
      </bottom>
      <diagonal/>
    </border>
    <border>
      <left/>
      <right style="medium">
        <color auto="1"/>
      </right>
      <top/>
      <bottom style="thin">
        <color auto="1"/>
      </bottom>
      <diagonal/>
    </border>
    <border>
      <left style="medium">
        <color auto="1"/>
      </left>
      <right/>
      <top/>
      <bottom style="dotted">
        <color auto="1"/>
      </bottom>
      <diagonal/>
    </border>
    <border>
      <left style="medium">
        <color auto="1"/>
      </left>
      <right style="medium">
        <color auto="1"/>
      </right>
      <top style="medium">
        <color auto="1"/>
      </top>
      <bottom/>
      <diagonal/>
    </border>
    <border>
      <left style="medium">
        <color auto="1"/>
      </left>
      <right style="medium">
        <color auto="1"/>
      </right>
      <top/>
      <bottom style="medium">
        <color auto="1"/>
      </bottom>
      <diagonal/>
    </border>
  </borders>
  <cellStyleXfs count="175">
    <xf numFmtId="0" fontId="0" fillId="0" borderId="0"/>
    <xf numFmtId="164" fontId="3" fillId="0" borderId="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9" fontId="1" fillId="0" borderId="0" applyFon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cellStyleXfs>
  <cellXfs count="162">
    <xf numFmtId="0" fontId="0" fillId="0" borderId="0" xfId="0"/>
    <xf numFmtId="0" fontId="0" fillId="0" borderId="0" xfId="0" applyFill="1"/>
    <xf numFmtId="0" fontId="2" fillId="0" borderId="0" xfId="0" applyFont="1" applyFill="1"/>
    <xf numFmtId="164" fontId="5" fillId="2" borderId="0" xfId="1" applyFont="1" applyFill="1" applyBorder="1"/>
    <xf numFmtId="165" fontId="4" fillId="2" borderId="4" xfId="1" applyNumberFormat="1" applyFont="1" applyFill="1" applyBorder="1"/>
    <xf numFmtId="165" fontId="4" fillId="2" borderId="5" xfId="1" applyNumberFormat="1" applyFont="1" applyFill="1" applyBorder="1"/>
    <xf numFmtId="165" fontId="4" fillId="2" borderId="6" xfId="1" applyNumberFormat="1" applyFont="1" applyFill="1" applyBorder="1"/>
    <xf numFmtId="165" fontId="5" fillId="2" borderId="1" xfId="1" applyNumberFormat="1" applyFont="1" applyFill="1" applyBorder="1"/>
    <xf numFmtId="165" fontId="5" fillId="2" borderId="0" xfId="1" applyNumberFormat="1" applyFont="1" applyFill="1" applyBorder="1"/>
    <xf numFmtId="165" fontId="5" fillId="2" borderId="2" xfId="1" applyNumberFormat="1" applyFont="1" applyFill="1" applyBorder="1"/>
    <xf numFmtId="165" fontId="5" fillId="2" borderId="7" xfId="1" applyNumberFormat="1" applyFont="1" applyFill="1" applyBorder="1"/>
    <xf numFmtId="165" fontId="5" fillId="2" borderId="8" xfId="1" applyNumberFormat="1" applyFont="1" applyFill="1" applyBorder="1"/>
    <xf numFmtId="165" fontId="5" fillId="2" borderId="9" xfId="1" applyNumberFormat="1" applyFont="1" applyFill="1" applyBorder="1"/>
    <xf numFmtId="10" fontId="0" fillId="0" borderId="3" xfId="0" applyNumberFormat="1" applyBorder="1"/>
    <xf numFmtId="10" fontId="0" fillId="0" borderId="0" xfId="0" applyNumberFormat="1" applyBorder="1"/>
    <xf numFmtId="0" fontId="10" fillId="3" borderId="0" xfId="0" applyFont="1" applyFill="1"/>
    <xf numFmtId="0" fontId="0" fillId="3" borderId="0" xfId="0" applyFill="1"/>
    <xf numFmtId="0" fontId="9" fillId="3" borderId="10" xfId="0" applyFont="1" applyFill="1" applyBorder="1"/>
    <xf numFmtId="0" fontId="0" fillId="3" borderId="11" xfId="0" applyFill="1" applyBorder="1"/>
    <xf numFmtId="0" fontId="0" fillId="3" borderId="12" xfId="0" applyFill="1" applyBorder="1"/>
    <xf numFmtId="0" fontId="9" fillId="3" borderId="0" xfId="0" applyFont="1" applyFill="1" applyBorder="1"/>
    <xf numFmtId="0" fontId="0" fillId="3" borderId="0" xfId="0" applyFill="1" applyBorder="1"/>
    <xf numFmtId="0" fontId="11" fillId="4" borderId="13" xfId="0" applyFont="1" applyFill="1" applyBorder="1" applyAlignment="1">
      <alignment vertical="center"/>
    </xf>
    <xf numFmtId="0" fontId="0" fillId="3" borderId="0" xfId="0" applyFill="1" applyBorder="1" applyAlignment="1">
      <alignment horizontal="left"/>
    </xf>
    <xf numFmtId="0" fontId="0" fillId="3" borderId="14" xfId="0" applyFill="1" applyBorder="1"/>
    <xf numFmtId="166" fontId="0" fillId="3" borderId="0" xfId="0" applyNumberFormat="1" applyFill="1" applyBorder="1" applyAlignment="1">
      <alignment horizontal="left"/>
    </xf>
    <xf numFmtId="0" fontId="11" fillId="4" borderId="15" xfId="0" applyFont="1" applyFill="1" applyBorder="1" applyAlignment="1">
      <alignment vertical="center"/>
    </xf>
    <xf numFmtId="0" fontId="0" fillId="3" borderId="16" xfId="0" applyFill="1" applyBorder="1"/>
    <xf numFmtId="0" fontId="0" fillId="3" borderId="17" xfId="0" applyFill="1" applyBorder="1"/>
    <xf numFmtId="0" fontId="9" fillId="3" borderId="13" xfId="0" applyFont="1" applyFill="1" applyBorder="1"/>
    <xf numFmtId="0" fontId="12" fillId="3" borderId="0" xfId="0" applyFont="1" applyFill="1" applyBorder="1"/>
    <xf numFmtId="0" fontId="0" fillId="3" borderId="3" xfId="0" applyFill="1" applyBorder="1"/>
    <xf numFmtId="0" fontId="0" fillId="5" borderId="0" xfId="0" applyFill="1" applyBorder="1"/>
    <xf numFmtId="0" fontId="0" fillId="6" borderId="0" xfId="0" applyFill="1" applyBorder="1"/>
    <xf numFmtId="0" fontId="0" fillId="7" borderId="0" xfId="0" applyFill="1" applyBorder="1"/>
    <xf numFmtId="0" fontId="0" fillId="8" borderId="0" xfId="0" applyFill="1" applyBorder="1"/>
    <xf numFmtId="0" fontId="0" fillId="3" borderId="13" xfId="0" applyFill="1" applyBorder="1"/>
    <xf numFmtId="0" fontId="0" fillId="9" borderId="0" xfId="0" applyFill="1" applyBorder="1"/>
    <xf numFmtId="0" fontId="0" fillId="10" borderId="0" xfId="0" applyFill="1" applyBorder="1"/>
    <xf numFmtId="0" fontId="0" fillId="11" borderId="0" xfId="0" applyFill="1" applyBorder="1"/>
    <xf numFmtId="0" fontId="0" fillId="12" borderId="0" xfId="0" applyFill="1" applyBorder="1"/>
    <xf numFmtId="0" fontId="0" fillId="3" borderId="15" xfId="0" applyFill="1" applyBorder="1"/>
    <xf numFmtId="0" fontId="13" fillId="4" borderId="10" xfId="0" applyFont="1" applyFill="1" applyBorder="1" applyAlignment="1">
      <alignment vertical="center"/>
    </xf>
    <xf numFmtId="0" fontId="9" fillId="3" borderId="11" xfId="0" applyFont="1" applyFill="1" applyBorder="1"/>
    <xf numFmtId="0" fontId="9" fillId="3" borderId="12" xfId="0" applyFont="1" applyFill="1" applyBorder="1"/>
    <xf numFmtId="0" fontId="13" fillId="4" borderId="13" xfId="0" applyFont="1" applyFill="1" applyBorder="1" applyAlignment="1">
      <alignment vertical="center"/>
    </xf>
    <xf numFmtId="0" fontId="9" fillId="3" borderId="14" xfId="0" applyFont="1" applyFill="1" applyBorder="1"/>
    <xf numFmtId="166" fontId="14" fillId="0" borderId="13" xfId="0" applyNumberFormat="1" applyFont="1" applyFill="1" applyBorder="1" applyAlignment="1">
      <alignment horizontal="left" vertical="center"/>
    </xf>
    <xf numFmtId="0" fontId="0" fillId="0" borderId="0" xfId="0" applyFill="1" applyBorder="1" applyAlignment="1">
      <alignment vertical="center"/>
    </xf>
    <xf numFmtId="2" fontId="0" fillId="0" borderId="14" xfId="0" applyNumberFormat="1" applyFill="1" applyBorder="1" applyAlignment="1">
      <alignment vertical="center"/>
    </xf>
    <xf numFmtId="166" fontId="0" fillId="0" borderId="13" xfId="0" applyNumberFormat="1" applyFill="1" applyBorder="1" applyAlignment="1">
      <alignment horizontal="left" vertical="center"/>
    </xf>
    <xf numFmtId="0" fontId="0" fillId="0" borderId="0" xfId="0" applyFill="1" applyBorder="1" applyAlignment="1">
      <alignment vertical="center" wrapText="1"/>
    </xf>
    <xf numFmtId="166" fontId="0" fillId="0" borderId="13" xfId="0" applyNumberFormat="1" applyFill="1" applyBorder="1" applyAlignment="1">
      <alignment horizontal="left"/>
    </xf>
    <xf numFmtId="0" fontId="0" fillId="0" borderId="0" xfId="0" applyFill="1" applyBorder="1" applyAlignment="1">
      <alignment wrapText="1"/>
    </xf>
    <xf numFmtId="166" fontId="0" fillId="0" borderId="13" xfId="0" applyNumberFormat="1" applyFill="1" applyBorder="1" applyAlignment="1">
      <alignment horizontal="left" vertical="top"/>
    </xf>
    <xf numFmtId="2" fontId="0" fillId="0" borderId="14" xfId="0" applyNumberFormat="1" applyFill="1" applyBorder="1" applyAlignment="1">
      <alignment vertical="top"/>
    </xf>
    <xf numFmtId="166" fontId="14" fillId="0" borderId="13" xfId="0" applyNumberFormat="1" applyFont="1" applyBorder="1" applyAlignment="1">
      <alignment horizontal="left" vertical="top"/>
    </xf>
    <xf numFmtId="0" fontId="14" fillId="0" borderId="0" xfId="0" applyFont="1" applyAlignment="1">
      <alignment wrapText="1"/>
    </xf>
    <xf numFmtId="2" fontId="14" fillId="0" borderId="14" xfId="0" applyNumberFormat="1" applyFont="1" applyBorder="1" applyAlignment="1">
      <alignment vertical="top"/>
    </xf>
    <xf numFmtId="166" fontId="0" fillId="3" borderId="15" xfId="0" applyNumberFormat="1" applyFill="1" applyBorder="1" applyAlignment="1">
      <alignment horizontal="left" vertical="center"/>
    </xf>
    <xf numFmtId="0" fontId="0" fillId="3" borderId="16" xfId="0" applyFill="1" applyBorder="1" applyAlignment="1">
      <alignment vertical="center"/>
    </xf>
    <xf numFmtId="2" fontId="0" fillId="3" borderId="17" xfId="0" applyNumberFormat="1" applyFill="1" applyBorder="1" applyAlignment="1">
      <alignment vertical="center"/>
    </xf>
    <xf numFmtId="2" fontId="0" fillId="3" borderId="0" xfId="0" applyNumberFormat="1" applyFill="1"/>
    <xf numFmtId="0" fontId="9" fillId="3" borderId="10" xfId="0" applyFont="1" applyFill="1" applyBorder="1" applyAlignment="1">
      <alignment vertical="center"/>
    </xf>
    <xf numFmtId="0" fontId="9" fillId="3" borderId="18" xfId="0" applyFont="1" applyFill="1" applyBorder="1" applyAlignment="1">
      <alignment vertical="center" wrapText="1"/>
    </xf>
    <xf numFmtId="0" fontId="0" fillId="5" borderId="19" xfId="0" applyFont="1" applyFill="1" applyBorder="1" applyAlignment="1">
      <alignment vertical="center"/>
    </xf>
    <xf numFmtId="0" fontId="15" fillId="0" borderId="19" xfId="0" applyFont="1" applyFill="1" applyBorder="1" applyAlignment="1">
      <alignment vertical="center" wrapText="1"/>
    </xf>
    <xf numFmtId="0" fontId="0" fillId="3" borderId="0" xfId="0" applyFill="1" applyAlignment="1">
      <alignment vertical="center"/>
    </xf>
    <xf numFmtId="0" fontId="0" fillId="5" borderId="19" xfId="0" applyFill="1" applyBorder="1" applyAlignment="1">
      <alignment vertical="center"/>
    </xf>
    <xf numFmtId="0" fontId="15" fillId="0" borderId="14" xfId="0" applyFont="1" applyFill="1" applyBorder="1" applyAlignment="1">
      <alignment vertical="center" wrapText="1"/>
    </xf>
    <xf numFmtId="0" fontId="0" fillId="6" borderId="19" xfId="0" applyFill="1" applyBorder="1" applyAlignment="1">
      <alignment vertical="center"/>
    </xf>
    <xf numFmtId="0" fontId="0" fillId="0" borderId="19" xfId="0" applyFill="1" applyBorder="1" applyAlignment="1">
      <alignment vertical="center" wrapText="1"/>
    </xf>
    <xf numFmtId="0" fontId="15" fillId="10" borderId="19" xfId="0" applyFont="1" applyFill="1" applyBorder="1" applyAlignment="1">
      <alignment vertical="center"/>
    </xf>
    <xf numFmtId="0" fontId="15" fillId="12" borderId="19" xfId="0" applyFont="1" applyFill="1" applyBorder="1" applyAlignment="1">
      <alignment vertical="center"/>
    </xf>
    <xf numFmtId="0" fontId="16" fillId="3" borderId="18" xfId="0" applyFont="1" applyFill="1" applyBorder="1"/>
    <xf numFmtId="0" fontId="16" fillId="3" borderId="20" xfId="0" applyFont="1" applyFill="1" applyBorder="1"/>
    <xf numFmtId="0" fontId="15" fillId="3" borderId="20" xfId="0" applyFont="1" applyFill="1" applyBorder="1" applyAlignment="1">
      <alignment horizontal="left" vertical="top" wrapText="1"/>
    </xf>
    <xf numFmtId="0" fontId="15" fillId="3" borderId="21" xfId="0" applyFont="1" applyFill="1" applyBorder="1" applyAlignment="1">
      <alignment horizontal="left" vertical="top" wrapText="1"/>
    </xf>
    <xf numFmtId="0" fontId="15" fillId="0" borderId="0" xfId="0" applyFont="1" applyBorder="1" applyAlignment="1">
      <alignment horizontal="left" vertical="top" wrapText="1"/>
    </xf>
    <xf numFmtId="0" fontId="15" fillId="3" borderId="20" xfId="0" applyFont="1" applyFill="1" applyBorder="1"/>
    <xf numFmtId="0" fontId="2" fillId="3" borderId="21" xfId="0" applyFont="1" applyFill="1" applyBorder="1"/>
    <xf numFmtId="0" fontId="2" fillId="3" borderId="0" xfId="0" applyFont="1" applyFill="1"/>
    <xf numFmtId="0" fontId="9" fillId="3" borderId="18" xfId="0" applyFont="1" applyFill="1" applyBorder="1"/>
    <xf numFmtId="0" fontId="9" fillId="3" borderId="20" xfId="0" applyFont="1" applyFill="1" applyBorder="1"/>
    <xf numFmtId="0" fontId="15" fillId="3" borderId="20" xfId="0" applyFont="1" applyFill="1" applyBorder="1" applyAlignment="1">
      <alignment vertical="top" wrapText="1"/>
    </xf>
    <xf numFmtId="0" fontId="15" fillId="3" borderId="21" xfId="0" applyFont="1" applyFill="1" applyBorder="1" applyAlignment="1">
      <alignment vertical="top" wrapText="1"/>
    </xf>
    <xf numFmtId="0" fontId="15" fillId="3" borderId="0" xfId="0" applyFont="1" applyFill="1"/>
    <xf numFmtId="0" fontId="16" fillId="3" borderId="10" xfId="0" applyFont="1" applyFill="1" applyBorder="1"/>
    <xf numFmtId="0" fontId="15" fillId="3" borderId="12" xfId="0" applyFont="1" applyFill="1" applyBorder="1"/>
    <xf numFmtId="0" fontId="16" fillId="3" borderId="4" xfId="0" applyFont="1" applyFill="1" applyBorder="1"/>
    <xf numFmtId="0" fontId="16" fillId="3" borderId="5" xfId="0" applyFont="1" applyFill="1" applyBorder="1"/>
    <xf numFmtId="0" fontId="15" fillId="3" borderId="6" xfId="0" applyFont="1" applyFill="1" applyBorder="1"/>
    <xf numFmtId="0" fontId="15" fillId="3" borderId="1" xfId="0" applyFont="1" applyFill="1" applyBorder="1"/>
    <xf numFmtId="0" fontId="15" fillId="3" borderId="0" xfId="0" applyFont="1" applyFill="1" applyBorder="1"/>
    <xf numFmtId="0" fontId="15" fillId="3" borderId="2" xfId="0" applyFont="1" applyFill="1" applyBorder="1"/>
    <xf numFmtId="0" fontId="17" fillId="3" borderId="0" xfId="0" applyFont="1" applyFill="1"/>
    <xf numFmtId="0" fontId="16" fillId="3" borderId="22" xfId="0" applyFont="1" applyFill="1" applyBorder="1"/>
    <xf numFmtId="0" fontId="16" fillId="3" borderId="16" xfId="0" applyFont="1" applyFill="1" applyBorder="1"/>
    <xf numFmtId="0" fontId="16" fillId="3" borderId="23" xfId="0" applyFont="1" applyFill="1" applyBorder="1"/>
    <xf numFmtId="0" fontId="18" fillId="3" borderId="1" xfId="0" applyFont="1" applyFill="1" applyBorder="1"/>
    <xf numFmtId="0" fontId="16" fillId="3" borderId="0" xfId="0" applyFont="1" applyFill="1" applyBorder="1"/>
    <xf numFmtId="0" fontId="16" fillId="3" borderId="2" xfId="0" applyFont="1" applyFill="1" applyBorder="1"/>
    <xf numFmtId="0" fontId="15" fillId="3" borderId="1" xfId="0" applyFont="1" applyFill="1" applyBorder="1" applyAlignment="1">
      <alignment vertical="top"/>
    </xf>
    <xf numFmtId="0" fontId="15" fillId="0" borderId="0" xfId="0" applyFont="1" applyFill="1" applyBorder="1" applyAlignment="1">
      <alignment vertical="top" wrapText="1"/>
    </xf>
    <xf numFmtId="0" fontId="2" fillId="3" borderId="1" xfId="0" applyFont="1" applyFill="1" applyBorder="1"/>
    <xf numFmtId="0" fontId="2" fillId="0" borderId="2" xfId="0" applyFont="1" applyFill="1" applyBorder="1" applyAlignment="1">
      <alignment vertical="top"/>
    </xf>
    <xf numFmtId="167" fontId="0" fillId="3" borderId="0" xfId="0" applyNumberFormat="1" applyFill="1"/>
    <xf numFmtId="0" fontId="2" fillId="3" borderId="7" xfId="0" applyFont="1" applyFill="1" applyBorder="1"/>
    <xf numFmtId="0" fontId="2" fillId="3" borderId="8" xfId="0" applyFont="1" applyFill="1" applyBorder="1"/>
    <xf numFmtId="0" fontId="2" fillId="3" borderId="9" xfId="0" applyFont="1" applyFill="1" applyBorder="1"/>
    <xf numFmtId="0" fontId="19" fillId="3" borderId="0" xfId="0" applyFont="1" applyFill="1" applyBorder="1"/>
    <xf numFmtId="0" fontId="15" fillId="0" borderId="0" xfId="0" applyFont="1" applyFill="1" applyBorder="1"/>
    <xf numFmtId="0" fontId="15" fillId="0" borderId="2" xfId="0" applyFont="1" applyFill="1" applyBorder="1" applyAlignment="1">
      <alignment vertical="top"/>
    </xf>
    <xf numFmtId="0" fontId="15" fillId="3" borderId="7" xfId="0" applyFont="1" applyFill="1" applyBorder="1"/>
    <xf numFmtId="0" fontId="15" fillId="3" borderId="8" xfId="0" applyFont="1" applyFill="1" applyBorder="1"/>
    <xf numFmtId="0" fontId="15" fillId="3" borderId="9" xfId="0" applyFont="1" applyFill="1" applyBorder="1"/>
    <xf numFmtId="0" fontId="0" fillId="3" borderId="0" xfId="0" applyFill="1" applyAlignment="1">
      <alignment horizontal="center"/>
    </xf>
    <xf numFmtId="0" fontId="20" fillId="3" borderId="0" xfId="0" applyFont="1" applyFill="1"/>
    <xf numFmtId="0" fontId="15" fillId="3" borderId="0" xfId="0" applyFont="1" applyFill="1" applyAlignment="1">
      <alignment horizontal="center"/>
    </xf>
    <xf numFmtId="0" fontId="16" fillId="3" borderId="10" xfId="0" applyFont="1" applyFill="1" applyBorder="1" applyAlignment="1">
      <alignment horizontal="left"/>
    </xf>
    <xf numFmtId="0" fontId="15" fillId="3" borderId="11" xfId="0" applyFont="1" applyFill="1" applyBorder="1" applyAlignment="1">
      <alignment horizontal="left"/>
    </xf>
    <xf numFmtId="0" fontId="15" fillId="3" borderId="12" xfId="0" applyFont="1" applyFill="1" applyBorder="1" applyAlignment="1">
      <alignment horizontal="left"/>
    </xf>
    <xf numFmtId="0" fontId="15" fillId="3" borderId="0" xfId="0" applyFont="1" applyFill="1" applyBorder="1" applyAlignment="1">
      <alignment vertical="top" wrapText="1"/>
    </xf>
    <xf numFmtId="0" fontId="9" fillId="3" borderId="0" xfId="0" applyFont="1" applyFill="1" applyBorder="1" applyAlignment="1">
      <alignment vertical="top"/>
    </xf>
    <xf numFmtId="0" fontId="21" fillId="3" borderId="0" xfId="0" applyFont="1" applyFill="1" applyBorder="1" applyAlignment="1">
      <alignment vertical="top" wrapText="1"/>
    </xf>
    <xf numFmtId="0" fontId="21" fillId="3" borderId="0" xfId="0" applyFont="1" applyFill="1" applyBorder="1"/>
    <xf numFmtId="0" fontId="21" fillId="3" borderId="0" xfId="0" applyFont="1" applyFill="1" applyBorder="1" applyAlignment="1">
      <alignment vertical="top"/>
    </xf>
    <xf numFmtId="0" fontId="0" fillId="0" borderId="5" xfId="0" applyBorder="1"/>
    <xf numFmtId="0" fontId="0" fillId="0" borderId="6" xfId="0" applyBorder="1"/>
    <xf numFmtId="0" fontId="0" fillId="0" borderId="1" xfId="0" applyBorder="1"/>
    <xf numFmtId="0" fontId="0" fillId="0" borderId="0" xfId="0" applyBorder="1"/>
    <xf numFmtId="0" fontId="0" fillId="0" borderId="2" xfId="0" applyBorder="1"/>
    <xf numFmtId="164" fontId="4" fillId="2" borderId="1" xfId="1" applyFont="1" applyFill="1" applyBorder="1" applyAlignment="1">
      <alignment horizontal="left" indent="1"/>
    </xf>
    <xf numFmtId="164" fontId="4" fillId="2" borderId="0" xfId="1" quotePrefix="1" applyFont="1" applyFill="1" applyBorder="1"/>
    <xf numFmtId="164" fontId="4" fillId="2" borderId="24" xfId="1" applyFont="1" applyFill="1" applyBorder="1" applyAlignment="1">
      <alignment horizontal="left" indent="1"/>
    </xf>
    <xf numFmtId="164" fontId="5" fillId="2" borderId="1" xfId="1" applyFont="1" applyFill="1" applyBorder="1" applyAlignment="1">
      <alignment horizontal="left" indent="2"/>
    </xf>
    <xf numFmtId="164" fontId="5" fillId="2" borderId="1" xfId="1" applyFont="1" applyFill="1" applyBorder="1" applyAlignment="1">
      <alignment horizontal="left" indent="3"/>
    </xf>
    <xf numFmtId="0" fontId="0" fillId="0" borderId="7" xfId="0" applyBorder="1"/>
    <xf numFmtId="0" fontId="0" fillId="0" borderId="8" xfId="0" applyBorder="1"/>
    <xf numFmtId="0" fontId="0" fillId="0" borderId="9" xfId="0" applyBorder="1"/>
    <xf numFmtId="2" fontId="0" fillId="3" borderId="0" xfId="0" applyNumberFormat="1" applyFill="1" applyBorder="1" applyAlignment="1">
      <alignment horizontal="left"/>
    </xf>
    <xf numFmtId="0" fontId="0" fillId="0" borderId="25" xfId="0" applyBorder="1"/>
    <xf numFmtId="0" fontId="0" fillId="0" borderId="26" xfId="0" applyBorder="1"/>
    <xf numFmtId="0" fontId="9" fillId="0" borderId="4" xfId="0" applyFont="1" applyBorder="1"/>
    <xf numFmtId="0" fontId="9" fillId="0" borderId="5" xfId="0" applyFont="1" applyBorder="1"/>
    <xf numFmtId="0" fontId="0" fillId="0" borderId="0" xfId="0" applyFont="1" applyFill="1"/>
    <xf numFmtId="164" fontId="22" fillId="0" borderId="0" xfId="1" applyFont="1" applyFill="1" applyAlignment="1">
      <alignment horizontal="left"/>
    </xf>
    <xf numFmtId="164" fontId="22" fillId="0" borderId="0" xfId="1" applyFont="1" applyFill="1" applyBorder="1" applyAlignment="1">
      <alignment horizontal="left"/>
    </xf>
    <xf numFmtId="164" fontId="23" fillId="0" borderId="0" xfId="1" applyFont="1" applyFill="1" applyBorder="1" applyAlignment="1">
      <alignment horizontal="left"/>
    </xf>
    <xf numFmtId="164" fontId="23" fillId="0" borderId="0" xfId="1" applyFont="1" applyFill="1" applyAlignment="1">
      <alignment horizontal="left"/>
    </xf>
    <xf numFmtId="164" fontId="22" fillId="0" borderId="0" xfId="1" quotePrefix="1" applyFont="1" applyFill="1" applyAlignment="1">
      <alignment horizontal="right"/>
    </xf>
    <xf numFmtId="164" fontId="23" fillId="0" borderId="0" xfId="1" applyFont="1" applyFill="1" applyBorder="1" applyAlignment="1">
      <alignment horizontal="right"/>
    </xf>
    <xf numFmtId="165" fontId="22" fillId="0" borderId="0" xfId="1" applyNumberFormat="1" applyFont="1" applyFill="1" applyBorder="1" applyAlignment="1">
      <alignment horizontal="right"/>
    </xf>
    <xf numFmtId="165" fontId="23" fillId="0" borderId="0" xfId="1" applyNumberFormat="1" applyFont="1" applyFill="1" applyBorder="1" applyAlignment="1">
      <alignment horizontal="right"/>
    </xf>
    <xf numFmtId="0" fontId="9" fillId="0" borderId="0" xfId="0" applyFont="1" applyFill="1"/>
    <xf numFmtId="0" fontId="15" fillId="3" borderId="15" xfId="0" applyFont="1" applyFill="1" applyBorder="1" applyAlignment="1">
      <alignment horizontal="left" vertical="top" wrapText="1"/>
    </xf>
    <xf numFmtId="0" fontId="15" fillId="3" borderId="17" xfId="0" applyFont="1" applyFill="1" applyBorder="1" applyAlignment="1">
      <alignment horizontal="left" vertical="top" wrapText="1"/>
    </xf>
    <xf numFmtId="0" fontId="15" fillId="3" borderId="13" xfId="0" applyFont="1" applyFill="1" applyBorder="1" applyAlignment="1">
      <alignment horizontal="left" vertical="top" wrapText="1"/>
    </xf>
    <xf numFmtId="0" fontId="15" fillId="3" borderId="0" xfId="0" applyFont="1" applyFill="1" applyBorder="1" applyAlignment="1">
      <alignment horizontal="left" vertical="top" wrapText="1"/>
    </xf>
    <xf numFmtId="0" fontId="15" fillId="3" borderId="14" xfId="0" applyFont="1" applyFill="1" applyBorder="1" applyAlignment="1">
      <alignment horizontal="left" vertical="top" wrapText="1"/>
    </xf>
    <xf numFmtId="0" fontId="15" fillId="3" borderId="16" xfId="0" applyFont="1" applyFill="1" applyBorder="1" applyAlignment="1">
      <alignment horizontal="left" vertical="top" wrapText="1"/>
    </xf>
    <xf numFmtId="0" fontId="24" fillId="0" borderId="0" xfId="0" applyFont="1" applyFill="1"/>
  </cellXfs>
  <cellStyles count="175">
    <cellStyle name="Followed Hyperlink" xfId="3" builtinId="9" hidden="1"/>
    <cellStyle name="Followed Hyperlink" xfId="5" builtinId="9" hidden="1"/>
    <cellStyle name="Followed Hyperlink" xfId="7" builtinId="9" hidden="1"/>
    <cellStyle name="Followed Hyperlink" xfId="9" builtinId="9" hidden="1"/>
    <cellStyle name="Followed Hyperlink" xfId="11" builtinId="9" hidden="1"/>
    <cellStyle name="Followed Hyperlink" xfId="13" builtinId="9" hidden="1"/>
    <cellStyle name="Followed Hyperlink" xfId="15" builtinId="9" hidden="1"/>
    <cellStyle name="Followed Hyperlink" xfId="17" builtinId="9" hidden="1"/>
    <cellStyle name="Followed Hyperlink" xfId="19" builtinId="9" hidden="1"/>
    <cellStyle name="Followed Hyperlink" xfId="21" builtinId="9" hidden="1"/>
    <cellStyle name="Followed Hyperlink" xfId="23" builtinId="9" hidden="1"/>
    <cellStyle name="Followed Hyperlink" xfId="25" builtinId="9" hidden="1"/>
    <cellStyle name="Followed Hyperlink" xfId="27" builtinId="9" hidden="1"/>
    <cellStyle name="Followed Hyperlink" xfId="29" builtinId="9" hidden="1"/>
    <cellStyle name="Followed Hyperlink" xfId="31" builtinId="9" hidden="1"/>
    <cellStyle name="Followed Hyperlink" xfId="33" builtinId="9" hidden="1"/>
    <cellStyle name="Followed Hyperlink" xfId="35" builtinId="9" hidden="1"/>
    <cellStyle name="Followed Hyperlink" xfId="37" builtinId="9" hidden="1"/>
    <cellStyle name="Followed Hyperlink" xfId="39" builtinId="9" hidden="1"/>
    <cellStyle name="Followed Hyperlink" xfId="41" builtinId="9" hidden="1"/>
    <cellStyle name="Followed Hyperlink" xfId="43" builtinId="9" hidden="1"/>
    <cellStyle name="Followed Hyperlink" xfId="45" builtinId="9" hidden="1"/>
    <cellStyle name="Followed Hyperlink" xfId="47" builtinId="9" hidden="1"/>
    <cellStyle name="Followed Hyperlink" xfId="49" builtinId="9" hidden="1"/>
    <cellStyle name="Followed Hyperlink" xfId="51" builtinId="9" hidden="1"/>
    <cellStyle name="Followed Hyperlink" xfId="53" builtinId="9" hidden="1"/>
    <cellStyle name="Followed Hyperlink" xfId="55" builtinId="9" hidden="1"/>
    <cellStyle name="Followed Hyperlink" xfId="57" builtinId="9" hidden="1"/>
    <cellStyle name="Followed Hyperlink" xfId="59" builtinId="9" hidden="1"/>
    <cellStyle name="Followed Hyperlink" xfId="61" builtinId="9" hidden="1"/>
    <cellStyle name="Followed Hyperlink" xfId="63" builtinId="9" hidden="1"/>
    <cellStyle name="Followed Hyperlink" xfId="65" builtinId="9" hidden="1"/>
    <cellStyle name="Followed Hyperlink" xfId="67" builtinId="9" hidden="1"/>
    <cellStyle name="Followed Hyperlink" xfId="69" builtinId="9" hidden="1"/>
    <cellStyle name="Followed Hyperlink" xfId="71" builtinId="9" hidden="1"/>
    <cellStyle name="Followed Hyperlink" xfId="73" builtinId="9" hidden="1"/>
    <cellStyle name="Followed Hyperlink" xfId="75" builtinId="9" hidden="1"/>
    <cellStyle name="Followed Hyperlink" xfId="77" builtinId="9" hidden="1"/>
    <cellStyle name="Followed Hyperlink" xfId="79" builtinId="9" hidden="1"/>
    <cellStyle name="Followed Hyperlink" xfId="81" builtinId="9" hidden="1"/>
    <cellStyle name="Followed Hyperlink" xfId="83" builtinId="9" hidden="1"/>
    <cellStyle name="Followed Hyperlink" xfId="85" builtinId="9" hidden="1"/>
    <cellStyle name="Followed Hyperlink" xfId="87" builtinId="9" hidden="1"/>
    <cellStyle name="Followed Hyperlink" xfId="89" builtinId="9" hidden="1"/>
    <cellStyle name="Followed Hyperlink" xfId="91" builtinId="9" hidden="1"/>
    <cellStyle name="Followed Hyperlink" xfId="93" builtinId="9" hidden="1"/>
    <cellStyle name="Followed Hyperlink" xfId="95" builtinId="9" hidden="1"/>
    <cellStyle name="Followed Hyperlink" xfId="97" builtinId="9" hidden="1"/>
    <cellStyle name="Followed Hyperlink" xfId="99" builtinId="9" hidden="1"/>
    <cellStyle name="Followed Hyperlink" xfId="101" builtinId="9" hidden="1"/>
    <cellStyle name="Followed Hyperlink" xfId="103" builtinId="9" hidden="1"/>
    <cellStyle name="Followed Hyperlink" xfId="105" builtinId="9" hidden="1"/>
    <cellStyle name="Followed Hyperlink" xfId="107" builtinId="9" hidden="1"/>
    <cellStyle name="Followed Hyperlink" xfId="109" builtinId="9" hidden="1"/>
    <cellStyle name="Followed Hyperlink" xfId="111" builtinId="9" hidden="1"/>
    <cellStyle name="Followed Hyperlink" xfId="113" builtinId="9" hidden="1"/>
    <cellStyle name="Followed Hyperlink" xfId="115" builtinId="9" hidden="1"/>
    <cellStyle name="Followed Hyperlink" xfId="117" builtinId="9" hidden="1"/>
    <cellStyle name="Followed Hyperlink" xfId="119" builtinId="9" hidden="1"/>
    <cellStyle name="Followed Hyperlink" xfId="121" builtinId="9" hidden="1"/>
    <cellStyle name="Followed Hyperlink" xfId="123" builtinId="9" hidden="1"/>
    <cellStyle name="Followed Hyperlink" xfId="125" builtinId="9" hidden="1"/>
    <cellStyle name="Followed Hyperlink" xfId="127" builtinId="9" hidden="1"/>
    <cellStyle name="Followed Hyperlink" xfId="129" builtinId="9" hidden="1"/>
    <cellStyle name="Followed Hyperlink" xfId="131" builtinId="9" hidden="1"/>
    <cellStyle name="Followed Hyperlink" xfId="133" builtinId="9" hidden="1"/>
    <cellStyle name="Followed Hyperlink" xfId="135" builtinId="9" hidden="1"/>
    <cellStyle name="Followed Hyperlink" xfId="137" builtinId="9" hidden="1"/>
    <cellStyle name="Followed Hyperlink" xfId="139" builtinId="9" hidden="1"/>
    <cellStyle name="Followed Hyperlink" xfId="141" builtinId="9" hidden="1"/>
    <cellStyle name="Followed Hyperlink" xfId="143" builtinId="9" hidden="1"/>
    <cellStyle name="Followed Hyperlink" xfId="145" builtinId="9" hidden="1"/>
    <cellStyle name="Followed Hyperlink" xfId="147" builtinId="9" hidden="1"/>
    <cellStyle name="Followed Hyperlink" xfId="149" builtinId="9" hidden="1"/>
    <cellStyle name="Followed Hyperlink" xfId="151" builtinId="9" hidden="1"/>
    <cellStyle name="Followed Hyperlink" xfId="153" builtinId="9" hidden="1"/>
    <cellStyle name="Followed Hyperlink" xfId="155" builtinId="9" hidden="1"/>
    <cellStyle name="Followed Hyperlink" xfId="157" builtinId="9" hidden="1"/>
    <cellStyle name="Followed Hyperlink" xfId="159" builtinId="9" hidden="1"/>
    <cellStyle name="Followed Hyperlink" xfId="161" builtinId="9" hidden="1"/>
    <cellStyle name="Followed Hyperlink" xfId="164" builtinId="9" hidden="1"/>
    <cellStyle name="Followed Hyperlink" xfId="166" builtinId="9" hidden="1"/>
    <cellStyle name="Followed Hyperlink" xfId="168" builtinId="9" hidden="1"/>
    <cellStyle name="Followed Hyperlink" xfId="170" builtinId="9" hidden="1"/>
    <cellStyle name="Followed Hyperlink" xfId="172" builtinId="9" hidden="1"/>
    <cellStyle name="Followed Hyperlink" xfId="174" builtinId="9" hidden="1"/>
    <cellStyle name="Hyperlink" xfId="2" builtinId="8" hidden="1"/>
    <cellStyle name="Hyperlink" xfId="4" builtinId="8" hidden="1"/>
    <cellStyle name="Hyperlink" xfId="6" builtinId="8" hidden="1"/>
    <cellStyle name="Hyperlink" xfId="8" builtinId="8" hidden="1"/>
    <cellStyle name="Hyperlink" xfId="10" builtinId="8" hidden="1"/>
    <cellStyle name="Hyperlink" xfId="12" builtinId="8" hidden="1"/>
    <cellStyle name="Hyperlink" xfId="14" builtinId="8" hidden="1"/>
    <cellStyle name="Hyperlink" xfId="16" builtinId="8" hidden="1"/>
    <cellStyle name="Hyperlink" xfId="18" builtinId="8" hidden="1"/>
    <cellStyle name="Hyperlink" xfId="20" builtinId="8" hidden="1"/>
    <cellStyle name="Hyperlink" xfId="22" builtinId="8" hidden="1"/>
    <cellStyle name="Hyperlink" xfId="24" builtinId="8" hidden="1"/>
    <cellStyle name="Hyperlink" xfId="26" builtinId="8" hidden="1"/>
    <cellStyle name="Hyperlink" xfId="28" builtinId="8" hidden="1"/>
    <cellStyle name="Hyperlink" xfId="30" builtinId="8" hidden="1"/>
    <cellStyle name="Hyperlink" xfId="32" builtinId="8" hidden="1"/>
    <cellStyle name="Hyperlink" xfId="34" builtinId="8" hidden="1"/>
    <cellStyle name="Hyperlink" xfId="36" builtinId="8" hidden="1"/>
    <cellStyle name="Hyperlink" xfId="38" builtinId="8" hidden="1"/>
    <cellStyle name="Hyperlink" xfId="40" builtinId="8" hidden="1"/>
    <cellStyle name="Hyperlink" xfId="42" builtinId="8" hidden="1"/>
    <cellStyle name="Hyperlink" xfId="44" builtinId="8" hidden="1"/>
    <cellStyle name="Hyperlink" xfId="46" builtinId="8" hidden="1"/>
    <cellStyle name="Hyperlink" xfId="48" builtinId="8" hidden="1"/>
    <cellStyle name="Hyperlink" xfId="50" builtinId="8" hidden="1"/>
    <cellStyle name="Hyperlink" xfId="52" builtinId="8" hidden="1"/>
    <cellStyle name="Hyperlink" xfId="54" builtinId="8" hidden="1"/>
    <cellStyle name="Hyperlink" xfId="56" builtinId="8" hidden="1"/>
    <cellStyle name="Hyperlink" xfId="58" builtinId="8" hidden="1"/>
    <cellStyle name="Hyperlink" xfId="60" builtinId="8" hidden="1"/>
    <cellStyle name="Hyperlink" xfId="62" builtinId="8" hidden="1"/>
    <cellStyle name="Hyperlink" xfId="64" builtinId="8" hidden="1"/>
    <cellStyle name="Hyperlink" xfId="66" builtinId="8" hidden="1"/>
    <cellStyle name="Hyperlink" xfId="68" builtinId="8" hidden="1"/>
    <cellStyle name="Hyperlink" xfId="70" builtinId="8" hidden="1"/>
    <cellStyle name="Hyperlink" xfId="72" builtinId="8" hidden="1"/>
    <cellStyle name="Hyperlink" xfId="74" builtinId="8" hidden="1"/>
    <cellStyle name="Hyperlink" xfId="76" builtinId="8" hidden="1"/>
    <cellStyle name="Hyperlink" xfId="78" builtinId="8" hidden="1"/>
    <cellStyle name="Hyperlink" xfId="80" builtinId="8" hidden="1"/>
    <cellStyle name="Hyperlink" xfId="82" builtinId="8" hidden="1"/>
    <cellStyle name="Hyperlink" xfId="84" builtinId="8" hidden="1"/>
    <cellStyle name="Hyperlink" xfId="86" builtinId="8" hidden="1"/>
    <cellStyle name="Hyperlink" xfId="88" builtinId="8" hidden="1"/>
    <cellStyle name="Hyperlink" xfId="90" builtinId="8" hidden="1"/>
    <cellStyle name="Hyperlink" xfId="92" builtinId="8" hidden="1"/>
    <cellStyle name="Hyperlink" xfId="94" builtinId="8" hidden="1"/>
    <cellStyle name="Hyperlink" xfId="96" builtinId="8" hidden="1"/>
    <cellStyle name="Hyperlink" xfId="98" builtinId="8" hidden="1"/>
    <cellStyle name="Hyperlink" xfId="100" builtinId="8" hidden="1"/>
    <cellStyle name="Hyperlink" xfId="102" builtinId="8" hidden="1"/>
    <cellStyle name="Hyperlink" xfId="104" builtinId="8" hidden="1"/>
    <cellStyle name="Hyperlink" xfId="106" builtinId="8" hidden="1"/>
    <cellStyle name="Hyperlink" xfId="108" builtinId="8" hidden="1"/>
    <cellStyle name="Hyperlink" xfId="110" builtinId="8" hidden="1"/>
    <cellStyle name="Hyperlink" xfId="112" builtinId="8" hidden="1"/>
    <cellStyle name="Hyperlink" xfId="114" builtinId="8" hidden="1"/>
    <cellStyle name="Hyperlink" xfId="116" builtinId="8" hidden="1"/>
    <cellStyle name="Hyperlink" xfId="118" builtinId="8" hidden="1"/>
    <cellStyle name="Hyperlink" xfId="120" builtinId="8" hidden="1"/>
    <cellStyle name="Hyperlink" xfId="122" builtinId="8" hidden="1"/>
    <cellStyle name="Hyperlink" xfId="124" builtinId="8" hidden="1"/>
    <cellStyle name="Hyperlink" xfId="126" builtinId="8" hidden="1"/>
    <cellStyle name="Hyperlink" xfId="128" builtinId="8" hidden="1"/>
    <cellStyle name="Hyperlink" xfId="130" builtinId="8" hidden="1"/>
    <cellStyle name="Hyperlink" xfId="132" builtinId="8" hidden="1"/>
    <cellStyle name="Hyperlink" xfId="134" builtinId="8" hidden="1"/>
    <cellStyle name="Hyperlink" xfId="136" builtinId="8" hidden="1"/>
    <cellStyle name="Hyperlink" xfId="138" builtinId="8" hidden="1"/>
    <cellStyle name="Hyperlink" xfId="140" builtinId="8" hidden="1"/>
    <cellStyle name="Hyperlink" xfId="142" builtinId="8" hidden="1"/>
    <cellStyle name="Hyperlink" xfId="144" builtinId="8" hidden="1"/>
    <cellStyle name="Hyperlink" xfId="146" builtinId="8" hidden="1"/>
    <cellStyle name="Hyperlink" xfId="148" builtinId="8" hidden="1"/>
    <cellStyle name="Hyperlink" xfId="150" builtinId="8" hidden="1"/>
    <cellStyle name="Hyperlink" xfId="152" builtinId="8" hidden="1"/>
    <cellStyle name="Hyperlink" xfId="154" builtinId="8" hidden="1"/>
    <cellStyle name="Hyperlink" xfId="156" builtinId="8" hidden="1"/>
    <cellStyle name="Hyperlink" xfId="158" builtinId="8" hidden="1"/>
    <cellStyle name="Hyperlink" xfId="160" builtinId="8" hidden="1"/>
    <cellStyle name="Hyperlink" xfId="163" builtinId="8" hidden="1"/>
    <cellStyle name="Hyperlink" xfId="165" builtinId="8" hidden="1"/>
    <cellStyle name="Hyperlink" xfId="167" builtinId="8" hidden="1"/>
    <cellStyle name="Hyperlink" xfId="169" builtinId="8" hidden="1"/>
    <cellStyle name="Hyperlink" xfId="171" builtinId="8" hidden="1"/>
    <cellStyle name="Hyperlink" xfId="173" builtinId="8" hidden="1"/>
    <cellStyle name="Normal" xfId="0" builtinId="0"/>
    <cellStyle name="Normal_AppendixAU" xfId="1"/>
    <cellStyle name="Percent 2" xfId="162"/>
  </cellStyles>
  <dxfs count="2">
    <dxf>
      <font>
        <color rgb="FF9C6500"/>
      </font>
      <fill>
        <patternFill>
          <bgColor rgb="FFFFEB9C"/>
        </patternFill>
      </fill>
    </dxf>
    <dxf>
      <font>
        <color rgb="FF9C6500"/>
      </font>
      <fill>
        <patternFill>
          <bgColor rgb="FFFFEB9C"/>
        </patternFill>
      </fill>
    </dxf>
  </dxfs>
  <tableStyles count="0" defaultTableStyle="TableStyleMedium9" defaultPivotStyle="PivotStyleMedium4"/>
</styleSheet>
</file>

<file path=xl/_rels/workbook.xml.rels><?xml version="1.0" encoding="UTF-8" standalone="yes"?>
<Relationships xmlns="http://schemas.openxmlformats.org/package/2006/relationships"><Relationship Id="rId11" Type="http://schemas.openxmlformats.org/officeDocument/2006/relationships/theme" Target="theme/theme1.xml"/><Relationship Id="rId12" Type="http://schemas.openxmlformats.org/officeDocument/2006/relationships/styles" Target="styles.xml"/><Relationship Id="rId13" Type="http://schemas.openxmlformats.org/officeDocument/2006/relationships/sharedStrings" Target="sharedStrings.xml"/><Relationship Id="rId14" Type="http://schemas.openxmlformats.org/officeDocument/2006/relationships/calcChain" Target="calcChain.xml"/><Relationship Id="rId15"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 Id="rId9" Type="http://schemas.openxmlformats.org/officeDocument/2006/relationships/worksheet" Target="worksheets/sheet9.xml"/><Relationship Id="rId10" Type="http://schemas.openxmlformats.org/officeDocument/2006/relationships/externalLink" Target="externalLinks/externalLink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lineChart>
        <c:grouping val="standard"/>
        <c:varyColors val="0"/>
        <c:ser>
          <c:idx val="0"/>
          <c:order val="0"/>
          <c:tx>
            <c:strRef>
              <c:f>interpolation!$A$8</c:f>
              <c:strCache>
                <c:ptCount val="1"/>
                <c:pt idx="0">
                  <c:v>Year</c:v>
                </c:pt>
              </c:strCache>
            </c:strRef>
          </c:tx>
          <c:val>
            <c:numRef>
              <c:f>interpolation!$A$9:$A$59</c:f>
              <c:numCache>
                <c:formatCode>General</c:formatCode>
                <c:ptCount val="51"/>
                <c:pt idx="0">
                  <c:v>2000.0</c:v>
                </c:pt>
                <c:pt idx="1">
                  <c:v>2001.0</c:v>
                </c:pt>
                <c:pt idx="2">
                  <c:v>2002.0</c:v>
                </c:pt>
                <c:pt idx="3">
                  <c:v>2003.0</c:v>
                </c:pt>
                <c:pt idx="4">
                  <c:v>2004.0</c:v>
                </c:pt>
                <c:pt idx="5">
                  <c:v>2005.0</c:v>
                </c:pt>
                <c:pt idx="6">
                  <c:v>2006.0</c:v>
                </c:pt>
                <c:pt idx="7">
                  <c:v>2007.0</c:v>
                </c:pt>
                <c:pt idx="8">
                  <c:v>2008.0</c:v>
                </c:pt>
                <c:pt idx="9">
                  <c:v>2009.0</c:v>
                </c:pt>
                <c:pt idx="10">
                  <c:v>2010.0</c:v>
                </c:pt>
                <c:pt idx="11">
                  <c:v>2011.0</c:v>
                </c:pt>
                <c:pt idx="12">
                  <c:v>2012.0</c:v>
                </c:pt>
                <c:pt idx="13">
                  <c:v>2013.0</c:v>
                </c:pt>
                <c:pt idx="14">
                  <c:v>2014.0</c:v>
                </c:pt>
                <c:pt idx="15">
                  <c:v>2015.0</c:v>
                </c:pt>
                <c:pt idx="16">
                  <c:v>2016.0</c:v>
                </c:pt>
                <c:pt idx="17">
                  <c:v>2017.0</c:v>
                </c:pt>
                <c:pt idx="18">
                  <c:v>2018.0</c:v>
                </c:pt>
                <c:pt idx="19">
                  <c:v>2019.0</c:v>
                </c:pt>
                <c:pt idx="20">
                  <c:v>2020.0</c:v>
                </c:pt>
                <c:pt idx="21">
                  <c:v>2021.0</c:v>
                </c:pt>
                <c:pt idx="22">
                  <c:v>2022.0</c:v>
                </c:pt>
                <c:pt idx="23">
                  <c:v>2023.0</c:v>
                </c:pt>
                <c:pt idx="24">
                  <c:v>2024.0</c:v>
                </c:pt>
                <c:pt idx="25">
                  <c:v>2025.0</c:v>
                </c:pt>
                <c:pt idx="26">
                  <c:v>2026.0</c:v>
                </c:pt>
                <c:pt idx="27">
                  <c:v>2027.0</c:v>
                </c:pt>
                <c:pt idx="28">
                  <c:v>2028.0</c:v>
                </c:pt>
                <c:pt idx="29">
                  <c:v>2029.0</c:v>
                </c:pt>
                <c:pt idx="30">
                  <c:v>2030.0</c:v>
                </c:pt>
                <c:pt idx="31">
                  <c:v>2031.0</c:v>
                </c:pt>
                <c:pt idx="32">
                  <c:v>2032.0</c:v>
                </c:pt>
                <c:pt idx="33">
                  <c:v>2033.0</c:v>
                </c:pt>
                <c:pt idx="34">
                  <c:v>2034.0</c:v>
                </c:pt>
                <c:pt idx="35">
                  <c:v>2035.0</c:v>
                </c:pt>
                <c:pt idx="36">
                  <c:v>2036.0</c:v>
                </c:pt>
                <c:pt idx="37">
                  <c:v>2037.0</c:v>
                </c:pt>
                <c:pt idx="38">
                  <c:v>2038.0</c:v>
                </c:pt>
                <c:pt idx="39">
                  <c:v>2039.0</c:v>
                </c:pt>
                <c:pt idx="40">
                  <c:v>2040.0</c:v>
                </c:pt>
                <c:pt idx="41">
                  <c:v>2041.0</c:v>
                </c:pt>
                <c:pt idx="42">
                  <c:v>2042.0</c:v>
                </c:pt>
                <c:pt idx="43">
                  <c:v>2043.0</c:v>
                </c:pt>
                <c:pt idx="44">
                  <c:v>2044.0</c:v>
                </c:pt>
                <c:pt idx="45">
                  <c:v>2045.0</c:v>
                </c:pt>
                <c:pt idx="46">
                  <c:v>2046.0</c:v>
                </c:pt>
                <c:pt idx="47">
                  <c:v>2047.0</c:v>
                </c:pt>
                <c:pt idx="48">
                  <c:v>2048.0</c:v>
                </c:pt>
                <c:pt idx="49">
                  <c:v>2049.0</c:v>
                </c:pt>
                <c:pt idx="50">
                  <c:v>2050.0</c:v>
                </c:pt>
              </c:numCache>
            </c:numRef>
          </c:val>
          <c:smooth val="0"/>
        </c:ser>
        <c:ser>
          <c:idx val="1"/>
          <c:order val="1"/>
          <c:tx>
            <c:strRef>
              <c:f>interpolation!$B$8</c:f>
              <c:strCache>
                <c:ptCount val="1"/>
                <c:pt idx="0">
                  <c:v>Coal</c:v>
                </c:pt>
              </c:strCache>
            </c:strRef>
          </c:tx>
          <c:val>
            <c:numRef>
              <c:f>interpolation!$B$9:$B$59</c:f>
              <c:numCache>
                <c:formatCode>General</c:formatCode>
                <c:ptCount val="51"/>
                <c:pt idx="0">
                  <c:v>781173.1440000001</c:v>
                </c:pt>
                <c:pt idx="1">
                  <c:v>724575.9816</c:v>
                </c:pt>
                <c:pt idx="2">
                  <c:v>667978.8192</c:v>
                </c:pt>
                <c:pt idx="3">
                  <c:v>611381.6568</c:v>
                </c:pt>
                <c:pt idx="4">
                  <c:v>554784.4944000001</c:v>
                </c:pt>
                <c:pt idx="5">
                  <c:v>498187.3320000001</c:v>
                </c:pt>
                <c:pt idx="6">
                  <c:v>490921.4676</c:v>
                </c:pt>
                <c:pt idx="7">
                  <c:v>483655.6032</c:v>
                </c:pt>
                <c:pt idx="8">
                  <c:v>476389.7388000001</c:v>
                </c:pt>
                <c:pt idx="9">
                  <c:v>469123.8744</c:v>
                </c:pt>
                <c:pt idx="10">
                  <c:v>461858.01</c:v>
                </c:pt>
                <c:pt idx="11">
                  <c:v>439700.585</c:v>
                </c:pt>
                <c:pt idx="12">
                  <c:v>417543.16</c:v>
                </c:pt>
                <c:pt idx="13">
                  <c:v>437376.7706666667</c:v>
                </c:pt>
                <c:pt idx="14">
                  <c:v>457210.3813333333</c:v>
                </c:pt>
                <c:pt idx="15">
                  <c:v>477043.992</c:v>
                </c:pt>
                <c:pt idx="16">
                  <c:v>465228.8424</c:v>
                </c:pt>
                <c:pt idx="17">
                  <c:v>453413.6928</c:v>
                </c:pt>
                <c:pt idx="18">
                  <c:v>441598.5432</c:v>
                </c:pt>
                <c:pt idx="19">
                  <c:v>429783.3936</c:v>
                </c:pt>
                <c:pt idx="20">
                  <c:v>417968.244</c:v>
                </c:pt>
                <c:pt idx="21">
                  <c:v>428008.1904</c:v>
                </c:pt>
                <c:pt idx="22">
                  <c:v>438048.1368</c:v>
                </c:pt>
                <c:pt idx="23">
                  <c:v>448088.0832</c:v>
                </c:pt>
                <c:pt idx="24">
                  <c:v>458128.0296</c:v>
                </c:pt>
                <c:pt idx="25">
                  <c:v>468167.976</c:v>
                </c:pt>
                <c:pt idx="26">
                  <c:v>424080.972</c:v>
                </c:pt>
                <c:pt idx="27">
                  <c:v>379993.968</c:v>
                </c:pt>
                <c:pt idx="28">
                  <c:v>335906.964</c:v>
                </c:pt>
                <c:pt idx="29">
                  <c:v>291819.96</c:v>
                </c:pt>
                <c:pt idx="30">
                  <c:v>247732.956</c:v>
                </c:pt>
                <c:pt idx="31">
                  <c:v>235239.5448</c:v>
                </c:pt>
                <c:pt idx="32">
                  <c:v>222746.1336</c:v>
                </c:pt>
                <c:pt idx="33">
                  <c:v>210252.7224</c:v>
                </c:pt>
                <c:pt idx="34">
                  <c:v>197759.3112</c:v>
                </c:pt>
                <c:pt idx="35">
                  <c:v>185265.9</c:v>
                </c:pt>
                <c:pt idx="36">
                  <c:v>179982.1584</c:v>
                </c:pt>
                <c:pt idx="37">
                  <c:v>174698.4168</c:v>
                </c:pt>
                <c:pt idx="38">
                  <c:v>169414.6752</c:v>
                </c:pt>
                <c:pt idx="39">
                  <c:v>164130.9336</c:v>
                </c:pt>
                <c:pt idx="40">
                  <c:v>158847.192</c:v>
                </c:pt>
                <c:pt idx="41">
                  <c:v>156259.7496</c:v>
                </c:pt>
                <c:pt idx="42">
                  <c:v>153672.3072</c:v>
                </c:pt>
                <c:pt idx="43">
                  <c:v>151084.8648</c:v>
                </c:pt>
                <c:pt idx="44">
                  <c:v>148497.4224</c:v>
                </c:pt>
                <c:pt idx="45">
                  <c:v>145909.98</c:v>
                </c:pt>
                <c:pt idx="46">
                  <c:v>139077.1224</c:v>
                </c:pt>
                <c:pt idx="47">
                  <c:v>132244.2648</c:v>
                </c:pt>
                <c:pt idx="48">
                  <c:v>125411.4072</c:v>
                </c:pt>
                <c:pt idx="49">
                  <c:v>118578.5496</c:v>
                </c:pt>
                <c:pt idx="50">
                  <c:v>111745.692</c:v>
                </c:pt>
              </c:numCache>
            </c:numRef>
          </c:val>
          <c:smooth val="0"/>
        </c:ser>
        <c:ser>
          <c:idx val="2"/>
          <c:order val="2"/>
          <c:tx>
            <c:strRef>
              <c:f>interpolation!$C$8</c:f>
              <c:strCache>
                <c:ptCount val="1"/>
                <c:pt idx="0">
                  <c:v>Lignite</c:v>
                </c:pt>
              </c:strCache>
            </c:strRef>
          </c:tx>
          <c:val>
            <c:numRef>
              <c:f>interpolation!$C$9:$C$59</c:f>
              <c:numCache>
                <c:formatCode>General</c:formatCode>
                <c:ptCount val="51"/>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0.0</c:v>
                </c:pt>
                <c:pt idx="19">
                  <c:v>0.0</c:v>
                </c:pt>
                <c:pt idx="20">
                  <c:v>0.0</c:v>
                </c:pt>
                <c:pt idx="21">
                  <c:v>0.0</c:v>
                </c:pt>
                <c:pt idx="22">
                  <c:v>0.0</c:v>
                </c:pt>
                <c:pt idx="23">
                  <c:v>0.0</c:v>
                </c:pt>
                <c:pt idx="24">
                  <c:v>0.0</c:v>
                </c:pt>
                <c:pt idx="25">
                  <c:v>0.0</c:v>
                </c:pt>
                <c:pt idx="26">
                  <c:v>0.0</c:v>
                </c:pt>
                <c:pt idx="27">
                  <c:v>0.0</c:v>
                </c:pt>
                <c:pt idx="28">
                  <c:v>0.0</c:v>
                </c:pt>
                <c:pt idx="29">
                  <c:v>0.0</c:v>
                </c:pt>
                <c:pt idx="30">
                  <c:v>0.0</c:v>
                </c:pt>
                <c:pt idx="31">
                  <c:v>0.0</c:v>
                </c:pt>
                <c:pt idx="32">
                  <c:v>0.0</c:v>
                </c:pt>
                <c:pt idx="33">
                  <c:v>0.0</c:v>
                </c:pt>
                <c:pt idx="34">
                  <c:v>0.0</c:v>
                </c:pt>
                <c:pt idx="35">
                  <c:v>0.0</c:v>
                </c:pt>
                <c:pt idx="36">
                  <c:v>0.0</c:v>
                </c:pt>
                <c:pt idx="37">
                  <c:v>0.0</c:v>
                </c:pt>
                <c:pt idx="38">
                  <c:v>0.0</c:v>
                </c:pt>
                <c:pt idx="39">
                  <c:v>0.0</c:v>
                </c:pt>
                <c:pt idx="40">
                  <c:v>0.0</c:v>
                </c:pt>
                <c:pt idx="41">
                  <c:v>0.0</c:v>
                </c:pt>
                <c:pt idx="42">
                  <c:v>0.0</c:v>
                </c:pt>
                <c:pt idx="43">
                  <c:v>0.0</c:v>
                </c:pt>
                <c:pt idx="44">
                  <c:v>0.0</c:v>
                </c:pt>
                <c:pt idx="45">
                  <c:v>0.0</c:v>
                </c:pt>
                <c:pt idx="46">
                  <c:v>0.0</c:v>
                </c:pt>
                <c:pt idx="47">
                  <c:v>0.0</c:v>
                </c:pt>
                <c:pt idx="48">
                  <c:v>0.0</c:v>
                </c:pt>
                <c:pt idx="49">
                  <c:v>0.0</c:v>
                </c:pt>
                <c:pt idx="50">
                  <c:v>0.0</c:v>
                </c:pt>
              </c:numCache>
            </c:numRef>
          </c:val>
          <c:smooth val="0"/>
        </c:ser>
        <c:ser>
          <c:idx val="3"/>
          <c:order val="3"/>
          <c:tx>
            <c:strRef>
              <c:f>interpolation!$D$8</c:f>
              <c:strCache>
                <c:ptCount val="1"/>
                <c:pt idx="0">
                  <c:v>Natural gas</c:v>
                </c:pt>
              </c:strCache>
            </c:strRef>
          </c:tx>
          <c:val>
            <c:numRef>
              <c:f>interpolation!$D$9:$D$59</c:f>
              <c:numCache>
                <c:formatCode>General</c:formatCode>
                <c:ptCount val="51"/>
                <c:pt idx="0">
                  <c:v>4.084390872E6</c:v>
                </c:pt>
                <c:pt idx="1">
                  <c:v>3.9323514168E6</c:v>
                </c:pt>
                <c:pt idx="2">
                  <c:v>3.7803119616E6</c:v>
                </c:pt>
                <c:pt idx="3">
                  <c:v>3.6282725064E6</c:v>
                </c:pt>
                <c:pt idx="4">
                  <c:v>3.4762330512E6</c:v>
                </c:pt>
                <c:pt idx="5">
                  <c:v>3.324193596E6</c:v>
                </c:pt>
                <c:pt idx="6">
                  <c:v>3.0902057868E6</c:v>
                </c:pt>
                <c:pt idx="7">
                  <c:v>2.8562179776E6</c:v>
                </c:pt>
                <c:pt idx="8">
                  <c:v>2.6222301684E6</c:v>
                </c:pt>
                <c:pt idx="9">
                  <c:v>2.3882423592E6</c:v>
                </c:pt>
                <c:pt idx="10">
                  <c:v>2.15425455E6</c:v>
                </c:pt>
                <c:pt idx="11">
                  <c:v>1.81046397E6</c:v>
                </c:pt>
                <c:pt idx="12">
                  <c:v>1.46667339E6</c:v>
                </c:pt>
                <c:pt idx="13">
                  <c:v>1.560417348E6</c:v>
                </c:pt>
                <c:pt idx="14">
                  <c:v>1.654161306E6</c:v>
                </c:pt>
                <c:pt idx="15">
                  <c:v>1.747905264E6</c:v>
                </c:pt>
                <c:pt idx="16">
                  <c:v>1.6721827992E6</c:v>
                </c:pt>
                <c:pt idx="17">
                  <c:v>1.5964603344E6</c:v>
                </c:pt>
                <c:pt idx="18">
                  <c:v>1.5207378696E6</c:v>
                </c:pt>
                <c:pt idx="19">
                  <c:v>1.4450154048E6</c:v>
                </c:pt>
                <c:pt idx="20">
                  <c:v>1.36929294E6</c:v>
                </c:pt>
                <c:pt idx="21">
                  <c:v>1.305569844E6</c:v>
                </c:pt>
                <c:pt idx="22">
                  <c:v>1.241846748E6</c:v>
                </c:pt>
                <c:pt idx="23">
                  <c:v>1.178123652E6</c:v>
                </c:pt>
                <c:pt idx="24">
                  <c:v>1.114400556E6</c:v>
                </c:pt>
                <c:pt idx="25">
                  <c:v>1.05067746E6</c:v>
                </c:pt>
                <c:pt idx="26">
                  <c:v>1.004497056E6</c:v>
                </c:pt>
                <c:pt idx="27">
                  <c:v>958316.652</c:v>
                </c:pt>
                <c:pt idx="28">
                  <c:v>912136.248</c:v>
                </c:pt>
                <c:pt idx="29">
                  <c:v>865955.844</c:v>
                </c:pt>
                <c:pt idx="30">
                  <c:v>819775.44</c:v>
                </c:pt>
                <c:pt idx="31">
                  <c:v>768981.1824</c:v>
                </c:pt>
                <c:pt idx="32">
                  <c:v>718186.9248</c:v>
                </c:pt>
                <c:pt idx="33">
                  <c:v>667392.6672</c:v>
                </c:pt>
                <c:pt idx="34">
                  <c:v>616598.4096</c:v>
                </c:pt>
                <c:pt idx="35">
                  <c:v>565804.152</c:v>
                </c:pt>
                <c:pt idx="36">
                  <c:v>524974.4784</c:v>
                </c:pt>
                <c:pt idx="37">
                  <c:v>484144.8048</c:v>
                </c:pt>
                <c:pt idx="38">
                  <c:v>443315.1312</c:v>
                </c:pt>
                <c:pt idx="39">
                  <c:v>402485.4576</c:v>
                </c:pt>
                <c:pt idx="40">
                  <c:v>361655.784</c:v>
                </c:pt>
                <c:pt idx="41">
                  <c:v>326277.324</c:v>
                </c:pt>
                <c:pt idx="42">
                  <c:v>290898.8640000001</c:v>
                </c:pt>
                <c:pt idx="43">
                  <c:v>255520.404</c:v>
                </c:pt>
                <c:pt idx="44">
                  <c:v>220141.944</c:v>
                </c:pt>
                <c:pt idx="45">
                  <c:v>184763.484</c:v>
                </c:pt>
                <c:pt idx="46">
                  <c:v>162372.4776</c:v>
                </c:pt>
                <c:pt idx="47">
                  <c:v>139981.4712</c:v>
                </c:pt>
                <c:pt idx="48">
                  <c:v>117590.4648</c:v>
                </c:pt>
                <c:pt idx="49">
                  <c:v>95199.4584</c:v>
                </c:pt>
                <c:pt idx="50">
                  <c:v>72808.452</c:v>
                </c:pt>
              </c:numCache>
            </c:numRef>
          </c:val>
          <c:smooth val="0"/>
        </c:ser>
        <c:ser>
          <c:idx val="4"/>
          <c:order val="4"/>
          <c:tx>
            <c:strRef>
              <c:f>interpolation!$E$8</c:f>
              <c:strCache>
                <c:ptCount val="1"/>
                <c:pt idx="0">
                  <c:v>Crude oil</c:v>
                </c:pt>
              </c:strCache>
            </c:strRef>
          </c:tx>
          <c:val>
            <c:numRef>
              <c:f>interpolation!$E$9:$E$59</c:f>
              <c:numCache>
                <c:formatCode>General</c:formatCode>
                <c:ptCount val="51"/>
                <c:pt idx="0">
                  <c:v>5.42316204E6</c:v>
                </c:pt>
                <c:pt idx="1">
                  <c:v>5.0736144816E6</c:v>
                </c:pt>
                <c:pt idx="2">
                  <c:v>4.7240669232E6</c:v>
                </c:pt>
                <c:pt idx="3">
                  <c:v>4.3745193648E6</c:v>
                </c:pt>
                <c:pt idx="4">
                  <c:v>4.0249718064E6</c:v>
                </c:pt>
                <c:pt idx="5">
                  <c:v>3.675424248E6</c:v>
                </c:pt>
                <c:pt idx="6">
                  <c:v>3.477430476E6</c:v>
                </c:pt>
                <c:pt idx="7">
                  <c:v>3.279436704E6</c:v>
                </c:pt>
                <c:pt idx="8">
                  <c:v>3.081442932E6</c:v>
                </c:pt>
                <c:pt idx="9">
                  <c:v>2.88344916E6</c:v>
                </c:pt>
                <c:pt idx="10">
                  <c:v>2.685455388E6</c:v>
                </c:pt>
                <c:pt idx="11">
                  <c:v>2.690197084E6</c:v>
                </c:pt>
                <c:pt idx="12">
                  <c:v>2.69493878E6</c:v>
                </c:pt>
                <c:pt idx="13">
                  <c:v>2.50479516133333E6</c:v>
                </c:pt>
                <c:pt idx="14">
                  <c:v>2.31465154266667E6</c:v>
                </c:pt>
                <c:pt idx="15">
                  <c:v>2.124507924E6</c:v>
                </c:pt>
                <c:pt idx="16">
                  <c:v>2.0330012232E6</c:v>
                </c:pt>
                <c:pt idx="17">
                  <c:v>1.9414945224E6</c:v>
                </c:pt>
                <c:pt idx="18">
                  <c:v>1.8499878216E6</c:v>
                </c:pt>
                <c:pt idx="19">
                  <c:v>1.7584811208E6</c:v>
                </c:pt>
                <c:pt idx="20">
                  <c:v>1.66697442E6</c:v>
                </c:pt>
                <c:pt idx="21">
                  <c:v>1.5917459976E6</c:v>
                </c:pt>
                <c:pt idx="22">
                  <c:v>1.5165175752E6</c:v>
                </c:pt>
                <c:pt idx="23">
                  <c:v>1.4412891528E6</c:v>
                </c:pt>
                <c:pt idx="24">
                  <c:v>1.3660607304E6</c:v>
                </c:pt>
                <c:pt idx="25">
                  <c:v>1.290832308E6</c:v>
                </c:pt>
                <c:pt idx="26">
                  <c:v>1.2322254816E6</c:v>
                </c:pt>
                <c:pt idx="27">
                  <c:v>1.1736186552E6</c:v>
                </c:pt>
                <c:pt idx="28">
                  <c:v>1.1150118288E6</c:v>
                </c:pt>
                <c:pt idx="29">
                  <c:v>1.0564050024E6</c:v>
                </c:pt>
                <c:pt idx="30">
                  <c:v>997798.1760000001</c:v>
                </c:pt>
                <c:pt idx="31">
                  <c:v>946936.9296</c:v>
                </c:pt>
                <c:pt idx="32">
                  <c:v>896075.6832000001</c:v>
                </c:pt>
                <c:pt idx="33">
                  <c:v>845214.4368</c:v>
                </c:pt>
                <c:pt idx="34">
                  <c:v>794353.1904</c:v>
                </c:pt>
                <c:pt idx="35">
                  <c:v>743491.944</c:v>
                </c:pt>
                <c:pt idx="36">
                  <c:v>697571.1216</c:v>
                </c:pt>
                <c:pt idx="37">
                  <c:v>651650.2992</c:v>
                </c:pt>
                <c:pt idx="38">
                  <c:v>605729.4768</c:v>
                </c:pt>
                <c:pt idx="39">
                  <c:v>559808.6544000001</c:v>
                </c:pt>
                <c:pt idx="40">
                  <c:v>513887.8320000001</c:v>
                </c:pt>
                <c:pt idx="41">
                  <c:v>468151.2288</c:v>
                </c:pt>
                <c:pt idx="42">
                  <c:v>422414.6256</c:v>
                </c:pt>
                <c:pt idx="43">
                  <c:v>376678.0224</c:v>
                </c:pt>
                <c:pt idx="44">
                  <c:v>330941.4192</c:v>
                </c:pt>
                <c:pt idx="45">
                  <c:v>285204.816</c:v>
                </c:pt>
                <c:pt idx="46">
                  <c:v>249399.3024</c:v>
                </c:pt>
                <c:pt idx="47">
                  <c:v>213593.7888</c:v>
                </c:pt>
                <c:pt idx="48">
                  <c:v>177788.2752</c:v>
                </c:pt>
                <c:pt idx="49">
                  <c:v>141982.7616</c:v>
                </c:pt>
                <c:pt idx="50">
                  <c:v>106177.248</c:v>
                </c:pt>
              </c:numCache>
            </c:numRef>
          </c:val>
          <c:smooth val="0"/>
        </c:ser>
        <c:ser>
          <c:idx val="5"/>
          <c:order val="5"/>
          <c:tx>
            <c:strRef>
              <c:f>interpolation!$F$8</c:f>
              <c:strCache>
                <c:ptCount val="1"/>
                <c:pt idx="0">
                  <c:v>Uranium oxide</c:v>
                </c:pt>
              </c:strCache>
            </c:strRef>
          </c:tx>
          <c:val>
            <c:numRef>
              <c:f>interpolation!$F$9:$F$59</c:f>
              <c:numCache>
                <c:formatCode>General</c:formatCode>
                <c:ptCount val="51"/>
                <c:pt idx="0">
                  <c:v>918667.656</c:v>
                </c:pt>
                <c:pt idx="1">
                  <c:v>911231.8992000001</c:v>
                </c:pt>
                <c:pt idx="2">
                  <c:v>903796.1424000001</c:v>
                </c:pt>
                <c:pt idx="3">
                  <c:v>896360.3856</c:v>
                </c:pt>
                <c:pt idx="4">
                  <c:v>888924.6288</c:v>
                </c:pt>
                <c:pt idx="5">
                  <c:v>881488.8720000001</c:v>
                </c:pt>
                <c:pt idx="6">
                  <c:v>839411.5320000001</c:v>
                </c:pt>
                <c:pt idx="7">
                  <c:v>797334.192</c:v>
                </c:pt>
                <c:pt idx="8">
                  <c:v>755256.852</c:v>
                </c:pt>
                <c:pt idx="9">
                  <c:v>713179.5120000001</c:v>
                </c:pt>
                <c:pt idx="10">
                  <c:v>671102.172</c:v>
                </c:pt>
                <c:pt idx="11">
                  <c:v>719647.491</c:v>
                </c:pt>
                <c:pt idx="12">
                  <c:v>768192.81</c:v>
                </c:pt>
                <c:pt idx="13">
                  <c:v>738983.32</c:v>
                </c:pt>
                <c:pt idx="14">
                  <c:v>709773.83</c:v>
                </c:pt>
                <c:pt idx="15">
                  <c:v>680564.34</c:v>
                </c:pt>
                <c:pt idx="16">
                  <c:v>610946.2296000001</c:v>
                </c:pt>
                <c:pt idx="17">
                  <c:v>541328.1192000001</c:v>
                </c:pt>
                <c:pt idx="18">
                  <c:v>471710.0088</c:v>
                </c:pt>
                <c:pt idx="19">
                  <c:v>402091.8984</c:v>
                </c:pt>
                <c:pt idx="20">
                  <c:v>332473.788</c:v>
                </c:pt>
                <c:pt idx="21">
                  <c:v>312561.3672</c:v>
                </c:pt>
                <c:pt idx="22">
                  <c:v>292648.9464</c:v>
                </c:pt>
                <c:pt idx="23">
                  <c:v>272736.5256</c:v>
                </c:pt>
                <c:pt idx="24">
                  <c:v>252824.1048</c:v>
                </c:pt>
                <c:pt idx="25">
                  <c:v>232911.684</c:v>
                </c:pt>
                <c:pt idx="26">
                  <c:v>257186.7504</c:v>
                </c:pt>
                <c:pt idx="27">
                  <c:v>281461.8168</c:v>
                </c:pt>
                <c:pt idx="28">
                  <c:v>305736.8832</c:v>
                </c:pt>
                <c:pt idx="29">
                  <c:v>330011.9496</c:v>
                </c:pt>
                <c:pt idx="30">
                  <c:v>354287.016</c:v>
                </c:pt>
                <c:pt idx="31">
                  <c:v>379399.4424</c:v>
                </c:pt>
                <c:pt idx="32">
                  <c:v>404511.8688</c:v>
                </c:pt>
                <c:pt idx="33">
                  <c:v>429624.2952</c:v>
                </c:pt>
                <c:pt idx="34">
                  <c:v>454736.7216</c:v>
                </c:pt>
                <c:pt idx="35">
                  <c:v>479849.148</c:v>
                </c:pt>
                <c:pt idx="36">
                  <c:v>522253.0584</c:v>
                </c:pt>
                <c:pt idx="37">
                  <c:v>564656.9688</c:v>
                </c:pt>
                <c:pt idx="38">
                  <c:v>607060.8792000001</c:v>
                </c:pt>
                <c:pt idx="39">
                  <c:v>649464.7896</c:v>
                </c:pt>
                <c:pt idx="40">
                  <c:v>691868.7000000001</c:v>
                </c:pt>
                <c:pt idx="41">
                  <c:v>699840.3672</c:v>
                </c:pt>
                <c:pt idx="42">
                  <c:v>707812.0344000001</c:v>
                </c:pt>
                <c:pt idx="43">
                  <c:v>715783.7016</c:v>
                </c:pt>
                <c:pt idx="44">
                  <c:v>723755.3688</c:v>
                </c:pt>
                <c:pt idx="45">
                  <c:v>731727.036</c:v>
                </c:pt>
                <c:pt idx="46">
                  <c:v>731727.036</c:v>
                </c:pt>
                <c:pt idx="47">
                  <c:v>731727.036</c:v>
                </c:pt>
                <c:pt idx="48">
                  <c:v>731727.036</c:v>
                </c:pt>
                <c:pt idx="49">
                  <c:v>731727.036</c:v>
                </c:pt>
                <c:pt idx="50">
                  <c:v>731727.036</c:v>
                </c:pt>
              </c:numCache>
            </c:numRef>
          </c:val>
          <c:smooth val="0"/>
        </c:ser>
        <c:ser>
          <c:idx val="6"/>
          <c:order val="6"/>
          <c:tx>
            <c:strRef>
              <c:f>interpolation!$G$8</c:f>
              <c:strCache>
                <c:ptCount val="1"/>
                <c:pt idx="0">
                  <c:v>Woody biomass</c:v>
                </c:pt>
              </c:strCache>
            </c:strRef>
          </c:tx>
          <c:val>
            <c:numRef>
              <c:f>interpolation!$G$9:$G$59</c:f>
              <c:numCache>
                <c:formatCode>General</c:formatCode>
                <c:ptCount val="51"/>
                <c:pt idx="0">
                  <c:v>50173.22955600001</c:v>
                </c:pt>
                <c:pt idx="1">
                  <c:v>58046.40647280001</c:v>
                </c:pt>
                <c:pt idx="2">
                  <c:v>65919.58338960001</c:v>
                </c:pt>
                <c:pt idx="3">
                  <c:v>73792.76030640001</c:v>
                </c:pt>
                <c:pt idx="4">
                  <c:v>81665.93722320002</c:v>
                </c:pt>
                <c:pt idx="5">
                  <c:v>89539.11414000001</c:v>
                </c:pt>
                <c:pt idx="6">
                  <c:v>94833.14689440002</c:v>
                </c:pt>
                <c:pt idx="7">
                  <c:v>100127.1796488</c:v>
                </c:pt>
                <c:pt idx="8">
                  <c:v>105421.2124032</c:v>
                </c:pt>
                <c:pt idx="9">
                  <c:v>110715.2451576</c:v>
                </c:pt>
                <c:pt idx="10">
                  <c:v>116009.277912</c:v>
                </c:pt>
                <c:pt idx="11">
                  <c:v>123950.3270436</c:v>
                </c:pt>
                <c:pt idx="12">
                  <c:v>131891.3761752</c:v>
                </c:pt>
                <c:pt idx="13">
                  <c:v>139832.4253068</c:v>
                </c:pt>
                <c:pt idx="14">
                  <c:v>147773.4744384</c:v>
                </c:pt>
                <c:pt idx="15">
                  <c:v>155714.52357</c:v>
                </c:pt>
                <c:pt idx="16">
                  <c:v>166631.5082736</c:v>
                </c:pt>
                <c:pt idx="17">
                  <c:v>177548.4929772</c:v>
                </c:pt>
                <c:pt idx="18">
                  <c:v>188465.4776808</c:v>
                </c:pt>
                <c:pt idx="19">
                  <c:v>199382.4623844</c:v>
                </c:pt>
                <c:pt idx="20">
                  <c:v>210299.447088</c:v>
                </c:pt>
                <c:pt idx="21">
                  <c:v>211192.2277596</c:v>
                </c:pt>
                <c:pt idx="22">
                  <c:v>212085.0084312</c:v>
                </c:pt>
                <c:pt idx="23">
                  <c:v>212977.7891028</c:v>
                </c:pt>
                <c:pt idx="24">
                  <c:v>213870.5697744</c:v>
                </c:pt>
                <c:pt idx="25">
                  <c:v>214763.350446</c:v>
                </c:pt>
                <c:pt idx="26">
                  <c:v>213933.2210496</c:v>
                </c:pt>
                <c:pt idx="27">
                  <c:v>213103.0916532</c:v>
                </c:pt>
                <c:pt idx="28">
                  <c:v>212272.9622568</c:v>
                </c:pt>
                <c:pt idx="29">
                  <c:v>211442.8328604001</c:v>
                </c:pt>
                <c:pt idx="30">
                  <c:v>210612.703464</c:v>
                </c:pt>
                <c:pt idx="31">
                  <c:v>212471.3579616</c:v>
                </c:pt>
                <c:pt idx="32">
                  <c:v>214330.0124592001</c:v>
                </c:pt>
                <c:pt idx="33">
                  <c:v>216188.6669568</c:v>
                </c:pt>
                <c:pt idx="34">
                  <c:v>218047.3214544001</c:v>
                </c:pt>
                <c:pt idx="35">
                  <c:v>219905.975952</c:v>
                </c:pt>
                <c:pt idx="36">
                  <c:v>221754.1885704</c:v>
                </c:pt>
                <c:pt idx="37">
                  <c:v>223602.4011888</c:v>
                </c:pt>
                <c:pt idx="38">
                  <c:v>225450.6138072</c:v>
                </c:pt>
                <c:pt idx="39">
                  <c:v>227298.8264256</c:v>
                </c:pt>
                <c:pt idx="40">
                  <c:v>229147.039044</c:v>
                </c:pt>
                <c:pt idx="41">
                  <c:v>227878.3507212</c:v>
                </c:pt>
                <c:pt idx="42">
                  <c:v>226609.6623984</c:v>
                </c:pt>
                <c:pt idx="43">
                  <c:v>225340.9740756</c:v>
                </c:pt>
                <c:pt idx="44">
                  <c:v>224072.2857528</c:v>
                </c:pt>
                <c:pt idx="45">
                  <c:v>222803.59743</c:v>
                </c:pt>
                <c:pt idx="46">
                  <c:v>222359.817564</c:v>
                </c:pt>
                <c:pt idx="47">
                  <c:v>221916.037698</c:v>
                </c:pt>
                <c:pt idx="48">
                  <c:v>221472.257832</c:v>
                </c:pt>
                <c:pt idx="49">
                  <c:v>221028.477966</c:v>
                </c:pt>
                <c:pt idx="50">
                  <c:v>220584.6981</c:v>
                </c:pt>
              </c:numCache>
            </c:numRef>
          </c:val>
          <c:smooth val="0"/>
        </c:ser>
        <c:dLbls>
          <c:showLegendKey val="0"/>
          <c:showVal val="0"/>
          <c:showCatName val="0"/>
          <c:showSerName val="0"/>
          <c:showPercent val="0"/>
          <c:showBubbleSize val="0"/>
        </c:dLbls>
        <c:marker val="1"/>
        <c:smooth val="0"/>
        <c:axId val="-2133554776"/>
        <c:axId val="-2133557768"/>
      </c:lineChart>
      <c:catAx>
        <c:axId val="-2133554776"/>
        <c:scaling>
          <c:orientation val="minMax"/>
        </c:scaling>
        <c:delete val="0"/>
        <c:axPos val="b"/>
        <c:majorTickMark val="out"/>
        <c:minorTickMark val="none"/>
        <c:tickLblPos val="nextTo"/>
        <c:crossAx val="-2133557768"/>
        <c:crosses val="autoZero"/>
        <c:auto val="1"/>
        <c:lblAlgn val="ctr"/>
        <c:lblOffset val="100"/>
        <c:noMultiLvlLbl val="0"/>
      </c:catAx>
      <c:valAx>
        <c:axId val="-2133557768"/>
        <c:scaling>
          <c:orientation val="minMax"/>
        </c:scaling>
        <c:delete val="0"/>
        <c:axPos val="l"/>
        <c:majorGridlines/>
        <c:numFmt formatCode="General" sourceLinked="1"/>
        <c:majorTickMark val="out"/>
        <c:minorTickMark val="none"/>
        <c:tickLblPos val="nextTo"/>
        <c:crossAx val="-2133554776"/>
        <c:crosses val="autoZero"/>
        <c:crossBetween val="between"/>
      </c:valAx>
    </c:plotArea>
    <c:legend>
      <c:legendPos val="r"/>
      <c:layout/>
      <c:overlay val="0"/>
    </c:legend>
    <c:plotVisOnly val="1"/>
    <c:dispBlanksAs val="gap"/>
    <c:showDLblsOverMax val="0"/>
  </c:chart>
  <c:printSettings>
    <c:headerFooter/>
    <c:pageMargins b="1.0" l="0.75" r="0.75" t="1.0" header="0.5" footer="0.5"/>
    <c:pageSetup/>
  </c:printSettings>
</c:chartSpace>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0</xdr:colOff>
          <xdr:row>4</xdr:row>
          <xdr:rowOff>114300</xdr:rowOff>
        </xdr:from>
        <xdr:to>
          <xdr:col>12</xdr:col>
          <xdr:colOff>0</xdr:colOff>
          <xdr:row>5</xdr:row>
          <xdr:rowOff>101600</xdr:rowOff>
        </xdr:to>
        <xdr:sp macro="" textlink="">
          <xdr:nvSpPr>
            <xdr:cNvPr id="2049" name="Button 1" hidden="1">
              <a:extLst>
                <a:ext uri="{63B3BB69-23CF-44E3-9099-C40C66FF867C}">
                  <a14:compatExt spid="_x0000_s204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Lucida Grande"/>
                  <a:ea typeface="Lucida Grande"/>
                  <a:cs typeface="Lucida Grande"/>
                </a:rPr>
                <a:t>export timecurves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7</xdr:col>
      <xdr:colOff>152400</xdr:colOff>
      <xdr:row>1</xdr:row>
      <xdr:rowOff>12700</xdr:rowOff>
    </xdr:from>
    <xdr:to>
      <xdr:col>21</xdr:col>
      <xdr:colOff>12700</xdr:colOff>
      <xdr:row>37</xdr:row>
      <xdr:rowOff>127000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jorisberkhout/Projects/etdataset/analyses/3_primary_production_analysis.xlsx"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Cover sheet"/>
      <sheetName val="Changelog"/>
      <sheetName val="Contents"/>
      <sheetName val="Introduction"/>
      <sheetName val="Dataflow"/>
      <sheetName val="Assumptions"/>
      <sheetName val="Dashboard"/>
      <sheetName val="Corrected energy balance step 2"/>
      <sheetName val="Timecurves"/>
      <sheetName val="technical_specs"/>
      <sheetName val="Production analysis"/>
      <sheetName val="Greengas analysis"/>
      <sheetName val="Waste analysis"/>
      <sheetName val="Fuel aggregation"/>
      <sheetName val="csv_carrier_domestic_production"/>
      <sheetName val="csv_coal_time_curve"/>
      <sheetName val="csv_lignite_time_curve"/>
      <sheetName val="csv_natural_gas_time_curve"/>
      <sheetName val="csv_crude_oil_time_curve"/>
      <sheetName val="csv_uranium_oxide_time_curve"/>
      <sheetName val="csv_bio_residues_time_curve"/>
      <sheetName val="csv_energy_distribution_wood_pa"/>
      <sheetName val="csv_energy_distribution_waste_m"/>
    </sheetNames>
    <sheetDataSet>
      <sheetData sheetId="0"/>
      <sheetData sheetId="1"/>
      <sheetData sheetId="2"/>
      <sheetData sheetId="3"/>
      <sheetData sheetId="4"/>
      <sheetData sheetId="5"/>
      <sheetData sheetId="6">
        <row r="13">
          <cell r="E13" t="str">
            <v>uk</v>
          </cell>
        </row>
        <row r="14">
          <cell r="E14">
            <v>2012</v>
          </cell>
        </row>
      </sheetData>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6.xml.rels><?xml version="1.0" encoding="UTF-8" standalone="yes"?>
<Relationships xmlns="http://schemas.openxmlformats.org/package/2006/relationships"><Relationship Id="rId1" Type="http://schemas.openxmlformats.org/officeDocument/2006/relationships/drawing" Target="../drawings/drawing1.xml"/><Relationship Id="rId2" Type="http://schemas.openxmlformats.org/officeDocument/2006/relationships/vmlDrawing" Target="../drawings/vmlDrawing1.vml"/><Relationship Id="rId3"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enableFormatConditionsCalculation="0">
    <tabColor theme="2"/>
  </sheetPr>
  <dimension ref="B2:H39"/>
  <sheetViews>
    <sheetView workbookViewId="0">
      <selection activeCell="C6" sqref="C6"/>
    </sheetView>
  </sheetViews>
  <sheetFormatPr baseColWidth="10" defaultRowHeight="15" x14ac:dyDescent="0"/>
  <cols>
    <col min="1" max="1" width="10.83203125" style="16"/>
    <col min="2" max="2" width="13.33203125" style="16" customWidth="1"/>
    <col min="3" max="3" width="44" style="16" customWidth="1"/>
    <col min="4" max="13" width="10.83203125" style="16" customWidth="1"/>
    <col min="14" max="16384" width="10.83203125" style="16"/>
  </cols>
  <sheetData>
    <row r="2" spans="2:8" ht="20">
      <c r="B2" s="15" t="s">
        <v>24</v>
      </c>
    </row>
    <row r="4" spans="2:8">
      <c r="B4" s="17" t="s">
        <v>25</v>
      </c>
      <c r="C4" s="18" t="s">
        <v>49</v>
      </c>
      <c r="D4" s="19"/>
      <c r="F4" s="20"/>
      <c r="G4" s="21"/>
      <c r="H4" s="20"/>
    </row>
    <row r="5" spans="2:8">
      <c r="B5" s="22" t="s">
        <v>26</v>
      </c>
      <c r="C5" s="140">
        <f>MAX(Changelog!D:D)</f>
        <v>1</v>
      </c>
      <c r="D5" s="24"/>
      <c r="F5" s="21"/>
      <c r="G5" s="21"/>
      <c r="H5" s="21"/>
    </row>
    <row r="6" spans="2:8">
      <c r="B6" s="22" t="s">
        <v>27</v>
      </c>
      <c r="C6" s="23" t="s">
        <v>95</v>
      </c>
      <c r="D6" s="24"/>
      <c r="F6" s="21"/>
      <c r="G6" s="21"/>
      <c r="H6" s="21"/>
    </row>
    <row r="7" spans="2:8">
      <c r="B7" s="22" t="s">
        <v>28</v>
      </c>
      <c r="C7" s="23">
        <v>2012</v>
      </c>
      <c r="D7" s="24"/>
      <c r="F7" s="21"/>
      <c r="G7" s="21"/>
      <c r="H7" s="21"/>
    </row>
    <row r="8" spans="2:8">
      <c r="B8" s="22" t="s">
        <v>29</v>
      </c>
      <c r="C8" s="25">
        <f>MAX(Changelog!B:B)</f>
        <v>41794</v>
      </c>
      <c r="D8" s="24"/>
      <c r="F8" s="21"/>
      <c r="G8" s="21"/>
      <c r="H8" s="21"/>
    </row>
    <row r="9" spans="2:8">
      <c r="B9" s="22" t="s">
        <v>30</v>
      </c>
      <c r="C9" s="21" t="s">
        <v>76</v>
      </c>
      <c r="D9" s="24"/>
      <c r="F9" s="21"/>
      <c r="G9" s="21"/>
      <c r="H9" s="21"/>
    </row>
    <row r="10" spans="2:8">
      <c r="B10" s="26" t="s">
        <v>31</v>
      </c>
      <c r="C10" s="27" t="s">
        <v>32</v>
      </c>
      <c r="D10" s="28"/>
      <c r="F10" s="21"/>
      <c r="G10" s="21"/>
      <c r="H10" s="21"/>
    </row>
    <row r="12" spans="2:8">
      <c r="B12" s="17" t="s">
        <v>33</v>
      </c>
      <c r="C12" s="18"/>
      <c r="D12" s="19"/>
    </row>
    <row r="13" spans="2:8">
      <c r="B13" s="29"/>
      <c r="C13" s="21"/>
      <c r="D13" s="24"/>
    </row>
    <row r="14" spans="2:8">
      <c r="B14" s="29" t="s">
        <v>34</v>
      </c>
      <c r="C14" s="30" t="s">
        <v>35</v>
      </c>
      <c r="D14" s="24"/>
    </row>
    <row r="15" spans="2:8" ht="16" thickBot="1">
      <c r="B15" s="29"/>
      <c r="C15" s="20" t="s">
        <v>36</v>
      </c>
      <c r="D15" s="24"/>
    </row>
    <row r="16" spans="2:8" ht="16" thickBot="1">
      <c r="B16" s="29"/>
      <c r="C16" s="31" t="s">
        <v>37</v>
      </c>
      <c r="D16" s="24"/>
    </row>
    <row r="17" spans="2:4">
      <c r="B17" s="29"/>
      <c r="C17" s="21" t="s">
        <v>38</v>
      </c>
      <c r="D17" s="24"/>
    </row>
    <row r="18" spans="2:4">
      <c r="B18" s="29"/>
      <c r="C18" s="21"/>
      <c r="D18" s="24"/>
    </row>
    <row r="19" spans="2:4">
      <c r="B19" s="29" t="s">
        <v>39</v>
      </c>
      <c r="C19" s="32" t="s">
        <v>40</v>
      </c>
      <c r="D19" s="24"/>
    </row>
    <row r="20" spans="2:4">
      <c r="B20" s="29"/>
      <c r="C20" s="33" t="s">
        <v>41</v>
      </c>
      <c r="D20" s="24"/>
    </row>
    <row r="21" spans="2:4">
      <c r="B21" s="29"/>
      <c r="C21" s="34" t="s">
        <v>42</v>
      </c>
      <c r="D21" s="24"/>
    </row>
    <row r="22" spans="2:4">
      <c r="B22" s="29"/>
      <c r="C22" s="35" t="s">
        <v>43</v>
      </c>
      <c r="D22" s="24"/>
    </row>
    <row r="23" spans="2:4">
      <c r="B23" s="36"/>
      <c r="C23" s="37" t="s">
        <v>44</v>
      </c>
      <c r="D23" s="24"/>
    </row>
    <row r="24" spans="2:4">
      <c r="B24" s="36"/>
      <c r="C24" s="38" t="s">
        <v>45</v>
      </c>
      <c r="D24" s="24"/>
    </row>
    <row r="25" spans="2:4">
      <c r="B25" s="36"/>
      <c r="C25" s="39" t="s">
        <v>46</v>
      </c>
      <c r="D25" s="24"/>
    </row>
    <row r="26" spans="2:4">
      <c r="B26" s="36"/>
      <c r="C26" s="40" t="s">
        <v>47</v>
      </c>
      <c r="D26" s="24"/>
    </row>
    <row r="27" spans="2:4">
      <c r="B27" s="41"/>
      <c r="C27" s="27"/>
      <c r="D27" s="28"/>
    </row>
    <row r="29" spans="2:4">
      <c r="B29" s="17" t="s">
        <v>48</v>
      </c>
      <c r="C29" s="18"/>
      <c r="D29" s="19"/>
    </row>
    <row r="30" spans="2:4">
      <c r="B30" s="36"/>
      <c r="C30" s="21"/>
      <c r="D30" s="24"/>
    </row>
    <row r="31" spans="2:4">
      <c r="B31" s="36"/>
      <c r="C31" s="21"/>
      <c r="D31" s="24"/>
    </row>
    <row r="32" spans="2:4">
      <c r="B32" s="36"/>
      <c r="C32" s="21"/>
      <c r="D32" s="24"/>
    </row>
    <row r="33" spans="2:4">
      <c r="B33" s="36"/>
      <c r="C33" s="21"/>
      <c r="D33" s="24"/>
    </row>
    <row r="34" spans="2:4">
      <c r="B34" s="36"/>
      <c r="C34" s="21"/>
      <c r="D34" s="24"/>
    </row>
    <row r="35" spans="2:4">
      <c r="B35" s="36"/>
      <c r="C35" s="21"/>
      <c r="D35" s="24"/>
    </row>
    <row r="36" spans="2:4">
      <c r="B36" s="36"/>
      <c r="C36" s="21"/>
      <c r="D36" s="24"/>
    </row>
    <row r="37" spans="2:4">
      <c r="B37" s="36"/>
      <c r="C37" s="21"/>
      <c r="D37" s="24"/>
    </row>
    <row r="38" spans="2:4">
      <c r="B38" s="36"/>
      <c r="C38" s="21"/>
      <c r="D38" s="24"/>
    </row>
    <row r="39" spans="2:4">
      <c r="B39" s="41"/>
      <c r="C39" s="27"/>
      <c r="D39" s="28"/>
    </row>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enableFormatConditionsCalculation="0">
    <tabColor theme="2"/>
  </sheetPr>
  <dimension ref="B2:D45"/>
  <sheetViews>
    <sheetView workbookViewId="0"/>
  </sheetViews>
  <sheetFormatPr baseColWidth="10" defaultRowHeight="15" x14ac:dyDescent="0"/>
  <cols>
    <col min="1" max="1" width="10.83203125" style="16"/>
    <col min="2" max="2" width="17.6640625" style="16" bestFit="1" customWidth="1"/>
    <col min="3" max="3" width="59.5" style="16" customWidth="1"/>
    <col min="4" max="16384" width="10.83203125" style="16"/>
  </cols>
  <sheetData>
    <row r="2" spans="2:4" ht="20">
      <c r="B2" s="15" t="s">
        <v>50</v>
      </c>
    </row>
    <row r="4" spans="2:4">
      <c r="B4" s="42" t="s">
        <v>29</v>
      </c>
      <c r="C4" s="43" t="s">
        <v>51</v>
      </c>
      <c r="D4" s="44" t="s">
        <v>52</v>
      </c>
    </row>
    <row r="5" spans="2:4">
      <c r="B5" s="45"/>
      <c r="C5" s="20"/>
      <c r="D5" s="46"/>
    </row>
    <row r="6" spans="2:4">
      <c r="B6" s="47">
        <v>41794</v>
      </c>
      <c r="C6" s="48" t="s">
        <v>75</v>
      </c>
      <c r="D6" s="49">
        <v>1</v>
      </c>
    </row>
    <row r="7" spans="2:4">
      <c r="B7" s="50"/>
      <c r="C7" s="48"/>
      <c r="D7" s="49"/>
    </row>
    <row r="8" spans="2:4">
      <c r="B8" s="50"/>
      <c r="C8" s="48"/>
      <c r="D8" s="49"/>
    </row>
    <row r="9" spans="2:4">
      <c r="B9" s="50"/>
      <c r="C9" s="48"/>
      <c r="D9" s="49"/>
    </row>
    <row r="10" spans="2:4">
      <c r="B10" s="50"/>
      <c r="C10" s="48"/>
      <c r="D10" s="49"/>
    </row>
    <row r="11" spans="2:4">
      <c r="B11" s="50"/>
      <c r="C11" s="48"/>
      <c r="D11" s="49"/>
    </row>
    <row r="12" spans="2:4">
      <c r="B12" s="50"/>
      <c r="C12" s="48"/>
      <c r="D12" s="49"/>
    </row>
    <row r="13" spans="2:4">
      <c r="B13" s="50"/>
      <c r="C13" s="48"/>
      <c r="D13" s="49"/>
    </row>
    <row r="14" spans="2:4">
      <c r="B14" s="50"/>
      <c r="C14" s="51"/>
      <c r="D14" s="49"/>
    </row>
    <row r="15" spans="2:4">
      <c r="B15" s="50"/>
      <c r="C15" s="48"/>
      <c r="D15" s="49"/>
    </row>
    <row r="16" spans="2:4">
      <c r="B16" s="52"/>
      <c r="C16" s="53"/>
      <c r="D16" s="49"/>
    </row>
    <row r="17" spans="2:4">
      <c r="B17" s="50"/>
      <c r="C17" s="48"/>
      <c r="D17" s="49"/>
    </row>
    <row r="18" spans="2:4">
      <c r="B18" s="50"/>
      <c r="C18" s="51"/>
      <c r="D18" s="49"/>
    </row>
    <row r="19" spans="2:4">
      <c r="B19" s="50"/>
      <c r="C19" s="48"/>
      <c r="D19" s="49"/>
    </row>
    <row r="20" spans="2:4">
      <c r="B20" s="50"/>
      <c r="C20" s="48"/>
      <c r="D20" s="49"/>
    </row>
    <row r="21" spans="2:4">
      <c r="B21" s="50"/>
      <c r="C21" s="51"/>
      <c r="D21" s="49"/>
    </row>
    <row r="22" spans="2:4">
      <c r="B22" s="54"/>
      <c r="C22" s="53"/>
      <c r="D22" s="55"/>
    </row>
    <row r="23" spans="2:4">
      <c r="B23" s="54"/>
      <c r="C23" s="53"/>
      <c r="D23" s="55"/>
    </row>
    <row r="24" spans="2:4">
      <c r="B24" s="54"/>
      <c r="C24" s="53"/>
      <c r="D24" s="55"/>
    </row>
    <row r="25" spans="2:4">
      <c r="B25" s="54"/>
      <c r="C25" s="53"/>
      <c r="D25" s="55"/>
    </row>
    <row r="26" spans="2:4">
      <c r="B26" s="54"/>
      <c r="C26" s="53"/>
      <c r="D26" s="55"/>
    </row>
    <row r="27" spans="2:4">
      <c r="B27" s="54"/>
      <c r="C27" s="53"/>
      <c r="D27" s="55"/>
    </row>
    <row r="28" spans="2:4">
      <c r="B28" s="54"/>
      <c r="C28" s="53"/>
      <c r="D28" s="55"/>
    </row>
    <row r="29" spans="2:4">
      <c r="B29" s="54"/>
      <c r="C29" s="53"/>
      <c r="D29" s="55"/>
    </row>
    <row r="30" spans="2:4">
      <c r="B30" s="54"/>
      <c r="C30" s="53"/>
      <c r="D30" s="55"/>
    </row>
    <row r="31" spans="2:4">
      <c r="B31" s="56"/>
      <c r="C31" s="57"/>
      <c r="D31" s="58"/>
    </row>
    <row r="32" spans="2:4">
      <c r="B32" s="54"/>
      <c r="C32" s="53"/>
      <c r="D32" s="55"/>
    </row>
    <row r="33" spans="2:4">
      <c r="B33" s="54"/>
      <c r="C33" s="53"/>
      <c r="D33" s="55"/>
    </row>
    <row r="34" spans="2:4">
      <c r="B34" s="54"/>
      <c r="C34" s="53"/>
      <c r="D34" s="55"/>
    </row>
    <row r="35" spans="2:4">
      <c r="B35" s="54"/>
      <c r="C35" s="53"/>
      <c r="D35" s="55"/>
    </row>
    <row r="36" spans="2:4">
      <c r="B36" s="50"/>
      <c r="C36" s="48"/>
      <c r="D36" s="49"/>
    </row>
    <row r="37" spans="2:4">
      <c r="B37" s="59"/>
      <c r="C37" s="60"/>
      <c r="D37" s="61"/>
    </row>
    <row r="38" spans="2:4">
      <c r="D38" s="62"/>
    </row>
    <row r="39" spans="2:4">
      <c r="D39" s="62"/>
    </row>
    <row r="40" spans="2:4">
      <c r="D40" s="62"/>
    </row>
    <row r="41" spans="2:4">
      <c r="D41" s="62"/>
    </row>
    <row r="42" spans="2:4">
      <c r="D42" s="62"/>
    </row>
    <row r="43" spans="2:4">
      <c r="D43" s="62"/>
    </row>
    <row r="44" spans="2:4">
      <c r="D44" s="62"/>
    </row>
    <row r="45" spans="2:4">
      <c r="D45" s="62"/>
    </row>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enableFormatConditionsCalculation="0">
    <tabColor theme="2"/>
  </sheetPr>
  <dimension ref="B2:C13"/>
  <sheetViews>
    <sheetView workbookViewId="0"/>
  </sheetViews>
  <sheetFormatPr baseColWidth="10" defaultRowHeight="15" x14ac:dyDescent="0"/>
  <cols>
    <col min="1" max="1" width="8.6640625" style="16" customWidth="1"/>
    <col min="2" max="2" width="35.83203125" style="16" customWidth="1"/>
    <col min="3" max="3" width="100.83203125" style="16" customWidth="1"/>
    <col min="4" max="16384" width="10.83203125" style="16"/>
  </cols>
  <sheetData>
    <row r="2" spans="2:3" ht="20">
      <c r="B2" s="15" t="s">
        <v>53</v>
      </c>
    </row>
    <row r="4" spans="2:3" ht="30" customHeight="1">
      <c r="B4" s="63" t="s">
        <v>54</v>
      </c>
      <c r="C4" s="64" t="s">
        <v>55</v>
      </c>
    </row>
    <row r="5" spans="2:3" s="67" customFormat="1" ht="30" customHeight="1">
      <c r="B5" s="65" t="s">
        <v>24</v>
      </c>
      <c r="C5" s="66" t="s">
        <v>56</v>
      </c>
    </row>
    <row r="6" spans="2:3" s="67" customFormat="1" ht="30" customHeight="1">
      <c r="B6" s="68" t="s">
        <v>50</v>
      </c>
      <c r="C6" s="69" t="s">
        <v>57</v>
      </c>
    </row>
    <row r="7" spans="2:3" s="67" customFormat="1" ht="30" customHeight="1">
      <c r="B7" s="68" t="s">
        <v>53</v>
      </c>
      <c r="C7" s="66" t="s">
        <v>58</v>
      </c>
    </row>
    <row r="8" spans="2:3" s="67" customFormat="1" ht="30" customHeight="1">
      <c r="B8" s="68" t="s">
        <v>59</v>
      </c>
      <c r="C8" s="66" t="s">
        <v>60</v>
      </c>
    </row>
    <row r="9" spans="2:3" s="67" customFormat="1" ht="30" customHeight="1">
      <c r="B9" s="68" t="s">
        <v>18</v>
      </c>
      <c r="C9" s="66" t="s">
        <v>61</v>
      </c>
    </row>
    <row r="10" spans="2:3" s="67" customFormat="1" ht="30" customHeight="1">
      <c r="B10" s="70" t="s">
        <v>41</v>
      </c>
      <c r="C10" s="66" t="s">
        <v>62</v>
      </c>
    </row>
    <row r="11" spans="2:3" s="67" customFormat="1" ht="30" customHeight="1">
      <c r="B11" s="72" t="s">
        <v>80</v>
      </c>
      <c r="C11" s="66" t="s">
        <v>84</v>
      </c>
    </row>
    <row r="12" spans="2:3" s="67" customFormat="1" ht="30" customHeight="1">
      <c r="B12" s="72" t="s">
        <v>79</v>
      </c>
      <c r="C12" s="71" t="s">
        <v>85</v>
      </c>
    </row>
    <row r="13" spans="2:3" s="67" customFormat="1" ht="30" customHeight="1">
      <c r="B13" s="73" t="s">
        <v>77</v>
      </c>
      <c r="C13" s="66" t="s">
        <v>78</v>
      </c>
    </row>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enableFormatConditionsCalculation="0">
    <tabColor theme="2"/>
  </sheetPr>
  <dimension ref="B2:C30"/>
  <sheetViews>
    <sheetView workbookViewId="0"/>
  </sheetViews>
  <sheetFormatPr baseColWidth="10" defaultRowHeight="15" x14ac:dyDescent="0"/>
  <cols>
    <col min="1" max="1" width="10.83203125" style="16" customWidth="1"/>
    <col min="2" max="2" width="140.83203125" style="16" customWidth="1"/>
    <col min="3" max="3" width="20.33203125" style="16" customWidth="1"/>
    <col min="4" max="16384" width="10.83203125" style="16"/>
  </cols>
  <sheetData>
    <row r="2" spans="2:3" ht="20">
      <c r="B2" s="15" t="s">
        <v>59</v>
      </c>
    </row>
    <row r="4" spans="2:3">
      <c r="B4" s="74" t="s">
        <v>63</v>
      </c>
      <c r="C4" s="21"/>
    </row>
    <row r="5" spans="2:3">
      <c r="B5" s="75"/>
      <c r="C5" s="21"/>
    </row>
    <row r="6" spans="2:3">
      <c r="B6" s="76" t="s">
        <v>86</v>
      </c>
      <c r="C6" s="21"/>
    </row>
    <row r="7" spans="2:3">
      <c r="B7" s="77"/>
      <c r="C7" s="21"/>
    </row>
    <row r="8" spans="2:3" ht="15" customHeight="1">
      <c r="B8" s="78"/>
      <c r="C8" s="21"/>
    </row>
    <row r="9" spans="2:3" ht="15" customHeight="1">
      <c r="B9" s="74" t="s">
        <v>64</v>
      </c>
      <c r="C9" s="21"/>
    </row>
    <row r="10" spans="2:3" ht="15" customHeight="1">
      <c r="B10" s="75"/>
      <c r="C10" s="21"/>
    </row>
    <row r="11" spans="2:3" ht="15" customHeight="1">
      <c r="B11" s="79" t="s">
        <v>87</v>
      </c>
      <c r="C11" s="21"/>
    </row>
    <row r="12" spans="2:3" ht="15" customHeight="1">
      <c r="B12" s="79" t="s">
        <v>88</v>
      </c>
      <c r="C12" s="21"/>
    </row>
    <row r="13" spans="2:3" ht="15" customHeight="1">
      <c r="B13" s="79" t="s">
        <v>89</v>
      </c>
      <c r="C13" s="21"/>
    </row>
    <row r="14" spans="2:3" ht="15" customHeight="1">
      <c r="B14" s="79" t="s">
        <v>81</v>
      </c>
      <c r="C14" s="21"/>
    </row>
    <row r="15" spans="2:3" ht="15" customHeight="1">
      <c r="B15" s="79" t="s">
        <v>82</v>
      </c>
      <c r="C15" s="21"/>
    </row>
    <row r="16" spans="2:3" ht="15" customHeight="1">
      <c r="B16" s="80"/>
      <c r="C16" s="21"/>
    </row>
    <row r="17" spans="2:2">
      <c r="B17" s="81"/>
    </row>
    <row r="18" spans="2:2">
      <c r="B18" s="82" t="s">
        <v>65</v>
      </c>
    </row>
    <row r="19" spans="2:2">
      <c r="B19" s="83"/>
    </row>
    <row r="20" spans="2:2" ht="90">
      <c r="B20" s="84" t="s">
        <v>66</v>
      </c>
    </row>
    <row r="21" spans="2:2">
      <c r="B21" s="85"/>
    </row>
    <row r="24" spans="2:2" ht="15" customHeight="1"/>
    <row r="30" spans="2:2" ht="30" customHeight="1"/>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enableFormatConditionsCalculation="0">
    <tabColor theme="2"/>
  </sheetPr>
  <dimension ref="A2:F22"/>
  <sheetViews>
    <sheetView workbookViewId="0">
      <selection activeCell="C19" sqref="C19"/>
    </sheetView>
  </sheetViews>
  <sheetFormatPr baseColWidth="10" defaultRowHeight="15" x14ac:dyDescent="0"/>
  <cols>
    <col min="1" max="1" width="10.83203125" style="16"/>
    <col min="2" max="2" width="25.83203125" style="16" customWidth="1"/>
    <col min="3" max="4" width="75.83203125" style="16" customWidth="1"/>
    <col min="5" max="16384" width="10.83203125" style="16"/>
  </cols>
  <sheetData>
    <row r="2" spans="1:6" ht="20">
      <c r="B2" s="15" t="s">
        <v>18</v>
      </c>
      <c r="C2" s="15"/>
    </row>
    <row r="3" spans="1:6">
      <c r="A3" s="86"/>
      <c r="B3" s="86"/>
      <c r="C3" s="86"/>
      <c r="D3" s="86"/>
    </row>
    <row r="4" spans="1:6">
      <c r="A4" s="86"/>
      <c r="B4" s="87" t="s">
        <v>67</v>
      </c>
      <c r="C4" s="88"/>
      <c r="D4" s="86"/>
    </row>
    <row r="5" spans="1:6" ht="79" customHeight="1">
      <c r="A5" s="86"/>
      <c r="B5" s="155" t="s">
        <v>68</v>
      </c>
      <c r="C5" s="156"/>
      <c r="D5" s="86"/>
    </row>
    <row r="6" spans="1:6" ht="16" thickBot="1">
      <c r="A6" s="86"/>
      <c r="B6" s="86"/>
      <c r="C6" s="86"/>
      <c r="D6" s="86"/>
    </row>
    <row r="7" spans="1:6">
      <c r="A7" s="86"/>
      <c r="B7" s="89" t="s">
        <v>69</v>
      </c>
      <c r="C7" s="90"/>
      <c r="D7" s="91"/>
    </row>
    <row r="8" spans="1:6">
      <c r="A8" s="86"/>
      <c r="B8" s="92"/>
      <c r="C8" s="93"/>
      <c r="D8" s="94"/>
      <c r="F8" s="95"/>
    </row>
    <row r="9" spans="1:6">
      <c r="A9" s="86"/>
      <c r="B9" s="96" t="s">
        <v>70</v>
      </c>
      <c r="C9" s="97" t="s">
        <v>71</v>
      </c>
      <c r="D9" s="98" t="s">
        <v>72</v>
      </c>
    </row>
    <row r="10" spans="1:6">
      <c r="A10" s="86"/>
      <c r="B10" s="99"/>
      <c r="C10" s="100"/>
      <c r="D10" s="101"/>
    </row>
    <row r="11" spans="1:6" ht="30">
      <c r="B11" s="104"/>
      <c r="C11" s="103" t="s">
        <v>90</v>
      </c>
      <c r="D11" s="105"/>
      <c r="F11" s="106"/>
    </row>
    <row r="12" spans="1:6">
      <c r="B12" s="104"/>
      <c r="C12" s="103"/>
      <c r="D12" s="105"/>
      <c r="F12" s="106"/>
    </row>
    <row r="13" spans="1:6" ht="16" thickBot="1">
      <c r="B13" s="107"/>
      <c r="C13" s="108"/>
      <c r="D13" s="109"/>
    </row>
    <row r="14" spans="1:6" ht="16" thickBot="1">
      <c r="B14" s="86"/>
      <c r="C14" s="86"/>
      <c r="D14" s="86"/>
    </row>
    <row r="15" spans="1:6">
      <c r="B15" s="89" t="s">
        <v>73</v>
      </c>
      <c r="C15" s="90"/>
      <c r="D15" s="91"/>
    </row>
    <row r="16" spans="1:6">
      <c r="B16" s="92"/>
      <c r="C16" s="93"/>
      <c r="D16" s="94"/>
    </row>
    <row r="17" spans="2:4">
      <c r="B17" s="96" t="s">
        <v>70</v>
      </c>
      <c r="C17" s="97" t="s">
        <v>71</v>
      </c>
      <c r="D17" s="98" t="s">
        <v>74</v>
      </c>
    </row>
    <row r="18" spans="2:4">
      <c r="B18" s="99"/>
      <c r="C18" s="110"/>
      <c r="D18" s="101"/>
    </row>
    <row r="19" spans="2:4">
      <c r="B19" s="102"/>
      <c r="C19" s="103" t="s">
        <v>97</v>
      </c>
      <c r="D19" s="105"/>
    </row>
    <row r="20" spans="2:4">
      <c r="B20" s="102"/>
      <c r="C20" s="111"/>
      <c r="D20" s="112"/>
    </row>
    <row r="21" spans="2:4" ht="16" thickBot="1">
      <c r="B21" s="113"/>
      <c r="C21" s="114"/>
      <c r="D21" s="115"/>
    </row>
    <row r="22" spans="2:4">
      <c r="B22" s="86"/>
      <c r="C22" s="86"/>
      <c r="D22" s="86"/>
    </row>
  </sheetData>
  <mergeCells count="1">
    <mergeCell ref="B5:C5"/>
  </mergeCells>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enableFormatConditionsCalculation="0">
    <tabColor rgb="FFFFFF00"/>
  </sheetPr>
  <dimension ref="B1:N33"/>
  <sheetViews>
    <sheetView tabSelected="1" workbookViewId="0">
      <selection activeCell="F15" sqref="F15"/>
    </sheetView>
  </sheetViews>
  <sheetFormatPr baseColWidth="10" defaultRowHeight="15" x14ac:dyDescent="0"/>
  <cols>
    <col min="2" max="2" width="28.6640625" customWidth="1"/>
  </cols>
  <sheetData>
    <row r="1" spans="2:14" s="16" customFormat="1">
      <c r="D1" s="116"/>
      <c r="E1" s="86"/>
      <c r="F1" s="86"/>
      <c r="G1" s="86"/>
      <c r="H1" s="86"/>
      <c r="I1" s="86"/>
    </row>
    <row r="2" spans="2:14" s="16" customFormat="1" ht="20">
      <c r="B2" s="15" t="s">
        <v>41</v>
      </c>
      <c r="D2" s="116"/>
      <c r="E2" s="86"/>
      <c r="F2" s="86"/>
      <c r="G2" s="86"/>
      <c r="H2" s="86"/>
      <c r="I2" s="86"/>
      <c r="K2" s="123"/>
      <c r="L2" s="20"/>
      <c r="M2" s="21"/>
    </row>
    <row r="3" spans="2:14" s="16" customFormat="1" ht="15" customHeight="1">
      <c r="B3" s="117"/>
      <c r="C3" s="86"/>
      <c r="D3" s="118"/>
      <c r="E3" s="86"/>
      <c r="F3" s="86"/>
      <c r="G3" s="86"/>
      <c r="H3" s="86"/>
      <c r="I3" s="86"/>
      <c r="J3" s="86"/>
      <c r="K3" s="124"/>
      <c r="L3" s="21"/>
      <c r="M3" s="21"/>
    </row>
    <row r="4" spans="2:14" s="16" customFormat="1" ht="15" customHeight="1">
      <c r="B4" s="119" t="s">
        <v>67</v>
      </c>
      <c r="C4" s="120"/>
      <c r="D4" s="120"/>
      <c r="E4" s="120"/>
      <c r="F4" s="120"/>
      <c r="G4" s="121"/>
      <c r="H4" s="93"/>
      <c r="I4" s="93"/>
      <c r="J4" s="86"/>
      <c r="K4" s="125"/>
      <c r="L4" s="21"/>
      <c r="M4" s="21"/>
    </row>
    <row r="5" spans="2:14" s="16" customFormat="1" ht="15" customHeight="1">
      <c r="B5" s="157" t="s">
        <v>91</v>
      </c>
      <c r="C5" s="158"/>
      <c r="D5" s="158"/>
      <c r="E5" s="158"/>
      <c r="F5" s="158"/>
      <c r="G5" s="159"/>
      <c r="H5" s="122"/>
      <c r="I5" s="122"/>
      <c r="J5" s="86"/>
      <c r="K5" s="126"/>
      <c r="L5" s="21"/>
      <c r="M5" s="21"/>
    </row>
    <row r="6" spans="2:14" s="16" customFormat="1">
      <c r="B6" s="157"/>
      <c r="C6" s="158"/>
      <c r="D6" s="158"/>
      <c r="E6" s="158"/>
      <c r="F6" s="158"/>
      <c r="G6" s="159"/>
      <c r="H6" s="122"/>
      <c r="I6" s="122"/>
      <c r="J6" s="86"/>
      <c r="K6" s="126"/>
      <c r="L6" s="21"/>
      <c r="M6" s="21"/>
    </row>
    <row r="7" spans="2:14" s="16" customFormat="1">
      <c r="B7" s="155"/>
      <c r="C7" s="160"/>
      <c r="D7" s="160"/>
      <c r="E7" s="160"/>
      <c r="F7" s="160"/>
      <c r="G7" s="156"/>
      <c r="H7" s="122"/>
      <c r="I7" s="122"/>
      <c r="J7" s="86"/>
      <c r="K7" s="126"/>
      <c r="L7" s="21"/>
      <c r="M7" s="21"/>
    </row>
    <row r="8" spans="2:14" s="16" customFormat="1" ht="15" customHeight="1" thickBot="1">
      <c r="D8" s="116"/>
      <c r="E8" s="86"/>
      <c r="F8" s="86"/>
      <c r="G8" s="86"/>
      <c r="H8" s="86"/>
      <c r="I8" s="86"/>
    </row>
    <row r="9" spans="2:14">
      <c r="B9" s="143" t="s">
        <v>18</v>
      </c>
      <c r="C9" s="127"/>
      <c r="D9" s="127"/>
      <c r="E9" s="127"/>
      <c r="F9" s="144" t="s">
        <v>83</v>
      </c>
      <c r="G9" s="127"/>
      <c r="H9" s="127"/>
      <c r="I9" s="127"/>
      <c r="J9" s="127"/>
      <c r="K9" s="127"/>
      <c r="L9" s="127"/>
      <c r="M9" s="127"/>
      <c r="N9" s="128"/>
    </row>
    <row r="10" spans="2:14" ht="16" thickBot="1">
      <c r="B10" s="129"/>
      <c r="C10" s="130"/>
      <c r="D10" s="130"/>
      <c r="E10" s="130"/>
      <c r="F10" s="130"/>
      <c r="G10" s="130"/>
      <c r="H10" s="130"/>
      <c r="I10" s="130"/>
      <c r="J10" s="130"/>
      <c r="K10" s="130"/>
      <c r="L10" s="130"/>
      <c r="M10" s="130"/>
      <c r="N10" s="131"/>
    </row>
    <row r="11" spans="2:14" ht="15" customHeight="1" thickBot="1">
      <c r="B11" s="129" t="s">
        <v>21</v>
      </c>
      <c r="D11" s="13">
        <v>1</v>
      </c>
      <c r="E11" s="130"/>
      <c r="F11" s="141" t="s">
        <v>94</v>
      </c>
      <c r="G11" s="130"/>
      <c r="H11" s="130"/>
      <c r="I11" s="130"/>
      <c r="J11" s="130"/>
      <c r="K11" s="130"/>
      <c r="L11" s="130"/>
      <c r="M11" s="130"/>
      <c r="N11" s="131"/>
    </row>
    <row r="12" spans="2:14" ht="15" customHeight="1" thickBot="1">
      <c r="B12" s="129" t="s">
        <v>22</v>
      </c>
      <c r="D12" s="13">
        <v>0</v>
      </c>
      <c r="E12" s="130"/>
      <c r="F12" s="142" t="s">
        <v>94</v>
      </c>
      <c r="G12" s="130"/>
      <c r="H12" s="130"/>
      <c r="I12" s="130"/>
      <c r="J12" s="130"/>
      <c r="K12" s="130"/>
      <c r="L12" s="130"/>
      <c r="M12" s="130"/>
      <c r="N12" s="131"/>
    </row>
    <row r="13" spans="2:14" ht="16" thickBot="1">
      <c r="B13" s="129"/>
      <c r="D13" s="14"/>
      <c r="E13" s="130"/>
      <c r="F13" s="130"/>
      <c r="G13" s="130"/>
      <c r="H13" s="130"/>
      <c r="I13" s="130"/>
      <c r="J13" s="130"/>
      <c r="K13" s="130"/>
      <c r="L13" s="130"/>
      <c r="M13" s="130"/>
      <c r="N13" s="131"/>
    </row>
    <row r="14" spans="2:14" ht="16" thickBot="1">
      <c r="B14" s="129" t="s">
        <v>23</v>
      </c>
      <c r="D14" s="13">
        <v>0.62350000000000005</v>
      </c>
      <c r="E14" s="130"/>
      <c r="F14" s="142" t="s">
        <v>96</v>
      </c>
      <c r="G14" s="130"/>
      <c r="H14" s="130"/>
      <c r="I14" s="130"/>
      <c r="J14" s="130"/>
      <c r="K14" s="130"/>
      <c r="L14" s="130"/>
      <c r="M14" s="130"/>
      <c r="N14" s="131"/>
    </row>
    <row r="15" spans="2:14">
      <c r="B15" s="129"/>
      <c r="D15" s="130"/>
      <c r="E15" s="130"/>
      <c r="F15" s="130"/>
      <c r="G15" s="130"/>
      <c r="H15" s="130"/>
      <c r="I15" s="130"/>
      <c r="J15" s="130"/>
      <c r="K15" s="130"/>
      <c r="L15" s="130"/>
      <c r="M15" s="130"/>
      <c r="N15" s="131"/>
    </row>
    <row r="16" spans="2:14">
      <c r="B16" s="129" t="s">
        <v>20</v>
      </c>
      <c r="D16" s="130">
        <v>41.868000000000002</v>
      </c>
      <c r="E16" s="130"/>
      <c r="F16" s="130"/>
      <c r="G16" s="130"/>
      <c r="H16" s="130"/>
      <c r="I16" s="130"/>
      <c r="J16" s="130"/>
      <c r="K16" s="130"/>
      <c r="L16" s="130"/>
      <c r="M16" s="130"/>
      <c r="N16" s="131"/>
    </row>
    <row r="17" spans="2:14">
      <c r="B17" s="129"/>
      <c r="C17" s="130"/>
      <c r="D17" s="130"/>
      <c r="E17" s="130"/>
      <c r="F17" s="130"/>
      <c r="G17" s="130"/>
      <c r="H17" s="130"/>
      <c r="I17" s="130"/>
      <c r="J17" s="130"/>
      <c r="K17" s="130"/>
      <c r="L17" s="130"/>
      <c r="M17" s="130"/>
      <c r="N17" s="131"/>
    </row>
    <row r="18" spans="2:14">
      <c r="B18" s="129"/>
      <c r="C18" s="130"/>
      <c r="D18" s="130"/>
      <c r="E18" s="130"/>
      <c r="F18" s="130"/>
      <c r="G18" s="130"/>
      <c r="H18" s="130"/>
      <c r="I18" s="130"/>
      <c r="J18" s="130"/>
      <c r="K18" s="130"/>
      <c r="L18" s="130"/>
      <c r="M18" s="130"/>
      <c r="N18" s="131"/>
    </row>
    <row r="19" spans="2:14">
      <c r="B19" s="132" t="s">
        <v>7</v>
      </c>
      <c r="C19" s="133">
        <v>2000</v>
      </c>
      <c r="D19" s="133">
        <v>2005</v>
      </c>
      <c r="E19" s="133">
        <v>2010</v>
      </c>
      <c r="F19" s="133">
        <v>2015</v>
      </c>
      <c r="G19" s="133">
        <v>2020</v>
      </c>
      <c r="H19" s="133">
        <v>2025</v>
      </c>
      <c r="I19" s="133">
        <v>2030</v>
      </c>
      <c r="J19" s="133">
        <v>2035</v>
      </c>
      <c r="K19" s="133">
        <v>2040</v>
      </c>
      <c r="L19" s="133">
        <v>2045</v>
      </c>
      <c r="M19" s="133">
        <v>2050</v>
      </c>
      <c r="N19" s="131"/>
    </row>
    <row r="20" spans="2:14" ht="16" thickBot="1">
      <c r="B20" s="134"/>
      <c r="C20" s="3"/>
      <c r="D20" s="3"/>
      <c r="E20" s="3"/>
      <c r="F20" s="3"/>
      <c r="G20" s="3"/>
      <c r="H20" s="3"/>
      <c r="I20" s="3"/>
      <c r="J20" s="3"/>
      <c r="K20" s="3"/>
      <c r="L20" s="3"/>
      <c r="M20" s="3"/>
      <c r="N20" s="131"/>
    </row>
    <row r="21" spans="2:14">
      <c r="B21" s="132" t="s">
        <v>8</v>
      </c>
      <c r="C21" s="4">
        <v>270137</v>
      </c>
      <c r="D21" s="5">
        <v>204270</v>
      </c>
      <c r="E21" s="5">
        <v>148109</v>
      </c>
      <c r="F21" s="5">
        <v>130226</v>
      </c>
      <c r="G21" s="5">
        <v>111180</v>
      </c>
      <c r="H21" s="5">
        <v>95544</v>
      </c>
      <c r="I21" s="5">
        <v>82429</v>
      </c>
      <c r="J21" s="5">
        <v>74225</v>
      </c>
      <c r="K21" s="5">
        <v>69447</v>
      </c>
      <c r="L21" s="5">
        <v>60779</v>
      </c>
      <c r="M21" s="6">
        <v>54307</v>
      </c>
      <c r="N21" s="131"/>
    </row>
    <row r="22" spans="2:14">
      <c r="B22" s="135" t="s">
        <v>9</v>
      </c>
      <c r="C22" s="7">
        <v>18658</v>
      </c>
      <c r="D22" s="8">
        <v>11899</v>
      </c>
      <c r="E22" s="8">
        <v>10751</v>
      </c>
      <c r="F22" s="8">
        <v>11394</v>
      </c>
      <c r="G22" s="8">
        <v>9983</v>
      </c>
      <c r="H22" s="8">
        <v>11182</v>
      </c>
      <c r="I22" s="8">
        <v>5917</v>
      </c>
      <c r="J22" s="8">
        <v>4425</v>
      </c>
      <c r="K22" s="8">
        <v>3794</v>
      </c>
      <c r="L22" s="8">
        <v>3485</v>
      </c>
      <c r="M22" s="9">
        <v>2669</v>
      </c>
      <c r="N22" s="131"/>
    </row>
    <row r="23" spans="2:14">
      <c r="B23" s="135" t="s">
        <v>10</v>
      </c>
      <c r="C23" s="7">
        <v>129530</v>
      </c>
      <c r="D23" s="8">
        <v>87786</v>
      </c>
      <c r="E23" s="8">
        <v>64141</v>
      </c>
      <c r="F23" s="8">
        <v>50743</v>
      </c>
      <c r="G23" s="8">
        <v>39815</v>
      </c>
      <c r="H23" s="8">
        <v>30831</v>
      </c>
      <c r="I23" s="8">
        <v>23832</v>
      </c>
      <c r="J23" s="8">
        <v>17758</v>
      </c>
      <c r="K23" s="8">
        <v>12274</v>
      </c>
      <c r="L23" s="8">
        <v>6812</v>
      </c>
      <c r="M23" s="9">
        <v>2536</v>
      </c>
      <c r="N23" s="131"/>
    </row>
    <row r="24" spans="2:14">
      <c r="B24" s="135" t="s">
        <v>3</v>
      </c>
      <c r="C24" s="7">
        <v>97554</v>
      </c>
      <c r="D24" s="8">
        <v>79397</v>
      </c>
      <c r="E24" s="8">
        <v>51468</v>
      </c>
      <c r="F24" s="8">
        <v>41748</v>
      </c>
      <c r="G24" s="8">
        <v>32705</v>
      </c>
      <c r="H24" s="8">
        <v>25095</v>
      </c>
      <c r="I24" s="8">
        <v>19580</v>
      </c>
      <c r="J24" s="8">
        <v>13514</v>
      </c>
      <c r="K24" s="8">
        <v>8638</v>
      </c>
      <c r="L24" s="8">
        <v>4413</v>
      </c>
      <c r="M24" s="9">
        <v>1739</v>
      </c>
      <c r="N24" s="131"/>
    </row>
    <row r="25" spans="2:14">
      <c r="B25" s="135" t="s">
        <v>11</v>
      </c>
      <c r="C25" s="7">
        <v>21942</v>
      </c>
      <c r="D25" s="8">
        <v>21054</v>
      </c>
      <c r="E25" s="8">
        <v>16029</v>
      </c>
      <c r="F25" s="8">
        <v>16255</v>
      </c>
      <c r="G25" s="8">
        <v>7941</v>
      </c>
      <c r="H25" s="8">
        <v>5563</v>
      </c>
      <c r="I25" s="8">
        <v>8462</v>
      </c>
      <c r="J25" s="8">
        <v>11461</v>
      </c>
      <c r="K25" s="8">
        <v>16525</v>
      </c>
      <c r="L25" s="8">
        <v>17477</v>
      </c>
      <c r="M25" s="9">
        <v>17477</v>
      </c>
      <c r="N25" s="131"/>
    </row>
    <row r="26" spans="2:14">
      <c r="B26" s="135" t="s">
        <v>12</v>
      </c>
      <c r="C26" s="7">
        <v>2453</v>
      </c>
      <c r="D26" s="8">
        <v>4134</v>
      </c>
      <c r="E26" s="8">
        <v>5720</v>
      </c>
      <c r="F26" s="8">
        <v>10086</v>
      </c>
      <c r="G26" s="8">
        <v>20736</v>
      </c>
      <c r="H26" s="8">
        <v>22873</v>
      </c>
      <c r="I26" s="8">
        <v>24638</v>
      </c>
      <c r="J26" s="8">
        <v>27067</v>
      </c>
      <c r="K26" s="8">
        <v>28217</v>
      </c>
      <c r="L26" s="8">
        <v>28591</v>
      </c>
      <c r="M26" s="9">
        <v>29884</v>
      </c>
      <c r="N26" s="131"/>
    </row>
    <row r="27" spans="2:14">
      <c r="B27" s="136" t="s">
        <v>13</v>
      </c>
      <c r="C27" s="7">
        <v>437</v>
      </c>
      <c r="D27" s="8">
        <v>423</v>
      </c>
      <c r="E27" s="8">
        <v>310</v>
      </c>
      <c r="F27" s="8">
        <v>465</v>
      </c>
      <c r="G27" s="8">
        <v>464</v>
      </c>
      <c r="H27" s="8">
        <v>463</v>
      </c>
      <c r="I27" s="8">
        <v>464</v>
      </c>
      <c r="J27" s="8">
        <v>463</v>
      </c>
      <c r="K27" s="8">
        <v>463</v>
      </c>
      <c r="L27" s="8">
        <v>464</v>
      </c>
      <c r="M27" s="9">
        <v>463</v>
      </c>
      <c r="N27" s="131"/>
    </row>
    <row r="28" spans="2:14">
      <c r="B28" s="136" t="s">
        <v>14</v>
      </c>
      <c r="C28" s="7">
        <v>1922</v>
      </c>
      <c r="D28" s="8">
        <v>3430</v>
      </c>
      <c r="E28" s="8">
        <v>4444</v>
      </c>
      <c r="F28" s="8">
        <v>5965</v>
      </c>
      <c r="G28" s="8">
        <v>8056</v>
      </c>
      <c r="H28" s="8">
        <v>8227</v>
      </c>
      <c r="I28" s="8">
        <v>8068</v>
      </c>
      <c r="J28" s="8">
        <v>8424</v>
      </c>
      <c r="K28" s="8">
        <v>8778</v>
      </c>
      <c r="L28" s="8">
        <v>8535</v>
      </c>
      <c r="M28" s="9">
        <v>8450</v>
      </c>
      <c r="N28" s="131"/>
    </row>
    <row r="29" spans="2:14">
      <c r="B29" s="136" t="s">
        <v>15</v>
      </c>
      <c r="C29" s="7">
        <v>81</v>
      </c>
      <c r="D29" s="8">
        <v>250</v>
      </c>
      <c r="E29" s="8">
        <v>876</v>
      </c>
      <c r="F29" s="8">
        <v>2848</v>
      </c>
      <c r="G29" s="8">
        <v>9857</v>
      </c>
      <c r="H29" s="8">
        <v>11305</v>
      </c>
      <c r="I29" s="8">
        <v>13058</v>
      </c>
      <c r="J29" s="8">
        <v>14977</v>
      </c>
      <c r="K29" s="8">
        <v>15952</v>
      </c>
      <c r="L29" s="8">
        <v>16168</v>
      </c>
      <c r="M29" s="9">
        <v>17573</v>
      </c>
      <c r="N29" s="131"/>
    </row>
    <row r="30" spans="2:14">
      <c r="B30" s="136" t="s">
        <v>16</v>
      </c>
      <c r="C30" s="7">
        <v>11</v>
      </c>
      <c r="D30" s="8">
        <v>30</v>
      </c>
      <c r="E30" s="8">
        <v>90</v>
      </c>
      <c r="F30" s="8">
        <v>803</v>
      </c>
      <c r="G30" s="8">
        <v>2317</v>
      </c>
      <c r="H30" s="8">
        <v>2786</v>
      </c>
      <c r="I30" s="8">
        <v>2907</v>
      </c>
      <c r="J30" s="8">
        <v>3018</v>
      </c>
      <c r="K30" s="8">
        <v>2814</v>
      </c>
      <c r="L30" s="8">
        <v>3199</v>
      </c>
      <c r="M30" s="9">
        <v>3159</v>
      </c>
      <c r="N30" s="131"/>
    </row>
    <row r="31" spans="2:14" ht="16" thickBot="1">
      <c r="B31" s="136" t="s">
        <v>17</v>
      </c>
      <c r="C31" s="10">
        <v>1</v>
      </c>
      <c r="D31" s="11">
        <v>1</v>
      </c>
      <c r="E31" s="11">
        <v>1</v>
      </c>
      <c r="F31" s="11">
        <v>5</v>
      </c>
      <c r="G31" s="11">
        <v>42</v>
      </c>
      <c r="H31" s="11">
        <v>93</v>
      </c>
      <c r="I31" s="11">
        <v>143</v>
      </c>
      <c r="J31" s="11">
        <v>185</v>
      </c>
      <c r="K31" s="11">
        <v>210</v>
      </c>
      <c r="L31" s="11">
        <v>226</v>
      </c>
      <c r="M31" s="12">
        <v>239</v>
      </c>
      <c r="N31" s="131"/>
    </row>
    <row r="32" spans="2:14">
      <c r="B32" s="129"/>
      <c r="C32" s="130"/>
      <c r="D32" s="130"/>
      <c r="E32" s="130"/>
      <c r="F32" s="130"/>
      <c r="G32" s="130"/>
      <c r="H32" s="130"/>
      <c r="I32" s="130"/>
      <c r="J32" s="130"/>
      <c r="K32" s="130"/>
      <c r="L32" s="130"/>
      <c r="M32" s="130"/>
      <c r="N32" s="131"/>
    </row>
    <row r="33" spans="2:14" ht="16" thickBot="1">
      <c r="B33" s="137"/>
      <c r="C33" s="138"/>
      <c r="D33" s="138"/>
      <c r="E33" s="138"/>
      <c r="F33" s="138"/>
      <c r="G33" s="138"/>
      <c r="H33" s="138"/>
      <c r="I33" s="138"/>
      <c r="J33" s="138"/>
      <c r="K33" s="138"/>
      <c r="L33" s="138"/>
      <c r="M33" s="138"/>
      <c r="N33" s="139"/>
    </row>
  </sheetData>
  <mergeCells count="1">
    <mergeCell ref="B5:G7"/>
  </mergeCells>
  <pageMargins left="0.75" right="0.75" top="1" bottom="1" header="0.5" footer="0.5"/>
  <pageSetup paperSize="9" orientation="portrait" horizontalDpi="4294967292" verticalDpi="4294967292"/>
  <drawing r:id="rId1"/>
  <legacyDrawing r:id="rId2"/>
  <mc:AlternateContent xmlns:mc="http://schemas.openxmlformats.org/markup-compatibility/2006">
    <mc:Choice Requires="x14">
      <controls>
        <mc:AlternateContent xmlns:mc="http://schemas.openxmlformats.org/markup-compatibility/2006">
          <mc:Choice Requires="x14">
            <control shapeId="2049" r:id="rId3" name="Button 1">
              <controlPr defaultSize="0" print="0" autoFill="0" autoPict="0" macro="[0]!export_timecurves">
                <anchor moveWithCells="1" sizeWithCells="1">
                  <from>
                    <xdr:col>8</xdr:col>
                    <xdr:colOff>0</xdr:colOff>
                    <xdr:row>4</xdr:row>
                    <xdr:rowOff>114300</xdr:rowOff>
                  </from>
                  <to>
                    <xdr:col>12</xdr:col>
                    <xdr:colOff>0</xdr:colOff>
                    <xdr:row>5</xdr:row>
                    <xdr:rowOff>101600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enableFormatConditionsCalculation="0">
    <tabColor theme="8" tint="0.39997558519241921"/>
  </sheetPr>
  <dimension ref="B2:M20"/>
  <sheetViews>
    <sheetView workbookViewId="0">
      <selection activeCell="B18" sqref="B18"/>
    </sheetView>
  </sheetViews>
  <sheetFormatPr baseColWidth="10" defaultRowHeight="15" x14ac:dyDescent="0"/>
  <cols>
    <col min="2" max="2" width="37.83203125" customWidth="1"/>
  </cols>
  <sheetData>
    <row r="2" spans="2:13" s="16" customFormat="1" ht="15" customHeight="1">
      <c r="B2" s="119" t="s">
        <v>67</v>
      </c>
      <c r="C2" s="120"/>
      <c r="D2" s="120"/>
      <c r="E2" s="120"/>
      <c r="F2" s="120"/>
      <c r="G2" s="121"/>
      <c r="H2" s="93"/>
      <c r="I2" s="93"/>
      <c r="J2" s="86"/>
      <c r="K2" s="125"/>
      <c r="L2" s="21"/>
      <c r="M2" s="21"/>
    </row>
    <row r="3" spans="2:13" s="16" customFormat="1" ht="15" customHeight="1">
      <c r="B3" s="157" t="s">
        <v>92</v>
      </c>
      <c r="C3" s="158"/>
      <c r="D3" s="158"/>
      <c r="E3" s="158"/>
      <c r="F3" s="158"/>
      <c r="G3" s="159"/>
      <c r="H3" s="122"/>
      <c r="I3" s="122"/>
      <c r="J3" s="86"/>
      <c r="K3" s="126"/>
      <c r="L3" s="21"/>
      <c r="M3" s="21"/>
    </row>
    <row r="4" spans="2:13" s="16" customFormat="1">
      <c r="B4" s="157"/>
      <c r="C4" s="158"/>
      <c r="D4" s="158"/>
      <c r="E4" s="158"/>
      <c r="F4" s="158"/>
      <c r="G4" s="159"/>
      <c r="H4" s="122"/>
      <c r="I4" s="122"/>
      <c r="J4" s="86"/>
      <c r="K4" s="126"/>
      <c r="L4" s="21"/>
      <c r="M4" s="21"/>
    </row>
    <row r="5" spans="2:13" s="16" customFormat="1">
      <c r="B5" s="155"/>
      <c r="C5" s="160"/>
      <c r="D5" s="160"/>
      <c r="E5" s="160"/>
      <c r="F5" s="160"/>
      <c r="G5" s="156"/>
      <c r="H5" s="122"/>
      <c r="I5" s="122"/>
      <c r="J5" s="86"/>
      <c r="K5" s="126"/>
      <c r="L5" s="21"/>
      <c r="M5" s="21"/>
    </row>
    <row r="6" spans="2:13">
      <c r="B6" s="145"/>
      <c r="C6" s="145"/>
      <c r="D6" s="145"/>
      <c r="E6" s="145"/>
      <c r="F6" s="145"/>
      <c r="G6" s="145"/>
      <c r="H6" s="145"/>
      <c r="I6" s="145"/>
      <c r="J6" s="145"/>
      <c r="K6" s="145"/>
      <c r="L6" s="145"/>
      <c r="M6" s="145"/>
    </row>
    <row r="7" spans="2:13">
      <c r="B7" s="146" t="s">
        <v>19</v>
      </c>
      <c r="C7" s="150">
        <v>2000</v>
      </c>
      <c r="D7" s="150">
        <v>2005</v>
      </c>
      <c r="E7" s="150">
        <v>2010</v>
      </c>
      <c r="F7" s="150">
        <v>2015</v>
      </c>
      <c r="G7" s="150">
        <v>2020</v>
      </c>
      <c r="H7" s="150">
        <v>2025</v>
      </c>
      <c r="I7" s="150">
        <v>2030</v>
      </c>
      <c r="J7" s="150">
        <v>2035</v>
      </c>
      <c r="K7" s="150">
        <v>2040</v>
      </c>
      <c r="L7" s="150">
        <v>2045</v>
      </c>
      <c r="M7" s="150">
        <v>2050</v>
      </c>
    </row>
    <row r="8" spans="2:13">
      <c r="B8" s="147"/>
      <c r="C8" s="151"/>
      <c r="D8" s="151"/>
      <c r="E8" s="151"/>
      <c r="F8" s="151"/>
      <c r="G8" s="151"/>
      <c r="H8" s="151"/>
      <c r="I8" s="151"/>
      <c r="J8" s="151"/>
      <c r="K8" s="151"/>
      <c r="L8" s="151"/>
      <c r="M8" s="151"/>
    </row>
    <row r="9" spans="2:13">
      <c r="B9" s="147" t="s">
        <v>8</v>
      </c>
      <c r="C9" s="152">
        <f>Dashboard!C21*ktoe_TJ</f>
        <v>11310095.916000001</v>
      </c>
      <c r="D9" s="152">
        <f>Dashboard!D21*ktoe_TJ</f>
        <v>8552376.3600000013</v>
      </c>
      <c r="E9" s="152">
        <f>Dashboard!E21*ktoe_TJ</f>
        <v>6201027.6120000007</v>
      </c>
      <c r="F9" s="152">
        <f>Dashboard!F21*ktoe_TJ</f>
        <v>5452302.1680000005</v>
      </c>
      <c r="G9" s="152">
        <f>Dashboard!G21*ktoe_TJ</f>
        <v>4654884.24</v>
      </c>
      <c r="H9" s="152">
        <f>Dashboard!H21*ktoe_TJ</f>
        <v>4000236.1920000003</v>
      </c>
      <c r="I9" s="152">
        <f>Dashboard!I21*ktoe_TJ</f>
        <v>3451137.372</v>
      </c>
      <c r="J9" s="152">
        <f>Dashboard!J21*ktoe_TJ</f>
        <v>3107652.3000000003</v>
      </c>
      <c r="K9" s="152">
        <f>Dashboard!K21*ktoe_TJ</f>
        <v>2907606.9960000003</v>
      </c>
      <c r="L9" s="152">
        <f>Dashboard!L21*ktoe_TJ</f>
        <v>2544695.1720000003</v>
      </c>
      <c r="M9" s="152">
        <f>Dashboard!M21*ktoe_TJ</f>
        <v>2273725.4760000003</v>
      </c>
    </row>
    <row r="10" spans="2:13">
      <c r="B10" s="149" t="s">
        <v>9</v>
      </c>
      <c r="C10" s="153">
        <f>Dashboard!C22*ktoe_TJ</f>
        <v>781173.14400000009</v>
      </c>
      <c r="D10" s="153">
        <f>Dashboard!D22*ktoe_TJ</f>
        <v>498187.33200000005</v>
      </c>
      <c r="E10" s="153">
        <f>Dashboard!E22*ktoe_TJ</f>
        <v>450122.86800000002</v>
      </c>
      <c r="F10" s="153">
        <f>Dashboard!F22*ktoe_TJ</f>
        <v>477043.99200000003</v>
      </c>
      <c r="G10" s="153">
        <f>Dashboard!G22*ktoe_TJ</f>
        <v>417968.24400000001</v>
      </c>
      <c r="H10" s="153">
        <f>Dashboard!H22*ktoe_TJ</f>
        <v>468167.97600000002</v>
      </c>
      <c r="I10" s="153">
        <f>Dashboard!I22*ktoe_TJ</f>
        <v>247732.95600000001</v>
      </c>
      <c r="J10" s="153">
        <f>Dashboard!J22*ktoe_TJ</f>
        <v>185265.90000000002</v>
      </c>
      <c r="K10" s="153">
        <f>Dashboard!K22*ktoe_TJ</f>
        <v>158847.19200000001</v>
      </c>
      <c r="L10" s="153">
        <f>Dashboard!L22*ktoe_TJ</f>
        <v>145909.98000000001</v>
      </c>
      <c r="M10" s="153">
        <f>Dashboard!M22*ktoe_TJ</f>
        <v>111745.69200000001</v>
      </c>
    </row>
    <row r="11" spans="2:13">
      <c r="B11" s="149" t="s">
        <v>10</v>
      </c>
      <c r="C11" s="153">
        <f>Dashboard!C23*ktoe_TJ</f>
        <v>5423162.04</v>
      </c>
      <c r="D11" s="153">
        <f>Dashboard!D23*ktoe_TJ</f>
        <v>3675424.2480000001</v>
      </c>
      <c r="E11" s="153">
        <f>Dashboard!E23*ktoe_TJ</f>
        <v>2685455.3880000003</v>
      </c>
      <c r="F11" s="153">
        <f>Dashboard!F23*ktoe_TJ</f>
        <v>2124507.9240000001</v>
      </c>
      <c r="G11" s="153">
        <f>Dashboard!G23*ktoe_TJ</f>
        <v>1666974.4200000002</v>
      </c>
      <c r="H11" s="153">
        <f>Dashboard!H23*ktoe_TJ</f>
        <v>1290832.308</v>
      </c>
      <c r="I11" s="153">
        <f>Dashboard!I23*ktoe_TJ</f>
        <v>997798.17600000009</v>
      </c>
      <c r="J11" s="153">
        <f>Dashboard!J23*ktoe_TJ</f>
        <v>743491.94400000002</v>
      </c>
      <c r="K11" s="153">
        <f>Dashboard!K23*ktoe_TJ</f>
        <v>513887.83200000005</v>
      </c>
      <c r="L11" s="153">
        <f>Dashboard!L23*ktoe_TJ</f>
        <v>285204.81599999999</v>
      </c>
      <c r="M11" s="153">
        <f>Dashboard!M23*ktoe_TJ</f>
        <v>106177.24800000001</v>
      </c>
    </row>
    <row r="12" spans="2:13">
      <c r="B12" s="149" t="s">
        <v>3</v>
      </c>
      <c r="C12" s="153">
        <f>Dashboard!C24*ktoe_TJ</f>
        <v>4084390.872</v>
      </c>
      <c r="D12" s="153">
        <f>Dashboard!D24*ktoe_TJ</f>
        <v>3324193.5960000004</v>
      </c>
      <c r="E12" s="153">
        <f>Dashboard!E24*ktoe_TJ</f>
        <v>2154862.2239999999</v>
      </c>
      <c r="F12" s="153">
        <f>Dashboard!F24*ktoe_TJ</f>
        <v>1747905.2640000002</v>
      </c>
      <c r="G12" s="153">
        <f>Dashboard!G24*ktoe_TJ</f>
        <v>1369292.9400000002</v>
      </c>
      <c r="H12" s="153">
        <f>Dashboard!H24*ktoe_TJ</f>
        <v>1050677.46</v>
      </c>
      <c r="I12" s="153">
        <f>Dashboard!I24*ktoe_TJ</f>
        <v>819775.44000000006</v>
      </c>
      <c r="J12" s="153">
        <f>Dashboard!J24*ktoe_TJ</f>
        <v>565804.152</v>
      </c>
      <c r="K12" s="153">
        <f>Dashboard!K24*ktoe_TJ</f>
        <v>361655.78400000004</v>
      </c>
      <c r="L12" s="153">
        <f>Dashboard!L24*ktoe_TJ</f>
        <v>184763.484</v>
      </c>
      <c r="M12" s="153">
        <f>Dashboard!M24*ktoe_TJ</f>
        <v>72808.452000000005</v>
      </c>
    </row>
    <row r="13" spans="2:13">
      <c r="B13" s="149" t="s">
        <v>11</v>
      </c>
      <c r="C13" s="153">
        <f>Dashboard!C25*ktoe_TJ</f>
        <v>918667.65600000008</v>
      </c>
      <c r="D13" s="153">
        <f>Dashboard!D25*ktoe_TJ</f>
        <v>881488.87200000009</v>
      </c>
      <c r="E13" s="153">
        <f>Dashboard!E25*ktoe_TJ</f>
        <v>671102.17200000002</v>
      </c>
      <c r="F13" s="153">
        <f>Dashboard!F25*ktoe_TJ</f>
        <v>680564.34000000008</v>
      </c>
      <c r="G13" s="153">
        <f>Dashboard!G25*ktoe_TJ</f>
        <v>332473.788</v>
      </c>
      <c r="H13" s="153">
        <f>Dashboard!H25*ktoe_TJ</f>
        <v>232911.68400000001</v>
      </c>
      <c r="I13" s="153">
        <f>Dashboard!I25*ktoe_TJ</f>
        <v>354287.016</v>
      </c>
      <c r="J13" s="153">
        <f>Dashboard!J25*ktoe_TJ</f>
        <v>479849.14800000004</v>
      </c>
      <c r="K13" s="153">
        <f>Dashboard!K25*ktoe_TJ</f>
        <v>691868.70000000007</v>
      </c>
      <c r="L13" s="153">
        <f>Dashboard!L25*ktoe_TJ</f>
        <v>731727.03600000008</v>
      </c>
      <c r="M13" s="153">
        <f>Dashboard!M25*ktoe_TJ</f>
        <v>731727.03600000008</v>
      </c>
    </row>
    <row r="14" spans="2:13">
      <c r="B14" s="149" t="s">
        <v>12</v>
      </c>
      <c r="C14" s="153">
        <f>Dashboard!C26*ktoe_TJ</f>
        <v>102702.204</v>
      </c>
      <c r="D14" s="153">
        <f>Dashboard!D26*ktoe_TJ</f>
        <v>173082.31200000001</v>
      </c>
      <c r="E14" s="153">
        <f>Dashboard!E26*ktoe_TJ</f>
        <v>239484.96000000002</v>
      </c>
      <c r="F14" s="153">
        <f>Dashboard!F26*ktoe_TJ</f>
        <v>422280.64800000004</v>
      </c>
      <c r="G14" s="153">
        <f>Dashboard!G26*ktoe_TJ</f>
        <v>868174.848</v>
      </c>
      <c r="H14" s="153">
        <f>Dashboard!H26*ktoe_TJ</f>
        <v>957646.76400000008</v>
      </c>
      <c r="I14" s="153">
        <f>Dashboard!I26*ktoe_TJ</f>
        <v>1031543.7840000001</v>
      </c>
      <c r="J14" s="153">
        <f>Dashboard!J26*ktoe_TJ</f>
        <v>1133241.156</v>
      </c>
      <c r="K14" s="153">
        <f>Dashboard!K26*ktoe_TJ</f>
        <v>1181389.3560000001</v>
      </c>
      <c r="L14" s="153">
        <f>Dashboard!L26*ktoe_TJ</f>
        <v>1197047.9880000001</v>
      </c>
      <c r="M14" s="153">
        <f>Dashboard!M26*ktoe_TJ</f>
        <v>1251183.3120000002</v>
      </c>
    </row>
    <row r="15" spans="2:13">
      <c r="B15" s="149" t="s">
        <v>13</v>
      </c>
      <c r="C15" s="153">
        <f>Dashboard!C27*ktoe_TJ</f>
        <v>18296.316000000003</v>
      </c>
      <c r="D15" s="153">
        <f>Dashboard!D27*ktoe_TJ</f>
        <v>17710.164000000001</v>
      </c>
      <c r="E15" s="153">
        <f>Dashboard!E27*ktoe_TJ</f>
        <v>12979.08</v>
      </c>
      <c r="F15" s="153">
        <f>Dashboard!F27*ktoe_TJ</f>
        <v>19468.620000000003</v>
      </c>
      <c r="G15" s="153">
        <f>Dashboard!G27*ktoe_TJ</f>
        <v>19426.752</v>
      </c>
      <c r="H15" s="153">
        <f>Dashboard!H27*ktoe_TJ</f>
        <v>19384.884000000002</v>
      </c>
      <c r="I15" s="153">
        <f>Dashboard!I27*ktoe_TJ</f>
        <v>19426.752</v>
      </c>
      <c r="J15" s="153">
        <f>Dashboard!J27*ktoe_TJ</f>
        <v>19384.884000000002</v>
      </c>
      <c r="K15" s="153">
        <f>Dashboard!K27*ktoe_TJ</f>
        <v>19384.884000000002</v>
      </c>
      <c r="L15" s="153">
        <f>Dashboard!L27*ktoe_TJ</f>
        <v>19426.752</v>
      </c>
      <c r="M15" s="153">
        <f>Dashboard!M27*ktoe_TJ</f>
        <v>19384.884000000002</v>
      </c>
    </row>
    <row r="16" spans="2:13">
      <c r="B16" s="149" t="s">
        <v>14</v>
      </c>
      <c r="C16" s="153">
        <f>Dashboard!C28*ktoe_TJ</f>
        <v>80470.296000000002</v>
      </c>
      <c r="D16" s="153">
        <f>Dashboard!D28*ktoe_TJ</f>
        <v>143607.24000000002</v>
      </c>
      <c r="E16" s="153">
        <f>Dashboard!E28*ktoe_TJ</f>
        <v>186061.39200000002</v>
      </c>
      <c r="F16" s="153">
        <f>Dashboard!F28*ktoe_TJ</f>
        <v>249742.62000000002</v>
      </c>
      <c r="G16" s="153">
        <f>Dashboard!G28*ktoe_TJ</f>
        <v>337288.60800000001</v>
      </c>
      <c r="H16" s="153">
        <f>Dashboard!H28*ktoe_TJ</f>
        <v>344448.03600000002</v>
      </c>
      <c r="I16" s="153">
        <f>Dashboard!I28*ktoe_TJ</f>
        <v>337791.02400000003</v>
      </c>
      <c r="J16" s="153">
        <f>Dashboard!J28*ktoe_TJ</f>
        <v>352696.03200000001</v>
      </c>
      <c r="K16" s="153">
        <f>Dashboard!K28*ktoe_TJ</f>
        <v>367517.304</v>
      </c>
      <c r="L16" s="153">
        <f>Dashboard!L28*ktoe_TJ</f>
        <v>357343.38</v>
      </c>
      <c r="M16" s="153">
        <f>Dashboard!M28*ktoe_TJ</f>
        <v>353784.60000000003</v>
      </c>
    </row>
    <row r="17" spans="2:13">
      <c r="B17" s="148" t="s">
        <v>15</v>
      </c>
      <c r="C17" s="153">
        <f>Dashboard!C29*ktoe_TJ</f>
        <v>3391.308</v>
      </c>
      <c r="D17" s="153">
        <f>Dashboard!D29*ktoe_TJ</f>
        <v>10467</v>
      </c>
      <c r="E17" s="153">
        <f>Dashboard!E29*ktoe_TJ</f>
        <v>36676.368000000002</v>
      </c>
      <c r="F17" s="153">
        <f>Dashboard!F29*ktoe_TJ</f>
        <v>119240.06400000001</v>
      </c>
      <c r="G17" s="153">
        <f>Dashboard!G29*ktoe_TJ</f>
        <v>412692.87600000005</v>
      </c>
      <c r="H17" s="153">
        <f>Dashboard!H29*ktoe_TJ</f>
        <v>473317.74000000005</v>
      </c>
      <c r="I17" s="153">
        <f>Dashboard!I29*ktoe_TJ</f>
        <v>546712.34400000004</v>
      </c>
      <c r="J17" s="153">
        <f>Dashboard!J29*ktoe_TJ</f>
        <v>627057.03600000008</v>
      </c>
      <c r="K17" s="153">
        <f>Dashboard!K29*ktoe_TJ</f>
        <v>667878.33600000001</v>
      </c>
      <c r="L17" s="153">
        <f>Dashboard!L29*ktoe_TJ</f>
        <v>676921.82400000002</v>
      </c>
      <c r="M17" s="153">
        <f>Dashboard!M29*ktoe_TJ</f>
        <v>735746.36400000006</v>
      </c>
    </row>
    <row r="18" spans="2:13">
      <c r="B18" s="148" t="s">
        <v>16</v>
      </c>
      <c r="C18" s="153">
        <f>Dashboard!C30*ktoe_TJ</f>
        <v>460.548</v>
      </c>
      <c r="D18" s="153">
        <f>Dashboard!D30*ktoe_TJ</f>
        <v>1256.04</v>
      </c>
      <c r="E18" s="153">
        <f>Dashboard!E30*ktoe_TJ</f>
        <v>3768.1200000000003</v>
      </c>
      <c r="F18" s="153">
        <f>Dashboard!F30*ktoe_TJ</f>
        <v>33620.004000000001</v>
      </c>
      <c r="G18" s="153">
        <f>Dashboard!G30*ktoe_TJ</f>
        <v>97008.156000000003</v>
      </c>
      <c r="H18" s="153">
        <f>Dashboard!H30*ktoe_TJ</f>
        <v>116644.24800000001</v>
      </c>
      <c r="I18" s="153">
        <f>Dashboard!I30*ktoe_TJ</f>
        <v>121710.27600000001</v>
      </c>
      <c r="J18" s="153">
        <f>Dashboard!J30*ktoe_TJ</f>
        <v>126357.62400000001</v>
      </c>
      <c r="K18" s="153">
        <f>Dashboard!K30*ktoe_TJ</f>
        <v>117816.55200000001</v>
      </c>
      <c r="L18" s="153">
        <f>Dashboard!L30*ktoe_TJ</f>
        <v>133935.73200000002</v>
      </c>
      <c r="M18" s="153">
        <f>Dashboard!M30*ktoe_TJ</f>
        <v>132261.01200000002</v>
      </c>
    </row>
    <row r="19" spans="2:13">
      <c r="B19" s="148" t="s">
        <v>17</v>
      </c>
      <c r="C19" s="153">
        <f>Dashboard!C31*ktoe_TJ</f>
        <v>41.868000000000002</v>
      </c>
      <c r="D19" s="153">
        <f>Dashboard!D31*ktoe_TJ</f>
        <v>41.868000000000002</v>
      </c>
      <c r="E19" s="153">
        <f>Dashboard!E31*ktoe_TJ</f>
        <v>41.868000000000002</v>
      </c>
      <c r="F19" s="153">
        <f>Dashboard!F31*ktoe_TJ</f>
        <v>209.34</v>
      </c>
      <c r="G19" s="153">
        <f>Dashboard!G31*ktoe_TJ</f>
        <v>1758.4560000000001</v>
      </c>
      <c r="H19" s="153">
        <f>Dashboard!H31*ktoe_TJ</f>
        <v>3893.7240000000002</v>
      </c>
      <c r="I19" s="153">
        <f>Dashboard!I31*ktoe_TJ</f>
        <v>5987.1240000000007</v>
      </c>
      <c r="J19" s="153">
        <f>Dashboard!J31*ktoe_TJ</f>
        <v>7745.5800000000008</v>
      </c>
      <c r="K19" s="153">
        <f>Dashboard!K31*ktoe_TJ</f>
        <v>8792.2800000000007</v>
      </c>
      <c r="L19" s="153">
        <f>Dashboard!L31*ktoe_TJ</f>
        <v>9462.1679999999997</v>
      </c>
      <c r="M19" s="153">
        <f>Dashboard!M31*ktoe_TJ</f>
        <v>10006.452000000001</v>
      </c>
    </row>
    <row r="20" spans="2:13">
      <c r="B20" s="145"/>
      <c r="C20" s="145"/>
      <c r="D20" s="145"/>
      <c r="E20" s="145"/>
      <c r="F20" s="145"/>
      <c r="G20" s="145"/>
      <c r="H20" s="145"/>
      <c r="I20" s="145"/>
      <c r="J20" s="145"/>
      <c r="K20" s="145"/>
      <c r="L20" s="145"/>
      <c r="M20" s="145"/>
    </row>
  </sheetData>
  <mergeCells count="1">
    <mergeCell ref="B3:G5"/>
  </mergeCells>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tabColor theme="8" tint="0.39997558519241921"/>
  </sheetPr>
  <dimension ref="A2:M59"/>
  <sheetViews>
    <sheetView workbookViewId="0">
      <selection activeCell="D21" sqref="D21"/>
    </sheetView>
  </sheetViews>
  <sheetFormatPr baseColWidth="10" defaultRowHeight="15" x14ac:dyDescent="0"/>
  <cols>
    <col min="1" max="6" width="10.83203125" style="1"/>
    <col min="7" max="7" width="12.5" style="1" customWidth="1"/>
    <col min="8" max="16384" width="10.83203125" style="1"/>
  </cols>
  <sheetData>
    <row r="2" spans="1:13" s="16" customFormat="1" ht="15" customHeight="1">
      <c r="B2" s="119" t="s">
        <v>67</v>
      </c>
      <c r="C2" s="120"/>
      <c r="D2" s="120"/>
      <c r="E2" s="120"/>
      <c r="F2" s="120"/>
      <c r="G2" s="121"/>
      <c r="H2" s="93"/>
      <c r="I2" s="93"/>
      <c r="J2" s="86"/>
      <c r="K2" s="125"/>
      <c r="L2" s="21"/>
      <c r="M2" s="21"/>
    </row>
    <row r="3" spans="1:13" s="16" customFormat="1" ht="15" customHeight="1">
      <c r="B3" s="157" t="s">
        <v>93</v>
      </c>
      <c r="C3" s="158"/>
      <c r="D3" s="158"/>
      <c r="E3" s="158"/>
      <c r="F3" s="158"/>
      <c r="G3" s="159"/>
      <c r="H3" s="122"/>
      <c r="I3" s="122"/>
      <c r="J3" s="86"/>
      <c r="K3" s="126"/>
      <c r="L3" s="21"/>
      <c r="M3" s="21"/>
    </row>
    <row r="4" spans="1:13" s="16" customFormat="1">
      <c r="B4" s="157"/>
      <c r="C4" s="158"/>
      <c r="D4" s="158"/>
      <c r="E4" s="158"/>
      <c r="F4" s="158"/>
      <c r="G4" s="159"/>
      <c r="H4" s="122"/>
      <c r="I4" s="122"/>
      <c r="J4" s="86"/>
      <c r="K4" s="126"/>
      <c r="L4" s="21"/>
      <c r="M4" s="21"/>
    </row>
    <row r="5" spans="1:13" s="16" customFormat="1">
      <c r="B5" s="155"/>
      <c r="C5" s="160"/>
      <c r="D5" s="160"/>
      <c r="E5" s="160"/>
      <c r="F5" s="160"/>
      <c r="G5" s="156"/>
      <c r="H5" s="122"/>
      <c r="I5" s="122"/>
      <c r="J5" s="86"/>
      <c r="K5" s="126"/>
      <c r="L5" s="21"/>
      <c r="M5" s="21"/>
    </row>
    <row r="8" spans="1:13">
      <c r="A8" s="154" t="s">
        <v>0</v>
      </c>
      <c r="B8" s="154" t="s">
        <v>1</v>
      </c>
      <c r="C8" s="154" t="s">
        <v>2</v>
      </c>
      <c r="D8" s="154" t="s">
        <v>3</v>
      </c>
      <c r="E8" s="154" t="s">
        <v>4</v>
      </c>
      <c r="F8" s="154" t="s">
        <v>5</v>
      </c>
      <c r="G8" s="154" t="s">
        <v>6</v>
      </c>
    </row>
    <row r="9" spans="1:13">
      <c r="A9" s="2">
        <v>2000</v>
      </c>
      <c r="B9" s="2">
        <f>conversion_to_TJ!C10*Dashboard!$D$11</f>
        <v>781173.14400000009</v>
      </c>
      <c r="C9" s="2">
        <f>conversion_to_TJ!C10*Dashboard!$D$12</f>
        <v>0</v>
      </c>
      <c r="D9" s="2">
        <f>conversion_to_TJ!C12</f>
        <v>4084390.872</v>
      </c>
      <c r="E9" s="2">
        <f>conversion_to_TJ!C11</f>
        <v>5423162.04</v>
      </c>
      <c r="F9" s="2">
        <f>conversion_to_TJ!C13</f>
        <v>918667.65600000008</v>
      </c>
      <c r="G9" s="2">
        <f>conversion_to_TJ!C16*Dashboard!$D$14</f>
        <v>50173.229556000006</v>
      </c>
    </row>
    <row r="10" spans="1:13">
      <c r="A10" s="1">
        <v>2001</v>
      </c>
      <c r="B10" s="1">
        <f>B$9+(B$14-B$9)/($A$14-$A$9)*($A10-$A$9)</f>
        <v>724575.98160000006</v>
      </c>
      <c r="C10" s="1">
        <f t="shared" ref="C10:G10" si="0">C$9+(C$14-C$9)/($A$14-$A$9)*($A10-$A$9)</f>
        <v>0</v>
      </c>
      <c r="D10" s="1">
        <f t="shared" si="0"/>
        <v>3932351.4168000002</v>
      </c>
      <c r="E10" s="1">
        <f t="shared" si="0"/>
        <v>5073614.4815999996</v>
      </c>
      <c r="F10" s="1">
        <f t="shared" si="0"/>
        <v>911231.8992000001</v>
      </c>
      <c r="G10" s="1">
        <f t="shared" si="0"/>
        <v>58046.406472800008</v>
      </c>
    </row>
    <row r="11" spans="1:13">
      <c r="A11" s="1">
        <v>2002</v>
      </c>
      <c r="B11" s="1">
        <f t="shared" ref="B11:G13" si="1">B$9+(B$14-B$9)/($A$14-$A$9)*($A11-$A$9)</f>
        <v>667978.81920000003</v>
      </c>
      <c r="C11" s="1">
        <f t="shared" si="1"/>
        <v>0</v>
      </c>
      <c r="D11" s="1">
        <f t="shared" si="1"/>
        <v>3780311.9616</v>
      </c>
      <c r="E11" s="1">
        <f t="shared" si="1"/>
        <v>4724066.9232000001</v>
      </c>
      <c r="F11" s="1">
        <f t="shared" si="1"/>
        <v>903796.14240000013</v>
      </c>
      <c r="G11" s="1">
        <f t="shared" si="1"/>
        <v>65919.583389600011</v>
      </c>
    </row>
    <row r="12" spans="1:13">
      <c r="A12" s="1">
        <v>2003</v>
      </c>
      <c r="B12" s="1">
        <f t="shared" si="1"/>
        <v>611381.6568</v>
      </c>
      <c r="C12" s="1">
        <f t="shared" si="1"/>
        <v>0</v>
      </c>
      <c r="D12" s="1">
        <f t="shared" si="1"/>
        <v>3628272.5064000003</v>
      </c>
      <c r="E12" s="1">
        <f t="shared" si="1"/>
        <v>4374519.3648000006</v>
      </c>
      <c r="F12" s="1">
        <f t="shared" si="1"/>
        <v>896360.38560000004</v>
      </c>
      <c r="G12" s="1">
        <f t="shared" si="1"/>
        <v>73792.760306400014</v>
      </c>
    </row>
    <row r="13" spans="1:13">
      <c r="A13" s="1">
        <v>2004</v>
      </c>
      <c r="B13" s="1">
        <f t="shared" si="1"/>
        <v>554784.49440000008</v>
      </c>
      <c r="C13" s="1">
        <f t="shared" si="1"/>
        <v>0</v>
      </c>
      <c r="D13" s="1">
        <f t="shared" si="1"/>
        <v>3476233.0512000006</v>
      </c>
      <c r="E13" s="1">
        <f t="shared" si="1"/>
        <v>4024971.8064000001</v>
      </c>
      <c r="F13" s="1">
        <f t="shared" si="1"/>
        <v>888924.62880000006</v>
      </c>
      <c r="G13" s="1">
        <f t="shared" si="1"/>
        <v>81665.937223200017</v>
      </c>
    </row>
    <row r="14" spans="1:13">
      <c r="A14" s="2">
        <v>2005</v>
      </c>
      <c r="B14" s="2">
        <f>conversion_to_TJ!D10*Dashboard!$D$11</f>
        <v>498187.33200000005</v>
      </c>
      <c r="C14" s="2">
        <f>conversion_to_TJ!D10*Dashboard!$D$12</f>
        <v>0</v>
      </c>
      <c r="D14" s="2">
        <f>conversion_to_TJ!D12</f>
        <v>3324193.5960000004</v>
      </c>
      <c r="E14" s="2">
        <f>conversion_to_TJ!D11</f>
        <v>3675424.2480000001</v>
      </c>
      <c r="F14" s="2">
        <f>conversion_to_TJ!D13</f>
        <v>881488.87200000009</v>
      </c>
      <c r="G14" s="2">
        <f>conversion_to_TJ!D16*Dashboard!$D$14</f>
        <v>89539.11414000002</v>
      </c>
    </row>
    <row r="15" spans="1:13">
      <c r="A15" s="1">
        <v>2006</v>
      </c>
      <c r="B15" s="1">
        <f>B$14+(B$19-B$14)/($A$19-$A$14)*($A15-$A$14)</f>
        <v>490921.46760000003</v>
      </c>
      <c r="C15" s="1">
        <f t="shared" ref="C15:G15" si="2">C$14+(C$19-C$14)/($A$19-$A$14)*($A15-$A$14)</f>
        <v>0</v>
      </c>
      <c r="D15" s="1">
        <f t="shared" si="2"/>
        <v>3090205.7868000004</v>
      </c>
      <c r="E15" s="1">
        <f t="shared" si="2"/>
        <v>3477430.4760000003</v>
      </c>
      <c r="F15" s="1">
        <f t="shared" si="2"/>
        <v>839411.53200000012</v>
      </c>
      <c r="G15" s="1">
        <f t="shared" si="2"/>
        <v>94833.146894400023</v>
      </c>
    </row>
    <row r="16" spans="1:13">
      <c r="A16" s="1">
        <v>2007</v>
      </c>
      <c r="B16" s="1">
        <f t="shared" ref="B16:G18" si="3">B$14+(B$19-B$14)/($A$19-$A$14)*($A16-$A$14)</f>
        <v>483655.60320000001</v>
      </c>
      <c r="C16" s="1">
        <f t="shared" si="3"/>
        <v>0</v>
      </c>
      <c r="D16" s="1">
        <f t="shared" si="3"/>
        <v>2856217.9776000003</v>
      </c>
      <c r="E16" s="1">
        <f t="shared" si="3"/>
        <v>3279436.7040000004</v>
      </c>
      <c r="F16" s="1">
        <f t="shared" si="3"/>
        <v>797334.19200000004</v>
      </c>
      <c r="G16" s="1">
        <f t="shared" si="3"/>
        <v>100127.17964880003</v>
      </c>
    </row>
    <row r="17" spans="1:7">
      <c r="A17" s="1">
        <v>2008</v>
      </c>
      <c r="B17" s="1">
        <f t="shared" si="3"/>
        <v>476389.73880000005</v>
      </c>
      <c r="C17" s="1">
        <f t="shared" si="3"/>
        <v>0</v>
      </c>
      <c r="D17" s="1">
        <f t="shared" si="3"/>
        <v>2622230.1683999998</v>
      </c>
      <c r="E17" s="1">
        <f t="shared" si="3"/>
        <v>3081442.932</v>
      </c>
      <c r="F17" s="1">
        <f t="shared" si="3"/>
        <v>755256.85200000007</v>
      </c>
      <c r="G17" s="1">
        <f t="shared" si="3"/>
        <v>105421.21240320001</v>
      </c>
    </row>
    <row r="18" spans="1:7">
      <c r="A18" s="1">
        <v>2009</v>
      </c>
      <c r="B18" s="1">
        <f t="shared" si="3"/>
        <v>469123.87440000003</v>
      </c>
      <c r="C18" s="1">
        <f t="shared" si="3"/>
        <v>0</v>
      </c>
      <c r="D18" s="1">
        <f t="shared" si="3"/>
        <v>2388242.3591999998</v>
      </c>
      <c r="E18" s="1">
        <f t="shared" si="3"/>
        <v>2883449.16</v>
      </c>
      <c r="F18" s="1">
        <f t="shared" si="3"/>
        <v>713179.5120000001</v>
      </c>
      <c r="G18" s="1">
        <f t="shared" si="3"/>
        <v>110715.24515760002</v>
      </c>
    </row>
    <row r="19" spans="1:7">
      <c r="A19" s="161">
        <v>2010</v>
      </c>
      <c r="B19" s="161">
        <v>461858.01</v>
      </c>
      <c r="C19" s="161">
        <v>0</v>
      </c>
      <c r="D19" s="161">
        <v>2154254.5499999998</v>
      </c>
      <c r="E19" s="161">
        <f>conversion_to_TJ!E11</f>
        <v>2685455.3880000003</v>
      </c>
      <c r="F19" s="161">
        <f>conversion_to_TJ!E13</f>
        <v>671102.17200000002</v>
      </c>
      <c r="G19" s="2">
        <f>conversion_to_TJ!E16*Dashboard!$D$14</f>
        <v>116009.27791200002</v>
      </c>
    </row>
    <row r="20" spans="1:7">
      <c r="A20" s="1">
        <v>2011</v>
      </c>
      <c r="B20" s="1">
        <f>AVERAGE(B19,B21)</f>
        <v>439700.58499999996</v>
      </c>
      <c r="C20" s="1">
        <f>AVERAGE(C19,C21)</f>
        <v>0</v>
      </c>
      <c r="D20" s="1">
        <f t="shared" ref="C20:F20" si="4">AVERAGE(D19,D21)</f>
        <v>1810463.9699999997</v>
      </c>
      <c r="E20" s="1">
        <f t="shared" si="4"/>
        <v>2690197.0839999998</v>
      </c>
      <c r="F20" s="1">
        <f t="shared" si="4"/>
        <v>719647.49100000004</v>
      </c>
      <c r="G20" s="1">
        <f t="shared" ref="C20:G20" si="5">G$19+(G$24-G$19)/($A$24-$A$19)*($A20-$A$19)</f>
        <v>123950.32704360002</v>
      </c>
    </row>
    <row r="21" spans="1:7">
      <c r="A21" s="161">
        <v>2012</v>
      </c>
      <c r="B21" s="161">
        <v>417543.16</v>
      </c>
      <c r="C21" s="161">
        <v>0</v>
      </c>
      <c r="D21" s="161">
        <v>1466673.39</v>
      </c>
      <c r="E21" s="161">
        <v>2694938.78</v>
      </c>
      <c r="F21" s="161">
        <v>768192.81</v>
      </c>
      <c r="G21" s="1">
        <f t="shared" ref="B21:G23" si="6">G$19+(G$24-G$19)/($A$24-$A$19)*($A21-$A$19)</f>
        <v>131891.37617520001</v>
      </c>
    </row>
    <row r="22" spans="1:7">
      <c r="A22" s="1">
        <v>2013</v>
      </c>
      <c r="B22" s="1">
        <f>B$21+(B$24-B$21)/($A$24-$A$21)*($A22-$A$21)</f>
        <v>437376.77066666668</v>
      </c>
      <c r="C22" s="1">
        <f t="shared" ref="C22:F23" si="7">C$21+(C$24-C$21)/($A$24-$A$21)*($A22-$A$21)</f>
        <v>0</v>
      </c>
      <c r="D22" s="1">
        <f t="shared" si="7"/>
        <v>1560417.348</v>
      </c>
      <c r="E22" s="1">
        <f t="shared" si="7"/>
        <v>2504795.1613333332</v>
      </c>
      <c r="F22" s="1">
        <f t="shared" si="7"/>
        <v>738983.32000000007</v>
      </c>
      <c r="G22" s="1">
        <f t="shared" si="6"/>
        <v>139832.42530680003</v>
      </c>
    </row>
    <row r="23" spans="1:7">
      <c r="A23" s="1">
        <v>2014</v>
      </c>
      <c r="B23" s="1">
        <f>B$21+(B$24-B$21)/($A$24-$A$21)*($A23-$A$21)</f>
        <v>457210.38133333332</v>
      </c>
      <c r="C23" s="1">
        <f t="shared" si="7"/>
        <v>0</v>
      </c>
      <c r="D23" s="1">
        <f t="shared" si="7"/>
        <v>1654161.3060000001</v>
      </c>
      <c r="E23" s="1">
        <f t="shared" si="7"/>
        <v>2314651.5426666667</v>
      </c>
      <c r="F23" s="1">
        <f t="shared" si="7"/>
        <v>709773.83000000007</v>
      </c>
      <c r="G23" s="1">
        <f t="shared" si="6"/>
        <v>147773.47443840001</v>
      </c>
    </row>
    <row r="24" spans="1:7">
      <c r="A24" s="2">
        <v>2015</v>
      </c>
      <c r="B24" s="2">
        <f>conversion_to_TJ!F10*Dashboard!$D$11</f>
        <v>477043.99200000003</v>
      </c>
      <c r="C24" s="2">
        <f>conversion_to_TJ!F10*Dashboard!$D$12</f>
        <v>0</v>
      </c>
      <c r="D24" s="2">
        <f>conversion_to_TJ!F12</f>
        <v>1747905.2640000002</v>
      </c>
      <c r="E24" s="2">
        <f>conversion_to_TJ!F11</f>
        <v>2124507.9240000001</v>
      </c>
      <c r="F24" s="2">
        <f>conversion_to_TJ!F13</f>
        <v>680564.34000000008</v>
      </c>
      <c r="G24" s="2">
        <f>conversion_to_TJ!F16*Dashboard!$D$14</f>
        <v>155714.52357000002</v>
      </c>
    </row>
    <row r="25" spans="1:7">
      <c r="A25" s="1">
        <v>2016</v>
      </c>
      <c r="B25" s="1">
        <f>B$24+(B$29-B$24)/($A$29-$A$24)*($A25-$A$24)</f>
        <v>465228.84240000002</v>
      </c>
      <c r="C25" s="1">
        <f t="shared" ref="C25:G25" si="8">C$24+(C$29-C$24)/($A$29-$A$24)*($A25-$A$24)</f>
        <v>0</v>
      </c>
      <c r="D25" s="1">
        <f t="shared" si="8"/>
        <v>1672182.7992000002</v>
      </c>
      <c r="E25" s="1">
        <f t="shared" si="8"/>
        <v>2033001.2232000001</v>
      </c>
      <c r="F25" s="1">
        <f t="shared" si="8"/>
        <v>610946.22960000008</v>
      </c>
      <c r="G25" s="1">
        <f t="shared" si="8"/>
        <v>166631.50827360002</v>
      </c>
    </row>
    <row r="26" spans="1:7">
      <c r="A26" s="1">
        <v>2017</v>
      </c>
      <c r="B26" s="1">
        <f t="shared" ref="B26:G28" si="9">B$24+(B$29-B$24)/($A$29-$A$24)*($A26-$A$24)</f>
        <v>453413.69280000002</v>
      </c>
      <c r="C26" s="1">
        <f t="shared" si="9"/>
        <v>0</v>
      </c>
      <c r="D26" s="1">
        <f t="shared" si="9"/>
        <v>1596460.3344000003</v>
      </c>
      <c r="E26" s="1">
        <f t="shared" si="9"/>
        <v>1941494.5224000001</v>
      </c>
      <c r="F26" s="1">
        <f t="shared" si="9"/>
        <v>541328.11920000007</v>
      </c>
      <c r="G26" s="1">
        <f t="shared" si="9"/>
        <v>177548.49297720002</v>
      </c>
    </row>
    <row r="27" spans="1:7">
      <c r="A27" s="1">
        <v>2018</v>
      </c>
      <c r="B27" s="1">
        <f t="shared" si="9"/>
        <v>441598.54320000001</v>
      </c>
      <c r="C27" s="1">
        <f t="shared" si="9"/>
        <v>0</v>
      </c>
      <c r="D27" s="1">
        <f t="shared" si="9"/>
        <v>1520737.8696000003</v>
      </c>
      <c r="E27" s="1">
        <f t="shared" si="9"/>
        <v>1849987.8216000001</v>
      </c>
      <c r="F27" s="1">
        <f t="shared" si="9"/>
        <v>471710.00880000001</v>
      </c>
      <c r="G27" s="1">
        <f t="shared" si="9"/>
        <v>188465.47768080002</v>
      </c>
    </row>
    <row r="28" spans="1:7">
      <c r="A28" s="1">
        <v>2019</v>
      </c>
      <c r="B28" s="1">
        <f t="shared" si="9"/>
        <v>429783.39360000001</v>
      </c>
      <c r="C28" s="1">
        <f t="shared" si="9"/>
        <v>0</v>
      </c>
      <c r="D28" s="1">
        <f t="shared" si="9"/>
        <v>1445015.4048000001</v>
      </c>
      <c r="E28" s="1">
        <f t="shared" si="9"/>
        <v>1758481.1208000001</v>
      </c>
      <c r="F28" s="1">
        <f t="shared" si="9"/>
        <v>402091.89840000001</v>
      </c>
      <c r="G28" s="1">
        <f t="shared" si="9"/>
        <v>199382.46238440002</v>
      </c>
    </row>
    <row r="29" spans="1:7">
      <c r="A29" s="2">
        <v>2020</v>
      </c>
      <c r="B29" s="2">
        <f>conversion_to_TJ!G10*Dashboard!$D$11</f>
        <v>417968.24400000001</v>
      </c>
      <c r="C29" s="2">
        <f>conversion_to_TJ!G10*Dashboard!$D$12</f>
        <v>0</v>
      </c>
      <c r="D29" s="2">
        <f>conversion_to_TJ!G12</f>
        <v>1369292.9400000002</v>
      </c>
      <c r="E29" s="2">
        <f>conversion_to_TJ!G11</f>
        <v>1666974.4200000002</v>
      </c>
      <c r="F29" s="2">
        <f>conversion_to_TJ!G13</f>
        <v>332473.788</v>
      </c>
      <c r="G29" s="2">
        <f>conversion_to_TJ!G16*Dashboard!$D$14</f>
        <v>210299.44708800002</v>
      </c>
    </row>
    <row r="30" spans="1:7">
      <c r="A30" s="1">
        <v>2021</v>
      </c>
      <c r="B30" s="1">
        <f>B$29+(B$34-B$29)/($A$34-$A$29)*($A30-$A$29)</f>
        <v>428008.19040000002</v>
      </c>
      <c r="C30" s="1">
        <f t="shared" ref="C30:G30" si="10">C$29+(C$34-C$29)/($A$34-$A$29)*($A30-$A$29)</f>
        <v>0</v>
      </c>
      <c r="D30" s="1">
        <f t="shared" si="10"/>
        <v>1305569.844</v>
      </c>
      <c r="E30" s="1">
        <f t="shared" si="10"/>
        <v>1591745.9976000001</v>
      </c>
      <c r="F30" s="1">
        <f t="shared" si="10"/>
        <v>312561.36719999998</v>
      </c>
      <c r="G30" s="1">
        <f t="shared" si="10"/>
        <v>211192.22775960001</v>
      </c>
    </row>
    <row r="31" spans="1:7">
      <c r="A31" s="1">
        <v>2022</v>
      </c>
      <c r="B31" s="1">
        <f t="shared" ref="B31:G33" si="11">B$29+(B$34-B$29)/($A$34-$A$29)*($A31-$A$29)</f>
        <v>438048.13680000004</v>
      </c>
      <c r="C31" s="1">
        <f t="shared" si="11"/>
        <v>0</v>
      </c>
      <c r="D31" s="1">
        <f t="shared" si="11"/>
        <v>1241846.7480000001</v>
      </c>
      <c r="E31" s="1">
        <f t="shared" si="11"/>
        <v>1516517.5752000001</v>
      </c>
      <c r="F31" s="1">
        <f t="shared" si="11"/>
        <v>292648.94640000002</v>
      </c>
      <c r="G31" s="1">
        <f t="shared" si="11"/>
        <v>212085.00843120003</v>
      </c>
    </row>
    <row r="32" spans="1:7">
      <c r="A32" s="1">
        <v>2023</v>
      </c>
      <c r="B32" s="1">
        <f t="shared" si="11"/>
        <v>448088.08319999999</v>
      </c>
      <c r="C32" s="1">
        <f t="shared" si="11"/>
        <v>0</v>
      </c>
      <c r="D32" s="1">
        <f t="shared" si="11"/>
        <v>1178123.652</v>
      </c>
      <c r="E32" s="1">
        <f t="shared" si="11"/>
        <v>1441289.1528</v>
      </c>
      <c r="F32" s="1">
        <f t="shared" si="11"/>
        <v>272736.52559999999</v>
      </c>
      <c r="G32" s="1">
        <f t="shared" si="11"/>
        <v>212977.78910280002</v>
      </c>
    </row>
    <row r="33" spans="1:7">
      <c r="A33" s="1">
        <v>2024</v>
      </c>
      <c r="B33" s="1">
        <f t="shared" si="11"/>
        <v>458128.02960000001</v>
      </c>
      <c r="C33" s="1">
        <f t="shared" si="11"/>
        <v>0</v>
      </c>
      <c r="D33" s="1">
        <f t="shared" si="11"/>
        <v>1114400.5560000001</v>
      </c>
      <c r="E33" s="1">
        <f t="shared" si="11"/>
        <v>1366060.7304</v>
      </c>
      <c r="F33" s="1">
        <f t="shared" si="11"/>
        <v>252824.1048</v>
      </c>
      <c r="G33" s="1">
        <f t="shared" si="11"/>
        <v>213870.56977440004</v>
      </c>
    </row>
    <row r="34" spans="1:7">
      <c r="A34" s="2">
        <v>2025</v>
      </c>
      <c r="B34" s="2">
        <f>conversion_to_TJ!H10*Dashboard!$D$11</f>
        <v>468167.97600000002</v>
      </c>
      <c r="C34" s="2">
        <f>conversion_to_TJ!H10*Dashboard!$D$12</f>
        <v>0</v>
      </c>
      <c r="D34" s="2">
        <f>conversion_to_TJ!H12</f>
        <v>1050677.46</v>
      </c>
      <c r="E34" s="2">
        <f>conversion_to_TJ!H11</f>
        <v>1290832.308</v>
      </c>
      <c r="F34" s="2">
        <f>conversion_to_TJ!H13</f>
        <v>232911.68400000001</v>
      </c>
      <c r="G34" s="2">
        <f>conversion_to_TJ!H16*Dashboard!$D$14</f>
        <v>214763.35044600003</v>
      </c>
    </row>
    <row r="35" spans="1:7">
      <c r="A35" s="1">
        <v>2026</v>
      </c>
      <c r="B35" s="1">
        <f>B$34+(B$39-B$34)/($A$39-$A$34)*($A35-$A$34)</f>
        <v>424080.97200000001</v>
      </c>
      <c r="C35" s="1">
        <f t="shared" ref="C35:G35" si="12">C$34+(C$39-C$34)/($A$39-$A$34)*($A35-$A$34)</f>
        <v>0</v>
      </c>
      <c r="D35" s="1">
        <f t="shared" si="12"/>
        <v>1004497.056</v>
      </c>
      <c r="E35" s="1">
        <f t="shared" si="12"/>
        <v>1232225.4816000001</v>
      </c>
      <c r="F35" s="1">
        <f t="shared" si="12"/>
        <v>257186.75040000002</v>
      </c>
      <c r="G35" s="1">
        <f t="shared" si="12"/>
        <v>213933.22104960002</v>
      </c>
    </row>
    <row r="36" spans="1:7">
      <c r="A36" s="1">
        <v>2027</v>
      </c>
      <c r="B36" s="1">
        <f t="shared" ref="B36:G38" si="13">B$34+(B$39-B$34)/($A$39-$A$34)*($A36-$A$34)</f>
        <v>379993.96799999999</v>
      </c>
      <c r="C36" s="1">
        <f t="shared" si="13"/>
        <v>0</v>
      </c>
      <c r="D36" s="1">
        <f t="shared" si="13"/>
        <v>958316.652</v>
      </c>
      <c r="E36" s="1">
        <f t="shared" si="13"/>
        <v>1173618.6551999999</v>
      </c>
      <c r="F36" s="1">
        <f t="shared" si="13"/>
        <v>281461.81680000003</v>
      </c>
      <c r="G36" s="1">
        <f t="shared" si="13"/>
        <v>213103.09165320004</v>
      </c>
    </row>
    <row r="37" spans="1:7">
      <c r="A37" s="1">
        <v>2028</v>
      </c>
      <c r="B37" s="1">
        <f t="shared" si="13"/>
        <v>335906.96400000004</v>
      </c>
      <c r="C37" s="1">
        <f t="shared" si="13"/>
        <v>0</v>
      </c>
      <c r="D37" s="1">
        <f t="shared" si="13"/>
        <v>912136.24800000002</v>
      </c>
      <c r="E37" s="1">
        <f t="shared" si="13"/>
        <v>1115011.8288</v>
      </c>
      <c r="F37" s="1">
        <f t="shared" si="13"/>
        <v>305736.88320000004</v>
      </c>
      <c r="G37" s="1">
        <f t="shared" si="13"/>
        <v>212272.96225680003</v>
      </c>
    </row>
    <row r="38" spans="1:7">
      <c r="A38" s="1">
        <v>2029</v>
      </c>
      <c r="B38" s="1">
        <f t="shared" si="13"/>
        <v>291819.96000000002</v>
      </c>
      <c r="C38" s="1">
        <f t="shared" si="13"/>
        <v>0</v>
      </c>
      <c r="D38" s="1">
        <f t="shared" si="13"/>
        <v>865955.84400000004</v>
      </c>
      <c r="E38" s="1">
        <f t="shared" si="13"/>
        <v>1056405.0024000001</v>
      </c>
      <c r="F38" s="1">
        <f t="shared" si="13"/>
        <v>330011.94959999999</v>
      </c>
      <c r="G38" s="1">
        <f t="shared" si="13"/>
        <v>211442.83286040006</v>
      </c>
    </row>
    <row r="39" spans="1:7">
      <c r="A39" s="2">
        <v>2030</v>
      </c>
      <c r="B39" s="2">
        <f>conversion_to_TJ!I10*Dashboard!$D$11</f>
        <v>247732.95600000001</v>
      </c>
      <c r="C39" s="2">
        <f>conversion_to_TJ!I10*Dashboard!$D$12</f>
        <v>0</v>
      </c>
      <c r="D39" s="2">
        <f>conversion_to_TJ!I12</f>
        <v>819775.44000000006</v>
      </c>
      <c r="E39" s="2">
        <f>conversion_to_TJ!I11</f>
        <v>997798.17600000009</v>
      </c>
      <c r="F39" s="2">
        <f>conversion_to_TJ!I13</f>
        <v>354287.016</v>
      </c>
      <c r="G39" s="2">
        <f>conversion_to_TJ!I16*Dashboard!$D$14</f>
        <v>210612.70346400005</v>
      </c>
    </row>
    <row r="40" spans="1:7">
      <c r="A40" s="1">
        <v>2031</v>
      </c>
      <c r="B40" s="1">
        <f>B$39+(B$44-B$39)/($A$44-$A$39)*($A40-$A$39)</f>
        <v>235239.5448</v>
      </c>
      <c r="C40" s="1">
        <f t="shared" ref="C40:G40" si="14">C$39+(C$44-C$39)/($A$44-$A$39)*($A40-$A$39)</f>
        <v>0</v>
      </c>
      <c r="D40" s="1">
        <f t="shared" si="14"/>
        <v>768981.18240000005</v>
      </c>
      <c r="E40" s="1">
        <f t="shared" si="14"/>
        <v>946936.92960000003</v>
      </c>
      <c r="F40" s="1">
        <f t="shared" si="14"/>
        <v>379399.4424</v>
      </c>
      <c r="G40" s="1">
        <f t="shared" si="14"/>
        <v>212471.35796160004</v>
      </c>
    </row>
    <row r="41" spans="1:7">
      <c r="A41" s="1">
        <v>2032</v>
      </c>
      <c r="B41" s="1">
        <f t="shared" ref="B41:G43" si="15">B$39+(B$44-B$39)/($A$44-$A$39)*($A41-$A$39)</f>
        <v>222746.1336</v>
      </c>
      <c r="C41" s="1">
        <f t="shared" si="15"/>
        <v>0</v>
      </c>
      <c r="D41" s="1">
        <f t="shared" si="15"/>
        <v>718186.92480000004</v>
      </c>
      <c r="E41" s="1">
        <f t="shared" si="15"/>
        <v>896075.68320000009</v>
      </c>
      <c r="F41" s="1">
        <f t="shared" si="15"/>
        <v>404511.8688</v>
      </c>
      <c r="G41" s="1">
        <f t="shared" si="15"/>
        <v>214330.01245920005</v>
      </c>
    </row>
    <row r="42" spans="1:7">
      <c r="A42" s="1">
        <v>2033</v>
      </c>
      <c r="B42" s="1">
        <f t="shared" si="15"/>
        <v>210252.72240000003</v>
      </c>
      <c r="C42" s="1">
        <f t="shared" si="15"/>
        <v>0</v>
      </c>
      <c r="D42" s="1">
        <f t="shared" si="15"/>
        <v>667392.66720000003</v>
      </c>
      <c r="E42" s="1">
        <f t="shared" si="15"/>
        <v>845214.43680000002</v>
      </c>
      <c r="F42" s="1">
        <f t="shared" si="15"/>
        <v>429624.29520000005</v>
      </c>
      <c r="G42" s="1">
        <f t="shared" si="15"/>
        <v>216188.66695680004</v>
      </c>
    </row>
    <row r="43" spans="1:7">
      <c r="A43" s="1">
        <v>2034</v>
      </c>
      <c r="B43" s="1">
        <f t="shared" si="15"/>
        <v>197759.31120000003</v>
      </c>
      <c r="C43" s="1">
        <f t="shared" si="15"/>
        <v>0</v>
      </c>
      <c r="D43" s="1">
        <f t="shared" si="15"/>
        <v>616598.40960000001</v>
      </c>
      <c r="E43" s="1">
        <f t="shared" si="15"/>
        <v>794353.19039999996</v>
      </c>
      <c r="F43" s="1">
        <f t="shared" si="15"/>
        <v>454736.72160000005</v>
      </c>
      <c r="G43" s="1">
        <f t="shared" si="15"/>
        <v>218047.32145440005</v>
      </c>
    </row>
    <row r="44" spans="1:7">
      <c r="A44" s="2">
        <v>2035</v>
      </c>
      <c r="B44" s="2">
        <f>conversion_to_TJ!J10*Dashboard!$D$11</f>
        <v>185265.90000000002</v>
      </c>
      <c r="C44" s="2">
        <f>conversion_to_TJ!J10*Dashboard!$D$12</f>
        <v>0</v>
      </c>
      <c r="D44" s="2">
        <f>conversion_to_TJ!J12</f>
        <v>565804.152</v>
      </c>
      <c r="E44" s="2">
        <f>conversion_to_TJ!J11</f>
        <v>743491.94400000002</v>
      </c>
      <c r="F44" s="2">
        <f>conversion_to_TJ!J13</f>
        <v>479849.14800000004</v>
      </c>
      <c r="G44" s="2">
        <f>conversion_to_TJ!J16*Dashboard!$D$14</f>
        <v>219905.97595200004</v>
      </c>
    </row>
    <row r="45" spans="1:7">
      <c r="A45" s="1">
        <v>2036</v>
      </c>
      <c r="B45" s="1">
        <f>B$44+(B$49-B$44)/($A$49-$A$44)*($A45-$A$44)</f>
        <v>179982.15840000001</v>
      </c>
      <c r="C45" s="1">
        <f t="shared" ref="C45:G45" si="16">C$44+(C$49-C$44)/($A$49-$A$44)*($A45-$A$44)</f>
        <v>0</v>
      </c>
      <c r="D45" s="1">
        <f t="shared" si="16"/>
        <v>524974.47840000002</v>
      </c>
      <c r="E45" s="1">
        <f t="shared" si="16"/>
        <v>697571.12160000007</v>
      </c>
      <c r="F45" s="1">
        <f t="shared" si="16"/>
        <v>522253.05840000004</v>
      </c>
      <c r="G45" s="1">
        <f t="shared" si="16"/>
        <v>221754.18857040003</v>
      </c>
    </row>
    <row r="46" spans="1:7">
      <c r="A46" s="1">
        <v>2037</v>
      </c>
      <c r="B46" s="1">
        <f t="shared" ref="B46:G48" si="17">B$44+(B$49-B$44)/($A$49-$A$44)*($A46-$A$44)</f>
        <v>174698.41680000001</v>
      </c>
      <c r="C46" s="1">
        <f t="shared" si="17"/>
        <v>0</v>
      </c>
      <c r="D46" s="1">
        <f t="shared" si="17"/>
        <v>484144.80480000004</v>
      </c>
      <c r="E46" s="1">
        <f t="shared" si="17"/>
        <v>651650.29920000001</v>
      </c>
      <c r="F46" s="1">
        <f t="shared" si="17"/>
        <v>564656.96880000003</v>
      </c>
      <c r="G46" s="1">
        <f t="shared" si="17"/>
        <v>223602.40118880002</v>
      </c>
    </row>
    <row r="47" spans="1:7">
      <c r="A47" s="1">
        <v>2038</v>
      </c>
      <c r="B47" s="1">
        <f t="shared" si="17"/>
        <v>169414.67520000003</v>
      </c>
      <c r="C47" s="1">
        <f t="shared" si="17"/>
        <v>0</v>
      </c>
      <c r="D47" s="1">
        <f t="shared" si="17"/>
        <v>443315.1312</v>
      </c>
      <c r="E47" s="1">
        <f t="shared" si="17"/>
        <v>605729.47680000006</v>
      </c>
      <c r="F47" s="1">
        <f t="shared" si="17"/>
        <v>607060.87920000008</v>
      </c>
      <c r="G47" s="1">
        <f t="shared" si="17"/>
        <v>225450.61380720005</v>
      </c>
    </row>
    <row r="48" spans="1:7">
      <c r="A48" s="1">
        <v>2039</v>
      </c>
      <c r="B48" s="1">
        <f t="shared" si="17"/>
        <v>164130.93360000002</v>
      </c>
      <c r="C48" s="1">
        <f t="shared" si="17"/>
        <v>0</v>
      </c>
      <c r="D48" s="1">
        <f t="shared" si="17"/>
        <v>402485.45760000002</v>
      </c>
      <c r="E48" s="1">
        <f t="shared" si="17"/>
        <v>559808.65440000012</v>
      </c>
      <c r="F48" s="1">
        <f t="shared" si="17"/>
        <v>649464.78960000002</v>
      </c>
      <c r="G48" s="1">
        <f t="shared" si="17"/>
        <v>227298.82642560004</v>
      </c>
    </row>
    <row r="49" spans="1:7">
      <c r="A49" s="2">
        <v>2040</v>
      </c>
      <c r="B49" s="2">
        <f>conversion_to_TJ!K10*Dashboard!$D$11</f>
        <v>158847.19200000001</v>
      </c>
      <c r="C49" s="2">
        <f>conversion_to_TJ!K10*Dashboard!$D$12</f>
        <v>0</v>
      </c>
      <c r="D49" s="2">
        <f>conversion_to_TJ!K12</f>
        <v>361655.78400000004</v>
      </c>
      <c r="E49" s="2">
        <f>conversion_to_TJ!K11</f>
        <v>513887.83200000005</v>
      </c>
      <c r="F49" s="2">
        <f>conversion_to_TJ!K13</f>
        <v>691868.70000000007</v>
      </c>
      <c r="G49" s="2">
        <f>conversion_to_TJ!K16*Dashboard!$D$14</f>
        <v>229147.03904400003</v>
      </c>
    </row>
    <row r="50" spans="1:7">
      <c r="A50" s="1">
        <v>2041</v>
      </c>
      <c r="B50" s="1">
        <f>B$49+(B$54-B$49)/($A$54-$A$49)*($A50-$A$49)</f>
        <v>156259.74960000001</v>
      </c>
      <c r="C50" s="1">
        <f t="shared" ref="C50:G50" si="18">C$49+(C$54-C$49)/($A$54-$A$49)*($A50-$A$49)</f>
        <v>0</v>
      </c>
      <c r="D50" s="1">
        <f t="shared" si="18"/>
        <v>326277.32400000002</v>
      </c>
      <c r="E50" s="1">
        <f t="shared" si="18"/>
        <v>468151.22880000004</v>
      </c>
      <c r="F50" s="1">
        <f t="shared" si="18"/>
        <v>699840.3672000001</v>
      </c>
      <c r="G50" s="1">
        <f t="shared" si="18"/>
        <v>227878.35072120003</v>
      </c>
    </row>
    <row r="51" spans="1:7">
      <c r="A51" s="1">
        <v>2042</v>
      </c>
      <c r="B51" s="1">
        <f t="shared" ref="B51:G53" si="19">B$49+(B$54-B$49)/($A$54-$A$49)*($A51-$A$49)</f>
        <v>153672.30720000001</v>
      </c>
      <c r="C51" s="1">
        <f t="shared" si="19"/>
        <v>0</v>
      </c>
      <c r="D51" s="1">
        <f t="shared" si="19"/>
        <v>290898.86400000006</v>
      </c>
      <c r="E51" s="1">
        <f t="shared" si="19"/>
        <v>422414.62560000003</v>
      </c>
      <c r="F51" s="1">
        <f t="shared" si="19"/>
        <v>707812.03440000012</v>
      </c>
      <c r="G51" s="1">
        <f t="shared" si="19"/>
        <v>226609.66239840002</v>
      </c>
    </row>
    <row r="52" spans="1:7">
      <c r="A52" s="1">
        <v>2043</v>
      </c>
      <c r="B52" s="1">
        <f t="shared" si="19"/>
        <v>151084.86480000001</v>
      </c>
      <c r="C52" s="1">
        <f t="shared" si="19"/>
        <v>0</v>
      </c>
      <c r="D52" s="1">
        <f t="shared" si="19"/>
        <v>255520.40400000004</v>
      </c>
      <c r="E52" s="1">
        <f t="shared" si="19"/>
        <v>376678.02240000002</v>
      </c>
      <c r="F52" s="1">
        <f t="shared" si="19"/>
        <v>715783.70160000003</v>
      </c>
      <c r="G52" s="1">
        <f t="shared" si="19"/>
        <v>225340.97407560004</v>
      </c>
    </row>
    <row r="53" spans="1:7">
      <c r="A53" s="1">
        <v>2044</v>
      </c>
      <c r="B53" s="1">
        <f t="shared" si="19"/>
        <v>148497.42240000001</v>
      </c>
      <c r="C53" s="1">
        <f t="shared" si="19"/>
        <v>0</v>
      </c>
      <c r="D53" s="1">
        <f t="shared" si="19"/>
        <v>220141.94400000002</v>
      </c>
      <c r="E53" s="1">
        <f t="shared" si="19"/>
        <v>330941.4192</v>
      </c>
      <c r="F53" s="1">
        <f t="shared" si="19"/>
        <v>723755.36880000005</v>
      </c>
      <c r="G53" s="1">
        <f t="shared" si="19"/>
        <v>224072.28575280003</v>
      </c>
    </row>
    <row r="54" spans="1:7">
      <c r="A54" s="2">
        <v>2045</v>
      </c>
      <c r="B54" s="2">
        <f>conversion_to_TJ!L10*Dashboard!$D$11</f>
        <v>145909.98000000001</v>
      </c>
      <c r="C54" s="2">
        <f>conversion_to_TJ!L10*Dashboard!$D$12</f>
        <v>0</v>
      </c>
      <c r="D54" s="2">
        <f>conversion_to_TJ!L12</f>
        <v>184763.484</v>
      </c>
      <c r="E54" s="2">
        <f>conversion_to_TJ!L11</f>
        <v>285204.81599999999</v>
      </c>
      <c r="F54" s="2">
        <f>conversion_to_TJ!L13</f>
        <v>731727.03600000008</v>
      </c>
      <c r="G54" s="2">
        <f>conversion_to_TJ!L16*Dashboard!$D$14</f>
        <v>222803.59743000002</v>
      </c>
    </row>
    <row r="55" spans="1:7">
      <c r="A55" s="1">
        <v>2046</v>
      </c>
      <c r="B55" s="1">
        <f>B$54+(B$59-B$54)/($A$59-$A$54)*($A55-$A$54)</f>
        <v>139077.12240000002</v>
      </c>
      <c r="C55" s="1">
        <f t="shared" ref="C55:G55" si="20">C$54+(C$59-C$54)/($A$59-$A$54)*($A55-$A$54)</f>
        <v>0</v>
      </c>
      <c r="D55" s="1">
        <f t="shared" si="20"/>
        <v>162372.47759999998</v>
      </c>
      <c r="E55" s="1">
        <f t="shared" si="20"/>
        <v>249399.30239999999</v>
      </c>
      <c r="F55" s="1">
        <f t="shared" si="20"/>
        <v>731727.03600000008</v>
      </c>
      <c r="G55" s="1">
        <f t="shared" si="20"/>
        <v>222359.81756400003</v>
      </c>
    </row>
    <row r="56" spans="1:7">
      <c r="A56" s="1">
        <v>2047</v>
      </c>
      <c r="B56" s="1">
        <f t="shared" ref="B56:G58" si="21">B$54+(B$59-B$54)/($A$59-$A$54)*($A56-$A$54)</f>
        <v>132244.2648</v>
      </c>
      <c r="C56" s="1">
        <f t="shared" si="21"/>
        <v>0</v>
      </c>
      <c r="D56" s="1">
        <f t="shared" si="21"/>
        <v>139981.4712</v>
      </c>
      <c r="E56" s="1">
        <f t="shared" si="21"/>
        <v>213593.78880000001</v>
      </c>
      <c r="F56" s="1">
        <f t="shared" si="21"/>
        <v>731727.03600000008</v>
      </c>
      <c r="G56" s="1">
        <f t="shared" si="21"/>
        <v>221916.03769800003</v>
      </c>
    </row>
    <row r="57" spans="1:7">
      <c r="A57" s="1">
        <v>2048</v>
      </c>
      <c r="B57" s="1">
        <f t="shared" si="21"/>
        <v>125411.40720000002</v>
      </c>
      <c r="C57" s="1">
        <f t="shared" si="21"/>
        <v>0</v>
      </c>
      <c r="D57" s="1">
        <f t="shared" si="21"/>
        <v>117590.4648</v>
      </c>
      <c r="E57" s="1">
        <f t="shared" si="21"/>
        <v>177788.27520000003</v>
      </c>
      <c r="F57" s="1">
        <f t="shared" si="21"/>
        <v>731727.03600000008</v>
      </c>
      <c r="G57" s="1">
        <f t="shared" si="21"/>
        <v>221472.25783200003</v>
      </c>
    </row>
    <row r="58" spans="1:7">
      <c r="A58" s="1">
        <v>2049</v>
      </c>
      <c r="B58" s="1">
        <f t="shared" si="21"/>
        <v>118578.54960000001</v>
      </c>
      <c r="C58" s="1">
        <f t="shared" si="21"/>
        <v>0</v>
      </c>
      <c r="D58" s="1">
        <f t="shared" si="21"/>
        <v>95199.458400000003</v>
      </c>
      <c r="E58" s="1">
        <f t="shared" si="21"/>
        <v>141982.76160000003</v>
      </c>
      <c r="F58" s="1">
        <f t="shared" si="21"/>
        <v>731727.03600000008</v>
      </c>
      <c r="G58" s="1">
        <f t="shared" si="21"/>
        <v>221028.47796600003</v>
      </c>
    </row>
    <row r="59" spans="1:7">
      <c r="A59" s="2">
        <v>2050</v>
      </c>
      <c r="B59" s="2">
        <f>conversion_to_TJ!M10*Dashboard!$D$11</f>
        <v>111745.69200000001</v>
      </c>
      <c r="C59" s="2">
        <f>conversion_to_TJ!M10*Dashboard!$D$12</f>
        <v>0</v>
      </c>
      <c r="D59" s="2">
        <f>conversion_to_TJ!M12</f>
        <v>72808.452000000005</v>
      </c>
      <c r="E59" s="2">
        <f>conversion_to_TJ!M11</f>
        <v>106177.24800000001</v>
      </c>
      <c r="F59" s="2">
        <f>conversion_to_TJ!M13</f>
        <v>731727.03600000008</v>
      </c>
      <c r="G59" s="2">
        <f>conversion_to_TJ!M16*Dashboard!$D$14</f>
        <v>220584.69810000004</v>
      </c>
    </row>
  </sheetData>
  <mergeCells count="1">
    <mergeCell ref="B3:G5"/>
  </mergeCells>
  <pageMargins left="0.75" right="0.75" top="1" bottom="1" header="0.5" footer="0.5"/>
  <pageSetup paperSize="9" orientation="portrait" horizontalDpi="4294967292" verticalDpi="4294967292"/>
  <drawing r:id="rId1"/>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enableFormatConditionsCalculation="0">
    <tabColor theme="7" tint="0.39997558519241921"/>
  </sheetPr>
  <dimension ref="A1:G42"/>
  <sheetViews>
    <sheetView workbookViewId="0"/>
  </sheetViews>
  <sheetFormatPr baseColWidth="10" defaultRowHeight="15" x14ac:dyDescent="0"/>
  <sheetData>
    <row r="1" spans="1:7">
      <c r="A1" t="s">
        <v>0</v>
      </c>
      <c r="B1" t="s">
        <v>1</v>
      </c>
      <c r="C1" t="s">
        <v>2</v>
      </c>
      <c r="D1" t="s">
        <v>3</v>
      </c>
      <c r="E1" t="s">
        <v>4</v>
      </c>
      <c r="F1" t="s">
        <v>5</v>
      </c>
      <c r="G1" t="s">
        <v>6</v>
      </c>
    </row>
    <row r="2" spans="1:7">
      <c r="A2">
        <v>2010</v>
      </c>
      <c r="B2">
        <f>interpolation!B19</f>
        <v>461858.01</v>
      </c>
      <c r="C2">
        <f>interpolation!C19</f>
        <v>0</v>
      </c>
      <c r="D2">
        <f>interpolation!D19</f>
        <v>2154254.5499999998</v>
      </c>
      <c r="E2">
        <f>interpolation!E19</f>
        <v>2685455.3880000003</v>
      </c>
      <c r="F2">
        <f>interpolation!F19</f>
        <v>671102.17200000002</v>
      </c>
      <c r="G2">
        <f>interpolation!G19</f>
        <v>116009.27791200002</v>
      </c>
    </row>
    <row r="3" spans="1:7">
      <c r="A3">
        <v>2011</v>
      </c>
      <c r="B3">
        <f>interpolation!B20</f>
        <v>439700.58499999996</v>
      </c>
      <c r="C3">
        <f>interpolation!C20</f>
        <v>0</v>
      </c>
      <c r="D3">
        <f>interpolation!D20</f>
        <v>1810463.9699999997</v>
      </c>
      <c r="E3">
        <f>interpolation!E20</f>
        <v>2690197.0839999998</v>
      </c>
      <c r="F3">
        <f>interpolation!F20</f>
        <v>719647.49100000004</v>
      </c>
      <c r="G3">
        <f>interpolation!G20</f>
        <v>123950.32704360002</v>
      </c>
    </row>
    <row r="4" spans="1:7">
      <c r="A4">
        <v>2012</v>
      </c>
      <c r="B4">
        <f>interpolation!B21</f>
        <v>417543.16</v>
      </c>
      <c r="C4">
        <f>interpolation!C21</f>
        <v>0</v>
      </c>
      <c r="D4">
        <f>interpolation!D21</f>
        <v>1466673.39</v>
      </c>
      <c r="E4">
        <f>interpolation!E21</f>
        <v>2694938.78</v>
      </c>
      <c r="F4">
        <f>interpolation!F21</f>
        <v>768192.81</v>
      </c>
      <c r="G4">
        <f>interpolation!G21</f>
        <v>131891.37617520001</v>
      </c>
    </row>
    <row r="5" spans="1:7">
      <c r="A5">
        <v>2013</v>
      </c>
      <c r="B5">
        <f>interpolation!B22</f>
        <v>437376.77066666668</v>
      </c>
      <c r="C5">
        <f>interpolation!C22</f>
        <v>0</v>
      </c>
      <c r="D5">
        <f>interpolation!D22</f>
        <v>1560417.348</v>
      </c>
      <c r="E5">
        <f>interpolation!E22</f>
        <v>2504795.1613333332</v>
      </c>
      <c r="F5">
        <f>interpolation!F22</f>
        <v>738983.32000000007</v>
      </c>
      <c r="G5">
        <f>interpolation!G22</f>
        <v>139832.42530680003</v>
      </c>
    </row>
    <row r="6" spans="1:7">
      <c r="A6">
        <v>2014</v>
      </c>
      <c r="B6">
        <f>interpolation!B23</f>
        <v>457210.38133333332</v>
      </c>
      <c r="C6">
        <f>interpolation!C23</f>
        <v>0</v>
      </c>
      <c r="D6">
        <f>interpolation!D23</f>
        <v>1654161.3060000001</v>
      </c>
      <c r="E6">
        <f>interpolation!E23</f>
        <v>2314651.5426666667</v>
      </c>
      <c r="F6">
        <f>interpolation!F23</f>
        <v>709773.83000000007</v>
      </c>
      <c r="G6">
        <f>interpolation!G23</f>
        <v>147773.47443840001</v>
      </c>
    </row>
    <row r="7" spans="1:7">
      <c r="A7">
        <v>2015</v>
      </c>
      <c r="B7">
        <f>interpolation!B24</f>
        <v>477043.99200000003</v>
      </c>
      <c r="C7">
        <f>interpolation!C24</f>
        <v>0</v>
      </c>
      <c r="D7">
        <f>interpolation!D24</f>
        <v>1747905.2640000002</v>
      </c>
      <c r="E7">
        <f>interpolation!E24</f>
        <v>2124507.9240000001</v>
      </c>
      <c r="F7">
        <f>interpolation!F24</f>
        <v>680564.34000000008</v>
      </c>
      <c r="G7">
        <f>interpolation!G24</f>
        <v>155714.52357000002</v>
      </c>
    </row>
    <row r="8" spans="1:7">
      <c r="A8">
        <v>2016</v>
      </c>
      <c r="B8">
        <f>interpolation!B25</f>
        <v>465228.84240000002</v>
      </c>
      <c r="C8">
        <f>interpolation!C25</f>
        <v>0</v>
      </c>
      <c r="D8">
        <f>interpolation!D25</f>
        <v>1672182.7992000002</v>
      </c>
      <c r="E8">
        <f>interpolation!E25</f>
        <v>2033001.2232000001</v>
      </c>
      <c r="F8">
        <f>interpolation!F25</f>
        <v>610946.22960000008</v>
      </c>
      <c r="G8">
        <f>interpolation!G25</f>
        <v>166631.50827360002</v>
      </c>
    </row>
    <row r="9" spans="1:7">
      <c r="A9">
        <v>2017</v>
      </c>
      <c r="B9">
        <f>interpolation!B26</f>
        <v>453413.69280000002</v>
      </c>
      <c r="C9">
        <f>interpolation!C26</f>
        <v>0</v>
      </c>
      <c r="D9">
        <f>interpolation!D26</f>
        <v>1596460.3344000003</v>
      </c>
      <c r="E9">
        <f>interpolation!E26</f>
        <v>1941494.5224000001</v>
      </c>
      <c r="F9">
        <f>interpolation!F26</f>
        <v>541328.11920000007</v>
      </c>
      <c r="G9">
        <f>interpolation!G26</f>
        <v>177548.49297720002</v>
      </c>
    </row>
    <row r="10" spans="1:7">
      <c r="A10">
        <v>2018</v>
      </c>
      <c r="B10">
        <f>interpolation!B27</f>
        <v>441598.54320000001</v>
      </c>
      <c r="C10">
        <f>interpolation!C27</f>
        <v>0</v>
      </c>
      <c r="D10">
        <f>interpolation!D27</f>
        <v>1520737.8696000003</v>
      </c>
      <c r="E10">
        <f>interpolation!E27</f>
        <v>1849987.8216000001</v>
      </c>
      <c r="F10">
        <f>interpolation!F27</f>
        <v>471710.00880000001</v>
      </c>
      <c r="G10">
        <f>interpolation!G27</f>
        <v>188465.47768080002</v>
      </c>
    </row>
    <row r="11" spans="1:7">
      <c r="A11">
        <v>2019</v>
      </c>
      <c r="B11">
        <f>interpolation!B28</f>
        <v>429783.39360000001</v>
      </c>
      <c r="C11">
        <f>interpolation!C28</f>
        <v>0</v>
      </c>
      <c r="D11">
        <f>interpolation!D28</f>
        <v>1445015.4048000001</v>
      </c>
      <c r="E11">
        <f>interpolation!E28</f>
        <v>1758481.1208000001</v>
      </c>
      <c r="F11">
        <f>interpolation!F28</f>
        <v>402091.89840000001</v>
      </c>
      <c r="G11">
        <f>interpolation!G28</f>
        <v>199382.46238440002</v>
      </c>
    </row>
    <row r="12" spans="1:7">
      <c r="A12">
        <v>2020</v>
      </c>
      <c r="B12">
        <f>interpolation!B29</f>
        <v>417968.24400000001</v>
      </c>
      <c r="C12">
        <f>interpolation!C29</f>
        <v>0</v>
      </c>
      <c r="D12">
        <f>interpolation!D29</f>
        <v>1369292.9400000002</v>
      </c>
      <c r="E12">
        <f>interpolation!E29</f>
        <v>1666974.4200000002</v>
      </c>
      <c r="F12">
        <f>interpolation!F29</f>
        <v>332473.788</v>
      </c>
      <c r="G12">
        <f>interpolation!G29</f>
        <v>210299.44708800002</v>
      </c>
    </row>
    <row r="13" spans="1:7">
      <c r="A13">
        <v>2021</v>
      </c>
      <c r="B13">
        <f>interpolation!B30</f>
        <v>428008.19040000002</v>
      </c>
      <c r="C13">
        <f>interpolation!C30</f>
        <v>0</v>
      </c>
      <c r="D13">
        <f>interpolation!D30</f>
        <v>1305569.844</v>
      </c>
      <c r="E13">
        <f>interpolation!E30</f>
        <v>1591745.9976000001</v>
      </c>
      <c r="F13">
        <f>interpolation!F30</f>
        <v>312561.36719999998</v>
      </c>
      <c r="G13">
        <f>interpolation!G30</f>
        <v>211192.22775960001</v>
      </c>
    </row>
    <row r="14" spans="1:7">
      <c r="A14">
        <v>2022</v>
      </c>
      <c r="B14">
        <f>interpolation!B31</f>
        <v>438048.13680000004</v>
      </c>
      <c r="C14">
        <f>interpolation!C31</f>
        <v>0</v>
      </c>
      <c r="D14">
        <f>interpolation!D31</f>
        <v>1241846.7480000001</v>
      </c>
      <c r="E14">
        <f>interpolation!E31</f>
        <v>1516517.5752000001</v>
      </c>
      <c r="F14">
        <f>interpolation!F31</f>
        <v>292648.94640000002</v>
      </c>
      <c r="G14">
        <f>interpolation!G31</f>
        <v>212085.00843120003</v>
      </c>
    </row>
    <row r="15" spans="1:7">
      <c r="A15">
        <v>2023</v>
      </c>
      <c r="B15">
        <f>interpolation!B32</f>
        <v>448088.08319999999</v>
      </c>
      <c r="C15">
        <f>interpolation!C32</f>
        <v>0</v>
      </c>
      <c r="D15">
        <f>interpolation!D32</f>
        <v>1178123.652</v>
      </c>
      <c r="E15">
        <f>interpolation!E32</f>
        <v>1441289.1528</v>
      </c>
      <c r="F15">
        <f>interpolation!F32</f>
        <v>272736.52559999999</v>
      </c>
      <c r="G15">
        <f>interpolation!G32</f>
        <v>212977.78910280002</v>
      </c>
    </row>
    <row r="16" spans="1:7">
      <c r="A16">
        <v>2024</v>
      </c>
      <c r="B16">
        <f>interpolation!B33</f>
        <v>458128.02960000001</v>
      </c>
      <c r="C16">
        <f>interpolation!C33</f>
        <v>0</v>
      </c>
      <c r="D16">
        <f>interpolation!D33</f>
        <v>1114400.5560000001</v>
      </c>
      <c r="E16">
        <f>interpolation!E33</f>
        <v>1366060.7304</v>
      </c>
      <c r="F16">
        <f>interpolation!F33</f>
        <v>252824.1048</v>
      </c>
      <c r="G16">
        <f>interpolation!G33</f>
        <v>213870.56977440004</v>
      </c>
    </row>
    <row r="17" spans="1:7">
      <c r="A17">
        <v>2025</v>
      </c>
      <c r="B17">
        <f>interpolation!B34</f>
        <v>468167.97600000002</v>
      </c>
      <c r="C17">
        <f>interpolation!C34</f>
        <v>0</v>
      </c>
      <c r="D17">
        <f>interpolation!D34</f>
        <v>1050677.46</v>
      </c>
      <c r="E17">
        <f>interpolation!E34</f>
        <v>1290832.308</v>
      </c>
      <c r="F17">
        <f>interpolation!F34</f>
        <v>232911.68400000001</v>
      </c>
      <c r="G17">
        <f>interpolation!G34</f>
        <v>214763.35044600003</v>
      </c>
    </row>
    <row r="18" spans="1:7">
      <c r="A18">
        <v>2026</v>
      </c>
      <c r="B18">
        <f>interpolation!B35</f>
        <v>424080.97200000001</v>
      </c>
      <c r="C18">
        <f>interpolation!C35</f>
        <v>0</v>
      </c>
      <c r="D18">
        <f>interpolation!D35</f>
        <v>1004497.056</v>
      </c>
      <c r="E18">
        <f>interpolation!E35</f>
        <v>1232225.4816000001</v>
      </c>
      <c r="F18">
        <f>interpolation!F35</f>
        <v>257186.75040000002</v>
      </c>
      <c r="G18">
        <f>interpolation!G35</f>
        <v>213933.22104960002</v>
      </c>
    </row>
    <row r="19" spans="1:7">
      <c r="A19">
        <v>2027</v>
      </c>
      <c r="B19">
        <f>interpolation!B36</f>
        <v>379993.96799999999</v>
      </c>
      <c r="C19">
        <f>interpolation!C36</f>
        <v>0</v>
      </c>
      <c r="D19">
        <f>interpolation!D36</f>
        <v>958316.652</v>
      </c>
      <c r="E19">
        <f>interpolation!E36</f>
        <v>1173618.6551999999</v>
      </c>
      <c r="F19">
        <f>interpolation!F36</f>
        <v>281461.81680000003</v>
      </c>
      <c r="G19">
        <f>interpolation!G36</f>
        <v>213103.09165320004</v>
      </c>
    </row>
    <row r="20" spans="1:7">
      <c r="A20">
        <v>2028</v>
      </c>
      <c r="B20">
        <f>interpolation!B37</f>
        <v>335906.96400000004</v>
      </c>
      <c r="C20">
        <f>interpolation!C37</f>
        <v>0</v>
      </c>
      <c r="D20">
        <f>interpolation!D37</f>
        <v>912136.24800000002</v>
      </c>
      <c r="E20">
        <f>interpolation!E37</f>
        <v>1115011.8288</v>
      </c>
      <c r="F20">
        <f>interpolation!F37</f>
        <v>305736.88320000004</v>
      </c>
      <c r="G20">
        <f>interpolation!G37</f>
        <v>212272.96225680003</v>
      </c>
    </row>
    <row r="21" spans="1:7">
      <c r="A21">
        <v>2029</v>
      </c>
      <c r="B21">
        <f>interpolation!B38</f>
        <v>291819.96000000002</v>
      </c>
      <c r="C21">
        <f>interpolation!C38</f>
        <v>0</v>
      </c>
      <c r="D21">
        <f>interpolation!D38</f>
        <v>865955.84400000004</v>
      </c>
      <c r="E21">
        <f>interpolation!E38</f>
        <v>1056405.0024000001</v>
      </c>
      <c r="F21">
        <f>interpolation!F38</f>
        <v>330011.94959999999</v>
      </c>
      <c r="G21">
        <f>interpolation!G38</f>
        <v>211442.83286040006</v>
      </c>
    </row>
    <row r="22" spans="1:7">
      <c r="A22">
        <v>2030</v>
      </c>
      <c r="B22">
        <f>interpolation!B39</f>
        <v>247732.95600000001</v>
      </c>
      <c r="C22">
        <f>interpolation!C39</f>
        <v>0</v>
      </c>
      <c r="D22">
        <f>interpolation!D39</f>
        <v>819775.44000000006</v>
      </c>
      <c r="E22">
        <f>interpolation!E39</f>
        <v>997798.17600000009</v>
      </c>
      <c r="F22">
        <f>interpolation!F39</f>
        <v>354287.016</v>
      </c>
      <c r="G22">
        <f>interpolation!G39</f>
        <v>210612.70346400005</v>
      </c>
    </row>
    <row r="23" spans="1:7">
      <c r="A23">
        <v>2031</v>
      </c>
      <c r="B23">
        <f>interpolation!B40</f>
        <v>235239.5448</v>
      </c>
      <c r="C23">
        <f>interpolation!C40</f>
        <v>0</v>
      </c>
      <c r="D23">
        <f>interpolation!D40</f>
        <v>768981.18240000005</v>
      </c>
      <c r="E23">
        <f>interpolation!E40</f>
        <v>946936.92960000003</v>
      </c>
      <c r="F23">
        <f>interpolation!F40</f>
        <v>379399.4424</v>
      </c>
      <c r="G23">
        <f>interpolation!G40</f>
        <v>212471.35796160004</v>
      </c>
    </row>
    <row r="24" spans="1:7">
      <c r="A24">
        <v>2032</v>
      </c>
      <c r="B24">
        <f>interpolation!B41</f>
        <v>222746.1336</v>
      </c>
      <c r="C24">
        <f>interpolation!C41</f>
        <v>0</v>
      </c>
      <c r="D24">
        <f>interpolation!D41</f>
        <v>718186.92480000004</v>
      </c>
      <c r="E24">
        <f>interpolation!E41</f>
        <v>896075.68320000009</v>
      </c>
      <c r="F24">
        <f>interpolation!F41</f>
        <v>404511.8688</v>
      </c>
      <c r="G24">
        <f>interpolation!G41</f>
        <v>214330.01245920005</v>
      </c>
    </row>
    <row r="25" spans="1:7">
      <c r="A25">
        <v>2033</v>
      </c>
      <c r="B25">
        <f>interpolation!B42</f>
        <v>210252.72240000003</v>
      </c>
      <c r="C25">
        <f>interpolation!C42</f>
        <v>0</v>
      </c>
      <c r="D25">
        <f>interpolation!D42</f>
        <v>667392.66720000003</v>
      </c>
      <c r="E25">
        <f>interpolation!E42</f>
        <v>845214.43680000002</v>
      </c>
      <c r="F25">
        <f>interpolation!F42</f>
        <v>429624.29520000005</v>
      </c>
      <c r="G25">
        <f>interpolation!G42</f>
        <v>216188.66695680004</v>
      </c>
    </row>
    <row r="26" spans="1:7">
      <c r="A26">
        <v>2034</v>
      </c>
      <c r="B26">
        <f>interpolation!B43</f>
        <v>197759.31120000003</v>
      </c>
      <c r="C26">
        <f>interpolation!C43</f>
        <v>0</v>
      </c>
      <c r="D26">
        <f>interpolation!D43</f>
        <v>616598.40960000001</v>
      </c>
      <c r="E26">
        <f>interpolation!E43</f>
        <v>794353.19039999996</v>
      </c>
      <c r="F26">
        <f>interpolation!F43</f>
        <v>454736.72160000005</v>
      </c>
      <c r="G26">
        <f>interpolation!G43</f>
        <v>218047.32145440005</v>
      </c>
    </row>
    <row r="27" spans="1:7">
      <c r="A27">
        <v>2035</v>
      </c>
      <c r="B27">
        <f>interpolation!B44</f>
        <v>185265.90000000002</v>
      </c>
      <c r="C27">
        <f>interpolation!C44</f>
        <v>0</v>
      </c>
      <c r="D27">
        <f>interpolation!D44</f>
        <v>565804.152</v>
      </c>
      <c r="E27">
        <f>interpolation!E44</f>
        <v>743491.94400000002</v>
      </c>
      <c r="F27">
        <f>interpolation!F44</f>
        <v>479849.14800000004</v>
      </c>
      <c r="G27">
        <f>interpolation!G44</f>
        <v>219905.97595200004</v>
      </c>
    </row>
    <row r="28" spans="1:7">
      <c r="A28">
        <v>2036</v>
      </c>
      <c r="B28">
        <f>interpolation!B45</f>
        <v>179982.15840000001</v>
      </c>
      <c r="C28">
        <f>interpolation!C45</f>
        <v>0</v>
      </c>
      <c r="D28">
        <f>interpolation!D45</f>
        <v>524974.47840000002</v>
      </c>
      <c r="E28">
        <f>interpolation!E45</f>
        <v>697571.12160000007</v>
      </c>
      <c r="F28">
        <f>interpolation!F45</f>
        <v>522253.05840000004</v>
      </c>
      <c r="G28">
        <f>interpolation!G45</f>
        <v>221754.18857040003</v>
      </c>
    </row>
    <row r="29" spans="1:7">
      <c r="A29">
        <v>2037</v>
      </c>
      <c r="B29">
        <f>interpolation!B46</f>
        <v>174698.41680000001</v>
      </c>
      <c r="C29">
        <f>interpolation!C46</f>
        <v>0</v>
      </c>
      <c r="D29">
        <f>interpolation!D46</f>
        <v>484144.80480000004</v>
      </c>
      <c r="E29">
        <f>interpolation!E46</f>
        <v>651650.29920000001</v>
      </c>
      <c r="F29">
        <f>interpolation!F46</f>
        <v>564656.96880000003</v>
      </c>
      <c r="G29">
        <f>interpolation!G46</f>
        <v>223602.40118880002</v>
      </c>
    </row>
    <row r="30" spans="1:7">
      <c r="A30">
        <v>2038</v>
      </c>
      <c r="B30">
        <f>interpolation!B47</f>
        <v>169414.67520000003</v>
      </c>
      <c r="C30">
        <f>interpolation!C47</f>
        <v>0</v>
      </c>
      <c r="D30">
        <f>interpolation!D47</f>
        <v>443315.1312</v>
      </c>
      <c r="E30">
        <f>interpolation!E47</f>
        <v>605729.47680000006</v>
      </c>
      <c r="F30">
        <f>interpolation!F47</f>
        <v>607060.87920000008</v>
      </c>
      <c r="G30">
        <f>interpolation!G47</f>
        <v>225450.61380720005</v>
      </c>
    </row>
    <row r="31" spans="1:7">
      <c r="A31">
        <v>2039</v>
      </c>
      <c r="B31">
        <f>interpolation!B48</f>
        <v>164130.93360000002</v>
      </c>
      <c r="C31">
        <f>interpolation!C48</f>
        <v>0</v>
      </c>
      <c r="D31">
        <f>interpolation!D48</f>
        <v>402485.45760000002</v>
      </c>
      <c r="E31">
        <f>interpolation!E48</f>
        <v>559808.65440000012</v>
      </c>
      <c r="F31">
        <f>interpolation!F48</f>
        <v>649464.78960000002</v>
      </c>
      <c r="G31">
        <f>interpolation!G48</f>
        <v>227298.82642560004</v>
      </c>
    </row>
    <row r="32" spans="1:7">
      <c r="A32">
        <v>2040</v>
      </c>
      <c r="B32">
        <f>interpolation!B49</f>
        <v>158847.19200000001</v>
      </c>
      <c r="C32">
        <f>interpolation!C49</f>
        <v>0</v>
      </c>
      <c r="D32">
        <f>interpolation!D49</f>
        <v>361655.78400000004</v>
      </c>
      <c r="E32">
        <f>interpolation!E49</f>
        <v>513887.83200000005</v>
      </c>
      <c r="F32">
        <f>interpolation!F49</f>
        <v>691868.70000000007</v>
      </c>
      <c r="G32">
        <f>interpolation!G49</f>
        <v>229147.03904400003</v>
      </c>
    </row>
    <row r="33" spans="1:7">
      <c r="A33">
        <v>2041</v>
      </c>
      <c r="B33">
        <f>interpolation!B50</f>
        <v>156259.74960000001</v>
      </c>
      <c r="C33">
        <f>interpolation!C50</f>
        <v>0</v>
      </c>
      <c r="D33">
        <f>interpolation!D50</f>
        <v>326277.32400000002</v>
      </c>
      <c r="E33">
        <f>interpolation!E50</f>
        <v>468151.22880000004</v>
      </c>
      <c r="F33">
        <f>interpolation!F50</f>
        <v>699840.3672000001</v>
      </c>
      <c r="G33">
        <f>interpolation!G50</f>
        <v>227878.35072120003</v>
      </c>
    </row>
    <row r="34" spans="1:7">
      <c r="A34">
        <v>2042</v>
      </c>
      <c r="B34">
        <f>interpolation!B51</f>
        <v>153672.30720000001</v>
      </c>
      <c r="C34">
        <f>interpolation!C51</f>
        <v>0</v>
      </c>
      <c r="D34">
        <f>interpolation!D51</f>
        <v>290898.86400000006</v>
      </c>
      <c r="E34">
        <f>interpolation!E51</f>
        <v>422414.62560000003</v>
      </c>
      <c r="F34">
        <f>interpolation!F51</f>
        <v>707812.03440000012</v>
      </c>
      <c r="G34">
        <f>interpolation!G51</f>
        <v>226609.66239840002</v>
      </c>
    </row>
    <row r="35" spans="1:7">
      <c r="A35">
        <v>2043</v>
      </c>
      <c r="B35">
        <f>interpolation!B52</f>
        <v>151084.86480000001</v>
      </c>
      <c r="C35">
        <f>interpolation!C52</f>
        <v>0</v>
      </c>
      <c r="D35">
        <f>interpolation!D52</f>
        <v>255520.40400000004</v>
      </c>
      <c r="E35">
        <f>interpolation!E52</f>
        <v>376678.02240000002</v>
      </c>
      <c r="F35">
        <f>interpolation!F52</f>
        <v>715783.70160000003</v>
      </c>
      <c r="G35">
        <f>interpolation!G52</f>
        <v>225340.97407560004</v>
      </c>
    </row>
    <row r="36" spans="1:7">
      <c r="A36">
        <v>2044</v>
      </c>
      <c r="B36">
        <f>interpolation!B53</f>
        <v>148497.42240000001</v>
      </c>
      <c r="C36">
        <f>interpolation!C53</f>
        <v>0</v>
      </c>
      <c r="D36">
        <f>interpolation!D53</f>
        <v>220141.94400000002</v>
      </c>
      <c r="E36">
        <f>interpolation!E53</f>
        <v>330941.4192</v>
      </c>
      <c r="F36">
        <f>interpolation!F53</f>
        <v>723755.36880000005</v>
      </c>
      <c r="G36">
        <f>interpolation!G53</f>
        <v>224072.28575280003</v>
      </c>
    </row>
    <row r="37" spans="1:7">
      <c r="A37">
        <v>2045</v>
      </c>
      <c r="B37">
        <f>interpolation!B54</f>
        <v>145909.98000000001</v>
      </c>
      <c r="C37">
        <f>interpolation!C54</f>
        <v>0</v>
      </c>
      <c r="D37">
        <f>interpolation!D54</f>
        <v>184763.484</v>
      </c>
      <c r="E37">
        <f>interpolation!E54</f>
        <v>285204.81599999999</v>
      </c>
      <c r="F37">
        <f>interpolation!F54</f>
        <v>731727.03600000008</v>
      </c>
      <c r="G37">
        <f>interpolation!G54</f>
        <v>222803.59743000002</v>
      </c>
    </row>
    <row r="38" spans="1:7">
      <c r="A38">
        <v>2046</v>
      </c>
      <c r="B38">
        <f>interpolation!B55</f>
        <v>139077.12240000002</v>
      </c>
      <c r="C38">
        <f>interpolation!C55</f>
        <v>0</v>
      </c>
      <c r="D38">
        <f>interpolation!D55</f>
        <v>162372.47759999998</v>
      </c>
      <c r="E38">
        <f>interpolation!E55</f>
        <v>249399.30239999999</v>
      </c>
      <c r="F38">
        <f>interpolation!F55</f>
        <v>731727.03600000008</v>
      </c>
      <c r="G38">
        <f>interpolation!G55</f>
        <v>222359.81756400003</v>
      </c>
    </row>
    <row r="39" spans="1:7">
      <c r="A39">
        <v>2047</v>
      </c>
      <c r="B39">
        <f>interpolation!B56</f>
        <v>132244.2648</v>
      </c>
      <c r="C39">
        <f>interpolation!C56</f>
        <v>0</v>
      </c>
      <c r="D39">
        <f>interpolation!D56</f>
        <v>139981.4712</v>
      </c>
      <c r="E39">
        <f>interpolation!E56</f>
        <v>213593.78880000001</v>
      </c>
      <c r="F39">
        <f>interpolation!F56</f>
        <v>731727.03600000008</v>
      </c>
      <c r="G39">
        <f>interpolation!G56</f>
        <v>221916.03769800003</v>
      </c>
    </row>
    <row r="40" spans="1:7">
      <c r="A40">
        <v>2048</v>
      </c>
      <c r="B40">
        <f>interpolation!B57</f>
        <v>125411.40720000002</v>
      </c>
      <c r="C40">
        <f>interpolation!C57</f>
        <v>0</v>
      </c>
      <c r="D40">
        <f>interpolation!D57</f>
        <v>117590.4648</v>
      </c>
      <c r="E40">
        <f>interpolation!E57</f>
        <v>177788.27520000003</v>
      </c>
      <c r="F40">
        <f>interpolation!F57</f>
        <v>731727.03600000008</v>
      </c>
      <c r="G40">
        <f>interpolation!G57</f>
        <v>221472.25783200003</v>
      </c>
    </row>
    <row r="41" spans="1:7">
      <c r="A41">
        <v>2049</v>
      </c>
      <c r="B41">
        <f>interpolation!B58</f>
        <v>118578.54960000001</v>
      </c>
      <c r="C41">
        <f>interpolation!C58</f>
        <v>0</v>
      </c>
      <c r="D41">
        <f>interpolation!D58</f>
        <v>95199.458400000003</v>
      </c>
      <c r="E41">
        <f>interpolation!E58</f>
        <v>141982.76160000003</v>
      </c>
      <c r="F41">
        <f>interpolation!F58</f>
        <v>731727.03600000008</v>
      </c>
      <c r="G41">
        <f>interpolation!G58</f>
        <v>221028.47796600003</v>
      </c>
    </row>
    <row r="42" spans="1:7">
      <c r="A42">
        <v>2050</v>
      </c>
      <c r="B42">
        <f>interpolation!B59</f>
        <v>111745.69200000001</v>
      </c>
      <c r="C42">
        <f>interpolation!C59</f>
        <v>0</v>
      </c>
      <c r="D42">
        <f>interpolation!D59</f>
        <v>72808.452000000005</v>
      </c>
      <c r="E42">
        <f>interpolation!E59</f>
        <v>106177.24800000001</v>
      </c>
      <c r="F42">
        <f>interpolation!F59</f>
        <v>731727.03600000008</v>
      </c>
      <c r="G42">
        <f>interpolation!G59</f>
        <v>220584.69810000004</v>
      </c>
    </row>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9</vt:i4>
      </vt:variant>
    </vt:vector>
  </HeadingPairs>
  <TitlesOfParts>
    <vt:vector size="9" baseType="lpstr">
      <vt:lpstr>Cover sheet</vt:lpstr>
      <vt:lpstr>Changelog</vt:lpstr>
      <vt:lpstr>Contents</vt:lpstr>
      <vt:lpstr>Introduction</vt:lpstr>
      <vt:lpstr>Assumptions</vt:lpstr>
      <vt:lpstr>Dashboard</vt:lpstr>
      <vt:lpstr>conversion_to_TJ</vt:lpstr>
      <vt:lpstr>interpolation</vt:lpstr>
      <vt:lpstr>timecurves</vt:lpstr>
    </vt:vector>
  </TitlesOfParts>
  <Company>Quintel Intelligence </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Joris Berkhout</dc:creator>
  <cp:lastModifiedBy>Joris Berkhout</cp:lastModifiedBy>
  <dcterms:created xsi:type="dcterms:W3CDTF">2014-06-04T09:13:49Z</dcterms:created>
  <dcterms:modified xsi:type="dcterms:W3CDTF">2014-07-08T13:22:51Z</dcterms:modified>
</cp:coreProperties>
</file>