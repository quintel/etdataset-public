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3" i="3" l="1"/>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B20" i="5"/>
  <c r="C24" i="5"/>
  <c r="C20" i="5"/>
  <c r="F12" i="6"/>
  <c r="D24" i="5"/>
  <c r="D20" i="5"/>
  <c r="F11" i="6"/>
  <c r="E24" i="5"/>
  <c r="E20" i="5"/>
  <c r="F13" i="6"/>
  <c r="F24" i="5"/>
  <c r="F20" i="5"/>
  <c r="F16" i="6"/>
  <c r="G24" i="5"/>
  <c r="G20" i="5"/>
  <c r="B21" i="5"/>
  <c r="C21" i="5"/>
  <c r="D21" i="5"/>
  <c r="E21" i="5"/>
  <c r="F21" i="5"/>
  <c r="G21" i="5"/>
  <c r="B22" i="5"/>
  <c r="C22" i="5"/>
  <c r="D22" i="5"/>
  <c r="E22" i="5"/>
  <c r="F22" i="5"/>
  <c r="G22" i="5"/>
  <c r="B23" i="5"/>
  <c r="C23" i="5"/>
  <c r="D23" i="5"/>
  <c r="E23" i="5"/>
  <c r="F23"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<sst xmlns="http://schemas.openxmlformats.org/spreadsheetml/2006/main" count="131" uniqueCount="97">
  <si>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</si>
  <si>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</si>
  <si>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</si>
  <si>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</si>
  <si>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</si>
  <si>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</si>
  <si>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</si>
  <si>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</si>
  <si>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</si>
  <si>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</si>
  <si>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</si>
  <si>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</si>
  <si>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</si>
  <si>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</si>
  <si>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</si>
  <si>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</si>
  <si>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</si>
  <si>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</si>
  <si>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</si>
  <si>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</si>
  <si>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</si>
  <si>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</si>
  <si>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</si>
  <si>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</si>
  <si>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</si>
  <si>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</si>
  <si>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</si>
  <si>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</si>
  <si>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</si>
  <si>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</si>
  <si>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</si>
  <si>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</si>
  <si>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</si>
  <si>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</si>
  <si>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</si>
  <si>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</si>
  <si>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</si>
  <si>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</si>
  <si>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</si>
  <si>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</si>
  <si>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</si>
  <si>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</si>
  <si>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</si>
  <si>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</si>
  <si>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</si>
  <si>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</si>
  <si>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</si>
  <si>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</si>
  <si>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</si>
  <si>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</si>
  <si>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</si>
  <si>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</si>
  <si>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</si>
  <si>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</si>
  <si>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</si>
  <si>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</si>
  <si>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</si>
  <si>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</si>
  <si>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</si>
  <si>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</si>
  <si>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</si>
  <si>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</si>
  <si>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</si>
  <si>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</si>
  <si>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</si>
  <si>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</si>
  <si>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</si>
  <si>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</si>
  <si>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</si>
  <si>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</si>
  <si>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</si>
  <si>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</si>
  <si>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</si>
  <si>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</si>
  <si>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</si>
  <si>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</si>
  <si>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</si>
  <si>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</si>
  <si>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</si>
  <si>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</si>
  <si>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</si>
  <si>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</si>
  <si>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</si>
  <si>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</si>
  <si>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</si>
  <si>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</si>
  <si>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</si>
  <si>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</si>
  <si>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</si>
  <si>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</si>
  <si>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</si>
  <si>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</si>
  <si>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</si>
  <si>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</si>
  <si>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</si>
  <si>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uk</t>
  </si>
  <si>
    <t>Based on the 2012 IEA Energy Balances ( Primary solid biofuels / (Industrial waste + Municipal waste (renewable) + Primary solid biofuels)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</si>
</sst>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4"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781173.1440000001</c:v>
                </c:pt>
                <c:pt idx="1">
                  <c:v>724575.9816</c:v>
                </c:pt>
                <c:pt idx="2">
                  <c:v>667978.8192</c:v>
                </c:pt>
                <c:pt idx="3">
                  <c:v>611381.6568</c:v>
                </c:pt>
                <c:pt idx="4">
                  <c:v>554784.4944000001</c:v>
                </c:pt>
                <c:pt idx="5">
                  <c:v>498187.3320000001</c:v>
                </c:pt>
                <c:pt idx="6">
                  <c:v>488574.4392</c:v>
                </c:pt>
                <c:pt idx="7">
                  <c:v>478961.5464000001</c:v>
                </c:pt>
                <c:pt idx="8">
                  <c:v>469348.6536</c:v>
                </c:pt>
                <c:pt idx="9">
                  <c:v>459735.7608</c:v>
                </c:pt>
                <c:pt idx="10">
                  <c:v>450122.868</c:v>
                </c:pt>
                <c:pt idx="11">
                  <c:v>455507.0928</c:v>
                </c:pt>
                <c:pt idx="12">
                  <c:v>460891.3176</c:v>
                </c:pt>
                <c:pt idx="13">
                  <c:v>466275.5424</c:v>
                </c:pt>
                <c:pt idx="14">
                  <c:v>471659.7672</c:v>
                </c:pt>
                <c:pt idx="15">
                  <c:v>477043.992</c:v>
                </c:pt>
                <c:pt idx="16">
                  <c:v>465228.8424</c:v>
                </c:pt>
                <c:pt idx="17">
                  <c:v>453413.6928</c:v>
                </c:pt>
                <c:pt idx="18">
                  <c:v>441598.5432</c:v>
                </c:pt>
                <c:pt idx="19">
                  <c:v>429783.3936</c:v>
                </c:pt>
                <c:pt idx="20">
                  <c:v>417968.244</c:v>
                </c:pt>
                <c:pt idx="21">
                  <c:v>428008.1904</c:v>
                </c:pt>
                <c:pt idx="22">
                  <c:v>438048.1368</c:v>
                </c:pt>
                <c:pt idx="23">
                  <c:v>448088.0832</c:v>
                </c:pt>
                <c:pt idx="24">
                  <c:v>458128.0296</c:v>
                </c:pt>
                <c:pt idx="25">
                  <c:v>468167.976</c:v>
                </c:pt>
                <c:pt idx="26">
                  <c:v>424080.972</c:v>
                </c:pt>
                <c:pt idx="27">
                  <c:v>379993.968</c:v>
                </c:pt>
                <c:pt idx="28">
                  <c:v>335906.964</c:v>
                </c:pt>
                <c:pt idx="29">
                  <c:v>291819.96</c:v>
                </c:pt>
                <c:pt idx="30">
                  <c:v>247732.956</c:v>
                </c:pt>
                <c:pt idx="31">
                  <c:v>235239.5448</c:v>
                </c:pt>
                <c:pt idx="32">
                  <c:v>222746.1336</c:v>
                </c:pt>
                <c:pt idx="33">
                  <c:v>210252.7224</c:v>
                </c:pt>
                <c:pt idx="34">
                  <c:v>197759.3112</c:v>
                </c:pt>
                <c:pt idx="35">
                  <c:v>185265.9</c:v>
                </c:pt>
                <c:pt idx="36">
                  <c:v>179982.1584</c:v>
                </c:pt>
                <c:pt idx="37">
                  <c:v>174698.4168</c:v>
                </c:pt>
                <c:pt idx="38">
                  <c:v>169414.6752</c:v>
                </c:pt>
                <c:pt idx="39">
                  <c:v>164130.9336</c:v>
                </c:pt>
                <c:pt idx="40">
                  <c:v>158847.192</c:v>
                </c:pt>
                <c:pt idx="41">
                  <c:v>156259.7496</c:v>
                </c:pt>
                <c:pt idx="42">
                  <c:v>153672.3072</c:v>
                </c:pt>
                <c:pt idx="43">
                  <c:v>151084.8648</c:v>
                </c:pt>
                <c:pt idx="44">
                  <c:v>148497.4224</c:v>
                </c:pt>
                <c:pt idx="45">
                  <c:v>145909.98</c:v>
                </c:pt>
                <c:pt idx="46">
                  <c:v>139077.1224</c:v>
                </c:pt>
                <c:pt idx="47">
                  <c:v>132244.2648</c:v>
                </c:pt>
                <c:pt idx="48">
                  <c:v>125411.4072</c:v>
                </c:pt>
                <c:pt idx="49">
                  <c:v>118578.5496</c:v>
                </c:pt>
                <c:pt idx="50">
                  <c:v>111745.692</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4.084390872E6</c:v>
                </c:pt>
                <c:pt idx="1">
                  <c:v>3.9323514168E6</c:v>
                </c:pt>
                <c:pt idx="2">
                  <c:v>3.7803119616E6</c:v>
                </c:pt>
                <c:pt idx="3">
                  <c:v>3.6282725064E6</c:v>
                </c:pt>
                <c:pt idx="4">
                  <c:v>3.4762330512E6</c:v>
                </c:pt>
                <c:pt idx="5">
                  <c:v>3.324193596E6</c:v>
                </c:pt>
                <c:pt idx="6">
                  <c:v>3.0903273216E6</c:v>
                </c:pt>
                <c:pt idx="7">
                  <c:v>2.8564610472E6</c:v>
                </c:pt>
                <c:pt idx="8">
                  <c:v>2.6225947728E6</c:v>
                </c:pt>
                <c:pt idx="9">
                  <c:v>2.3887284984E6</c:v>
                </c:pt>
                <c:pt idx="10">
                  <c:v>2.154862224E6</c:v>
                </c:pt>
                <c:pt idx="11">
                  <c:v>2.073470832E6</c:v>
                </c:pt>
                <c:pt idx="12">
                  <c:v>1.99207944E6</c:v>
                </c:pt>
                <c:pt idx="13">
                  <c:v>1.910688048E6</c:v>
                </c:pt>
                <c:pt idx="14">
                  <c:v>1.829296656E6</c:v>
                </c:pt>
                <c:pt idx="15">
                  <c:v>1.747905264E6</c:v>
                </c:pt>
                <c:pt idx="16">
                  <c:v>1.6721827992E6</c:v>
                </c:pt>
                <c:pt idx="17">
                  <c:v>1.5964603344E6</c:v>
                </c:pt>
                <c:pt idx="18">
                  <c:v>1.5207378696E6</c:v>
                </c:pt>
                <c:pt idx="19">
                  <c:v>1.4450154048E6</c:v>
                </c:pt>
                <c:pt idx="20">
                  <c:v>1.36929294E6</c:v>
                </c:pt>
                <c:pt idx="21">
                  <c:v>1.305569844E6</c:v>
                </c:pt>
                <c:pt idx="22">
                  <c:v>1.241846748E6</c:v>
                </c:pt>
                <c:pt idx="23">
                  <c:v>1.178123652E6</c:v>
                </c:pt>
                <c:pt idx="24">
                  <c:v>1.114400556E6</c:v>
                </c:pt>
                <c:pt idx="25">
                  <c:v>1.05067746E6</c:v>
                </c:pt>
                <c:pt idx="26">
                  <c:v>1.004497056E6</c:v>
                </c:pt>
                <c:pt idx="27">
                  <c:v>958316.652</c:v>
                </c:pt>
                <c:pt idx="28">
                  <c:v>912136.248</c:v>
                </c:pt>
                <c:pt idx="29">
                  <c:v>865955.844</c:v>
                </c:pt>
                <c:pt idx="30">
                  <c:v>819775.44</c:v>
                </c:pt>
                <c:pt idx="31">
                  <c:v>768981.1824</c:v>
                </c:pt>
                <c:pt idx="32">
                  <c:v>718186.9248</c:v>
                </c:pt>
                <c:pt idx="33">
                  <c:v>667392.6672</c:v>
                </c:pt>
                <c:pt idx="34">
                  <c:v>616598.4096</c:v>
                </c:pt>
                <c:pt idx="35">
                  <c:v>565804.152</c:v>
                </c:pt>
                <c:pt idx="36">
                  <c:v>524974.4784</c:v>
                </c:pt>
                <c:pt idx="37">
                  <c:v>484144.8048</c:v>
                </c:pt>
                <c:pt idx="38">
                  <c:v>443315.1312</c:v>
                </c:pt>
                <c:pt idx="39">
                  <c:v>402485.4576</c:v>
                </c:pt>
                <c:pt idx="40">
                  <c:v>361655.784</c:v>
                </c:pt>
                <c:pt idx="41">
                  <c:v>326277.324</c:v>
                </c:pt>
                <c:pt idx="42">
                  <c:v>290898.8640000001</c:v>
                </c:pt>
                <c:pt idx="43">
                  <c:v>255520.404</c:v>
                </c:pt>
                <c:pt idx="44">
                  <c:v>220141.944</c:v>
                </c:pt>
                <c:pt idx="45">
                  <c:v>184763.484</c:v>
                </c:pt>
                <c:pt idx="46">
                  <c:v>162372.4776</c:v>
                </c:pt>
                <c:pt idx="47">
                  <c:v>139981.4712</c:v>
                </c:pt>
                <c:pt idx="48">
                  <c:v>117590.4648</c:v>
                </c:pt>
                <c:pt idx="49">
                  <c:v>95199.4584</c:v>
                </c:pt>
                <c:pt idx="50">
                  <c:v>72808.452</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5.42316204E6</c:v>
                </c:pt>
                <c:pt idx="1">
                  <c:v>5.0736144816E6</c:v>
                </c:pt>
                <c:pt idx="2">
                  <c:v>4.7240669232E6</c:v>
                </c:pt>
                <c:pt idx="3">
                  <c:v>4.3745193648E6</c:v>
                </c:pt>
                <c:pt idx="4">
                  <c:v>4.0249718064E6</c:v>
                </c:pt>
                <c:pt idx="5">
                  <c:v>3.675424248E6</c:v>
                </c:pt>
                <c:pt idx="6">
                  <c:v>3.477430476E6</c:v>
                </c:pt>
                <c:pt idx="7">
                  <c:v>3.279436704E6</c:v>
                </c:pt>
                <c:pt idx="8">
                  <c:v>3.081442932E6</c:v>
                </c:pt>
                <c:pt idx="9">
                  <c:v>2.88344916E6</c:v>
                </c:pt>
                <c:pt idx="10">
                  <c:v>2.685455388E6</c:v>
                </c:pt>
                <c:pt idx="11">
                  <c:v>2.5732658952E6</c:v>
                </c:pt>
                <c:pt idx="12">
                  <c:v>2.4610764024E6</c:v>
                </c:pt>
                <c:pt idx="13">
                  <c:v>2.3488869096E6</c:v>
                </c:pt>
                <c:pt idx="14">
                  <c:v>2.2366974168E6</c:v>
                </c:pt>
                <c:pt idx="15">
                  <c:v>2.124507924E6</c:v>
                </c:pt>
                <c:pt idx="16">
                  <c:v>2.0330012232E6</c:v>
                </c:pt>
                <c:pt idx="17">
                  <c:v>1.9414945224E6</c:v>
                </c:pt>
                <c:pt idx="18">
                  <c:v>1.8499878216E6</c:v>
                </c:pt>
                <c:pt idx="19">
                  <c:v>1.7584811208E6</c:v>
                </c:pt>
                <c:pt idx="20">
                  <c:v>1.66697442E6</c:v>
                </c:pt>
                <c:pt idx="21">
                  <c:v>1.5917459976E6</c:v>
                </c:pt>
                <c:pt idx="22">
                  <c:v>1.5165175752E6</c:v>
                </c:pt>
                <c:pt idx="23">
                  <c:v>1.4412891528E6</c:v>
                </c:pt>
                <c:pt idx="24">
                  <c:v>1.3660607304E6</c:v>
                </c:pt>
                <c:pt idx="25">
                  <c:v>1.290832308E6</c:v>
                </c:pt>
                <c:pt idx="26">
                  <c:v>1.2322254816E6</c:v>
                </c:pt>
                <c:pt idx="27">
                  <c:v>1.1736186552E6</c:v>
                </c:pt>
                <c:pt idx="28">
                  <c:v>1.1150118288E6</c:v>
                </c:pt>
                <c:pt idx="29">
                  <c:v>1.0564050024E6</c:v>
                </c:pt>
                <c:pt idx="30">
                  <c:v>997798.1760000001</c:v>
                </c:pt>
                <c:pt idx="31">
                  <c:v>946936.9296</c:v>
                </c:pt>
                <c:pt idx="32">
                  <c:v>896075.6832000001</c:v>
                </c:pt>
                <c:pt idx="33">
                  <c:v>845214.4368</c:v>
                </c:pt>
                <c:pt idx="34">
                  <c:v>794353.1904</c:v>
                </c:pt>
                <c:pt idx="35">
                  <c:v>743491.944</c:v>
                </c:pt>
                <c:pt idx="36">
                  <c:v>697571.1216</c:v>
                </c:pt>
                <c:pt idx="37">
                  <c:v>651650.2992</c:v>
                </c:pt>
                <c:pt idx="38">
                  <c:v>605729.4768</c:v>
                </c:pt>
                <c:pt idx="39">
                  <c:v>559808.6544000001</c:v>
                </c:pt>
                <c:pt idx="40">
                  <c:v>513887.8320000001</c:v>
                </c:pt>
                <c:pt idx="41">
                  <c:v>468151.2288</c:v>
                </c:pt>
                <c:pt idx="42">
                  <c:v>422414.6256</c:v>
                </c:pt>
                <c:pt idx="43">
                  <c:v>376678.0224</c:v>
                </c:pt>
                <c:pt idx="44">
                  <c:v>330941.4192</c:v>
                </c:pt>
                <c:pt idx="45">
                  <c:v>285204.816</c:v>
                </c:pt>
                <c:pt idx="46">
                  <c:v>249399.3024</c:v>
                </c:pt>
                <c:pt idx="47">
                  <c:v>213593.7888</c:v>
                </c:pt>
                <c:pt idx="48">
                  <c:v>177788.2752</c:v>
                </c:pt>
                <c:pt idx="49">
                  <c:v>141982.7616</c:v>
                </c:pt>
                <c:pt idx="50">
                  <c:v>106177.248</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918667.656</c:v>
                </c:pt>
                <c:pt idx="1">
                  <c:v>911231.8992000001</c:v>
                </c:pt>
                <c:pt idx="2">
                  <c:v>903796.1424000001</c:v>
                </c:pt>
                <c:pt idx="3">
                  <c:v>896360.3856</c:v>
                </c:pt>
                <c:pt idx="4">
                  <c:v>888924.6288</c:v>
                </c:pt>
                <c:pt idx="5">
                  <c:v>881488.8720000001</c:v>
                </c:pt>
                <c:pt idx="6">
                  <c:v>839411.5320000001</c:v>
                </c:pt>
                <c:pt idx="7">
                  <c:v>797334.192</c:v>
                </c:pt>
                <c:pt idx="8">
                  <c:v>755256.852</c:v>
                </c:pt>
                <c:pt idx="9">
                  <c:v>713179.5120000001</c:v>
                </c:pt>
                <c:pt idx="10">
                  <c:v>671102.172</c:v>
                </c:pt>
                <c:pt idx="11">
                  <c:v>672994.6056</c:v>
                </c:pt>
                <c:pt idx="12">
                  <c:v>674887.0392</c:v>
                </c:pt>
                <c:pt idx="13">
                  <c:v>676779.4728000001</c:v>
                </c:pt>
                <c:pt idx="14">
                  <c:v>678671.9064</c:v>
                </c:pt>
                <c:pt idx="15">
                  <c:v>680564.34</c:v>
                </c:pt>
                <c:pt idx="16">
                  <c:v>610946.2296000001</c:v>
                </c:pt>
                <c:pt idx="17">
                  <c:v>541328.1192000001</c:v>
                </c:pt>
                <c:pt idx="18">
                  <c:v>471710.0088</c:v>
                </c:pt>
                <c:pt idx="19">
                  <c:v>402091.8984</c:v>
                </c:pt>
                <c:pt idx="20">
                  <c:v>332473.788</c:v>
                </c:pt>
                <c:pt idx="21">
                  <c:v>312561.3672</c:v>
                </c:pt>
                <c:pt idx="22">
                  <c:v>292648.9464</c:v>
                </c:pt>
                <c:pt idx="23">
                  <c:v>272736.5256</c:v>
                </c:pt>
                <c:pt idx="24">
                  <c:v>252824.1048</c:v>
                </c:pt>
                <c:pt idx="25">
                  <c:v>232911.684</c:v>
                </c:pt>
                <c:pt idx="26">
                  <c:v>257186.7504</c:v>
                </c:pt>
                <c:pt idx="27">
                  <c:v>281461.8168</c:v>
                </c:pt>
                <c:pt idx="28">
                  <c:v>305736.8832</c:v>
                </c:pt>
                <c:pt idx="29">
                  <c:v>330011.9496</c:v>
                </c:pt>
                <c:pt idx="30">
                  <c:v>354287.016</c:v>
                </c:pt>
                <c:pt idx="31">
                  <c:v>379399.4424</c:v>
                </c:pt>
                <c:pt idx="32">
                  <c:v>404511.8688</c:v>
                </c:pt>
                <c:pt idx="33">
                  <c:v>429624.2952</c:v>
                </c:pt>
                <c:pt idx="34">
                  <c:v>454736.7216</c:v>
                </c:pt>
                <c:pt idx="35">
                  <c:v>479849.148</c:v>
                </c:pt>
                <c:pt idx="36">
                  <c:v>522253.0584</c:v>
                </c:pt>
                <c:pt idx="37">
                  <c:v>564656.9688</c:v>
                </c:pt>
                <c:pt idx="38">
                  <c:v>607060.8792000001</c:v>
                </c:pt>
                <c:pt idx="39">
                  <c:v>649464.7896</c:v>
                </c:pt>
                <c:pt idx="40">
                  <c:v>691868.7000000001</c:v>
                </c:pt>
                <c:pt idx="41">
                  <c:v>699840.3672</c:v>
                </c:pt>
                <c:pt idx="42">
                  <c:v>707812.0344000001</c:v>
                </c:pt>
                <c:pt idx="43">
                  <c:v>715783.7016</c:v>
                </c:pt>
                <c:pt idx="44">
                  <c:v>723755.3688</c:v>
                </c:pt>
                <c:pt idx="45">
                  <c:v>731727.036</c:v>
                </c:pt>
                <c:pt idx="46">
                  <c:v>731727.036</c:v>
                </c:pt>
                <c:pt idx="47">
                  <c:v>731727.036</c:v>
                </c:pt>
                <c:pt idx="48">
                  <c:v>731727.036</c:v>
                </c:pt>
                <c:pt idx="49">
                  <c:v>731727.036</c:v>
                </c:pt>
                <c:pt idx="50">
                  <c:v>731727.036</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50173.22955600001</c:v>
                </c:pt>
                <c:pt idx="1">
                  <c:v>58046.40647280001</c:v>
                </c:pt>
                <c:pt idx="2">
                  <c:v>65919.58338960001</c:v>
                </c:pt>
                <c:pt idx="3">
                  <c:v>73792.76030640001</c:v>
                </c:pt>
                <c:pt idx="4">
                  <c:v>81665.93722320002</c:v>
                </c:pt>
                <c:pt idx="5">
                  <c:v>89539.11414000001</c:v>
                </c:pt>
                <c:pt idx="6">
                  <c:v>94833.14689440002</c:v>
                </c:pt>
                <c:pt idx="7">
                  <c:v>100127.1796488</c:v>
                </c:pt>
                <c:pt idx="8">
                  <c:v>105421.2124032</c:v>
                </c:pt>
                <c:pt idx="9">
                  <c:v>110715.2451576</c:v>
                </c:pt>
                <c:pt idx="10">
                  <c:v>116009.277912</c:v>
                </c:pt>
                <c:pt idx="11">
                  <c:v>123950.3270436</c:v>
                </c:pt>
                <c:pt idx="12">
                  <c:v>131891.3761752</c:v>
                </c:pt>
                <c:pt idx="13">
                  <c:v>139832.4253068</c:v>
                </c:pt>
                <c:pt idx="14">
                  <c:v>147773.4744384</c:v>
                </c:pt>
                <c:pt idx="15">
                  <c:v>155714.52357</c:v>
                </c:pt>
                <c:pt idx="16">
                  <c:v>166631.5082736</c:v>
                </c:pt>
                <c:pt idx="17">
                  <c:v>177548.4929772</c:v>
                </c:pt>
                <c:pt idx="18">
                  <c:v>188465.4776808</c:v>
                </c:pt>
                <c:pt idx="19">
                  <c:v>199382.4623844</c:v>
                </c:pt>
                <c:pt idx="20">
                  <c:v>210299.447088</c:v>
                </c:pt>
                <c:pt idx="21">
                  <c:v>211192.2277596</c:v>
                </c:pt>
                <c:pt idx="22">
                  <c:v>212085.0084312</c:v>
                </c:pt>
                <c:pt idx="23">
                  <c:v>212977.7891028</c:v>
                </c:pt>
                <c:pt idx="24">
                  <c:v>213870.5697744</c:v>
                </c:pt>
                <c:pt idx="25">
                  <c:v>214763.350446</c:v>
                </c:pt>
                <c:pt idx="26">
                  <c:v>213933.2210496</c:v>
                </c:pt>
                <c:pt idx="27">
                  <c:v>213103.0916532</c:v>
                </c:pt>
                <c:pt idx="28">
                  <c:v>212272.9622568</c:v>
                </c:pt>
                <c:pt idx="29">
                  <c:v>211442.8328604001</c:v>
                </c:pt>
                <c:pt idx="30">
                  <c:v>210612.703464</c:v>
                </c:pt>
                <c:pt idx="31">
                  <c:v>212471.3579616</c:v>
                </c:pt>
                <c:pt idx="32">
                  <c:v>214330.0124592001</c:v>
                </c:pt>
                <c:pt idx="33">
                  <c:v>216188.6669568</c:v>
                </c:pt>
                <c:pt idx="34">
                  <c:v>218047.3214544001</c:v>
                </c:pt>
                <c:pt idx="35">
                  <c:v>219905.975952</c:v>
                </c:pt>
                <c:pt idx="36">
                  <c:v>221754.1885704</c:v>
                </c:pt>
                <c:pt idx="37">
                  <c:v>223602.4011888</c:v>
                </c:pt>
                <c:pt idx="38">
                  <c:v>225450.6138072</c:v>
                </c:pt>
                <c:pt idx="39">
                  <c:v>227298.8264256</c:v>
                </c:pt>
                <c:pt idx="40">
                  <c:v>229147.039044</c:v>
                </c:pt>
                <c:pt idx="41">
                  <c:v>227878.3507212</c:v>
                </c:pt>
                <c:pt idx="42">
                  <c:v>226609.6623984</c:v>
                </c:pt>
                <c:pt idx="43">
                  <c:v>225340.9740756</c:v>
                </c:pt>
                <c:pt idx="44">
                  <c:v>224072.2857528</c:v>
                </c:pt>
                <c:pt idx="45">
                  <c:v>222803.59743</c:v>
                </c:pt>
                <c:pt idx="46">
                  <c:v>222359.817564</c:v>
                </c:pt>
                <c:pt idx="47">
                  <c:v>221916.037698</c:v>
                </c:pt>
                <c:pt idx="48">
                  <c:v>221472.257832</c:v>
                </c:pt>
                <c:pt idx="49">
                  <c:v>221028.477966</c:v>
                </c:pt>
                <c:pt idx="50">
                  <c:v>220584.6981</c:v>
                </c:pt>
              </c:numCache>
            </c:numRef>
          </c:val>
          <c:smooth val="0"/>
        </c:ser>
        <c:dLbls>
          <c:showLegendKey val="0"/>
          <c:showVal val="0"/>
          <c:showCatName val="0"/>
          <c:showSerName val="0"/>
          <c:showPercent val="0"/>
          <c:showBubbleSize val="0"/>
        </c:dLbls>
        <c:marker val="1"/>
        <c:smooth val="0"/>
        <c:axId val="2114672888"/>
        <c:axId val="2114675864"/>
      </c:lineChart>
      <c:catAx>
        <c:axId val="2114672888"/>
        <c:scaling>
          <c:orientation val="minMax"/>
        </c:scaling>
        <c:delete val="0"/>
        <c:axPos val="b"/>
        <c:majorTickMark val="out"/>
        <c:minorTickMark val="none"/>
        <c:tickLblPos val="nextTo"/>
        <c:crossAx val="2114675864"/>
        <c:crosses val="autoZero"/>
        <c:auto val="1"/>
        <c:lblAlgn val="ctr"/>
        <c:lblOffset val="100"/>
        <c:noMultiLvlLbl val="0"/>
      </c:catAx>
      <c:valAx>
        <c:axId val="2114675864"/>
        <c:scaling>
          <c:orientation val="minMax"/>
        </c:scaling>
        <c:delete val="0"/>
        <c:axPos val="l"/>
        <c:majorGridlines/>
        <c:numFmt formatCode="General" sourceLinked="1"/>
        <c:majorTickMark val="out"/>
        <c:minorTickMark val="none"/>
        <c:tickLblPos val="nextTo"/>
        <c:crossAx val="2114672888"/>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F15" sqref="F15"/>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94</v>
      </c>
      <c r="G11" s="130"/>
      <c r="H11" s="130"/>
      <c r="I11" s="130"/>
      <c r="J11" s="130"/>
      <c r="K11" s="130"/>
      <c r="L11" s="130"/>
      <c r="M11" s="130"/>
      <c r="N11" s="131"/>
    </row>
    <row r="12" spans="2:14" ht="15" customHeight="1" thickBot="1">
      <c r="B12" s="129" t="s">
        <v>22</v>
      </c>
      <c r="D12" s="13">
        <v>0</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0.62350000000000005</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270137</v>
      </c>
      <c r="D21" s="5">
        <v>204270</v>
      </c>
      <c r="E21" s="5">
        <v>148109</v>
      </c>
      <c r="F21" s="5">
        <v>130226</v>
      </c>
      <c r="G21" s="5">
        <v>111180</v>
      </c>
      <c r="H21" s="5">
        <v>95544</v>
      </c>
      <c r="I21" s="5">
        <v>82429</v>
      </c>
      <c r="J21" s="5">
        <v>74225</v>
      </c>
      <c r="K21" s="5">
        <v>69447</v>
      </c>
      <c r="L21" s="5">
        <v>60779</v>
      </c>
      <c r="M21" s="6">
        <v>54307</v>
      </c>
      <c r="N21" s="131"/>
    </row>
    <row r="22" spans="2:14">
      <c r="B22" s="135" t="s">
        <v>9</v>
      </c>
      <c r="C22" s="7">
        <v>18658</v>
      </c>
      <c r="D22" s="8">
        <v>11899</v>
      </c>
      <c r="E22" s="8">
        <v>10751</v>
      </c>
      <c r="F22" s="8">
        <v>11394</v>
      </c>
      <c r="G22" s="8">
        <v>9983</v>
      </c>
      <c r="H22" s="8">
        <v>11182</v>
      </c>
      <c r="I22" s="8">
        <v>5917</v>
      </c>
      <c r="J22" s="8">
        <v>4425</v>
      </c>
      <c r="K22" s="8">
        <v>3794</v>
      </c>
      <c r="L22" s="8">
        <v>3485</v>
      </c>
      <c r="M22" s="9">
        <v>2669</v>
      </c>
      <c r="N22" s="131"/>
    </row>
    <row r="23" spans="2:14">
      <c r="B23" s="135" t="s">
        <v>10</v>
      </c>
      <c r="C23" s="7">
        <v>129530</v>
      </c>
      <c r="D23" s="8">
        <v>87786</v>
      </c>
      <c r="E23" s="8">
        <v>64141</v>
      </c>
      <c r="F23" s="8">
        <v>50743</v>
      </c>
      <c r="G23" s="8">
        <v>39815</v>
      </c>
      <c r="H23" s="8">
        <v>30831</v>
      </c>
      <c r="I23" s="8">
        <v>23832</v>
      </c>
      <c r="J23" s="8">
        <v>17758</v>
      </c>
      <c r="K23" s="8">
        <v>12274</v>
      </c>
      <c r="L23" s="8">
        <v>6812</v>
      </c>
      <c r="M23" s="9">
        <v>2536</v>
      </c>
      <c r="N23" s="131"/>
    </row>
    <row r="24" spans="2:14">
      <c r="B24" s="135" t="s">
        <v>3</v>
      </c>
      <c r="C24" s="7">
        <v>97554</v>
      </c>
      <c r="D24" s="8">
        <v>79397</v>
      </c>
      <c r="E24" s="8">
        <v>51468</v>
      </c>
      <c r="F24" s="8">
        <v>41748</v>
      </c>
      <c r="G24" s="8">
        <v>32705</v>
      </c>
      <c r="H24" s="8">
        <v>25095</v>
      </c>
      <c r="I24" s="8">
        <v>19580</v>
      </c>
      <c r="J24" s="8">
        <v>13514</v>
      </c>
      <c r="K24" s="8">
        <v>8638</v>
      </c>
      <c r="L24" s="8">
        <v>4413</v>
      </c>
      <c r="M24" s="9">
        <v>1739</v>
      </c>
      <c r="N24" s="131"/>
    </row>
    <row r="25" spans="2:14">
      <c r="B25" s="135" t="s">
        <v>11</v>
      </c>
      <c r="C25" s="7">
        <v>21942</v>
      </c>
      <c r="D25" s="8">
        <v>21054</v>
      </c>
      <c r="E25" s="8">
        <v>16029</v>
      </c>
      <c r="F25" s="8">
        <v>16255</v>
      </c>
      <c r="G25" s="8">
        <v>7941</v>
      </c>
      <c r="H25" s="8">
        <v>5563</v>
      </c>
      <c r="I25" s="8">
        <v>8462</v>
      </c>
      <c r="J25" s="8">
        <v>11461</v>
      </c>
      <c r="K25" s="8">
        <v>16525</v>
      </c>
      <c r="L25" s="8">
        <v>17477</v>
      </c>
      <c r="M25" s="9">
        <v>17477</v>
      </c>
      <c r="N25" s="131"/>
    </row>
    <row r="26" spans="2:14">
      <c r="B26" s="135" t="s">
        <v>12</v>
      </c>
      <c r="C26" s="7">
        <v>2453</v>
      </c>
      <c r="D26" s="8">
        <v>4134</v>
      </c>
      <c r="E26" s="8">
        <v>5720</v>
      </c>
      <c r="F26" s="8">
        <v>10086</v>
      </c>
      <c r="G26" s="8">
        <v>20736</v>
      </c>
      <c r="H26" s="8">
        <v>22873</v>
      </c>
      <c r="I26" s="8">
        <v>24638</v>
      </c>
      <c r="J26" s="8">
        <v>27067</v>
      </c>
      <c r="K26" s="8">
        <v>28217</v>
      </c>
      <c r="L26" s="8">
        <v>28591</v>
      </c>
      <c r="M26" s="9">
        <v>29884</v>
      </c>
      <c r="N26" s="131"/>
    </row>
    <row r="27" spans="2:14">
      <c r="B27" s="136" t="s">
        <v>13</v>
      </c>
      <c r="C27" s="7">
        <v>437</v>
      </c>
      <c r="D27" s="8">
        <v>423</v>
      </c>
      <c r="E27" s="8">
        <v>310</v>
      </c>
      <c r="F27" s="8">
        <v>465</v>
      </c>
      <c r="G27" s="8">
        <v>464</v>
      </c>
      <c r="H27" s="8">
        <v>463</v>
      </c>
      <c r="I27" s="8">
        <v>464</v>
      </c>
      <c r="J27" s="8">
        <v>463</v>
      </c>
      <c r="K27" s="8">
        <v>463</v>
      </c>
      <c r="L27" s="8">
        <v>464</v>
      </c>
      <c r="M27" s="9">
        <v>463</v>
      </c>
      <c r="N27" s="131"/>
    </row>
    <row r="28" spans="2:14">
      <c r="B28" s="136" t="s">
        <v>14</v>
      </c>
      <c r="C28" s="7">
        <v>1922</v>
      </c>
      <c r="D28" s="8">
        <v>3430</v>
      </c>
      <c r="E28" s="8">
        <v>4444</v>
      </c>
      <c r="F28" s="8">
        <v>5965</v>
      </c>
      <c r="G28" s="8">
        <v>8056</v>
      </c>
      <c r="H28" s="8">
        <v>8227</v>
      </c>
      <c r="I28" s="8">
        <v>8068</v>
      </c>
      <c r="J28" s="8">
        <v>8424</v>
      </c>
      <c r="K28" s="8">
        <v>8778</v>
      </c>
      <c r="L28" s="8">
        <v>8535</v>
      </c>
      <c r="M28" s="9">
        <v>8450</v>
      </c>
      <c r="N28" s="131"/>
    </row>
    <row r="29" spans="2:14">
      <c r="B29" s="136" t="s">
        <v>15</v>
      </c>
      <c r="C29" s="7">
        <v>81</v>
      </c>
      <c r="D29" s="8">
        <v>250</v>
      </c>
      <c r="E29" s="8">
        <v>876</v>
      </c>
      <c r="F29" s="8">
        <v>2848</v>
      </c>
      <c r="G29" s="8">
        <v>9857</v>
      </c>
      <c r="H29" s="8">
        <v>11305</v>
      </c>
      <c r="I29" s="8">
        <v>13058</v>
      </c>
      <c r="J29" s="8">
        <v>14977</v>
      </c>
      <c r="K29" s="8">
        <v>15952</v>
      </c>
      <c r="L29" s="8">
        <v>16168</v>
      </c>
      <c r="M29" s="9">
        <v>17573</v>
      </c>
      <c r="N29" s="131"/>
    </row>
    <row r="30" spans="2:14">
      <c r="B30" s="136" t="s">
        <v>16</v>
      </c>
      <c r="C30" s="7">
        <v>11</v>
      </c>
      <c r="D30" s="8">
        <v>30</v>
      </c>
      <c r="E30" s="8">
        <v>90</v>
      </c>
      <c r="F30" s="8">
        <v>803</v>
      </c>
      <c r="G30" s="8">
        <v>2317</v>
      </c>
      <c r="H30" s="8">
        <v>2786</v>
      </c>
      <c r="I30" s="8">
        <v>2907</v>
      </c>
      <c r="J30" s="8">
        <v>3018</v>
      </c>
      <c r="K30" s="8">
        <v>2814</v>
      </c>
      <c r="L30" s="8">
        <v>3199</v>
      </c>
      <c r="M30" s="9">
        <v>3159</v>
      </c>
      <c r="N30" s="131"/>
    </row>
    <row r="31" spans="2:14" ht="16" thickBot="1">
      <c r="B31" s="136" t="s">
        <v>17</v>
      </c>
      <c r="C31" s="10">
        <v>1</v>
      </c>
      <c r="D31" s="11">
        <v>1</v>
      </c>
      <c r="E31" s="11">
        <v>1</v>
      </c>
      <c r="F31" s="11">
        <v>5</v>
      </c>
      <c r="G31" s="11">
        <v>42</v>
      </c>
      <c r="H31" s="11">
        <v>93</v>
      </c>
      <c r="I31" s="11">
        <v>143</v>
      </c>
      <c r="J31" s="11">
        <v>185</v>
      </c>
      <c r="K31" s="11">
        <v>210</v>
      </c>
      <c r="L31" s="11">
        <v>226</v>
      </c>
      <c r="M31" s="12">
        <v>239</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11310095.916000001</v>
      </c>
      <c r="D9" s="152">
        <f>Dashboard!D21*ktoe_TJ</f>
        <v>8552376.3600000013</v>
      </c>
      <c r="E9" s="152">
        <f>Dashboard!E21*ktoe_TJ</f>
        <v>6201027.6120000007</v>
      </c>
      <c r="F9" s="152">
        <f>Dashboard!F21*ktoe_TJ</f>
        <v>5452302.1680000005</v>
      </c>
      <c r="G9" s="152">
        <f>Dashboard!G21*ktoe_TJ</f>
        <v>4654884.24</v>
      </c>
      <c r="H9" s="152">
        <f>Dashboard!H21*ktoe_TJ</f>
        <v>4000236.1920000003</v>
      </c>
      <c r="I9" s="152">
        <f>Dashboard!I21*ktoe_TJ</f>
        <v>3451137.372</v>
      </c>
      <c r="J9" s="152">
        <f>Dashboard!J21*ktoe_TJ</f>
        <v>3107652.3000000003</v>
      </c>
      <c r="K9" s="152">
        <f>Dashboard!K21*ktoe_TJ</f>
        <v>2907606.9960000003</v>
      </c>
      <c r="L9" s="152">
        <f>Dashboard!L21*ktoe_TJ</f>
        <v>2544695.1720000003</v>
      </c>
      <c r="M9" s="152">
        <f>Dashboard!M21*ktoe_TJ</f>
        <v>2273725.4760000003</v>
      </c>
    </row>
    <row r="10" spans="2:13">
      <c r="B10" s="149" t="s">
        <v>9</v>
      </c>
      <c r="C10" s="153">
        <f>Dashboard!C22*ktoe_TJ</f>
        <v>781173.14400000009</v>
      </c>
      <c r="D10" s="153">
        <f>Dashboard!D22*ktoe_TJ</f>
        <v>498187.33200000005</v>
      </c>
      <c r="E10" s="153">
        <f>Dashboard!E22*ktoe_TJ</f>
        <v>450122.86800000002</v>
      </c>
      <c r="F10" s="153">
        <f>Dashboard!F22*ktoe_TJ</f>
        <v>477043.99200000003</v>
      </c>
      <c r="G10" s="153">
        <f>Dashboard!G22*ktoe_TJ</f>
        <v>417968.24400000001</v>
      </c>
      <c r="H10" s="153">
        <f>Dashboard!H22*ktoe_TJ</f>
        <v>468167.97600000002</v>
      </c>
      <c r="I10" s="153">
        <f>Dashboard!I22*ktoe_TJ</f>
        <v>247732.95600000001</v>
      </c>
      <c r="J10" s="153">
        <f>Dashboard!J22*ktoe_TJ</f>
        <v>185265.90000000002</v>
      </c>
      <c r="K10" s="153">
        <f>Dashboard!K22*ktoe_TJ</f>
        <v>158847.19200000001</v>
      </c>
      <c r="L10" s="153">
        <f>Dashboard!L22*ktoe_TJ</f>
        <v>145909.98000000001</v>
      </c>
      <c r="M10" s="153">
        <f>Dashboard!M22*ktoe_TJ</f>
        <v>111745.69200000001</v>
      </c>
    </row>
    <row r="11" spans="2:13">
      <c r="B11" s="149" t="s">
        <v>10</v>
      </c>
      <c r="C11" s="153">
        <f>Dashboard!C23*ktoe_TJ</f>
        <v>5423162.04</v>
      </c>
      <c r="D11" s="153">
        <f>Dashboard!D23*ktoe_TJ</f>
        <v>3675424.2480000001</v>
      </c>
      <c r="E11" s="153">
        <f>Dashboard!E23*ktoe_TJ</f>
        <v>2685455.3880000003</v>
      </c>
      <c r="F11" s="153">
        <f>Dashboard!F23*ktoe_TJ</f>
        <v>2124507.9240000001</v>
      </c>
      <c r="G11" s="153">
        <f>Dashboard!G23*ktoe_TJ</f>
        <v>1666974.4200000002</v>
      </c>
      <c r="H11" s="153">
        <f>Dashboard!H23*ktoe_TJ</f>
        <v>1290832.308</v>
      </c>
      <c r="I11" s="153">
        <f>Dashboard!I23*ktoe_TJ</f>
        <v>997798.17600000009</v>
      </c>
      <c r="J11" s="153">
        <f>Dashboard!J23*ktoe_TJ</f>
        <v>743491.94400000002</v>
      </c>
      <c r="K11" s="153">
        <f>Dashboard!K23*ktoe_TJ</f>
        <v>513887.83200000005</v>
      </c>
      <c r="L11" s="153">
        <f>Dashboard!L23*ktoe_TJ</f>
        <v>285204.81599999999</v>
      </c>
      <c r="M11" s="153">
        <f>Dashboard!M23*ktoe_TJ</f>
        <v>106177.24800000001</v>
      </c>
    </row>
    <row r="12" spans="2:13">
      <c r="B12" s="149" t="s">
        <v>3</v>
      </c>
      <c r="C12" s="153">
        <f>Dashboard!C24*ktoe_TJ</f>
        <v>4084390.872</v>
      </c>
      <c r="D12" s="153">
        <f>Dashboard!D24*ktoe_TJ</f>
        <v>3324193.5960000004</v>
      </c>
      <c r="E12" s="153">
        <f>Dashboard!E24*ktoe_TJ</f>
        <v>2154862.2239999999</v>
      </c>
      <c r="F12" s="153">
        <f>Dashboard!F24*ktoe_TJ</f>
        <v>1747905.2640000002</v>
      </c>
      <c r="G12" s="153">
        <f>Dashboard!G24*ktoe_TJ</f>
        <v>1369292.9400000002</v>
      </c>
      <c r="H12" s="153">
        <f>Dashboard!H24*ktoe_TJ</f>
        <v>1050677.46</v>
      </c>
      <c r="I12" s="153">
        <f>Dashboard!I24*ktoe_TJ</f>
        <v>819775.44000000006</v>
      </c>
      <c r="J12" s="153">
        <f>Dashboard!J24*ktoe_TJ</f>
        <v>565804.152</v>
      </c>
      <c r="K12" s="153">
        <f>Dashboard!K24*ktoe_TJ</f>
        <v>361655.78400000004</v>
      </c>
      <c r="L12" s="153">
        <f>Dashboard!L24*ktoe_TJ</f>
        <v>184763.484</v>
      </c>
      <c r="M12" s="153">
        <f>Dashboard!M24*ktoe_TJ</f>
        <v>72808.452000000005</v>
      </c>
    </row>
    <row r="13" spans="2:13">
      <c r="B13" s="149" t="s">
        <v>11</v>
      </c>
      <c r="C13" s="153">
        <f>Dashboard!C25*ktoe_TJ</f>
        <v>918667.65600000008</v>
      </c>
      <c r="D13" s="153">
        <f>Dashboard!D25*ktoe_TJ</f>
        <v>881488.87200000009</v>
      </c>
      <c r="E13" s="153">
        <f>Dashboard!E25*ktoe_TJ</f>
        <v>671102.17200000002</v>
      </c>
      <c r="F13" s="153">
        <f>Dashboard!F25*ktoe_TJ</f>
        <v>680564.34000000008</v>
      </c>
      <c r="G13" s="153">
        <f>Dashboard!G25*ktoe_TJ</f>
        <v>332473.788</v>
      </c>
      <c r="H13" s="153">
        <f>Dashboard!H25*ktoe_TJ</f>
        <v>232911.68400000001</v>
      </c>
      <c r="I13" s="153">
        <f>Dashboard!I25*ktoe_TJ</f>
        <v>354287.016</v>
      </c>
      <c r="J13" s="153">
        <f>Dashboard!J25*ktoe_TJ</f>
        <v>479849.14800000004</v>
      </c>
      <c r="K13" s="153">
        <f>Dashboard!K25*ktoe_TJ</f>
        <v>691868.70000000007</v>
      </c>
      <c r="L13" s="153">
        <f>Dashboard!L25*ktoe_TJ</f>
        <v>731727.03600000008</v>
      </c>
      <c r="M13" s="153">
        <f>Dashboard!M25*ktoe_TJ</f>
        <v>731727.03600000008</v>
      </c>
    </row>
    <row r="14" spans="2:13">
      <c r="B14" s="149" t="s">
        <v>12</v>
      </c>
      <c r="C14" s="153">
        <f>Dashboard!C26*ktoe_TJ</f>
        <v>102702.204</v>
      </c>
      <c r="D14" s="153">
        <f>Dashboard!D26*ktoe_TJ</f>
        <v>173082.31200000001</v>
      </c>
      <c r="E14" s="153">
        <f>Dashboard!E26*ktoe_TJ</f>
        <v>239484.96000000002</v>
      </c>
      <c r="F14" s="153">
        <f>Dashboard!F26*ktoe_TJ</f>
        <v>422280.64800000004</v>
      </c>
      <c r="G14" s="153">
        <f>Dashboard!G26*ktoe_TJ</f>
        <v>868174.848</v>
      </c>
      <c r="H14" s="153">
        <f>Dashboard!H26*ktoe_TJ</f>
        <v>957646.76400000008</v>
      </c>
      <c r="I14" s="153">
        <f>Dashboard!I26*ktoe_TJ</f>
        <v>1031543.7840000001</v>
      </c>
      <c r="J14" s="153">
        <f>Dashboard!J26*ktoe_TJ</f>
        <v>1133241.156</v>
      </c>
      <c r="K14" s="153">
        <f>Dashboard!K26*ktoe_TJ</f>
        <v>1181389.3560000001</v>
      </c>
      <c r="L14" s="153">
        <f>Dashboard!L26*ktoe_TJ</f>
        <v>1197047.9880000001</v>
      </c>
      <c r="M14" s="153">
        <f>Dashboard!M26*ktoe_TJ</f>
        <v>1251183.3120000002</v>
      </c>
    </row>
    <row r="15" spans="2:13">
      <c r="B15" s="149" t="s">
        <v>13</v>
      </c>
      <c r="C15" s="153">
        <f>Dashboard!C27*ktoe_TJ</f>
        <v>18296.316000000003</v>
      </c>
      <c r="D15" s="153">
        <f>Dashboard!D27*ktoe_TJ</f>
        <v>17710.164000000001</v>
      </c>
      <c r="E15" s="153">
        <f>Dashboard!E27*ktoe_TJ</f>
        <v>12979.08</v>
      </c>
      <c r="F15" s="153">
        <f>Dashboard!F27*ktoe_TJ</f>
        <v>19468.620000000003</v>
      </c>
      <c r="G15" s="153">
        <f>Dashboard!G27*ktoe_TJ</f>
        <v>19426.752</v>
      </c>
      <c r="H15" s="153">
        <f>Dashboard!H27*ktoe_TJ</f>
        <v>19384.884000000002</v>
      </c>
      <c r="I15" s="153">
        <f>Dashboard!I27*ktoe_TJ</f>
        <v>19426.752</v>
      </c>
      <c r="J15" s="153">
        <f>Dashboard!J27*ktoe_TJ</f>
        <v>19384.884000000002</v>
      </c>
      <c r="K15" s="153">
        <f>Dashboard!K27*ktoe_TJ</f>
        <v>19384.884000000002</v>
      </c>
      <c r="L15" s="153">
        <f>Dashboard!L27*ktoe_TJ</f>
        <v>19426.752</v>
      </c>
      <c r="M15" s="153">
        <f>Dashboard!M27*ktoe_TJ</f>
        <v>19384.884000000002</v>
      </c>
    </row>
    <row r="16" spans="2:13">
      <c r="B16" s="149" t="s">
        <v>14</v>
      </c>
      <c r="C16" s="153">
        <f>Dashboard!C28*ktoe_TJ</f>
        <v>80470.296000000002</v>
      </c>
      <c r="D16" s="153">
        <f>Dashboard!D28*ktoe_TJ</f>
        <v>143607.24000000002</v>
      </c>
      <c r="E16" s="153">
        <f>Dashboard!E28*ktoe_TJ</f>
        <v>186061.39200000002</v>
      </c>
      <c r="F16" s="153">
        <f>Dashboard!F28*ktoe_TJ</f>
        <v>249742.62000000002</v>
      </c>
      <c r="G16" s="153">
        <f>Dashboard!G28*ktoe_TJ</f>
        <v>337288.60800000001</v>
      </c>
      <c r="H16" s="153">
        <f>Dashboard!H28*ktoe_TJ</f>
        <v>344448.03600000002</v>
      </c>
      <c r="I16" s="153">
        <f>Dashboard!I28*ktoe_TJ</f>
        <v>337791.02400000003</v>
      </c>
      <c r="J16" s="153">
        <f>Dashboard!J28*ktoe_TJ</f>
        <v>352696.03200000001</v>
      </c>
      <c r="K16" s="153">
        <f>Dashboard!K28*ktoe_TJ</f>
        <v>367517.304</v>
      </c>
      <c r="L16" s="153">
        <f>Dashboard!L28*ktoe_TJ</f>
        <v>357343.38</v>
      </c>
      <c r="M16" s="153">
        <f>Dashboard!M28*ktoe_TJ</f>
        <v>353784.60000000003</v>
      </c>
    </row>
    <row r="17" spans="2:13">
      <c r="B17" s="148" t="s">
        <v>15</v>
      </c>
      <c r="C17" s="153">
        <f>Dashboard!C29*ktoe_TJ</f>
        <v>3391.308</v>
      </c>
      <c r="D17" s="153">
        <f>Dashboard!D29*ktoe_TJ</f>
        <v>10467</v>
      </c>
      <c r="E17" s="153">
        <f>Dashboard!E29*ktoe_TJ</f>
        <v>36676.368000000002</v>
      </c>
      <c r="F17" s="153">
        <f>Dashboard!F29*ktoe_TJ</f>
        <v>119240.06400000001</v>
      </c>
      <c r="G17" s="153">
        <f>Dashboard!G29*ktoe_TJ</f>
        <v>412692.87600000005</v>
      </c>
      <c r="H17" s="153">
        <f>Dashboard!H29*ktoe_TJ</f>
        <v>473317.74000000005</v>
      </c>
      <c r="I17" s="153">
        <f>Dashboard!I29*ktoe_TJ</f>
        <v>546712.34400000004</v>
      </c>
      <c r="J17" s="153">
        <f>Dashboard!J29*ktoe_TJ</f>
        <v>627057.03600000008</v>
      </c>
      <c r="K17" s="153">
        <f>Dashboard!K29*ktoe_TJ</f>
        <v>667878.33600000001</v>
      </c>
      <c r="L17" s="153">
        <f>Dashboard!L29*ktoe_TJ</f>
        <v>676921.82400000002</v>
      </c>
      <c r="M17" s="153">
        <f>Dashboard!M29*ktoe_TJ</f>
        <v>735746.36400000006</v>
      </c>
    </row>
    <row r="18" spans="2:13">
      <c r="B18" s="148" t="s">
        <v>16</v>
      </c>
      <c r="C18" s="153">
        <f>Dashboard!C30*ktoe_TJ</f>
        <v>460.548</v>
      </c>
      <c r="D18" s="153">
        <f>Dashboard!D30*ktoe_TJ</f>
        <v>1256.04</v>
      </c>
      <c r="E18" s="153">
        <f>Dashboard!E30*ktoe_TJ</f>
        <v>3768.1200000000003</v>
      </c>
      <c r="F18" s="153">
        <f>Dashboard!F30*ktoe_TJ</f>
        <v>33620.004000000001</v>
      </c>
      <c r="G18" s="153">
        <f>Dashboard!G30*ktoe_TJ</f>
        <v>97008.156000000003</v>
      </c>
      <c r="H18" s="153">
        <f>Dashboard!H30*ktoe_TJ</f>
        <v>116644.24800000001</v>
      </c>
      <c r="I18" s="153">
        <f>Dashboard!I30*ktoe_TJ</f>
        <v>121710.27600000001</v>
      </c>
      <c r="J18" s="153">
        <f>Dashboard!J30*ktoe_TJ</f>
        <v>126357.62400000001</v>
      </c>
      <c r="K18" s="153">
        <f>Dashboard!K30*ktoe_TJ</f>
        <v>117816.55200000001</v>
      </c>
      <c r="L18" s="153">
        <f>Dashboard!L30*ktoe_TJ</f>
        <v>133935.73200000002</v>
      </c>
      <c r="M18" s="153">
        <f>Dashboard!M30*ktoe_TJ</f>
        <v>132261.01200000002</v>
      </c>
    </row>
    <row r="19" spans="2:13">
      <c r="B19" s="148" t="s">
        <v>17</v>
      </c>
      <c r="C19" s="153">
        <f>Dashboard!C31*ktoe_TJ</f>
        <v>41.868000000000002</v>
      </c>
      <c r="D19" s="153">
        <f>Dashboard!D31*ktoe_TJ</f>
        <v>41.868000000000002</v>
      </c>
      <c r="E19" s="153">
        <f>Dashboard!E31*ktoe_TJ</f>
        <v>41.868000000000002</v>
      </c>
      <c r="F19" s="153">
        <f>Dashboard!F31*ktoe_TJ</f>
        <v>209.34</v>
      </c>
      <c r="G19" s="153">
        <f>Dashboard!G31*ktoe_TJ</f>
        <v>1758.4560000000001</v>
      </c>
      <c r="H19" s="153">
        <f>Dashboard!H31*ktoe_TJ</f>
        <v>3893.7240000000002</v>
      </c>
      <c r="I19" s="153">
        <f>Dashboard!I31*ktoe_TJ</f>
        <v>5987.1240000000007</v>
      </c>
      <c r="J19" s="153">
        <f>Dashboard!J31*ktoe_TJ</f>
        <v>7745.5800000000008</v>
      </c>
      <c r="K19" s="153">
        <f>Dashboard!K31*ktoe_TJ</f>
        <v>8792.2800000000007</v>
      </c>
      <c r="L19" s="153">
        <f>Dashboard!L31*ktoe_TJ</f>
        <v>9462.1679999999997</v>
      </c>
      <c r="M19" s="153">
        <f>Dashboard!M31*ktoe_TJ</f>
        <v>10006.452000000001</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F21" sqref="F21"/>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781173.14400000009</v>
      </c>
      <c r="C9" s="2">
        <f>conversion_to_TJ!C10*Dashboard!$D$12</f>
        <v>0</v>
      </c>
      <c r="D9" s="2">
        <f>conversion_to_TJ!C12</f>
        <v>4084390.872</v>
      </c>
      <c r="E9" s="2">
        <f>conversion_to_TJ!C11</f>
        <v>5423162.04</v>
      </c>
      <c r="F9" s="2">
        <f>conversion_to_TJ!C13</f>
        <v>918667.65600000008</v>
      </c>
      <c r="G9" s="2">
        <f>conversion_to_TJ!C16*Dashboard!$D$14</f>
        <v>50173.229556000006</v>
      </c>
    </row>
    <row r="10" spans="1:13">
      <c r="A10" s="1">
        <v>2001</v>
      </c>
      <c r="B10" s="1">
        <f>B$9+(B$14-B$9)/($A$14-$A$9)*($A10-$A$9)</f>
        <v>724575.98160000006</v>
      </c>
      <c r="C10" s="1">
        <f t="shared" ref="C10:G10" si="0">C$9+(C$14-C$9)/($A$14-$A$9)*($A10-$A$9)</f>
        <v>0</v>
      </c>
      <c r="D10" s="1">
        <f t="shared" si="0"/>
        <v>3932351.4168000002</v>
      </c>
      <c r="E10" s="1">
        <f t="shared" si="0"/>
        <v>5073614.4815999996</v>
      </c>
      <c r="F10" s="1">
        <f t="shared" si="0"/>
        <v>911231.8992000001</v>
      </c>
      <c r="G10" s="1">
        <f t="shared" si="0"/>
        <v>58046.406472800008</v>
      </c>
    </row>
    <row r="11" spans="1:13">
      <c r="A11" s="1">
        <v>2002</v>
      </c>
      <c r="B11" s="1">
        <f t="shared" ref="B11:G13" si="1">B$9+(B$14-B$9)/($A$14-$A$9)*($A11-$A$9)</f>
        <v>667978.81920000003</v>
      </c>
      <c r="C11" s="1">
        <f t="shared" si="1"/>
        <v>0</v>
      </c>
      <c r="D11" s="1">
        <f t="shared" si="1"/>
        <v>3780311.9616</v>
      </c>
      <c r="E11" s="1">
        <f t="shared" si="1"/>
        <v>4724066.9232000001</v>
      </c>
      <c r="F11" s="1">
        <f t="shared" si="1"/>
        <v>903796.14240000013</v>
      </c>
      <c r="G11" s="1">
        <f t="shared" si="1"/>
        <v>65919.583389600011</v>
      </c>
    </row>
    <row r="12" spans="1:13">
      <c r="A12" s="1">
        <v>2003</v>
      </c>
      <c r="B12" s="1">
        <f t="shared" si="1"/>
        <v>611381.6568</v>
      </c>
      <c r="C12" s="1">
        <f t="shared" si="1"/>
        <v>0</v>
      </c>
      <c r="D12" s="1">
        <f t="shared" si="1"/>
        <v>3628272.5064000003</v>
      </c>
      <c r="E12" s="1">
        <f t="shared" si="1"/>
        <v>4374519.3648000006</v>
      </c>
      <c r="F12" s="1">
        <f t="shared" si="1"/>
        <v>896360.38560000004</v>
      </c>
      <c r="G12" s="1">
        <f t="shared" si="1"/>
        <v>73792.760306400014</v>
      </c>
    </row>
    <row r="13" spans="1:13">
      <c r="A13" s="1">
        <v>2004</v>
      </c>
      <c r="B13" s="1">
        <f t="shared" si="1"/>
        <v>554784.49440000008</v>
      </c>
      <c r="C13" s="1">
        <f t="shared" si="1"/>
        <v>0</v>
      </c>
      <c r="D13" s="1">
        <f t="shared" si="1"/>
        <v>3476233.0512000006</v>
      </c>
      <c r="E13" s="1">
        <f t="shared" si="1"/>
        <v>4024971.8064000001</v>
      </c>
      <c r="F13" s="1">
        <f t="shared" si="1"/>
        <v>888924.62880000006</v>
      </c>
      <c r="G13" s="1">
        <f t="shared" si="1"/>
        <v>81665.937223200017</v>
      </c>
    </row>
    <row r="14" spans="1:13">
      <c r="A14" s="2">
        <v>2005</v>
      </c>
      <c r="B14" s="2">
        <f>conversion_to_TJ!D10*Dashboard!$D$11</f>
        <v>498187.33200000005</v>
      </c>
      <c r="C14" s="2">
        <f>conversion_to_TJ!D10*Dashboard!$D$12</f>
        <v>0</v>
      </c>
      <c r="D14" s="2">
        <f>conversion_to_TJ!D12</f>
        <v>3324193.5960000004</v>
      </c>
      <c r="E14" s="2">
        <f>conversion_to_TJ!D11</f>
        <v>3675424.2480000001</v>
      </c>
      <c r="F14" s="2">
        <f>conversion_to_TJ!D13</f>
        <v>881488.87200000009</v>
      </c>
      <c r="G14" s="2">
        <f>conversion_to_TJ!D16*Dashboard!$D$14</f>
        <v>89539.11414000002</v>
      </c>
    </row>
    <row r="15" spans="1:13">
      <c r="A15" s="1">
        <v>2006</v>
      </c>
      <c r="B15" s="1">
        <f>B$14+(B$19-B$14)/($A$19-$A$14)*($A15-$A$14)</f>
        <v>488574.43920000002</v>
      </c>
      <c r="C15" s="1">
        <f t="shared" ref="C15:G15" si="2">C$14+(C$19-C$14)/($A$19-$A$14)*($A15-$A$14)</f>
        <v>0</v>
      </c>
      <c r="D15" s="1">
        <f t="shared" si="2"/>
        <v>3090327.3216000004</v>
      </c>
      <c r="E15" s="1">
        <f t="shared" si="2"/>
        <v>3477430.4760000003</v>
      </c>
      <c r="F15" s="1">
        <f t="shared" si="2"/>
        <v>839411.53200000012</v>
      </c>
      <c r="G15" s="1">
        <f t="shared" si="2"/>
        <v>94833.146894400023</v>
      </c>
    </row>
    <row r="16" spans="1:13">
      <c r="A16" s="1">
        <v>2007</v>
      </c>
      <c r="B16" s="1">
        <f t="shared" ref="B16:G18" si="3">B$14+(B$19-B$14)/($A$19-$A$14)*($A16-$A$14)</f>
        <v>478961.54640000005</v>
      </c>
      <c r="C16" s="1">
        <f t="shared" si="3"/>
        <v>0</v>
      </c>
      <c r="D16" s="1">
        <f t="shared" si="3"/>
        <v>2856461.0472000004</v>
      </c>
      <c r="E16" s="1">
        <f t="shared" si="3"/>
        <v>3279436.7040000004</v>
      </c>
      <c r="F16" s="1">
        <f t="shared" si="3"/>
        <v>797334.19200000004</v>
      </c>
      <c r="G16" s="1">
        <f t="shared" si="3"/>
        <v>100127.17964880003</v>
      </c>
    </row>
    <row r="17" spans="1:7">
      <c r="A17" s="1">
        <v>2008</v>
      </c>
      <c r="B17" s="1">
        <f t="shared" si="3"/>
        <v>469348.65360000002</v>
      </c>
      <c r="C17" s="1">
        <f t="shared" si="3"/>
        <v>0</v>
      </c>
      <c r="D17" s="1">
        <f t="shared" si="3"/>
        <v>2622594.7728000004</v>
      </c>
      <c r="E17" s="1">
        <f t="shared" si="3"/>
        <v>3081442.932</v>
      </c>
      <c r="F17" s="1">
        <f t="shared" si="3"/>
        <v>755256.85200000007</v>
      </c>
      <c r="G17" s="1">
        <f t="shared" si="3"/>
        <v>105421.21240320001</v>
      </c>
    </row>
    <row r="18" spans="1:7">
      <c r="A18" s="1">
        <v>2009</v>
      </c>
      <c r="B18" s="1">
        <f t="shared" si="3"/>
        <v>459735.76080000005</v>
      </c>
      <c r="C18" s="1">
        <f t="shared" si="3"/>
        <v>0</v>
      </c>
      <c r="D18" s="1">
        <f t="shared" si="3"/>
        <v>2388728.4983999999</v>
      </c>
      <c r="E18" s="1">
        <f t="shared" si="3"/>
        <v>2883449.16</v>
      </c>
      <c r="F18" s="1">
        <f t="shared" si="3"/>
        <v>713179.5120000001</v>
      </c>
      <c r="G18" s="1">
        <f t="shared" si="3"/>
        <v>110715.24515760002</v>
      </c>
    </row>
    <row r="19" spans="1:7">
      <c r="A19" s="2">
        <v>2010</v>
      </c>
      <c r="B19" s="2">
        <f>conversion_to_TJ!E10*Dashboard!$D$11</f>
        <v>450122.86800000002</v>
      </c>
      <c r="C19" s="2">
        <f>conversion_to_TJ!E10*Dashboard!$D$12</f>
        <v>0</v>
      </c>
      <c r="D19" s="2">
        <f>conversion_to_TJ!E12</f>
        <v>2154862.2239999999</v>
      </c>
      <c r="E19" s="2">
        <f>conversion_to_TJ!E11</f>
        <v>2685455.3880000003</v>
      </c>
      <c r="F19" s="2">
        <f>conversion_to_TJ!E13</f>
        <v>671102.17200000002</v>
      </c>
      <c r="G19" s="2">
        <f>conversion_to_TJ!E16*Dashboard!$D$14</f>
        <v>116009.27791200002</v>
      </c>
    </row>
    <row r="20" spans="1:7">
      <c r="A20" s="1">
        <v>2011</v>
      </c>
      <c r="B20" s="1">
        <f>B$19+(B$24-B$19)/($A$24-$A$19)*($A20-$A$19)</f>
        <v>455507.09280000004</v>
      </c>
      <c r="C20" s="1">
        <f t="shared" ref="C20:G20" si="4">C$19+(C$24-C$19)/($A$24-$A$19)*($A20-$A$19)</f>
        <v>0</v>
      </c>
      <c r="D20" s="1">
        <f t="shared" si="4"/>
        <v>2073470.8319999999</v>
      </c>
      <c r="E20" s="1">
        <f t="shared" si="4"/>
        <v>2573265.8952000001</v>
      </c>
      <c r="F20" s="1">
        <f t="shared" si="4"/>
        <v>672994.60560000001</v>
      </c>
      <c r="G20" s="1">
        <f t="shared" si="4"/>
        <v>123950.32704360002</v>
      </c>
    </row>
    <row r="21" spans="1:7">
      <c r="A21" s="1">
        <v>2012</v>
      </c>
      <c r="B21" s="1">
        <f t="shared" ref="B21:G23" si="5">B$19+(B$24-B$19)/($A$24-$A$19)*($A21-$A$19)</f>
        <v>460891.31760000001</v>
      </c>
      <c r="C21" s="1">
        <f t="shared" si="5"/>
        <v>0</v>
      </c>
      <c r="D21" s="1">
        <f t="shared" si="5"/>
        <v>1992079.44</v>
      </c>
      <c r="E21" s="1">
        <f t="shared" si="5"/>
        <v>2461076.4024</v>
      </c>
      <c r="F21" s="1">
        <f t="shared" si="5"/>
        <v>674887.0392</v>
      </c>
      <c r="G21" s="1">
        <f t="shared" si="5"/>
        <v>131891.37617520001</v>
      </c>
    </row>
    <row r="22" spans="1:7">
      <c r="A22" s="1">
        <v>2013</v>
      </c>
      <c r="B22" s="1">
        <f t="shared" si="5"/>
        <v>466275.54240000003</v>
      </c>
      <c r="C22" s="1">
        <f t="shared" si="5"/>
        <v>0</v>
      </c>
      <c r="D22" s="1">
        <f t="shared" si="5"/>
        <v>1910688.048</v>
      </c>
      <c r="E22" s="1">
        <f t="shared" si="5"/>
        <v>2348886.9095999999</v>
      </c>
      <c r="F22" s="1">
        <f t="shared" si="5"/>
        <v>676779.47280000011</v>
      </c>
      <c r="G22" s="1">
        <f t="shared" si="5"/>
        <v>139832.42530680003</v>
      </c>
    </row>
    <row r="23" spans="1:7">
      <c r="A23" s="1">
        <v>2014</v>
      </c>
      <c r="B23" s="1">
        <f t="shared" si="5"/>
        <v>471659.7672</v>
      </c>
      <c r="C23" s="1">
        <f t="shared" si="5"/>
        <v>0</v>
      </c>
      <c r="D23" s="1">
        <f t="shared" si="5"/>
        <v>1829296.6560000002</v>
      </c>
      <c r="E23" s="1">
        <f t="shared" si="5"/>
        <v>2236697.4168000002</v>
      </c>
      <c r="F23" s="1">
        <f t="shared" si="5"/>
        <v>678671.90640000009</v>
      </c>
      <c r="G23" s="1">
        <f t="shared" si="5"/>
        <v>147773.47443840001</v>
      </c>
    </row>
    <row r="24" spans="1:7">
      <c r="A24" s="2">
        <v>2015</v>
      </c>
      <c r="B24" s="2">
        <f>conversion_to_TJ!F10*Dashboard!$D$11</f>
        <v>477043.99200000003</v>
      </c>
      <c r="C24" s="2">
        <f>conversion_to_TJ!F10*Dashboard!$D$12</f>
        <v>0</v>
      </c>
      <c r="D24" s="2">
        <f>conversion_to_TJ!F12</f>
        <v>1747905.2640000002</v>
      </c>
      <c r="E24" s="2">
        <f>conversion_to_TJ!F11</f>
        <v>2124507.9240000001</v>
      </c>
      <c r="F24" s="2">
        <f>conversion_to_TJ!F13</f>
        <v>680564.34000000008</v>
      </c>
      <c r="G24" s="2">
        <f>conversion_to_TJ!F16*Dashboard!$D$14</f>
        <v>155714.52357000002</v>
      </c>
    </row>
    <row r="25" spans="1:7">
      <c r="A25" s="1">
        <v>2016</v>
      </c>
      <c r="B25" s="1">
        <f>B$24+(B$29-B$24)/($A$29-$A$24)*($A25-$A$24)</f>
        <v>465228.84240000002</v>
      </c>
      <c r="C25" s="1">
        <f t="shared" ref="C25:G25" si="6">C$24+(C$29-C$24)/($A$29-$A$24)*($A25-$A$24)</f>
        <v>0</v>
      </c>
      <c r="D25" s="1">
        <f t="shared" si="6"/>
        <v>1672182.7992000002</v>
      </c>
      <c r="E25" s="1">
        <f t="shared" si="6"/>
        <v>2033001.2232000001</v>
      </c>
      <c r="F25" s="1">
        <f t="shared" si="6"/>
        <v>610946.22960000008</v>
      </c>
      <c r="G25" s="1">
        <f t="shared" si="6"/>
        <v>166631.50827360002</v>
      </c>
    </row>
    <row r="26" spans="1:7">
      <c r="A26" s="1">
        <v>2017</v>
      </c>
      <c r="B26" s="1">
        <f t="shared" ref="B26:G28" si="7">B$24+(B$29-B$24)/($A$29-$A$24)*($A26-$A$24)</f>
        <v>453413.69280000002</v>
      </c>
      <c r="C26" s="1">
        <f t="shared" si="7"/>
        <v>0</v>
      </c>
      <c r="D26" s="1">
        <f t="shared" si="7"/>
        <v>1596460.3344000003</v>
      </c>
      <c r="E26" s="1">
        <f t="shared" si="7"/>
        <v>1941494.5224000001</v>
      </c>
      <c r="F26" s="1">
        <f t="shared" si="7"/>
        <v>541328.11920000007</v>
      </c>
      <c r="G26" s="1">
        <f t="shared" si="7"/>
        <v>177548.49297720002</v>
      </c>
    </row>
    <row r="27" spans="1:7">
      <c r="A27" s="1">
        <v>2018</v>
      </c>
      <c r="B27" s="1">
        <f t="shared" si="7"/>
        <v>441598.54320000001</v>
      </c>
      <c r="C27" s="1">
        <f t="shared" si="7"/>
        <v>0</v>
      </c>
      <c r="D27" s="1">
        <f t="shared" si="7"/>
        <v>1520737.8696000003</v>
      </c>
      <c r="E27" s="1">
        <f t="shared" si="7"/>
        <v>1849987.8216000001</v>
      </c>
      <c r="F27" s="1">
        <f t="shared" si="7"/>
        <v>471710.00880000001</v>
      </c>
      <c r="G27" s="1">
        <f t="shared" si="7"/>
        <v>188465.47768080002</v>
      </c>
    </row>
    <row r="28" spans="1:7">
      <c r="A28" s="1">
        <v>2019</v>
      </c>
      <c r="B28" s="1">
        <f t="shared" si="7"/>
        <v>429783.39360000001</v>
      </c>
      <c r="C28" s="1">
        <f t="shared" si="7"/>
        <v>0</v>
      </c>
      <c r="D28" s="1">
        <f t="shared" si="7"/>
        <v>1445015.4048000001</v>
      </c>
      <c r="E28" s="1">
        <f t="shared" si="7"/>
        <v>1758481.1208000001</v>
      </c>
      <c r="F28" s="1">
        <f t="shared" si="7"/>
        <v>402091.89840000001</v>
      </c>
      <c r="G28" s="1">
        <f t="shared" si="7"/>
        <v>199382.46238440002</v>
      </c>
    </row>
    <row r="29" spans="1:7">
      <c r="A29" s="2">
        <v>2020</v>
      </c>
      <c r="B29" s="2">
        <f>conversion_to_TJ!G10*Dashboard!$D$11</f>
        <v>417968.24400000001</v>
      </c>
      <c r="C29" s="2">
        <f>conversion_to_TJ!G10*Dashboard!$D$12</f>
        <v>0</v>
      </c>
      <c r="D29" s="2">
        <f>conversion_to_TJ!G12</f>
        <v>1369292.9400000002</v>
      </c>
      <c r="E29" s="2">
        <f>conversion_to_TJ!G11</f>
        <v>1666974.4200000002</v>
      </c>
      <c r="F29" s="2">
        <f>conversion_to_TJ!G13</f>
        <v>332473.788</v>
      </c>
      <c r="G29" s="2">
        <f>conversion_to_TJ!G16*Dashboard!$D$14</f>
        <v>210299.44708800002</v>
      </c>
    </row>
    <row r="30" spans="1:7">
      <c r="A30" s="1">
        <v>2021</v>
      </c>
      <c r="B30" s="1">
        <f>B$29+(B$34-B$29)/($A$34-$A$29)*($A30-$A$29)</f>
        <v>428008.19040000002</v>
      </c>
      <c r="C30" s="1">
        <f t="shared" ref="C30:G30" si="8">C$29+(C$34-C$29)/($A$34-$A$29)*($A30-$A$29)</f>
        <v>0</v>
      </c>
      <c r="D30" s="1">
        <f t="shared" si="8"/>
        <v>1305569.844</v>
      </c>
      <c r="E30" s="1">
        <f t="shared" si="8"/>
        <v>1591745.9976000001</v>
      </c>
      <c r="F30" s="1">
        <f t="shared" si="8"/>
        <v>312561.36719999998</v>
      </c>
      <c r="G30" s="1">
        <f t="shared" si="8"/>
        <v>211192.22775960001</v>
      </c>
    </row>
    <row r="31" spans="1:7">
      <c r="A31" s="1">
        <v>2022</v>
      </c>
      <c r="B31" s="1">
        <f t="shared" ref="B31:G33" si="9">B$29+(B$34-B$29)/($A$34-$A$29)*($A31-$A$29)</f>
        <v>438048.13680000004</v>
      </c>
      <c r="C31" s="1">
        <f t="shared" si="9"/>
        <v>0</v>
      </c>
      <c r="D31" s="1">
        <f t="shared" si="9"/>
        <v>1241846.7480000001</v>
      </c>
      <c r="E31" s="1">
        <f t="shared" si="9"/>
        <v>1516517.5752000001</v>
      </c>
      <c r="F31" s="1">
        <f t="shared" si="9"/>
        <v>292648.94640000002</v>
      </c>
      <c r="G31" s="1">
        <f t="shared" si="9"/>
        <v>212085.00843120003</v>
      </c>
    </row>
    <row r="32" spans="1:7">
      <c r="A32" s="1">
        <v>2023</v>
      </c>
      <c r="B32" s="1">
        <f t="shared" si="9"/>
        <v>448088.08319999999</v>
      </c>
      <c r="C32" s="1">
        <f t="shared" si="9"/>
        <v>0</v>
      </c>
      <c r="D32" s="1">
        <f t="shared" si="9"/>
        <v>1178123.652</v>
      </c>
      <c r="E32" s="1">
        <f t="shared" si="9"/>
        <v>1441289.1528</v>
      </c>
      <c r="F32" s="1">
        <f t="shared" si="9"/>
        <v>272736.52559999999</v>
      </c>
      <c r="G32" s="1">
        <f t="shared" si="9"/>
        <v>212977.78910280002</v>
      </c>
    </row>
    <row r="33" spans="1:7">
      <c r="A33" s="1">
        <v>2024</v>
      </c>
      <c r="B33" s="1">
        <f t="shared" si="9"/>
        <v>458128.02960000001</v>
      </c>
      <c r="C33" s="1">
        <f t="shared" si="9"/>
        <v>0</v>
      </c>
      <c r="D33" s="1">
        <f t="shared" si="9"/>
        <v>1114400.5560000001</v>
      </c>
      <c r="E33" s="1">
        <f t="shared" si="9"/>
        <v>1366060.7304</v>
      </c>
      <c r="F33" s="1">
        <f t="shared" si="9"/>
        <v>252824.1048</v>
      </c>
      <c r="G33" s="1">
        <f t="shared" si="9"/>
        <v>213870.56977440004</v>
      </c>
    </row>
    <row r="34" spans="1:7">
      <c r="A34" s="2">
        <v>2025</v>
      </c>
      <c r="B34" s="2">
        <f>conversion_to_TJ!H10*Dashboard!$D$11</f>
        <v>468167.97600000002</v>
      </c>
      <c r="C34" s="2">
        <f>conversion_to_TJ!H10*Dashboard!$D$12</f>
        <v>0</v>
      </c>
      <c r="D34" s="2">
        <f>conversion_to_TJ!H12</f>
        <v>1050677.46</v>
      </c>
      <c r="E34" s="2">
        <f>conversion_to_TJ!H11</f>
        <v>1290832.308</v>
      </c>
      <c r="F34" s="2">
        <f>conversion_to_TJ!H13</f>
        <v>232911.68400000001</v>
      </c>
      <c r="G34" s="2">
        <f>conversion_to_TJ!H16*Dashboard!$D$14</f>
        <v>214763.35044600003</v>
      </c>
    </row>
    <row r="35" spans="1:7">
      <c r="A35" s="1">
        <v>2026</v>
      </c>
      <c r="B35" s="1">
        <f>B$34+(B$39-B$34)/($A$39-$A$34)*($A35-$A$34)</f>
        <v>424080.97200000001</v>
      </c>
      <c r="C35" s="1">
        <f t="shared" ref="C35:G35" si="10">C$34+(C$39-C$34)/($A$39-$A$34)*($A35-$A$34)</f>
        <v>0</v>
      </c>
      <c r="D35" s="1">
        <f t="shared" si="10"/>
        <v>1004497.056</v>
      </c>
      <c r="E35" s="1">
        <f t="shared" si="10"/>
        <v>1232225.4816000001</v>
      </c>
      <c r="F35" s="1">
        <f t="shared" si="10"/>
        <v>257186.75040000002</v>
      </c>
      <c r="G35" s="1">
        <f t="shared" si="10"/>
        <v>213933.22104960002</v>
      </c>
    </row>
    <row r="36" spans="1:7">
      <c r="A36" s="1">
        <v>2027</v>
      </c>
      <c r="B36" s="1">
        <f t="shared" ref="B36:G38" si="11">B$34+(B$39-B$34)/($A$39-$A$34)*($A36-$A$34)</f>
        <v>379993.96799999999</v>
      </c>
      <c r="C36" s="1">
        <f t="shared" si="11"/>
        <v>0</v>
      </c>
      <c r="D36" s="1">
        <f t="shared" si="11"/>
        <v>958316.652</v>
      </c>
      <c r="E36" s="1">
        <f t="shared" si="11"/>
        <v>1173618.6551999999</v>
      </c>
      <c r="F36" s="1">
        <f t="shared" si="11"/>
        <v>281461.81680000003</v>
      </c>
      <c r="G36" s="1">
        <f t="shared" si="11"/>
        <v>213103.09165320004</v>
      </c>
    </row>
    <row r="37" spans="1:7">
      <c r="A37" s="1">
        <v>2028</v>
      </c>
      <c r="B37" s="1">
        <f t="shared" si="11"/>
        <v>335906.96400000004</v>
      </c>
      <c r="C37" s="1">
        <f t="shared" si="11"/>
        <v>0</v>
      </c>
      <c r="D37" s="1">
        <f t="shared" si="11"/>
        <v>912136.24800000002</v>
      </c>
      <c r="E37" s="1">
        <f t="shared" si="11"/>
        <v>1115011.8288</v>
      </c>
      <c r="F37" s="1">
        <f t="shared" si="11"/>
        <v>305736.88320000004</v>
      </c>
      <c r="G37" s="1">
        <f t="shared" si="11"/>
        <v>212272.96225680003</v>
      </c>
    </row>
    <row r="38" spans="1:7">
      <c r="A38" s="1">
        <v>2029</v>
      </c>
      <c r="B38" s="1">
        <f t="shared" si="11"/>
        <v>291819.96000000002</v>
      </c>
      <c r="C38" s="1">
        <f t="shared" si="11"/>
        <v>0</v>
      </c>
      <c r="D38" s="1">
        <f t="shared" si="11"/>
        <v>865955.84400000004</v>
      </c>
      <c r="E38" s="1">
        <f t="shared" si="11"/>
        <v>1056405.0024000001</v>
      </c>
      <c r="F38" s="1">
        <f t="shared" si="11"/>
        <v>330011.94959999999</v>
      </c>
      <c r="G38" s="1">
        <f t="shared" si="11"/>
        <v>211442.83286040006</v>
      </c>
    </row>
    <row r="39" spans="1:7">
      <c r="A39" s="2">
        <v>2030</v>
      </c>
      <c r="B39" s="2">
        <f>conversion_to_TJ!I10*Dashboard!$D$11</f>
        <v>247732.95600000001</v>
      </c>
      <c r="C39" s="2">
        <f>conversion_to_TJ!I10*Dashboard!$D$12</f>
        <v>0</v>
      </c>
      <c r="D39" s="2">
        <f>conversion_to_TJ!I12</f>
        <v>819775.44000000006</v>
      </c>
      <c r="E39" s="2">
        <f>conversion_to_TJ!I11</f>
        <v>997798.17600000009</v>
      </c>
      <c r="F39" s="2">
        <f>conversion_to_TJ!I13</f>
        <v>354287.016</v>
      </c>
      <c r="G39" s="2">
        <f>conversion_to_TJ!I16*Dashboard!$D$14</f>
        <v>210612.70346400005</v>
      </c>
    </row>
    <row r="40" spans="1:7">
      <c r="A40" s="1">
        <v>2031</v>
      </c>
      <c r="B40" s="1">
        <f>B$39+(B$44-B$39)/($A$44-$A$39)*($A40-$A$39)</f>
        <v>235239.5448</v>
      </c>
      <c r="C40" s="1">
        <f t="shared" ref="C40:G40" si="12">C$39+(C$44-C$39)/($A$44-$A$39)*($A40-$A$39)</f>
        <v>0</v>
      </c>
      <c r="D40" s="1">
        <f t="shared" si="12"/>
        <v>768981.18240000005</v>
      </c>
      <c r="E40" s="1">
        <f t="shared" si="12"/>
        <v>946936.92960000003</v>
      </c>
      <c r="F40" s="1">
        <f t="shared" si="12"/>
        <v>379399.4424</v>
      </c>
      <c r="G40" s="1">
        <f t="shared" si="12"/>
        <v>212471.35796160004</v>
      </c>
    </row>
    <row r="41" spans="1:7">
      <c r="A41" s="1">
        <v>2032</v>
      </c>
      <c r="B41" s="1">
        <f t="shared" ref="B41:G43" si="13">B$39+(B$44-B$39)/($A$44-$A$39)*($A41-$A$39)</f>
        <v>222746.1336</v>
      </c>
      <c r="C41" s="1">
        <f t="shared" si="13"/>
        <v>0</v>
      </c>
      <c r="D41" s="1">
        <f t="shared" si="13"/>
        <v>718186.92480000004</v>
      </c>
      <c r="E41" s="1">
        <f t="shared" si="13"/>
        <v>896075.68320000009</v>
      </c>
      <c r="F41" s="1">
        <f t="shared" si="13"/>
        <v>404511.8688</v>
      </c>
      <c r="G41" s="1">
        <f t="shared" si="13"/>
        <v>214330.01245920005</v>
      </c>
    </row>
    <row r="42" spans="1:7">
      <c r="A42" s="1">
        <v>2033</v>
      </c>
      <c r="B42" s="1">
        <f t="shared" si="13"/>
        <v>210252.72240000003</v>
      </c>
      <c r="C42" s="1">
        <f t="shared" si="13"/>
        <v>0</v>
      </c>
      <c r="D42" s="1">
        <f t="shared" si="13"/>
        <v>667392.66720000003</v>
      </c>
      <c r="E42" s="1">
        <f t="shared" si="13"/>
        <v>845214.43680000002</v>
      </c>
      <c r="F42" s="1">
        <f t="shared" si="13"/>
        <v>429624.29520000005</v>
      </c>
      <c r="G42" s="1">
        <f t="shared" si="13"/>
        <v>216188.66695680004</v>
      </c>
    </row>
    <row r="43" spans="1:7">
      <c r="A43" s="1">
        <v>2034</v>
      </c>
      <c r="B43" s="1">
        <f t="shared" si="13"/>
        <v>197759.31120000003</v>
      </c>
      <c r="C43" s="1">
        <f t="shared" si="13"/>
        <v>0</v>
      </c>
      <c r="D43" s="1">
        <f t="shared" si="13"/>
        <v>616598.40960000001</v>
      </c>
      <c r="E43" s="1">
        <f t="shared" si="13"/>
        <v>794353.19039999996</v>
      </c>
      <c r="F43" s="1">
        <f t="shared" si="13"/>
        <v>454736.72160000005</v>
      </c>
      <c r="G43" s="1">
        <f t="shared" si="13"/>
        <v>218047.32145440005</v>
      </c>
    </row>
    <row r="44" spans="1:7">
      <c r="A44" s="2">
        <v>2035</v>
      </c>
      <c r="B44" s="2">
        <f>conversion_to_TJ!J10*Dashboard!$D$11</f>
        <v>185265.90000000002</v>
      </c>
      <c r="C44" s="2">
        <f>conversion_to_TJ!J10*Dashboard!$D$12</f>
        <v>0</v>
      </c>
      <c r="D44" s="2">
        <f>conversion_to_TJ!J12</f>
        <v>565804.152</v>
      </c>
      <c r="E44" s="2">
        <f>conversion_to_TJ!J11</f>
        <v>743491.94400000002</v>
      </c>
      <c r="F44" s="2">
        <f>conversion_to_TJ!J13</f>
        <v>479849.14800000004</v>
      </c>
      <c r="G44" s="2">
        <f>conversion_to_TJ!J16*Dashboard!$D$14</f>
        <v>219905.97595200004</v>
      </c>
    </row>
    <row r="45" spans="1:7">
      <c r="A45" s="1">
        <v>2036</v>
      </c>
      <c r="B45" s="1">
        <f>B$44+(B$49-B$44)/($A$49-$A$44)*($A45-$A$44)</f>
        <v>179982.15840000001</v>
      </c>
      <c r="C45" s="1">
        <f t="shared" ref="C45:G45" si="14">C$44+(C$49-C$44)/($A$49-$A$44)*($A45-$A$44)</f>
        <v>0</v>
      </c>
      <c r="D45" s="1">
        <f t="shared" si="14"/>
        <v>524974.47840000002</v>
      </c>
      <c r="E45" s="1">
        <f t="shared" si="14"/>
        <v>697571.12160000007</v>
      </c>
      <c r="F45" s="1">
        <f t="shared" si="14"/>
        <v>522253.05840000004</v>
      </c>
      <c r="G45" s="1">
        <f t="shared" si="14"/>
        <v>221754.18857040003</v>
      </c>
    </row>
    <row r="46" spans="1:7">
      <c r="A46" s="1">
        <v>2037</v>
      </c>
      <c r="B46" s="1">
        <f t="shared" ref="B46:G48" si="15">B$44+(B$49-B$44)/($A$49-$A$44)*($A46-$A$44)</f>
        <v>174698.41680000001</v>
      </c>
      <c r="C46" s="1">
        <f t="shared" si="15"/>
        <v>0</v>
      </c>
      <c r="D46" s="1">
        <f t="shared" si="15"/>
        <v>484144.80480000004</v>
      </c>
      <c r="E46" s="1">
        <f t="shared" si="15"/>
        <v>651650.29920000001</v>
      </c>
      <c r="F46" s="1">
        <f t="shared" si="15"/>
        <v>564656.96880000003</v>
      </c>
      <c r="G46" s="1">
        <f t="shared" si="15"/>
        <v>223602.40118880002</v>
      </c>
    </row>
    <row r="47" spans="1:7">
      <c r="A47" s="1">
        <v>2038</v>
      </c>
      <c r="B47" s="1">
        <f t="shared" si="15"/>
        <v>169414.67520000003</v>
      </c>
      <c r="C47" s="1">
        <f t="shared" si="15"/>
        <v>0</v>
      </c>
      <c r="D47" s="1">
        <f t="shared" si="15"/>
        <v>443315.1312</v>
      </c>
      <c r="E47" s="1">
        <f t="shared" si="15"/>
        <v>605729.47680000006</v>
      </c>
      <c r="F47" s="1">
        <f t="shared" si="15"/>
        <v>607060.87920000008</v>
      </c>
      <c r="G47" s="1">
        <f t="shared" si="15"/>
        <v>225450.61380720005</v>
      </c>
    </row>
    <row r="48" spans="1:7">
      <c r="A48" s="1">
        <v>2039</v>
      </c>
      <c r="B48" s="1">
        <f t="shared" si="15"/>
        <v>164130.93360000002</v>
      </c>
      <c r="C48" s="1">
        <f t="shared" si="15"/>
        <v>0</v>
      </c>
      <c r="D48" s="1">
        <f t="shared" si="15"/>
        <v>402485.45760000002</v>
      </c>
      <c r="E48" s="1">
        <f t="shared" si="15"/>
        <v>559808.65440000012</v>
      </c>
      <c r="F48" s="1">
        <f t="shared" si="15"/>
        <v>649464.78960000002</v>
      </c>
      <c r="G48" s="1">
        <f t="shared" si="15"/>
        <v>227298.82642560004</v>
      </c>
    </row>
    <row r="49" spans="1:7">
      <c r="A49" s="2">
        <v>2040</v>
      </c>
      <c r="B49" s="2">
        <f>conversion_to_TJ!K10*Dashboard!$D$11</f>
        <v>158847.19200000001</v>
      </c>
      <c r="C49" s="2">
        <f>conversion_to_TJ!K10*Dashboard!$D$12</f>
        <v>0</v>
      </c>
      <c r="D49" s="2">
        <f>conversion_to_TJ!K12</f>
        <v>361655.78400000004</v>
      </c>
      <c r="E49" s="2">
        <f>conversion_to_TJ!K11</f>
        <v>513887.83200000005</v>
      </c>
      <c r="F49" s="2">
        <f>conversion_to_TJ!K13</f>
        <v>691868.70000000007</v>
      </c>
      <c r="G49" s="2">
        <f>conversion_to_TJ!K16*Dashboard!$D$14</f>
        <v>229147.03904400003</v>
      </c>
    </row>
    <row r="50" spans="1:7">
      <c r="A50" s="1">
        <v>2041</v>
      </c>
      <c r="B50" s="1">
        <f>B$49+(B$54-B$49)/($A$54-$A$49)*($A50-$A$49)</f>
        <v>156259.74960000001</v>
      </c>
      <c r="C50" s="1">
        <f t="shared" ref="C50:G50" si="16">C$49+(C$54-C$49)/($A$54-$A$49)*($A50-$A$49)</f>
        <v>0</v>
      </c>
      <c r="D50" s="1">
        <f t="shared" si="16"/>
        <v>326277.32400000002</v>
      </c>
      <c r="E50" s="1">
        <f t="shared" si="16"/>
        <v>468151.22880000004</v>
      </c>
      <c r="F50" s="1">
        <f t="shared" si="16"/>
        <v>699840.3672000001</v>
      </c>
      <c r="G50" s="1">
        <f t="shared" si="16"/>
        <v>227878.35072120003</v>
      </c>
    </row>
    <row r="51" spans="1:7">
      <c r="A51" s="1">
        <v>2042</v>
      </c>
      <c r="B51" s="1">
        <f t="shared" ref="B51:G53" si="17">B$49+(B$54-B$49)/($A$54-$A$49)*($A51-$A$49)</f>
        <v>153672.30720000001</v>
      </c>
      <c r="C51" s="1">
        <f t="shared" si="17"/>
        <v>0</v>
      </c>
      <c r="D51" s="1">
        <f t="shared" si="17"/>
        <v>290898.86400000006</v>
      </c>
      <c r="E51" s="1">
        <f t="shared" si="17"/>
        <v>422414.62560000003</v>
      </c>
      <c r="F51" s="1">
        <f t="shared" si="17"/>
        <v>707812.03440000012</v>
      </c>
      <c r="G51" s="1">
        <f t="shared" si="17"/>
        <v>226609.66239840002</v>
      </c>
    </row>
    <row r="52" spans="1:7">
      <c r="A52" s="1">
        <v>2043</v>
      </c>
      <c r="B52" s="1">
        <f t="shared" si="17"/>
        <v>151084.86480000001</v>
      </c>
      <c r="C52" s="1">
        <f t="shared" si="17"/>
        <v>0</v>
      </c>
      <c r="D52" s="1">
        <f t="shared" si="17"/>
        <v>255520.40400000004</v>
      </c>
      <c r="E52" s="1">
        <f t="shared" si="17"/>
        <v>376678.02240000002</v>
      </c>
      <c r="F52" s="1">
        <f t="shared" si="17"/>
        <v>715783.70160000003</v>
      </c>
      <c r="G52" s="1">
        <f t="shared" si="17"/>
        <v>225340.97407560004</v>
      </c>
    </row>
    <row r="53" spans="1:7">
      <c r="A53" s="1">
        <v>2044</v>
      </c>
      <c r="B53" s="1">
        <f t="shared" si="17"/>
        <v>148497.42240000001</v>
      </c>
      <c r="C53" s="1">
        <f t="shared" si="17"/>
        <v>0</v>
      </c>
      <c r="D53" s="1">
        <f t="shared" si="17"/>
        <v>220141.94400000002</v>
      </c>
      <c r="E53" s="1">
        <f t="shared" si="17"/>
        <v>330941.4192</v>
      </c>
      <c r="F53" s="1">
        <f t="shared" si="17"/>
        <v>723755.36880000005</v>
      </c>
      <c r="G53" s="1">
        <f t="shared" si="17"/>
        <v>224072.28575280003</v>
      </c>
    </row>
    <row r="54" spans="1:7">
      <c r="A54" s="2">
        <v>2045</v>
      </c>
      <c r="B54" s="2">
        <f>conversion_to_TJ!L10*Dashboard!$D$11</f>
        <v>145909.98000000001</v>
      </c>
      <c r="C54" s="2">
        <f>conversion_to_TJ!L10*Dashboard!$D$12</f>
        <v>0</v>
      </c>
      <c r="D54" s="2">
        <f>conversion_to_TJ!L12</f>
        <v>184763.484</v>
      </c>
      <c r="E54" s="2">
        <f>conversion_to_TJ!L11</f>
        <v>285204.81599999999</v>
      </c>
      <c r="F54" s="2">
        <f>conversion_to_TJ!L13</f>
        <v>731727.03600000008</v>
      </c>
      <c r="G54" s="2">
        <f>conversion_to_TJ!L16*Dashboard!$D$14</f>
        <v>222803.59743000002</v>
      </c>
    </row>
    <row r="55" spans="1:7">
      <c r="A55" s="1">
        <v>2046</v>
      </c>
      <c r="B55" s="1">
        <f>B$54+(B$59-B$54)/($A$59-$A$54)*($A55-$A$54)</f>
        <v>139077.12240000002</v>
      </c>
      <c r="C55" s="1">
        <f t="shared" ref="C55:G55" si="18">C$54+(C$59-C$54)/($A$59-$A$54)*($A55-$A$54)</f>
        <v>0</v>
      </c>
      <c r="D55" s="1">
        <f t="shared" si="18"/>
        <v>162372.47759999998</v>
      </c>
      <c r="E55" s="1">
        <f t="shared" si="18"/>
        <v>249399.30239999999</v>
      </c>
      <c r="F55" s="1">
        <f t="shared" si="18"/>
        <v>731727.03600000008</v>
      </c>
      <c r="G55" s="1">
        <f t="shared" si="18"/>
        <v>222359.81756400003</v>
      </c>
    </row>
    <row r="56" spans="1:7">
      <c r="A56" s="1">
        <v>2047</v>
      </c>
      <c r="B56" s="1">
        <f t="shared" ref="B56:G58" si="19">B$54+(B$59-B$54)/($A$59-$A$54)*($A56-$A$54)</f>
        <v>132244.2648</v>
      </c>
      <c r="C56" s="1">
        <f t="shared" si="19"/>
        <v>0</v>
      </c>
      <c r="D56" s="1">
        <f t="shared" si="19"/>
        <v>139981.4712</v>
      </c>
      <c r="E56" s="1">
        <f t="shared" si="19"/>
        <v>213593.78880000001</v>
      </c>
      <c r="F56" s="1">
        <f t="shared" si="19"/>
        <v>731727.03600000008</v>
      </c>
      <c r="G56" s="1">
        <f t="shared" si="19"/>
        <v>221916.03769800003</v>
      </c>
    </row>
    <row r="57" spans="1:7">
      <c r="A57" s="1">
        <v>2048</v>
      </c>
      <c r="B57" s="1">
        <f t="shared" si="19"/>
        <v>125411.40720000002</v>
      </c>
      <c r="C57" s="1">
        <f t="shared" si="19"/>
        <v>0</v>
      </c>
      <c r="D57" s="1">
        <f t="shared" si="19"/>
        <v>117590.4648</v>
      </c>
      <c r="E57" s="1">
        <f t="shared" si="19"/>
        <v>177788.27520000003</v>
      </c>
      <c r="F57" s="1">
        <f t="shared" si="19"/>
        <v>731727.03600000008</v>
      </c>
      <c r="G57" s="1">
        <f t="shared" si="19"/>
        <v>221472.25783200003</v>
      </c>
    </row>
    <row r="58" spans="1:7">
      <c r="A58" s="1">
        <v>2049</v>
      </c>
      <c r="B58" s="1">
        <f t="shared" si="19"/>
        <v>118578.54960000001</v>
      </c>
      <c r="C58" s="1">
        <f t="shared" si="19"/>
        <v>0</v>
      </c>
      <c r="D58" s="1">
        <f t="shared" si="19"/>
        <v>95199.458400000003</v>
      </c>
      <c r="E58" s="1">
        <f t="shared" si="19"/>
        <v>141982.76160000003</v>
      </c>
      <c r="F58" s="1">
        <f t="shared" si="19"/>
        <v>731727.03600000008</v>
      </c>
      <c r="G58" s="1">
        <f t="shared" si="19"/>
        <v>221028.47796600003</v>
      </c>
    </row>
    <row r="59" spans="1:7">
      <c r="A59" s="2">
        <v>2050</v>
      </c>
      <c r="B59" s="2">
        <f>conversion_to_TJ!M10*Dashboard!$D$11</f>
        <v>111745.69200000001</v>
      </c>
      <c r="C59" s="2">
        <f>conversion_to_TJ!M10*Dashboard!$D$12</f>
        <v>0</v>
      </c>
      <c r="D59" s="2">
        <f>conversion_to_TJ!M12</f>
        <v>72808.452000000005</v>
      </c>
      <c r="E59" s="2">
        <f>conversion_to_TJ!M11</f>
        <v>106177.24800000001</v>
      </c>
      <c r="F59" s="2">
        <f>conversion_to_TJ!M13</f>
        <v>731727.03600000008</v>
      </c>
      <c r="G59" s="2">
        <f>conversion_to_TJ!M16*Dashboard!$D$14</f>
        <v>220584.69810000004</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450122.86800000002</v>
      </c>
      <c r="C2">
        <f>interpolation!C19</f>
        <v>0</v>
      </c>
      <c r="D2">
        <f>interpolation!D19</f>
        <v>2154862.2239999999</v>
      </c>
      <c r="E2">
        <f>interpolation!E19</f>
        <v>2685455.3880000003</v>
      </c>
      <c r="F2">
        <f>interpolation!F19</f>
        <v>671102.17200000002</v>
      </c>
      <c r="G2">
        <f>interpolation!G19</f>
        <v>116009.27791200002</v>
      </c>
    </row>
    <row r="3" spans="1:7">
      <c r="A3">
        <v>2011</v>
      </c>
      <c r="B3">
        <f>interpolation!B20</f>
        <v>455507.09280000004</v>
      </c>
      <c r="C3">
        <f>interpolation!C20</f>
        <v>0</v>
      </c>
      <c r="D3">
        <f>interpolation!D20</f>
        <v>2073470.8319999999</v>
      </c>
      <c r="E3">
        <f>interpolation!E20</f>
        <v>2573265.8952000001</v>
      </c>
      <c r="F3">
        <f>interpolation!F20</f>
        <v>672994.60560000001</v>
      </c>
      <c r="G3">
        <f>interpolation!G20</f>
        <v>123950.32704360002</v>
      </c>
    </row>
    <row r="4" spans="1:7">
      <c r="A4">
        <v>2012</v>
      </c>
      <c r="B4">
        <f>interpolation!B21</f>
        <v>460891.31760000001</v>
      </c>
      <c r="C4">
        <f>interpolation!C21</f>
        <v>0</v>
      </c>
      <c r="D4">
        <f>interpolation!D21</f>
        <v>1992079.44</v>
      </c>
      <c r="E4">
        <f>interpolation!E21</f>
        <v>2461076.4024</v>
      </c>
      <c r="F4">
        <f>interpolation!F21</f>
        <v>674887.0392</v>
      </c>
      <c r="G4">
        <f>interpolation!G21</f>
        <v>131891.37617520001</v>
      </c>
    </row>
    <row r="5" spans="1:7">
      <c r="A5">
        <v>2013</v>
      </c>
      <c r="B5">
        <f>interpolation!B22</f>
        <v>466275.54240000003</v>
      </c>
      <c r="C5">
        <f>interpolation!C22</f>
        <v>0</v>
      </c>
      <c r="D5">
        <f>interpolation!D22</f>
        <v>1910688.048</v>
      </c>
      <c r="E5">
        <f>interpolation!E22</f>
        <v>2348886.9095999999</v>
      </c>
      <c r="F5">
        <f>interpolation!F22</f>
        <v>676779.47280000011</v>
      </c>
      <c r="G5">
        <f>interpolation!G22</f>
        <v>139832.42530680003</v>
      </c>
    </row>
    <row r="6" spans="1:7">
      <c r="A6">
        <v>2014</v>
      </c>
      <c r="B6">
        <f>interpolation!B23</f>
        <v>471659.7672</v>
      </c>
      <c r="C6">
        <f>interpolation!C23</f>
        <v>0</v>
      </c>
      <c r="D6">
        <f>interpolation!D23</f>
        <v>1829296.6560000002</v>
      </c>
      <c r="E6">
        <f>interpolation!E23</f>
        <v>2236697.4168000002</v>
      </c>
      <c r="F6">
        <f>interpolation!F23</f>
        <v>678671.90640000009</v>
      </c>
      <c r="G6">
        <f>interpolation!G23</f>
        <v>147773.47443840001</v>
      </c>
    </row>
    <row r="7" spans="1:7">
      <c r="A7">
        <v>2015</v>
      </c>
      <c r="B7">
        <f>interpolation!B24</f>
        <v>477043.99200000003</v>
      </c>
      <c r="C7">
        <f>interpolation!C24</f>
        <v>0</v>
      </c>
      <c r="D7">
        <f>interpolation!D24</f>
        <v>1747905.2640000002</v>
      </c>
      <c r="E7">
        <f>interpolation!E24</f>
        <v>2124507.9240000001</v>
      </c>
      <c r="F7">
        <f>interpolation!F24</f>
        <v>680564.34000000008</v>
      </c>
      <c r="G7">
        <f>interpolation!G24</f>
        <v>155714.52357000002</v>
      </c>
    </row>
    <row r="8" spans="1:7">
      <c r="A8">
        <v>2016</v>
      </c>
      <c r="B8">
        <f>interpolation!B25</f>
        <v>465228.84240000002</v>
      </c>
      <c r="C8">
        <f>interpolation!C25</f>
        <v>0</v>
      </c>
      <c r="D8">
        <f>interpolation!D25</f>
        <v>1672182.7992000002</v>
      </c>
      <c r="E8">
        <f>interpolation!E25</f>
        <v>2033001.2232000001</v>
      </c>
      <c r="F8">
        <f>interpolation!F25</f>
        <v>610946.22960000008</v>
      </c>
      <c r="G8">
        <f>interpolation!G25</f>
        <v>166631.50827360002</v>
      </c>
    </row>
    <row r="9" spans="1:7">
      <c r="A9">
        <v>2017</v>
      </c>
      <c r="B9">
        <f>interpolation!B26</f>
        <v>453413.69280000002</v>
      </c>
      <c r="C9">
        <f>interpolation!C26</f>
        <v>0</v>
      </c>
      <c r="D9">
        <f>interpolation!D26</f>
        <v>1596460.3344000003</v>
      </c>
      <c r="E9">
        <f>interpolation!E26</f>
        <v>1941494.5224000001</v>
      </c>
      <c r="F9">
        <f>interpolation!F26</f>
        <v>541328.11920000007</v>
      </c>
      <c r="G9">
        <f>interpolation!G26</f>
        <v>177548.49297720002</v>
      </c>
    </row>
    <row r="10" spans="1:7">
      <c r="A10">
        <v>2018</v>
      </c>
      <c r="B10">
        <f>interpolation!B27</f>
        <v>441598.54320000001</v>
      </c>
      <c r="C10">
        <f>interpolation!C27</f>
        <v>0</v>
      </c>
      <c r="D10">
        <f>interpolation!D27</f>
        <v>1520737.8696000003</v>
      </c>
      <c r="E10">
        <f>interpolation!E27</f>
        <v>1849987.8216000001</v>
      </c>
      <c r="F10">
        <f>interpolation!F27</f>
        <v>471710.00880000001</v>
      </c>
      <c r="G10">
        <f>interpolation!G27</f>
        <v>188465.47768080002</v>
      </c>
    </row>
    <row r="11" spans="1:7">
      <c r="A11">
        <v>2019</v>
      </c>
      <c r="B11">
        <f>interpolation!B28</f>
        <v>429783.39360000001</v>
      </c>
      <c r="C11">
        <f>interpolation!C28</f>
        <v>0</v>
      </c>
      <c r="D11">
        <f>interpolation!D28</f>
        <v>1445015.4048000001</v>
      </c>
      <c r="E11">
        <f>interpolation!E28</f>
        <v>1758481.1208000001</v>
      </c>
      <c r="F11">
        <f>interpolation!F28</f>
        <v>402091.89840000001</v>
      </c>
      <c r="G11">
        <f>interpolation!G28</f>
        <v>199382.46238440002</v>
      </c>
    </row>
    <row r="12" spans="1:7">
      <c r="A12">
        <v>2020</v>
      </c>
      <c r="B12">
        <f>interpolation!B29</f>
        <v>417968.24400000001</v>
      </c>
      <c r="C12">
        <f>interpolation!C29</f>
        <v>0</v>
      </c>
      <c r="D12">
        <f>interpolation!D29</f>
        <v>1369292.9400000002</v>
      </c>
      <c r="E12">
        <f>interpolation!E29</f>
        <v>1666974.4200000002</v>
      </c>
      <c r="F12">
        <f>interpolation!F29</f>
        <v>332473.788</v>
      </c>
      <c r="G12">
        <f>interpolation!G29</f>
        <v>210299.44708800002</v>
      </c>
    </row>
    <row r="13" spans="1:7">
      <c r="A13">
        <v>2021</v>
      </c>
      <c r="B13">
        <f>interpolation!B30</f>
        <v>428008.19040000002</v>
      </c>
      <c r="C13">
        <f>interpolation!C30</f>
        <v>0</v>
      </c>
      <c r="D13">
        <f>interpolation!D30</f>
        <v>1305569.844</v>
      </c>
      <c r="E13">
        <f>interpolation!E30</f>
        <v>1591745.9976000001</v>
      </c>
      <c r="F13">
        <f>interpolation!F30</f>
        <v>312561.36719999998</v>
      </c>
      <c r="G13">
        <f>interpolation!G30</f>
        <v>211192.22775960001</v>
      </c>
    </row>
    <row r="14" spans="1:7">
      <c r="A14">
        <v>2022</v>
      </c>
      <c r="B14">
        <f>interpolation!B31</f>
        <v>438048.13680000004</v>
      </c>
      <c r="C14">
        <f>interpolation!C31</f>
        <v>0</v>
      </c>
      <c r="D14">
        <f>interpolation!D31</f>
        <v>1241846.7480000001</v>
      </c>
      <c r="E14">
        <f>interpolation!E31</f>
        <v>1516517.5752000001</v>
      </c>
      <c r="F14">
        <f>interpolation!F31</f>
        <v>292648.94640000002</v>
      </c>
      <c r="G14">
        <f>interpolation!G31</f>
        <v>212085.00843120003</v>
      </c>
    </row>
    <row r="15" spans="1:7">
      <c r="A15">
        <v>2023</v>
      </c>
      <c r="B15">
        <f>interpolation!B32</f>
        <v>448088.08319999999</v>
      </c>
      <c r="C15">
        <f>interpolation!C32</f>
        <v>0</v>
      </c>
      <c r="D15">
        <f>interpolation!D32</f>
        <v>1178123.652</v>
      </c>
      <c r="E15">
        <f>interpolation!E32</f>
        <v>1441289.1528</v>
      </c>
      <c r="F15">
        <f>interpolation!F32</f>
        <v>272736.52559999999</v>
      </c>
      <c r="G15">
        <f>interpolation!G32</f>
        <v>212977.78910280002</v>
      </c>
    </row>
    <row r="16" spans="1:7">
      <c r="A16">
        <v>2024</v>
      </c>
      <c r="B16">
        <f>interpolation!B33</f>
        <v>458128.02960000001</v>
      </c>
      <c r="C16">
        <f>interpolation!C33</f>
        <v>0</v>
      </c>
      <c r="D16">
        <f>interpolation!D33</f>
        <v>1114400.5560000001</v>
      </c>
      <c r="E16">
        <f>interpolation!E33</f>
        <v>1366060.7304</v>
      </c>
      <c r="F16">
        <f>interpolation!F33</f>
        <v>252824.1048</v>
      </c>
      <c r="G16">
        <f>interpolation!G33</f>
        <v>213870.56977440004</v>
      </c>
    </row>
    <row r="17" spans="1:7">
      <c r="A17">
        <v>2025</v>
      </c>
      <c r="B17">
        <f>interpolation!B34</f>
        <v>468167.97600000002</v>
      </c>
      <c r="C17">
        <f>interpolation!C34</f>
        <v>0</v>
      </c>
      <c r="D17">
        <f>interpolation!D34</f>
        <v>1050677.46</v>
      </c>
      <c r="E17">
        <f>interpolation!E34</f>
        <v>1290832.308</v>
      </c>
      <c r="F17">
        <f>interpolation!F34</f>
        <v>232911.68400000001</v>
      </c>
      <c r="G17">
        <f>interpolation!G34</f>
        <v>214763.35044600003</v>
      </c>
    </row>
    <row r="18" spans="1:7">
      <c r="A18">
        <v>2026</v>
      </c>
      <c r="B18">
        <f>interpolation!B35</f>
        <v>424080.97200000001</v>
      </c>
      <c r="C18">
        <f>interpolation!C35</f>
        <v>0</v>
      </c>
      <c r="D18">
        <f>interpolation!D35</f>
        <v>1004497.056</v>
      </c>
      <c r="E18">
        <f>interpolation!E35</f>
        <v>1232225.4816000001</v>
      </c>
      <c r="F18">
        <f>interpolation!F35</f>
        <v>257186.75040000002</v>
      </c>
      <c r="G18">
        <f>interpolation!G35</f>
        <v>213933.22104960002</v>
      </c>
    </row>
    <row r="19" spans="1:7">
      <c r="A19">
        <v>2027</v>
      </c>
      <c r="B19">
        <f>interpolation!B36</f>
        <v>379993.96799999999</v>
      </c>
      <c r="C19">
        <f>interpolation!C36</f>
        <v>0</v>
      </c>
      <c r="D19">
        <f>interpolation!D36</f>
        <v>958316.652</v>
      </c>
      <c r="E19">
        <f>interpolation!E36</f>
        <v>1173618.6551999999</v>
      </c>
      <c r="F19">
        <f>interpolation!F36</f>
        <v>281461.81680000003</v>
      </c>
      <c r="G19">
        <f>interpolation!G36</f>
        <v>213103.09165320004</v>
      </c>
    </row>
    <row r="20" spans="1:7">
      <c r="A20">
        <v>2028</v>
      </c>
      <c r="B20">
        <f>interpolation!B37</f>
        <v>335906.96400000004</v>
      </c>
      <c r="C20">
        <f>interpolation!C37</f>
        <v>0</v>
      </c>
      <c r="D20">
        <f>interpolation!D37</f>
        <v>912136.24800000002</v>
      </c>
      <c r="E20">
        <f>interpolation!E37</f>
        <v>1115011.8288</v>
      </c>
      <c r="F20">
        <f>interpolation!F37</f>
        <v>305736.88320000004</v>
      </c>
      <c r="G20">
        <f>interpolation!G37</f>
        <v>212272.96225680003</v>
      </c>
    </row>
    <row r="21" spans="1:7">
      <c r="A21">
        <v>2029</v>
      </c>
      <c r="B21">
        <f>interpolation!B38</f>
        <v>291819.96000000002</v>
      </c>
      <c r="C21">
        <f>interpolation!C38</f>
        <v>0</v>
      </c>
      <c r="D21">
        <f>interpolation!D38</f>
        <v>865955.84400000004</v>
      </c>
      <c r="E21">
        <f>interpolation!E38</f>
        <v>1056405.0024000001</v>
      </c>
      <c r="F21">
        <f>interpolation!F38</f>
        <v>330011.94959999999</v>
      </c>
      <c r="G21">
        <f>interpolation!G38</f>
        <v>211442.83286040006</v>
      </c>
    </row>
    <row r="22" spans="1:7">
      <c r="A22">
        <v>2030</v>
      </c>
      <c r="B22">
        <f>interpolation!B39</f>
        <v>247732.95600000001</v>
      </c>
      <c r="C22">
        <f>interpolation!C39</f>
        <v>0</v>
      </c>
      <c r="D22">
        <f>interpolation!D39</f>
        <v>819775.44000000006</v>
      </c>
      <c r="E22">
        <f>interpolation!E39</f>
        <v>997798.17600000009</v>
      </c>
      <c r="F22">
        <f>interpolation!F39</f>
        <v>354287.016</v>
      </c>
      <c r="G22">
        <f>interpolation!G39</f>
        <v>210612.70346400005</v>
      </c>
    </row>
    <row r="23" spans="1:7">
      <c r="A23">
        <v>2031</v>
      </c>
      <c r="B23">
        <f>interpolation!B40</f>
        <v>235239.5448</v>
      </c>
      <c r="C23">
        <f>interpolation!C40</f>
        <v>0</v>
      </c>
      <c r="D23">
        <f>interpolation!D40</f>
        <v>768981.18240000005</v>
      </c>
      <c r="E23">
        <f>interpolation!E40</f>
        <v>946936.92960000003</v>
      </c>
      <c r="F23">
        <f>interpolation!F40</f>
        <v>379399.4424</v>
      </c>
      <c r="G23">
        <f>interpolation!G40</f>
        <v>212471.35796160004</v>
      </c>
    </row>
    <row r="24" spans="1:7">
      <c r="A24">
        <v>2032</v>
      </c>
      <c r="B24">
        <f>interpolation!B41</f>
        <v>222746.1336</v>
      </c>
      <c r="C24">
        <f>interpolation!C41</f>
        <v>0</v>
      </c>
      <c r="D24">
        <f>interpolation!D41</f>
        <v>718186.92480000004</v>
      </c>
      <c r="E24">
        <f>interpolation!E41</f>
        <v>896075.68320000009</v>
      </c>
      <c r="F24">
        <f>interpolation!F41</f>
        <v>404511.8688</v>
      </c>
      <c r="G24">
        <f>interpolation!G41</f>
        <v>214330.01245920005</v>
      </c>
    </row>
    <row r="25" spans="1:7">
      <c r="A25">
        <v>2033</v>
      </c>
      <c r="B25">
        <f>interpolation!B42</f>
        <v>210252.72240000003</v>
      </c>
      <c r="C25">
        <f>interpolation!C42</f>
        <v>0</v>
      </c>
      <c r="D25">
        <f>interpolation!D42</f>
        <v>667392.66720000003</v>
      </c>
      <c r="E25">
        <f>interpolation!E42</f>
        <v>845214.43680000002</v>
      </c>
      <c r="F25">
        <f>interpolation!F42</f>
        <v>429624.29520000005</v>
      </c>
      <c r="G25">
        <f>interpolation!G42</f>
        <v>216188.66695680004</v>
      </c>
    </row>
    <row r="26" spans="1:7">
      <c r="A26">
        <v>2034</v>
      </c>
      <c r="B26">
        <f>interpolation!B43</f>
        <v>197759.31120000003</v>
      </c>
      <c r="C26">
        <f>interpolation!C43</f>
        <v>0</v>
      </c>
      <c r="D26">
        <f>interpolation!D43</f>
        <v>616598.40960000001</v>
      </c>
      <c r="E26">
        <f>interpolation!E43</f>
        <v>794353.19039999996</v>
      </c>
      <c r="F26">
        <f>interpolation!F43</f>
        <v>454736.72160000005</v>
      </c>
      <c r="G26">
        <f>interpolation!G43</f>
        <v>218047.32145440005</v>
      </c>
    </row>
    <row r="27" spans="1:7">
      <c r="A27">
        <v>2035</v>
      </c>
      <c r="B27">
        <f>interpolation!B44</f>
        <v>185265.90000000002</v>
      </c>
      <c r="C27">
        <f>interpolation!C44</f>
        <v>0</v>
      </c>
      <c r="D27">
        <f>interpolation!D44</f>
        <v>565804.152</v>
      </c>
      <c r="E27">
        <f>interpolation!E44</f>
        <v>743491.94400000002</v>
      </c>
      <c r="F27">
        <f>interpolation!F44</f>
        <v>479849.14800000004</v>
      </c>
      <c r="G27">
        <f>interpolation!G44</f>
        <v>219905.97595200004</v>
      </c>
    </row>
    <row r="28" spans="1:7">
      <c r="A28">
        <v>2036</v>
      </c>
      <c r="B28">
        <f>interpolation!B45</f>
        <v>179982.15840000001</v>
      </c>
      <c r="C28">
        <f>interpolation!C45</f>
        <v>0</v>
      </c>
      <c r="D28">
        <f>interpolation!D45</f>
        <v>524974.47840000002</v>
      </c>
      <c r="E28">
        <f>interpolation!E45</f>
        <v>697571.12160000007</v>
      </c>
      <c r="F28">
        <f>interpolation!F45</f>
        <v>522253.05840000004</v>
      </c>
      <c r="G28">
        <f>interpolation!G45</f>
        <v>221754.18857040003</v>
      </c>
    </row>
    <row r="29" spans="1:7">
      <c r="A29">
        <v>2037</v>
      </c>
      <c r="B29">
        <f>interpolation!B46</f>
        <v>174698.41680000001</v>
      </c>
      <c r="C29">
        <f>interpolation!C46</f>
        <v>0</v>
      </c>
      <c r="D29">
        <f>interpolation!D46</f>
        <v>484144.80480000004</v>
      </c>
      <c r="E29">
        <f>interpolation!E46</f>
        <v>651650.29920000001</v>
      </c>
      <c r="F29">
        <f>interpolation!F46</f>
        <v>564656.96880000003</v>
      </c>
      <c r="G29">
        <f>interpolation!G46</f>
        <v>223602.40118880002</v>
      </c>
    </row>
    <row r="30" spans="1:7">
      <c r="A30">
        <v>2038</v>
      </c>
      <c r="B30">
        <f>interpolation!B47</f>
        <v>169414.67520000003</v>
      </c>
      <c r="C30">
        <f>interpolation!C47</f>
        <v>0</v>
      </c>
      <c r="D30">
        <f>interpolation!D47</f>
        <v>443315.1312</v>
      </c>
      <c r="E30">
        <f>interpolation!E47</f>
        <v>605729.47680000006</v>
      </c>
      <c r="F30">
        <f>interpolation!F47</f>
        <v>607060.87920000008</v>
      </c>
      <c r="G30">
        <f>interpolation!G47</f>
        <v>225450.61380720005</v>
      </c>
    </row>
    <row r="31" spans="1:7">
      <c r="A31">
        <v>2039</v>
      </c>
      <c r="B31">
        <f>interpolation!B48</f>
        <v>164130.93360000002</v>
      </c>
      <c r="C31">
        <f>interpolation!C48</f>
        <v>0</v>
      </c>
      <c r="D31">
        <f>interpolation!D48</f>
        <v>402485.45760000002</v>
      </c>
      <c r="E31">
        <f>interpolation!E48</f>
        <v>559808.65440000012</v>
      </c>
      <c r="F31">
        <f>interpolation!F48</f>
        <v>649464.78960000002</v>
      </c>
      <c r="G31">
        <f>interpolation!G48</f>
        <v>227298.82642560004</v>
      </c>
    </row>
    <row r="32" spans="1:7">
      <c r="A32">
        <v>2040</v>
      </c>
      <c r="B32">
        <f>interpolation!B49</f>
        <v>158847.19200000001</v>
      </c>
      <c r="C32">
        <f>interpolation!C49</f>
        <v>0</v>
      </c>
      <c r="D32">
        <f>interpolation!D49</f>
        <v>361655.78400000004</v>
      </c>
      <c r="E32">
        <f>interpolation!E49</f>
        <v>513887.83200000005</v>
      </c>
      <c r="F32">
        <f>interpolation!F49</f>
        <v>691868.70000000007</v>
      </c>
      <c r="G32">
        <f>interpolation!G49</f>
        <v>229147.03904400003</v>
      </c>
    </row>
    <row r="33" spans="1:7">
      <c r="A33">
        <v>2041</v>
      </c>
      <c r="B33">
        <f>interpolation!B50</f>
        <v>156259.74960000001</v>
      </c>
      <c r="C33">
        <f>interpolation!C50</f>
        <v>0</v>
      </c>
      <c r="D33">
        <f>interpolation!D50</f>
        <v>326277.32400000002</v>
      </c>
      <c r="E33">
        <f>interpolation!E50</f>
        <v>468151.22880000004</v>
      </c>
      <c r="F33">
        <f>interpolation!F50</f>
        <v>699840.3672000001</v>
      </c>
      <c r="G33">
        <f>interpolation!G50</f>
        <v>227878.35072120003</v>
      </c>
    </row>
    <row r="34" spans="1:7">
      <c r="A34">
        <v>2042</v>
      </c>
      <c r="B34">
        <f>interpolation!B51</f>
        <v>153672.30720000001</v>
      </c>
      <c r="C34">
        <f>interpolation!C51</f>
        <v>0</v>
      </c>
      <c r="D34">
        <f>interpolation!D51</f>
        <v>290898.86400000006</v>
      </c>
      <c r="E34">
        <f>interpolation!E51</f>
        <v>422414.62560000003</v>
      </c>
      <c r="F34">
        <f>interpolation!F51</f>
        <v>707812.03440000012</v>
      </c>
      <c r="G34">
        <f>interpolation!G51</f>
        <v>226609.66239840002</v>
      </c>
    </row>
    <row r="35" spans="1:7">
      <c r="A35">
        <v>2043</v>
      </c>
      <c r="B35">
        <f>interpolation!B52</f>
        <v>151084.86480000001</v>
      </c>
      <c r="C35">
        <f>interpolation!C52</f>
        <v>0</v>
      </c>
      <c r="D35">
        <f>interpolation!D52</f>
        <v>255520.40400000004</v>
      </c>
      <c r="E35">
        <f>interpolation!E52</f>
        <v>376678.02240000002</v>
      </c>
      <c r="F35">
        <f>interpolation!F52</f>
        <v>715783.70160000003</v>
      </c>
      <c r="G35">
        <f>interpolation!G52</f>
        <v>225340.97407560004</v>
      </c>
    </row>
    <row r="36" spans="1:7">
      <c r="A36">
        <v>2044</v>
      </c>
      <c r="B36">
        <f>interpolation!B53</f>
        <v>148497.42240000001</v>
      </c>
      <c r="C36">
        <f>interpolation!C53</f>
        <v>0</v>
      </c>
      <c r="D36">
        <f>interpolation!D53</f>
        <v>220141.94400000002</v>
      </c>
      <c r="E36">
        <f>interpolation!E53</f>
        <v>330941.4192</v>
      </c>
      <c r="F36">
        <f>interpolation!F53</f>
        <v>723755.36880000005</v>
      </c>
      <c r="G36">
        <f>interpolation!G53</f>
        <v>224072.28575280003</v>
      </c>
    </row>
    <row r="37" spans="1:7">
      <c r="A37">
        <v>2045</v>
      </c>
      <c r="B37">
        <f>interpolation!B54</f>
        <v>145909.98000000001</v>
      </c>
      <c r="C37">
        <f>interpolation!C54</f>
        <v>0</v>
      </c>
      <c r="D37">
        <f>interpolation!D54</f>
        <v>184763.484</v>
      </c>
      <c r="E37">
        <f>interpolation!E54</f>
        <v>285204.81599999999</v>
      </c>
      <c r="F37">
        <f>interpolation!F54</f>
        <v>731727.03600000008</v>
      </c>
      <c r="G37">
        <f>interpolation!G54</f>
        <v>222803.59743000002</v>
      </c>
    </row>
    <row r="38" spans="1:7">
      <c r="A38">
        <v>2046</v>
      </c>
      <c r="B38">
        <f>interpolation!B55</f>
        <v>139077.12240000002</v>
      </c>
      <c r="C38">
        <f>interpolation!C55</f>
        <v>0</v>
      </c>
      <c r="D38">
        <f>interpolation!D55</f>
        <v>162372.47759999998</v>
      </c>
      <c r="E38">
        <f>interpolation!E55</f>
        <v>249399.30239999999</v>
      </c>
      <c r="F38">
        <f>interpolation!F55</f>
        <v>731727.03600000008</v>
      </c>
      <c r="G38">
        <f>interpolation!G55</f>
        <v>222359.81756400003</v>
      </c>
    </row>
    <row r="39" spans="1:7">
      <c r="A39">
        <v>2047</v>
      </c>
      <c r="B39">
        <f>interpolation!B56</f>
        <v>132244.2648</v>
      </c>
      <c r="C39">
        <f>interpolation!C56</f>
        <v>0</v>
      </c>
      <c r="D39">
        <f>interpolation!D56</f>
        <v>139981.4712</v>
      </c>
      <c r="E39">
        <f>interpolation!E56</f>
        <v>213593.78880000001</v>
      </c>
      <c r="F39">
        <f>interpolation!F56</f>
        <v>731727.03600000008</v>
      </c>
      <c r="G39">
        <f>interpolation!G56</f>
        <v>221916.03769800003</v>
      </c>
    </row>
    <row r="40" spans="1:7">
      <c r="A40">
        <v>2048</v>
      </c>
      <c r="B40">
        <f>interpolation!B57</f>
        <v>125411.40720000002</v>
      </c>
      <c r="C40">
        <f>interpolation!C57</f>
        <v>0</v>
      </c>
      <c r="D40">
        <f>interpolation!D57</f>
        <v>117590.4648</v>
      </c>
      <c r="E40">
        <f>interpolation!E57</f>
        <v>177788.27520000003</v>
      </c>
      <c r="F40">
        <f>interpolation!F57</f>
        <v>731727.03600000008</v>
      </c>
      <c r="G40">
        <f>interpolation!G57</f>
        <v>221472.25783200003</v>
      </c>
    </row>
    <row r="41" spans="1:7">
      <c r="A41">
        <v>2049</v>
      </c>
      <c r="B41">
        <f>interpolation!B58</f>
        <v>118578.54960000001</v>
      </c>
      <c r="C41">
        <f>interpolation!C58</f>
        <v>0</v>
      </c>
      <c r="D41">
        <f>interpolation!D58</f>
        <v>95199.458400000003</v>
      </c>
      <c r="E41">
        <f>interpolation!E58</f>
        <v>141982.76160000003</v>
      </c>
      <c r="F41">
        <f>interpolation!F58</f>
        <v>731727.03600000008</v>
      </c>
      <c r="G41">
        <f>interpolation!G58</f>
        <v>221028.47796600003</v>
      </c>
    </row>
    <row r="42" spans="1:7">
      <c r="A42">
        <v>2050</v>
      </c>
      <c r="B42">
        <f>interpolation!B59</f>
        <v>111745.69200000001</v>
      </c>
      <c r="C42">
        <f>interpolation!C59</f>
        <v>0</v>
      </c>
      <c r="D42">
        <f>interpolation!D59</f>
        <v>72808.452000000005</v>
      </c>
      <c r="E42">
        <f>interpolation!E59</f>
        <v>106177.24800000001</v>
      </c>
      <c r="F42">
        <f>interpolation!F59</f>
        <v>731727.03600000008</v>
      </c>
      <c r="G42">
        <f>interpolation!G59</f>
        <v>220584.69810000004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2014-06-04T14:00:37Z</dcterms:modified>
</cp:coreProperties>
</file>