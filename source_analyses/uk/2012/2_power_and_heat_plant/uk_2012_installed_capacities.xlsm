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U19" i="2" l="1"/>
  <c r="U20" i="2"/>
  <c r="U21" i="2"/>
  <c r="U22" i="2"/>
  <c r="U23" i="2"/>
  <c r="U24" i="2"/>
  <c r="U25" i="2"/>
  <c r="U26" i="2"/>
  <c r="U27" i="2"/>
  <c r="U28" i="2"/>
  <c r="U29" i="2"/>
  <c r="U6" i="2"/>
  <c r="U7" i="2"/>
  <c r="U8" i="2"/>
  <c r="U9" i="2"/>
  <c r="U10" i="2"/>
  <c r="U11" i="2"/>
  <c r="U12" i="2"/>
  <c r="U13" i="2"/>
  <c r="U14" i="2"/>
  <c r="U15" i="2"/>
  <c r="U16" i="2"/>
  <c r="E19" i="12"/>
  <c r="E26" i="12"/>
  <c r="E16" i="12"/>
  <c r="C4" i="8"/>
  <c r="E17" i="12"/>
  <c r="C6" i="8"/>
  <c r="E22" i="12"/>
  <c r="C5" i="8"/>
  <c r="E4" i="11"/>
  <c r="E13" i="12"/>
  <c r="E20" i="12"/>
  <c r="E19" i="11"/>
  <c r="E36" i="11"/>
  <c r="C20" i="14"/>
  <c r="E20" i="14"/>
  <c r="E6" i="12"/>
  <c r="E12" i="11"/>
  <c r="E29" i="11"/>
  <c r="C16" i="14"/>
  <c r="E16" i="14"/>
  <c r="E4" i="12"/>
  <c r="E10" i="11"/>
  <c r="E27" i="11"/>
  <c r="C17" i="14"/>
  <c r="E17" i="14"/>
  <c r="E9" i="12"/>
  <c r="E15" i="11"/>
  <c r="E32" i="11"/>
  <c r="C19" i="14"/>
  <c r="E19" i="14"/>
  <c r="F20" i="14"/>
  <c r="F19" i="14"/>
  <c r="F17" i="14"/>
  <c r="F16" i="14"/>
  <c r="D4" i="11"/>
  <c r="D4" i="12"/>
  <c r="D17" i="12"/>
  <c r="D16" i="12"/>
  <c r="D19" i="12"/>
  <c r="D20" i="12"/>
  <c r="D22" i="12"/>
  <c r="D26" i="12"/>
  <c r="D10" i="11"/>
  <c r="D27" i="11"/>
  <c r="C9" i="14"/>
  <c r="E9" i="14"/>
  <c r="D6" i="12"/>
  <c r="D12" i="11"/>
  <c r="D29" i="11"/>
  <c r="D9" i="12"/>
  <c r="D15" i="11"/>
  <c r="D32" i="11"/>
  <c r="D13" i="12"/>
  <c r="D19" i="11"/>
  <c r="D36" i="11"/>
  <c r="C6" i="14"/>
  <c r="E6" i="14"/>
  <c r="F9" i="14"/>
  <c r="F6" i="14"/>
  <c r="D3" i="12"/>
  <c r="D9" i="11"/>
  <c r="D26" i="11"/>
  <c r="F9" i="12"/>
  <c r="F22" i="12"/>
  <c r="F32" i="11"/>
  <c r="C24" i="14"/>
  <c r="E24" i="14"/>
  <c r="F3" i="12"/>
  <c r="F16" i="12"/>
  <c r="F26" i="11"/>
  <c r="F4" i="12"/>
  <c r="F17" i="12"/>
  <c r="F27" i="11"/>
  <c r="F6" i="12"/>
  <c r="F19" i="12"/>
  <c r="F29" i="11"/>
  <c r="F13" i="12"/>
  <c r="F26" i="12"/>
  <c r="F36" i="11"/>
  <c r="C23" i="14"/>
  <c r="E23" i="14"/>
  <c r="D24" i="14"/>
  <c r="D23" i="14"/>
  <c r="D20" i="14"/>
  <c r="D19" i="14"/>
  <c r="D17" i="14"/>
  <c r="D16" i="14"/>
  <c r="D9" i="14"/>
  <c r="D7" i="14"/>
  <c r="D6"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26" i="12"/>
  <c r="G16" i="12"/>
  <c r="G17" i="12"/>
  <c r="G19" i="12"/>
  <c r="G20" i="12"/>
  <c r="G22"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7" i="12"/>
  <c r="L20" i="12"/>
  <c r="L30" i="11"/>
  <c r="K7" i="12"/>
  <c r="K20" i="12"/>
  <c r="K30" i="11"/>
  <c r="J30" i="11"/>
  <c r="I7" i="12"/>
  <c r="I20" i="12"/>
  <c r="I30" i="11"/>
  <c r="H7" i="12"/>
  <c r="H20"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D17" i="2"/>
  <c r="E17" i="2"/>
  <c r="F17" i="2"/>
  <c r="G17" i="2"/>
  <c r="H17" i="2"/>
  <c r="I17" i="2"/>
  <c r="J17" i="2"/>
  <c r="K17" i="2"/>
  <c r="L17" i="2"/>
  <c r="M17" i="2"/>
  <c r="N17" i="2"/>
  <c r="O17" i="2"/>
  <c r="P17" i="2"/>
  <c r="Q17" i="2"/>
  <c r="R17" i="2"/>
  <c r="S17" i="2"/>
  <c r="T17" i="2"/>
  <c r="U5" i="2"/>
  <c r="U17" i="2"/>
  <c r="T30" i="2"/>
  <c r="S30" i="2"/>
  <c r="R30" i="2"/>
  <c r="Q30" i="2"/>
  <c r="P30" i="2"/>
  <c r="O30" i="2"/>
  <c r="N30" i="2"/>
  <c r="M30" i="2"/>
  <c r="L30" i="2"/>
  <c r="K30" i="2"/>
  <c r="J30" i="2"/>
  <c r="I30" i="2"/>
  <c r="H30" i="2"/>
  <c r="G30" i="2"/>
  <c r="F30" i="2"/>
  <c r="E30" i="2"/>
  <c r="D30" i="2"/>
  <c r="U18" i="2"/>
  <c r="U30" i="2"/>
  <c r="E32" i="2"/>
  <c r="F32" i="2"/>
  <c r="G32" i="2"/>
  <c r="H32" i="2"/>
  <c r="I32" i="2"/>
  <c r="J32" i="2"/>
  <c r="K32" i="2"/>
  <c r="L32" i="2"/>
  <c r="M32" i="2"/>
  <c r="N32" i="2"/>
  <c r="O32" i="2"/>
  <c r="P32" i="2"/>
  <c r="Q32" i="2"/>
  <c r="R32" i="2"/>
  <c r="S32" i="2"/>
  <c r="T32" i="2"/>
  <c r="U32" i="2"/>
  <c r="D32" i="2"/>
</calcChain>
</file>

<file path=xl/sharedStrings.xml><?xml version="1.0" encoding="utf-8"?>
<sst xmlns="http://schemas.openxmlformats.org/spreadsheetml/2006/main" count="401" uniqueCount="145">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</sst>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17">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33">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6">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4" fillId="0" borderId="10" xfId="0" applyFont="1" applyBorder="1"/>
    <xf numFmtId="0" fontId="0" fillId="0" borderId="11" xfId="0" applyBorder="1"/>
    <xf numFmtId="0" fontId="0" fillId="0" borderId="9"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0" fontId="1" fillId="0" borderId="0" xfId="0" applyNumberFormat="1" applyFont="1"/>
    <xf numFmtId="164" fontId="0" fillId="0" borderId="1" xfId="0" applyNumberFormat="1" applyBorder="1" applyAlignment="1">
      <alignment vertical="top" wrapText="1"/>
    </xf>
    <xf numFmtId="164" fontId="0" fillId="0" borderId="0" xfId="0" applyNumberFormat="1"/>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cellXfs>
  <cellStyles count="33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2:U33"/>
  <sheetViews>
    <sheetView tabSelected="1" workbookViewId="0"/>
  </sheetViews>
  <sheetFormatPr baseColWidth="10" defaultRowHeight="15" x14ac:dyDescent="0"/>
  <cols>
    <col min="1" max="1" width="3.83203125" customWidth="1"/>
    <col min="3" max="3" width="20.83203125" customWidth="1"/>
  </cols>
  <sheetData>
    <row r="2" spans="2:21" ht="77" customHeight="1">
      <c r="B2" s="63" t="s">
        <v>144</v>
      </c>
      <c r="C2" s="64"/>
      <c r="D2" s="64"/>
      <c r="E2" s="64"/>
      <c r="F2" s="65"/>
    </row>
    <row r="4" spans="2:21">
      <c r="B4" s="4"/>
      <c r="C4" s="4"/>
      <c r="D4" s="16"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6" t="s">
        <v>108</v>
      </c>
    </row>
    <row r="5" spans="2:21">
      <c r="B5" t="s">
        <v>107</v>
      </c>
      <c r="C5" t="s">
        <v>100</v>
      </c>
      <c r="D5" s="14"/>
      <c r="U5" s="15">
        <f>SUM(D5:T5)</f>
        <v>0</v>
      </c>
    </row>
    <row r="6" spans="2:21">
      <c r="C6" t="s">
        <v>69</v>
      </c>
      <c r="D6" s="14"/>
      <c r="U6" s="15">
        <f t="shared" ref="U6:U16" si="0">SUM(D6:T6)</f>
        <v>0</v>
      </c>
    </row>
    <row r="7" spans="2:21">
      <c r="C7" t="s">
        <v>101</v>
      </c>
      <c r="D7" s="14"/>
      <c r="U7" s="15">
        <f t="shared" si="0"/>
        <v>0</v>
      </c>
    </row>
    <row r="8" spans="2:21">
      <c r="C8" t="s">
        <v>102</v>
      </c>
      <c r="D8" s="14"/>
      <c r="U8" s="15">
        <f t="shared" si="0"/>
        <v>0</v>
      </c>
    </row>
    <row r="9" spans="2:21">
      <c r="C9" t="s">
        <v>103</v>
      </c>
      <c r="D9" s="14"/>
      <c r="U9" s="15">
        <f t="shared" si="0"/>
        <v>0</v>
      </c>
    </row>
    <row r="10" spans="2:21">
      <c r="C10" t="s">
        <v>95</v>
      </c>
      <c r="D10" s="14"/>
      <c r="U10" s="15">
        <f t="shared" si="0"/>
        <v>0</v>
      </c>
    </row>
    <row r="11" spans="2:21">
      <c r="C11" t="s">
        <v>68</v>
      </c>
      <c r="D11" s="14"/>
      <c r="U11" s="15">
        <f t="shared" si="0"/>
        <v>0</v>
      </c>
    </row>
    <row r="12" spans="2:21">
      <c r="C12" t="s">
        <v>94</v>
      </c>
      <c r="D12" s="14"/>
      <c r="U12" s="15">
        <f t="shared" si="0"/>
        <v>0</v>
      </c>
    </row>
    <row r="13" spans="2:21">
      <c r="C13" t="s">
        <v>104</v>
      </c>
      <c r="D13" s="14"/>
      <c r="U13" s="15">
        <f t="shared" si="0"/>
        <v>0</v>
      </c>
    </row>
    <row r="14" spans="2:21">
      <c r="C14" t="s">
        <v>105</v>
      </c>
      <c r="D14" s="14"/>
      <c r="U14" s="15">
        <f t="shared" si="0"/>
        <v>0</v>
      </c>
    </row>
    <row r="15" spans="2:21">
      <c r="C15" t="s">
        <v>72</v>
      </c>
      <c r="D15" s="14"/>
      <c r="U15" s="15">
        <f t="shared" si="0"/>
        <v>0</v>
      </c>
    </row>
    <row r="16" spans="2:21">
      <c r="B16" s="4"/>
      <c r="C16" s="4" t="s">
        <v>106</v>
      </c>
      <c r="D16" s="16"/>
      <c r="E16" s="4"/>
      <c r="F16" s="4"/>
      <c r="G16" s="4"/>
      <c r="H16" s="4"/>
      <c r="I16" s="4"/>
      <c r="J16" s="4"/>
      <c r="K16" s="4"/>
      <c r="L16" s="4"/>
      <c r="M16" s="4"/>
      <c r="N16" s="4"/>
      <c r="O16" s="4"/>
      <c r="P16" s="4"/>
      <c r="Q16" s="4"/>
      <c r="R16" s="4"/>
      <c r="S16" s="4"/>
      <c r="T16" s="4"/>
      <c r="U16" s="15">
        <f t="shared" si="0"/>
        <v>0</v>
      </c>
    </row>
    <row r="17" spans="2:21" ht="16" thickBot="1">
      <c r="B17" s="17"/>
      <c r="C17" s="17" t="s">
        <v>109</v>
      </c>
      <c r="D17" s="18">
        <f>SUM(D5:D16)</f>
        <v>0</v>
      </c>
      <c r="E17" s="19">
        <f t="shared" ref="E17:T17" si="1">SUM(E5:E16)</f>
        <v>0</v>
      </c>
      <c r="F17" s="19">
        <f t="shared" si="1"/>
        <v>0</v>
      </c>
      <c r="G17" s="19">
        <f t="shared" si="1"/>
        <v>0</v>
      </c>
      <c r="H17" s="19">
        <f t="shared" si="1"/>
        <v>0</v>
      </c>
      <c r="I17" s="19">
        <f t="shared" si="1"/>
        <v>0</v>
      </c>
      <c r="J17" s="19">
        <f t="shared" si="1"/>
        <v>0</v>
      </c>
      <c r="K17" s="19">
        <f t="shared" si="1"/>
        <v>0</v>
      </c>
      <c r="L17" s="19">
        <f t="shared" si="1"/>
        <v>0</v>
      </c>
      <c r="M17" s="19">
        <f t="shared" si="1"/>
        <v>0</v>
      </c>
      <c r="N17" s="19">
        <f t="shared" si="1"/>
        <v>0</v>
      </c>
      <c r="O17" s="19">
        <f t="shared" si="1"/>
        <v>0</v>
      </c>
      <c r="P17" s="19">
        <f t="shared" si="1"/>
        <v>0</v>
      </c>
      <c r="Q17" s="19">
        <f t="shared" si="1"/>
        <v>0</v>
      </c>
      <c r="R17" s="19">
        <f t="shared" si="1"/>
        <v>0</v>
      </c>
      <c r="S17" s="19">
        <f t="shared" si="1"/>
        <v>0</v>
      </c>
      <c r="T17" s="19">
        <f t="shared" si="1"/>
        <v>0</v>
      </c>
      <c r="U17" s="20">
        <f>SUM(D17:T17)-SUM(U5:U16)</f>
        <v>0</v>
      </c>
    </row>
    <row r="18" spans="2:21" ht="16" thickTop="1">
      <c r="B18" t="s">
        <v>59</v>
      </c>
      <c r="C18" t="s">
        <v>100</v>
      </c>
      <c r="D18" s="14"/>
      <c r="U18" s="15">
        <f>SUM(D18:T18)</f>
        <v>0</v>
      </c>
    </row>
    <row r="19" spans="2:21">
      <c r="C19" t="s">
        <v>69</v>
      </c>
      <c r="D19" s="14"/>
      <c r="U19" s="15">
        <f t="shared" ref="U19:U29" si="2">SUM(D19:T19)</f>
        <v>0</v>
      </c>
    </row>
    <row r="20" spans="2:21">
      <c r="D20" s="14"/>
      <c r="U20" s="15">
        <f t="shared" si="2"/>
        <v>0</v>
      </c>
    </row>
    <row r="21" spans="2:21">
      <c r="C21" t="s">
        <v>102</v>
      </c>
      <c r="D21" s="14"/>
      <c r="U21" s="15">
        <f t="shared" si="2"/>
        <v>0</v>
      </c>
    </row>
    <row r="22" spans="2:21">
      <c r="C22" t="s">
        <v>103</v>
      </c>
      <c r="D22" s="14"/>
      <c r="U22" s="15">
        <f t="shared" si="2"/>
        <v>0</v>
      </c>
    </row>
    <row r="23" spans="2:21">
      <c r="D23" s="14"/>
      <c r="U23" s="15">
        <f t="shared" si="2"/>
        <v>0</v>
      </c>
    </row>
    <row r="24" spans="2:21">
      <c r="C24" t="s">
        <v>68</v>
      </c>
      <c r="D24" s="14"/>
      <c r="U24" s="15">
        <f t="shared" si="2"/>
        <v>0</v>
      </c>
    </row>
    <row r="25" spans="2:21">
      <c r="D25" s="14"/>
      <c r="U25" s="15">
        <f t="shared" si="2"/>
        <v>0</v>
      </c>
    </row>
    <row r="26" spans="2:21">
      <c r="D26" s="14"/>
      <c r="U26" s="15">
        <f t="shared" si="2"/>
        <v>0</v>
      </c>
    </row>
    <row r="27" spans="2:21">
      <c r="D27" s="14"/>
      <c r="U27" s="15">
        <f t="shared" si="2"/>
        <v>0</v>
      </c>
    </row>
    <row r="28" spans="2:21">
      <c r="C28" t="s">
        <v>72</v>
      </c>
      <c r="D28" s="14"/>
      <c r="U28" s="15">
        <f t="shared" si="2"/>
        <v>0</v>
      </c>
    </row>
    <row r="29" spans="2:21">
      <c r="D29" s="14"/>
      <c r="U29" s="15">
        <f t="shared" si="2"/>
        <v>0</v>
      </c>
    </row>
    <row r="30" spans="2:21" ht="16" thickBot="1">
      <c r="B30" s="17"/>
      <c r="C30" s="17" t="s">
        <v>110</v>
      </c>
      <c r="D30" s="20">
        <f>SUM(D18:D28)</f>
        <v>0</v>
      </c>
      <c r="E30" s="17">
        <f t="shared" ref="E30:T30" si="3">SUM(E18:E28)</f>
        <v>0</v>
      </c>
      <c r="F30" s="17">
        <f t="shared" si="3"/>
        <v>0</v>
      </c>
      <c r="G30" s="17">
        <f t="shared" si="3"/>
        <v>0</v>
      </c>
      <c r="H30" s="17">
        <f t="shared" si="3"/>
        <v>0</v>
      </c>
      <c r="I30" s="17">
        <f t="shared" si="3"/>
        <v>0</v>
      </c>
      <c r="J30" s="17">
        <f t="shared" si="3"/>
        <v>0</v>
      </c>
      <c r="K30" s="17">
        <f t="shared" si="3"/>
        <v>0</v>
      </c>
      <c r="L30" s="17">
        <f t="shared" si="3"/>
        <v>0</v>
      </c>
      <c r="M30" s="17">
        <f t="shared" si="3"/>
        <v>0</v>
      </c>
      <c r="N30" s="17">
        <f t="shared" si="3"/>
        <v>0</v>
      </c>
      <c r="O30" s="17">
        <f t="shared" si="3"/>
        <v>0</v>
      </c>
      <c r="P30" s="17">
        <f t="shared" si="3"/>
        <v>0</v>
      </c>
      <c r="Q30" s="17">
        <f t="shared" si="3"/>
        <v>0</v>
      </c>
      <c r="R30" s="17">
        <f t="shared" si="3"/>
        <v>0</v>
      </c>
      <c r="S30" s="17">
        <f t="shared" si="3"/>
        <v>0</v>
      </c>
      <c r="T30" s="17">
        <f t="shared" si="3"/>
        <v>0</v>
      </c>
      <c r="U30" s="21">
        <f>SUM(D30:T30)-SUM(U18:U28)</f>
        <v>0</v>
      </c>
    </row>
    <row r="31" spans="2:21" ht="16" thickTop="1">
      <c r="D31" s="14"/>
      <c r="U31" s="14"/>
    </row>
    <row r="32" spans="2:21" ht="16" thickBot="1">
      <c r="B32" s="17" t="s">
        <v>108</v>
      </c>
      <c r="C32" s="17"/>
      <c r="D32" s="20">
        <f>D17+D30</f>
        <v>0</v>
      </c>
      <c r="E32" s="17">
        <f t="shared" ref="E32:U32" si="4">E17+E30</f>
        <v>0</v>
      </c>
      <c r="F32" s="17">
        <f t="shared" si="4"/>
        <v>0</v>
      </c>
      <c r="G32" s="17">
        <f t="shared" si="4"/>
        <v>0</v>
      </c>
      <c r="H32" s="17">
        <f t="shared" si="4"/>
        <v>0</v>
      </c>
      <c r="I32" s="17">
        <f t="shared" si="4"/>
        <v>0</v>
      </c>
      <c r="J32" s="17">
        <f t="shared" si="4"/>
        <v>0</v>
      </c>
      <c r="K32" s="17">
        <f t="shared" si="4"/>
        <v>0</v>
      </c>
      <c r="L32" s="17">
        <f t="shared" si="4"/>
        <v>0</v>
      </c>
      <c r="M32" s="17">
        <f t="shared" si="4"/>
        <v>0</v>
      </c>
      <c r="N32" s="17">
        <f t="shared" si="4"/>
        <v>0</v>
      </c>
      <c r="O32" s="17">
        <f t="shared" si="4"/>
        <v>0</v>
      </c>
      <c r="P32" s="17">
        <f t="shared" si="4"/>
        <v>0</v>
      </c>
      <c r="Q32" s="17">
        <f t="shared" si="4"/>
        <v>0</v>
      </c>
      <c r="R32" s="17">
        <f t="shared" si="4"/>
        <v>0</v>
      </c>
      <c r="S32" s="17">
        <f t="shared" si="4"/>
        <v>0</v>
      </c>
      <c r="T32" s="17">
        <f t="shared" si="4"/>
        <v>0</v>
      </c>
      <c r="U32" s="20">
        <f t="shared" si="4"/>
        <v>0</v>
      </c>
    </row>
    <row r="33" ht="16" thickTop="1"/>
  </sheetData>
  <mergeCells count="1">
    <mergeCell ref="B2:F2"/>
  </mergeCells>
  <pageMargins left="0.75" right="0.75" top="1" bottom="1" header="0.5" footer="0.5"/>
  <pageSetup paperSize="9" orientation="portrait" horizontalDpi="4294967292" verticalDpi="4294967292"/>
  <ignoredErrors>
    <ignoredError sqref="U5 D17:T17 D30:U30 U18" emptyCellReference="1"/>
    <ignoredError sqref="U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workbookViewId="0">
      <selection activeCell="D4" sqref="D4"/>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6" t="s">
        <v>55</v>
      </c>
      <c r="E2" s="8" t="s">
        <v>57</v>
      </c>
      <c r="F2" s="8" t="s">
        <v>111</v>
      </c>
      <c r="G2" s="8" t="s">
        <v>58</v>
      </c>
      <c r="H2" s="8" t="s">
        <v>94</v>
      </c>
      <c r="I2" s="8" t="s">
        <v>95</v>
      </c>
      <c r="J2" s="8" t="s">
        <v>22</v>
      </c>
      <c r="K2" s="8" t="s">
        <v>105</v>
      </c>
      <c r="L2" s="8" t="s">
        <v>98</v>
      </c>
      <c r="M2" s="36" t="s">
        <v>108</v>
      </c>
    </row>
    <row r="3" spans="2:13">
      <c r="B3" s="7" t="s">
        <v>107</v>
      </c>
      <c r="C3" s="7" t="s">
        <v>100</v>
      </c>
      <c r="D3" s="54">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5">
        <f t="shared" ref="M3:M14" si="0">SUM(D3:L3)</f>
        <v>0</v>
      </c>
    </row>
    <row r="4" spans="2:13">
      <c r="C4" s="7" t="s">
        <v>69</v>
      </c>
      <c r="D4" s="54">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5">
        <f t="shared" si="0"/>
        <v>0</v>
      </c>
    </row>
    <row r="5" spans="2:13">
      <c r="C5" s="7" t="s">
        <v>101</v>
      </c>
      <c r="D5" s="54">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5">
        <f t="shared" si="0"/>
        <v>0</v>
      </c>
    </row>
    <row r="6" spans="2:13">
      <c r="C6" s="7" t="s">
        <v>102</v>
      </c>
      <c r="D6" s="54">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5">
        <f t="shared" si="0"/>
        <v>0</v>
      </c>
    </row>
    <row r="7" spans="2:13">
      <c r="C7" s="7" t="s">
        <v>103</v>
      </c>
      <c r="D7" s="54">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5">
        <f t="shared" si="0"/>
        <v>0</v>
      </c>
    </row>
    <row r="8" spans="2:13">
      <c r="C8" s="7" t="s">
        <v>95</v>
      </c>
      <c r="D8" s="54">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5">
        <f t="shared" si="0"/>
        <v>0</v>
      </c>
    </row>
    <row r="9" spans="2:13">
      <c r="C9" s="7" t="s">
        <v>68</v>
      </c>
      <c r="D9" s="54">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5">
        <f t="shared" si="0"/>
        <v>0</v>
      </c>
    </row>
    <row r="10" spans="2:13">
      <c r="C10" s="7" t="s">
        <v>94</v>
      </c>
      <c r="D10" s="54">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5">
        <f t="shared" si="0"/>
        <v>0</v>
      </c>
    </row>
    <row r="11" spans="2:13">
      <c r="C11" s="7" t="s">
        <v>104</v>
      </c>
      <c r="D11" s="54">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5">
        <f t="shared" si="0"/>
        <v>0</v>
      </c>
    </row>
    <row r="12" spans="2:13">
      <c r="C12" s="7" t="s">
        <v>105</v>
      </c>
      <c r="D12" s="54">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5">
        <f t="shared" si="0"/>
        <v>0</v>
      </c>
    </row>
    <row r="13" spans="2:13">
      <c r="C13" s="7" t="s">
        <v>72</v>
      </c>
      <c r="D13" s="54">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5">
        <f t="shared" si="0"/>
        <v>0</v>
      </c>
    </row>
    <row r="14" spans="2:13">
      <c r="B14" s="8"/>
      <c r="C14" s="8" t="s">
        <v>106</v>
      </c>
      <c r="D14" s="36">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6">
        <f t="shared" si="0"/>
        <v>0</v>
      </c>
    </row>
    <row r="15" spans="2:13" ht="16" thickBot="1">
      <c r="B15" s="23"/>
      <c r="C15" s="23" t="s">
        <v>109</v>
      </c>
      <c r="D15" s="57">
        <f>SUM(D3:D14)</f>
        <v>0</v>
      </c>
      <c r="E15" s="58">
        <f t="shared" ref="E15:L15" si="1">SUM(E3:E14)</f>
        <v>0</v>
      </c>
      <c r="F15" s="58">
        <f t="shared" si="1"/>
        <v>0</v>
      </c>
      <c r="G15" s="58">
        <f t="shared" si="1"/>
        <v>0</v>
      </c>
      <c r="H15" s="58">
        <f t="shared" si="1"/>
        <v>0</v>
      </c>
      <c r="I15" s="58">
        <f t="shared" si="1"/>
        <v>0</v>
      </c>
      <c r="J15" s="58">
        <f t="shared" si="1"/>
        <v>0</v>
      </c>
      <c r="K15" s="58">
        <f t="shared" si="1"/>
        <v>0</v>
      </c>
      <c r="L15" s="58">
        <f t="shared" si="1"/>
        <v>0</v>
      </c>
      <c r="M15" s="37">
        <f>SUM(D15:L15)-SUM(M3:M14)</f>
        <v>0</v>
      </c>
    </row>
    <row r="16" spans="2:13" ht="16" thickTop="1">
      <c r="B16" s="7" t="s">
        <v>59</v>
      </c>
      <c r="C16" s="7" t="s">
        <v>100</v>
      </c>
      <c r="D16" s="54">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5">
        <f>SUM(D16:L16)</f>
        <v>0</v>
      </c>
    </row>
    <row r="17" spans="2:13">
      <c r="C17" s="7" t="s">
        <v>69</v>
      </c>
      <c r="D17" s="54">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5">
        <f>SUM(D17:L17)</f>
        <v>0</v>
      </c>
    </row>
    <row r="18" spans="2:13">
      <c r="D18" s="54"/>
      <c r="M18" s="55"/>
    </row>
    <row r="19" spans="2:13">
      <c r="C19" s="7" t="s">
        <v>102</v>
      </c>
      <c r="D19" s="54">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5">
        <f>SUM(D19:L19)</f>
        <v>0</v>
      </c>
    </row>
    <row r="20" spans="2:13">
      <c r="C20" s="7" t="s">
        <v>103</v>
      </c>
      <c r="D20" s="54">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5">
        <f>SUM(D20:L20)</f>
        <v>0</v>
      </c>
    </row>
    <row r="21" spans="2:13">
      <c r="D21" s="54"/>
      <c r="M21" s="55"/>
    </row>
    <row r="22" spans="2:13">
      <c r="C22" s="7" t="s">
        <v>68</v>
      </c>
      <c r="D22" s="54">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5">
        <f>SUM(D22:L22)</f>
        <v>0</v>
      </c>
    </row>
    <row r="23" spans="2:13">
      <c r="D23" s="54"/>
      <c r="M23" s="55"/>
    </row>
    <row r="24" spans="2:13">
      <c r="D24" s="54"/>
      <c r="M24" s="55"/>
    </row>
    <row r="25" spans="2:13">
      <c r="D25" s="54"/>
      <c r="M25" s="55"/>
    </row>
    <row r="26" spans="2:13">
      <c r="C26" s="7" t="s">
        <v>72</v>
      </c>
      <c r="D26" s="54">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5">
        <f>SUM(D26:L26)</f>
        <v>0</v>
      </c>
    </row>
    <row r="27" spans="2:13">
      <c r="D27" s="54"/>
      <c r="M27" s="56"/>
    </row>
    <row r="28" spans="2:13" ht="16" thickBot="1">
      <c r="B28" s="23"/>
      <c r="C28" s="23" t="s">
        <v>110</v>
      </c>
      <c r="D28" s="37">
        <f>SUM(D16:D26)</f>
        <v>0</v>
      </c>
      <c r="E28" s="23">
        <f t="shared" ref="E28:L28" si="2">SUM(E16:E26)</f>
        <v>0</v>
      </c>
      <c r="F28" s="23">
        <f t="shared" si="2"/>
        <v>0</v>
      </c>
      <c r="G28" s="23">
        <f t="shared" si="2"/>
        <v>0</v>
      </c>
      <c r="H28" s="23">
        <f t="shared" si="2"/>
        <v>0</v>
      </c>
      <c r="I28" s="23">
        <f t="shared" si="2"/>
        <v>0</v>
      </c>
      <c r="J28" s="23">
        <f t="shared" si="2"/>
        <v>0</v>
      </c>
      <c r="K28" s="23">
        <f t="shared" si="2"/>
        <v>0</v>
      </c>
      <c r="L28" s="23">
        <f t="shared" si="2"/>
        <v>0</v>
      </c>
      <c r="M28" s="39">
        <f>SUM(D28:L28)-SUM(M16:M26)</f>
        <v>0</v>
      </c>
    </row>
    <row r="29" spans="2:13" ht="16" thickTop="1">
      <c r="D29" s="54"/>
      <c r="M29" s="54"/>
    </row>
    <row r="30" spans="2:13" ht="16" thickBot="1">
      <c r="B30" s="23" t="s">
        <v>108</v>
      </c>
      <c r="C30" s="23"/>
      <c r="D30" s="37">
        <f>D15+D28</f>
        <v>0</v>
      </c>
      <c r="E30" s="23">
        <f t="shared" ref="E30:M30" si="3">E15+E28</f>
        <v>0</v>
      </c>
      <c r="F30" s="23">
        <f t="shared" si="3"/>
        <v>0</v>
      </c>
      <c r="G30" s="23">
        <f t="shared" si="3"/>
        <v>0</v>
      </c>
      <c r="H30" s="23">
        <f t="shared" si="3"/>
        <v>0</v>
      </c>
      <c r="I30" s="23">
        <f t="shared" si="3"/>
        <v>0</v>
      </c>
      <c r="J30" s="23">
        <f t="shared" si="3"/>
        <v>0</v>
      </c>
      <c r="K30" s="23">
        <f t="shared" si="3"/>
        <v>0</v>
      </c>
      <c r="L30" s="23">
        <f t="shared" si="3"/>
        <v>0</v>
      </c>
      <c r="M30" s="37">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30">
        <v>6000</v>
      </c>
    </row>
    <row r="6" spans="2:5" ht="16" thickBot="1">
      <c r="C6" t="s">
        <v>36</v>
      </c>
      <c r="D6" t="s">
        <v>63</v>
      </c>
      <c r="E6" s="30">
        <v>6000</v>
      </c>
    </row>
    <row r="7" spans="2:5" ht="16" thickBot="1">
      <c r="C7" t="s">
        <v>64</v>
      </c>
      <c r="D7" t="s">
        <v>63</v>
      </c>
      <c r="E7" s="29">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B2" sqref="B2:O53"/>
    </sheetView>
  </sheetViews>
  <sheetFormatPr baseColWidth="10" defaultRowHeight="15" x14ac:dyDescent="0"/>
  <cols>
    <col min="1" max="1" width="3.83203125" customWidth="1"/>
  </cols>
  <sheetData>
    <row r="2" spans="2:15">
      <c r="B2" s="22" t="s">
        <v>128</v>
      </c>
      <c r="C2" s="9"/>
      <c r="D2" s="9"/>
      <c r="E2" s="9"/>
      <c r="F2" s="9"/>
      <c r="G2" s="9"/>
      <c r="H2" s="9"/>
      <c r="I2" s="9"/>
      <c r="J2" s="9"/>
      <c r="K2" s="9"/>
      <c r="L2" s="9"/>
      <c r="M2" s="9"/>
      <c r="N2" s="9"/>
      <c r="O2" s="32"/>
    </row>
    <row r="3" spans="2:15">
      <c r="B3" s="14"/>
      <c r="C3" s="1"/>
      <c r="D3" s="1"/>
      <c r="E3" s="1"/>
      <c r="F3" s="1"/>
      <c r="G3" s="1"/>
      <c r="H3" s="1"/>
      <c r="I3" s="1"/>
      <c r="J3" s="1"/>
      <c r="K3" s="1"/>
      <c r="L3" s="1"/>
      <c r="M3" s="1"/>
      <c r="N3" s="1"/>
      <c r="O3" s="33"/>
    </row>
    <row r="4" spans="2:15">
      <c r="B4" s="14" t="s">
        <v>0</v>
      </c>
      <c r="C4" s="1" t="s">
        <v>1</v>
      </c>
      <c r="D4" s="1" t="s">
        <v>129</v>
      </c>
      <c r="E4" s="1" t="s">
        <v>130</v>
      </c>
      <c r="F4" s="1" t="s">
        <v>131</v>
      </c>
      <c r="G4" s="1" t="s">
        <v>132</v>
      </c>
      <c r="H4" s="1" t="s">
        <v>133</v>
      </c>
      <c r="I4" s="1" t="s">
        <v>134</v>
      </c>
      <c r="J4" s="1" t="s">
        <v>135</v>
      </c>
      <c r="K4" s="1"/>
      <c r="L4" s="1" t="s">
        <v>136</v>
      </c>
      <c r="M4" s="1" t="s">
        <v>2</v>
      </c>
      <c r="N4" s="1" t="s">
        <v>137</v>
      </c>
      <c r="O4" s="33"/>
    </row>
    <row r="5" spans="2:15">
      <c r="B5" s="14" t="s">
        <v>29</v>
      </c>
      <c r="C5" s="1"/>
      <c r="D5" s="1"/>
      <c r="E5" s="1"/>
      <c r="F5" s="1"/>
      <c r="G5" s="1"/>
      <c r="H5" s="1"/>
      <c r="I5" s="1"/>
      <c r="J5" s="1"/>
      <c r="K5" s="1"/>
      <c r="L5" s="1"/>
      <c r="M5" s="1"/>
      <c r="N5" s="1"/>
      <c r="O5" s="33"/>
    </row>
    <row r="6" spans="2:15">
      <c r="B6" s="14"/>
      <c r="C6" s="1" t="s">
        <v>30</v>
      </c>
      <c r="D6" s="1">
        <v>0</v>
      </c>
      <c r="E6" s="1">
        <v>0</v>
      </c>
      <c r="F6" s="1">
        <v>0</v>
      </c>
      <c r="G6" s="1">
        <v>0</v>
      </c>
      <c r="H6" s="1">
        <v>0</v>
      </c>
      <c r="I6" s="1">
        <v>0</v>
      </c>
      <c r="J6" s="1">
        <v>0</v>
      </c>
      <c r="K6" s="1"/>
      <c r="L6" s="1">
        <v>3600</v>
      </c>
      <c r="M6" s="1">
        <v>0</v>
      </c>
      <c r="N6" s="1">
        <v>0</v>
      </c>
      <c r="O6" s="33"/>
    </row>
    <row r="7" spans="2:15">
      <c r="B7" s="14"/>
      <c r="C7" s="1" t="s">
        <v>31</v>
      </c>
      <c r="D7" s="1">
        <v>0</v>
      </c>
      <c r="E7" s="1">
        <v>0</v>
      </c>
      <c r="F7" s="1">
        <v>0</v>
      </c>
      <c r="G7" s="1">
        <v>0</v>
      </c>
      <c r="H7" s="1">
        <v>0</v>
      </c>
      <c r="I7" s="1">
        <v>0</v>
      </c>
      <c r="J7" s="1">
        <v>0</v>
      </c>
      <c r="K7" s="1"/>
      <c r="L7" s="1">
        <v>8000</v>
      </c>
      <c r="M7" s="1">
        <v>0</v>
      </c>
      <c r="N7" s="1">
        <v>0</v>
      </c>
      <c r="O7" s="33"/>
    </row>
    <row r="8" spans="2:15">
      <c r="B8" s="14"/>
      <c r="C8" s="1" t="s">
        <v>32</v>
      </c>
      <c r="D8" s="1">
        <v>0</v>
      </c>
      <c r="E8" s="1">
        <v>0</v>
      </c>
      <c r="F8" s="1">
        <v>0</v>
      </c>
      <c r="G8" s="1">
        <v>0</v>
      </c>
      <c r="H8" s="1">
        <v>0</v>
      </c>
      <c r="I8" s="1">
        <v>0</v>
      </c>
      <c r="J8" s="1">
        <v>0</v>
      </c>
      <c r="K8" s="1"/>
      <c r="L8" s="1">
        <v>6000</v>
      </c>
      <c r="M8" s="1">
        <v>0</v>
      </c>
      <c r="N8" s="1">
        <v>0</v>
      </c>
      <c r="O8" s="33"/>
    </row>
    <row r="9" spans="2:15">
      <c r="B9" s="14"/>
      <c r="C9" s="1" t="s">
        <v>138</v>
      </c>
      <c r="D9" s="1">
        <v>0</v>
      </c>
      <c r="E9" s="1">
        <v>0</v>
      </c>
      <c r="F9" s="1">
        <v>0</v>
      </c>
      <c r="G9" s="1">
        <v>0</v>
      </c>
      <c r="H9" s="1">
        <v>0</v>
      </c>
      <c r="I9" s="1">
        <v>0</v>
      </c>
      <c r="J9" s="1">
        <v>0</v>
      </c>
      <c r="K9" s="1"/>
      <c r="L9" s="1"/>
      <c r="M9" s="1">
        <v>0</v>
      </c>
      <c r="N9" s="1">
        <v>0</v>
      </c>
      <c r="O9" s="33"/>
    </row>
    <row r="10" spans="2:15">
      <c r="B10" s="14"/>
      <c r="C10" s="1"/>
      <c r="D10" s="1"/>
      <c r="E10" s="1"/>
      <c r="F10" s="1"/>
      <c r="G10" s="1"/>
      <c r="H10" s="1"/>
      <c r="I10" s="1"/>
      <c r="J10" s="1"/>
      <c r="K10" s="1"/>
      <c r="L10" s="1"/>
      <c r="M10" s="1"/>
      <c r="N10" s="1"/>
      <c r="O10" s="33"/>
    </row>
    <row r="11" spans="2:15">
      <c r="B11" s="14" t="s">
        <v>33</v>
      </c>
      <c r="C11" s="1"/>
      <c r="D11" s="1"/>
      <c r="E11" s="1"/>
      <c r="F11" s="1"/>
      <c r="G11" s="1"/>
      <c r="H11" s="1"/>
      <c r="I11" s="1"/>
      <c r="J11" s="1"/>
      <c r="K11" s="1"/>
      <c r="L11" s="1"/>
      <c r="M11" s="1"/>
      <c r="N11" s="1"/>
      <c r="O11" s="33"/>
    </row>
    <row r="12" spans="2:15">
      <c r="B12" s="14"/>
      <c r="C12" s="1" t="s">
        <v>30</v>
      </c>
      <c r="D12" s="1">
        <v>0</v>
      </c>
      <c r="E12" s="1">
        <v>0</v>
      </c>
      <c r="F12" s="1">
        <v>0</v>
      </c>
      <c r="G12" s="1">
        <v>0</v>
      </c>
      <c r="H12" s="1">
        <v>0</v>
      </c>
      <c r="I12" s="1">
        <v>0</v>
      </c>
      <c r="J12" s="1">
        <v>0</v>
      </c>
      <c r="K12" s="1"/>
      <c r="L12" s="1">
        <v>4000</v>
      </c>
      <c r="M12" s="1">
        <v>0</v>
      </c>
      <c r="N12" s="1">
        <v>0</v>
      </c>
      <c r="O12" s="33"/>
    </row>
    <row r="13" spans="2:15">
      <c r="B13" s="14"/>
      <c r="C13" s="1" t="s">
        <v>31</v>
      </c>
      <c r="D13" s="1">
        <v>0</v>
      </c>
      <c r="E13" s="1">
        <v>0</v>
      </c>
      <c r="F13" s="1">
        <v>0</v>
      </c>
      <c r="G13" s="1">
        <v>0</v>
      </c>
      <c r="H13" s="1">
        <v>0</v>
      </c>
      <c r="I13" s="1">
        <v>0</v>
      </c>
      <c r="J13" s="1">
        <v>0</v>
      </c>
      <c r="K13" s="1"/>
      <c r="L13" s="1">
        <v>8000</v>
      </c>
      <c r="M13" s="1">
        <v>0</v>
      </c>
      <c r="N13" s="1">
        <v>0</v>
      </c>
      <c r="O13" s="33"/>
    </row>
    <row r="14" spans="2:15">
      <c r="B14" s="14"/>
      <c r="C14" s="1" t="s">
        <v>32</v>
      </c>
      <c r="D14" s="1">
        <v>0</v>
      </c>
      <c r="E14" s="1">
        <v>0</v>
      </c>
      <c r="F14" s="1">
        <v>0</v>
      </c>
      <c r="G14" s="1">
        <v>0</v>
      </c>
      <c r="H14" s="1">
        <v>0</v>
      </c>
      <c r="I14" s="1">
        <v>0</v>
      </c>
      <c r="J14" s="1">
        <v>0</v>
      </c>
      <c r="K14" s="1"/>
      <c r="L14" s="1">
        <v>6000</v>
      </c>
      <c r="M14" s="1">
        <v>0</v>
      </c>
      <c r="N14" s="1">
        <v>0</v>
      </c>
      <c r="O14" s="33"/>
    </row>
    <row r="15" spans="2:15">
      <c r="B15" s="14"/>
      <c r="C15" s="1" t="s">
        <v>138</v>
      </c>
      <c r="D15" s="1">
        <v>0</v>
      </c>
      <c r="E15" s="1">
        <v>0</v>
      </c>
      <c r="F15" s="1">
        <v>0</v>
      </c>
      <c r="G15" s="1">
        <v>0</v>
      </c>
      <c r="H15" s="1">
        <v>0</v>
      </c>
      <c r="I15" s="1">
        <v>0</v>
      </c>
      <c r="J15" s="1">
        <v>0</v>
      </c>
      <c r="K15" s="1"/>
      <c r="L15" s="1"/>
      <c r="M15" s="1">
        <v>0</v>
      </c>
      <c r="N15" s="1">
        <v>0</v>
      </c>
      <c r="O15" s="33"/>
    </row>
    <row r="16" spans="2:15">
      <c r="B16" s="14"/>
      <c r="C16" s="1"/>
      <c r="D16" s="1"/>
      <c r="E16" s="1"/>
      <c r="F16" s="1"/>
      <c r="G16" s="1"/>
      <c r="H16" s="1"/>
      <c r="I16" s="1"/>
      <c r="J16" s="1"/>
      <c r="K16" s="1"/>
      <c r="L16" s="1"/>
      <c r="M16" s="1"/>
      <c r="N16" s="1"/>
      <c r="O16" s="33"/>
    </row>
    <row r="17" spans="2:15">
      <c r="B17" s="14" t="s">
        <v>139</v>
      </c>
      <c r="C17" s="1"/>
      <c r="D17" s="1"/>
      <c r="E17" s="1"/>
      <c r="F17" s="1"/>
      <c r="G17" s="1"/>
      <c r="H17" s="1"/>
      <c r="I17" s="1"/>
      <c r="J17" s="1"/>
      <c r="K17" s="1"/>
      <c r="L17" s="1"/>
      <c r="M17" s="1"/>
      <c r="N17" s="1"/>
      <c r="O17" s="33"/>
    </row>
    <row r="18" spans="2:15">
      <c r="B18" s="14"/>
      <c r="C18" s="1" t="s">
        <v>30</v>
      </c>
      <c r="D18" s="1">
        <v>4440.7151718239911</v>
      </c>
      <c r="E18" s="1">
        <v>10327.244585637189</v>
      </c>
      <c r="F18" s="1">
        <v>6677.7671756751752</v>
      </c>
      <c r="G18" s="1">
        <v>3649.477409962014</v>
      </c>
      <c r="H18" s="1">
        <v>4853.8049552494786</v>
      </c>
      <c r="I18" s="1">
        <v>0</v>
      </c>
      <c r="J18" s="1">
        <v>4853.8049552494786</v>
      </c>
      <c r="K18" s="1"/>
      <c r="L18" s="1">
        <v>4000</v>
      </c>
      <c r="M18" s="1">
        <v>308.38299804333269</v>
      </c>
      <c r="N18" s="1">
        <v>337.06978855899155</v>
      </c>
      <c r="O18" s="33"/>
    </row>
    <row r="19" spans="2:15">
      <c r="B19" s="14"/>
      <c r="C19" s="1" t="s">
        <v>31</v>
      </c>
      <c r="D19" s="1">
        <v>3879.1334399999996</v>
      </c>
      <c r="E19" s="1">
        <v>9236.0319999999992</v>
      </c>
      <c r="F19" s="1">
        <v>6519.5519999999988</v>
      </c>
      <c r="G19" s="1">
        <v>2716.48</v>
      </c>
      <c r="H19" s="1">
        <v>3232.6111999999994</v>
      </c>
      <c r="I19" s="1">
        <v>0</v>
      </c>
      <c r="J19" s="1">
        <v>3232.6111999999994</v>
      </c>
      <c r="K19" s="1"/>
      <c r="L19" s="1">
        <v>8000</v>
      </c>
      <c r="M19" s="1">
        <v>134.69213333333332</v>
      </c>
      <c r="N19" s="1">
        <v>112.24344444444442</v>
      </c>
      <c r="O19" s="33"/>
    </row>
    <row r="20" spans="2:15">
      <c r="B20" s="14"/>
      <c r="C20" s="1" t="s">
        <v>32</v>
      </c>
      <c r="D20" s="1">
        <v>0</v>
      </c>
      <c r="E20" s="1">
        <v>0</v>
      </c>
      <c r="F20" s="1">
        <v>0</v>
      </c>
      <c r="G20" s="1">
        <v>0</v>
      </c>
      <c r="H20" s="1">
        <v>0</v>
      </c>
      <c r="I20" s="1">
        <v>0</v>
      </c>
      <c r="J20" s="1">
        <v>0</v>
      </c>
      <c r="K20" s="1"/>
      <c r="L20" s="1">
        <v>6000</v>
      </c>
      <c r="M20" s="1">
        <v>0</v>
      </c>
      <c r="N20" s="1">
        <v>0</v>
      </c>
      <c r="O20" s="33"/>
    </row>
    <row r="21" spans="2:15">
      <c r="B21" s="14"/>
      <c r="C21" s="1" t="s">
        <v>138</v>
      </c>
      <c r="D21" s="1">
        <v>8319.8486118239907</v>
      </c>
      <c r="E21" s="1">
        <v>19563.276585637188</v>
      </c>
      <c r="F21" s="1">
        <v>13197.319175675173</v>
      </c>
      <c r="G21" s="1">
        <v>6365.957409962014</v>
      </c>
      <c r="H21" s="1">
        <v>8086.4161552494779</v>
      </c>
      <c r="I21" s="1">
        <v>0</v>
      </c>
      <c r="J21" s="1">
        <v>8086.4161552494779</v>
      </c>
      <c r="K21" s="1"/>
      <c r="L21" s="1"/>
      <c r="M21" s="1">
        <v>443.07513137666604</v>
      </c>
      <c r="N21" s="1">
        <v>449.31323300343598</v>
      </c>
      <c r="O21" s="33"/>
    </row>
    <row r="22" spans="2:15">
      <c r="B22" s="14"/>
      <c r="C22" s="1"/>
      <c r="D22" s="1"/>
      <c r="E22" s="1"/>
      <c r="F22" s="1"/>
      <c r="G22" s="1"/>
      <c r="H22" s="1"/>
      <c r="I22" s="1"/>
      <c r="J22" s="1"/>
      <c r="K22" s="1"/>
      <c r="L22" s="1"/>
      <c r="M22" s="1"/>
      <c r="N22" s="1"/>
      <c r="O22" s="33"/>
    </row>
    <row r="23" spans="2:15">
      <c r="B23" s="14" t="s">
        <v>60</v>
      </c>
      <c r="C23" s="1"/>
      <c r="D23" s="1"/>
      <c r="E23" s="1"/>
      <c r="F23" s="1"/>
      <c r="G23" s="1"/>
      <c r="H23" s="1"/>
      <c r="I23" s="1"/>
      <c r="J23" s="1"/>
      <c r="K23" s="1"/>
      <c r="L23" s="1"/>
      <c r="M23" s="1"/>
      <c r="N23" s="1"/>
      <c r="O23" s="33"/>
    </row>
    <row r="24" spans="2:15">
      <c r="B24" s="14"/>
      <c r="C24" s="1" t="s">
        <v>35</v>
      </c>
      <c r="D24" s="1">
        <v>9629.9683174466918</v>
      </c>
      <c r="E24" s="1">
        <v>25342.021888017611</v>
      </c>
      <c r="F24" s="1">
        <v>16321.980199062191</v>
      </c>
      <c r="G24" s="1">
        <v>9020.0416889554199</v>
      </c>
      <c r="H24" s="1">
        <v>10643.649192967396</v>
      </c>
      <c r="I24" s="1">
        <v>0</v>
      </c>
      <c r="J24" s="1">
        <v>10643.649192967396</v>
      </c>
      <c r="K24" s="1"/>
      <c r="L24" s="1"/>
      <c r="M24" s="1"/>
      <c r="N24" s="1"/>
      <c r="O24" s="33"/>
    </row>
    <row r="25" spans="2:15">
      <c r="B25" s="14"/>
      <c r="C25" s="1" t="s">
        <v>36</v>
      </c>
      <c r="D25" s="1">
        <v>659.08528408380391</v>
      </c>
      <c r="E25" s="1">
        <v>1569.2506763900092</v>
      </c>
      <c r="F25" s="1">
        <v>998.61406679364222</v>
      </c>
      <c r="G25" s="1">
        <v>570.63660959636695</v>
      </c>
      <c r="H25" s="1">
        <v>753.24032466720439</v>
      </c>
      <c r="I25" s="1">
        <v>0</v>
      </c>
      <c r="J25" s="1">
        <v>753.24032466720439</v>
      </c>
      <c r="K25" s="1"/>
      <c r="L25" s="1"/>
      <c r="M25" s="1"/>
      <c r="N25" s="1"/>
      <c r="O25" s="33"/>
    </row>
    <row r="26" spans="2:15">
      <c r="B26" s="14"/>
      <c r="C26" s="1" t="s">
        <v>37</v>
      </c>
      <c r="D26" s="1">
        <v>26326.79551423639</v>
      </c>
      <c r="E26" s="1">
        <v>62682.846462467598</v>
      </c>
      <c r="F26" s="1">
        <v>42462.573410058692</v>
      </c>
      <c r="G26" s="1">
        <v>20220.273052408906</v>
      </c>
      <c r="H26" s="1">
        <v>25073.138584987042</v>
      </c>
      <c r="I26" s="1">
        <v>0</v>
      </c>
      <c r="J26" s="1">
        <v>25073.138584987042</v>
      </c>
      <c r="K26" s="1"/>
      <c r="L26" s="1"/>
      <c r="M26" s="1"/>
      <c r="N26" s="1"/>
      <c r="O26" s="33"/>
    </row>
    <row r="27" spans="2:15">
      <c r="B27" s="14"/>
      <c r="C27" s="1" t="s">
        <v>34</v>
      </c>
      <c r="D27" s="1">
        <v>0</v>
      </c>
      <c r="E27" s="1">
        <v>0</v>
      </c>
      <c r="F27" s="1">
        <v>0</v>
      </c>
      <c r="G27" s="1">
        <v>0</v>
      </c>
      <c r="H27" s="1">
        <v>0</v>
      </c>
      <c r="I27" s="1">
        <v>0</v>
      </c>
      <c r="J27" s="1">
        <v>0</v>
      </c>
      <c r="K27" s="1"/>
      <c r="L27" s="1"/>
      <c r="M27" s="1"/>
      <c r="N27" s="1"/>
      <c r="O27" s="33"/>
    </row>
    <row r="28" spans="2:15">
      <c r="B28" s="14"/>
      <c r="C28" s="1" t="s">
        <v>138</v>
      </c>
      <c r="D28" s="1">
        <v>36615.849115766883</v>
      </c>
      <c r="E28" s="1">
        <v>89594.119026875211</v>
      </c>
      <c r="F28" s="1">
        <v>59783.167675914527</v>
      </c>
      <c r="G28" s="1">
        <v>29810.951350960691</v>
      </c>
      <c r="H28" s="1">
        <v>36470.02810262164</v>
      </c>
      <c r="I28" s="1">
        <v>0</v>
      </c>
      <c r="J28" s="1">
        <v>36470.02810262164</v>
      </c>
      <c r="K28" s="1"/>
      <c r="L28" s="1"/>
      <c r="M28" s="1"/>
      <c r="N28" s="1"/>
      <c r="O28" s="33"/>
    </row>
    <row r="29" spans="2:15">
      <c r="B29" s="14"/>
      <c r="C29" s="1"/>
      <c r="D29" s="1"/>
      <c r="E29" s="1"/>
      <c r="F29" s="1"/>
      <c r="G29" s="1"/>
      <c r="H29" s="1"/>
      <c r="I29" s="1"/>
      <c r="J29" s="1"/>
      <c r="K29" s="1"/>
      <c r="L29" s="1"/>
      <c r="M29" s="1"/>
      <c r="N29" s="1"/>
      <c r="O29" s="33"/>
    </row>
    <row r="30" spans="2:15">
      <c r="B30" s="14" t="s">
        <v>62</v>
      </c>
      <c r="C30" s="1"/>
      <c r="D30" s="1"/>
      <c r="E30" s="1"/>
      <c r="F30" s="1"/>
      <c r="G30" s="1"/>
      <c r="H30" s="1"/>
      <c r="I30" s="1"/>
      <c r="J30" s="1"/>
      <c r="K30" s="1"/>
      <c r="L30" s="1"/>
      <c r="M30" s="1"/>
      <c r="N30" s="1"/>
      <c r="O30" s="33"/>
    </row>
    <row r="31" spans="2:15">
      <c r="B31" s="14"/>
      <c r="C31" s="1" t="s">
        <v>35</v>
      </c>
      <c r="D31" s="1">
        <v>7707.7678976436018</v>
      </c>
      <c r="E31" s="1">
        <v>20283.599730641057</v>
      </c>
      <c r="F31" s="1">
        <v>13064.013385836615</v>
      </c>
      <c r="G31" s="1">
        <v>7219.5863448044438</v>
      </c>
      <c r="H31" s="1">
        <v>8519.1118868692429</v>
      </c>
      <c r="I31" s="1">
        <v>0</v>
      </c>
      <c r="J31" s="1">
        <v>8519.1118868692429</v>
      </c>
      <c r="K31" s="1"/>
      <c r="L31" s="1"/>
      <c r="M31" s="1"/>
      <c r="N31" s="1"/>
      <c r="O31" s="33"/>
    </row>
    <row r="32" spans="2:15">
      <c r="B32" s="14"/>
      <c r="C32" s="1" t="s">
        <v>36</v>
      </c>
      <c r="D32" s="1">
        <v>527.52784090336434</v>
      </c>
      <c r="E32" s="1">
        <v>1256.0186688175343</v>
      </c>
      <c r="F32" s="1">
        <v>799.28460742933999</v>
      </c>
      <c r="G32" s="1">
        <v>456.73406138819428</v>
      </c>
      <c r="H32" s="1">
        <v>602.88896103241643</v>
      </c>
      <c r="I32" s="1">
        <v>0</v>
      </c>
      <c r="J32" s="1">
        <v>602.88896103241643</v>
      </c>
      <c r="K32" s="1"/>
      <c r="L32" s="1"/>
      <c r="M32" s="1"/>
      <c r="N32" s="1"/>
      <c r="O32" s="33"/>
    </row>
    <row r="33" spans="2:15">
      <c r="B33" s="14"/>
      <c r="C33" s="1" t="s">
        <v>37</v>
      </c>
      <c r="D33" s="1">
        <v>21071.806533862164</v>
      </c>
      <c r="E33" s="1">
        <v>50170.967937767055</v>
      </c>
      <c r="F33" s="1">
        <v>33986.784732035747</v>
      </c>
      <c r="G33" s="1">
        <v>16184.183205731309</v>
      </c>
      <c r="H33" s="1">
        <v>20068.387175106822</v>
      </c>
      <c r="I33" s="1">
        <v>0</v>
      </c>
      <c r="J33" s="1">
        <v>20068.387175106822</v>
      </c>
      <c r="K33" s="1"/>
      <c r="L33" s="1"/>
      <c r="M33" s="1"/>
      <c r="N33" s="1"/>
      <c r="O33" s="33"/>
    </row>
    <row r="34" spans="2:15">
      <c r="B34" s="14"/>
      <c r="C34" s="1" t="s">
        <v>34</v>
      </c>
      <c r="D34" s="1">
        <v>2620.8000000000002</v>
      </c>
      <c r="E34" s="1">
        <v>8736.0000000000018</v>
      </c>
      <c r="F34" s="1">
        <v>5517.4736842105276</v>
      </c>
      <c r="G34" s="1">
        <v>3218.5263157894742</v>
      </c>
      <c r="H34" s="1">
        <v>3057.6000000000004</v>
      </c>
      <c r="I34" s="1">
        <v>0</v>
      </c>
      <c r="J34" s="1">
        <v>3057.6000000000004</v>
      </c>
      <c r="K34" s="1"/>
      <c r="L34" s="1"/>
      <c r="M34" s="1"/>
      <c r="N34" s="1"/>
      <c r="O34" s="33"/>
    </row>
    <row r="35" spans="2:15">
      <c r="B35" s="14"/>
      <c r="C35" s="1" t="s">
        <v>138</v>
      </c>
      <c r="D35" s="1">
        <v>31927.90227240913</v>
      </c>
      <c r="E35" s="1">
        <v>80446.586337225643</v>
      </c>
      <c r="F35" s="1">
        <v>53367.556409512232</v>
      </c>
      <c r="G35" s="1">
        <v>27079.029927713422</v>
      </c>
      <c r="H35" s="1">
        <v>32247.988023008482</v>
      </c>
      <c r="I35" s="1">
        <v>0</v>
      </c>
      <c r="J35" s="1">
        <v>32247.988023008482</v>
      </c>
      <c r="K35" s="1"/>
      <c r="L35" s="1"/>
      <c r="M35" s="1"/>
      <c r="N35" s="1"/>
      <c r="O35" s="33"/>
    </row>
    <row r="36" spans="2:15">
      <c r="B36" s="14"/>
      <c r="C36" s="1"/>
      <c r="D36" s="1"/>
      <c r="E36" s="1"/>
      <c r="F36" s="1"/>
      <c r="G36" s="1"/>
      <c r="H36" s="1"/>
      <c r="I36" s="1"/>
      <c r="J36" s="1"/>
      <c r="K36" s="1"/>
      <c r="L36" s="1"/>
      <c r="M36" s="1"/>
      <c r="N36" s="1"/>
      <c r="O36" s="33"/>
    </row>
    <row r="37" spans="2:15">
      <c r="B37" s="14" t="s">
        <v>38</v>
      </c>
      <c r="C37" s="1"/>
      <c r="D37" s="1"/>
      <c r="E37" s="1"/>
      <c r="F37" s="1"/>
      <c r="G37" s="1"/>
      <c r="H37" s="1"/>
      <c r="I37" s="1"/>
      <c r="J37" s="1"/>
      <c r="K37" s="1"/>
      <c r="L37" s="1"/>
      <c r="M37" s="1"/>
      <c r="N37" s="1"/>
      <c r="O37" s="33"/>
    </row>
    <row r="38" spans="2:15">
      <c r="B38" s="14"/>
      <c r="C38" s="1" t="s">
        <v>35</v>
      </c>
      <c r="D38" s="1">
        <v>17337.736215090292</v>
      </c>
      <c r="E38" s="1">
        <v>45625.621618658668</v>
      </c>
      <c r="F38" s="1">
        <v>29385.993584898806</v>
      </c>
      <c r="G38" s="1">
        <v>16239.628033759864</v>
      </c>
      <c r="H38" s="1">
        <v>19162.761079836637</v>
      </c>
      <c r="I38" s="1">
        <v>0</v>
      </c>
      <c r="J38" s="1">
        <v>19162.761079836637</v>
      </c>
      <c r="K38" s="1"/>
      <c r="L38" s="1">
        <v>6000</v>
      </c>
      <c r="M38" s="1">
        <v>802.67297292084686</v>
      </c>
      <c r="N38" s="1">
        <v>887.16486480725177</v>
      </c>
      <c r="O38" s="33"/>
    </row>
    <row r="39" spans="2:15">
      <c r="B39" s="14"/>
      <c r="C39" s="1" t="s">
        <v>36</v>
      </c>
      <c r="D39" s="1">
        <v>1186.6131249871682</v>
      </c>
      <c r="E39" s="1">
        <v>2825.2693452075437</v>
      </c>
      <c r="F39" s="1">
        <v>1797.8986742229822</v>
      </c>
      <c r="G39" s="1">
        <v>1027.3706709845612</v>
      </c>
      <c r="H39" s="1">
        <v>1356.1292856996208</v>
      </c>
      <c r="I39" s="1">
        <v>0</v>
      </c>
      <c r="J39" s="1">
        <v>1356.1292856996208</v>
      </c>
      <c r="K39" s="1"/>
      <c r="L39" s="1">
        <v>6000</v>
      </c>
      <c r="M39" s="1">
        <v>54.935792823480007</v>
      </c>
      <c r="N39" s="1">
        <v>62.783763226834296</v>
      </c>
      <c r="O39" s="33"/>
    </row>
    <row r="40" spans="2:15">
      <c r="B40" s="14"/>
      <c r="C40" s="1" t="s">
        <v>37</v>
      </c>
      <c r="D40" s="1">
        <v>47398.602048098553</v>
      </c>
      <c r="E40" s="1">
        <v>112853.81440023465</v>
      </c>
      <c r="F40" s="1">
        <v>76449.358142094439</v>
      </c>
      <c r="G40" s="1">
        <v>36404.456258140213</v>
      </c>
      <c r="H40" s="1">
        <v>45141.525760093864</v>
      </c>
      <c r="I40" s="1">
        <v>0</v>
      </c>
      <c r="J40" s="1">
        <v>45141.525760093864</v>
      </c>
      <c r="K40" s="1"/>
      <c r="L40" s="1">
        <v>6000</v>
      </c>
      <c r="M40" s="1">
        <v>2194.379724449007</v>
      </c>
      <c r="N40" s="1">
        <v>2089.8854518561971</v>
      </c>
      <c r="O40" s="33"/>
    </row>
    <row r="41" spans="2:15">
      <c r="B41" s="14"/>
      <c r="C41" s="1" t="s">
        <v>34</v>
      </c>
      <c r="D41" s="1">
        <v>2620.8000000000002</v>
      </c>
      <c r="E41" s="1">
        <v>8736.0000000000018</v>
      </c>
      <c r="F41" s="1">
        <v>5517.4736842105276</v>
      </c>
      <c r="G41" s="1">
        <v>3218.5263157894742</v>
      </c>
      <c r="H41" s="1">
        <v>3057.6000000000004</v>
      </c>
      <c r="I41" s="1">
        <v>0</v>
      </c>
      <c r="J41" s="1">
        <v>3057.6000000000004</v>
      </c>
      <c r="K41" s="1"/>
      <c r="L41" s="1">
        <v>7000</v>
      </c>
      <c r="M41" s="1">
        <v>104</v>
      </c>
      <c r="N41" s="1">
        <v>121.33333333333333</v>
      </c>
      <c r="O41" s="33"/>
    </row>
    <row r="42" spans="2:15">
      <c r="B42" s="14"/>
      <c r="C42" s="1" t="s">
        <v>138</v>
      </c>
      <c r="D42" s="1">
        <v>68543.75138817601</v>
      </c>
      <c r="E42" s="1">
        <v>170040.70536410087</v>
      </c>
      <c r="F42" s="1">
        <v>113150.72408542676</v>
      </c>
      <c r="G42" s="1">
        <v>56889.981278674109</v>
      </c>
      <c r="H42" s="1">
        <v>68718.016125630122</v>
      </c>
      <c r="I42" s="1">
        <v>0</v>
      </c>
      <c r="J42" s="1">
        <v>68718.016125630122</v>
      </c>
      <c r="K42" s="1"/>
      <c r="L42" s="1"/>
      <c r="M42" s="1">
        <v>3155.9884901933337</v>
      </c>
      <c r="N42" s="1">
        <v>3161.1674132236167</v>
      </c>
      <c r="O42" s="33"/>
    </row>
    <row r="43" spans="2:15">
      <c r="B43" s="14"/>
      <c r="C43" s="1"/>
      <c r="D43" s="1"/>
      <c r="E43" s="1"/>
      <c r="F43" s="1"/>
      <c r="G43" s="1"/>
      <c r="H43" s="1"/>
      <c r="I43" s="1"/>
      <c r="J43" s="1"/>
      <c r="K43" s="1"/>
      <c r="L43" s="1"/>
      <c r="M43" s="1"/>
      <c r="N43" s="1"/>
      <c r="O43" s="33"/>
    </row>
    <row r="44" spans="2:15">
      <c r="B44" s="14" t="s">
        <v>39</v>
      </c>
      <c r="C44" s="1"/>
      <c r="D44" s="1"/>
      <c r="E44" s="1"/>
      <c r="F44" s="1"/>
      <c r="G44" s="1"/>
      <c r="H44" s="1"/>
      <c r="I44" s="1"/>
      <c r="J44" s="1"/>
      <c r="K44" s="1"/>
      <c r="L44" s="1"/>
      <c r="M44" s="1"/>
      <c r="N44" s="1"/>
      <c r="O44" s="33"/>
    </row>
    <row r="45" spans="2:15">
      <c r="B45" s="14"/>
      <c r="C45" s="1" t="s">
        <v>37</v>
      </c>
      <c r="D45" s="1">
        <v>0</v>
      </c>
      <c r="E45" s="1">
        <v>0</v>
      </c>
      <c r="F45" s="1">
        <v>0</v>
      </c>
      <c r="G45" s="1">
        <v>0</v>
      </c>
      <c r="H45" s="1">
        <v>0</v>
      </c>
      <c r="I45" s="1">
        <v>0</v>
      </c>
      <c r="J45" s="1">
        <v>0</v>
      </c>
      <c r="K45" s="1"/>
      <c r="L45" s="1">
        <v>4500</v>
      </c>
      <c r="M45" s="1">
        <v>0</v>
      </c>
      <c r="N45" s="1">
        <v>0</v>
      </c>
      <c r="O45" s="33"/>
    </row>
    <row r="46" spans="2:15">
      <c r="B46" s="14"/>
      <c r="C46" s="1" t="s">
        <v>34</v>
      </c>
      <c r="D46" s="1">
        <v>0</v>
      </c>
      <c r="E46" s="1">
        <v>0</v>
      </c>
      <c r="F46" s="1">
        <v>0</v>
      </c>
      <c r="G46" s="1">
        <v>0</v>
      </c>
      <c r="H46" s="1">
        <v>0</v>
      </c>
      <c r="I46" s="1">
        <v>0</v>
      </c>
      <c r="J46" s="1">
        <v>0</v>
      </c>
      <c r="K46" s="1"/>
      <c r="L46" s="1">
        <v>4500</v>
      </c>
      <c r="M46" s="1">
        <v>0</v>
      </c>
      <c r="N46" s="1">
        <v>0</v>
      </c>
      <c r="O46" s="33"/>
    </row>
    <row r="47" spans="2:15">
      <c r="B47" s="14"/>
      <c r="C47" s="1" t="s">
        <v>40</v>
      </c>
      <c r="D47" s="1">
        <v>0</v>
      </c>
      <c r="E47" s="1">
        <v>0</v>
      </c>
      <c r="F47" s="1">
        <v>0</v>
      </c>
      <c r="G47" s="1">
        <v>0</v>
      </c>
      <c r="H47" s="1">
        <v>0</v>
      </c>
      <c r="I47" s="1">
        <v>0</v>
      </c>
      <c r="J47" s="1">
        <v>0</v>
      </c>
      <c r="K47" s="1"/>
      <c r="L47" s="1">
        <v>7000</v>
      </c>
      <c r="M47" s="1">
        <v>0</v>
      </c>
      <c r="N47" s="1">
        <v>0</v>
      </c>
      <c r="O47" s="33"/>
    </row>
    <row r="48" spans="2:15">
      <c r="B48" s="14"/>
      <c r="C48" s="1" t="s">
        <v>41</v>
      </c>
      <c r="D48" s="1">
        <v>0</v>
      </c>
      <c r="E48" s="1">
        <v>0</v>
      </c>
      <c r="F48" s="1">
        <v>0</v>
      </c>
      <c r="G48" s="1">
        <v>0</v>
      </c>
      <c r="H48" s="1">
        <v>0</v>
      </c>
      <c r="I48" s="1">
        <v>0</v>
      </c>
      <c r="J48" s="1">
        <v>0</v>
      </c>
      <c r="K48" s="1"/>
      <c r="L48" s="1">
        <v>4500</v>
      </c>
      <c r="M48" s="1">
        <v>0</v>
      </c>
      <c r="N48" s="1">
        <v>0</v>
      </c>
      <c r="O48" s="33"/>
    </row>
    <row r="49" spans="2:15">
      <c r="B49" s="14"/>
      <c r="C49" s="1" t="s">
        <v>138</v>
      </c>
      <c r="D49" s="1">
        <v>0</v>
      </c>
      <c r="E49" s="1">
        <v>0</v>
      </c>
      <c r="F49" s="1">
        <v>0</v>
      </c>
      <c r="G49" s="1">
        <v>0</v>
      </c>
      <c r="H49" s="1">
        <v>0</v>
      </c>
      <c r="I49" s="1">
        <v>0</v>
      </c>
      <c r="J49" s="1">
        <v>0</v>
      </c>
      <c r="K49" s="1"/>
      <c r="L49" s="1"/>
      <c r="M49" s="1">
        <v>0</v>
      </c>
      <c r="N49" s="1">
        <v>0</v>
      </c>
      <c r="O49" s="33"/>
    </row>
    <row r="50" spans="2:15">
      <c r="B50" s="14"/>
      <c r="C50" s="1"/>
      <c r="D50" s="1"/>
      <c r="E50" s="1"/>
      <c r="F50" s="1"/>
      <c r="G50" s="1"/>
      <c r="H50" s="1"/>
      <c r="I50" s="1"/>
      <c r="J50" s="1"/>
      <c r="K50" s="1"/>
      <c r="L50" s="1"/>
      <c r="M50" s="1"/>
      <c r="N50" s="1"/>
      <c r="O50" s="33"/>
    </row>
    <row r="51" spans="2:15">
      <c r="B51" s="14" t="s">
        <v>42</v>
      </c>
      <c r="C51" s="1"/>
      <c r="D51" s="1"/>
      <c r="E51" s="1"/>
      <c r="F51" s="1"/>
      <c r="G51" s="1"/>
      <c r="H51" s="1"/>
      <c r="I51" s="1"/>
      <c r="J51" s="1"/>
      <c r="K51" s="1"/>
      <c r="L51" s="1"/>
      <c r="M51" s="1"/>
      <c r="N51" s="1"/>
      <c r="O51" s="33"/>
    </row>
    <row r="52" spans="2:15">
      <c r="B52" s="14"/>
      <c r="C52" s="1" t="s">
        <v>43</v>
      </c>
      <c r="D52" s="1">
        <v>4093.2000000000003</v>
      </c>
      <c r="E52" s="1">
        <v>15160</v>
      </c>
      <c r="F52" s="1">
        <v>15160</v>
      </c>
      <c r="G52" s="1">
        <v>0</v>
      </c>
      <c r="H52" s="1">
        <v>2274</v>
      </c>
      <c r="I52" s="1">
        <v>2274</v>
      </c>
      <c r="J52" s="1">
        <v>0</v>
      </c>
      <c r="K52" s="1"/>
      <c r="L52" s="1">
        <v>6000</v>
      </c>
      <c r="M52" s="1">
        <v>189.5</v>
      </c>
      <c r="N52" s="1">
        <v>105.27777777777777</v>
      </c>
      <c r="O52" s="33"/>
    </row>
    <row r="53" spans="2:15">
      <c r="B53" s="16"/>
      <c r="C53" s="4"/>
      <c r="D53" s="4"/>
      <c r="E53" s="4"/>
      <c r="F53" s="4"/>
      <c r="G53" s="4"/>
      <c r="H53" s="4"/>
      <c r="I53" s="4"/>
      <c r="J53" s="4"/>
      <c r="K53" s="4"/>
      <c r="L53" s="4"/>
      <c r="M53" s="4"/>
      <c r="N53" s="4"/>
      <c r="O53" s="34"/>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I29" sqref="I29"/>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30">
        <v>7700</v>
      </c>
    </row>
    <row r="6" spans="2:5" ht="16" thickBot="1">
      <c r="C6" t="s">
        <v>3</v>
      </c>
      <c r="D6" t="s">
        <v>63</v>
      </c>
      <c r="E6" s="30">
        <v>6800</v>
      </c>
    </row>
    <row r="7" spans="2:5" ht="16" thickBot="1">
      <c r="C7" t="s">
        <v>4</v>
      </c>
      <c r="D7" t="s">
        <v>63</v>
      </c>
      <c r="E7" s="30">
        <v>7700</v>
      </c>
    </row>
    <row r="8" spans="2:5" ht="16" thickBot="1">
      <c r="C8" t="s">
        <v>7</v>
      </c>
      <c r="D8" t="s">
        <v>63</v>
      </c>
      <c r="E8" s="30">
        <v>4600</v>
      </c>
    </row>
    <row r="9" spans="2:5" ht="16" thickBot="1"/>
    <row r="10" spans="2:5" ht="16" thickBot="1">
      <c r="C10" t="s">
        <v>9</v>
      </c>
      <c r="D10" t="s">
        <v>63</v>
      </c>
      <c r="E10" s="30">
        <v>6400</v>
      </c>
    </row>
    <row r="11" spans="2:5" ht="16" thickBot="1"/>
    <row r="12" spans="2:5" ht="16" thickBot="1">
      <c r="C12" t="s">
        <v>11</v>
      </c>
      <c r="D12" t="s">
        <v>63</v>
      </c>
      <c r="E12" s="30">
        <v>500</v>
      </c>
    </row>
    <row r="13" spans="2:5" ht="16" thickBot="1">
      <c r="C13" t="s">
        <v>12</v>
      </c>
      <c r="D13" t="s">
        <v>63</v>
      </c>
      <c r="E13" s="30">
        <v>4200</v>
      </c>
    </row>
    <row r="14" spans="2:5" ht="16" thickBot="1">
      <c r="C14" t="s">
        <v>54</v>
      </c>
      <c r="D14" t="s">
        <v>63</v>
      </c>
      <c r="E14" s="30">
        <v>700</v>
      </c>
    </row>
    <row r="15" spans="2:5" ht="16" thickBot="1">
      <c r="C15" t="s">
        <v>14</v>
      </c>
      <c r="D15" t="s">
        <v>63</v>
      </c>
      <c r="E15" s="30">
        <v>700</v>
      </c>
    </row>
    <row r="16" spans="2:5" ht="16" thickBot="1"/>
    <row r="17" spans="3:5" ht="16" thickBot="1">
      <c r="C17" t="s">
        <v>15</v>
      </c>
      <c r="D17" t="s">
        <v>63</v>
      </c>
      <c r="E17" s="30">
        <v>3500</v>
      </c>
    </row>
    <row r="18" spans="3:5" ht="16" thickBot="1">
      <c r="C18" t="s">
        <v>16</v>
      </c>
      <c r="D18" t="s">
        <v>63</v>
      </c>
      <c r="E18" s="30">
        <v>3500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election activeCell="E14" sqref="E14"/>
    </sheetView>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6" customFormat="1" ht="30">
      <c r="B3" s="25" t="s">
        <v>116</v>
      </c>
      <c r="C3" s="25" t="s">
        <v>122</v>
      </c>
      <c r="D3" s="25" t="s">
        <v>123</v>
      </c>
      <c r="E3" s="25" t="s">
        <v>124</v>
      </c>
      <c r="F3" s="25" t="s">
        <v>61</v>
      </c>
    </row>
    <row r="4" spans="2:7">
      <c r="B4" t="s">
        <v>35</v>
      </c>
      <c r="C4" s="7">
        <f>processed_Platts!E19+processed_Platts!E26+processed_Platts!E16</f>
        <v>0</v>
      </c>
      <c r="D4" s="7">
        <f>CHP_dashboard!E5</f>
        <v>6000</v>
      </c>
      <c r="E4" s="7">
        <f>C4*D4</f>
        <v>0</v>
      </c>
      <c r="F4" s="60" t="e">
        <f>E4/$E$7</f>
        <v>#DIV/0!</v>
      </c>
      <c r="G4" s="11"/>
    </row>
    <row r="5" spans="2:7">
      <c r="B5" t="s">
        <v>36</v>
      </c>
      <c r="C5" s="7">
        <f>processed_Platts!E22</f>
        <v>0</v>
      </c>
      <c r="D5" s="7">
        <f>CHP_dashboard!E6</f>
        <v>6000</v>
      </c>
      <c r="E5" s="7">
        <f t="shared" ref="E5:E6" si="0">C5*D5</f>
        <v>0</v>
      </c>
      <c r="F5" s="60" t="e">
        <f t="shared" ref="F5:F6" si="1">E5/$E$7</f>
        <v>#DIV/0!</v>
      </c>
    </row>
    <row r="6" spans="2:7">
      <c r="B6" t="s">
        <v>64</v>
      </c>
      <c r="C6" s="7">
        <f>processed_Platts!E17</f>
        <v>0</v>
      </c>
      <c r="D6" s="7">
        <f>CHP_dashboard!E7</f>
        <v>6000</v>
      </c>
      <c r="E6" s="7">
        <f t="shared" si="0"/>
        <v>0</v>
      </c>
      <c r="F6" s="60" t="e">
        <f t="shared" si="1"/>
        <v>#DIV/0!</v>
      </c>
    </row>
    <row r="7" spans="2:7" ht="16" thickBot="1">
      <c r="B7" s="17" t="s">
        <v>108</v>
      </c>
      <c r="C7" s="23">
        <f>SUM(C4:C6)</f>
        <v>0</v>
      </c>
      <c r="D7" s="23"/>
      <c r="E7" s="23">
        <f>SUM(E4:E6)</f>
        <v>0</v>
      </c>
      <c r="F7" s="17"/>
    </row>
    <row r="8" spans="2:7" ht="16" thickTop="1"/>
    <row r="10" spans="2:7">
      <c r="B10" s="6" t="s">
        <v>65</v>
      </c>
    </row>
    <row r="11" spans="2:7">
      <c r="B11" s="13" t="s">
        <v>126</v>
      </c>
    </row>
    <row r="12" spans="2:7">
      <c r="B12" s="28" t="s">
        <v>66</v>
      </c>
      <c r="C12" s="28" t="s">
        <v>70</v>
      </c>
      <c r="D12" s="28" t="s">
        <v>71</v>
      </c>
      <c r="E12" s="28" t="s">
        <v>118</v>
      </c>
      <c r="F12" s="28"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31" t="s">
        <v>127</v>
      </c>
    </row>
    <row r="18" spans="2:6">
      <c r="B18" s="27" t="s">
        <v>66</v>
      </c>
      <c r="C18" s="27" t="s">
        <v>75</v>
      </c>
      <c r="D18" s="27" t="s">
        <v>74</v>
      </c>
      <c r="E18" s="27" t="s">
        <v>120</v>
      </c>
      <c r="F18" s="28"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workbookViewId="0">
      <selection activeCell="L38" sqref="D38:L38"/>
    </sheetView>
  </sheetViews>
  <sheetFormatPr baseColWidth="10" defaultRowHeight="15" x14ac:dyDescent="0"/>
  <cols>
    <col min="1" max="1" width="3.83203125" customWidth="1"/>
    <col min="2" max="6" width="10.83203125" customWidth="1"/>
  </cols>
  <sheetData>
    <row r="2" spans="2:14">
      <c r="B2" t="s">
        <v>142</v>
      </c>
    </row>
    <row r="3" spans="2:14">
      <c r="B3" s="8"/>
      <c r="C3" s="8"/>
      <c r="D3" s="36" t="s">
        <v>55</v>
      </c>
      <c r="E3" s="8" t="s">
        <v>57</v>
      </c>
      <c r="F3" s="8" t="s">
        <v>111</v>
      </c>
      <c r="G3" s="8" t="s">
        <v>58</v>
      </c>
      <c r="H3" s="8" t="s">
        <v>94</v>
      </c>
      <c r="I3" s="8" t="s">
        <v>95</v>
      </c>
      <c r="J3" s="8" t="s">
        <v>22</v>
      </c>
      <c r="K3" s="8" t="s">
        <v>105</v>
      </c>
      <c r="L3" s="8" t="s">
        <v>98</v>
      </c>
      <c r="M3" s="36" t="s">
        <v>108</v>
      </c>
    </row>
    <row r="4" spans="2:14" ht="16" thickBot="1">
      <c r="B4" s="23"/>
      <c r="C4" s="23" t="s">
        <v>110</v>
      </c>
      <c r="D4" s="37">
        <f>CHP_results_by_machine!M8+CHP_results_by_machine!M14+CHP_results_by_machine!M20+CHP_results_by_machine!M41+CHP_results_by_machine!M46+CHP_results_by_machine!M47+CHP_results_by_machine!M48</f>
        <v>104</v>
      </c>
      <c r="E4" s="23">
        <f>CHP_results_by_machine!M6+CHP_results_by_machine!M7+CHP_results_by_machine!M12+CHP_results_by_machine!M13+CHP_results_by_machine!M18+CHP_results_by_machine!M19+CHP_results_by_machine!M38+CHP_results_by_machine!M39+CHP_results_by_machine!M40+CHP_results_by_machine!M45</f>
        <v>3495.0636215699997</v>
      </c>
      <c r="F4" s="23"/>
      <c r="G4" s="23">
        <f>CHP_results_by_machine!M52</f>
        <v>189.5</v>
      </c>
      <c r="H4" s="38"/>
      <c r="I4" s="38"/>
      <c r="J4" s="38"/>
      <c r="K4" s="38"/>
      <c r="L4" s="38"/>
      <c r="M4" s="39">
        <f>SUM(D4:L4)</f>
        <v>3788.5636215699997</v>
      </c>
    </row>
    <row r="5" spans="2:14" ht="16" thickTop="1"/>
    <row r="7" spans="2:14">
      <c r="B7" t="s">
        <v>140</v>
      </c>
    </row>
    <row r="8" spans="2:14">
      <c r="B8" s="4"/>
      <c r="C8" s="4"/>
      <c r="D8" s="16" t="s">
        <v>55</v>
      </c>
      <c r="E8" s="4" t="s">
        <v>57</v>
      </c>
      <c r="F8" s="4" t="s">
        <v>111</v>
      </c>
      <c r="G8" s="4" t="s">
        <v>58</v>
      </c>
      <c r="H8" s="4" t="s">
        <v>94</v>
      </c>
      <c r="I8" s="4" t="s">
        <v>95</v>
      </c>
      <c r="J8" s="4" t="s">
        <v>22</v>
      </c>
      <c r="K8" s="4" t="s">
        <v>105</v>
      </c>
      <c r="L8" s="4" t="s">
        <v>98</v>
      </c>
      <c r="M8" s="16" t="s">
        <v>108</v>
      </c>
    </row>
    <row r="9" spans="2:14">
      <c r="B9" t="s">
        <v>59</v>
      </c>
      <c r="C9" t="s">
        <v>100</v>
      </c>
      <c r="D9" s="47" t="e">
        <f>processed_Platts!D16/SUM(processed_Platts!D$16:D$26)</f>
        <v>#DIV/0!</v>
      </c>
      <c r="E9" s="48" t="e">
        <f>processed_Platts!E16/SUM(processed_Platts!E$16:E$26)</f>
        <v>#DIV/0!</v>
      </c>
      <c r="F9" s="51"/>
      <c r="G9" s="48" t="e">
        <f>processed_Platts!G16/SUM(processed_Platts!G$16:G$26)</f>
        <v>#DIV/0!</v>
      </c>
      <c r="H9" s="40"/>
      <c r="I9" s="40"/>
      <c r="J9" s="40"/>
      <c r="K9" s="40"/>
      <c r="L9" s="41"/>
      <c r="M9" s="42"/>
      <c r="N9" s="2"/>
    </row>
    <row r="10" spans="2:14">
      <c r="C10" t="s">
        <v>69</v>
      </c>
      <c r="D10" s="49" t="e">
        <f>processed_Platts!D17/SUM(processed_Platts!D$16:D$26)</f>
        <v>#DIV/0!</v>
      </c>
      <c r="E10" s="3" t="e">
        <f>processed_Platts!E17/SUM(processed_Platts!E$16:E$26)</f>
        <v>#DIV/0!</v>
      </c>
      <c r="F10" s="52"/>
      <c r="G10" s="3" t="e">
        <f>processed_Platts!G17/SUM(processed_Platts!G$16:G$26)</f>
        <v>#DIV/0!</v>
      </c>
      <c r="H10" s="43"/>
      <c r="I10" s="43"/>
      <c r="J10" s="43"/>
      <c r="K10" s="43"/>
      <c r="L10" s="44"/>
      <c r="M10" s="42"/>
    </row>
    <row r="11" spans="2:14">
      <c r="D11" s="49"/>
      <c r="E11" s="3"/>
      <c r="F11" s="52"/>
      <c r="G11" s="3"/>
      <c r="H11" s="43"/>
      <c r="I11" s="43"/>
      <c r="J11" s="43"/>
      <c r="K11" s="43"/>
      <c r="L11" s="44"/>
      <c r="M11" s="42"/>
    </row>
    <row r="12" spans="2:14">
      <c r="C12" t="s">
        <v>102</v>
      </c>
      <c r="D12" s="49" t="e">
        <f>processed_Platts!D19/SUM(processed_Platts!D$16:D$26)</f>
        <v>#DIV/0!</v>
      </c>
      <c r="E12" s="3" t="e">
        <f>processed_Platts!E19/SUM(processed_Platts!E$16:E$26)</f>
        <v>#DIV/0!</v>
      </c>
      <c r="F12" s="52"/>
      <c r="G12" s="3" t="e">
        <f>processed_Platts!G19/SUM(processed_Platts!G$16:G$26)</f>
        <v>#DIV/0!</v>
      </c>
      <c r="H12" s="43"/>
      <c r="I12" s="43"/>
      <c r="J12" s="43"/>
      <c r="K12" s="43"/>
      <c r="L12" s="44"/>
      <c r="M12" s="42"/>
    </row>
    <row r="13" spans="2:14">
      <c r="C13" t="s">
        <v>103</v>
      </c>
      <c r="D13" s="49" t="e">
        <f>processed_Platts!D20/SUM(processed_Platts!D$16:D$26)</f>
        <v>#DIV/0!</v>
      </c>
      <c r="E13" s="3" t="e">
        <f>processed_Platts!E20/SUM(processed_Platts!E$16:E$26)</f>
        <v>#DIV/0!</v>
      </c>
      <c r="F13" s="52"/>
      <c r="G13" s="3" t="e">
        <f>processed_Platts!G20/SUM(processed_Platts!G$16:G$26)</f>
        <v>#DIV/0!</v>
      </c>
      <c r="H13" s="43"/>
      <c r="I13" s="43"/>
      <c r="J13" s="43"/>
      <c r="K13" s="43"/>
      <c r="L13" s="44"/>
      <c r="M13" s="42"/>
    </row>
    <row r="14" spans="2:14">
      <c r="D14" s="49"/>
      <c r="E14" s="3"/>
      <c r="F14" s="52"/>
      <c r="G14" s="3"/>
      <c r="H14" s="43"/>
      <c r="I14" s="43"/>
      <c r="J14" s="43"/>
      <c r="K14" s="43"/>
      <c r="L14" s="44"/>
      <c r="M14" s="42"/>
    </row>
    <row r="15" spans="2:14">
      <c r="C15" t="s">
        <v>68</v>
      </c>
      <c r="D15" s="49" t="e">
        <f>processed_Platts!D22/SUM(processed_Platts!D$16:D$26)</f>
        <v>#DIV/0!</v>
      </c>
      <c r="E15" s="3" t="e">
        <f>processed_Platts!E22/SUM(processed_Platts!E$16:E$26)</f>
        <v>#DIV/0!</v>
      </c>
      <c r="F15" s="52"/>
      <c r="G15" s="3" t="e">
        <f>processed_Platts!G22/SUM(processed_Platts!G$16:G$26)</f>
        <v>#DIV/0!</v>
      </c>
      <c r="H15" s="43"/>
      <c r="I15" s="43"/>
      <c r="J15" s="43"/>
      <c r="K15" s="43"/>
      <c r="L15" s="44"/>
      <c r="M15" s="42"/>
    </row>
    <row r="16" spans="2:14">
      <c r="D16" s="49"/>
      <c r="E16" s="3"/>
      <c r="F16" s="52"/>
      <c r="G16" s="3"/>
      <c r="H16" s="43"/>
      <c r="I16" s="43"/>
      <c r="J16" s="43"/>
      <c r="K16" s="43"/>
      <c r="L16" s="44"/>
      <c r="M16" s="42"/>
    </row>
    <row r="17" spans="2:13">
      <c r="D17" s="49"/>
      <c r="E17" s="3"/>
      <c r="F17" s="52"/>
      <c r="G17" s="3"/>
      <c r="H17" s="43"/>
      <c r="I17" s="43"/>
      <c r="J17" s="43"/>
      <c r="K17" s="43"/>
      <c r="L17" s="44"/>
      <c r="M17" s="42"/>
    </row>
    <row r="18" spans="2:13">
      <c r="D18" s="49"/>
      <c r="E18" s="3"/>
      <c r="F18" s="52"/>
      <c r="G18" s="3"/>
      <c r="H18" s="43"/>
      <c r="I18" s="43"/>
      <c r="J18" s="43"/>
      <c r="K18" s="43"/>
      <c r="L18" s="44"/>
      <c r="M18" s="42"/>
    </row>
    <row r="19" spans="2:13">
      <c r="C19" t="s">
        <v>72</v>
      </c>
      <c r="D19" s="49" t="e">
        <f>processed_Platts!D26/SUM(processed_Platts!D$16:D$26)</f>
        <v>#DIV/0!</v>
      </c>
      <c r="E19" s="3" t="e">
        <f>processed_Platts!E26/SUM(processed_Platts!E$16:E$26)</f>
        <v>#DIV/0!</v>
      </c>
      <c r="F19" s="52"/>
      <c r="G19" s="3" t="e">
        <f>processed_Platts!G26/SUM(processed_Platts!G$16:G$26)</f>
        <v>#DIV/0!</v>
      </c>
      <c r="H19" s="43"/>
      <c r="I19" s="43"/>
      <c r="J19" s="43"/>
      <c r="K19" s="43"/>
      <c r="L19" s="44"/>
      <c r="M19" s="42"/>
    </row>
    <row r="20" spans="2:13">
      <c r="D20" s="49"/>
      <c r="E20" s="3"/>
      <c r="F20" s="52"/>
      <c r="G20" s="3"/>
      <c r="H20" s="43"/>
      <c r="I20" s="43"/>
      <c r="J20" s="43"/>
      <c r="K20" s="43"/>
      <c r="L20" s="43"/>
      <c r="M20" s="45"/>
    </row>
    <row r="21" spans="2:13" ht="16" thickBot="1">
      <c r="B21" s="17"/>
      <c r="C21" s="17" t="s">
        <v>110</v>
      </c>
      <c r="D21" s="50" t="e">
        <f>SUM(D9:D19)</f>
        <v>#DIV/0!</v>
      </c>
      <c r="E21" s="24" t="e">
        <f>SUM(E9:E19)</f>
        <v>#DIV/0!</v>
      </c>
      <c r="F21" s="53"/>
      <c r="G21" s="24" t="e">
        <f>SUM(G9:G19)</f>
        <v>#DIV/0!</v>
      </c>
      <c r="H21" s="35"/>
      <c r="I21" s="35"/>
      <c r="J21" s="35"/>
      <c r="K21" s="35"/>
      <c r="L21" s="35"/>
      <c r="M21" s="46"/>
    </row>
    <row r="22" spans="2:13" ht="16" thickTop="1">
      <c r="D22" s="14"/>
      <c r="M22" s="14"/>
    </row>
    <row r="24" spans="2:13">
      <c r="B24" t="s">
        <v>141</v>
      </c>
    </row>
    <row r="25" spans="2:13">
      <c r="B25" s="8"/>
      <c r="C25" s="8"/>
      <c r="D25" s="36" t="s">
        <v>55</v>
      </c>
      <c r="E25" s="8" t="s">
        <v>57</v>
      </c>
      <c r="F25" s="8" t="s">
        <v>111</v>
      </c>
      <c r="G25" s="8" t="s">
        <v>58</v>
      </c>
      <c r="H25" s="8" t="s">
        <v>94</v>
      </c>
      <c r="I25" s="8" t="s">
        <v>95</v>
      </c>
      <c r="J25" s="8" t="s">
        <v>22</v>
      </c>
      <c r="K25" s="8" t="s">
        <v>105</v>
      </c>
      <c r="L25" s="8" t="s">
        <v>98</v>
      </c>
      <c r="M25" s="36" t="s">
        <v>108</v>
      </c>
    </row>
    <row r="26" spans="2:13">
      <c r="B26" s="7" t="s">
        <v>107</v>
      </c>
      <c r="C26" s="7" t="s">
        <v>100</v>
      </c>
      <c r="D26" s="54"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5" t="e">
        <f t="shared" ref="M26:M37" si="0">SUM(D26:L26)</f>
        <v>#DIV/0!</v>
      </c>
    </row>
    <row r="27" spans="2:13">
      <c r="B27" s="7"/>
      <c r="C27" s="7" t="s">
        <v>69</v>
      </c>
      <c r="D27" s="54"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5" t="e">
        <f t="shared" si="0"/>
        <v>#DIV/0!</v>
      </c>
    </row>
    <row r="28" spans="2:13">
      <c r="B28" s="7"/>
      <c r="C28" s="7" t="s">
        <v>101</v>
      </c>
      <c r="D28" s="54">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5">
        <f t="shared" si="0"/>
        <v>0</v>
      </c>
    </row>
    <row r="29" spans="2:13">
      <c r="B29" s="7"/>
      <c r="C29" s="7" t="s">
        <v>102</v>
      </c>
      <c r="D29" s="54"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5" t="e">
        <f t="shared" si="0"/>
        <v>#DIV/0!</v>
      </c>
    </row>
    <row r="30" spans="2:13">
      <c r="B30" s="7"/>
      <c r="C30" s="7" t="s">
        <v>103</v>
      </c>
      <c r="D30" s="54"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5" t="e">
        <f t="shared" si="0"/>
        <v>#DIV/0!</v>
      </c>
    </row>
    <row r="31" spans="2:13">
      <c r="B31" s="7"/>
      <c r="C31" s="7" t="s">
        <v>95</v>
      </c>
      <c r="D31" s="54">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5">
        <f t="shared" si="0"/>
        <v>0</v>
      </c>
    </row>
    <row r="32" spans="2:13">
      <c r="B32" s="7"/>
      <c r="C32" s="7" t="s">
        <v>68</v>
      </c>
      <c r="D32" s="54"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5" t="e">
        <f t="shared" si="0"/>
        <v>#DIV/0!</v>
      </c>
    </row>
    <row r="33" spans="2:13">
      <c r="B33" s="7"/>
      <c r="C33" s="7" t="s">
        <v>94</v>
      </c>
      <c r="D33" s="54">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5">
        <f t="shared" si="0"/>
        <v>0</v>
      </c>
    </row>
    <row r="34" spans="2:13">
      <c r="B34" s="7"/>
      <c r="C34" s="7" t="s">
        <v>104</v>
      </c>
      <c r="D34" s="54">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5">
        <f t="shared" si="0"/>
        <v>0</v>
      </c>
    </row>
    <row r="35" spans="2:13">
      <c r="B35" s="7"/>
      <c r="C35" s="7" t="s">
        <v>105</v>
      </c>
      <c r="D35" s="54">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5">
        <f t="shared" si="0"/>
        <v>0</v>
      </c>
    </row>
    <row r="36" spans="2:13">
      <c r="B36" s="7"/>
      <c r="C36" s="7" t="s">
        <v>72</v>
      </c>
      <c r="D36" s="54"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5" t="e">
        <f t="shared" si="0"/>
        <v>#DIV/0!</v>
      </c>
    </row>
    <row r="37" spans="2:13">
      <c r="B37" s="8"/>
      <c r="C37" s="8" t="s">
        <v>106</v>
      </c>
      <c r="D37" s="36">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6">
        <f t="shared" si="0"/>
        <v>0</v>
      </c>
    </row>
    <row r="38" spans="2:13" ht="16" thickBot="1">
      <c r="B38" s="23"/>
      <c r="C38" s="23" t="s">
        <v>109</v>
      </c>
      <c r="D38" s="57" t="e">
        <f>SUM(D26:D37)</f>
        <v>#DIV/0!</v>
      </c>
      <c r="E38" s="58" t="e">
        <f t="shared" ref="E38:L38" si="1">SUM(E26:E37)</f>
        <v>#DIV/0!</v>
      </c>
      <c r="F38" s="58">
        <f t="shared" si="1"/>
        <v>0</v>
      </c>
      <c r="G38" s="58" t="e">
        <f t="shared" si="1"/>
        <v>#DIV/0!</v>
      </c>
      <c r="H38" s="58">
        <f t="shared" si="1"/>
        <v>0</v>
      </c>
      <c r="I38" s="58">
        <f t="shared" si="1"/>
        <v>0</v>
      </c>
      <c r="J38" s="58">
        <f t="shared" si="1"/>
        <v>0</v>
      </c>
      <c r="K38" s="58">
        <f t="shared" si="1"/>
        <v>0</v>
      </c>
      <c r="L38" s="58">
        <f t="shared" si="1"/>
        <v>0</v>
      </c>
      <c r="M38" s="37"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workbookViewId="0">
      <selection activeCell="F17" sqref="F17"/>
    </sheetView>
  </sheetViews>
  <sheetFormatPr baseColWidth="10" defaultRowHeight="15" x14ac:dyDescent="0"/>
  <cols>
    <col min="1" max="1" width="3.83203125" customWidth="1"/>
    <col min="2" max="2" width="20.83203125" customWidth="1"/>
    <col min="5" max="5" width="11.33203125" style="7" bestFit="1" customWidth="1"/>
    <col min="6" max="6" width="10.83203125" style="62"/>
  </cols>
  <sheetData>
    <row r="3" spans="2:6" ht="60">
      <c r="C3" s="25" t="s">
        <v>122</v>
      </c>
      <c r="D3" s="25" t="s">
        <v>123</v>
      </c>
      <c r="E3" s="59" t="s">
        <v>124</v>
      </c>
      <c r="F3" s="61" t="s">
        <v>61</v>
      </c>
    </row>
    <row r="4" spans="2:6">
      <c r="B4" s="5" t="s">
        <v>45</v>
      </c>
    </row>
    <row r="5" spans="2:6">
      <c r="B5" s="1" t="s">
        <v>6</v>
      </c>
      <c r="C5" s="12" t="s">
        <v>44</v>
      </c>
      <c r="D5">
        <f>PHP_dashboard!E5</f>
        <v>7700</v>
      </c>
    </row>
    <row r="6" spans="2:6">
      <c r="B6" s="1" t="s">
        <v>3</v>
      </c>
      <c r="C6" s="7" t="e">
        <f>'Step 2'!D29+'Step 2'!D32+'Step 2'!D36</f>
        <v>#DIV/0!</v>
      </c>
      <c r="D6">
        <f>PHP_dashboard!E6</f>
        <v>6800</v>
      </c>
      <c r="E6" s="7" t="e">
        <f>C6*D6</f>
        <v>#DIV/0!</v>
      </c>
      <c r="F6" s="62" t="e">
        <f>E6/SUM(E$5:E$13)</f>
        <v>#DIV/0!</v>
      </c>
    </row>
    <row r="7" spans="2:6">
      <c r="B7" s="1" t="s">
        <v>4</v>
      </c>
      <c r="C7" s="12" t="s">
        <v>44</v>
      </c>
      <c r="D7">
        <f>PHP_dashboard!E7</f>
        <v>7700</v>
      </c>
    </row>
    <row r="8" spans="2:6">
      <c r="B8" s="1" t="s">
        <v>5</v>
      </c>
      <c r="C8" s="12" t="s">
        <v>44</v>
      </c>
    </row>
    <row r="9" spans="2:6">
      <c r="B9" s="1" t="s">
        <v>7</v>
      </c>
      <c r="C9" s="7" t="e">
        <f>'Step 2'!D27</f>
        <v>#DIV/0!</v>
      </c>
      <c r="D9">
        <f>PHP_dashboard!E8</f>
        <v>4600</v>
      </c>
      <c r="E9" s="7" t="e">
        <f>C9*D9</f>
        <v>#DIV/0!</v>
      </c>
      <c r="F9" s="62"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500</v>
      </c>
      <c r="E16" s="7" t="e">
        <f>C16*D16</f>
        <v>#DIV/0!</v>
      </c>
      <c r="F16" s="62" t="e">
        <f>E16/SUM(E$16:E$20)</f>
        <v>#DIV/0!</v>
      </c>
    </row>
    <row r="17" spans="2:6">
      <c r="B17" s="1" t="s">
        <v>12</v>
      </c>
      <c r="C17" s="7" t="e">
        <f>'Step 2'!E27</f>
        <v>#DIV/0!</v>
      </c>
      <c r="D17">
        <f>PHP_dashboard!E13</f>
        <v>4200</v>
      </c>
      <c r="E17" s="7" t="e">
        <f>C17*D17</f>
        <v>#DIV/0!</v>
      </c>
      <c r="F17" s="62" t="e">
        <f>E17/SUM(E$16:E$20)</f>
        <v>#DIV/0!</v>
      </c>
    </row>
    <row r="18" spans="2:6">
      <c r="B18" s="1" t="s">
        <v>13</v>
      </c>
      <c r="C18" s="12" t="s">
        <v>44</v>
      </c>
    </row>
    <row r="19" spans="2:6">
      <c r="B19" s="2" t="s">
        <v>54</v>
      </c>
      <c r="C19" s="7" t="e">
        <f>'Step 2'!E32</f>
        <v>#DIV/0!</v>
      </c>
      <c r="D19">
        <f>PHP_dashboard!E14</f>
        <v>700</v>
      </c>
      <c r="E19" s="7" t="e">
        <f>C19*D19</f>
        <v>#DIV/0!</v>
      </c>
      <c r="F19" s="62" t="e">
        <f>E19/SUM(E$16:E$20)</f>
        <v>#DIV/0!</v>
      </c>
    </row>
    <row r="20" spans="2:6">
      <c r="B20" s="1" t="s">
        <v>14</v>
      </c>
      <c r="C20" s="7" t="e">
        <f>'Step 2'!E36</f>
        <v>#DIV/0!</v>
      </c>
      <c r="D20">
        <f>PHP_dashboard!E15</f>
        <v>700</v>
      </c>
      <c r="E20" s="7" t="e">
        <f>C20*D20</f>
        <v>#DIV/0!</v>
      </c>
      <c r="F20" s="62" t="e">
        <f>E20/SUM(E$16:E$20)</f>
        <v>#DIV/0!</v>
      </c>
    </row>
    <row r="21" spans="2:6">
      <c r="B21" s="1"/>
    </row>
    <row r="22" spans="2:6">
      <c r="B22" s="5" t="s">
        <v>48</v>
      </c>
    </row>
    <row r="23" spans="2:6">
      <c r="B23" s="1" t="s">
        <v>15</v>
      </c>
      <c r="C23" s="7">
        <f>'Step 2'!F26+'Step 2'!F27+'Step 2'!F29+'Step 2'!F36</f>
        <v>0</v>
      </c>
      <c r="D23">
        <f>PHP_dashboard!E17</f>
        <v>3500</v>
      </c>
      <c r="E23" s="7">
        <f>C23*D23</f>
        <v>0</v>
      </c>
    </row>
    <row r="24" spans="2:6">
      <c r="B24" s="1" t="s">
        <v>16</v>
      </c>
      <c r="C24" s="7">
        <f>'Step 2'!F32</f>
        <v>0</v>
      </c>
      <c r="D24">
        <f>PHP_dashboard!E18</f>
        <v>3500</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2014-07-08T09:48:31Z</dcterms:modified>
</cp:coreProperties>
</file>