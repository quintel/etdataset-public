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835" activeTab="2"/>
  </bookViews>
  <sheets>
    <sheet name="Cover Sheet" sheetId="34" r:id="rId1"/>
    <sheet name="Changelog" sheetId="1" r:id="rId2"/>
    <sheet name="Dashboard" sheetId="28" r:id="rId3"/>
    <sheet name="Odyssee" sheetId="67" r:id="rId4"/>
    <sheet name="Calculations" sheetId="75" r:id="rId5"/>
  </sheets>
  <definedNames>
    <definedName name="base_year">Dashboard!#REF!</definedName>
    <definedName name="country">Dashboard!$E$9</definedName>
    <definedName name="Mtoe_to_TJ">Calculations!$C$10</definedName>
    <definedName name="year">Dashboard!$E$10</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D9" i="67" l="1"/>
  <c r="D88" i="67"/>
  <c r="E20" i="75"/>
  <c r="E19" i="75"/>
  <c r="D93" i="67"/>
  <c r="E23" i="75"/>
  <c r="D97" i="67"/>
  <c r="E24" i="75"/>
  <c r="E22" i="75"/>
  <c r="E17" i="28"/>
  <c r="G17" i="28"/>
  <c r="D87" i="67"/>
  <c r="D20" i="75"/>
  <c r="D91" i="67"/>
  <c r="D21" i="75"/>
  <c r="D19" i="75"/>
  <c r="D92" i="67"/>
  <c r="D23" i="75"/>
  <c r="D96" i="67"/>
  <c r="D24" i="75"/>
  <c r="D22" i="75"/>
  <c r="E14" i="28"/>
  <c r="G14" i="28"/>
  <c r="C8" i="34"/>
  <c r="D54" i="67"/>
  <c r="D15" i="75"/>
  <c r="D31" i="75"/>
  <c r="E18" i="75"/>
  <c r="E34" i="75"/>
  <c r="D61" i="67"/>
  <c r="L15" i="75"/>
  <c r="L31" i="75"/>
  <c r="D62" i="67"/>
  <c r="L16" i="75"/>
  <c r="L32" i="75"/>
  <c r="D18" i="75"/>
  <c r="D34" i="75"/>
  <c r="D89" i="67"/>
  <c r="F20" i="75"/>
  <c r="F19" i="75"/>
  <c r="D94" i="67"/>
  <c r="F23" i="75"/>
  <c r="F22" i="75"/>
  <c r="F18" i="75"/>
  <c r="F34" i="75"/>
  <c r="G19" i="75"/>
  <c r="G22" i="75"/>
  <c r="G18" i="75"/>
  <c r="G34" i="75"/>
  <c r="H19" i="75"/>
  <c r="H22" i="75"/>
  <c r="H18" i="75"/>
  <c r="H34" i="75"/>
  <c r="D68" i="67"/>
  <c r="I20" i="75"/>
  <c r="I19" i="75"/>
  <c r="D73" i="67"/>
  <c r="I24" i="75"/>
  <c r="I22" i="75"/>
  <c r="I18" i="75"/>
  <c r="I34" i="75"/>
  <c r="J19" i="75"/>
  <c r="J22" i="75"/>
  <c r="J18" i="75"/>
  <c r="J34" i="75"/>
  <c r="D90" i="67"/>
  <c r="L20" i="75"/>
  <c r="L21" i="75"/>
  <c r="L19" i="75"/>
  <c r="D95" i="67"/>
  <c r="L23" i="75"/>
  <c r="D98" i="67"/>
  <c r="L24" i="75"/>
  <c r="L22" i="75"/>
  <c r="L18" i="75"/>
  <c r="K18" i="75"/>
  <c r="K34" i="75"/>
  <c r="L34" i="75"/>
  <c r="D106" i="67"/>
  <c r="E25" i="75"/>
  <c r="E41" i="75"/>
  <c r="D111" i="67"/>
  <c r="J25" i="75"/>
  <c r="J41" i="75"/>
  <c r="D108" i="67"/>
  <c r="L25" i="75"/>
  <c r="D107" i="67"/>
  <c r="H25" i="75"/>
  <c r="K25" i="75"/>
  <c r="K41" i="75"/>
  <c r="L41" i="75"/>
  <c r="D115" i="67"/>
  <c r="E26" i="75"/>
  <c r="E42" i="75"/>
  <c r="D117" i="67"/>
  <c r="L26" i="75"/>
  <c r="D114" i="67"/>
  <c r="D26" i="75"/>
  <c r="D116" i="67"/>
  <c r="H26" i="75"/>
  <c r="K26" i="75"/>
  <c r="K42" i="75"/>
  <c r="L42" i="75"/>
  <c r="D113" i="67"/>
  <c r="G27" i="75"/>
  <c r="G43" i="75"/>
  <c r="L27" i="75"/>
  <c r="K27" i="75"/>
  <c r="K43" i="75"/>
  <c r="L43" i="75"/>
  <c r="D55" i="67"/>
  <c r="E15" i="75"/>
  <c r="E31" i="75"/>
  <c r="D56" i="67"/>
  <c r="F15" i="75"/>
  <c r="F31" i="75"/>
  <c r="D57" i="67"/>
  <c r="G15" i="75"/>
  <c r="G31" i="75"/>
  <c r="D59" i="67"/>
  <c r="I15" i="75"/>
  <c r="I31" i="75"/>
  <c r="D60" i="67"/>
  <c r="J15" i="75"/>
  <c r="J31" i="75"/>
  <c r="D58" i="67"/>
  <c r="H15" i="75"/>
  <c r="K15" i="75"/>
  <c r="K31" i="75"/>
  <c r="L35" i="75"/>
  <c r="L36" i="75"/>
  <c r="L37" i="75"/>
  <c r="L38" i="75"/>
  <c r="L39" i="75"/>
  <c r="L40" i="75"/>
  <c r="K24" i="75"/>
  <c r="K40" i="75"/>
  <c r="I40" i="75"/>
  <c r="E40" i="75"/>
  <c r="D40" i="75"/>
  <c r="K23" i="75"/>
  <c r="K39" i="75"/>
  <c r="F39" i="75"/>
  <c r="E39" i="75"/>
  <c r="D39" i="75"/>
  <c r="K22" i="75"/>
  <c r="K38" i="75"/>
  <c r="J38" i="75"/>
  <c r="I38" i="75"/>
  <c r="H38" i="75"/>
  <c r="G38" i="75"/>
  <c r="F38" i="75"/>
  <c r="E38" i="75"/>
  <c r="D38" i="75"/>
  <c r="K21" i="75"/>
  <c r="K37" i="75"/>
  <c r="D37" i="75"/>
  <c r="K20" i="75"/>
  <c r="K36" i="75"/>
  <c r="I36" i="75"/>
  <c r="F36" i="75"/>
  <c r="E36" i="75"/>
  <c r="D36" i="75"/>
  <c r="K19" i="75"/>
  <c r="K35" i="75"/>
  <c r="J35" i="75"/>
  <c r="I35" i="75"/>
  <c r="H35" i="75"/>
  <c r="G35" i="75"/>
  <c r="F35" i="75"/>
  <c r="E35" i="75"/>
  <c r="D35" i="75"/>
  <c r="C5" i="34"/>
  <c r="D11" i="67"/>
  <c r="D12" i="67"/>
  <c r="D13" i="67"/>
  <c r="D14" i="67"/>
  <c r="D15" i="67"/>
  <c r="D16" i="67"/>
  <c r="D17" i="67"/>
  <c r="D18" i="67"/>
  <c r="D19" i="67"/>
  <c r="D20" i="67"/>
  <c r="D21" i="67"/>
  <c r="D22" i="67"/>
  <c r="D23" i="67"/>
  <c r="D24" i="67"/>
  <c r="D25" i="67"/>
  <c r="D26" i="67"/>
  <c r="D27" i="67"/>
  <c r="D28" i="67"/>
  <c r="D29" i="67"/>
  <c r="D30" i="67"/>
  <c r="D31" i="67"/>
  <c r="D32" i="67"/>
  <c r="D33" i="67"/>
  <c r="D34" i="67"/>
  <c r="D35" i="67"/>
  <c r="D36" i="67"/>
  <c r="D37" i="67"/>
  <c r="D38" i="67"/>
  <c r="D39" i="67"/>
  <c r="D40" i="67"/>
  <c r="D41" i="67"/>
  <c r="D42" i="67"/>
  <c r="D43" i="67"/>
  <c r="D44" i="67"/>
  <c r="D45" i="67"/>
  <c r="D46" i="67"/>
  <c r="D47" i="67"/>
  <c r="D48" i="67"/>
  <c r="D49" i="67"/>
  <c r="D50" i="67"/>
  <c r="D51" i="67"/>
  <c r="D52" i="67"/>
  <c r="D53" i="67"/>
  <c r="D63" i="67"/>
  <c r="D64" i="67"/>
  <c r="D65" i="67"/>
  <c r="D66" i="67"/>
  <c r="D67" i="67"/>
  <c r="D69" i="67"/>
  <c r="D70" i="67"/>
  <c r="D71" i="67"/>
  <c r="D72" i="67"/>
  <c r="D74" i="67"/>
  <c r="D75" i="67"/>
  <c r="D76" i="67"/>
  <c r="D77" i="67"/>
  <c r="D78" i="67"/>
  <c r="D79" i="67"/>
  <c r="D80" i="67"/>
  <c r="D81" i="67"/>
  <c r="D82" i="67"/>
  <c r="D83" i="67"/>
  <c r="D84" i="67"/>
  <c r="D85" i="67"/>
  <c r="D86" i="67"/>
  <c r="D99" i="67"/>
  <c r="D100" i="67"/>
  <c r="D101" i="67"/>
  <c r="D102" i="67"/>
  <c r="D103" i="67"/>
  <c r="D104" i="67"/>
  <c r="D105" i="67"/>
  <c r="D109" i="67"/>
  <c r="D110" i="67"/>
  <c r="D112" i="67"/>
  <c r="D10" i="67"/>
  <c r="E18" i="28"/>
  <c r="E15" i="28"/>
</calcChain>
</file>

<file path=xl/sharedStrings.xml><?xml version="1.0" encoding="utf-8"?>
<sst xmlns="http://schemas.openxmlformats.org/spreadsheetml/2006/main" count="418" uniqueCount="207">
  <si>
    <t>Changelog</t>
  </si>
  <si>
    <t>Document</t>
  </si>
  <si>
    <t>Version #</t>
  </si>
  <si>
    <t>Date</t>
  </si>
  <si>
    <t>Author</t>
  </si>
  <si>
    <t>Quintel Intelligence</t>
  </si>
  <si>
    <t>Changes</t>
  </si>
  <si>
    <t>Version</t>
  </si>
  <si>
    <t>Legend</t>
  </si>
  <si>
    <t>Cells</t>
  </si>
  <si>
    <t>Intermediate (calculation)</t>
  </si>
  <si>
    <t>Result</t>
  </si>
  <si>
    <t>Manual input</t>
  </si>
  <si>
    <t>Reference to manual input or data input</t>
  </si>
  <si>
    <t>Results</t>
  </si>
  <si>
    <t>Additional calculations</t>
  </si>
  <si>
    <t>Research data</t>
  </si>
  <si>
    <t>Output to csv</t>
  </si>
  <si>
    <t>Comments</t>
  </si>
  <si>
    <t>Organization</t>
  </si>
  <si>
    <t>Dashboard</t>
  </si>
  <si>
    <t>Fuel oil</t>
  </si>
  <si>
    <t>Notes</t>
  </si>
  <si>
    <t>Unit</t>
  </si>
  <si>
    <t>Total</t>
  </si>
  <si>
    <t>Electricity</t>
  </si>
  <si>
    <t>Domestic aviation</t>
  </si>
  <si>
    <t>Domestic navigation</t>
  </si>
  <si>
    <t>Cover Sheet</t>
  </si>
  <si>
    <t>Introductory</t>
  </si>
  <si>
    <t>Main calculations</t>
  </si>
  <si>
    <t>Wouter Terlouw</t>
  </si>
  <si>
    <t>Country</t>
  </si>
  <si>
    <t>Year data</t>
  </si>
  <si>
    <t>Sheets</t>
  </si>
  <si>
    <t>Share</t>
  </si>
  <si>
    <t>Transport source analysis</t>
  </si>
  <si>
    <t>Mtoe</t>
  </si>
  <si>
    <t>Stock of cars</t>
  </si>
  <si>
    <t>M</t>
  </si>
  <si>
    <t>Stock of gasoline cars</t>
  </si>
  <si>
    <t>Stock of diesel cars</t>
  </si>
  <si>
    <t>Stock of LPG cars</t>
  </si>
  <si>
    <t>Stock of electric cars</t>
  </si>
  <si>
    <t>Stock of flex or hybrid cars</t>
  </si>
  <si>
    <t>Stock of buses</t>
  </si>
  <si>
    <t>Stock of gasoline buses</t>
  </si>
  <si>
    <t>Stock of diesel buses</t>
  </si>
  <si>
    <t>Stock of LPG bus</t>
  </si>
  <si>
    <t>Stock of electric buses</t>
  </si>
  <si>
    <t>Stock of trucks and light vehicles</t>
  </si>
  <si>
    <t>Stock of gasoline trucks and light vehicles</t>
  </si>
  <si>
    <t>Stock of diesel trucks and light vehicles</t>
  </si>
  <si>
    <t>Stock of light vehicles &amp;lt;3t load capacity</t>
  </si>
  <si>
    <t>Stock of gasoline light vehicles &amp;lt;3t load capacity</t>
  </si>
  <si>
    <t>Stock of diesel light vehicles &amp;lt;3t load capacity</t>
  </si>
  <si>
    <t>Stock of LPG light vehicles &amp;lt;3t load capacity</t>
  </si>
  <si>
    <t>Stock of electric light vehicles &amp;lt;3t load capacity</t>
  </si>
  <si>
    <t>Stock of motocycles</t>
  </si>
  <si>
    <t>Annual distance travelled by cars</t>
  </si>
  <si>
    <t>km</t>
  </si>
  <si>
    <t>Annual distance travelled by gasoline cars</t>
  </si>
  <si>
    <t>Annual distance travelled by diesel cars</t>
  </si>
  <si>
    <t>Annual distance travelled by trucks</t>
  </si>
  <si>
    <t>Annual distance travelled by bus</t>
  </si>
  <si>
    <t>Annual distance travelled by light vehicles</t>
  </si>
  <si>
    <t>Annual distance travelled by motorbikes</t>
  </si>
  <si>
    <t>Total passenger trafic</t>
  </si>
  <si>
    <t>Gpkm</t>
  </si>
  <si>
    <t>Total passenger trafic except air</t>
  </si>
  <si>
    <t>Road passenger traffic</t>
  </si>
  <si>
    <t>Car traffic</t>
  </si>
  <si>
    <t>Road traffic for public modes in pass-km</t>
  </si>
  <si>
    <t>Total rail passenger traffic in passenger-km (train, tram and metro)</t>
  </si>
  <si>
    <t>Train  passenger traffic in passenger-km</t>
  </si>
  <si>
    <t>Metro, tram passenger traffic in passenger-km</t>
  </si>
  <si>
    <t>Domestic air traffic (passenger-km)</t>
  </si>
  <si>
    <t>Air passenger traffic (domestic and international)</t>
  </si>
  <si>
    <t>k</t>
  </si>
  <si>
    <t>Share of public transport in total land passenger traffic</t>
  </si>
  <si>
    <t>%</t>
  </si>
  <si>
    <t>Trafic of goods</t>
  </si>
  <si>
    <t>Gtkm</t>
  </si>
  <si>
    <t>Road goods traffic</t>
  </si>
  <si>
    <t>Rail goods traffic</t>
  </si>
  <si>
    <t>Inland waterways goods traffic</t>
  </si>
  <si>
    <t>Share of rail and inland waterways freight transport in total freight transport</t>
  </si>
  <si>
    <t>Oil products consumption of transport</t>
  </si>
  <si>
    <t>Gasoline consumption of transport</t>
  </si>
  <si>
    <t>Diesel consumption of transport</t>
  </si>
  <si>
    <t>LPG consumption of transport</t>
  </si>
  <si>
    <t>Jet fuel consumption of transport</t>
  </si>
  <si>
    <t>Fuel oil consumption of transport</t>
  </si>
  <si>
    <t>Biofuel consumption of transport</t>
  </si>
  <si>
    <t>Electricity consumption of transport</t>
  </si>
  <si>
    <t>Total consumption of transport</t>
  </si>
  <si>
    <t>Domestic consumption of transport</t>
  </si>
  <si>
    <t>Gasoline consumption of passenger transport</t>
  </si>
  <si>
    <t>Diesel consumption of passenger transport</t>
  </si>
  <si>
    <t>LPG consumption of passenger transport</t>
  </si>
  <si>
    <t>Jet fuel consumption of passenger transport</t>
  </si>
  <si>
    <t>Electricity consumption of passenger transport</t>
  </si>
  <si>
    <t>Biofuel consumption of cars</t>
  </si>
  <si>
    <t>Total consumption of passenger transport</t>
  </si>
  <si>
    <t>Diesel consumption of transport of goods</t>
  </si>
  <si>
    <t>Fuel oil consumption of transport of goods</t>
  </si>
  <si>
    <t>Electricity consumption of transport of goods</t>
  </si>
  <si>
    <t>Biofuel consumption of trucks &amp; light vehicles</t>
  </si>
  <si>
    <t>Total consumption of transport of goods</t>
  </si>
  <si>
    <t>Gasoline consumption of road transport</t>
  </si>
  <si>
    <t>Diesel consumption of road transport</t>
  </si>
  <si>
    <t>LPG consumption of road transport</t>
  </si>
  <si>
    <t>Biofuel consumption of road transport</t>
  </si>
  <si>
    <t>Total consumption of road transport</t>
  </si>
  <si>
    <t>Gasoline consumption of domestic road transport (fuel tourism excluded)</t>
  </si>
  <si>
    <t>Diesel consumption of domestic road transport (fuel tourism excluded)</t>
  </si>
  <si>
    <t>LPG consumption of domestic road transport (fuel tourism excluded)</t>
  </si>
  <si>
    <t>Biofuel  consumption of domestic road transport (fuel tourism excluded)</t>
  </si>
  <si>
    <t>Total consumption of domestic road transport (fuel tourism excluded)</t>
  </si>
  <si>
    <t>Diesel oil consumption of foreign cars &amp; border trade</t>
  </si>
  <si>
    <t>Diesel oil consumption of foreign trucks &amp; border trade</t>
  </si>
  <si>
    <t>Gasoline consumption of cars</t>
  </si>
  <si>
    <t>Diesel consumption of cars</t>
  </si>
  <si>
    <t>LPG consumption of cars</t>
  </si>
  <si>
    <t>Total consumption of cars</t>
  </si>
  <si>
    <t>Gasoline consumption of motorcycles</t>
  </si>
  <si>
    <t>Gasoline consumption of buses</t>
  </si>
  <si>
    <t>Diesel consumption of buses</t>
  </si>
  <si>
    <t>LPG consumption of buses</t>
  </si>
  <si>
    <t>Total consumption of buses</t>
  </si>
  <si>
    <t>Gasoline consumption of trucks &amp; light vehicles</t>
  </si>
  <si>
    <t>Diesel consumption of trucks &amp; light vehicles</t>
  </si>
  <si>
    <t>Total consumption of trucks &amp; light vehicles</t>
  </si>
  <si>
    <t>Gasoline consumption of light duty vehicles</t>
  </si>
  <si>
    <t>Diesel consumption of light duty vehicles</t>
  </si>
  <si>
    <t>LPG consumption of light duty vehicles</t>
  </si>
  <si>
    <t>Total consumption of light duty vehicles</t>
  </si>
  <si>
    <t>Gasoline consumption of trucks</t>
  </si>
  <si>
    <t>Diesel consumption of trucks</t>
  </si>
  <si>
    <t>Total consumption of trucks</t>
  </si>
  <si>
    <t>Diesel consumption of rail transport</t>
  </si>
  <si>
    <t>Fuel oil consumption of rail transport</t>
  </si>
  <si>
    <t>Total consumption of rail transport</t>
  </si>
  <si>
    <t>Total consumption of rail transport of passenger</t>
  </si>
  <si>
    <t>Total consumption of rail transport of goods</t>
  </si>
  <si>
    <t>Electricity consumption of rail transport</t>
  </si>
  <si>
    <t>Jet fuel consumption of air transport</t>
  </si>
  <si>
    <t>Jet fuel consumption of domestic air transport</t>
  </si>
  <si>
    <t>Gasoline consumption of inland waterways transport</t>
  </si>
  <si>
    <t>Diesel consumption of inland waterways transport</t>
  </si>
  <si>
    <t>Fuel oil consumption of inland waterways transport</t>
  </si>
  <si>
    <t>Total consumption of inland waterways transport</t>
  </si>
  <si>
    <t>Indicator</t>
  </si>
  <si>
    <t>Road Transport</t>
  </si>
  <si>
    <t>Percentage of gasoline mix delivered to cars</t>
  </si>
  <si>
    <t>Percentage of gasoline mix delivered to trucks</t>
  </si>
  <si>
    <t>Percentage of diesel mix delivered to cars</t>
  </si>
  <si>
    <t>Percentage of diesel mix delivered to trucks</t>
  </si>
  <si>
    <t>Percentage of electricity delivered to cars</t>
  </si>
  <si>
    <t>Percentage of electricity delivered to trucks</t>
  </si>
  <si>
    <t>Percentage of compressed network gas delivered to cars</t>
  </si>
  <si>
    <t>Percentage of compressed network gas delivered to trucks</t>
  </si>
  <si>
    <t>Calculations</t>
  </si>
  <si>
    <t>Cars</t>
  </si>
  <si>
    <t>Trains</t>
  </si>
  <si>
    <t>Gasoline</t>
  </si>
  <si>
    <t>Diesel</t>
  </si>
  <si>
    <t>LPG</t>
  </si>
  <si>
    <t>Biofuel</t>
  </si>
  <si>
    <t>Jet fuel</t>
  </si>
  <si>
    <t>Unknown</t>
  </si>
  <si>
    <t>Trucks</t>
  </si>
  <si>
    <t>Motorcycles</t>
  </si>
  <si>
    <t>Buses</t>
  </si>
  <si>
    <t>Trucks and light vehicles</t>
  </si>
  <si>
    <t>-</t>
  </si>
  <si>
    <t>Road transport</t>
  </si>
  <si>
    <t>Odyssea data</t>
  </si>
  <si>
    <t>Odyssee Data for Transport sector</t>
  </si>
  <si>
    <t>NL_2011</t>
  </si>
  <si>
    <t>NL_2012</t>
  </si>
  <si>
    <t>Country and year</t>
  </si>
  <si>
    <t>Year</t>
  </si>
  <si>
    <t>FR_2011</t>
  </si>
  <si>
    <t>FR_2012</t>
  </si>
  <si>
    <t>DE_2011</t>
  </si>
  <si>
    <t>DE_2012</t>
  </si>
  <si>
    <t>PL_2011</t>
  </si>
  <si>
    <t>PL_2012</t>
  </si>
  <si>
    <t>ES_2011</t>
  </si>
  <si>
    <t>ES_2012</t>
  </si>
  <si>
    <t>UK_2011</t>
  </si>
  <si>
    <t>UK_2012</t>
  </si>
  <si>
    <t>EU_2011</t>
  </si>
  <si>
    <t>EU_2012</t>
  </si>
  <si>
    <t>Country_Year</t>
  </si>
  <si>
    <t>Created this document</t>
  </si>
  <si>
    <t>TJ</t>
  </si>
  <si>
    <t>Rail transport</t>
  </si>
  <si>
    <t>Improved documentation [WT]</t>
  </si>
  <si>
    <t>Constants</t>
  </si>
  <si>
    <t>Mtoe_to_TJ</t>
  </si>
  <si>
    <t>Based on Odyssee these values cannot be calculated.</t>
  </si>
  <si>
    <t>On the Dashboard the results for a specific country are visualized. Please fill the country code (NL, DE, EU, UK, PK, FR, ES) and the year (2011 or 2012). Not all data is available yet or sufficient to calculate the values.</t>
  </si>
  <si>
    <t>TJ/Mtoe</t>
  </si>
  <si>
    <t>nl</t>
  </si>
  <si>
    <t>The Odyssee data is proprietary. Paste this data in column F and onwards or use the `import Odyssee data button` if you have saved your data in 'odyssee.csv'.  Updated and new Odyssee data can manipulated or added in the table on the right side or in 'odyssee.csv'. Please make sure a lable with &lt;country&gt;_&lt;year&gt; is added as header. Make sure NOT to save proprietary data in this source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</si>
</sst>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mmmm\ d\,\ yyyy;@"/>
    <numFmt numFmtId="165" formatCode="0.0"/>
    <numFmt numFmtId="166" formatCode="0.00000"/>
  </numFmts>
  <fonts count="20" x14ac:knownFonts="1">
    <font>
      <sz val="12"/>
      <color theme="1"/>
      <name val="Calibri"/>
      <family val="2"/>
      <scheme val="minor"/>
    </font>
    <font>
      <sz val="12"/>
      <color theme="1"/>
      <name val="Calibri"/>
      <family val="2"/>
      <scheme val="minor"/>
    </font>
    <font>
      <sz val="12"/>
      <color theme="1"/>
      <name val="Calibri"/>
      <family val="2"/>
      <scheme val="minor"/>
    </font>
    <font>
      <b/>
      <sz val="12"/>
      <color theme="1"/>
      <name val="Calibri"/>
      <family val="2"/>
      <scheme val="minor"/>
    </font>
    <font>
      <b/>
      <sz val="16"/>
      <color theme="3"/>
      <name val="Calibri"/>
      <scheme val="minor"/>
    </font>
    <font>
      <b/>
      <sz val="11"/>
      <color rgb="FF000000"/>
      <name val="Calibri"/>
      <family val="2"/>
      <scheme val="minor"/>
    </font>
    <font>
      <i/>
      <sz val="12"/>
      <color theme="1"/>
      <name val="Calibri"/>
      <scheme val="minor"/>
    </font>
    <font>
      <sz val="12"/>
      <name val="Calibri"/>
      <scheme val="minor"/>
    </font>
    <font>
      <u/>
      <sz val="12"/>
      <color theme="1"/>
      <name val="Calibri"/>
      <scheme val="minor"/>
    </font>
    <font>
      <sz val="12"/>
      <color rgb="FF000000"/>
      <name val="Calibri"/>
      <family val="2"/>
      <scheme val="minor"/>
    </font>
    <font>
      <u/>
      <sz val="12"/>
      <color theme="10"/>
      <name val="Calibri"/>
      <family val="2"/>
      <scheme val="minor"/>
    </font>
    <font>
      <u/>
      <sz val="12"/>
      <color theme="11"/>
      <name val="Calibri"/>
      <family val="2"/>
      <scheme val="minor"/>
    </font>
    <font>
      <b/>
      <sz val="12"/>
      <name val="Calibri"/>
      <family val="2"/>
      <scheme val="minor"/>
    </font>
    <font>
      <sz val="12"/>
      <color rgb="FF000000"/>
      <name val="Lucida Grande"/>
    </font>
    <font>
      <b/>
      <sz val="12"/>
      <color rgb="FF3F3F3F"/>
      <name val="Calibri"/>
      <family val="2"/>
      <scheme val="minor"/>
    </font>
    <font>
      <sz val="11"/>
      <name val="Calibri"/>
      <family val="2"/>
      <scheme val="minor"/>
    </font>
    <font>
      <sz val="10"/>
      <name val="Arial"/>
    </font>
    <font>
      <sz val="11"/>
      <color indexed="10"/>
      <name val="Calibri"/>
      <family val="2"/>
    </font>
    <font>
      <b/>
      <i/>
      <sz val="12"/>
      <color theme="1"/>
      <name val="Calibri"/>
      <scheme val="minor"/>
    </font>
    <font>
      <i/>
      <sz val="12"/>
      <color rgb="FFFF0000"/>
      <name val="Calibri"/>
      <scheme val="minor"/>
    </font>
  </fonts>
  <fills count="19">
    <fill>
      <patternFill patternType="none"/>
    </fill>
    <fill>
      <patternFill patternType="gray125"/>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FFFF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FFFFFF"/>
        <bgColor rgb="FF000000"/>
      </patternFill>
    </fill>
    <fill>
      <patternFill patternType="solid">
        <fgColor rgb="FFF2F2F2"/>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8"/>
        <bgColor indexed="64"/>
      </patternFill>
    </fill>
    <fill>
      <patternFill patternType="solid">
        <fgColor indexed="43"/>
        <bgColor indexed="64"/>
      </patternFill>
    </fill>
  </fills>
  <borders count="1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rgb="FF3F3F3F"/>
      </left>
      <right style="thin">
        <color rgb="FF3F3F3F"/>
      </right>
      <top style="thin">
        <color rgb="FF3F3F3F"/>
      </top>
      <bottom style="thin">
        <color rgb="FF3F3F3F"/>
      </bottom>
      <diagonal/>
    </border>
    <border>
      <left style="medium">
        <color auto="1"/>
      </left>
      <right style="medium">
        <color auto="1"/>
      </right>
      <top style="medium">
        <color auto="1"/>
      </top>
      <bottom/>
      <diagonal/>
    </border>
    <border>
      <left style="dotted">
        <color auto="1"/>
      </left>
      <right style="dotted">
        <color auto="1"/>
      </right>
      <top style="dotted">
        <color auto="1"/>
      </top>
      <bottom style="dotted">
        <color auto="1"/>
      </bottom>
      <diagonal/>
    </border>
    <border>
      <left style="thin">
        <color auto="1"/>
      </left>
      <right/>
      <top style="thin">
        <color auto="1"/>
      </top>
      <bottom style="thin">
        <color auto="1"/>
      </bottom>
      <diagonal/>
    </border>
  </borders>
  <cellStyleXfs count="1417">
    <xf numFmtId="0" fontId="0" fillId="0" borderId="0"/>
    <xf numFmtId="9" fontId="2"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4" fillId="12" borderId="14" applyNumberFormat="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165" fontId="15" fillId="18" borderId="11">
      <alignment horizontal="right" vertical="center"/>
    </xf>
    <xf numFmtId="0" fontId="16" fillId="0" borderId="0" applyNumberFormat="0" applyFont="0" applyFill="0" applyBorder="0" applyAlignment="0" applyProtection="0"/>
    <xf numFmtId="0" fontId="17"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63">
    <xf numFmtId="0" fontId="0" fillId="0" borderId="0" xfId="0"/>
    <xf numFmtId="0" fontId="0" fillId="2" borderId="0" xfId="0" applyFill="1"/>
    <xf numFmtId="0" fontId="4" fillId="2" borderId="0" xfId="0" applyFont="1" applyFill="1"/>
    <xf numFmtId="0" fontId="3" fillId="2" borderId="1" xfId="0" applyFont="1" applyFill="1" applyBorder="1"/>
    <xf numFmtId="0" fontId="0" fillId="2" borderId="2" xfId="0" applyFill="1" applyBorder="1"/>
    <xf numFmtId="0" fontId="0" fillId="2" borderId="3" xfId="0" applyFill="1" applyBorder="1"/>
    <xf numFmtId="0" fontId="5" fillId="3" borderId="4" xfId="0" applyFont="1" applyFill="1" applyBorder="1" applyAlignment="1">
      <alignment vertical="center"/>
    </xf>
    <xf numFmtId="0" fontId="0" fillId="2" borderId="5" xfId="0" applyFill="1" applyBorder="1"/>
    <xf numFmtId="0" fontId="0" fillId="2" borderId="0" xfId="0" applyFill="1" applyBorder="1"/>
    <xf numFmtId="0" fontId="5" fillId="3" borderId="6" xfId="0" applyFont="1" applyFill="1" applyBorder="1" applyAlignment="1">
      <alignment vertical="center"/>
    </xf>
    <xf numFmtId="0" fontId="0" fillId="2" borderId="7" xfId="0" applyFill="1" applyBorder="1"/>
    <xf numFmtId="0" fontId="0" fillId="2" borderId="8" xfId="0" applyFill="1" applyBorder="1"/>
    <xf numFmtId="0" fontId="3" fillId="2" borderId="0" xfId="0" applyFont="1" applyFill="1" applyBorder="1"/>
    <xf numFmtId="0" fontId="0" fillId="2" borderId="4" xfId="0" applyFill="1" applyBorder="1"/>
    <xf numFmtId="0" fontId="0" fillId="2" borderId="6" xfId="0" applyFill="1" applyBorder="1"/>
    <xf numFmtId="0" fontId="3" fillId="2" borderId="4" xfId="0" applyFont="1" applyFill="1" applyBorder="1"/>
    <xf numFmtId="0" fontId="6" fillId="2" borderId="0" xfId="0" applyFont="1" applyFill="1" applyBorder="1"/>
    <xf numFmtId="0" fontId="0" fillId="2" borderId="9" xfId="0" applyFill="1" applyBorder="1"/>
    <xf numFmtId="0" fontId="0" fillId="4" borderId="0" xfId="0" applyFill="1" applyBorder="1"/>
    <xf numFmtId="0" fontId="0" fillId="5" borderId="0" xfId="0" applyFill="1" applyBorder="1"/>
    <xf numFmtId="2" fontId="0" fillId="2" borderId="0" xfId="0" applyNumberFormat="1" applyFill="1" applyBorder="1" applyAlignment="1">
      <alignment horizontal="left"/>
    </xf>
    <xf numFmtId="0" fontId="3" fillId="0" borderId="1" xfId="0" applyFont="1" applyBorder="1"/>
    <xf numFmtId="0" fontId="3" fillId="2" borderId="0" xfId="0" applyFont="1" applyFill="1"/>
    <xf numFmtId="0" fontId="0" fillId="7" borderId="0" xfId="0" applyFill="1" applyBorder="1"/>
    <xf numFmtId="0" fontId="0" fillId="9" borderId="0" xfId="0" applyFill="1" applyBorder="1"/>
    <xf numFmtId="0" fontId="0" fillId="8" borderId="0" xfId="0" applyFill="1" applyBorder="1"/>
    <xf numFmtId="0" fontId="0" fillId="6" borderId="0" xfId="0" applyFill="1" applyBorder="1"/>
    <xf numFmtId="0" fontId="0" fillId="10" borderId="0" xfId="0" applyFill="1" applyBorder="1"/>
    <xf numFmtId="164" fontId="0" fillId="2" borderId="0" xfId="0" applyNumberFormat="1" applyFill="1" applyBorder="1" applyAlignment="1">
      <alignment horizontal="left"/>
    </xf>
    <xf numFmtId="164" fontId="9" fillId="0" borderId="4" xfId="0" applyNumberFormat="1" applyFont="1" applyFill="1" applyBorder="1" applyAlignment="1">
      <alignment horizontal="left" vertical="center"/>
    </xf>
    <xf numFmtId="2" fontId="0" fillId="2" borderId="0" xfId="0" applyNumberFormat="1" applyFill="1"/>
    <xf numFmtId="1" fontId="0" fillId="2" borderId="0" xfId="0" applyNumberFormat="1" applyFill="1"/>
    <xf numFmtId="2" fontId="0" fillId="0" borderId="5" xfId="0" applyNumberFormat="1" applyFont="1" applyFill="1" applyBorder="1" applyAlignment="1">
      <alignment vertical="center"/>
    </xf>
    <xf numFmtId="164" fontId="0" fillId="0" borderId="4" xfId="0" applyNumberFormat="1" applyFill="1" applyBorder="1" applyAlignment="1">
      <alignment horizontal="left" vertical="center"/>
    </xf>
    <xf numFmtId="2" fontId="0" fillId="0" borderId="5" xfId="0" applyNumberFormat="1" applyFill="1" applyBorder="1" applyAlignment="1">
      <alignment vertical="center"/>
    </xf>
    <xf numFmtId="1" fontId="0" fillId="2" borderId="3" xfId="0" applyNumberFormat="1" applyFill="1" applyBorder="1"/>
    <xf numFmtId="2" fontId="3" fillId="2" borderId="3" xfId="0" applyNumberFormat="1" applyFont="1" applyFill="1" applyBorder="1"/>
    <xf numFmtId="2" fontId="3" fillId="2" borderId="5" xfId="0" applyNumberFormat="1" applyFont="1" applyFill="1" applyBorder="1"/>
    <xf numFmtId="2" fontId="0" fillId="2" borderId="8" xfId="0" applyNumberFormat="1" applyFill="1" applyBorder="1"/>
    <xf numFmtId="1" fontId="0" fillId="2" borderId="0" xfId="0" applyNumberFormat="1" applyFill="1" applyBorder="1" applyAlignment="1">
      <alignment horizontal="left"/>
    </xf>
    <xf numFmtId="0" fontId="13" fillId="0" borderId="0" xfId="0" applyFont="1" applyAlignment="1">
      <alignment vertical="center"/>
    </xf>
    <xf numFmtId="0" fontId="0" fillId="2" borderId="0" xfId="0" applyFill="1" applyAlignment="1"/>
    <xf numFmtId="0" fontId="8" fillId="2" borderId="0" xfId="0" applyFont="1" applyFill="1"/>
    <xf numFmtId="9" fontId="7" fillId="2" borderId="0" xfId="1327" applyNumberFormat="1" applyFont="1" applyFill="1" applyBorder="1"/>
    <xf numFmtId="165" fontId="0" fillId="2" borderId="0" xfId="0" applyNumberFormat="1" applyFill="1"/>
    <xf numFmtId="165" fontId="4" fillId="2" borderId="0" xfId="0" applyNumberFormat="1" applyFont="1" applyFill="1"/>
    <xf numFmtId="165" fontId="3" fillId="2" borderId="1" xfId="0" applyNumberFormat="1" applyFont="1" applyFill="1" applyBorder="1"/>
    <xf numFmtId="165" fontId="0" fillId="2" borderId="2" xfId="0" applyNumberFormat="1" applyFill="1" applyBorder="1"/>
    <xf numFmtId="165" fontId="0" fillId="2" borderId="3" xfId="0" applyNumberFormat="1" applyFill="1" applyBorder="1"/>
    <xf numFmtId="165" fontId="0" fillId="2" borderId="0" xfId="0" applyNumberFormat="1" applyFill="1" applyAlignment="1">
      <alignment horizontal="left" indent="1"/>
    </xf>
    <xf numFmtId="165" fontId="0" fillId="2" borderId="0" xfId="0" applyNumberFormat="1" applyFill="1" applyAlignment="1">
      <alignment horizontal="right"/>
    </xf>
    <xf numFmtId="165" fontId="6" fillId="2" borderId="0" xfId="0" applyNumberFormat="1" applyFont="1" applyFill="1" applyAlignment="1">
      <alignment horizontal="right"/>
    </xf>
    <xf numFmtId="165" fontId="0" fillId="2" borderId="7" xfId="0" applyNumberFormat="1" applyFill="1" applyBorder="1"/>
    <xf numFmtId="165" fontId="0" fillId="2" borderId="6" xfId="0" applyNumberFormat="1" applyFill="1" applyBorder="1"/>
    <xf numFmtId="165" fontId="0" fillId="2" borderId="4" xfId="0" applyNumberFormat="1" applyFill="1" applyBorder="1" applyAlignment="1">
      <alignment horizontal="right"/>
    </xf>
    <xf numFmtId="165" fontId="0" fillId="2" borderId="0" xfId="0" applyNumberFormat="1" applyFill="1" applyBorder="1" applyAlignment="1">
      <alignment horizontal="right"/>
    </xf>
    <xf numFmtId="0" fontId="0" fillId="2" borderId="15" xfId="0" applyFill="1" applyBorder="1" applyAlignment="1">
      <alignment horizontal="right"/>
    </xf>
    <xf numFmtId="9" fontId="3" fillId="0" borderId="16" xfId="1" applyFont="1" applyBorder="1"/>
    <xf numFmtId="165" fontId="7" fillId="2" borderId="0" xfId="0" applyNumberFormat="1" applyFont="1" applyFill="1"/>
    <xf numFmtId="165" fontId="7" fillId="2" borderId="0" xfId="0" applyNumberFormat="1" applyFont="1" applyFill="1" applyAlignment="1">
      <alignment horizontal="center"/>
    </xf>
    <xf numFmtId="165" fontId="4" fillId="2" borderId="0" xfId="0" applyNumberFormat="1" applyFont="1" applyFill="1" applyBorder="1"/>
    <xf numFmtId="165" fontId="0" fillId="2" borderId="0" xfId="0" applyNumberFormat="1" applyFill="1" applyBorder="1" applyAlignment="1">
      <alignment horizontal="center"/>
    </xf>
    <xf numFmtId="165" fontId="0" fillId="2" borderId="0" xfId="0" applyNumberFormat="1" applyFill="1" applyBorder="1"/>
    <xf numFmtId="165" fontId="3" fillId="2" borderId="13" xfId="0" applyNumberFormat="1" applyFont="1" applyFill="1" applyBorder="1"/>
    <xf numFmtId="165" fontId="0" fillId="2" borderId="4" xfId="0" applyNumberFormat="1" applyFill="1" applyBorder="1" applyAlignment="1">
      <alignment horizontal="center"/>
    </xf>
    <xf numFmtId="165" fontId="7" fillId="2" borderId="10" xfId="0" applyNumberFormat="1" applyFont="1" applyFill="1" applyBorder="1" applyAlignment="1">
      <alignment vertical="top" wrapText="1"/>
    </xf>
    <xf numFmtId="165" fontId="7" fillId="2" borderId="4" xfId="0" applyNumberFormat="1" applyFont="1" applyFill="1" applyBorder="1" applyAlignment="1">
      <alignment vertical="top" wrapText="1"/>
    </xf>
    <xf numFmtId="165" fontId="7" fillId="2" borderId="0" xfId="0" applyNumberFormat="1" applyFont="1" applyFill="1" applyBorder="1" applyAlignment="1">
      <alignment vertical="top" wrapText="1"/>
    </xf>
    <xf numFmtId="165" fontId="0" fillId="0" borderId="4" xfId="0" applyNumberFormat="1" applyBorder="1"/>
    <xf numFmtId="165" fontId="0" fillId="0" borderId="0" xfId="0" applyNumberFormat="1" applyBorder="1" applyAlignment="1">
      <alignment horizontal="center"/>
    </xf>
    <xf numFmtId="165" fontId="12" fillId="2" borderId="0" xfId="0" applyNumberFormat="1" applyFont="1" applyFill="1"/>
    <xf numFmtId="165" fontId="3" fillId="0" borderId="4" xfId="0" applyNumberFormat="1" applyFont="1" applyBorder="1"/>
    <xf numFmtId="165" fontId="3" fillId="0" borderId="0" xfId="0" applyNumberFormat="1" applyFont="1" applyBorder="1" applyAlignment="1">
      <alignment horizontal="center"/>
    </xf>
    <xf numFmtId="165" fontId="0" fillId="0" borderId="5" xfId="0" applyNumberFormat="1" applyFont="1" applyBorder="1" applyAlignment="1">
      <alignment horizontal="right"/>
    </xf>
    <xf numFmtId="165" fontId="3" fillId="2" borderId="0" xfId="0" applyNumberFormat="1" applyFont="1" applyFill="1"/>
    <xf numFmtId="165" fontId="3" fillId="0" borderId="6" xfId="0" applyNumberFormat="1" applyFont="1" applyBorder="1"/>
    <xf numFmtId="165" fontId="3" fillId="0" borderId="7" xfId="0" applyNumberFormat="1" applyFont="1" applyBorder="1" applyAlignment="1">
      <alignment horizontal="center"/>
    </xf>
    <xf numFmtId="165" fontId="0" fillId="0" borderId="8" xfId="0" applyNumberFormat="1" applyFont="1" applyBorder="1" applyAlignment="1">
      <alignment horizontal="right"/>
    </xf>
    <xf numFmtId="165" fontId="0" fillId="0" borderId="6" xfId="0" applyNumberFormat="1" applyBorder="1"/>
    <xf numFmtId="165" fontId="0" fillId="0" borderId="7" xfId="0" applyNumberFormat="1" applyBorder="1" applyAlignment="1">
      <alignment horizontal="center"/>
    </xf>
    <xf numFmtId="165" fontId="0" fillId="17" borderId="0" xfId="0" applyNumberFormat="1" applyFill="1"/>
    <xf numFmtId="165" fontId="6" fillId="0" borderId="4" xfId="0" applyNumberFormat="1" applyFont="1" applyBorder="1"/>
    <xf numFmtId="165" fontId="0" fillId="0" borderId="4" xfId="0" applyNumberFormat="1" applyFont="1" applyBorder="1" applyAlignment="1">
      <alignment horizontal="left" indent="1"/>
    </xf>
    <xf numFmtId="165" fontId="6" fillId="0" borderId="4" xfId="0" applyNumberFormat="1" applyFont="1" applyBorder="1" applyAlignment="1">
      <alignment horizontal="left"/>
    </xf>
    <xf numFmtId="165" fontId="3" fillId="17" borderId="0" xfId="0" applyNumberFormat="1" applyFont="1" applyFill="1"/>
    <xf numFmtId="165" fontId="0" fillId="16" borderId="0" xfId="0" applyNumberFormat="1" applyFill="1"/>
    <xf numFmtId="165" fontId="0" fillId="13" borderId="0" xfId="0" applyNumberFormat="1" applyFill="1"/>
    <xf numFmtId="165" fontId="0" fillId="0" borderId="4" xfId="0" applyNumberFormat="1" applyBorder="1" applyAlignment="1">
      <alignment horizontal="left" indent="1"/>
    </xf>
    <xf numFmtId="165" fontId="0" fillId="15" borderId="0" xfId="0" applyNumberFormat="1" applyFill="1"/>
    <xf numFmtId="165" fontId="0" fillId="14" borderId="0" xfId="0" applyNumberFormat="1" applyFill="1"/>
    <xf numFmtId="165" fontId="3" fillId="14" borderId="0" xfId="0" applyNumberFormat="1" applyFont="1" applyFill="1"/>
    <xf numFmtId="165" fontId="3" fillId="15" borderId="0" xfId="0" applyNumberFormat="1" applyFont="1" applyFill="1"/>
    <xf numFmtId="165" fontId="0" fillId="2" borderId="0" xfId="0" applyNumberFormat="1" applyFill="1" applyAlignment="1">
      <alignment horizontal="center"/>
    </xf>
    <xf numFmtId="165" fontId="7" fillId="0" borderId="4" xfId="0" applyNumberFormat="1" applyFont="1" applyFill="1" applyBorder="1"/>
    <xf numFmtId="165" fontId="7" fillId="0" borderId="0" xfId="0" applyNumberFormat="1" applyFont="1" applyFill="1" applyBorder="1"/>
    <xf numFmtId="165" fontId="0" fillId="0" borderId="0" xfId="0" applyNumberFormat="1" applyFill="1" applyBorder="1"/>
    <xf numFmtId="165" fontId="0" fillId="0" borderId="5" xfId="0" applyNumberFormat="1" applyFill="1" applyBorder="1"/>
    <xf numFmtId="165" fontId="12" fillId="0" borderId="4" xfId="0" applyNumberFormat="1" applyFont="1" applyFill="1" applyBorder="1"/>
    <xf numFmtId="165" fontId="12" fillId="0" borderId="0" xfId="0" applyNumberFormat="1" applyFont="1" applyFill="1" applyBorder="1"/>
    <xf numFmtId="165" fontId="3" fillId="0" borderId="0" xfId="0" applyNumberFormat="1" applyFont="1" applyFill="1" applyBorder="1"/>
    <xf numFmtId="165" fontId="3" fillId="0" borderId="5" xfId="0" applyNumberFormat="1" applyFont="1" applyFill="1" applyBorder="1"/>
    <xf numFmtId="165" fontId="0" fillId="0" borderId="4" xfId="0" applyNumberFormat="1" applyFill="1" applyBorder="1"/>
    <xf numFmtId="165" fontId="3" fillId="0" borderId="4" xfId="0" applyNumberFormat="1" applyFont="1" applyFill="1" applyBorder="1"/>
    <xf numFmtId="165" fontId="3" fillId="0" borderId="6" xfId="0" applyNumberFormat="1" applyFont="1" applyFill="1" applyBorder="1"/>
    <xf numFmtId="165" fontId="3" fillId="0" borderId="7" xfId="0" applyNumberFormat="1" applyFont="1" applyFill="1" applyBorder="1"/>
    <xf numFmtId="165" fontId="3" fillId="0" borderId="8" xfId="0" applyNumberFormat="1" applyFont="1" applyFill="1" applyBorder="1"/>
    <xf numFmtId="1" fontId="0" fillId="2" borderId="0" xfId="0" applyNumberFormat="1" applyFill="1" applyBorder="1" applyAlignment="1">
      <alignment horizontal="right"/>
    </xf>
    <xf numFmtId="165" fontId="0" fillId="2" borderId="0" xfId="0" applyNumberFormat="1" applyFill="1" applyAlignment="1">
      <alignment horizontal="left" indent="2"/>
    </xf>
    <xf numFmtId="165" fontId="3" fillId="0" borderId="5" xfId="0" applyNumberFormat="1" applyFont="1" applyBorder="1" applyAlignment="1">
      <alignment horizontal="right"/>
    </xf>
    <xf numFmtId="165" fontId="3" fillId="16" borderId="0" xfId="0" applyNumberFormat="1" applyFont="1" applyFill="1"/>
    <xf numFmtId="165" fontId="3" fillId="13" borderId="0" xfId="0" applyNumberFormat="1" applyFont="1" applyFill="1"/>
    <xf numFmtId="165" fontId="6" fillId="0" borderId="4" xfId="0" applyNumberFormat="1" applyFont="1" applyBorder="1" applyAlignment="1">
      <alignment horizontal="left" indent="1"/>
    </xf>
    <xf numFmtId="166" fontId="0" fillId="2" borderId="0" xfId="0" applyNumberFormat="1" applyFill="1"/>
    <xf numFmtId="165" fontId="3" fillId="2" borderId="2" xfId="0" applyNumberFormat="1" applyFont="1" applyFill="1" applyBorder="1" applyAlignment="1">
      <alignment horizontal="center"/>
    </xf>
    <xf numFmtId="165" fontId="3" fillId="2" borderId="3" xfId="0" applyNumberFormat="1" applyFont="1" applyFill="1" applyBorder="1"/>
    <xf numFmtId="165" fontId="12" fillId="2" borderId="1" xfId="0" applyNumberFormat="1" applyFont="1" applyFill="1" applyBorder="1"/>
    <xf numFmtId="165" fontId="7" fillId="2" borderId="2" xfId="0" applyNumberFormat="1" applyFont="1" applyFill="1" applyBorder="1"/>
    <xf numFmtId="165" fontId="0" fillId="2" borderId="7" xfId="0" applyNumberFormat="1" applyFill="1" applyBorder="1" applyAlignment="1">
      <alignment horizontal="center"/>
    </xf>
    <xf numFmtId="165" fontId="0" fillId="2" borderId="8" xfId="0" applyNumberFormat="1" applyFill="1" applyBorder="1"/>
    <xf numFmtId="165" fontId="7" fillId="2" borderId="6" xfId="0" applyNumberFormat="1" applyFont="1" applyFill="1" applyBorder="1"/>
    <xf numFmtId="165" fontId="7" fillId="2" borderId="7" xfId="0" applyNumberFormat="1" applyFont="1" applyFill="1" applyBorder="1"/>
    <xf numFmtId="164" fontId="4" fillId="2" borderId="0" xfId="0" applyNumberFormat="1" applyFont="1" applyFill="1"/>
    <xf numFmtId="164" fontId="5" fillId="3" borderId="1" xfId="0" applyNumberFormat="1" applyFont="1" applyFill="1" applyBorder="1" applyAlignment="1">
      <alignment vertical="center"/>
    </xf>
    <xf numFmtId="164" fontId="5" fillId="3" borderId="4" xfId="0" applyNumberFormat="1" applyFont="1" applyFill="1" applyBorder="1" applyAlignment="1">
      <alignment vertical="center"/>
    </xf>
    <xf numFmtId="164" fontId="0" fillId="2" borderId="6" xfId="0" applyNumberFormat="1" applyFill="1" applyBorder="1"/>
    <xf numFmtId="164" fontId="0" fillId="2" borderId="0" xfId="0" applyNumberFormat="1" applyFill="1"/>
    <xf numFmtId="165" fontId="0" fillId="2" borderId="0" xfId="0" applyNumberFormat="1" applyFill="1" applyBorder="1" applyAlignment="1">
      <alignment horizontal="left" vertical="center" wrapText="1"/>
    </xf>
    <xf numFmtId="0" fontId="9" fillId="11" borderId="0" xfId="0" applyFont="1" applyFill="1" applyBorder="1"/>
    <xf numFmtId="165" fontId="18" fillId="2" borderId="12" xfId="0" applyNumberFormat="1" applyFont="1" applyFill="1" applyBorder="1"/>
    <xf numFmtId="165" fontId="3" fillId="2" borderId="12" xfId="0" applyNumberFormat="1" applyFont="1" applyFill="1" applyBorder="1"/>
    <xf numFmtId="165" fontId="3" fillId="2" borderId="17" xfId="0" applyNumberFormat="1" applyFont="1" applyFill="1" applyBorder="1"/>
    <xf numFmtId="165" fontId="0" fillId="2" borderId="6" xfId="0" applyNumberFormat="1" applyFill="1" applyBorder="1" applyAlignment="1">
      <alignment horizontal="right"/>
    </xf>
    <xf numFmtId="165" fontId="0" fillId="2" borderId="7" xfId="0" applyNumberFormat="1" applyFill="1" applyBorder="1" applyAlignment="1">
      <alignment horizontal="right"/>
    </xf>
    <xf numFmtId="165" fontId="6" fillId="2" borderId="7" xfId="0" applyNumberFormat="1" applyFont="1" applyFill="1" applyBorder="1" applyAlignment="1">
      <alignment horizontal="right"/>
    </xf>
    <xf numFmtId="165" fontId="6" fillId="2" borderId="0" xfId="0" applyNumberFormat="1" applyFont="1" applyFill="1" applyBorder="1" applyAlignment="1">
      <alignment horizontal="right"/>
    </xf>
    <xf numFmtId="14" fontId="0" fillId="2" borderId="0" xfId="0" applyNumberFormat="1" applyFill="1" applyAlignment="1">
      <alignment wrapText="1"/>
    </xf>
    <xf numFmtId="0" fontId="3" fillId="2" borderId="2" xfId="0" applyFont="1" applyFill="1" applyBorder="1" applyAlignment="1">
      <alignment wrapText="1"/>
    </xf>
    <xf numFmtId="0" fontId="3" fillId="2" borderId="0" xfId="0" applyFont="1" applyFill="1" applyBorder="1" applyAlignment="1">
      <alignment wrapText="1"/>
    </xf>
    <xf numFmtId="0" fontId="0" fillId="0" borderId="0" xfId="0" applyFont="1" applyFill="1" applyBorder="1" applyAlignment="1">
      <alignment vertical="center" wrapText="1"/>
    </xf>
    <xf numFmtId="0" fontId="0" fillId="0" borderId="0" xfId="0" applyFill="1" applyBorder="1" applyAlignment="1">
      <alignment vertical="center" wrapText="1"/>
    </xf>
    <xf numFmtId="0" fontId="0" fillId="2" borderId="7" xfId="0" applyFill="1" applyBorder="1" applyAlignment="1">
      <alignment wrapText="1"/>
    </xf>
    <xf numFmtId="0" fontId="0" fillId="2" borderId="0" xfId="0" applyFill="1" applyAlignment="1">
      <alignment wrapText="1"/>
    </xf>
    <xf numFmtId="9" fontId="0" fillId="0" borderId="16" xfId="1" applyFont="1" applyBorder="1" applyAlignment="1">
      <alignment horizontal="center"/>
    </xf>
    <xf numFmtId="9" fontId="7" fillId="2" borderId="0" xfId="1327" applyNumberFormat="1" applyFont="1" applyFill="1" applyBorder="1" applyAlignment="1">
      <alignment horizontal="center"/>
    </xf>
    <xf numFmtId="0" fontId="0" fillId="2" borderId="0" xfId="0" applyFill="1" applyBorder="1" applyAlignment="1">
      <alignment horizontal="center"/>
    </xf>
    <xf numFmtId="0" fontId="6" fillId="2" borderId="0" xfId="0" applyFont="1" applyFill="1"/>
    <xf numFmtId="0" fontId="19" fillId="2" borderId="0" xfId="0" applyFont="1" applyFill="1"/>
    <xf numFmtId="3" fontId="0" fillId="2" borderId="1" xfId="0" applyNumberFormat="1" applyFill="1" applyBorder="1" applyAlignment="1">
      <alignment horizontal="right"/>
    </xf>
    <xf numFmtId="3" fontId="0" fillId="2" borderId="2" xfId="0" applyNumberFormat="1" applyFill="1" applyBorder="1" applyAlignment="1">
      <alignment horizontal="right"/>
    </xf>
    <xf numFmtId="3" fontId="0" fillId="2" borderId="3" xfId="0" applyNumberFormat="1" applyFill="1" applyBorder="1" applyAlignment="1">
      <alignment horizontal="right"/>
    </xf>
    <xf numFmtId="3" fontId="0" fillId="2" borderId="0" xfId="0" applyNumberFormat="1" applyFill="1" applyBorder="1" applyAlignment="1">
      <alignment horizontal="right"/>
    </xf>
    <xf numFmtId="3" fontId="0" fillId="2" borderId="4" xfId="0" applyNumberFormat="1" applyFill="1" applyBorder="1" applyAlignment="1">
      <alignment horizontal="right"/>
    </xf>
    <xf numFmtId="3" fontId="6" fillId="2" borderId="5" xfId="0" applyNumberFormat="1" applyFont="1" applyFill="1" applyBorder="1" applyAlignment="1">
      <alignment horizontal="right"/>
    </xf>
    <xf numFmtId="3" fontId="0" fillId="2" borderId="5" xfId="0" applyNumberFormat="1" applyFill="1" applyBorder="1" applyAlignment="1">
      <alignment horizontal="right"/>
    </xf>
    <xf numFmtId="3" fontId="0" fillId="2" borderId="6" xfId="0" applyNumberFormat="1" applyFill="1" applyBorder="1" applyAlignment="1">
      <alignment horizontal="right"/>
    </xf>
    <xf numFmtId="3" fontId="0" fillId="2" borderId="7" xfId="0" applyNumberFormat="1" applyFill="1" applyBorder="1" applyAlignment="1">
      <alignment horizontal="right"/>
    </xf>
    <xf numFmtId="3" fontId="0" fillId="2" borderId="8" xfId="0" applyNumberFormat="1" applyFill="1" applyBorder="1" applyAlignment="1">
      <alignment horizontal="right"/>
    </xf>
    <xf numFmtId="0" fontId="0" fillId="2" borderId="6"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165" fontId="0" fillId="2" borderId="6" xfId="0" applyNumberFormat="1" applyFill="1" applyBorder="1" applyAlignment="1">
      <alignment horizontal="left" vertical="center" wrapText="1"/>
    </xf>
    <xf numFmtId="165" fontId="0" fillId="2" borderId="7" xfId="0" applyNumberFormat="1" applyFill="1" applyBorder="1" applyAlignment="1">
      <alignment horizontal="left" vertical="center" wrapText="1"/>
    </xf>
    <xf numFmtId="165" fontId="0" fillId="2" borderId="8" xfId="0" applyNumberFormat="1" applyFill="1" applyBorder="1" applyAlignment="1">
      <alignment horizontal="left" vertical="center" wrapText="1"/>
    </xf>
  </cellXfs>
  <cellStyles count="1417">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6"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75" builtinId="9" hidden="1"/>
    <cellStyle name="Followed Hyperlink" xfId="677" builtinId="9" hidden="1"/>
    <cellStyle name="Followed Hyperlink" xfId="679" builtinId="9" hidden="1"/>
    <cellStyle name="Followed Hyperlink" xfId="681" builtinId="9" hidden="1"/>
    <cellStyle name="Followed Hyperlink" xfId="68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1" builtinId="9" hidden="1"/>
    <cellStyle name="Followed Hyperlink" xfId="733" builtinId="9" hidden="1"/>
    <cellStyle name="Followed Hyperlink" xfId="735" builtinId="9" hidden="1"/>
    <cellStyle name="Followed Hyperlink" xfId="737" builtinId="9" hidden="1"/>
    <cellStyle name="Followed Hyperlink" xfId="739" builtinId="9" hidden="1"/>
    <cellStyle name="Followed Hyperlink" xfId="741" builtinId="9" hidden="1"/>
    <cellStyle name="Followed Hyperlink" xfId="743" builtinId="9" hidden="1"/>
    <cellStyle name="Followed Hyperlink" xfId="745" builtinId="9" hidden="1"/>
    <cellStyle name="Followed Hyperlink" xfId="747" builtinId="9" hidden="1"/>
    <cellStyle name="Followed Hyperlink" xfId="749" builtinId="9" hidden="1"/>
    <cellStyle name="Followed Hyperlink" xfId="751" builtinId="9" hidden="1"/>
    <cellStyle name="Followed Hyperlink" xfId="753" builtinId="9" hidden="1"/>
    <cellStyle name="Followed Hyperlink" xfId="755" builtinId="9" hidden="1"/>
    <cellStyle name="Followed Hyperlink" xfId="757" builtinId="9" hidden="1"/>
    <cellStyle name="Followed Hyperlink" xfId="759" builtinId="9" hidden="1"/>
    <cellStyle name="Followed Hyperlink" xfId="761" builtinId="9" hidden="1"/>
    <cellStyle name="Followed Hyperlink" xfId="763" builtinId="9" hidden="1"/>
    <cellStyle name="Followed Hyperlink" xfId="765" builtinId="9" hidden="1"/>
    <cellStyle name="Followed Hyperlink" xfId="767" builtinId="9" hidden="1"/>
    <cellStyle name="Followed Hyperlink" xfId="769" builtinId="9" hidden="1"/>
    <cellStyle name="Followed Hyperlink" xfId="771"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74" builtinId="8" hidden="1"/>
    <cellStyle name="Hyperlink" xfId="676" builtinId="8" hidden="1"/>
    <cellStyle name="Hyperlink" xfId="678" builtinId="8" hidden="1"/>
    <cellStyle name="Hyperlink" xfId="680" builtinId="8" hidden="1"/>
    <cellStyle name="Hyperlink" xfId="68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0" builtinId="8" hidden="1"/>
    <cellStyle name="Hyperlink" xfId="732" builtinId="8" hidden="1"/>
    <cellStyle name="Hyperlink" xfId="734" builtinId="8" hidden="1"/>
    <cellStyle name="Hyperlink" xfId="736" builtinId="8" hidden="1"/>
    <cellStyle name="Hyperlink" xfId="738" builtinId="8" hidden="1"/>
    <cellStyle name="Hyperlink" xfId="740" builtinId="8" hidden="1"/>
    <cellStyle name="Hyperlink" xfId="742" builtinId="8" hidden="1"/>
    <cellStyle name="Hyperlink" xfId="744" builtinId="8" hidden="1"/>
    <cellStyle name="Hyperlink" xfId="746" builtinId="8" hidden="1"/>
    <cellStyle name="Hyperlink" xfId="748" builtinId="8" hidden="1"/>
    <cellStyle name="Hyperlink" xfId="750" builtinId="8" hidden="1"/>
    <cellStyle name="Hyperlink" xfId="752" builtinId="8" hidden="1"/>
    <cellStyle name="Hyperlink" xfId="754" builtinId="8" hidden="1"/>
    <cellStyle name="Hyperlink" xfId="756" builtinId="8" hidden="1"/>
    <cellStyle name="Hyperlink" xfId="758" builtinId="8" hidden="1"/>
    <cellStyle name="Hyperlink" xfId="760" builtinId="8" hidden="1"/>
    <cellStyle name="Hyperlink" xfId="762" builtinId="8" hidden="1"/>
    <cellStyle name="Hyperlink" xfId="764" builtinId="8" hidden="1"/>
    <cellStyle name="Hyperlink" xfId="766" builtinId="8" hidden="1"/>
    <cellStyle name="Hyperlink" xfId="768" builtinId="8" hidden="1"/>
    <cellStyle name="Hyperlink" xfId="770"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Input cel" xfId="1354"/>
    <cellStyle name="Normal" xfId="0" builtinId="0"/>
    <cellStyle name="Normal 2" xfId="1355"/>
    <cellStyle name="Output" xfId="1327" builtinId="21"/>
    <cellStyle name="Percent" xfId="1" builtinId="5"/>
    <cellStyle name="Percent 2" xfId="772"/>
    <cellStyle name="Warning Text 3" xfId="1356"/>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1016000</xdr:colOff>
          <xdr:row>3</xdr:row>
          <xdr:rowOff>38100</xdr:rowOff>
        </xdr:from>
        <xdr:to>
          <xdr:col>6</xdr:col>
          <xdr:colOff>1003300</xdr:colOff>
          <xdr:row>4</xdr:row>
          <xdr:rowOff>228600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import Odyssee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theme="2"/>
  </sheetPr>
  <dimension ref="B2:D38"/>
  <sheetViews>
    <sheetView workbookViewId="0">
      <selection activeCell="E8" sqref="E8"/>
    </sheetView>
  </sheetViews>
  <sheetFormatPr baseColWidth="10" defaultRowHeight="15" x14ac:dyDescent="0"/>
  <cols>
    <col min="1" max="1" width="3.83203125" style="1" customWidth="1"/>
    <col min="2" max="2" width="15.83203125" style="1" customWidth="1"/>
    <col min="3" max="3" width="40.83203125" style="1" customWidth="1"/>
    <col min="4" max="5" width="10.83203125" style="1" customWidth="1"/>
    <col min="6" max="16384" width="10.83203125" style="1"/>
  </cols>
  <sheetData>
    <row r="2" spans="2:4" ht="20">
      <c r="B2" s="2" t="s">
        <v>28</v>
      </c>
    </row>
    <row r="4" spans="2:4">
      <c r="B4" s="3" t="s">
        <v>1</v>
      </c>
      <c r="C4" s="4" t="s">
        <v>36</v>
      </c>
      <c r="D4" s="5"/>
    </row>
    <row r="5" spans="2:4">
      <c r="B5" s="6" t="s">
        <v>2</v>
      </c>
      <c r="C5" s="20">
        <f>MAX(Changelog!D:D)</f>
        <v>1.01</v>
      </c>
      <c r="D5" s="7"/>
    </row>
    <row r="6" spans="2:4">
      <c r="B6" s="6" t="s">
        <v>32</v>
      </c>
      <c r="C6" s="20" t="s">
        <v>175</v>
      </c>
      <c r="D6" s="7"/>
    </row>
    <row r="7" spans="2:4">
      <c r="B7" s="6" t="s">
        <v>33</v>
      </c>
      <c r="C7" s="39" t="s">
        <v>175</v>
      </c>
      <c r="D7" s="7"/>
    </row>
    <row r="8" spans="2:4">
      <c r="B8" s="6" t="s">
        <v>3</v>
      </c>
      <c r="C8" s="28">
        <f>MAX(Changelog!B:B)</f>
        <v>41822</v>
      </c>
      <c r="D8" s="7"/>
    </row>
    <row r="9" spans="2:4">
      <c r="B9" s="6" t="s">
        <v>4</v>
      </c>
      <c r="C9" s="8" t="s">
        <v>31</v>
      </c>
      <c r="D9" s="7"/>
    </row>
    <row r="10" spans="2:4">
      <c r="B10" s="9" t="s">
        <v>19</v>
      </c>
      <c r="C10" s="10" t="s">
        <v>5</v>
      </c>
      <c r="D10" s="11"/>
    </row>
    <row r="12" spans="2:4">
      <c r="B12" s="3" t="s">
        <v>8</v>
      </c>
      <c r="C12" s="4"/>
      <c r="D12" s="5"/>
    </row>
    <row r="13" spans="2:4">
      <c r="B13" s="15"/>
      <c r="C13" s="8"/>
      <c r="D13" s="7"/>
    </row>
    <row r="14" spans="2:4">
      <c r="B14" s="15" t="s">
        <v>9</v>
      </c>
      <c r="C14" s="16" t="s">
        <v>10</v>
      </c>
      <c r="D14" s="7"/>
    </row>
    <row r="15" spans="2:4" ht="16" thickBot="1">
      <c r="B15" s="15"/>
      <c r="C15" s="12" t="s">
        <v>11</v>
      </c>
      <c r="D15" s="7"/>
    </row>
    <row r="16" spans="2:4" ht="16" thickBot="1">
      <c r="B16" s="15"/>
      <c r="C16" s="17" t="s">
        <v>12</v>
      </c>
      <c r="D16" s="7"/>
    </row>
    <row r="17" spans="2:4">
      <c r="B17" s="15"/>
      <c r="C17" s="8" t="s">
        <v>13</v>
      </c>
      <c r="D17" s="7"/>
    </row>
    <row r="18" spans="2:4">
      <c r="B18" s="15"/>
      <c r="C18" s="8"/>
      <c r="D18" s="7"/>
    </row>
    <row r="19" spans="2:4">
      <c r="B19" s="15" t="s">
        <v>34</v>
      </c>
      <c r="C19" s="18" t="s">
        <v>29</v>
      </c>
      <c r="D19" s="7"/>
    </row>
    <row r="20" spans="2:4">
      <c r="B20" s="15"/>
      <c r="C20" s="25" t="s">
        <v>20</v>
      </c>
      <c r="D20" s="7"/>
    </row>
    <row r="21" spans="2:4">
      <c r="B21" s="15"/>
      <c r="C21" s="24" t="s">
        <v>16</v>
      </c>
      <c r="D21" s="7"/>
    </row>
    <row r="22" spans="2:4">
      <c r="B22" s="13"/>
      <c r="C22" s="19" t="s">
        <v>14</v>
      </c>
      <c r="D22" s="7"/>
    </row>
    <row r="23" spans="2:4">
      <c r="B23" s="13"/>
      <c r="C23" s="26" t="s">
        <v>30</v>
      </c>
      <c r="D23" s="7"/>
    </row>
    <row r="24" spans="2:4">
      <c r="B24" s="13"/>
      <c r="C24" s="27" t="s">
        <v>15</v>
      </c>
      <c r="D24" s="7"/>
    </row>
    <row r="25" spans="2:4">
      <c r="B25" s="13"/>
      <c r="C25" s="23" t="s">
        <v>17</v>
      </c>
      <c r="D25" s="7"/>
    </row>
    <row r="26" spans="2:4">
      <c r="B26" s="14"/>
      <c r="C26" s="10"/>
      <c r="D26" s="11"/>
    </row>
    <row r="28" spans="2:4">
      <c r="B28" s="3" t="s">
        <v>18</v>
      </c>
      <c r="C28" s="4"/>
      <c r="D28" s="5"/>
    </row>
    <row r="29" spans="2:4">
      <c r="B29" s="13"/>
      <c r="C29" s="8"/>
      <c r="D29" s="7"/>
    </row>
    <row r="30" spans="2:4">
      <c r="B30" s="13"/>
      <c r="C30" s="8"/>
      <c r="D30" s="7"/>
    </row>
    <row r="31" spans="2:4">
      <c r="B31" s="13"/>
      <c r="C31" s="8"/>
      <c r="D31" s="7"/>
    </row>
    <row r="32" spans="2:4">
      <c r="B32" s="13"/>
      <c r="C32" s="8"/>
      <c r="D32" s="7"/>
    </row>
    <row r="33" spans="2:4">
      <c r="B33" s="13"/>
      <c r="C33" s="8"/>
      <c r="D33" s="7"/>
    </row>
    <row r="34" spans="2:4">
      <c r="B34" s="13"/>
      <c r="C34" s="8"/>
      <c r="D34" s="7"/>
    </row>
    <row r="35" spans="2:4">
      <c r="B35" s="13"/>
      <c r="C35" s="8"/>
      <c r="D35" s="7"/>
    </row>
    <row r="36" spans="2:4">
      <c r="B36" s="13"/>
      <c r="C36" s="8"/>
      <c r="D36" s="7"/>
    </row>
    <row r="37" spans="2:4">
      <c r="B37" s="13"/>
      <c r="C37" s="8"/>
      <c r="D37" s="7"/>
    </row>
    <row r="38" spans="2:4">
      <c r="B38" s="14"/>
      <c r="C38" s="10"/>
      <c r="D38" s="11"/>
    </row>
  </sheetData>
  <pageMargins left="0.75" right="0.75" top="1" bottom="1" header="0.5" footer="0.5"/>
  <pageSetup paperSize="9" orientation="portrait" horizontalDpi="4294967292" verticalDpi="4294967292"/>
  <ignoredErrors>
    <ignoredError sqref="C5 C8" emptyCellReference="1"/>
  </ignoredError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2"/>
  </sheetPr>
  <dimension ref="B2:D11"/>
  <sheetViews>
    <sheetView workbookViewId="0">
      <selection activeCell="C17" sqref="C17"/>
    </sheetView>
  </sheetViews>
  <sheetFormatPr baseColWidth="10" defaultRowHeight="15" x14ac:dyDescent="0"/>
  <cols>
    <col min="1" max="1" width="3.83203125" style="1" customWidth="1"/>
    <col min="2" max="2" width="15.83203125" style="125" customWidth="1"/>
    <col min="3" max="3" width="40.83203125" style="141" customWidth="1"/>
    <col min="4" max="4" width="10.83203125" style="30" customWidth="1"/>
    <col min="5" max="5" width="10.83203125" style="1" customWidth="1"/>
    <col min="6" max="16384" width="10.83203125" style="1"/>
  </cols>
  <sheetData>
    <row r="2" spans="2:4" ht="20">
      <c r="B2" s="121" t="s">
        <v>0</v>
      </c>
      <c r="C2" s="135"/>
    </row>
    <row r="4" spans="2:4">
      <c r="B4" s="122" t="s">
        <v>3</v>
      </c>
      <c r="C4" s="136" t="s">
        <v>6</v>
      </c>
      <c r="D4" s="36" t="s">
        <v>7</v>
      </c>
    </row>
    <row r="5" spans="2:4">
      <c r="B5" s="123"/>
      <c r="C5" s="137"/>
      <c r="D5" s="37"/>
    </row>
    <row r="6" spans="2:4">
      <c r="B6" s="29">
        <v>41784</v>
      </c>
      <c r="C6" s="138" t="s">
        <v>196</v>
      </c>
      <c r="D6" s="32">
        <v>1</v>
      </c>
    </row>
    <row r="7" spans="2:4">
      <c r="B7" s="33">
        <v>41822</v>
      </c>
      <c r="C7" s="139" t="s">
        <v>199</v>
      </c>
      <c r="D7" s="34">
        <v>1.01</v>
      </c>
    </row>
    <row r="8" spans="2:4">
      <c r="B8" s="33"/>
      <c r="C8" s="139"/>
      <c r="D8" s="34"/>
    </row>
    <row r="9" spans="2:4">
      <c r="B9" s="33"/>
      <c r="C9" s="139"/>
      <c r="D9" s="34"/>
    </row>
    <row r="10" spans="2:4">
      <c r="B10" s="33"/>
      <c r="C10" s="139"/>
      <c r="D10" s="34"/>
    </row>
    <row r="11" spans="2:4">
      <c r="B11" s="124"/>
      <c r="C11" s="140"/>
      <c r="D11" s="3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rgb="FFFFFF00"/>
  </sheetPr>
  <dimension ref="B2:G26"/>
  <sheetViews>
    <sheetView tabSelected="1" workbookViewId="0"/>
  </sheetViews>
  <sheetFormatPr baseColWidth="10" defaultRowHeight="15" x14ac:dyDescent="0"/>
  <cols>
    <col min="1" max="1" width="3.83203125" style="1" customWidth="1"/>
    <col min="2" max="2" width="10.83203125" style="1" customWidth="1"/>
    <col min="3" max="3" width="48.83203125" style="1" bestFit="1" customWidth="1"/>
    <col min="4" max="4" width="10.83203125" style="31" customWidth="1"/>
    <col min="5" max="5" width="10.83203125" style="1" customWidth="1"/>
    <col min="6" max="6" width="3.83203125" style="1" customWidth="1"/>
    <col min="7" max="8" width="10.83203125" style="1" customWidth="1"/>
    <col min="9" max="9" width="13.83203125" style="1" bestFit="1" customWidth="1"/>
    <col min="10" max="10" width="48.83203125" style="1" bestFit="1" customWidth="1"/>
    <col min="11" max="11" width="5.83203125" style="1" bestFit="1" customWidth="1"/>
    <col min="12" max="12" width="5.6640625" style="1" bestFit="1" customWidth="1"/>
    <col min="13" max="16384" width="10.83203125" style="1"/>
  </cols>
  <sheetData>
    <row r="2" spans="2:7" ht="20">
      <c r="B2" s="2" t="s">
        <v>20</v>
      </c>
      <c r="E2" s="40"/>
    </row>
    <row r="3" spans="2:7" ht="20">
      <c r="B3" s="2"/>
    </row>
    <row r="4" spans="2:7">
      <c r="B4" s="21" t="s">
        <v>22</v>
      </c>
      <c r="C4" s="4"/>
      <c r="D4" s="35"/>
    </row>
    <row r="5" spans="2:7" ht="45" customHeight="1">
      <c r="B5" s="157" t="s">
        <v>203</v>
      </c>
      <c r="C5" s="158"/>
      <c r="D5" s="159"/>
      <c r="G5" s="41"/>
    </row>
    <row r="7" spans="2:7">
      <c r="B7" s="22" t="s">
        <v>181</v>
      </c>
    </row>
    <row r="8" spans="2:7" ht="16" thickBot="1"/>
    <row r="9" spans="2:7" ht="16" thickBot="1">
      <c r="C9" s="1" t="s">
        <v>32</v>
      </c>
      <c r="E9" s="56" t="s">
        <v>205</v>
      </c>
    </row>
    <row r="10" spans="2:7" ht="16" thickBot="1">
      <c r="C10" s="1" t="s">
        <v>182</v>
      </c>
      <c r="E10" s="17">
        <v>2011</v>
      </c>
    </row>
    <row r="12" spans="2:7">
      <c r="B12" s="22" t="s">
        <v>14</v>
      </c>
    </row>
    <row r="13" spans="2:7">
      <c r="B13" s="42" t="s">
        <v>153</v>
      </c>
    </row>
    <row r="14" spans="2:7">
      <c r="C14" s="8" t="s">
        <v>154</v>
      </c>
      <c r="D14" s="8" t="s">
        <v>35</v>
      </c>
      <c r="E14" s="57" t="e">
        <f>Calculations!D19/(Calculations!D19+Calculations!D22)</f>
        <v>#DIV/0!</v>
      </c>
      <c r="G14" s="146" t="str">
        <f>IF(ISNUMBER(E14),"","Odyssee data for this country and year is not available. Update the data on the Odyssee sheet or try another year.")</f>
        <v>Odyssee data for this country and year is not available. Update the data on the Odyssee sheet or try another year.</v>
      </c>
    </row>
    <row r="15" spans="2:7">
      <c r="C15" s="8" t="s">
        <v>155</v>
      </c>
      <c r="D15" s="8" t="s">
        <v>35</v>
      </c>
      <c r="E15" s="43" t="e">
        <f>1-E14</f>
        <v>#DIV/0!</v>
      </c>
    </row>
    <row r="16" spans="2:7">
      <c r="C16" s="8"/>
      <c r="D16" s="8"/>
      <c r="E16" s="8"/>
    </row>
    <row r="17" spans="2:7">
      <c r="C17" s="8" t="s">
        <v>156</v>
      </c>
      <c r="D17" s="8" t="s">
        <v>35</v>
      </c>
      <c r="E17" s="57" t="e">
        <f>Calculations!E19/(Calculations!E19+Calculations!E22)</f>
        <v>#DIV/0!</v>
      </c>
      <c r="G17" s="146" t="str">
        <f>IF(ISNUMBER(E17),"","Odyssee data for this country and year is not available. Update the data on the Odyssee sheet or try another year.")</f>
        <v>Odyssee data for this country and year is not available. Update the data on the Odyssee sheet or try another year.</v>
      </c>
    </row>
    <row r="18" spans="2:7">
      <c r="C18" s="8" t="s">
        <v>157</v>
      </c>
      <c r="D18" s="8" t="s">
        <v>35</v>
      </c>
      <c r="E18" s="43" t="e">
        <f>1-E17</f>
        <v>#DIV/0!</v>
      </c>
    </row>
    <row r="19" spans="2:7">
      <c r="C19" s="8"/>
      <c r="D19" s="8"/>
      <c r="E19" s="8"/>
    </row>
    <row r="20" spans="2:7">
      <c r="C20" s="8" t="s">
        <v>158</v>
      </c>
      <c r="D20" s="8" t="s">
        <v>35</v>
      </c>
      <c r="E20" s="142" t="s">
        <v>175</v>
      </c>
      <c r="G20" s="145" t="s">
        <v>202</v>
      </c>
    </row>
    <row r="21" spans="2:7">
      <c r="C21" s="8" t="s">
        <v>159</v>
      </c>
      <c r="D21" s="8" t="s">
        <v>35</v>
      </c>
      <c r="E21" s="143" t="s">
        <v>175</v>
      </c>
    </row>
    <row r="22" spans="2:7">
      <c r="C22" s="8"/>
      <c r="D22" s="8"/>
      <c r="E22" s="144"/>
    </row>
    <row r="23" spans="2:7">
      <c r="C23" s="8" t="s">
        <v>160</v>
      </c>
      <c r="D23" s="8" t="s">
        <v>35</v>
      </c>
      <c r="E23" s="142" t="s">
        <v>175</v>
      </c>
      <c r="G23" s="145" t="s">
        <v>202</v>
      </c>
    </row>
    <row r="24" spans="2:7">
      <c r="C24" s="8" t="s">
        <v>161</v>
      </c>
      <c r="D24" s="8" t="s">
        <v>35</v>
      </c>
      <c r="E24" s="143" t="s">
        <v>175</v>
      </c>
    </row>
    <row r="26" spans="2:7">
      <c r="B26" s="8"/>
      <c r="C26" s="8"/>
    </row>
  </sheetData>
  <mergeCells count="1">
    <mergeCell ref="B5:D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6" tint="0.39997558519241921"/>
  </sheetPr>
  <dimension ref="A1:Z117"/>
  <sheetViews>
    <sheetView workbookViewId="0">
      <selection activeCell="W9" sqref="W9"/>
    </sheetView>
  </sheetViews>
  <sheetFormatPr baseColWidth="10" defaultRowHeight="15" x14ac:dyDescent="0"/>
  <cols>
    <col min="1" max="1" width="3.83203125" style="44" customWidth="1"/>
    <col min="2" max="2" width="69.33203125" style="44" bestFit="1" customWidth="1"/>
    <col min="3" max="3" width="14" style="92" customWidth="1"/>
    <col min="4" max="4" width="14" style="44" customWidth="1"/>
    <col min="5" max="5" width="3.83203125" style="44" customWidth="1"/>
    <col min="6" max="7" width="14" style="44" customWidth="1"/>
    <col min="8" max="12" width="11" style="44" bestFit="1" customWidth="1"/>
    <col min="13" max="13" width="10.83203125" style="44"/>
    <col min="14" max="14" width="11" style="44" bestFit="1" customWidth="1"/>
    <col min="15" max="15" width="10.83203125" style="44"/>
    <col min="16" max="17" width="11" style="44" bestFit="1" customWidth="1"/>
    <col min="18" max="18" width="11.83203125" style="44" bestFit="1" customWidth="1"/>
    <col min="19" max="16384" width="10.83203125" style="44"/>
  </cols>
  <sheetData>
    <row r="1" spans="1:26">
      <c r="A1" s="58"/>
      <c r="B1" s="58"/>
      <c r="C1" s="59"/>
      <c r="D1" s="58"/>
      <c r="E1" s="58"/>
      <c r="F1" s="58"/>
      <c r="G1" s="58"/>
    </row>
    <row r="2" spans="1:26" ht="20">
      <c r="A2" s="58"/>
      <c r="B2" s="60" t="s">
        <v>178</v>
      </c>
      <c r="C2" s="61"/>
      <c r="D2" s="62"/>
      <c r="E2" s="62"/>
      <c r="F2" s="62"/>
      <c r="G2" s="62"/>
    </row>
    <row r="3" spans="1:26">
      <c r="A3" s="58"/>
      <c r="C3" s="61"/>
      <c r="D3" s="62"/>
      <c r="E3" s="62"/>
      <c r="F3" s="62"/>
      <c r="G3" s="62"/>
    </row>
    <row r="4" spans="1:26">
      <c r="A4" s="58"/>
      <c r="B4" s="63" t="s">
        <v>22</v>
      </c>
      <c r="C4" s="64"/>
      <c r="D4" s="62"/>
      <c r="E4" s="62"/>
      <c r="F4" s="62"/>
      <c r="G4" s="62"/>
    </row>
    <row r="5" spans="1:26" ht="76" customHeight="1">
      <c r="A5" s="58"/>
      <c r="B5" s="65" t="s">
        <v>206</v>
      </c>
      <c r="C5" s="66"/>
      <c r="D5" s="67"/>
      <c r="E5" s="67"/>
      <c r="F5" s="67"/>
      <c r="G5" s="67"/>
    </row>
    <row r="6" spans="1:26">
      <c r="A6" s="58"/>
      <c r="B6" s="58"/>
      <c r="C6" s="59"/>
      <c r="D6" s="58"/>
      <c r="E6" s="58"/>
      <c r="F6" s="58"/>
      <c r="G6" s="58"/>
    </row>
    <row r="7" spans="1:26">
      <c r="A7" s="58"/>
      <c r="B7" s="58"/>
      <c r="C7" s="59"/>
      <c r="D7" s="58"/>
      <c r="E7" s="58"/>
      <c r="F7" s="58"/>
      <c r="G7" s="58"/>
      <c r="H7" s="58"/>
      <c r="I7" s="58"/>
    </row>
    <row r="8" spans="1:26">
      <c r="A8" s="58"/>
      <c r="B8" s="46" t="s">
        <v>152</v>
      </c>
      <c r="C8" s="113" t="s">
        <v>23</v>
      </c>
      <c r="D8" s="114" t="s">
        <v>195</v>
      </c>
      <c r="E8" s="58"/>
      <c r="F8" s="115" t="s">
        <v>195</v>
      </c>
      <c r="G8" s="116"/>
      <c r="H8" s="116"/>
      <c r="I8" s="116"/>
      <c r="J8" s="47"/>
      <c r="K8" s="47"/>
      <c r="L8" s="47"/>
      <c r="M8" s="47"/>
      <c r="N8" s="47"/>
      <c r="O8" s="47"/>
      <c r="P8" s="47"/>
      <c r="Q8" s="47"/>
      <c r="R8" s="47"/>
      <c r="S8" s="47"/>
      <c r="T8" s="47"/>
      <c r="U8" s="47"/>
      <c r="V8" s="47"/>
      <c r="W8" s="47"/>
      <c r="X8" s="47"/>
      <c r="Y8" s="47"/>
      <c r="Z8" s="48"/>
    </row>
    <row r="9" spans="1:26">
      <c r="A9" s="58"/>
      <c r="B9" s="53"/>
      <c r="C9" s="117"/>
      <c r="D9" s="118" t="str">
        <f>country&amp;"_"&amp;year</f>
        <v>nl_2011</v>
      </c>
      <c r="E9" s="58"/>
      <c r="F9" s="119" t="s">
        <v>179</v>
      </c>
      <c r="G9" s="120" t="s">
        <v>180</v>
      </c>
      <c r="H9" s="120" t="s">
        <v>183</v>
      </c>
      <c r="I9" s="120" t="s">
        <v>184</v>
      </c>
      <c r="J9" s="52" t="s">
        <v>185</v>
      </c>
      <c r="K9" s="52" t="s">
        <v>186</v>
      </c>
      <c r="L9" s="52" t="s">
        <v>187</v>
      </c>
      <c r="M9" s="52" t="s">
        <v>188</v>
      </c>
      <c r="N9" s="52" t="s">
        <v>189</v>
      </c>
      <c r="O9" s="52" t="s">
        <v>190</v>
      </c>
      <c r="P9" s="52" t="s">
        <v>191</v>
      </c>
      <c r="Q9" s="52" t="s">
        <v>192</v>
      </c>
      <c r="R9" s="52" t="s">
        <v>193</v>
      </c>
      <c r="S9" s="52" t="s">
        <v>194</v>
      </c>
      <c r="T9" s="52"/>
      <c r="U9" s="52"/>
      <c r="V9" s="52"/>
      <c r="W9" s="52"/>
      <c r="X9" s="52"/>
      <c r="Y9" s="52"/>
      <c r="Z9" s="118"/>
    </row>
    <row r="10" spans="1:26" s="74" customFormat="1">
      <c r="A10" s="70"/>
      <c r="B10" s="71" t="s">
        <v>38</v>
      </c>
      <c r="C10" s="72" t="s">
        <v>39</v>
      </c>
      <c r="D10" s="73">
        <f>HLOOKUP($D$9,$F$9:$Z$169,MATCH(B10,$B$9:$B$169,FALSE),FALSE)</f>
        <v>0</v>
      </c>
      <c r="E10" s="70"/>
      <c r="F10" s="97"/>
      <c r="G10" s="98"/>
      <c r="H10" s="98"/>
      <c r="I10" s="98"/>
      <c r="J10" s="99"/>
      <c r="K10" s="99"/>
      <c r="L10" s="99"/>
      <c r="M10" s="99"/>
      <c r="N10" s="99"/>
      <c r="O10" s="99"/>
      <c r="P10" s="99"/>
      <c r="Q10" s="99"/>
      <c r="R10" s="99"/>
      <c r="S10" s="99"/>
      <c r="T10" s="99"/>
      <c r="U10" s="99"/>
      <c r="V10" s="99"/>
      <c r="W10" s="99"/>
      <c r="X10" s="99"/>
      <c r="Y10" s="99"/>
      <c r="Z10" s="100"/>
    </row>
    <row r="11" spans="1:26">
      <c r="A11" s="58"/>
      <c r="B11" s="68" t="s">
        <v>40</v>
      </c>
      <c r="C11" s="69" t="s">
        <v>39</v>
      </c>
      <c r="D11" s="73">
        <f t="shared" ref="D11:D74" si="0">HLOOKUP($D$9,$F$9:$Z$169,MATCH(B11,$B$9:$B$169,FALSE),FALSE)</f>
        <v>0</v>
      </c>
      <c r="E11" s="58"/>
      <c r="F11" s="93"/>
      <c r="G11" s="94"/>
      <c r="H11" s="94"/>
      <c r="I11" s="94"/>
      <c r="J11" s="95"/>
      <c r="K11" s="95"/>
      <c r="L11" s="95"/>
      <c r="M11" s="95"/>
      <c r="N11" s="95"/>
      <c r="O11" s="95"/>
      <c r="P11" s="95"/>
      <c r="Q11" s="95"/>
      <c r="R11" s="95"/>
      <c r="S11" s="95"/>
      <c r="T11" s="95"/>
      <c r="U11" s="95"/>
      <c r="V11" s="95"/>
      <c r="W11" s="95"/>
      <c r="X11" s="95"/>
      <c r="Y11" s="95"/>
      <c r="Z11" s="96"/>
    </row>
    <row r="12" spans="1:26">
      <c r="A12" s="58"/>
      <c r="B12" s="68" t="s">
        <v>41</v>
      </c>
      <c r="C12" s="69" t="s">
        <v>39</v>
      </c>
      <c r="D12" s="73">
        <f t="shared" si="0"/>
        <v>0</v>
      </c>
      <c r="E12" s="58"/>
      <c r="F12" s="93"/>
      <c r="G12" s="94"/>
      <c r="H12" s="94"/>
      <c r="I12" s="94"/>
      <c r="J12" s="95"/>
      <c r="K12" s="95"/>
      <c r="L12" s="95"/>
      <c r="M12" s="95"/>
      <c r="N12" s="95"/>
      <c r="O12" s="95"/>
      <c r="P12" s="95"/>
      <c r="Q12" s="95"/>
      <c r="R12" s="95"/>
      <c r="S12" s="95"/>
      <c r="T12" s="95"/>
      <c r="U12" s="95"/>
      <c r="V12" s="95"/>
      <c r="W12" s="95"/>
      <c r="X12" s="95"/>
      <c r="Y12" s="95"/>
      <c r="Z12" s="96"/>
    </row>
    <row r="13" spans="1:26">
      <c r="A13" s="58"/>
      <c r="B13" s="68" t="s">
        <v>42</v>
      </c>
      <c r="C13" s="69" t="s">
        <v>39</v>
      </c>
      <c r="D13" s="73">
        <f t="shared" si="0"/>
        <v>0</v>
      </c>
      <c r="E13" s="58"/>
      <c r="F13" s="93"/>
      <c r="G13" s="94"/>
      <c r="H13" s="94"/>
      <c r="I13" s="94"/>
      <c r="J13" s="95"/>
      <c r="K13" s="95"/>
      <c r="L13" s="95"/>
      <c r="M13" s="95"/>
      <c r="N13" s="95"/>
      <c r="O13" s="95"/>
      <c r="P13" s="95"/>
      <c r="Q13" s="95"/>
      <c r="R13" s="95"/>
      <c r="S13" s="95"/>
      <c r="T13" s="95"/>
      <c r="U13" s="95"/>
      <c r="V13" s="95"/>
      <c r="W13" s="95"/>
      <c r="X13" s="95"/>
      <c r="Y13" s="95"/>
      <c r="Z13" s="96"/>
    </row>
    <row r="14" spans="1:26">
      <c r="A14" s="58"/>
      <c r="B14" s="68" t="s">
        <v>43</v>
      </c>
      <c r="C14" s="69" t="s">
        <v>78</v>
      </c>
      <c r="D14" s="73">
        <f t="shared" si="0"/>
        <v>0</v>
      </c>
      <c r="E14" s="58"/>
      <c r="F14" s="93"/>
      <c r="G14" s="94"/>
      <c r="H14" s="94"/>
      <c r="I14" s="94"/>
      <c r="J14" s="95"/>
      <c r="K14" s="95"/>
      <c r="L14" s="95"/>
      <c r="M14" s="95"/>
      <c r="N14" s="95"/>
      <c r="O14" s="95"/>
      <c r="P14" s="95"/>
      <c r="Q14" s="95"/>
      <c r="R14" s="95"/>
      <c r="S14" s="95"/>
      <c r="T14" s="95"/>
      <c r="U14" s="95"/>
      <c r="V14" s="95"/>
      <c r="W14" s="95"/>
      <c r="X14" s="95"/>
      <c r="Y14" s="95"/>
      <c r="Z14" s="96"/>
    </row>
    <row r="15" spans="1:26">
      <c r="A15" s="58"/>
      <c r="B15" s="68" t="s">
        <v>44</v>
      </c>
      <c r="C15" s="69" t="s">
        <v>78</v>
      </c>
      <c r="D15" s="73">
        <f t="shared" si="0"/>
        <v>0</v>
      </c>
      <c r="E15" s="58"/>
      <c r="F15" s="93"/>
      <c r="G15" s="94"/>
      <c r="H15" s="94"/>
      <c r="I15" s="94"/>
      <c r="J15" s="95"/>
      <c r="K15" s="95"/>
      <c r="L15" s="95"/>
      <c r="M15" s="95"/>
      <c r="N15" s="95"/>
      <c r="O15" s="95"/>
      <c r="P15" s="95"/>
      <c r="Q15" s="95"/>
      <c r="R15" s="95"/>
      <c r="S15" s="95"/>
      <c r="T15" s="95"/>
      <c r="U15" s="95"/>
      <c r="V15" s="95"/>
      <c r="W15" s="95"/>
      <c r="X15" s="95"/>
      <c r="Y15" s="95"/>
      <c r="Z15" s="96"/>
    </row>
    <row r="16" spans="1:26" s="74" customFormat="1">
      <c r="B16" s="71" t="s">
        <v>45</v>
      </c>
      <c r="C16" s="72" t="s">
        <v>39</v>
      </c>
      <c r="D16" s="73">
        <f t="shared" si="0"/>
        <v>0</v>
      </c>
      <c r="E16" s="70"/>
      <c r="F16" s="97"/>
      <c r="G16" s="98"/>
      <c r="H16" s="98"/>
      <c r="I16" s="98"/>
      <c r="J16" s="99"/>
      <c r="K16" s="99"/>
      <c r="L16" s="99"/>
      <c r="M16" s="99"/>
      <c r="N16" s="99"/>
      <c r="O16" s="99"/>
      <c r="P16" s="99"/>
      <c r="Q16" s="99"/>
      <c r="R16" s="99"/>
      <c r="S16" s="99"/>
      <c r="T16" s="99"/>
      <c r="U16" s="99"/>
      <c r="V16" s="99"/>
      <c r="W16" s="99"/>
      <c r="X16" s="99"/>
      <c r="Y16" s="99"/>
      <c r="Z16" s="100"/>
    </row>
    <row r="17" spans="2:26">
      <c r="B17" s="68" t="s">
        <v>46</v>
      </c>
      <c r="C17" s="69" t="s">
        <v>39</v>
      </c>
      <c r="D17" s="73">
        <f t="shared" si="0"/>
        <v>0</v>
      </c>
      <c r="E17" s="58"/>
      <c r="F17" s="93"/>
      <c r="G17" s="94"/>
      <c r="H17" s="94"/>
      <c r="I17" s="94"/>
      <c r="J17" s="95"/>
      <c r="K17" s="95"/>
      <c r="L17" s="95"/>
      <c r="M17" s="95"/>
      <c r="N17" s="95"/>
      <c r="O17" s="95"/>
      <c r="P17" s="95"/>
      <c r="Q17" s="95"/>
      <c r="R17" s="95"/>
      <c r="S17" s="95"/>
      <c r="T17" s="95"/>
      <c r="U17" s="95"/>
      <c r="V17" s="95"/>
      <c r="W17" s="95"/>
      <c r="X17" s="95"/>
      <c r="Y17" s="95"/>
      <c r="Z17" s="96"/>
    </row>
    <row r="18" spans="2:26">
      <c r="B18" s="68" t="s">
        <v>47</v>
      </c>
      <c r="C18" s="69" t="s">
        <v>39</v>
      </c>
      <c r="D18" s="73">
        <f t="shared" si="0"/>
        <v>0</v>
      </c>
      <c r="E18" s="58"/>
      <c r="F18" s="93"/>
      <c r="G18" s="94"/>
      <c r="H18" s="94"/>
      <c r="I18" s="94"/>
      <c r="J18" s="95"/>
      <c r="K18" s="95"/>
      <c r="L18" s="95"/>
      <c r="M18" s="95"/>
      <c r="N18" s="95"/>
      <c r="O18" s="95"/>
      <c r="P18" s="95"/>
      <c r="Q18" s="95"/>
      <c r="R18" s="95"/>
      <c r="S18" s="95"/>
      <c r="T18" s="95"/>
      <c r="U18" s="95"/>
      <c r="V18" s="95"/>
      <c r="W18" s="95"/>
      <c r="X18" s="95"/>
      <c r="Y18" s="95"/>
      <c r="Z18" s="96"/>
    </row>
    <row r="19" spans="2:26">
      <c r="B19" s="68" t="s">
        <v>48</v>
      </c>
      <c r="C19" s="69" t="s">
        <v>39</v>
      </c>
      <c r="D19" s="73">
        <f t="shared" si="0"/>
        <v>0</v>
      </c>
      <c r="E19" s="58"/>
      <c r="F19" s="93"/>
      <c r="G19" s="94"/>
      <c r="H19" s="94"/>
      <c r="I19" s="94"/>
      <c r="J19" s="95"/>
      <c r="K19" s="95"/>
      <c r="L19" s="95"/>
      <c r="M19" s="95"/>
      <c r="N19" s="95"/>
      <c r="O19" s="95"/>
      <c r="P19" s="95"/>
      <c r="Q19" s="95"/>
      <c r="R19" s="95"/>
      <c r="S19" s="95"/>
      <c r="T19" s="95"/>
      <c r="U19" s="95"/>
      <c r="V19" s="95"/>
      <c r="W19" s="95"/>
      <c r="X19" s="95"/>
      <c r="Y19" s="95"/>
      <c r="Z19" s="96"/>
    </row>
    <row r="20" spans="2:26">
      <c r="B20" s="68" t="s">
        <v>49</v>
      </c>
      <c r="C20" s="69" t="s">
        <v>39</v>
      </c>
      <c r="D20" s="73">
        <f t="shared" si="0"/>
        <v>0</v>
      </c>
      <c r="E20" s="58"/>
      <c r="F20" s="93"/>
      <c r="G20" s="94"/>
      <c r="H20" s="94"/>
      <c r="I20" s="94"/>
      <c r="J20" s="95"/>
      <c r="K20" s="95"/>
      <c r="L20" s="95"/>
      <c r="M20" s="95"/>
      <c r="N20" s="95"/>
      <c r="O20" s="95"/>
      <c r="P20" s="95"/>
      <c r="Q20" s="95"/>
      <c r="R20" s="95"/>
      <c r="S20" s="95"/>
      <c r="T20" s="95"/>
      <c r="U20" s="95"/>
      <c r="V20" s="95"/>
      <c r="W20" s="95"/>
      <c r="X20" s="95"/>
      <c r="Y20" s="95"/>
      <c r="Z20" s="96"/>
    </row>
    <row r="21" spans="2:26" s="74" customFormat="1">
      <c r="B21" s="71" t="s">
        <v>50</v>
      </c>
      <c r="C21" s="72" t="s">
        <v>39</v>
      </c>
      <c r="D21" s="73">
        <f t="shared" si="0"/>
        <v>0</v>
      </c>
      <c r="E21" s="70"/>
      <c r="F21" s="97"/>
      <c r="G21" s="98"/>
      <c r="H21" s="98"/>
      <c r="I21" s="98"/>
      <c r="J21" s="99"/>
      <c r="K21" s="99"/>
      <c r="L21" s="99"/>
      <c r="M21" s="99"/>
      <c r="N21" s="99"/>
      <c r="O21" s="99"/>
      <c r="P21" s="99"/>
      <c r="Q21" s="99"/>
      <c r="R21" s="99"/>
      <c r="S21" s="99"/>
      <c r="T21" s="99"/>
      <c r="U21" s="99"/>
      <c r="V21" s="99"/>
      <c r="W21" s="99"/>
      <c r="X21" s="99"/>
      <c r="Y21" s="99"/>
      <c r="Z21" s="100"/>
    </row>
    <row r="22" spans="2:26">
      <c r="B22" s="68" t="s">
        <v>51</v>
      </c>
      <c r="C22" s="69" t="s">
        <v>39</v>
      </c>
      <c r="D22" s="73">
        <f t="shared" si="0"/>
        <v>0</v>
      </c>
      <c r="E22" s="58"/>
      <c r="F22" s="93"/>
      <c r="G22" s="94"/>
      <c r="H22" s="94"/>
      <c r="I22" s="94"/>
      <c r="J22" s="95"/>
      <c r="K22" s="95"/>
      <c r="L22" s="95"/>
      <c r="M22" s="95"/>
      <c r="N22" s="95"/>
      <c r="O22" s="95"/>
      <c r="P22" s="95"/>
      <c r="Q22" s="95"/>
      <c r="R22" s="95"/>
      <c r="S22" s="95"/>
      <c r="T22" s="95"/>
      <c r="U22" s="95"/>
      <c r="V22" s="95"/>
      <c r="W22" s="95"/>
      <c r="X22" s="95"/>
      <c r="Y22" s="95"/>
      <c r="Z22" s="96"/>
    </row>
    <row r="23" spans="2:26">
      <c r="B23" s="68" t="s">
        <v>52</v>
      </c>
      <c r="C23" s="69" t="s">
        <v>39</v>
      </c>
      <c r="D23" s="73">
        <f t="shared" si="0"/>
        <v>0</v>
      </c>
      <c r="E23" s="58"/>
      <c r="F23" s="93"/>
      <c r="G23" s="94"/>
      <c r="H23" s="94"/>
      <c r="I23" s="94"/>
      <c r="J23" s="95"/>
      <c r="K23" s="95"/>
      <c r="L23" s="95"/>
      <c r="M23" s="95"/>
      <c r="N23" s="95"/>
      <c r="O23" s="95"/>
      <c r="P23" s="95"/>
      <c r="Q23" s="95"/>
      <c r="R23" s="95"/>
      <c r="S23" s="95"/>
      <c r="T23" s="95"/>
      <c r="U23" s="95"/>
      <c r="V23" s="95"/>
      <c r="W23" s="95"/>
      <c r="X23" s="95"/>
      <c r="Y23" s="95"/>
      <c r="Z23" s="96"/>
    </row>
    <row r="24" spans="2:26">
      <c r="B24" s="68" t="s">
        <v>53</v>
      </c>
      <c r="C24" s="69" t="s">
        <v>39</v>
      </c>
      <c r="D24" s="73">
        <f t="shared" si="0"/>
        <v>0</v>
      </c>
      <c r="F24" s="101"/>
      <c r="G24" s="95"/>
      <c r="H24" s="95"/>
      <c r="I24" s="95"/>
      <c r="J24" s="95"/>
      <c r="K24" s="95"/>
      <c r="L24" s="95"/>
      <c r="M24" s="95"/>
      <c r="N24" s="95"/>
      <c r="O24" s="95"/>
      <c r="P24" s="95"/>
      <c r="Q24" s="95"/>
      <c r="R24" s="95"/>
      <c r="S24" s="95"/>
      <c r="T24" s="95"/>
      <c r="U24" s="95"/>
      <c r="V24" s="95"/>
      <c r="W24" s="95"/>
      <c r="X24" s="95"/>
      <c r="Y24" s="95"/>
      <c r="Z24" s="96"/>
    </row>
    <row r="25" spans="2:26">
      <c r="B25" s="68" t="s">
        <v>54</v>
      </c>
      <c r="C25" s="69" t="s">
        <v>39</v>
      </c>
      <c r="D25" s="73">
        <f t="shared" si="0"/>
        <v>0</v>
      </c>
      <c r="F25" s="101"/>
      <c r="G25" s="95"/>
      <c r="H25" s="95"/>
      <c r="I25" s="95"/>
      <c r="J25" s="95"/>
      <c r="K25" s="95"/>
      <c r="L25" s="95"/>
      <c r="M25" s="95"/>
      <c r="N25" s="95"/>
      <c r="O25" s="95"/>
      <c r="P25" s="95"/>
      <c r="Q25" s="95"/>
      <c r="R25" s="95"/>
      <c r="S25" s="95"/>
      <c r="T25" s="95"/>
      <c r="U25" s="95"/>
      <c r="V25" s="95"/>
      <c r="W25" s="95"/>
      <c r="X25" s="95"/>
      <c r="Y25" s="95"/>
      <c r="Z25" s="96"/>
    </row>
    <row r="26" spans="2:26">
      <c r="B26" s="68" t="s">
        <v>55</v>
      </c>
      <c r="C26" s="69" t="s">
        <v>39</v>
      </c>
      <c r="D26" s="73">
        <f t="shared" si="0"/>
        <v>0</v>
      </c>
      <c r="F26" s="101"/>
      <c r="G26" s="95"/>
      <c r="H26" s="95"/>
      <c r="I26" s="95"/>
      <c r="J26" s="95"/>
      <c r="K26" s="95"/>
      <c r="L26" s="95"/>
      <c r="M26" s="95"/>
      <c r="N26" s="95"/>
      <c r="O26" s="95"/>
      <c r="P26" s="95"/>
      <c r="Q26" s="95"/>
      <c r="R26" s="95"/>
      <c r="S26" s="95"/>
      <c r="T26" s="95"/>
      <c r="U26" s="95"/>
      <c r="V26" s="95"/>
      <c r="W26" s="95"/>
      <c r="X26" s="95"/>
      <c r="Y26" s="95"/>
      <c r="Z26" s="96"/>
    </row>
    <row r="27" spans="2:26">
      <c r="B27" s="68" t="s">
        <v>56</v>
      </c>
      <c r="C27" s="69" t="s">
        <v>39</v>
      </c>
      <c r="D27" s="73">
        <f t="shared" si="0"/>
        <v>0</v>
      </c>
      <c r="F27" s="101"/>
      <c r="G27" s="95"/>
      <c r="H27" s="95"/>
      <c r="I27" s="95"/>
      <c r="J27" s="95"/>
      <c r="K27" s="95"/>
      <c r="L27" s="95"/>
      <c r="M27" s="95"/>
      <c r="N27" s="95"/>
      <c r="O27" s="95"/>
      <c r="P27" s="95"/>
      <c r="Q27" s="95"/>
      <c r="R27" s="95"/>
      <c r="S27" s="95"/>
      <c r="T27" s="95"/>
      <c r="U27" s="95"/>
      <c r="V27" s="95"/>
      <c r="W27" s="95"/>
      <c r="X27" s="95"/>
      <c r="Y27" s="95"/>
      <c r="Z27" s="96"/>
    </row>
    <row r="28" spans="2:26">
      <c r="B28" s="68" t="s">
        <v>57</v>
      </c>
      <c r="C28" s="69" t="s">
        <v>39</v>
      </c>
      <c r="D28" s="73">
        <f t="shared" si="0"/>
        <v>0</v>
      </c>
      <c r="F28" s="101"/>
      <c r="G28" s="95"/>
      <c r="H28" s="95"/>
      <c r="I28" s="95"/>
      <c r="J28" s="95"/>
      <c r="K28" s="95"/>
      <c r="L28" s="95"/>
      <c r="M28" s="95"/>
      <c r="N28" s="95"/>
      <c r="O28" s="95"/>
      <c r="P28" s="95"/>
      <c r="Q28" s="95"/>
      <c r="R28" s="95"/>
      <c r="S28" s="95"/>
      <c r="T28" s="95"/>
      <c r="U28" s="95"/>
      <c r="V28" s="95"/>
      <c r="W28" s="95"/>
      <c r="X28" s="95"/>
      <c r="Y28" s="95"/>
      <c r="Z28" s="96"/>
    </row>
    <row r="29" spans="2:26" s="74" customFormat="1">
      <c r="B29" s="75" t="s">
        <v>58</v>
      </c>
      <c r="C29" s="76" t="s">
        <v>39</v>
      </c>
      <c r="D29" s="77">
        <f t="shared" si="0"/>
        <v>0</v>
      </c>
      <c r="F29" s="102"/>
      <c r="G29" s="99"/>
      <c r="H29" s="99"/>
      <c r="I29" s="99"/>
      <c r="J29" s="99"/>
      <c r="K29" s="99"/>
      <c r="L29" s="99"/>
      <c r="M29" s="99"/>
      <c r="N29" s="99"/>
      <c r="O29" s="99"/>
      <c r="P29" s="99"/>
      <c r="Q29" s="99"/>
      <c r="R29" s="99"/>
      <c r="S29" s="99"/>
      <c r="T29" s="99"/>
      <c r="U29" s="99"/>
      <c r="V29" s="99"/>
      <c r="W29" s="99"/>
      <c r="X29" s="99"/>
      <c r="Y29" s="99"/>
      <c r="Z29" s="100"/>
    </row>
    <row r="30" spans="2:26">
      <c r="B30" s="68" t="s">
        <v>59</v>
      </c>
      <c r="C30" s="69" t="s">
        <v>60</v>
      </c>
      <c r="D30" s="73">
        <f t="shared" si="0"/>
        <v>0</v>
      </c>
      <c r="F30" s="101"/>
      <c r="G30" s="95"/>
      <c r="H30" s="95"/>
      <c r="I30" s="95"/>
      <c r="J30" s="95"/>
      <c r="K30" s="95"/>
      <c r="L30" s="95"/>
      <c r="M30" s="95"/>
      <c r="N30" s="95"/>
      <c r="O30" s="95"/>
      <c r="P30" s="95"/>
      <c r="Q30" s="95"/>
      <c r="R30" s="95"/>
      <c r="S30" s="95"/>
      <c r="T30" s="95"/>
      <c r="U30" s="95"/>
      <c r="V30" s="95"/>
      <c r="W30" s="95"/>
      <c r="X30" s="95"/>
      <c r="Y30" s="95"/>
      <c r="Z30" s="96"/>
    </row>
    <row r="31" spans="2:26">
      <c r="B31" s="68" t="s">
        <v>61</v>
      </c>
      <c r="C31" s="69" t="s">
        <v>60</v>
      </c>
      <c r="D31" s="73">
        <f t="shared" si="0"/>
        <v>0</v>
      </c>
      <c r="F31" s="101"/>
      <c r="G31" s="95"/>
      <c r="H31" s="95"/>
      <c r="I31" s="95"/>
      <c r="J31" s="95"/>
      <c r="K31" s="95"/>
      <c r="L31" s="95"/>
      <c r="M31" s="95"/>
      <c r="N31" s="95"/>
      <c r="O31" s="95"/>
      <c r="P31" s="95"/>
      <c r="Q31" s="95"/>
      <c r="R31" s="95"/>
      <c r="S31" s="95"/>
      <c r="T31" s="95"/>
      <c r="U31" s="95"/>
      <c r="V31" s="95"/>
      <c r="W31" s="95"/>
      <c r="X31" s="95"/>
      <c r="Y31" s="95"/>
      <c r="Z31" s="96"/>
    </row>
    <row r="32" spans="2:26">
      <c r="B32" s="68" t="s">
        <v>62</v>
      </c>
      <c r="C32" s="69" t="s">
        <v>60</v>
      </c>
      <c r="D32" s="73">
        <f t="shared" si="0"/>
        <v>0</v>
      </c>
      <c r="F32" s="101"/>
      <c r="G32" s="95"/>
      <c r="H32" s="95"/>
      <c r="I32" s="95"/>
      <c r="J32" s="95"/>
      <c r="K32" s="95"/>
      <c r="L32" s="95"/>
      <c r="M32" s="95"/>
      <c r="N32" s="95"/>
      <c r="O32" s="95"/>
      <c r="P32" s="95"/>
      <c r="Q32" s="95"/>
      <c r="R32" s="95"/>
      <c r="S32" s="95"/>
      <c r="T32" s="95"/>
      <c r="U32" s="95"/>
      <c r="V32" s="95"/>
      <c r="W32" s="95"/>
      <c r="X32" s="95"/>
      <c r="Y32" s="95"/>
      <c r="Z32" s="96"/>
    </row>
    <row r="33" spans="2:26">
      <c r="B33" s="68" t="s">
        <v>63</v>
      </c>
      <c r="C33" s="69" t="s">
        <v>60</v>
      </c>
      <c r="D33" s="73">
        <f t="shared" si="0"/>
        <v>0</v>
      </c>
      <c r="F33" s="101"/>
      <c r="G33" s="95"/>
      <c r="H33" s="95"/>
      <c r="I33" s="95"/>
      <c r="J33" s="95"/>
      <c r="K33" s="95"/>
      <c r="L33" s="95"/>
      <c r="M33" s="95"/>
      <c r="N33" s="95"/>
      <c r="O33" s="95"/>
      <c r="P33" s="95"/>
      <c r="Q33" s="95"/>
      <c r="R33" s="95"/>
      <c r="S33" s="95"/>
      <c r="T33" s="95"/>
      <c r="U33" s="95"/>
      <c r="V33" s="95"/>
      <c r="W33" s="95"/>
      <c r="X33" s="95"/>
      <c r="Y33" s="95"/>
      <c r="Z33" s="96"/>
    </row>
    <row r="34" spans="2:26">
      <c r="B34" s="68" t="s">
        <v>64</v>
      </c>
      <c r="C34" s="69" t="s">
        <v>60</v>
      </c>
      <c r="D34" s="73">
        <f t="shared" si="0"/>
        <v>0</v>
      </c>
      <c r="F34" s="101"/>
      <c r="G34" s="95"/>
      <c r="H34" s="95"/>
      <c r="I34" s="95"/>
      <c r="J34" s="95"/>
      <c r="K34" s="95"/>
      <c r="L34" s="95"/>
      <c r="M34" s="95"/>
      <c r="N34" s="95"/>
      <c r="O34" s="95"/>
      <c r="P34" s="95"/>
      <c r="Q34" s="95"/>
      <c r="R34" s="95"/>
      <c r="S34" s="95"/>
      <c r="T34" s="95"/>
      <c r="U34" s="95"/>
      <c r="V34" s="95"/>
      <c r="W34" s="95"/>
      <c r="X34" s="95"/>
      <c r="Y34" s="95"/>
      <c r="Z34" s="96"/>
    </row>
    <row r="35" spans="2:26">
      <c r="B35" s="68" t="s">
        <v>65</v>
      </c>
      <c r="C35" s="69" t="s">
        <v>60</v>
      </c>
      <c r="D35" s="73">
        <f t="shared" si="0"/>
        <v>0</v>
      </c>
      <c r="F35" s="101"/>
      <c r="G35" s="95"/>
      <c r="H35" s="95"/>
      <c r="I35" s="95"/>
      <c r="J35" s="95"/>
      <c r="K35" s="95"/>
      <c r="L35" s="95"/>
      <c r="M35" s="95"/>
      <c r="N35" s="95"/>
      <c r="O35" s="95"/>
      <c r="P35" s="95"/>
      <c r="Q35" s="95"/>
      <c r="R35" s="95"/>
      <c r="S35" s="95"/>
      <c r="T35" s="95"/>
      <c r="U35" s="95"/>
      <c r="V35" s="95"/>
      <c r="W35" s="95"/>
      <c r="X35" s="95"/>
      <c r="Y35" s="95"/>
      <c r="Z35" s="96"/>
    </row>
    <row r="36" spans="2:26">
      <c r="B36" s="78" t="s">
        <v>66</v>
      </c>
      <c r="C36" s="79" t="s">
        <v>60</v>
      </c>
      <c r="D36" s="77">
        <f t="shared" si="0"/>
        <v>0</v>
      </c>
      <c r="F36" s="101"/>
      <c r="G36" s="95"/>
      <c r="H36" s="95"/>
      <c r="I36" s="95"/>
      <c r="J36" s="95"/>
      <c r="K36" s="95"/>
      <c r="L36" s="95"/>
      <c r="M36" s="95"/>
      <c r="N36" s="95"/>
      <c r="O36" s="95"/>
      <c r="P36" s="95"/>
      <c r="Q36" s="95"/>
      <c r="R36" s="95"/>
      <c r="S36" s="95"/>
      <c r="T36" s="95"/>
      <c r="U36" s="95"/>
      <c r="V36" s="95"/>
      <c r="W36" s="95"/>
      <c r="X36" s="95"/>
      <c r="Y36" s="95"/>
      <c r="Z36" s="96"/>
    </row>
    <row r="37" spans="2:26">
      <c r="B37" s="68" t="s">
        <v>67</v>
      </c>
      <c r="C37" s="69" t="s">
        <v>68</v>
      </c>
      <c r="D37" s="73">
        <f t="shared" si="0"/>
        <v>0</v>
      </c>
      <c r="F37" s="101"/>
      <c r="G37" s="95"/>
      <c r="H37" s="95"/>
      <c r="I37" s="95"/>
      <c r="J37" s="95"/>
      <c r="K37" s="95"/>
      <c r="L37" s="95"/>
      <c r="M37" s="95"/>
      <c r="N37" s="95"/>
      <c r="O37" s="95"/>
      <c r="P37" s="95"/>
      <c r="Q37" s="95"/>
      <c r="R37" s="95"/>
      <c r="S37" s="95"/>
      <c r="T37" s="95"/>
      <c r="U37" s="95"/>
      <c r="V37" s="95"/>
      <c r="W37" s="95"/>
      <c r="X37" s="95"/>
      <c r="Y37" s="95"/>
      <c r="Z37" s="96"/>
    </row>
    <row r="38" spans="2:26">
      <c r="B38" s="68" t="s">
        <v>69</v>
      </c>
      <c r="C38" s="69" t="s">
        <v>68</v>
      </c>
      <c r="D38" s="73">
        <f t="shared" si="0"/>
        <v>0</v>
      </c>
      <c r="F38" s="101"/>
      <c r="G38" s="95"/>
      <c r="H38" s="95"/>
      <c r="I38" s="95"/>
      <c r="J38" s="95"/>
      <c r="K38" s="95"/>
      <c r="L38" s="95"/>
      <c r="M38" s="95"/>
      <c r="N38" s="95"/>
      <c r="O38" s="95"/>
      <c r="P38" s="95"/>
      <c r="Q38" s="95"/>
      <c r="R38" s="95"/>
      <c r="S38" s="95"/>
      <c r="T38" s="95"/>
      <c r="U38" s="95"/>
      <c r="V38" s="95"/>
      <c r="W38" s="95"/>
      <c r="X38" s="95"/>
      <c r="Y38" s="95"/>
      <c r="Z38" s="96"/>
    </row>
    <row r="39" spans="2:26">
      <c r="B39" s="68" t="s">
        <v>70</v>
      </c>
      <c r="C39" s="69" t="s">
        <v>68</v>
      </c>
      <c r="D39" s="73">
        <f t="shared" si="0"/>
        <v>0</v>
      </c>
      <c r="F39" s="101"/>
      <c r="G39" s="95"/>
      <c r="H39" s="95"/>
      <c r="I39" s="95"/>
      <c r="J39" s="95"/>
      <c r="K39" s="95"/>
      <c r="L39" s="95"/>
      <c r="M39" s="95"/>
      <c r="N39" s="95"/>
      <c r="O39" s="95"/>
      <c r="P39" s="95"/>
      <c r="Q39" s="95"/>
      <c r="R39" s="95"/>
      <c r="S39" s="95"/>
      <c r="T39" s="95"/>
      <c r="U39" s="95"/>
      <c r="V39" s="95"/>
      <c r="W39" s="95"/>
      <c r="X39" s="95"/>
      <c r="Y39" s="95"/>
      <c r="Z39" s="96"/>
    </row>
    <row r="40" spans="2:26">
      <c r="B40" s="68" t="s">
        <v>71</v>
      </c>
      <c r="C40" s="69" t="s">
        <v>68</v>
      </c>
      <c r="D40" s="73">
        <f t="shared" si="0"/>
        <v>0</v>
      </c>
      <c r="F40" s="101"/>
      <c r="G40" s="95"/>
      <c r="H40" s="95"/>
      <c r="I40" s="95"/>
      <c r="J40" s="95"/>
      <c r="K40" s="95"/>
      <c r="L40" s="95"/>
      <c r="M40" s="95"/>
      <c r="N40" s="95"/>
      <c r="O40" s="95"/>
      <c r="P40" s="95"/>
      <c r="Q40" s="95"/>
      <c r="R40" s="95"/>
      <c r="S40" s="95"/>
      <c r="T40" s="95"/>
      <c r="U40" s="95"/>
      <c r="V40" s="95"/>
      <c r="W40" s="95"/>
      <c r="X40" s="95"/>
      <c r="Y40" s="95"/>
      <c r="Z40" s="96"/>
    </row>
    <row r="41" spans="2:26">
      <c r="B41" s="68" t="s">
        <v>72</v>
      </c>
      <c r="C41" s="69" t="s">
        <v>68</v>
      </c>
      <c r="D41" s="73">
        <f t="shared" si="0"/>
        <v>0</v>
      </c>
      <c r="F41" s="101"/>
      <c r="G41" s="95"/>
      <c r="H41" s="95"/>
      <c r="I41" s="95"/>
      <c r="J41" s="95"/>
      <c r="K41" s="95"/>
      <c r="L41" s="95"/>
      <c r="M41" s="95"/>
      <c r="N41" s="95"/>
      <c r="O41" s="95"/>
      <c r="P41" s="95"/>
      <c r="Q41" s="95"/>
      <c r="R41" s="95"/>
      <c r="S41" s="95"/>
      <c r="T41" s="95"/>
      <c r="U41" s="95"/>
      <c r="V41" s="95"/>
      <c r="W41" s="95"/>
      <c r="X41" s="95"/>
      <c r="Y41" s="95"/>
      <c r="Z41" s="96"/>
    </row>
    <row r="42" spans="2:26">
      <c r="B42" s="68" t="s">
        <v>73</v>
      </c>
      <c r="C42" s="69" t="s">
        <v>68</v>
      </c>
      <c r="D42" s="73">
        <f t="shared" si="0"/>
        <v>0</v>
      </c>
      <c r="F42" s="101"/>
      <c r="G42" s="95"/>
      <c r="H42" s="95"/>
      <c r="I42" s="95"/>
      <c r="J42" s="95"/>
      <c r="K42" s="95"/>
      <c r="L42" s="95"/>
      <c r="M42" s="95"/>
      <c r="N42" s="95"/>
      <c r="O42" s="95"/>
      <c r="P42" s="95"/>
      <c r="Q42" s="95"/>
      <c r="R42" s="95"/>
      <c r="S42" s="95"/>
      <c r="T42" s="95"/>
      <c r="U42" s="95"/>
      <c r="V42" s="95"/>
      <c r="W42" s="95"/>
      <c r="X42" s="95"/>
      <c r="Y42" s="95"/>
      <c r="Z42" s="96"/>
    </row>
    <row r="43" spans="2:26">
      <c r="B43" s="68" t="s">
        <v>74</v>
      </c>
      <c r="C43" s="69" t="s">
        <v>68</v>
      </c>
      <c r="D43" s="73">
        <f t="shared" si="0"/>
        <v>0</v>
      </c>
      <c r="F43" s="101"/>
      <c r="G43" s="95"/>
      <c r="H43" s="95"/>
      <c r="I43" s="95"/>
      <c r="J43" s="95"/>
      <c r="K43" s="95"/>
      <c r="L43" s="95"/>
      <c r="M43" s="95"/>
      <c r="N43" s="95"/>
      <c r="O43" s="95"/>
      <c r="P43" s="95"/>
      <c r="Q43" s="95"/>
      <c r="R43" s="95"/>
      <c r="S43" s="95"/>
      <c r="T43" s="95"/>
      <c r="U43" s="95"/>
      <c r="V43" s="95"/>
      <c r="W43" s="95"/>
      <c r="X43" s="95"/>
      <c r="Y43" s="95"/>
      <c r="Z43" s="96"/>
    </row>
    <row r="44" spans="2:26">
      <c r="B44" s="68" t="s">
        <v>75</v>
      </c>
      <c r="C44" s="69" t="s">
        <v>68</v>
      </c>
      <c r="D44" s="73">
        <f t="shared" si="0"/>
        <v>0</v>
      </c>
      <c r="F44" s="101"/>
      <c r="G44" s="95"/>
      <c r="H44" s="95"/>
      <c r="I44" s="95"/>
      <c r="J44" s="95"/>
      <c r="K44" s="95"/>
      <c r="L44" s="95"/>
      <c r="M44" s="95"/>
      <c r="N44" s="95"/>
      <c r="O44" s="95"/>
      <c r="P44" s="95"/>
      <c r="Q44" s="95"/>
      <c r="R44" s="95"/>
      <c r="S44" s="95"/>
      <c r="T44" s="95"/>
      <c r="U44" s="95"/>
      <c r="V44" s="95"/>
      <c r="W44" s="95"/>
      <c r="X44" s="95"/>
      <c r="Y44" s="95"/>
      <c r="Z44" s="96"/>
    </row>
    <row r="45" spans="2:26">
      <c r="B45" s="68" t="s">
        <v>76</v>
      </c>
      <c r="C45" s="69" t="s">
        <v>68</v>
      </c>
      <c r="D45" s="73">
        <f t="shared" si="0"/>
        <v>0</v>
      </c>
      <c r="F45" s="101"/>
      <c r="G45" s="95"/>
      <c r="H45" s="95"/>
      <c r="I45" s="95"/>
      <c r="J45" s="95"/>
      <c r="K45" s="95"/>
      <c r="L45" s="95"/>
      <c r="M45" s="95"/>
      <c r="N45" s="95"/>
      <c r="O45" s="95"/>
      <c r="P45" s="95"/>
      <c r="Q45" s="95"/>
      <c r="R45" s="95"/>
      <c r="S45" s="95"/>
      <c r="T45" s="95"/>
      <c r="U45" s="95"/>
      <c r="V45" s="95"/>
      <c r="W45" s="95"/>
      <c r="X45" s="95"/>
      <c r="Y45" s="95"/>
      <c r="Z45" s="96"/>
    </row>
    <row r="46" spans="2:26">
      <c r="B46" s="68" t="s">
        <v>77</v>
      </c>
      <c r="C46" s="69" t="s">
        <v>78</v>
      </c>
      <c r="D46" s="73">
        <f t="shared" si="0"/>
        <v>0</v>
      </c>
      <c r="F46" s="101"/>
      <c r="G46" s="95"/>
      <c r="H46" s="95"/>
      <c r="I46" s="95"/>
      <c r="J46" s="95"/>
      <c r="K46" s="95"/>
      <c r="L46" s="95"/>
      <c r="M46" s="95"/>
      <c r="N46" s="95"/>
      <c r="O46" s="95"/>
      <c r="P46" s="95"/>
      <c r="Q46" s="95"/>
      <c r="R46" s="95"/>
      <c r="S46" s="95"/>
      <c r="T46" s="95"/>
      <c r="U46" s="95"/>
      <c r="V46" s="95"/>
      <c r="W46" s="95"/>
      <c r="X46" s="95"/>
      <c r="Y46" s="95"/>
      <c r="Z46" s="96"/>
    </row>
    <row r="47" spans="2:26">
      <c r="B47" s="68" t="s">
        <v>79</v>
      </c>
      <c r="C47" s="69" t="s">
        <v>80</v>
      </c>
      <c r="D47" s="73">
        <f t="shared" si="0"/>
        <v>0</v>
      </c>
      <c r="F47" s="101"/>
      <c r="G47" s="95"/>
      <c r="H47" s="95"/>
      <c r="I47" s="95"/>
      <c r="J47" s="95"/>
      <c r="K47" s="95"/>
      <c r="L47" s="95"/>
      <c r="M47" s="95"/>
      <c r="N47" s="95"/>
      <c r="O47" s="95"/>
      <c r="P47" s="95"/>
      <c r="Q47" s="95"/>
      <c r="R47" s="95"/>
      <c r="S47" s="95"/>
      <c r="T47" s="95"/>
      <c r="U47" s="95"/>
      <c r="V47" s="95"/>
      <c r="W47" s="95"/>
      <c r="X47" s="95"/>
      <c r="Y47" s="95"/>
      <c r="Z47" s="96"/>
    </row>
    <row r="48" spans="2:26">
      <c r="B48" s="68" t="s">
        <v>81</v>
      </c>
      <c r="C48" s="69" t="s">
        <v>82</v>
      </c>
      <c r="D48" s="73">
        <f t="shared" si="0"/>
        <v>0</v>
      </c>
      <c r="F48" s="101"/>
      <c r="G48" s="95"/>
      <c r="H48" s="95"/>
      <c r="I48" s="95"/>
      <c r="J48" s="95"/>
      <c r="K48" s="95"/>
      <c r="L48" s="95"/>
      <c r="M48" s="95"/>
      <c r="N48" s="95"/>
      <c r="O48" s="95"/>
      <c r="P48" s="95"/>
      <c r="Q48" s="95"/>
      <c r="R48" s="95"/>
      <c r="S48" s="95"/>
      <c r="T48" s="95"/>
      <c r="U48" s="95"/>
      <c r="V48" s="95"/>
      <c r="W48" s="95"/>
      <c r="X48" s="95"/>
      <c r="Y48" s="95"/>
      <c r="Z48" s="96"/>
    </row>
    <row r="49" spans="1:26">
      <c r="B49" s="68" t="s">
        <v>83</v>
      </c>
      <c r="C49" s="69" t="s">
        <v>82</v>
      </c>
      <c r="D49" s="73">
        <f t="shared" si="0"/>
        <v>0</v>
      </c>
      <c r="F49" s="101"/>
      <c r="G49" s="95"/>
      <c r="H49" s="95"/>
      <c r="I49" s="95"/>
      <c r="J49" s="95"/>
      <c r="K49" s="95"/>
      <c r="L49" s="95"/>
      <c r="M49" s="95"/>
      <c r="N49" s="95"/>
      <c r="O49" s="95"/>
      <c r="P49" s="95"/>
      <c r="Q49" s="95"/>
      <c r="R49" s="95"/>
      <c r="S49" s="95"/>
      <c r="T49" s="95"/>
      <c r="U49" s="95"/>
      <c r="V49" s="95"/>
      <c r="W49" s="95"/>
      <c r="X49" s="95"/>
      <c r="Y49" s="95"/>
      <c r="Z49" s="96"/>
    </row>
    <row r="50" spans="1:26">
      <c r="B50" s="68" t="s">
        <v>84</v>
      </c>
      <c r="C50" s="69" t="s">
        <v>82</v>
      </c>
      <c r="D50" s="73">
        <f t="shared" si="0"/>
        <v>0</v>
      </c>
      <c r="F50" s="101"/>
      <c r="G50" s="95"/>
      <c r="H50" s="95"/>
      <c r="I50" s="95"/>
      <c r="J50" s="95"/>
      <c r="K50" s="95"/>
      <c r="L50" s="95"/>
      <c r="M50" s="95"/>
      <c r="N50" s="95"/>
      <c r="O50" s="95"/>
      <c r="P50" s="95"/>
      <c r="Q50" s="95"/>
      <c r="R50" s="95"/>
      <c r="S50" s="95"/>
      <c r="T50" s="95"/>
      <c r="U50" s="95"/>
      <c r="V50" s="95"/>
      <c r="W50" s="95"/>
      <c r="X50" s="95"/>
      <c r="Y50" s="95"/>
      <c r="Z50" s="96"/>
    </row>
    <row r="51" spans="1:26">
      <c r="B51" s="68" t="s">
        <v>85</v>
      </c>
      <c r="C51" s="69" t="s">
        <v>82</v>
      </c>
      <c r="D51" s="73">
        <f t="shared" si="0"/>
        <v>0</v>
      </c>
      <c r="F51" s="101"/>
      <c r="G51" s="95"/>
      <c r="H51" s="95"/>
      <c r="I51" s="95"/>
      <c r="J51" s="95"/>
      <c r="K51" s="95"/>
      <c r="L51" s="95"/>
      <c r="M51" s="95"/>
      <c r="N51" s="95"/>
      <c r="O51" s="95"/>
      <c r="P51" s="95"/>
      <c r="Q51" s="95"/>
      <c r="R51" s="95"/>
      <c r="S51" s="95"/>
      <c r="T51" s="95"/>
      <c r="U51" s="95"/>
      <c r="V51" s="95"/>
      <c r="W51" s="95"/>
      <c r="X51" s="95"/>
      <c r="Y51" s="95"/>
      <c r="Z51" s="96"/>
    </row>
    <row r="52" spans="1:26">
      <c r="B52" s="78" t="s">
        <v>86</v>
      </c>
      <c r="C52" s="79" t="s">
        <v>80</v>
      </c>
      <c r="D52" s="77">
        <f t="shared" si="0"/>
        <v>0</v>
      </c>
      <c r="F52" s="101"/>
      <c r="G52" s="95"/>
      <c r="H52" s="95"/>
      <c r="I52" s="95"/>
      <c r="J52" s="95"/>
      <c r="K52" s="95"/>
      <c r="L52" s="95"/>
      <c r="M52" s="95"/>
      <c r="N52" s="95"/>
      <c r="O52" s="95"/>
      <c r="P52" s="95"/>
      <c r="Q52" s="95"/>
      <c r="R52" s="95"/>
      <c r="S52" s="95"/>
      <c r="T52" s="95"/>
      <c r="U52" s="95"/>
      <c r="V52" s="95"/>
      <c r="W52" s="95"/>
      <c r="X52" s="95"/>
      <c r="Y52" s="95"/>
      <c r="Z52" s="96"/>
    </row>
    <row r="53" spans="1:26">
      <c r="A53" s="80"/>
      <c r="B53" s="81" t="s">
        <v>87</v>
      </c>
      <c r="C53" s="69" t="s">
        <v>37</v>
      </c>
      <c r="D53" s="73">
        <f t="shared" si="0"/>
        <v>0</v>
      </c>
      <c r="F53" s="101"/>
      <c r="G53" s="95"/>
      <c r="H53" s="95"/>
      <c r="I53" s="95"/>
      <c r="J53" s="95"/>
      <c r="K53" s="95"/>
      <c r="L53" s="95"/>
      <c r="M53" s="95"/>
      <c r="N53" s="95"/>
      <c r="O53" s="95"/>
      <c r="P53" s="95"/>
      <c r="Q53" s="95"/>
      <c r="R53" s="95"/>
      <c r="S53" s="95"/>
      <c r="T53" s="95"/>
      <c r="U53" s="95"/>
      <c r="V53" s="95"/>
      <c r="W53" s="95"/>
      <c r="X53" s="95"/>
      <c r="Y53" s="95"/>
      <c r="Z53" s="96"/>
    </row>
    <row r="54" spans="1:26">
      <c r="A54" s="80"/>
      <c r="B54" s="82" t="s">
        <v>88</v>
      </c>
      <c r="C54" s="69" t="s">
        <v>37</v>
      </c>
      <c r="D54" s="73">
        <f t="shared" si="0"/>
        <v>0</v>
      </c>
      <c r="F54" s="101"/>
      <c r="G54" s="95"/>
      <c r="H54" s="95"/>
      <c r="I54" s="95"/>
      <c r="J54" s="95"/>
      <c r="K54" s="95"/>
      <c r="L54" s="95"/>
      <c r="M54" s="95"/>
      <c r="N54" s="95"/>
      <c r="O54" s="95"/>
      <c r="P54" s="95"/>
      <c r="Q54" s="95"/>
      <c r="R54" s="95"/>
      <c r="S54" s="95"/>
      <c r="T54" s="95"/>
      <c r="U54" s="95"/>
      <c r="V54" s="95"/>
      <c r="W54" s="95"/>
      <c r="X54" s="95"/>
      <c r="Y54" s="95"/>
      <c r="Z54" s="96"/>
    </row>
    <row r="55" spans="1:26">
      <c r="A55" s="80"/>
      <c r="B55" s="82" t="s">
        <v>89</v>
      </c>
      <c r="C55" s="69" t="s">
        <v>37</v>
      </c>
      <c r="D55" s="73">
        <f t="shared" si="0"/>
        <v>0</v>
      </c>
      <c r="F55" s="101"/>
      <c r="G55" s="95"/>
      <c r="H55" s="95"/>
      <c r="I55" s="95"/>
      <c r="J55" s="95"/>
      <c r="K55" s="95"/>
      <c r="L55" s="95"/>
      <c r="M55" s="95"/>
      <c r="N55" s="95"/>
      <c r="O55" s="95"/>
      <c r="P55" s="95"/>
      <c r="Q55" s="95"/>
      <c r="R55" s="95"/>
      <c r="S55" s="95"/>
      <c r="T55" s="95"/>
      <c r="U55" s="95"/>
      <c r="V55" s="95"/>
      <c r="W55" s="95"/>
      <c r="X55" s="95"/>
      <c r="Y55" s="95"/>
      <c r="Z55" s="96"/>
    </row>
    <row r="56" spans="1:26">
      <c r="A56" s="80"/>
      <c r="B56" s="82" t="s">
        <v>90</v>
      </c>
      <c r="C56" s="69" t="s">
        <v>37</v>
      </c>
      <c r="D56" s="73">
        <f t="shared" si="0"/>
        <v>0</v>
      </c>
      <c r="F56" s="101"/>
      <c r="G56" s="95"/>
      <c r="H56" s="95"/>
      <c r="I56" s="95"/>
      <c r="J56" s="95"/>
      <c r="K56" s="95"/>
      <c r="L56" s="95"/>
      <c r="M56" s="95"/>
      <c r="N56" s="95"/>
      <c r="O56" s="95"/>
      <c r="P56" s="95"/>
      <c r="Q56" s="95"/>
      <c r="R56" s="95"/>
      <c r="S56" s="95"/>
      <c r="T56" s="95"/>
      <c r="U56" s="95"/>
      <c r="V56" s="95"/>
      <c r="W56" s="95"/>
      <c r="X56" s="95"/>
      <c r="Y56" s="95"/>
      <c r="Z56" s="96"/>
    </row>
    <row r="57" spans="1:26">
      <c r="A57" s="80"/>
      <c r="B57" s="82" t="s">
        <v>91</v>
      </c>
      <c r="C57" s="69" t="s">
        <v>37</v>
      </c>
      <c r="D57" s="73">
        <f t="shared" si="0"/>
        <v>0</v>
      </c>
      <c r="F57" s="101"/>
      <c r="G57" s="95"/>
      <c r="H57" s="95"/>
      <c r="I57" s="95"/>
      <c r="J57" s="95"/>
      <c r="K57" s="95"/>
      <c r="L57" s="95"/>
      <c r="M57" s="95"/>
      <c r="N57" s="95"/>
      <c r="O57" s="95"/>
      <c r="P57" s="95"/>
      <c r="Q57" s="95"/>
      <c r="R57" s="95"/>
      <c r="S57" s="95"/>
      <c r="T57" s="95"/>
      <c r="U57" s="95"/>
      <c r="V57" s="95"/>
      <c r="W57" s="95"/>
      <c r="X57" s="95"/>
      <c r="Y57" s="95"/>
      <c r="Z57" s="96"/>
    </row>
    <row r="58" spans="1:26">
      <c r="A58" s="80"/>
      <c r="B58" s="82" t="s">
        <v>92</v>
      </c>
      <c r="C58" s="69" t="s">
        <v>37</v>
      </c>
      <c r="D58" s="73">
        <f t="shared" si="0"/>
        <v>0</v>
      </c>
      <c r="F58" s="101"/>
      <c r="G58" s="95"/>
      <c r="H58" s="95"/>
      <c r="I58" s="95"/>
      <c r="J58" s="95"/>
      <c r="K58" s="95"/>
      <c r="L58" s="95"/>
      <c r="M58" s="95"/>
      <c r="N58" s="95"/>
      <c r="O58" s="95"/>
      <c r="P58" s="95"/>
      <c r="Q58" s="95"/>
      <c r="R58" s="95"/>
      <c r="S58" s="95"/>
      <c r="T58" s="95"/>
      <c r="U58" s="95"/>
      <c r="V58" s="95"/>
      <c r="W58" s="95"/>
      <c r="X58" s="95"/>
      <c r="Y58" s="95"/>
      <c r="Z58" s="96"/>
    </row>
    <row r="59" spans="1:26">
      <c r="A59" s="80"/>
      <c r="B59" s="83" t="s">
        <v>93</v>
      </c>
      <c r="C59" s="69" t="s">
        <v>37</v>
      </c>
      <c r="D59" s="73">
        <f t="shared" si="0"/>
        <v>0</v>
      </c>
      <c r="F59" s="101"/>
      <c r="G59" s="95"/>
      <c r="H59" s="95"/>
      <c r="I59" s="95"/>
      <c r="J59" s="95"/>
      <c r="K59" s="95"/>
      <c r="L59" s="95"/>
      <c r="M59" s="95"/>
      <c r="N59" s="95"/>
      <c r="O59" s="95"/>
      <c r="P59" s="95"/>
      <c r="Q59" s="95"/>
      <c r="R59" s="95"/>
      <c r="S59" s="95"/>
      <c r="T59" s="95"/>
      <c r="U59" s="95"/>
      <c r="V59" s="95"/>
      <c r="W59" s="95"/>
      <c r="X59" s="95"/>
      <c r="Y59" s="95"/>
      <c r="Z59" s="96"/>
    </row>
    <row r="60" spans="1:26">
      <c r="A60" s="80"/>
      <c r="B60" s="81" t="s">
        <v>94</v>
      </c>
      <c r="C60" s="69" t="s">
        <v>37</v>
      </c>
      <c r="D60" s="73">
        <f t="shared" si="0"/>
        <v>0</v>
      </c>
      <c r="F60" s="101"/>
      <c r="G60" s="95"/>
      <c r="H60" s="95"/>
      <c r="I60" s="95"/>
      <c r="J60" s="95"/>
      <c r="K60" s="95"/>
      <c r="L60" s="95"/>
      <c r="M60" s="95"/>
      <c r="N60" s="95"/>
      <c r="O60" s="95"/>
      <c r="P60" s="95"/>
      <c r="Q60" s="95"/>
      <c r="R60" s="95"/>
      <c r="S60" s="95"/>
      <c r="T60" s="95"/>
      <c r="U60" s="95"/>
      <c r="V60" s="95"/>
      <c r="W60" s="95"/>
      <c r="X60" s="95"/>
      <c r="Y60" s="95"/>
      <c r="Z60" s="96"/>
    </row>
    <row r="61" spans="1:26" s="74" customFormat="1">
      <c r="A61" s="84"/>
      <c r="B61" s="71" t="s">
        <v>95</v>
      </c>
      <c r="C61" s="72" t="s">
        <v>37</v>
      </c>
      <c r="D61" s="108">
        <f t="shared" si="0"/>
        <v>0</v>
      </c>
      <c r="F61" s="102"/>
      <c r="G61" s="99"/>
      <c r="H61" s="99"/>
      <c r="I61" s="99"/>
      <c r="J61" s="99"/>
      <c r="K61" s="99"/>
      <c r="L61" s="99"/>
      <c r="M61" s="99"/>
      <c r="N61" s="99"/>
      <c r="O61" s="99"/>
      <c r="P61" s="99"/>
      <c r="Q61" s="99"/>
      <c r="R61" s="99"/>
      <c r="S61" s="99"/>
      <c r="T61" s="99"/>
      <c r="U61" s="99"/>
      <c r="V61" s="99"/>
      <c r="W61" s="99"/>
      <c r="X61" s="99"/>
      <c r="Y61" s="99"/>
      <c r="Z61" s="100"/>
    </row>
    <row r="62" spans="1:26" s="74" customFormat="1">
      <c r="A62" s="109"/>
      <c r="B62" s="71" t="s">
        <v>96</v>
      </c>
      <c r="C62" s="72" t="s">
        <v>37</v>
      </c>
      <c r="D62" s="108">
        <f t="shared" si="0"/>
        <v>0</v>
      </c>
      <c r="F62" s="102"/>
      <c r="G62" s="99"/>
      <c r="H62" s="99"/>
      <c r="I62" s="99"/>
      <c r="J62" s="99"/>
      <c r="K62" s="99"/>
      <c r="L62" s="99"/>
      <c r="M62" s="99"/>
      <c r="N62" s="99"/>
      <c r="O62" s="99"/>
      <c r="P62" s="99"/>
      <c r="Q62" s="99"/>
      <c r="R62" s="99"/>
      <c r="S62" s="99"/>
      <c r="T62" s="99"/>
      <c r="U62" s="99"/>
      <c r="V62" s="99"/>
      <c r="W62" s="99"/>
      <c r="X62" s="99"/>
      <c r="Y62" s="99"/>
      <c r="Z62" s="100"/>
    </row>
    <row r="63" spans="1:26">
      <c r="A63" s="86"/>
      <c r="B63" s="87" t="s">
        <v>97</v>
      </c>
      <c r="C63" s="69" t="s">
        <v>37</v>
      </c>
      <c r="D63" s="73">
        <f t="shared" si="0"/>
        <v>0</v>
      </c>
      <c r="F63" s="101"/>
      <c r="G63" s="95"/>
      <c r="H63" s="95"/>
      <c r="I63" s="95"/>
      <c r="J63" s="95"/>
      <c r="K63" s="95"/>
      <c r="L63" s="95"/>
      <c r="M63" s="95"/>
      <c r="N63" s="95"/>
      <c r="O63" s="95"/>
      <c r="P63" s="95"/>
      <c r="Q63" s="95"/>
      <c r="R63" s="95"/>
      <c r="S63" s="95"/>
      <c r="T63" s="95"/>
      <c r="U63" s="95"/>
      <c r="V63" s="95"/>
      <c r="W63" s="95"/>
      <c r="X63" s="95"/>
      <c r="Y63" s="95"/>
      <c r="Z63" s="96"/>
    </row>
    <row r="64" spans="1:26">
      <c r="A64" s="86"/>
      <c r="B64" s="87" t="s">
        <v>98</v>
      </c>
      <c r="C64" s="69" t="s">
        <v>37</v>
      </c>
      <c r="D64" s="73">
        <f t="shared" si="0"/>
        <v>0</v>
      </c>
      <c r="F64" s="101"/>
      <c r="G64" s="95"/>
      <c r="H64" s="95"/>
      <c r="I64" s="95"/>
      <c r="J64" s="95"/>
      <c r="K64" s="95"/>
      <c r="L64" s="95"/>
      <c r="M64" s="95"/>
      <c r="N64" s="95"/>
      <c r="O64" s="95"/>
      <c r="P64" s="95"/>
      <c r="Q64" s="95"/>
      <c r="R64" s="95"/>
      <c r="S64" s="95"/>
      <c r="T64" s="95"/>
      <c r="U64" s="95"/>
      <c r="V64" s="95"/>
      <c r="W64" s="95"/>
      <c r="X64" s="95"/>
      <c r="Y64" s="95"/>
      <c r="Z64" s="96"/>
    </row>
    <row r="65" spans="1:26">
      <c r="A65" s="86"/>
      <c r="B65" s="87" t="s">
        <v>99</v>
      </c>
      <c r="C65" s="69" t="s">
        <v>37</v>
      </c>
      <c r="D65" s="73">
        <f t="shared" si="0"/>
        <v>0</v>
      </c>
      <c r="F65" s="101"/>
      <c r="G65" s="95"/>
      <c r="H65" s="95"/>
      <c r="I65" s="95"/>
      <c r="J65" s="95"/>
      <c r="K65" s="95"/>
      <c r="L65" s="95"/>
      <c r="M65" s="95"/>
      <c r="N65" s="95"/>
      <c r="O65" s="95"/>
      <c r="P65" s="95"/>
      <c r="Q65" s="95"/>
      <c r="R65" s="95"/>
      <c r="S65" s="95"/>
      <c r="T65" s="95"/>
      <c r="U65" s="95"/>
      <c r="V65" s="95"/>
      <c r="W65" s="95"/>
      <c r="X65" s="95"/>
      <c r="Y65" s="95"/>
      <c r="Z65" s="96"/>
    </row>
    <row r="66" spans="1:26">
      <c r="A66" s="86"/>
      <c r="B66" s="87" t="s">
        <v>100</v>
      </c>
      <c r="C66" s="69" t="s">
        <v>37</v>
      </c>
      <c r="D66" s="73">
        <f t="shared" si="0"/>
        <v>0</v>
      </c>
      <c r="F66" s="101"/>
      <c r="G66" s="95"/>
      <c r="H66" s="95"/>
      <c r="I66" s="95"/>
      <c r="J66" s="95"/>
      <c r="K66" s="95"/>
      <c r="L66" s="95"/>
      <c r="M66" s="95"/>
      <c r="N66" s="95"/>
      <c r="O66" s="95"/>
      <c r="P66" s="95"/>
      <c r="Q66" s="95"/>
      <c r="R66" s="95"/>
      <c r="S66" s="95"/>
      <c r="T66" s="95"/>
      <c r="U66" s="95"/>
      <c r="V66" s="95"/>
      <c r="W66" s="95"/>
      <c r="X66" s="95"/>
      <c r="Y66" s="95"/>
      <c r="Z66" s="96"/>
    </row>
    <row r="67" spans="1:26">
      <c r="A67" s="86"/>
      <c r="B67" s="87" t="s">
        <v>101</v>
      </c>
      <c r="C67" s="69" t="s">
        <v>37</v>
      </c>
      <c r="D67" s="73">
        <f t="shared" si="0"/>
        <v>0</v>
      </c>
      <c r="F67" s="101"/>
      <c r="G67" s="95"/>
      <c r="H67" s="95"/>
      <c r="I67" s="95"/>
      <c r="J67" s="95"/>
      <c r="K67" s="95"/>
      <c r="L67" s="95"/>
      <c r="M67" s="95"/>
      <c r="N67" s="95"/>
      <c r="O67" s="95"/>
      <c r="P67" s="95"/>
      <c r="Q67" s="95"/>
      <c r="R67" s="95"/>
      <c r="S67" s="95"/>
      <c r="T67" s="95"/>
      <c r="U67" s="95"/>
      <c r="V67" s="95"/>
      <c r="W67" s="95"/>
      <c r="X67" s="95"/>
      <c r="Y67" s="95"/>
      <c r="Z67" s="96"/>
    </row>
    <row r="68" spans="1:26">
      <c r="A68" s="88"/>
      <c r="B68" s="83" t="s">
        <v>102</v>
      </c>
      <c r="C68" s="69" t="s">
        <v>37</v>
      </c>
      <c r="D68" s="73">
        <f t="shared" si="0"/>
        <v>0</v>
      </c>
      <c r="F68" s="101"/>
      <c r="G68" s="95"/>
      <c r="H68" s="95"/>
      <c r="I68" s="95"/>
      <c r="J68" s="95"/>
      <c r="K68" s="95"/>
      <c r="L68" s="95"/>
      <c r="M68" s="95"/>
      <c r="N68" s="95"/>
      <c r="O68" s="95"/>
      <c r="P68" s="95"/>
      <c r="Q68" s="95"/>
      <c r="R68" s="95"/>
      <c r="S68" s="95"/>
      <c r="T68" s="95"/>
      <c r="U68" s="95"/>
      <c r="V68" s="95"/>
      <c r="W68" s="95"/>
      <c r="X68" s="95"/>
      <c r="Y68" s="95"/>
      <c r="Z68" s="96"/>
    </row>
    <row r="69" spans="1:26" s="74" customFormat="1">
      <c r="A69" s="110"/>
      <c r="B69" s="71" t="s">
        <v>103</v>
      </c>
      <c r="C69" s="72" t="s">
        <v>37</v>
      </c>
      <c r="D69" s="108">
        <f t="shared" si="0"/>
        <v>0</v>
      </c>
      <c r="F69" s="102"/>
      <c r="G69" s="99"/>
      <c r="H69" s="99"/>
      <c r="I69" s="99"/>
      <c r="J69" s="99"/>
      <c r="K69" s="99"/>
      <c r="L69" s="99"/>
      <c r="M69" s="99"/>
      <c r="N69" s="99"/>
      <c r="O69" s="99"/>
      <c r="P69" s="99"/>
      <c r="Q69" s="99"/>
      <c r="R69" s="99"/>
      <c r="S69" s="99"/>
      <c r="T69" s="99"/>
      <c r="U69" s="99"/>
      <c r="V69" s="99"/>
      <c r="W69" s="99"/>
      <c r="X69" s="99"/>
      <c r="Y69" s="99"/>
      <c r="Z69" s="100"/>
    </row>
    <row r="70" spans="1:26">
      <c r="A70" s="86"/>
      <c r="B70" s="87" t="s">
        <v>104</v>
      </c>
      <c r="C70" s="69" t="s">
        <v>37</v>
      </c>
      <c r="D70" s="73">
        <f t="shared" si="0"/>
        <v>0</v>
      </c>
      <c r="F70" s="101"/>
      <c r="G70" s="95"/>
      <c r="H70" s="95"/>
      <c r="I70" s="95"/>
      <c r="J70" s="95"/>
      <c r="K70" s="95"/>
      <c r="L70" s="95"/>
      <c r="M70" s="95"/>
      <c r="N70" s="95"/>
      <c r="O70" s="95"/>
      <c r="P70" s="95"/>
      <c r="Q70" s="95"/>
      <c r="R70" s="95"/>
      <c r="S70" s="95"/>
      <c r="T70" s="95"/>
      <c r="U70" s="95"/>
      <c r="V70" s="95"/>
      <c r="W70" s="95"/>
      <c r="X70" s="95"/>
      <c r="Y70" s="95"/>
      <c r="Z70" s="96"/>
    </row>
    <row r="71" spans="1:26">
      <c r="A71" s="86"/>
      <c r="B71" s="87" t="s">
        <v>105</v>
      </c>
      <c r="C71" s="69" t="s">
        <v>37</v>
      </c>
      <c r="D71" s="73">
        <f t="shared" si="0"/>
        <v>0</v>
      </c>
      <c r="F71" s="101"/>
      <c r="G71" s="95"/>
      <c r="H71" s="95"/>
      <c r="I71" s="95"/>
      <c r="J71" s="95"/>
      <c r="K71" s="95"/>
      <c r="L71" s="95"/>
      <c r="M71" s="95"/>
      <c r="N71" s="95"/>
      <c r="O71" s="95"/>
      <c r="P71" s="95"/>
      <c r="Q71" s="95"/>
      <c r="R71" s="95"/>
      <c r="S71" s="95"/>
      <c r="T71" s="95"/>
      <c r="U71" s="95"/>
      <c r="V71" s="95"/>
      <c r="W71" s="95"/>
      <c r="X71" s="95"/>
      <c r="Y71" s="95"/>
      <c r="Z71" s="96"/>
    </row>
    <row r="72" spans="1:26">
      <c r="A72" s="86"/>
      <c r="B72" s="87" t="s">
        <v>106</v>
      </c>
      <c r="C72" s="69" t="s">
        <v>37</v>
      </c>
      <c r="D72" s="73">
        <f t="shared" si="0"/>
        <v>0</v>
      </c>
      <c r="F72" s="101"/>
      <c r="G72" s="95"/>
      <c r="H72" s="95"/>
      <c r="I72" s="95"/>
      <c r="J72" s="95"/>
      <c r="K72" s="95"/>
      <c r="L72" s="95"/>
      <c r="M72" s="95"/>
      <c r="N72" s="95"/>
      <c r="O72" s="95"/>
      <c r="P72" s="95"/>
      <c r="Q72" s="95"/>
      <c r="R72" s="95"/>
      <c r="S72" s="95"/>
      <c r="T72" s="95"/>
      <c r="U72" s="95"/>
      <c r="V72" s="95"/>
      <c r="W72" s="95"/>
      <c r="X72" s="95"/>
      <c r="Y72" s="95"/>
      <c r="Z72" s="96"/>
    </row>
    <row r="73" spans="1:26">
      <c r="A73" s="88"/>
      <c r="B73" s="83" t="s">
        <v>107</v>
      </c>
      <c r="C73" s="69" t="s">
        <v>37</v>
      </c>
      <c r="D73" s="73">
        <f t="shared" si="0"/>
        <v>0</v>
      </c>
      <c r="F73" s="101"/>
      <c r="G73" s="95"/>
      <c r="H73" s="95"/>
      <c r="I73" s="95"/>
      <c r="J73" s="95"/>
      <c r="K73" s="95"/>
      <c r="L73" s="95"/>
      <c r="M73" s="95"/>
      <c r="N73" s="95"/>
      <c r="O73" s="95"/>
      <c r="P73" s="95"/>
      <c r="Q73" s="95"/>
      <c r="R73" s="95"/>
      <c r="S73" s="95"/>
      <c r="T73" s="95"/>
      <c r="U73" s="95"/>
      <c r="V73" s="95"/>
      <c r="W73" s="95"/>
      <c r="X73" s="95"/>
      <c r="Y73" s="95"/>
      <c r="Z73" s="96"/>
    </row>
    <row r="74" spans="1:26" s="74" customFormat="1">
      <c r="A74" s="110"/>
      <c r="B74" s="71" t="s">
        <v>108</v>
      </c>
      <c r="C74" s="72" t="s">
        <v>37</v>
      </c>
      <c r="D74" s="108">
        <f t="shared" si="0"/>
        <v>0</v>
      </c>
      <c r="F74" s="102"/>
      <c r="G74" s="99"/>
      <c r="H74" s="99"/>
      <c r="I74" s="99"/>
      <c r="J74" s="99"/>
      <c r="K74" s="99"/>
      <c r="L74" s="99"/>
      <c r="M74" s="99"/>
      <c r="N74" s="99"/>
      <c r="O74" s="99"/>
      <c r="P74" s="99"/>
      <c r="Q74" s="99"/>
      <c r="R74" s="99"/>
      <c r="S74" s="99"/>
      <c r="T74" s="99"/>
      <c r="U74" s="99"/>
      <c r="V74" s="99"/>
      <c r="W74" s="99"/>
      <c r="X74" s="99"/>
      <c r="Y74" s="99"/>
      <c r="Z74" s="100"/>
    </row>
    <row r="75" spans="1:26">
      <c r="A75" s="89"/>
      <c r="B75" s="87" t="s">
        <v>109</v>
      </c>
      <c r="C75" s="69" t="s">
        <v>37</v>
      </c>
      <c r="D75" s="73">
        <f t="shared" ref="D75:D117" si="1">HLOOKUP($D$9,$F$9:$Z$169,MATCH(B75,$B$9:$B$169,FALSE),FALSE)</f>
        <v>0</v>
      </c>
      <c r="F75" s="101"/>
      <c r="G75" s="95"/>
      <c r="H75" s="95"/>
      <c r="I75" s="95"/>
      <c r="J75" s="95"/>
      <c r="K75" s="95"/>
      <c r="L75" s="95"/>
      <c r="M75" s="95"/>
      <c r="N75" s="95"/>
      <c r="O75" s="95"/>
      <c r="P75" s="95"/>
      <c r="Q75" s="95"/>
      <c r="R75" s="95"/>
      <c r="S75" s="95"/>
      <c r="T75" s="95"/>
      <c r="U75" s="95"/>
      <c r="V75" s="95"/>
      <c r="W75" s="95"/>
      <c r="X75" s="95"/>
      <c r="Y75" s="95"/>
      <c r="Z75" s="96"/>
    </row>
    <row r="76" spans="1:26">
      <c r="A76" s="89"/>
      <c r="B76" s="87" t="s">
        <v>110</v>
      </c>
      <c r="C76" s="69" t="s">
        <v>37</v>
      </c>
      <c r="D76" s="73">
        <f t="shared" si="1"/>
        <v>0</v>
      </c>
      <c r="F76" s="101"/>
      <c r="G76" s="95"/>
      <c r="H76" s="95"/>
      <c r="I76" s="95"/>
      <c r="J76" s="95"/>
      <c r="K76" s="95"/>
      <c r="L76" s="95"/>
      <c r="M76" s="95"/>
      <c r="N76" s="95"/>
      <c r="O76" s="95"/>
      <c r="P76" s="95"/>
      <c r="Q76" s="95"/>
      <c r="R76" s="95"/>
      <c r="S76" s="95"/>
      <c r="T76" s="95"/>
      <c r="U76" s="95"/>
      <c r="V76" s="95"/>
      <c r="W76" s="95"/>
      <c r="X76" s="95"/>
      <c r="Y76" s="95"/>
      <c r="Z76" s="96"/>
    </row>
    <row r="77" spans="1:26">
      <c r="A77" s="89"/>
      <c r="B77" s="87" t="s">
        <v>111</v>
      </c>
      <c r="C77" s="69" t="s">
        <v>37</v>
      </c>
      <c r="D77" s="73">
        <f t="shared" si="1"/>
        <v>0</v>
      </c>
      <c r="F77" s="101"/>
      <c r="G77" s="95"/>
      <c r="H77" s="95"/>
      <c r="I77" s="95"/>
      <c r="J77" s="95"/>
      <c r="K77" s="95"/>
      <c r="L77" s="95"/>
      <c r="M77" s="95"/>
      <c r="N77" s="95"/>
      <c r="O77" s="95"/>
      <c r="P77" s="95"/>
      <c r="Q77" s="95"/>
      <c r="R77" s="95"/>
      <c r="S77" s="95"/>
      <c r="T77" s="95"/>
      <c r="U77" s="95"/>
      <c r="V77" s="95"/>
      <c r="W77" s="95"/>
      <c r="X77" s="95"/>
      <c r="Y77" s="95"/>
      <c r="Z77" s="96"/>
    </row>
    <row r="78" spans="1:26">
      <c r="A78" s="89"/>
      <c r="B78" s="87" t="s">
        <v>112</v>
      </c>
      <c r="C78" s="69" t="s">
        <v>37</v>
      </c>
      <c r="D78" s="73">
        <f t="shared" si="1"/>
        <v>0</v>
      </c>
      <c r="F78" s="101"/>
      <c r="G78" s="95"/>
      <c r="H78" s="95"/>
      <c r="I78" s="95"/>
      <c r="J78" s="95"/>
      <c r="K78" s="95"/>
      <c r="L78" s="95"/>
      <c r="M78" s="95"/>
      <c r="N78" s="95"/>
      <c r="O78" s="95"/>
      <c r="P78" s="95"/>
      <c r="Q78" s="95"/>
      <c r="R78" s="95"/>
      <c r="S78" s="95"/>
      <c r="T78" s="95"/>
      <c r="U78" s="95"/>
      <c r="V78" s="95"/>
      <c r="W78" s="95"/>
      <c r="X78" s="95"/>
      <c r="Y78" s="95"/>
      <c r="Z78" s="96"/>
    </row>
    <row r="79" spans="1:26" s="74" customFormat="1">
      <c r="A79" s="90"/>
      <c r="B79" s="71" t="s">
        <v>113</v>
      </c>
      <c r="C79" s="72" t="s">
        <v>37</v>
      </c>
      <c r="D79" s="108">
        <f t="shared" si="1"/>
        <v>0</v>
      </c>
      <c r="F79" s="102"/>
      <c r="G79" s="99"/>
      <c r="H79" s="99"/>
      <c r="I79" s="99"/>
      <c r="J79" s="99"/>
      <c r="K79" s="99"/>
      <c r="L79" s="99"/>
      <c r="M79" s="99"/>
      <c r="N79" s="99"/>
      <c r="O79" s="99"/>
      <c r="P79" s="99"/>
      <c r="Q79" s="99"/>
      <c r="R79" s="99"/>
      <c r="S79" s="99"/>
      <c r="T79" s="99"/>
      <c r="U79" s="99"/>
      <c r="V79" s="99"/>
      <c r="W79" s="99"/>
      <c r="X79" s="99"/>
      <c r="Y79" s="99"/>
      <c r="Z79" s="100"/>
    </row>
    <row r="80" spans="1:26">
      <c r="A80" s="89"/>
      <c r="B80" s="87" t="s">
        <v>114</v>
      </c>
      <c r="C80" s="69" t="s">
        <v>37</v>
      </c>
      <c r="D80" s="73">
        <f t="shared" si="1"/>
        <v>0</v>
      </c>
      <c r="F80" s="101"/>
      <c r="G80" s="95"/>
      <c r="H80" s="95"/>
      <c r="I80" s="95"/>
      <c r="J80" s="95"/>
      <c r="K80" s="95"/>
      <c r="L80" s="95"/>
      <c r="M80" s="95"/>
      <c r="N80" s="95"/>
      <c r="O80" s="95"/>
      <c r="P80" s="95"/>
      <c r="Q80" s="95"/>
      <c r="R80" s="95"/>
      <c r="S80" s="95"/>
      <c r="T80" s="95"/>
      <c r="U80" s="95"/>
      <c r="V80" s="95"/>
      <c r="W80" s="95"/>
      <c r="X80" s="95"/>
      <c r="Y80" s="95"/>
      <c r="Z80" s="96"/>
    </row>
    <row r="81" spans="1:26">
      <c r="A81" s="89"/>
      <c r="B81" s="87" t="s">
        <v>115</v>
      </c>
      <c r="C81" s="69" t="s">
        <v>37</v>
      </c>
      <c r="D81" s="73">
        <f t="shared" si="1"/>
        <v>0</v>
      </c>
      <c r="F81" s="101"/>
      <c r="G81" s="95"/>
      <c r="H81" s="95"/>
      <c r="I81" s="95"/>
      <c r="J81" s="95"/>
      <c r="K81" s="95"/>
      <c r="L81" s="95"/>
      <c r="M81" s="95"/>
      <c r="N81" s="95"/>
      <c r="O81" s="95"/>
      <c r="P81" s="95"/>
      <c r="Q81" s="95"/>
      <c r="R81" s="95"/>
      <c r="S81" s="95"/>
      <c r="T81" s="95"/>
      <c r="U81" s="95"/>
      <c r="V81" s="95"/>
      <c r="W81" s="95"/>
      <c r="X81" s="95"/>
      <c r="Y81" s="95"/>
      <c r="Z81" s="96"/>
    </row>
    <row r="82" spans="1:26">
      <c r="A82" s="89"/>
      <c r="B82" s="87" t="s">
        <v>116</v>
      </c>
      <c r="C82" s="69" t="s">
        <v>37</v>
      </c>
      <c r="D82" s="73">
        <f t="shared" si="1"/>
        <v>0</v>
      </c>
      <c r="F82" s="101"/>
      <c r="G82" s="95"/>
      <c r="H82" s="95"/>
      <c r="I82" s="95"/>
      <c r="J82" s="95"/>
      <c r="K82" s="95"/>
      <c r="L82" s="95"/>
      <c r="M82" s="95"/>
      <c r="N82" s="95"/>
      <c r="O82" s="95"/>
      <c r="P82" s="95"/>
      <c r="Q82" s="95"/>
      <c r="R82" s="95"/>
      <c r="S82" s="95"/>
      <c r="T82" s="95"/>
      <c r="U82" s="95"/>
      <c r="V82" s="95"/>
      <c r="W82" s="95"/>
      <c r="X82" s="95"/>
      <c r="Y82" s="95"/>
      <c r="Z82" s="96"/>
    </row>
    <row r="83" spans="1:26">
      <c r="A83" s="89"/>
      <c r="B83" s="87" t="s">
        <v>117</v>
      </c>
      <c r="C83" s="69" t="s">
        <v>37</v>
      </c>
      <c r="D83" s="73">
        <f t="shared" si="1"/>
        <v>0</v>
      </c>
      <c r="F83" s="101"/>
      <c r="G83" s="95"/>
      <c r="H83" s="95"/>
      <c r="I83" s="95"/>
      <c r="J83" s="95"/>
      <c r="K83" s="95"/>
      <c r="L83" s="95"/>
      <c r="M83" s="95"/>
      <c r="N83" s="95"/>
      <c r="O83" s="95"/>
      <c r="P83" s="95"/>
      <c r="Q83" s="95"/>
      <c r="R83" s="95"/>
      <c r="S83" s="95"/>
      <c r="T83" s="95"/>
      <c r="U83" s="95"/>
      <c r="V83" s="95"/>
      <c r="W83" s="95"/>
      <c r="X83" s="95"/>
      <c r="Y83" s="95"/>
      <c r="Z83" s="96"/>
    </row>
    <row r="84" spans="1:26" s="74" customFormat="1">
      <c r="A84" s="90"/>
      <c r="B84" s="71" t="s">
        <v>118</v>
      </c>
      <c r="C84" s="72" t="s">
        <v>37</v>
      </c>
      <c r="D84" s="108">
        <f t="shared" si="1"/>
        <v>0</v>
      </c>
      <c r="F84" s="102"/>
      <c r="G84" s="99"/>
      <c r="H84" s="99"/>
      <c r="I84" s="99"/>
      <c r="J84" s="99"/>
      <c r="K84" s="99"/>
      <c r="L84" s="99"/>
      <c r="M84" s="99"/>
      <c r="N84" s="99"/>
      <c r="O84" s="99"/>
      <c r="P84" s="99"/>
      <c r="Q84" s="99"/>
      <c r="R84" s="99"/>
      <c r="S84" s="99"/>
      <c r="T84" s="99"/>
      <c r="U84" s="99"/>
      <c r="V84" s="99"/>
      <c r="W84" s="99"/>
      <c r="X84" s="99"/>
      <c r="Y84" s="99"/>
      <c r="Z84" s="100"/>
    </row>
    <row r="85" spans="1:26">
      <c r="A85" s="85"/>
      <c r="B85" s="68" t="s">
        <v>119</v>
      </c>
      <c r="C85" s="69" t="s">
        <v>37</v>
      </c>
      <c r="D85" s="73">
        <f t="shared" si="1"/>
        <v>0</v>
      </c>
      <c r="F85" s="101"/>
      <c r="G85" s="95"/>
      <c r="H85" s="95"/>
      <c r="I85" s="95"/>
      <c r="J85" s="95"/>
      <c r="K85" s="95"/>
      <c r="L85" s="95"/>
      <c r="M85" s="95"/>
      <c r="N85" s="95"/>
      <c r="O85" s="95"/>
      <c r="P85" s="95"/>
      <c r="Q85" s="95"/>
      <c r="R85" s="95"/>
      <c r="S85" s="95"/>
      <c r="T85" s="95"/>
      <c r="U85" s="95"/>
      <c r="V85" s="95"/>
      <c r="W85" s="95"/>
      <c r="X85" s="95"/>
      <c r="Y85" s="95"/>
      <c r="Z85" s="96"/>
    </row>
    <row r="86" spans="1:26">
      <c r="A86" s="85"/>
      <c r="B86" s="68" t="s">
        <v>120</v>
      </c>
      <c r="C86" s="69" t="s">
        <v>37</v>
      </c>
      <c r="D86" s="73">
        <f t="shared" si="1"/>
        <v>0</v>
      </c>
      <c r="F86" s="101"/>
      <c r="G86" s="95"/>
      <c r="H86" s="95"/>
      <c r="I86" s="95"/>
      <c r="J86" s="95"/>
      <c r="K86" s="95"/>
      <c r="L86" s="95"/>
      <c r="M86" s="95"/>
      <c r="N86" s="95"/>
      <c r="O86" s="95"/>
      <c r="P86" s="95"/>
      <c r="Q86" s="95"/>
      <c r="R86" s="95"/>
      <c r="S86" s="95"/>
      <c r="T86" s="95"/>
      <c r="U86" s="95"/>
      <c r="V86" s="95"/>
      <c r="W86" s="95"/>
      <c r="X86" s="95"/>
      <c r="Y86" s="95"/>
      <c r="Z86" s="96"/>
    </row>
    <row r="87" spans="1:26">
      <c r="A87" s="88"/>
      <c r="B87" s="87" t="s">
        <v>121</v>
      </c>
      <c r="C87" s="69" t="s">
        <v>37</v>
      </c>
      <c r="D87" s="73">
        <f t="shared" si="1"/>
        <v>0</v>
      </c>
      <c r="F87" s="101"/>
      <c r="G87" s="95"/>
      <c r="H87" s="95"/>
      <c r="I87" s="95"/>
      <c r="J87" s="95"/>
      <c r="K87" s="95"/>
      <c r="L87" s="95"/>
      <c r="M87" s="95"/>
      <c r="N87" s="95"/>
      <c r="O87" s="95"/>
      <c r="P87" s="95"/>
      <c r="Q87" s="95"/>
      <c r="R87" s="95"/>
      <c r="S87" s="95"/>
      <c r="T87" s="95"/>
      <c r="U87" s="95"/>
      <c r="V87" s="95"/>
      <c r="W87" s="95"/>
      <c r="X87" s="95"/>
      <c r="Y87" s="95"/>
      <c r="Z87" s="96"/>
    </row>
    <row r="88" spans="1:26">
      <c r="A88" s="88"/>
      <c r="B88" s="87" t="s">
        <v>122</v>
      </c>
      <c r="C88" s="69" t="s">
        <v>37</v>
      </c>
      <c r="D88" s="73">
        <f t="shared" si="1"/>
        <v>0</v>
      </c>
      <c r="F88" s="101"/>
      <c r="G88" s="95"/>
      <c r="H88" s="95"/>
      <c r="I88" s="95"/>
      <c r="J88" s="95"/>
      <c r="K88" s="95"/>
      <c r="L88" s="95"/>
      <c r="M88" s="95"/>
      <c r="N88" s="95"/>
      <c r="O88" s="95"/>
      <c r="P88" s="95"/>
      <c r="Q88" s="95"/>
      <c r="R88" s="95"/>
      <c r="S88" s="95"/>
      <c r="T88" s="95"/>
      <c r="U88" s="95"/>
      <c r="V88" s="95"/>
      <c r="W88" s="95"/>
      <c r="X88" s="95"/>
      <c r="Y88" s="95"/>
      <c r="Z88" s="96"/>
    </row>
    <row r="89" spans="1:26">
      <c r="A89" s="88"/>
      <c r="B89" s="87" t="s">
        <v>123</v>
      </c>
      <c r="C89" s="69" t="s">
        <v>37</v>
      </c>
      <c r="D89" s="73">
        <f t="shared" si="1"/>
        <v>0</v>
      </c>
      <c r="F89" s="101"/>
      <c r="G89" s="95"/>
      <c r="H89" s="95"/>
      <c r="I89" s="95"/>
      <c r="J89" s="95"/>
      <c r="K89" s="95"/>
      <c r="L89" s="95"/>
      <c r="M89" s="95"/>
      <c r="N89" s="95"/>
      <c r="O89" s="95"/>
      <c r="P89" s="95"/>
      <c r="Q89" s="95"/>
      <c r="R89" s="95"/>
      <c r="S89" s="95"/>
      <c r="T89" s="95"/>
      <c r="U89" s="95"/>
      <c r="V89" s="95"/>
      <c r="W89" s="95"/>
      <c r="X89" s="95"/>
      <c r="Y89" s="95"/>
      <c r="Z89" s="96"/>
    </row>
    <row r="90" spans="1:26" s="74" customFormat="1">
      <c r="A90" s="91"/>
      <c r="B90" s="71" t="s">
        <v>124</v>
      </c>
      <c r="C90" s="72" t="s">
        <v>37</v>
      </c>
      <c r="D90" s="108">
        <f t="shared" si="1"/>
        <v>0</v>
      </c>
      <c r="F90" s="102"/>
      <c r="G90" s="99"/>
      <c r="H90" s="99"/>
      <c r="I90" s="99"/>
      <c r="J90" s="99"/>
      <c r="K90" s="99"/>
      <c r="L90" s="99"/>
      <c r="M90" s="99"/>
      <c r="N90" s="99"/>
      <c r="O90" s="99"/>
      <c r="P90" s="99"/>
      <c r="Q90" s="99"/>
      <c r="R90" s="99"/>
      <c r="S90" s="99"/>
      <c r="T90" s="99"/>
      <c r="U90" s="99"/>
      <c r="V90" s="99"/>
      <c r="W90" s="99"/>
      <c r="X90" s="99"/>
      <c r="Y90" s="99"/>
      <c r="Z90" s="100"/>
    </row>
    <row r="91" spans="1:26" s="74" customFormat="1">
      <c r="A91" s="91"/>
      <c r="B91" s="71" t="s">
        <v>125</v>
      </c>
      <c r="C91" s="72" t="s">
        <v>37</v>
      </c>
      <c r="D91" s="108">
        <f t="shared" si="1"/>
        <v>0</v>
      </c>
      <c r="F91" s="102"/>
      <c r="G91" s="99"/>
      <c r="H91" s="99"/>
      <c r="I91" s="99"/>
      <c r="J91" s="99"/>
      <c r="K91" s="99"/>
      <c r="L91" s="99"/>
      <c r="M91" s="99"/>
      <c r="N91" s="99"/>
      <c r="O91" s="99"/>
      <c r="P91" s="99"/>
      <c r="Q91" s="99"/>
      <c r="R91" s="99"/>
      <c r="S91" s="99"/>
      <c r="T91" s="99"/>
      <c r="U91" s="99"/>
      <c r="V91" s="99"/>
      <c r="W91" s="99"/>
      <c r="X91" s="99"/>
      <c r="Y91" s="99"/>
      <c r="Z91" s="100"/>
    </row>
    <row r="92" spans="1:26">
      <c r="A92" s="88"/>
      <c r="B92" s="87" t="s">
        <v>126</v>
      </c>
      <c r="C92" s="69" t="s">
        <v>37</v>
      </c>
      <c r="D92" s="73">
        <f t="shared" si="1"/>
        <v>0</v>
      </c>
      <c r="F92" s="101"/>
      <c r="G92" s="95"/>
      <c r="H92" s="95"/>
      <c r="I92" s="95"/>
      <c r="J92" s="95"/>
      <c r="K92" s="95"/>
      <c r="L92" s="95"/>
      <c r="M92" s="95"/>
      <c r="N92" s="95"/>
      <c r="O92" s="95"/>
      <c r="P92" s="95"/>
      <c r="Q92" s="95"/>
      <c r="R92" s="95"/>
      <c r="S92" s="95"/>
      <c r="T92" s="95"/>
      <c r="U92" s="95"/>
      <c r="V92" s="95"/>
      <c r="W92" s="95"/>
      <c r="X92" s="95"/>
      <c r="Y92" s="95"/>
      <c r="Z92" s="96"/>
    </row>
    <row r="93" spans="1:26">
      <c r="A93" s="88"/>
      <c r="B93" s="87" t="s">
        <v>127</v>
      </c>
      <c r="C93" s="69" t="s">
        <v>37</v>
      </c>
      <c r="D93" s="73">
        <f t="shared" si="1"/>
        <v>0</v>
      </c>
      <c r="F93" s="101"/>
      <c r="G93" s="95"/>
      <c r="H93" s="95"/>
      <c r="I93" s="95"/>
      <c r="J93" s="95"/>
      <c r="K93" s="95"/>
      <c r="L93" s="95"/>
      <c r="M93" s="95"/>
      <c r="N93" s="95"/>
      <c r="O93" s="95"/>
      <c r="P93" s="95"/>
      <c r="Q93" s="95"/>
      <c r="R93" s="95"/>
      <c r="S93" s="95"/>
      <c r="T93" s="95"/>
      <c r="U93" s="95"/>
      <c r="V93" s="95"/>
      <c r="W93" s="95"/>
      <c r="X93" s="95"/>
      <c r="Y93" s="95"/>
      <c r="Z93" s="96"/>
    </row>
    <row r="94" spans="1:26">
      <c r="A94" s="88"/>
      <c r="B94" s="87" t="s">
        <v>128</v>
      </c>
      <c r="C94" s="69" t="s">
        <v>37</v>
      </c>
      <c r="D94" s="73">
        <f t="shared" si="1"/>
        <v>0</v>
      </c>
      <c r="F94" s="101"/>
      <c r="G94" s="95"/>
      <c r="H94" s="95"/>
      <c r="I94" s="95"/>
      <c r="J94" s="95"/>
      <c r="K94" s="95"/>
      <c r="L94" s="95"/>
      <c r="M94" s="95"/>
      <c r="N94" s="95"/>
      <c r="O94" s="95"/>
      <c r="P94" s="95"/>
      <c r="Q94" s="95"/>
      <c r="R94" s="95"/>
      <c r="S94" s="95"/>
      <c r="T94" s="95"/>
      <c r="U94" s="95"/>
      <c r="V94" s="95"/>
      <c r="W94" s="95"/>
      <c r="X94" s="95"/>
      <c r="Y94" s="95"/>
      <c r="Z94" s="96"/>
    </row>
    <row r="95" spans="1:26" s="74" customFormat="1">
      <c r="A95" s="91"/>
      <c r="B95" s="71" t="s">
        <v>129</v>
      </c>
      <c r="C95" s="72" t="s">
        <v>37</v>
      </c>
      <c r="D95" s="108">
        <f t="shared" si="1"/>
        <v>0</v>
      </c>
      <c r="F95" s="102"/>
      <c r="G95" s="99"/>
      <c r="H95" s="99"/>
      <c r="I95" s="99"/>
      <c r="J95" s="99"/>
      <c r="K95" s="99"/>
      <c r="L95" s="99"/>
      <c r="M95" s="99"/>
      <c r="N95" s="99"/>
      <c r="O95" s="99"/>
      <c r="P95" s="99"/>
      <c r="Q95" s="99"/>
      <c r="R95" s="99"/>
      <c r="S95" s="99"/>
      <c r="T95" s="99"/>
      <c r="U95" s="99"/>
      <c r="V95" s="99"/>
      <c r="W95" s="99"/>
      <c r="X95" s="99"/>
      <c r="Y95" s="99"/>
      <c r="Z95" s="100"/>
    </row>
    <row r="96" spans="1:26">
      <c r="A96" s="88"/>
      <c r="B96" s="87" t="s">
        <v>130</v>
      </c>
      <c r="C96" s="69" t="s">
        <v>37</v>
      </c>
      <c r="D96" s="73">
        <f t="shared" si="1"/>
        <v>0</v>
      </c>
      <c r="F96" s="101"/>
      <c r="G96" s="95"/>
      <c r="H96" s="95"/>
      <c r="I96" s="95"/>
      <c r="J96" s="95"/>
      <c r="K96" s="95"/>
      <c r="L96" s="95"/>
      <c r="M96" s="95"/>
      <c r="N96" s="95"/>
      <c r="O96" s="95"/>
      <c r="P96" s="95"/>
      <c r="Q96" s="95"/>
      <c r="R96" s="95"/>
      <c r="S96" s="95"/>
      <c r="T96" s="95"/>
      <c r="U96" s="95"/>
      <c r="V96" s="95"/>
      <c r="W96" s="95"/>
      <c r="X96" s="95"/>
      <c r="Y96" s="95"/>
      <c r="Z96" s="96"/>
    </row>
    <row r="97" spans="1:26">
      <c r="A97" s="88"/>
      <c r="B97" s="87" t="s">
        <v>131</v>
      </c>
      <c r="C97" s="69" t="s">
        <v>37</v>
      </c>
      <c r="D97" s="73">
        <f t="shared" si="1"/>
        <v>0</v>
      </c>
      <c r="F97" s="101"/>
      <c r="G97" s="95"/>
      <c r="H97" s="95"/>
      <c r="I97" s="95"/>
      <c r="J97" s="95"/>
      <c r="K97" s="95"/>
      <c r="L97" s="95"/>
      <c r="M97" s="95"/>
      <c r="N97" s="95"/>
      <c r="O97" s="95"/>
      <c r="P97" s="95"/>
      <c r="Q97" s="95"/>
      <c r="R97" s="95"/>
      <c r="S97" s="95"/>
      <c r="T97" s="95"/>
      <c r="U97" s="95"/>
      <c r="V97" s="95"/>
      <c r="W97" s="95"/>
      <c r="X97" s="95"/>
      <c r="Y97" s="95"/>
      <c r="Z97" s="96"/>
    </row>
    <row r="98" spans="1:26" s="74" customFormat="1">
      <c r="A98" s="91"/>
      <c r="B98" s="71" t="s">
        <v>132</v>
      </c>
      <c r="C98" s="72" t="s">
        <v>37</v>
      </c>
      <c r="D98" s="108">
        <f t="shared" si="1"/>
        <v>0</v>
      </c>
      <c r="F98" s="102"/>
      <c r="G98" s="99"/>
      <c r="H98" s="99"/>
      <c r="I98" s="99"/>
      <c r="J98" s="99"/>
      <c r="K98" s="99"/>
      <c r="L98" s="99"/>
      <c r="M98" s="99"/>
      <c r="N98" s="99"/>
      <c r="O98" s="99"/>
      <c r="P98" s="99"/>
      <c r="Q98" s="99"/>
      <c r="R98" s="99"/>
      <c r="S98" s="99"/>
      <c r="T98" s="99"/>
      <c r="U98" s="99"/>
      <c r="V98" s="99"/>
      <c r="W98" s="99"/>
      <c r="X98" s="99"/>
      <c r="Y98" s="99"/>
      <c r="Z98" s="100"/>
    </row>
    <row r="99" spans="1:26">
      <c r="A99" s="88"/>
      <c r="B99" s="87" t="s">
        <v>133</v>
      </c>
      <c r="C99" s="69" t="s">
        <v>37</v>
      </c>
      <c r="D99" s="73">
        <f t="shared" si="1"/>
        <v>0</v>
      </c>
      <c r="F99" s="101"/>
      <c r="G99" s="95"/>
      <c r="H99" s="95"/>
      <c r="I99" s="95"/>
      <c r="J99" s="95"/>
      <c r="K99" s="95"/>
      <c r="L99" s="95"/>
      <c r="M99" s="95"/>
      <c r="N99" s="95"/>
      <c r="O99" s="95"/>
      <c r="P99" s="95"/>
      <c r="Q99" s="95"/>
      <c r="R99" s="95"/>
      <c r="S99" s="95"/>
      <c r="T99" s="95"/>
      <c r="U99" s="95"/>
      <c r="V99" s="95"/>
      <c r="W99" s="95"/>
      <c r="X99" s="95"/>
      <c r="Y99" s="95"/>
      <c r="Z99" s="96"/>
    </row>
    <row r="100" spans="1:26">
      <c r="A100" s="88"/>
      <c r="B100" s="87" t="s">
        <v>134</v>
      </c>
      <c r="C100" s="69" t="s">
        <v>37</v>
      </c>
      <c r="D100" s="73">
        <f t="shared" si="1"/>
        <v>0</v>
      </c>
      <c r="F100" s="101"/>
      <c r="G100" s="95"/>
      <c r="H100" s="95"/>
      <c r="I100" s="95"/>
      <c r="J100" s="95"/>
      <c r="K100" s="95"/>
      <c r="L100" s="95"/>
      <c r="M100" s="95"/>
      <c r="N100" s="95"/>
      <c r="O100" s="95"/>
      <c r="P100" s="95"/>
      <c r="Q100" s="95"/>
      <c r="R100" s="95"/>
      <c r="S100" s="95"/>
      <c r="T100" s="95"/>
      <c r="U100" s="95"/>
      <c r="V100" s="95"/>
      <c r="W100" s="95"/>
      <c r="X100" s="95"/>
      <c r="Y100" s="95"/>
      <c r="Z100" s="96"/>
    </row>
    <row r="101" spans="1:26">
      <c r="A101" s="88"/>
      <c r="B101" s="87" t="s">
        <v>135</v>
      </c>
      <c r="C101" s="69" t="s">
        <v>37</v>
      </c>
      <c r="D101" s="73">
        <f t="shared" si="1"/>
        <v>0</v>
      </c>
      <c r="F101" s="101"/>
      <c r="G101" s="95"/>
      <c r="H101" s="95"/>
      <c r="I101" s="95"/>
      <c r="J101" s="95"/>
      <c r="K101" s="95"/>
      <c r="L101" s="95"/>
      <c r="M101" s="95"/>
      <c r="N101" s="95"/>
      <c r="O101" s="95"/>
      <c r="P101" s="95"/>
      <c r="Q101" s="95"/>
      <c r="R101" s="95"/>
      <c r="S101" s="95"/>
      <c r="T101" s="95"/>
      <c r="U101" s="95"/>
      <c r="V101" s="95"/>
      <c r="W101" s="95"/>
      <c r="X101" s="95"/>
      <c r="Y101" s="95"/>
      <c r="Z101" s="96"/>
    </row>
    <row r="102" spans="1:26" s="74" customFormat="1">
      <c r="A102" s="91"/>
      <c r="B102" s="71" t="s">
        <v>136</v>
      </c>
      <c r="C102" s="72" t="s">
        <v>37</v>
      </c>
      <c r="D102" s="108">
        <f t="shared" si="1"/>
        <v>0</v>
      </c>
      <c r="F102" s="102"/>
      <c r="G102" s="99"/>
      <c r="H102" s="99"/>
      <c r="I102" s="99"/>
      <c r="J102" s="99"/>
      <c r="K102" s="99"/>
      <c r="L102" s="99"/>
      <c r="M102" s="99"/>
      <c r="N102" s="99"/>
      <c r="O102" s="99"/>
      <c r="P102" s="99"/>
      <c r="Q102" s="99"/>
      <c r="R102" s="99"/>
      <c r="S102" s="99"/>
      <c r="T102" s="99"/>
      <c r="U102" s="99"/>
      <c r="V102" s="99"/>
      <c r="W102" s="99"/>
      <c r="X102" s="99"/>
      <c r="Y102" s="99"/>
      <c r="Z102" s="100"/>
    </row>
    <row r="103" spans="1:26">
      <c r="A103" s="88"/>
      <c r="B103" s="87" t="s">
        <v>137</v>
      </c>
      <c r="C103" s="69" t="s">
        <v>37</v>
      </c>
      <c r="D103" s="73">
        <f t="shared" si="1"/>
        <v>0</v>
      </c>
      <c r="F103" s="101"/>
      <c r="G103" s="95"/>
      <c r="H103" s="95"/>
      <c r="I103" s="95"/>
      <c r="J103" s="95"/>
      <c r="K103" s="95"/>
      <c r="L103" s="95"/>
      <c r="M103" s="95"/>
      <c r="N103" s="95"/>
      <c r="O103" s="95"/>
      <c r="P103" s="95"/>
      <c r="Q103" s="95"/>
      <c r="R103" s="95"/>
      <c r="S103" s="95"/>
      <c r="T103" s="95"/>
      <c r="U103" s="95"/>
      <c r="V103" s="95"/>
      <c r="W103" s="95"/>
      <c r="X103" s="95"/>
      <c r="Y103" s="95"/>
      <c r="Z103" s="96"/>
    </row>
    <row r="104" spans="1:26">
      <c r="A104" s="88"/>
      <c r="B104" s="87" t="s">
        <v>138</v>
      </c>
      <c r="C104" s="69" t="s">
        <v>37</v>
      </c>
      <c r="D104" s="73">
        <f t="shared" si="1"/>
        <v>0</v>
      </c>
      <c r="F104" s="101"/>
      <c r="G104" s="95"/>
      <c r="H104" s="95"/>
      <c r="I104" s="95"/>
      <c r="J104" s="95"/>
      <c r="K104" s="95"/>
      <c r="L104" s="95"/>
      <c r="M104" s="95"/>
      <c r="N104" s="95"/>
      <c r="O104" s="95"/>
      <c r="P104" s="95"/>
      <c r="Q104" s="95"/>
      <c r="R104" s="95"/>
      <c r="S104" s="95"/>
      <c r="T104" s="95"/>
      <c r="U104" s="95"/>
      <c r="V104" s="95"/>
      <c r="W104" s="95"/>
      <c r="X104" s="95"/>
      <c r="Y104" s="95"/>
      <c r="Z104" s="96"/>
    </row>
    <row r="105" spans="1:26" s="74" customFormat="1">
      <c r="A105" s="91"/>
      <c r="B105" s="71" t="s">
        <v>139</v>
      </c>
      <c r="C105" s="72" t="s">
        <v>37</v>
      </c>
      <c r="D105" s="108">
        <f t="shared" si="1"/>
        <v>0</v>
      </c>
      <c r="F105" s="102"/>
      <c r="G105" s="99"/>
      <c r="H105" s="99"/>
      <c r="I105" s="99"/>
      <c r="J105" s="99"/>
      <c r="K105" s="99"/>
      <c r="L105" s="99"/>
      <c r="M105" s="99"/>
      <c r="N105" s="99"/>
      <c r="O105" s="99"/>
      <c r="P105" s="99"/>
      <c r="Q105" s="99"/>
      <c r="R105" s="99"/>
      <c r="S105" s="99"/>
      <c r="T105" s="99"/>
      <c r="U105" s="99"/>
      <c r="V105" s="99"/>
      <c r="W105" s="99"/>
      <c r="X105" s="99"/>
      <c r="Y105" s="99"/>
      <c r="Z105" s="100"/>
    </row>
    <row r="106" spans="1:26">
      <c r="A106" s="88"/>
      <c r="B106" s="87" t="s">
        <v>140</v>
      </c>
      <c r="C106" s="69" t="s">
        <v>37</v>
      </c>
      <c r="D106" s="73">
        <f t="shared" si="1"/>
        <v>0</v>
      </c>
      <c r="F106" s="101"/>
      <c r="G106" s="95"/>
      <c r="H106" s="95"/>
      <c r="I106" s="95"/>
      <c r="J106" s="95"/>
      <c r="K106" s="95"/>
      <c r="L106" s="95"/>
      <c r="M106" s="95"/>
      <c r="N106" s="95"/>
      <c r="O106" s="95"/>
      <c r="P106" s="95"/>
      <c r="Q106" s="95"/>
      <c r="R106" s="95"/>
      <c r="S106" s="95"/>
      <c r="T106" s="95"/>
      <c r="U106" s="95"/>
      <c r="V106" s="95"/>
      <c r="W106" s="95"/>
      <c r="X106" s="95"/>
      <c r="Y106" s="95"/>
      <c r="Z106" s="96"/>
    </row>
    <row r="107" spans="1:26">
      <c r="A107" s="88"/>
      <c r="B107" s="87" t="s">
        <v>141</v>
      </c>
      <c r="C107" s="69" t="s">
        <v>37</v>
      </c>
      <c r="D107" s="73">
        <f t="shared" si="1"/>
        <v>0</v>
      </c>
      <c r="F107" s="101"/>
      <c r="G107" s="95"/>
      <c r="H107" s="95"/>
      <c r="I107" s="95"/>
      <c r="J107" s="95"/>
      <c r="K107" s="95"/>
      <c r="L107" s="95"/>
      <c r="M107" s="95"/>
      <c r="N107" s="95"/>
      <c r="O107" s="95"/>
      <c r="P107" s="95"/>
      <c r="Q107" s="95"/>
      <c r="R107" s="95"/>
      <c r="S107" s="95"/>
      <c r="T107" s="95"/>
      <c r="U107" s="95"/>
      <c r="V107" s="95"/>
      <c r="W107" s="95"/>
      <c r="X107" s="95"/>
      <c r="Y107" s="95"/>
      <c r="Z107" s="96"/>
    </row>
    <row r="108" spans="1:26" s="74" customFormat="1">
      <c r="A108" s="90"/>
      <c r="B108" s="71" t="s">
        <v>142</v>
      </c>
      <c r="C108" s="72" t="s">
        <v>37</v>
      </c>
      <c r="D108" s="108">
        <f t="shared" si="1"/>
        <v>0</v>
      </c>
      <c r="F108" s="102"/>
      <c r="G108" s="99"/>
      <c r="H108" s="99"/>
      <c r="I108" s="99"/>
      <c r="J108" s="99"/>
      <c r="K108" s="99"/>
      <c r="L108" s="99"/>
      <c r="M108" s="99"/>
      <c r="N108" s="99"/>
      <c r="O108" s="99"/>
      <c r="P108" s="99"/>
      <c r="Q108" s="99"/>
      <c r="R108" s="99"/>
      <c r="S108" s="99"/>
      <c r="T108" s="99"/>
      <c r="U108" s="99"/>
      <c r="V108" s="99"/>
      <c r="W108" s="99"/>
      <c r="X108" s="99"/>
      <c r="Y108" s="99"/>
      <c r="Z108" s="100"/>
    </row>
    <row r="109" spans="1:26">
      <c r="A109" s="86"/>
      <c r="B109" s="68" t="s">
        <v>143</v>
      </c>
      <c r="C109" s="69" t="s">
        <v>37</v>
      </c>
      <c r="D109" s="73">
        <f t="shared" si="1"/>
        <v>0</v>
      </c>
      <c r="F109" s="101"/>
      <c r="G109" s="95"/>
      <c r="H109" s="95"/>
      <c r="I109" s="95"/>
      <c r="J109" s="95"/>
      <c r="K109" s="95"/>
      <c r="L109" s="95"/>
      <c r="M109" s="95"/>
      <c r="N109" s="95"/>
      <c r="O109" s="95"/>
      <c r="P109" s="95"/>
      <c r="Q109" s="95"/>
      <c r="R109" s="95"/>
      <c r="S109" s="95"/>
      <c r="T109" s="95"/>
      <c r="U109" s="95"/>
      <c r="V109" s="95"/>
      <c r="W109" s="95"/>
      <c r="X109" s="95"/>
      <c r="Y109" s="95"/>
      <c r="Z109" s="96"/>
    </row>
    <row r="110" spans="1:26">
      <c r="A110" s="86"/>
      <c r="B110" s="68" t="s">
        <v>144</v>
      </c>
      <c r="C110" s="69" t="s">
        <v>37</v>
      </c>
      <c r="D110" s="73">
        <f t="shared" si="1"/>
        <v>0</v>
      </c>
      <c r="F110" s="101"/>
      <c r="G110" s="95"/>
      <c r="H110" s="95"/>
      <c r="I110" s="95"/>
      <c r="J110" s="95"/>
      <c r="K110" s="95"/>
      <c r="L110" s="95"/>
      <c r="M110" s="95"/>
      <c r="N110" s="95"/>
      <c r="O110" s="95"/>
      <c r="P110" s="95"/>
      <c r="Q110" s="95"/>
      <c r="R110" s="95"/>
      <c r="S110" s="95"/>
      <c r="T110" s="95"/>
      <c r="U110" s="95"/>
      <c r="V110" s="95"/>
      <c r="W110" s="95"/>
      <c r="X110" s="95"/>
      <c r="Y110" s="95"/>
      <c r="Z110" s="96"/>
    </row>
    <row r="111" spans="1:26">
      <c r="A111" s="89"/>
      <c r="B111" s="111" t="s">
        <v>145</v>
      </c>
      <c r="C111" s="69" t="s">
        <v>37</v>
      </c>
      <c r="D111" s="73">
        <f t="shared" si="1"/>
        <v>0</v>
      </c>
      <c r="F111" s="101"/>
      <c r="G111" s="95"/>
      <c r="H111" s="95"/>
      <c r="I111" s="95"/>
      <c r="J111" s="95"/>
      <c r="K111" s="95"/>
      <c r="L111" s="95"/>
      <c r="M111" s="95"/>
      <c r="N111" s="95"/>
      <c r="O111" s="95"/>
      <c r="P111" s="95"/>
      <c r="Q111" s="95"/>
      <c r="R111" s="95"/>
      <c r="S111" s="95"/>
      <c r="T111" s="95"/>
      <c r="U111" s="95"/>
      <c r="V111" s="95"/>
      <c r="W111" s="95"/>
      <c r="X111" s="95"/>
      <c r="Y111" s="95"/>
      <c r="Z111" s="96"/>
    </row>
    <row r="112" spans="1:26">
      <c r="A112" s="89"/>
      <c r="B112" s="68" t="s">
        <v>146</v>
      </c>
      <c r="C112" s="69" t="s">
        <v>37</v>
      </c>
      <c r="D112" s="73">
        <f t="shared" si="1"/>
        <v>0</v>
      </c>
      <c r="F112" s="101"/>
      <c r="G112" s="95"/>
      <c r="H112" s="95"/>
      <c r="I112" s="95"/>
      <c r="J112" s="95"/>
      <c r="K112" s="95"/>
      <c r="L112" s="95"/>
      <c r="M112" s="95"/>
      <c r="N112" s="95"/>
      <c r="O112" s="95"/>
      <c r="P112" s="95"/>
      <c r="Q112" s="95"/>
      <c r="R112" s="95"/>
      <c r="S112" s="95"/>
      <c r="T112" s="95"/>
      <c r="U112" s="95"/>
      <c r="V112" s="95"/>
      <c r="W112" s="95"/>
      <c r="X112" s="95"/>
      <c r="Y112" s="95"/>
      <c r="Z112" s="96"/>
    </row>
    <row r="113" spans="1:26">
      <c r="A113" s="89"/>
      <c r="B113" s="68" t="s">
        <v>147</v>
      </c>
      <c r="C113" s="69" t="s">
        <v>37</v>
      </c>
      <c r="D113" s="73">
        <f t="shared" si="1"/>
        <v>0</v>
      </c>
      <c r="F113" s="101"/>
      <c r="G113" s="95"/>
      <c r="H113" s="95"/>
      <c r="I113" s="95"/>
      <c r="J113" s="95"/>
      <c r="K113" s="95"/>
      <c r="L113" s="95"/>
      <c r="M113" s="95"/>
      <c r="N113" s="95"/>
      <c r="O113" s="95"/>
      <c r="P113" s="95"/>
      <c r="Q113" s="95"/>
      <c r="R113" s="95"/>
      <c r="S113" s="95"/>
      <c r="T113" s="95"/>
      <c r="U113" s="95"/>
      <c r="V113" s="95"/>
      <c r="W113" s="95"/>
      <c r="X113" s="95"/>
      <c r="Y113" s="95"/>
      <c r="Z113" s="96"/>
    </row>
    <row r="114" spans="1:26">
      <c r="A114" s="89"/>
      <c r="B114" s="87" t="s">
        <v>148</v>
      </c>
      <c r="C114" s="69" t="s">
        <v>37</v>
      </c>
      <c r="D114" s="73">
        <f t="shared" si="1"/>
        <v>0</v>
      </c>
      <c r="F114" s="101"/>
      <c r="G114" s="95"/>
      <c r="H114" s="95"/>
      <c r="I114" s="95"/>
      <c r="J114" s="95"/>
      <c r="K114" s="95"/>
      <c r="L114" s="95"/>
      <c r="M114" s="95"/>
      <c r="N114" s="95"/>
      <c r="O114" s="95"/>
      <c r="P114" s="95"/>
      <c r="Q114" s="95"/>
      <c r="R114" s="95"/>
      <c r="S114" s="95"/>
      <c r="T114" s="95"/>
      <c r="U114" s="95"/>
      <c r="V114" s="95"/>
      <c r="W114" s="95"/>
      <c r="X114" s="95"/>
      <c r="Y114" s="95"/>
      <c r="Z114" s="96"/>
    </row>
    <row r="115" spans="1:26">
      <c r="A115" s="89"/>
      <c r="B115" s="87" t="s">
        <v>149</v>
      </c>
      <c r="C115" s="69" t="s">
        <v>37</v>
      </c>
      <c r="D115" s="73">
        <f t="shared" si="1"/>
        <v>0</v>
      </c>
      <c r="F115" s="101"/>
      <c r="G115" s="95"/>
      <c r="H115" s="95"/>
      <c r="I115" s="95"/>
      <c r="J115" s="95"/>
      <c r="K115" s="95"/>
      <c r="L115" s="95"/>
      <c r="M115" s="95"/>
      <c r="N115" s="95"/>
      <c r="O115" s="95"/>
      <c r="P115" s="95"/>
      <c r="Q115" s="95"/>
      <c r="R115" s="95"/>
      <c r="S115" s="95"/>
      <c r="T115" s="95"/>
      <c r="U115" s="95"/>
      <c r="V115" s="95"/>
      <c r="W115" s="95"/>
      <c r="X115" s="95"/>
      <c r="Y115" s="95"/>
      <c r="Z115" s="96"/>
    </row>
    <row r="116" spans="1:26">
      <c r="A116" s="89"/>
      <c r="B116" s="87" t="s">
        <v>150</v>
      </c>
      <c r="C116" s="69" t="s">
        <v>37</v>
      </c>
      <c r="D116" s="73">
        <f t="shared" si="1"/>
        <v>0</v>
      </c>
      <c r="F116" s="101"/>
      <c r="G116" s="95"/>
      <c r="H116" s="95"/>
      <c r="I116" s="95"/>
      <c r="J116" s="95"/>
      <c r="K116" s="95"/>
      <c r="L116" s="95"/>
      <c r="M116" s="95"/>
      <c r="N116" s="95"/>
      <c r="O116" s="95"/>
      <c r="P116" s="95"/>
      <c r="Q116" s="95"/>
      <c r="R116" s="95"/>
      <c r="S116" s="95"/>
      <c r="T116" s="95"/>
      <c r="U116" s="95"/>
      <c r="V116" s="95"/>
      <c r="W116" s="95"/>
      <c r="X116" s="95"/>
      <c r="Y116" s="95"/>
      <c r="Z116" s="96"/>
    </row>
    <row r="117" spans="1:26" s="74" customFormat="1">
      <c r="A117" s="90"/>
      <c r="B117" s="75" t="s">
        <v>151</v>
      </c>
      <c r="C117" s="76" t="s">
        <v>37</v>
      </c>
      <c r="D117" s="77">
        <f t="shared" si="1"/>
        <v>0</v>
      </c>
      <c r="F117" s="103"/>
      <c r="G117" s="104"/>
      <c r="H117" s="104"/>
      <c r="I117" s="104"/>
      <c r="J117" s="104"/>
      <c r="K117" s="104"/>
      <c r="L117" s="104"/>
      <c r="M117" s="104"/>
      <c r="N117" s="104"/>
      <c r="O117" s="104"/>
      <c r="P117" s="104"/>
      <c r="Q117" s="104"/>
      <c r="R117" s="104"/>
      <c r="S117" s="104"/>
      <c r="T117" s="104"/>
      <c r="U117" s="104"/>
      <c r="V117" s="104"/>
      <c r="W117" s="104"/>
      <c r="X117" s="104"/>
      <c r="Y117" s="104"/>
      <c r="Z117" s="105"/>
    </row>
  </sheetData>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mport_odyssee_data">
                <anchor moveWithCells="1" sizeWithCells="1">
                  <from>
                    <xdr:col>2</xdr:col>
                    <xdr:colOff>1016000</xdr:colOff>
                    <xdr:row>3</xdr:row>
                    <xdr:rowOff>38100</xdr:rowOff>
                  </from>
                  <to>
                    <xdr:col>6</xdr:col>
                    <xdr:colOff>1003300</xdr:colOff>
                    <xdr:row>4</xdr:row>
                    <xdr:rowOff>228600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8" tint="0.39997558519241921"/>
  </sheetPr>
  <dimension ref="B2:L70"/>
  <sheetViews>
    <sheetView workbookViewId="0">
      <selection activeCell="J46" sqref="J46"/>
    </sheetView>
  </sheetViews>
  <sheetFormatPr baseColWidth="10" defaultRowHeight="15" x14ac:dyDescent="0"/>
  <cols>
    <col min="1" max="1" width="10.83203125" style="44" customWidth="1"/>
    <col min="2" max="2" width="30.1640625" style="44" bestFit="1" customWidth="1"/>
    <col min="3" max="10" width="10.83203125" style="44" customWidth="1"/>
    <col min="11" max="16384" width="10.83203125" style="44"/>
  </cols>
  <sheetData>
    <row r="2" spans="2:12" ht="20">
      <c r="B2" s="45" t="s">
        <v>162</v>
      </c>
    </row>
    <row r="4" spans="2:12">
      <c r="B4" s="46" t="s">
        <v>22</v>
      </c>
      <c r="C4" s="47"/>
      <c r="D4" s="47"/>
      <c r="E4" s="48"/>
    </row>
    <row r="5" spans="2:12">
      <c r="B5" s="160"/>
      <c r="C5" s="161"/>
      <c r="D5" s="161"/>
      <c r="E5" s="162"/>
    </row>
    <row r="6" spans="2:12">
      <c r="B6" s="126"/>
      <c r="C6" s="126"/>
      <c r="D6" s="126"/>
      <c r="E6" s="126"/>
    </row>
    <row r="7" spans="2:12">
      <c r="B7" s="126"/>
      <c r="C7" s="126"/>
      <c r="D7" s="126"/>
      <c r="E7" s="126"/>
    </row>
    <row r="8" spans="2:12">
      <c r="B8" s="74" t="s">
        <v>200</v>
      </c>
    </row>
    <row r="9" spans="2:12">
      <c r="B9" s="74"/>
    </row>
    <row r="10" spans="2:12">
      <c r="B10" s="44" t="s">
        <v>201</v>
      </c>
      <c r="C10" s="127">
        <v>41868</v>
      </c>
      <c r="D10" s="44" t="s">
        <v>204</v>
      </c>
    </row>
    <row r="12" spans="2:12">
      <c r="B12" s="74" t="s">
        <v>177</v>
      </c>
    </row>
    <row r="14" spans="2:12" s="74" customFormat="1">
      <c r="B14" s="128" t="s">
        <v>37</v>
      </c>
      <c r="C14" s="129"/>
      <c r="D14" s="130" t="s">
        <v>165</v>
      </c>
      <c r="E14" s="129" t="s">
        <v>166</v>
      </c>
      <c r="F14" s="129" t="s">
        <v>167</v>
      </c>
      <c r="G14" s="129" t="s">
        <v>169</v>
      </c>
      <c r="H14" s="129" t="s">
        <v>21</v>
      </c>
      <c r="I14" s="129" t="s">
        <v>168</v>
      </c>
      <c r="J14" s="129" t="s">
        <v>25</v>
      </c>
      <c r="K14" s="129" t="s">
        <v>170</v>
      </c>
      <c r="L14" s="130" t="s">
        <v>24</v>
      </c>
    </row>
    <row r="15" spans="2:12">
      <c r="B15" s="44" t="s">
        <v>95</v>
      </c>
      <c r="D15" s="54">
        <f>Odyssee!D54</f>
        <v>0</v>
      </c>
      <c r="E15" s="50">
        <f>Odyssee!D55</f>
        <v>0</v>
      </c>
      <c r="F15" s="50">
        <f>Odyssee!D56</f>
        <v>0</v>
      </c>
      <c r="G15" s="50">
        <f>Odyssee!D57</f>
        <v>0</v>
      </c>
      <c r="H15" s="50">
        <f>Odyssee!D58</f>
        <v>0</v>
      </c>
      <c r="I15" s="50">
        <f>Odyssee!D59</f>
        <v>0</v>
      </c>
      <c r="J15" s="50">
        <f>Odyssee!D60</f>
        <v>0</v>
      </c>
      <c r="K15" s="51">
        <f>L15-SUM(D15:J15)</f>
        <v>0</v>
      </c>
      <c r="L15" s="54">
        <f>Odyssee!D61</f>
        <v>0</v>
      </c>
    </row>
    <row r="16" spans="2:12">
      <c r="B16" s="44" t="s">
        <v>96</v>
      </c>
      <c r="D16" s="54"/>
      <c r="E16" s="50"/>
      <c r="F16" s="50"/>
      <c r="G16" s="50"/>
      <c r="H16" s="50"/>
      <c r="I16" s="50"/>
      <c r="J16" s="50"/>
      <c r="K16" s="51"/>
      <c r="L16" s="54">
        <f>Odyssee!D62</f>
        <v>0</v>
      </c>
    </row>
    <row r="17" spans="2:12">
      <c r="D17" s="54"/>
      <c r="E17" s="50"/>
      <c r="F17" s="50"/>
      <c r="G17" s="50"/>
      <c r="H17" s="50"/>
      <c r="I17" s="50"/>
      <c r="J17" s="50"/>
      <c r="K17" s="51"/>
      <c r="L17" s="54"/>
    </row>
    <row r="18" spans="2:12">
      <c r="B18" s="44" t="s">
        <v>176</v>
      </c>
      <c r="D18" s="54">
        <f>D19+D22</f>
        <v>0</v>
      </c>
      <c r="E18" s="55">
        <f t="shared" ref="E18:J18" si="0">E19+E22</f>
        <v>0</v>
      </c>
      <c r="F18" s="55">
        <f t="shared" si="0"/>
        <v>0</v>
      </c>
      <c r="G18" s="55">
        <f t="shared" si="0"/>
        <v>0</v>
      </c>
      <c r="H18" s="55">
        <f t="shared" si="0"/>
        <v>0</v>
      </c>
      <c r="I18" s="55">
        <f t="shared" si="0"/>
        <v>0</v>
      </c>
      <c r="J18" s="55">
        <f t="shared" si="0"/>
        <v>0</v>
      </c>
      <c r="K18" s="51">
        <f>L18-SUM(D18:J18)</f>
        <v>0</v>
      </c>
      <c r="L18" s="54">
        <f>L19+L22</f>
        <v>0</v>
      </c>
    </row>
    <row r="19" spans="2:12">
      <c r="B19" s="44" t="s">
        <v>163</v>
      </c>
      <c r="D19" s="54">
        <f>SUM(D20:D21)</f>
        <v>0</v>
      </c>
      <c r="E19" s="50">
        <f t="shared" ref="E19:L19" si="1">SUM(E20:E21)</f>
        <v>0</v>
      </c>
      <c r="F19" s="50">
        <f t="shared" si="1"/>
        <v>0</v>
      </c>
      <c r="G19" s="50">
        <f t="shared" si="1"/>
        <v>0</v>
      </c>
      <c r="H19" s="50">
        <f t="shared" si="1"/>
        <v>0</v>
      </c>
      <c r="I19" s="50">
        <f t="shared" si="1"/>
        <v>0</v>
      </c>
      <c r="J19" s="50">
        <f t="shared" si="1"/>
        <v>0</v>
      </c>
      <c r="K19" s="51">
        <f t="shared" ref="K19:K27" si="2">L19-SUM(D19:J19)</f>
        <v>0</v>
      </c>
      <c r="L19" s="54">
        <f t="shared" si="1"/>
        <v>0</v>
      </c>
    </row>
    <row r="20" spans="2:12">
      <c r="B20" s="49" t="s">
        <v>163</v>
      </c>
      <c r="D20" s="54">
        <f>Odyssee!D87</f>
        <v>0</v>
      </c>
      <c r="E20" s="50">
        <f>Odyssee!D88</f>
        <v>0</v>
      </c>
      <c r="F20" s="50">
        <f>Odyssee!D89</f>
        <v>0</v>
      </c>
      <c r="G20" s="50" t="s">
        <v>175</v>
      </c>
      <c r="H20" s="50" t="s">
        <v>175</v>
      </c>
      <c r="I20" s="50">
        <f>Odyssee!D68</f>
        <v>0</v>
      </c>
      <c r="J20" s="50" t="s">
        <v>175</v>
      </c>
      <c r="K20" s="51">
        <f t="shared" si="2"/>
        <v>0</v>
      </c>
      <c r="L20" s="54">
        <f>Odyssee!D90</f>
        <v>0</v>
      </c>
    </row>
    <row r="21" spans="2:12">
      <c r="B21" s="49" t="s">
        <v>172</v>
      </c>
      <c r="D21" s="54">
        <f>Odyssee!D91</f>
        <v>0</v>
      </c>
      <c r="E21" s="50" t="s">
        <v>175</v>
      </c>
      <c r="F21" s="50" t="s">
        <v>175</v>
      </c>
      <c r="G21" s="50" t="s">
        <v>175</v>
      </c>
      <c r="H21" s="50" t="s">
        <v>175</v>
      </c>
      <c r="I21" s="50" t="s">
        <v>175</v>
      </c>
      <c r="J21" s="50" t="s">
        <v>175</v>
      </c>
      <c r="K21" s="51">
        <f t="shared" si="2"/>
        <v>0</v>
      </c>
      <c r="L21" s="54">
        <f>Odyssee!D91</f>
        <v>0</v>
      </c>
    </row>
    <row r="22" spans="2:12">
      <c r="B22" s="44" t="s">
        <v>171</v>
      </c>
      <c r="D22" s="54">
        <f>SUM(D23:D24)</f>
        <v>0</v>
      </c>
      <c r="E22" s="50">
        <f t="shared" ref="E22:L22" si="3">SUM(E23:E24)</f>
        <v>0</v>
      </c>
      <c r="F22" s="50">
        <f t="shared" si="3"/>
        <v>0</v>
      </c>
      <c r="G22" s="50">
        <f t="shared" si="3"/>
        <v>0</v>
      </c>
      <c r="H22" s="50">
        <f t="shared" si="3"/>
        <v>0</v>
      </c>
      <c r="I22" s="50">
        <f t="shared" si="3"/>
        <v>0</v>
      </c>
      <c r="J22" s="50">
        <f t="shared" si="3"/>
        <v>0</v>
      </c>
      <c r="K22" s="51">
        <f t="shared" si="2"/>
        <v>0</v>
      </c>
      <c r="L22" s="54">
        <f t="shared" si="3"/>
        <v>0</v>
      </c>
    </row>
    <row r="23" spans="2:12">
      <c r="B23" s="49" t="s">
        <v>173</v>
      </c>
      <c r="D23" s="54">
        <f>Odyssee!D92</f>
        <v>0</v>
      </c>
      <c r="E23" s="50">
        <f>Odyssee!D93</f>
        <v>0</v>
      </c>
      <c r="F23" s="50">
        <f>Odyssee!D94</f>
        <v>0</v>
      </c>
      <c r="G23" s="50" t="s">
        <v>175</v>
      </c>
      <c r="H23" s="50" t="s">
        <v>175</v>
      </c>
      <c r="I23" s="50" t="s">
        <v>175</v>
      </c>
      <c r="J23" s="50" t="s">
        <v>175</v>
      </c>
      <c r="K23" s="51">
        <f t="shared" si="2"/>
        <v>0</v>
      </c>
      <c r="L23" s="54">
        <f>Odyssee!D95</f>
        <v>0</v>
      </c>
    </row>
    <row r="24" spans="2:12">
      <c r="B24" s="49" t="s">
        <v>174</v>
      </c>
      <c r="D24" s="54">
        <f>Odyssee!D96</f>
        <v>0</v>
      </c>
      <c r="E24" s="50">
        <f>Odyssee!D97</f>
        <v>0</v>
      </c>
      <c r="F24" s="50" t="s">
        <v>175</v>
      </c>
      <c r="G24" s="50" t="s">
        <v>175</v>
      </c>
      <c r="H24" s="50" t="s">
        <v>175</v>
      </c>
      <c r="I24" s="50">
        <f>Odyssee!D73</f>
        <v>0</v>
      </c>
      <c r="J24" s="50" t="s">
        <v>175</v>
      </c>
      <c r="K24" s="51">
        <f t="shared" si="2"/>
        <v>0</v>
      </c>
      <c r="L24" s="54">
        <f>Odyssee!D98</f>
        <v>0</v>
      </c>
    </row>
    <row r="25" spans="2:12">
      <c r="B25" s="44" t="s">
        <v>164</v>
      </c>
      <c r="D25" s="54" t="s">
        <v>175</v>
      </c>
      <c r="E25" s="50">
        <f>Odyssee!D106</f>
        <v>0</v>
      </c>
      <c r="F25" s="50" t="s">
        <v>175</v>
      </c>
      <c r="G25" s="50" t="s">
        <v>175</v>
      </c>
      <c r="H25" s="50">
        <f>Odyssee!D107</f>
        <v>0</v>
      </c>
      <c r="I25" s="50" t="s">
        <v>175</v>
      </c>
      <c r="J25" s="50">
        <f>Odyssee!D111</f>
        <v>0</v>
      </c>
      <c r="K25" s="51">
        <f t="shared" si="2"/>
        <v>0</v>
      </c>
      <c r="L25" s="54">
        <f>Odyssee!D108</f>
        <v>0</v>
      </c>
    </row>
    <row r="26" spans="2:12">
      <c r="B26" s="44" t="s">
        <v>27</v>
      </c>
      <c r="D26" s="54">
        <f>Odyssee!D114</f>
        <v>0</v>
      </c>
      <c r="E26" s="50">
        <f>Odyssee!D115</f>
        <v>0</v>
      </c>
      <c r="F26" s="50" t="s">
        <v>175</v>
      </c>
      <c r="G26" s="50" t="s">
        <v>175</v>
      </c>
      <c r="H26" s="50">
        <f>Odyssee!D116</f>
        <v>0</v>
      </c>
      <c r="I26" s="50" t="s">
        <v>175</v>
      </c>
      <c r="J26" s="50" t="s">
        <v>175</v>
      </c>
      <c r="K26" s="51">
        <f t="shared" si="2"/>
        <v>0</v>
      </c>
      <c r="L26" s="54">
        <f>Odyssee!D117</f>
        <v>0</v>
      </c>
    </row>
    <row r="27" spans="2:12">
      <c r="B27" s="52" t="s">
        <v>26</v>
      </c>
      <c r="C27" s="52"/>
      <c r="D27" s="131" t="s">
        <v>175</v>
      </c>
      <c r="E27" s="132" t="s">
        <v>175</v>
      </c>
      <c r="F27" s="132" t="s">
        <v>175</v>
      </c>
      <c r="G27" s="132">
        <f>Odyssee!D113</f>
        <v>0</v>
      </c>
      <c r="H27" s="132" t="s">
        <v>175</v>
      </c>
      <c r="I27" s="132" t="s">
        <v>175</v>
      </c>
      <c r="J27" s="132" t="s">
        <v>175</v>
      </c>
      <c r="K27" s="133">
        <f t="shared" si="2"/>
        <v>0</v>
      </c>
      <c r="L27" s="131">
        <f>Odyssee!D113</f>
        <v>0</v>
      </c>
    </row>
    <row r="28" spans="2:12">
      <c r="B28" s="62"/>
      <c r="C28" s="62"/>
      <c r="D28" s="55"/>
      <c r="E28" s="55"/>
      <c r="F28" s="55"/>
      <c r="G28" s="55"/>
      <c r="H28" s="55"/>
      <c r="I28" s="55"/>
      <c r="J28" s="55"/>
      <c r="K28" s="134"/>
      <c r="L28" s="55"/>
    </row>
    <row r="30" spans="2:12" s="74" customFormat="1">
      <c r="B30" s="128" t="s">
        <v>197</v>
      </c>
      <c r="C30" s="129"/>
      <c r="D30" s="130" t="s">
        <v>165</v>
      </c>
      <c r="E30" s="129" t="s">
        <v>166</v>
      </c>
      <c r="F30" s="129" t="s">
        <v>167</v>
      </c>
      <c r="G30" s="129" t="s">
        <v>169</v>
      </c>
      <c r="H30" s="129" t="s">
        <v>21</v>
      </c>
      <c r="I30" s="129" t="s">
        <v>168</v>
      </c>
      <c r="J30" s="129" t="s">
        <v>25</v>
      </c>
      <c r="K30" s="129" t="s">
        <v>170</v>
      </c>
      <c r="L30" s="130" t="s">
        <v>24</v>
      </c>
    </row>
    <row r="31" spans="2:12">
      <c r="B31" s="44" t="s">
        <v>95</v>
      </c>
      <c r="D31" s="147">
        <f>D15*Mtoe_to_TJ</f>
        <v>0</v>
      </c>
      <c r="E31" s="148">
        <f>E15*Mtoe_to_TJ</f>
        <v>0</v>
      </c>
      <c r="F31" s="148">
        <f>F15*Mtoe_to_TJ</f>
        <v>0</v>
      </c>
      <c r="G31" s="148">
        <f>G15*Mtoe_to_TJ</f>
        <v>0</v>
      </c>
      <c r="H31" s="148" t="s">
        <v>175</v>
      </c>
      <c r="I31" s="148">
        <f>I15*Mtoe_to_TJ</f>
        <v>0</v>
      </c>
      <c r="J31" s="148">
        <f>J15*Mtoe_to_TJ</f>
        <v>0</v>
      </c>
      <c r="K31" s="149">
        <f>K15*Mtoe_to_TJ</f>
        <v>0</v>
      </c>
      <c r="L31" s="150">
        <f>L15*Mtoe_to_TJ</f>
        <v>0</v>
      </c>
    </row>
    <row r="32" spans="2:12">
      <c r="B32" s="44" t="s">
        <v>96</v>
      </c>
      <c r="D32" s="151"/>
      <c r="E32" s="150"/>
      <c r="F32" s="150"/>
      <c r="G32" s="150"/>
      <c r="H32" s="150"/>
      <c r="I32" s="150"/>
      <c r="J32" s="150"/>
      <c r="K32" s="152"/>
      <c r="L32" s="150">
        <f>L16*Mtoe_to_TJ</f>
        <v>0</v>
      </c>
    </row>
    <row r="33" spans="2:12">
      <c r="D33" s="151"/>
      <c r="E33" s="150"/>
      <c r="F33" s="150"/>
      <c r="G33" s="150"/>
      <c r="H33" s="150"/>
      <c r="I33" s="150"/>
      <c r="J33" s="150"/>
      <c r="K33" s="152"/>
      <c r="L33" s="150"/>
    </row>
    <row r="34" spans="2:12">
      <c r="B34" s="44" t="s">
        <v>176</v>
      </c>
      <c r="D34" s="151">
        <f t="shared" ref="D34:L34" si="4">D18*Mtoe_to_TJ</f>
        <v>0</v>
      </c>
      <c r="E34" s="150">
        <f>E18*Mtoe_to_TJ</f>
        <v>0</v>
      </c>
      <c r="F34" s="150">
        <f t="shared" si="4"/>
        <v>0</v>
      </c>
      <c r="G34" s="150">
        <f t="shared" si="4"/>
        <v>0</v>
      </c>
      <c r="H34" s="150">
        <f t="shared" si="4"/>
        <v>0</v>
      </c>
      <c r="I34" s="150">
        <f t="shared" si="4"/>
        <v>0</v>
      </c>
      <c r="J34" s="150">
        <f t="shared" si="4"/>
        <v>0</v>
      </c>
      <c r="K34" s="153">
        <f t="shared" si="4"/>
        <v>0</v>
      </c>
      <c r="L34" s="150">
        <f t="shared" si="4"/>
        <v>0</v>
      </c>
    </row>
    <row r="35" spans="2:12">
      <c r="B35" s="49" t="s">
        <v>163</v>
      </c>
      <c r="D35" s="151">
        <f t="shared" ref="D35:L35" si="5">D19*Mtoe_to_TJ</f>
        <v>0</v>
      </c>
      <c r="E35" s="150">
        <f t="shared" si="5"/>
        <v>0</v>
      </c>
      <c r="F35" s="150">
        <f t="shared" si="5"/>
        <v>0</v>
      </c>
      <c r="G35" s="150">
        <f t="shared" si="5"/>
        <v>0</v>
      </c>
      <c r="H35" s="150">
        <f t="shared" si="5"/>
        <v>0</v>
      </c>
      <c r="I35" s="150">
        <f t="shared" si="5"/>
        <v>0</v>
      </c>
      <c r="J35" s="150">
        <f t="shared" si="5"/>
        <v>0</v>
      </c>
      <c r="K35" s="153">
        <f t="shared" si="5"/>
        <v>0</v>
      </c>
      <c r="L35" s="150">
        <f t="shared" si="5"/>
        <v>0</v>
      </c>
    </row>
    <row r="36" spans="2:12">
      <c r="B36" s="107" t="s">
        <v>163</v>
      </c>
      <c r="D36" s="151">
        <f>D20*Mtoe_to_TJ</f>
        <v>0</v>
      </c>
      <c r="E36" s="150">
        <f>E20*Mtoe_to_TJ</f>
        <v>0</v>
      </c>
      <c r="F36" s="150">
        <f>F20*Mtoe_to_TJ</f>
        <v>0</v>
      </c>
      <c r="G36" s="150" t="s">
        <v>175</v>
      </c>
      <c r="H36" s="150" t="s">
        <v>175</v>
      </c>
      <c r="I36" s="150">
        <f>I20*Mtoe_to_TJ</f>
        <v>0</v>
      </c>
      <c r="J36" s="150" t="s">
        <v>175</v>
      </c>
      <c r="K36" s="153">
        <f t="shared" ref="K36:L43" si="6">K20*Mtoe_to_TJ</f>
        <v>0</v>
      </c>
      <c r="L36" s="150">
        <f t="shared" si="6"/>
        <v>0</v>
      </c>
    </row>
    <row r="37" spans="2:12">
      <c r="B37" s="107" t="s">
        <v>172</v>
      </c>
      <c r="D37" s="151">
        <f>D21*Mtoe_to_TJ</f>
        <v>0</v>
      </c>
      <c r="E37" s="150" t="s">
        <v>175</v>
      </c>
      <c r="F37" s="150" t="s">
        <v>175</v>
      </c>
      <c r="G37" s="150" t="s">
        <v>175</v>
      </c>
      <c r="H37" s="150" t="s">
        <v>175</v>
      </c>
      <c r="I37" s="150" t="s">
        <v>175</v>
      </c>
      <c r="J37" s="150" t="s">
        <v>175</v>
      </c>
      <c r="K37" s="153">
        <f t="shared" si="6"/>
        <v>0</v>
      </c>
      <c r="L37" s="150">
        <f t="shared" si="6"/>
        <v>0</v>
      </c>
    </row>
    <row r="38" spans="2:12">
      <c r="B38" s="49" t="s">
        <v>171</v>
      </c>
      <c r="D38" s="151">
        <f>D22*Mtoe_to_TJ</f>
        <v>0</v>
      </c>
      <c r="E38" s="150">
        <f t="shared" ref="E38:J38" si="7">E22*Mtoe_to_TJ</f>
        <v>0</v>
      </c>
      <c r="F38" s="150">
        <f t="shared" si="7"/>
        <v>0</v>
      </c>
      <c r="G38" s="150">
        <f t="shared" si="7"/>
        <v>0</v>
      </c>
      <c r="H38" s="150">
        <f t="shared" si="7"/>
        <v>0</v>
      </c>
      <c r="I38" s="150">
        <f t="shared" si="7"/>
        <v>0</v>
      </c>
      <c r="J38" s="150">
        <f t="shared" si="7"/>
        <v>0</v>
      </c>
      <c r="K38" s="153">
        <f t="shared" si="6"/>
        <v>0</v>
      </c>
      <c r="L38" s="150">
        <f t="shared" si="6"/>
        <v>0</v>
      </c>
    </row>
    <row r="39" spans="2:12">
      <c r="B39" s="107" t="s">
        <v>173</v>
      </c>
      <c r="D39" s="151">
        <f>D23*Mtoe_to_TJ</f>
        <v>0</v>
      </c>
      <c r="E39" s="150">
        <f>E23*Mtoe_to_TJ</f>
        <v>0</v>
      </c>
      <c r="F39" s="150">
        <f>F23*Mtoe_to_TJ</f>
        <v>0</v>
      </c>
      <c r="G39" s="150" t="s">
        <v>175</v>
      </c>
      <c r="H39" s="150" t="s">
        <v>175</v>
      </c>
      <c r="I39" s="150" t="s">
        <v>175</v>
      </c>
      <c r="J39" s="150" t="s">
        <v>175</v>
      </c>
      <c r="K39" s="153">
        <f t="shared" si="6"/>
        <v>0</v>
      </c>
      <c r="L39" s="150">
        <f t="shared" si="6"/>
        <v>0</v>
      </c>
    </row>
    <row r="40" spans="2:12">
      <c r="B40" s="107" t="s">
        <v>174</v>
      </c>
      <c r="D40" s="151">
        <f>D24*Mtoe_to_TJ</f>
        <v>0</v>
      </c>
      <c r="E40" s="150">
        <f>E24*Mtoe_to_TJ</f>
        <v>0</v>
      </c>
      <c r="F40" s="150" t="s">
        <v>175</v>
      </c>
      <c r="G40" s="150" t="s">
        <v>175</v>
      </c>
      <c r="H40" s="150" t="s">
        <v>175</v>
      </c>
      <c r="I40" s="150">
        <f>I24*Mtoe_to_TJ</f>
        <v>0</v>
      </c>
      <c r="J40" s="150" t="s">
        <v>175</v>
      </c>
      <c r="K40" s="153">
        <f t="shared" si="6"/>
        <v>0</v>
      </c>
      <c r="L40" s="150">
        <f t="shared" si="6"/>
        <v>0</v>
      </c>
    </row>
    <row r="41" spans="2:12">
      <c r="B41" s="44" t="s">
        <v>198</v>
      </c>
      <c r="D41" s="151" t="s">
        <v>175</v>
      </c>
      <c r="E41" s="150">
        <f>E25*Mtoe_to_TJ</f>
        <v>0</v>
      </c>
      <c r="F41" s="150" t="s">
        <v>175</v>
      </c>
      <c r="G41" s="150" t="s">
        <v>175</v>
      </c>
      <c r="H41" s="150" t="s">
        <v>175</v>
      </c>
      <c r="I41" s="150" t="s">
        <v>175</v>
      </c>
      <c r="J41" s="150">
        <f>J25*Mtoe_to_TJ</f>
        <v>0</v>
      </c>
      <c r="K41" s="153">
        <f t="shared" si="6"/>
        <v>0</v>
      </c>
      <c r="L41" s="150">
        <f t="shared" si="6"/>
        <v>0</v>
      </c>
    </row>
    <row r="42" spans="2:12">
      <c r="B42" s="44" t="s">
        <v>27</v>
      </c>
      <c r="D42" s="151" t="s">
        <v>175</v>
      </c>
      <c r="E42" s="150">
        <f>E26*Mtoe_to_TJ</f>
        <v>0</v>
      </c>
      <c r="F42" s="150" t="s">
        <v>175</v>
      </c>
      <c r="G42" s="150" t="s">
        <v>175</v>
      </c>
      <c r="H42" s="150" t="s">
        <v>175</v>
      </c>
      <c r="I42" s="150" t="s">
        <v>175</v>
      </c>
      <c r="J42" s="150" t="s">
        <v>175</v>
      </c>
      <c r="K42" s="153">
        <f t="shared" si="6"/>
        <v>0</v>
      </c>
      <c r="L42" s="150">
        <f t="shared" si="6"/>
        <v>0</v>
      </c>
    </row>
    <row r="43" spans="2:12">
      <c r="B43" s="52" t="s">
        <v>26</v>
      </c>
      <c r="C43" s="52"/>
      <c r="D43" s="154" t="s">
        <v>175</v>
      </c>
      <c r="E43" s="155" t="s">
        <v>175</v>
      </c>
      <c r="F43" s="155" t="s">
        <v>175</v>
      </c>
      <c r="G43" s="155">
        <f>G27*Mtoe_to_TJ</f>
        <v>0</v>
      </c>
      <c r="H43" s="155" t="s">
        <v>175</v>
      </c>
      <c r="I43" s="155" t="s">
        <v>175</v>
      </c>
      <c r="J43" s="155" t="s">
        <v>175</v>
      </c>
      <c r="K43" s="156">
        <f t="shared" si="6"/>
        <v>0</v>
      </c>
      <c r="L43" s="155">
        <f t="shared" si="6"/>
        <v>0</v>
      </c>
    </row>
    <row r="44" spans="2:12">
      <c r="D44" s="106"/>
      <c r="E44" s="106"/>
      <c r="F44" s="106"/>
      <c r="G44" s="106"/>
      <c r="H44" s="106"/>
      <c r="I44" s="106"/>
      <c r="J44" s="106"/>
      <c r="K44" s="106"/>
      <c r="L44" s="106"/>
    </row>
    <row r="45" spans="2:12">
      <c r="D45" s="31"/>
      <c r="E45" s="31"/>
      <c r="F45" s="31"/>
      <c r="G45" s="31"/>
      <c r="H45" s="31"/>
      <c r="I45" s="31"/>
      <c r="J45" s="31"/>
      <c r="K45" s="31"/>
      <c r="L45" s="31"/>
    </row>
    <row r="46" spans="2:12">
      <c r="D46" s="31"/>
      <c r="E46" s="31"/>
      <c r="F46" s="31"/>
      <c r="G46" s="31"/>
      <c r="H46" s="31"/>
      <c r="I46" s="31"/>
      <c r="J46" s="31"/>
      <c r="K46" s="31"/>
      <c r="L46" s="31"/>
    </row>
    <row r="47" spans="2:12">
      <c r="D47" s="31"/>
      <c r="E47" s="31"/>
      <c r="F47" s="31"/>
      <c r="G47" s="31"/>
      <c r="H47" s="31"/>
      <c r="I47" s="31"/>
      <c r="J47" s="31"/>
      <c r="K47" s="31"/>
      <c r="L47" s="31"/>
    </row>
    <row r="48" spans="2:12">
      <c r="D48" s="31"/>
      <c r="E48" s="31"/>
      <c r="F48" s="31"/>
      <c r="G48" s="31"/>
      <c r="H48" s="31"/>
      <c r="I48" s="31"/>
      <c r="J48" s="31"/>
      <c r="K48" s="31"/>
      <c r="L48" s="31"/>
    </row>
    <row r="49" spans="4:12">
      <c r="D49" s="31"/>
      <c r="E49" s="31"/>
      <c r="F49" s="31"/>
      <c r="G49" s="31"/>
      <c r="H49" s="31"/>
      <c r="I49" s="31"/>
      <c r="J49" s="31"/>
      <c r="K49" s="31"/>
      <c r="L49" s="31"/>
    </row>
    <row r="50" spans="4:12">
      <c r="D50" s="31"/>
      <c r="E50" s="112"/>
      <c r="F50" s="31"/>
      <c r="G50" s="31"/>
      <c r="H50" s="31"/>
      <c r="I50" s="31"/>
      <c r="J50" s="31"/>
      <c r="K50" s="31"/>
      <c r="L50" s="31"/>
    </row>
    <row r="51" spans="4:12">
      <c r="D51" s="31"/>
      <c r="E51" s="31"/>
      <c r="F51" s="31"/>
      <c r="G51" s="31"/>
      <c r="H51" s="31"/>
      <c r="I51" s="31"/>
      <c r="J51" s="31"/>
      <c r="K51" s="31"/>
      <c r="L51" s="31"/>
    </row>
    <row r="52" spans="4:12">
      <c r="D52" s="31"/>
      <c r="E52" s="31"/>
      <c r="F52" s="31"/>
      <c r="G52" s="31"/>
      <c r="H52" s="31"/>
      <c r="I52" s="31"/>
      <c r="J52" s="31"/>
      <c r="K52" s="31"/>
      <c r="L52" s="31"/>
    </row>
    <row r="53" spans="4:12">
      <c r="D53" s="31"/>
      <c r="E53" s="31"/>
      <c r="F53" s="31"/>
      <c r="G53" s="31"/>
      <c r="H53" s="31"/>
      <c r="I53" s="31"/>
      <c r="J53" s="31"/>
      <c r="K53" s="31"/>
      <c r="L53" s="31"/>
    </row>
    <row r="54" spans="4:12">
      <c r="D54" s="31"/>
      <c r="E54" s="31"/>
      <c r="F54" s="31"/>
      <c r="G54" s="31"/>
      <c r="H54" s="31"/>
      <c r="I54" s="31"/>
      <c r="J54" s="31"/>
      <c r="K54" s="31"/>
      <c r="L54" s="31"/>
    </row>
    <row r="55" spans="4:12">
      <c r="D55" s="31"/>
      <c r="E55" s="31"/>
      <c r="F55" s="31"/>
      <c r="G55" s="31"/>
      <c r="H55" s="31"/>
      <c r="I55" s="31"/>
      <c r="J55" s="31"/>
      <c r="K55" s="31"/>
      <c r="L55" s="31"/>
    </row>
    <row r="56" spans="4:12">
      <c r="D56" s="31"/>
      <c r="E56" s="31"/>
      <c r="F56" s="31"/>
      <c r="G56" s="31"/>
      <c r="H56" s="31"/>
      <c r="I56" s="31"/>
      <c r="J56" s="31"/>
      <c r="K56" s="31"/>
      <c r="L56" s="31"/>
    </row>
    <row r="57" spans="4:12">
      <c r="D57" s="31"/>
      <c r="E57" s="31"/>
      <c r="F57" s="31"/>
      <c r="G57" s="31"/>
      <c r="H57" s="31"/>
      <c r="I57" s="31"/>
      <c r="J57" s="31"/>
      <c r="K57" s="31"/>
      <c r="L57" s="31"/>
    </row>
    <row r="58" spans="4:12">
      <c r="D58" s="31"/>
      <c r="E58" s="31"/>
      <c r="F58" s="31"/>
      <c r="G58" s="31"/>
      <c r="H58" s="31"/>
      <c r="I58" s="31"/>
      <c r="J58" s="31"/>
      <c r="K58" s="31"/>
      <c r="L58" s="31"/>
    </row>
    <row r="59" spans="4:12">
      <c r="D59" s="31"/>
      <c r="E59" s="31"/>
      <c r="F59" s="31"/>
      <c r="G59" s="31"/>
      <c r="H59" s="31"/>
      <c r="I59" s="31"/>
      <c r="J59" s="31"/>
      <c r="K59" s="31"/>
      <c r="L59" s="31"/>
    </row>
    <row r="60" spans="4:12">
      <c r="D60" s="31"/>
      <c r="E60" s="31"/>
      <c r="F60" s="31"/>
      <c r="G60" s="31"/>
      <c r="H60" s="31"/>
      <c r="I60" s="31"/>
      <c r="J60" s="31"/>
      <c r="K60" s="31"/>
      <c r="L60" s="31"/>
    </row>
    <row r="61" spans="4:12">
      <c r="D61" s="31"/>
      <c r="E61" s="31"/>
      <c r="F61" s="31"/>
      <c r="G61" s="31"/>
      <c r="H61" s="31"/>
      <c r="I61" s="31"/>
      <c r="J61" s="31"/>
      <c r="K61" s="31"/>
      <c r="L61" s="31"/>
    </row>
    <row r="62" spans="4:12">
      <c r="D62" s="31"/>
      <c r="E62" s="31"/>
      <c r="F62" s="31"/>
      <c r="G62" s="31"/>
      <c r="H62" s="31"/>
      <c r="I62" s="31"/>
      <c r="J62" s="31"/>
      <c r="K62" s="31"/>
      <c r="L62" s="31"/>
    </row>
    <row r="63" spans="4:12">
      <c r="D63" s="31"/>
      <c r="E63" s="31"/>
      <c r="F63" s="31"/>
      <c r="G63" s="31"/>
      <c r="H63" s="31"/>
      <c r="I63" s="31"/>
      <c r="J63" s="31"/>
      <c r="K63" s="31"/>
      <c r="L63" s="31"/>
    </row>
    <row r="64" spans="4:12">
      <c r="D64" s="31"/>
      <c r="E64" s="31"/>
      <c r="F64" s="31"/>
      <c r="G64" s="31"/>
      <c r="H64" s="31"/>
      <c r="I64" s="31"/>
      <c r="J64" s="31"/>
      <c r="K64" s="31"/>
      <c r="L64" s="31"/>
    </row>
    <row r="65" spans="4:12">
      <c r="D65" s="31"/>
      <c r="E65" s="31"/>
      <c r="F65" s="31"/>
      <c r="G65" s="31"/>
      <c r="H65" s="31"/>
      <c r="I65" s="31"/>
      <c r="J65" s="31"/>
      <c r="K65" s="31"/>
      <c r="L65" s="31"/>
    </row>
    <row r="66" spans="4:12">
      <c r="D66" s="31"/>
      <c r="E66" s="31"/>
      <c r="F66" s="31"/>
      <c r="G66" s="31"/>
      <c r="H66" s="31"/>
      <c r="I66" s="31"/>
      <c r="J66" s="31"/>
      <c r="K66" s="31"/>
      <c r="L66" s="31"/>
    </row>
    <row r="67" spans="4:12">
      <c r="D67" s="31"/>
      <c r="E67" s="31"/>
      <c r="F67" s="31"/>
      <c r="G67" s="31"/>
      <c r="H67" s="31"/>
      <c r="I67" s="31"/>
      <c r="J67" s="31"/>
      <c r="K67" s="31"/>
      <c r="L67" s="31"/>
    </row>
    <row r="68" spans="4:12">
      <c r="D68" s="31"/>
      <c r="E68" s="31"/>
      <c r="F68" s="31"/>
      <c r="G68" s="31"/>
      <c r="H68" s="31"/>
      <c r="I68" s="31"/>
      <c r="J68" s="31"/>
      <c r="K68" s="31"/>
      <c r="L68" s="31"/>
    </row>
    <row r="69" spans="4:12">
      <c r="D69" s="31"/>
      <c r="E69" s="31"/>
      <c r="F69" s="31"/>
      <c r="G69" s="31"/>
      <c r="H69" s="31"/>
      <c r="I69" s="31"/>
      <c r="J69" s="31"/>
      <c r="K69" s="31"/>
      <c r="L69" s="31"/>
    </row>
    <row r="70" spans="4:12">
      <c r="D70" s="31"/>
      <c r="E70" s="31"/>
      <c r="F70" s="31"/>
      <c r="G70" s="31"/>
      <c r="H70" s="31"/>
      <c r="I70" s="31"/>
      <c r="J70" s="31"/>
      <c r="K70" s="31"/>
      <c r="L70" s="31"/>
    </row>
  </sheetData>
  <mergeCells count="1">
    <mergeCell ref="B5:E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Cover Sheet</vt:lpstr>
      <vt:lpstr>Changelog</vt:lpstr>
      <vt:lpstr>Dashboard</vt:lpstr>
      <vt:lpstr>Odyssee</vt:lpstr>
      <vt:lpstr>Calculations</vt:lpstr>
    </vt:vector>
  </TitlesOfParts>
  <Manager/>
  <Company>Quintel Intelligence</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Wouter Terlouw</dc:creator>
  <cp:keywords/>
  <dc:description/>
  <cp:lastModifiedBy>Joris Berkhout</cp:lastModifiedBy>
  <cp:lastPrinted>2013-07-16T13:47:53Z</cp:lastPrinted>
  <dcterms:created xsi:type="dcterms:W3CDTF">2013-06-25T11:11:29Z</dcterms:created>
  <dcterms:modified xsi:type="dcterms:W3CDTF">2014-07-08T09:56:20Z</dcterms:modified>
  <cp:category/>
</cp:coreProperties>
</file>