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fileVersion appName="xl" lastEdited="5" lowestEdited="5" rupBuild="24816" codeName="{00000000-0000-0000-0000-000000000000}"/>
  <workbookPr showInkAnnotation="0" codeName="ThisWorkbook" autoCompressPictures="0"/>
  <bookViews>
    <workbookView xWindow="0" yWindow="0" windowWidth="28800" windowHeight="15960" tabRatio="500"/>
  </bookViews>
  <sheets>
    <sheet name="input_Platts" sheetId="2" r:id="rId1"/>
    <sheet name="processed_Platts" sheetId="12" r:id="rId2"/>
    <sheet name="mapping_Platts" sheetId="10" r:id="rId3"/>
    <sheet name="CHP_dashboard" sheetId="5" r:id="rId4"/>
    <sheet name="CHP_results_by_machine" sheetId="13" r:id="rId5"/>
    <sheet name="PHP_dashboard" sheetId="3" r:id="rId6"/>
    <sheet name="Step 1" sheetId="8" r:id="rId7"/>
    <sheet name="Step 2" sheetId="11" r:id="rId8"/>
    <sheet name="Step 3" sheetId="14" r:id="rId9"/>
  </sheets>
  <externalReferences>
    <externalReference r:id="rId10"/>
  </externalReferences>
  <definedNames>
    <definedName name="kWh_MJ_conversion">[1]Assumptions!$C$174</definedName>
    <definedName name="PJ_to_MWh">#REF!</definedName>
  </definedNames>
  <calcPr calcId="140000" concurrentCalc="0"/>
  <extLst>
    <ext xmlns:mx="http://schemas.microsoft.com/office/mac/excel/2008/main" uri="{7523E5D3-25F3-A5E0-1632-64F254C22452}">
      <mx:ArchID Flags="2"/>
    </ext>
  </extLst>
</workbook>
</file>

<file path=xl/calcChain.xml><?xml version="1.0" encoding="utf-8"?>
<calcChain xmlns="http://schemas.openxmlformats.org/spreadsheetml/2006/main">
  <c r="V6" i="2" l="1"/>
  <c r="V7" i="2"/>
  <c r="V8" i="2"/>
  <c r="V9" i="2"/>
  <c r="V10" i="2"/>
  <c r="V11" i="2"/>
  <c r="V12" i="2"/>
  <c r="V13" i="2"/>
  <c r="V14" i="2"/>
  <c r="V15" i="2"/>
  <c r="V16" i="2"/>
  <c r="V19" i="2"/>
  <c r="V20" i="2"/>
  <c r="V21" i="2"/>
  <c r="V22" i="2"/>
  <c r="V23" i="2"/>
  <c r="V24" i="2"/>
  <c r="V25" i="2"/>
  <c r="V26" i="2"/>
  <c r="V27" i="2"/>
  <c r="V28" i="2"/>
  <c r="V29" i="2"/>
  <c r="F13" i="12"/>
  <c r="F26" i="12"/>
  <c r="F16" i="12"/>
  <c r="F17" i="12"/>
  <c r="F19" i="12"/>
  <c r="F20" i="12"/>
  <c r="F22" i="12"/>
  <c r="F19" i="11"/>
  <c r="F36" i="11"/>
  <c r="C20" i="14"/>
  <c r="E20" i="14"/>
  <c r="F4" i="12"/>
  <c r="F10" i="11"/>
  <c r="F27" i="11"/>
  <c r="C17" i="14"/>
  <c r="E17" i="14"/>
  <c r="F9" i="12"/>
  <c r="F15" i="11"/>
  <c r="F32" i="11"/>
  <c r="C19" i="14"/>
  <c r="E19" i="14"/>
  <c r="F20" i="14"/>
  <c r="F19" i="14"/>
  <c r="F6" i="12"/>
  <c r="F12" i="11"/>
  <c r="F29" i="11"/>
  <c r="C16" i="14"/>
  <c r="E16" i="14"/>
  <c r="F16" i="14"/>
  <c r="F17" i="14"/>
  <c r="E4" i="11"/>
  <c r="E13" i="12"/>
  <c r="E26" i="12"/>
  <c r="E16" i="12"/>
  <c r="E17" i="12"/>
  <c r="E19" i="12"/>
  <c r="E20" i="12"/>
  <c r="E22" i="12"/>
  <c r="E19" i="11"/>
  <c r="E36" i="11"/>
  <c r="C12" i="14"/>
  <c r="E12" i="14"/>
  <c r="F12" i="14"/>
  <c r="D4" i="11"/>
  <c r="D6" i="12"/>
  <c r="D19" i="12"/>
  <c r="D16" i="12"/>
  <c r="D17" i="12"/>
  <c r="D20" i="12"/>
  <c r="D22" i="12"/>
  <c r="D26" i="12"/>
  <c r="D12" i="11"/>
  <c r="D29" i="11"/>
  <c r="D9" i="12"/>
  <c r="D15" i="11"/>
  <c r="D32" i="11"/>
  <c r="D13" i="12"/>
  <c r="D19" i="11"/>
  <c r="D36" i="11"/>
  <c r="C6" i="14"/>
  <c r="E6" i="14"/>
  <c r="D4" i="12"/>
  <c r="D10" i="11"/>
  <c r="D27" i="11"/>
  <c r="C9" i="14"/>
  <c r="E9" i="14"/>
  <c r="F6" i="14"/>
  <c r="F9" i="14"/>
  <c r="D12" i="14"/>
  <c r="E9" i="11"/>
  <c r="E10" i="11"/>
  <c r="E12" i="11"/>
  <c r="E13" i="11"/>
  <c r="E15" i="11"/>
  <c r="E21" i="11"/>
  <c r="D9" i="11"/>
  <c r="E3" i="12"/>
  <c r="E26" i="11"/>
  <c r="E4" i="12"/>
  <c r="E27" i="11"/>
  <c r="E5" i="12"/>
  <c r="E28" i="11"/>
  <c r="E6" i="12"/>
  <c r="E29" i="11"/>
  <c r="E7" i="12"/>
  <c r="E30" i="11"/>
  <c r="E8" i="12"/>
  <c r="E31" i="11"/>
  <c r="E9" i="12"/>
  <c r="E32" i="11"/>
  <c r="E10" i="12"/>
  <c r="E33" i="11"/>
  <c r="E11" i="12"/>
  <c r="E34" i="11"/>
  <c r="E12" i="12"/>
  <c r="E35" i="11"/>
  <c r="E14" i="12"/>
  <c r="E37" i="11"/>
  <c r="E38" i="11"/>
  <c r="D3" i="12"/>
  <c r="D26" i="11"/>
  <c r="E15" i="12"/>
  <c r="E28" i="12"/>
  <c r="E30" i="12"/>
  <c r="N17" i="2"/>
  <c r="H30" i="2"/>
  <c r="H17" i="2"/>
  <c r="H32" i="2"/>
  <c r="F4" i="11"/>
  <c r="C4" i="8"/>
  <c r="C6" i="8"/>
  <c r="C5" i="8"/>
  <c r="D16" i="14"/>
  <c r="G9" i="12"/>
  <c r="G22" i="12"/>
  <c r="G32" i="11"/>
  <c r="C24" i="14"/>
  <c r="E24" i="14"/>
  <c r="G3" i="12"/>
  <c r="G16" i="12"/>
  <c r="G26" i="11"/>
  <c r="G4" i="12"/>
  <c r="G17" i="12"/>
  <c r="G27" i="11"/>
  <c r="G6" i="12"/>
  <c r="G19" i="12"/>
  <c r="G29" i="11"/>
  <c r="G13" i="12"/>
  <c r="G26" i="12"/>
  <c r="G36" i="11"/>
  <c r="C23" i="14"/>
  <c r="E23" i="14"/>
  <c r="D24" i="14"/>
  <c r="D23" i="14"/>
  <c r="D20" i="14"/>
  <c r="D19" i="14"/>
  <c r="D17" i="14"/>
  <c r="D9" i="14"/>
  <c r="D7" i="14"/>
  <c r="D6" i="14"/>
  <c r="D5" i="14"/>
  <c r="G14" i="12"/>
  <c r="G12" i="12"/>
  <c r="G11" i="12"/>
  <c r="G10" i="12"/>
  <c r="G8" i="12"/>
  <c r="G7" i="12"/>
  <c r="G5" i="12"/>
  <c r="M14" i="12"/>
  <c r="M37" i="11"/>
  <c r="L14" i="12"/>
  <c r="L37" i="11"/>
  <c r="K37" i="11"/>
  <c r="J14" i="12"/>
  <c r="J37" i="11"/>
  <c r="I14" i="12"/>
  <c r="I37" i="11"/>
  <c r="H4" i="11"/>
  <c r="H14" i="12"/>
  <c r="H37" i="11"/>
  <c r="G37" i="11"/>
  <c r="F14" i="12"/>
  <c r="F37" i="11"/>
  <c r="D14" i="12"/>
  <c r="D37" i="11"/>
  <c r="M13" i="12"/>
  <c r="M26" i="12"/>
  <c r="M36" i="11"/>
  <c r="L13" i="12"/>
  <c r="L26" i="12"/>
  <c r="L36" i="11"/>
  <c r="K36" i="11"/>
  <c r="J13" i="12"/>
  <c r="J26" i="12"/>
  <c r="J36" i="11"/>
  <c r="I13" i="12"/>
  <c r="I26" i="12"/>
  <c r="I36" i="11"/>
  <c r="H26" i="12"/>
  <c r="H16" i="12"/>
  <c r="H17" i="12"/>
  <c r="H19" i="12"/>
  <c r="H20" i="12"/>
  <c r="H22" i="12"/>
  <c r="H19" i="11"/>
  <c r="H13" i="12"/>
  <c r="H36" i="11"/>
  <c r="M12" i="12"/>
  <c r="M35" i="11"/>
  <c r="L12" i="12"/>
  <c r="L35" i="11"/>
  <c r="K35" i="11"/>
  <c r="J12" i="12"/>
  <c r="J35" i="11"/>
  <c r="I12" i="12"/>
  <c r="I35" i="11"/>
  <c r="H12" i="12"/>
  <c r="H35" i="11"/>
  <c r="G35" i="11"/>
  <c r="F12" i="12"/>
  <c r="F35" i="11"/>
  <c r="D12" i="12"/>
  <c r="D35" i="11"/>
  <c r="M11" i="12"/>
  <c r="M34" i="11"/>
  <c r="L11" i="12"/>
  <c r="L34" i="11"/>
  <c r="K34" i="11"/>
  <c r="J11" i="12"/>
  <c r="J34" i="11"/>
  <c r="I11" i="12"/>
  <c r="I34" i="11"/>
  <c r="H11" i="12"/>
  <c r="H34" i="11"/>
  <c r="G34" i="11"/>
  <c r="F11" i="12"/>
  <c r="F34" i="11"/>
  <c r="D11" i="12"/>
  <c r="D34" i="11"/>
  <c r="M10" i="12"/>
  <c r="M33" i="11"/>
  <c r="L10" i="12"/>
  <c r="L33" i="11"/>
  <c r="K33" i="11"/>
  <c r="J10" i="12"/>
  <c r="J33" i="11"/>
  <c r="I10" i="12"/>
  <c r="I33" i="11"/>
  <c r="H10" i="12"/>
  <c r="H33" i="11"/>
  <c r="G33" i="11"/>
  <c r="F10" i="12"/>
  <c r="F33" i="11"/>
  <c r="D10" i="12"/>
  <c r="D33" i="11"/>
  <c r="M9" i="12"/>
  <c r="M22" i="12"/>
  <c r="M32" i="11"/>
  <c r="L9" i="12"/>
  <c r="L22" i="12"/>
  <c r="L32" i="11"/>
  <c r="K32" i="11"/>
  <c r="J9" i="12"/>
  <c r="J22" i="12"/>
  <c r="J32" i="11"/>
  <c r="I9" i="12"/>
  <c r="I22" i="12"/>
  <c r="I32" i="11"/>
  <c r="H15" i="11"/>
  <c r="H9" i="12"/>
  <c r="H32" i="11"/>
  <c r="M8" i="12"/>
  <c r="M31" i="11"/>
  <c r="L8" i="12"/>
  <c r="L31" i="11"/>
  <c r="K31" i="11"/>
  <c r="J8" i="12"/>
  <c r="J31" i="11"/>
  <c r="I8" i="12"/>
  <c r="I31" i="11"/>
  <c r="H8" i="12"/>
  <c r="H31" i="11"/>
  <c r="G31" i="11"/>
  <c r="F8" i="12"/>
  <c r="F31" i="11"/>
  <c r="D8" i="12"/>
  <c r="D31" i="11"/>
  <c r="M7" i="12"/>
  <c r="M20" i="12"/>
  <c r="M30" i="11"/>
  <c r="L7" i="12"/>
  <c r="L20" i="12"/>
  <c r="L30" i="11"/>
  <c r="K30" i="11"/>
  <c r="J7" i="12"/>
  <c r="J20" i="12"/>
  <c r="J30" i="11"/>
  <c r="I7" i="12"/>
  <c r="I20" i="12"/>
  <c r="I30" i="11"/>
  <c r="H13" i="11"/>
  <c r="H7" i="12"/>
  <c r="H30" i="11"/>
  <c r="G20" i="12"/>
  <c r="G30" i="11"/>
  <c r="F13" i="11"/>
  <c r="F7" i="12"/>
  <c r="F30" i="11"/>
  <c r="D13" i="11"/>
  <c r="D7" i="12"/>
  <c r="D30" i="11"/>
  <c r="M6" i="12"/>
  <c r="M19" i="12"/>
  <c r="M29" i="11"/>
  <c r="L6" i="12"/>
  <c r="L19" i="12"/>
  <c r="L29" i="11"/>
  <c r="K29" i="11"/>
  <c r="J6" i="12"/>
  <c r="J19" i="12"/>
  <c r="J29" i="11"/>
  <c r="I6" i="12"/>
  <c r="I19" i="12"/>
  <c r="I29" i="11"/>
  <c r="H12" i="11"/>
  <c r="H6" i="12"/>
  <c r="H29" i="11"/>
  <c r="M5" i="12"/>
  <c r="M28" i="11"/>
  <c r="L5" i="12"/>
  <c r="L28" i="11"/>
  <c r="K28" i="11"/>
  <c r="J5" i="12"/>
  <c r="J28" i="11"/>
  <c r="I5" i="12"/>
  <c r="I28" i="11"/>
  <c r="H5" i="12"/>
  <c r="H28" i="11"/>
  <c r="G28" i="11"/>
  <c r="F5" i="12"/>
  <c r="F28" i="11"/>
  <c r="D5" i="12"/>
  <c r="D28" i="11"/>
  <c r="M4" i="12"/>
  <c r="M17" i="12"/>
  <c r="M27" i="11"/>
  <c r="L4" i="12"/>
  <c r="L17" i="12"/>
  <c r="L27" i="11"/>
  <c r="K27" i="11"/>
  <c r="J4" i="12"/>
  <c r="J17" i="12"/>
  <c r="J27" i="11"/>
  <c r="I4" i="12"/>
  <c r="I17" i="12"/>
  <c r="I27" i="11"/>
  <c r="H10" i="11"/>
  <c r="H4" i="12"/>
  <c r="H27" i="11"/>
  <c r="M3" i="12"/>
  <c r="M16" i="12"/>
  <c r="M26" i="11"/>
  <c r="L3" i="12"/>
  <c r="L16" i="12"/>
  <c r="L26" i="11"/>
  <c r="K26" i="11"/>
  <c r="J3" i="12"/>
  <c r="J16" i="12"/>
  <c r="J26" i="11"/>
  <c r="I3" i="12"/>
  <c r="I16" i="12"/>
  <c r="I26" i="11"/>
  <c r="H9" i="11"/>
  <c r="H3" i="12"/>
  <c r="H26" i="11"/>
  <c r="F9" i="11"/>
  <c r="F3" i="12"/>
  <c r="F26" i="11"/>
  <c r="D38" i="11"/>
  <c r="F38" i="11"/>
  <c r="G38" i="11"/>
  <c r="H38" i="11"/>
  <c r="I38" i="11"/>
  <c r="J38" i="11"/>
  <c r="K38" i="11"/>
  <c r="L38" i="11"/>
  <c r="M38" i="11"/>
  <c r="N26" i="11"/>
  <c r="N27" i="11"/>
  <c r="N28" i="11"/>
  <c r="N29" i="11"/>
  <c r="N30" i="11"/>
  <c r="N31" i="11"/>
  <c r="N32" i="11"/>
  <c r="N33" i="11"/>
  <c r="N34" i="11"/>
  <c r="N35" i="11"/>
  <c r="N36" i="11"/>
  <c r="N37" i="11"/>
  <c r="N38" i="11"/>
  <c r="D21" i="11"/>
  <c r="F21" i="11"/>
  <c r="H21" i="11"/>
  <c r="N4" i="11"/>
  <c r="D5" i="8"/>
  <c r="E5" i="8"/>
  <c r="D4" i="8"/>
  <c r="E4" i="8"/>
  <c r="D6" i="8"/>
  <c r="E6" i="8"/>
  <c r="E7" i="8"/>
  <c r="F5" i="8"/>
  <c r="F6" i="8"/>
  <c r="F4" i="8"/>
  <c r="C7" i="8"/>
  <c r="D15" i="12"/>
  <c r="F15" i="12"/>
  <c r="G15" i="12"/>
  <c r="H15" i="12"/>
  <c r="I15" i="12"/>
  <c r="J15" i="12"/>
  <c r="K15" i="12"/>
  <c r="L15" i="12"/>
  <c r="M15" i="12"/>
  <c r="N3" i="12"/>
  <c r="N4" i="12"/>
  <c r="N5" i="12"/>
  <c r="N6" i="12"/>
  <c r="N7" i="12"/>
  <c r="N8" i="12"/>
  <c r="N9" i="12"/>
  <c r="N10" i="12"/>
  <c r="N11" i="12"/>
  <c r="N12" i="12"/>
  <c r="N13" i="12"/>
  <c r="N14" i="12"/>
  <c r="N15" i="12"/>
  <c r="D28" i="12"/>
  <c r="F28" i="12"/>
  <c r="G28" i="12"/>
  <c r="H28" i="12"/>
  <c r="I28" i="12"/>
  <c r="J28" i="12"/>
  <c r="K28" i="12"/>
  <c r="L28" i="12"/>
  <c r="M28" i="12"/>
  <c r="N16" i="12"/>
  <c r="N17" i="12"/>
  <c r="N19" i="12"/>
  <c r="N20" i="12"/>
  <c r="N22" i="12"/>
  <c r="N26" i="12"/>
  <c r="N28" i="12"/>
  <c r="N30" i="12"/>
  <c r="M30" i="12"/>
  <c r="L30" i="12"/>
  <c r="K30" i="12"/>
  <c r="J30" i="12"/>
  <c r="I30" i="12"/>
  <c r="H30" i="12"/>
  <c r="G30" i="12"/>
  <c r="F30" i="12"/>
  <c r="D30" i="12"/>
  <c r="D17" i="2"/>
  <c r="E17" i="2"/>
  <c r="F17" i="2"/>
  <c r="G17" i="2"/>
  <c r="I17" i="2"/>
  <c r="J17" i="2"/>
  <c r="K17" i="2"/>
  <c r="L17" i="2"/>
  <c r="M17" i="2"/>
  <c r="O17" i="2"/>
  <c r="P17" i="2"/>
  <c r="Q17" i="2"/>
  <c r="R17" i="2"/>
  <c r="S17" i="2"/>
  <c r="T17" i="2"/>
  <c r="U17" i="2"/>
  <c r="V5" i="2"/>
  <c r="V17" i="2"/>
  <c r="U30" i="2"/>
  <c r="T30" i="2"/>
  <c r="S30" i="2"/>
  <c r="R30" i="2"/>
  <c r="Q30" i="2"/>
  <c r="P30" i="2"/>
  <c r="O30" i="2"/>
  <c r="N30" i="2"/>
  <c r="M30" i="2"/>
  <c r="L30" i="2"/>
  <c r="K30" i="2"/>
  <c r="J30" i="2"/>
  <c r="I30" i="2"/>
  <c r="G30" i="2"/>
  <c r="F30" i="2"/>
  <c r="E30" i="2"/>
  <c r="D30" i="2"/>
  <c r="V18" i="2"/>
  <c r="V30" i="2"/>
  <c r="E32" i="2"/>
  <c r="F32" i="2"/>
  <c r="G32" i="2"/>
  <c r="I32" i="2"/>
  <c r="J32" i="2"/>
  <c r="K32" i="2"/>
  <c r="L32" i="2"/>
  <c r="M32" i="2"/>
  <c r="N32" i="2"/>
  <c r="O32" i="2"/>
  <c r="P32" i="2"/>
  <c r="Q32" i="2"/>
  <c r="R32" i="2"/>
  <c r="S32" i="2"/>
  <c r="T32" i="2"/>
  <c r="U32" i="2"/>
  <c r="V32" i="2"/>
  <c r="D32" i="2"/>
</calcChain>
</file>

<file path=xl/sharedStrings.xml><?xml version="1.0" encoding="utf-8"?>
<sst xmlns="http://schemas.openxmlformats.org/spreadsheetml/2006/main" count="410" uniqueCount="147">
  <si>
    <t>Sector</t>
  </si>
  <si>
    <t>Unit type</t>
  </si>
  <si>
    <t>Installed electrical capacity (MW)</t>
  </si>
  <si>
    <t>Coal Supercritical</t>
  </si>
  <si>
    <t>Coal Ultra supercritical</t>
  </si>
  <si>
    <t>Coal Ultra supercritical ccs</t>
  </si>
  <si>
    <t>Coal/Wood pellets Ultra supercritical co-firing</t>
  </si>
  <si>
    <t>Coal Combined cycle</t>
  </si>
  <si>
    <t>Coal Combined cycle ccs</t>
  </si>
  <si>
    <t>Lignite Ultra supercritical</t>
  </si>
  <si>
    <t>Lignite Ultra supercritical oxyfuel ccs</t>
  </si>
  <si>
    <t>Gas Turbine</t>
  </si>
  <si>
    <t>Gas Combined cycle</t>
  </si>
  <si>
    <t>Gas Combined cycle ccs</t>
  </si>
  <si>
    <t>Gas Ultra supercritical</t>
  </si>
  <si>
    <t>Oil Ultra supercritical</t>
  </si>
  <si>
    <t>Diesel Engine</t>
  </si>
  <si>
    <t>Waste Supercritical</t>
  </si>
  <si>
    <t>Nuclear 2nd gen</t>
  </si>
  <si>
    <t>Nuclear 3rd gen</t>
  </si>
  <si>
    <t>Hydro river</t>
  </si>
  <si>
    <t>Hydro mountain</t>
  </si>
  <si>
    <t>Geothermal</t>
  </si>
  <si>
    <t>Large scale solar PV</t>
  </si>
  <si>
    <t>Large scale solar CSP</t>
  </si>
  <si>
    <t>Wind turbine coastal</t>
  </si>
  <si>
    <t>Wind turbine offshore</t>
  </si>
  <si>
    <t>Wind turbine inland</t>
  </si>
  <si>
    <t>Solar PV Roofs</t>
  </si>
  <si>
    <t>Agriculture</t>
  </si>
  <si>
    <t>Gas CHP</t>
  </si>
  <si>
    <t>Biogas CHP</t>
  </si>
  <si>
    <t>Wood pellets CHP</t>
  </si>
  <si>
    <t>Households</t>
  </si>
  <si>
    <t>Coal CHP</t>
  </si>
  <si>
    <t>Gas turbine CHP</t>
  </si>
  <si>
    <t>Gas engine CHP</t>
  </si>
  <si>
    <t>Gas CC CHP</t>
  </si>
  <si>
    <t>Industry &amp; Energy industry</t>
  </si>
  <si>
    <t>Main activity</t>
  </si>
  <si>
    <t>Lignite CHP</t>
  </si>
  <si>
    <t>Co-firing CHP</t>
  </si>
  <si>
    <t>Waste incineration</t>
  </si>
  <si>
    <t>Waste CHP</t>
  </si>
  <si>
    <t>-</t>
  </si>
  <si>
    <t>Total Coal and lignite</t>
  </si>
  <si>
    <t>Total Gas</t>
  </si>
  <si>
    <t>Total Waste</t>
  </si>
  <si>
    <t>Total Oil and oil derivatives</t>
  </si>
  <si>
    <t>Total Nuclear</t>
  </si>
  <si>
    <t>Total Hydro</t>
  </si>
  <si>
    <t>Total Solar</t>
  </si>
  <si>
    <t>Total Wind</t>
  </si>
  <si>
    <t>Total Geothermal</t>
  </si>
  <si>
    <t>Gas Engine</t>
  </si>
  <si>
    <t>Coal</t>
  </si>
  <si>
    <t>Lignite</t>
  </si>
  <si>
    <t>Gas</t>
  </si>
  <si>
    <t>Waste</t>
  </si>
  <si>
    <t>CHP</t>
  </si>
  <si>
    <t>Energy industry</t>
  </si>
  <si>
    <t>Share</t>
  </si>
  <si>
    <t>Industry</t>
  </si>
  <si>
    <t>hours/yr</t>
  </si>
  <si>
    <t>Gas combined cycle CHP</t>
  </si>
  <si>
    <t>Mapping</t>
  </si>
  <si>
    <t>ETM</t>
  </si>
  <si>
    <t>Gas Combustion Turbine</t>
  </si>
  <si>
    <t>Internal Combustion</t>
  </si>
  <si>
    <t>Combined Cycle</t>
  </si>
  <si>
    <t>Platts 1</t>
  </si>
  <si>
    <t>Platts 2</t>
  </si>
  <si>
    <t>Steam Turbine</t>
  </si>
  <si>
    <t>Other gas</t>
  </si>
  <si>
    <t>Fuel 2</t>
  </si>
  <si>
    <t>Fuel 1</t>
  </si>
  <si>
    <t>BIODIESEL</t>
  </si>
  <si>
    <t>BIOMASS</t>
  </si>
  <si>
    <t>BIOMASS GASIFICATION</t>
  </si>
  <si>
    <t>COAL</t>
  </si>
  <si>
    <t>COMPRESSED AIR</t>
  </si>
  <si>
    <t>HYDROGEN</t>
  </si>
  <si>
    <t>NATURAL GAS</t>
  </si>
  <si>
    <t>OIL</t>
  </si>
  <si>
    <t>OTHER</t>
  </si>
  <si>
    <t>OTHER GAS</t>
  </si>
  <si>
    <t>SOLAR</t>
  </si>
  <si>
    <t>STEAM</t>
  </si>
  <si>
    <t>URANIUM</t>
  </si>
  <si>
    <t>WASTE</t>
  </si>
  <si>
    <t>WASTE GAS</t>
  </si>
  <si>
    <t>WATER</t>
  </si>
  <si>
    <t>WIND</t>
  </si>
  <si>
    <t>Coal, including co-firing</t>
  </si>
  <si>
    <t>Nuclear</t>
  </si>
  <si>
    <t>Hydro</t>
  </si>
  <si>
    <t>Solar PV</t>
  </si>
  <si>
    <t>Concentrated solar power</t>
  </si>
  <si>
    <t>Wind</t>
  </si>
  <si>
    <t>x</t>
  </si>
  <si>
    <t>Other</t>
  </si>
  <si>
    <t>Fuel Cell Electroche</t>
  </si>
  <si>
    <t>Gas Combustion Turbi</t>
  </si>
  <si>
    <t>Geothermal Steam Tur</t>
  </si>
  <si>
    <t>Pumped Storage</t>
  </si>
  <si>
    <t>Solar</t>
  </si>
  <si>
    <t>Wind Turbine</t>
  </si>
  <si>
    <t>Power</t>
  </si>
  <si>
    <t>Total</t>
  </si>
  <si>
    <t>Total Power</t>
  </si>
  <si>
    <t>Total CHP</t>
  </si>
  <si>
    <t>Oil</t>
  </si>
  <si>
    <t>Not aggregated</t>
  </si>
  <si>
    <t>Oil and derivatives</t>
  </si>
  <si>
    <t>INPUT</t>
  </si>
  <si>
    <t>Technology</t>
  </si>
  <si>
    <t>Natural gas</t>
  </si>
  <si>
    <t>Platts 3</t>
  </si>
  <si>
    <t>Platts 4</t>
  </si>
  <si>
    <t>Fuel 3</t>
  </si>
  <si>
    <t>Fuel 4</t>
  </si>
  <si>
    <t>Platts installed capacity (MW)</t>
  </si>
  <si>
    <t>ETM full load hours (h)</t>
  </si>
  <si>
    <t>Production (MWh)</t>
  </si>
  <si>
    <t>Calculation</t>
  </si>
  <si>
    <t>Technologies</t>
  </si>
  <si>
    <t>Fuel</t>
  </si>
  <si>
    <t>Results overview by converter</t>
  </si>
  <si>
    <t>Electricity production (TJ)</t>
  </si>
  <si>
    <t>Total fuel input (TJ)</t>
  </si>
  <si>
    <t>Fuel input for electricity and sold heat (TJ)</t>
  </si>
  <si>
    <t>Fuel input for unsold heat (TJ)</t>
  </si>
  <si>
    <t>Total heat production (TJ)</t>
  </si>
  <si>
    <t>Sold heat production (TJ)</t>
  </si>
  <si>
    <t>Unsold heat production (TJ)</t>
  </si>
  <si>
    <t>Full load hours (hrs/yr)</t>
  </si>
  <si>
    <t>Installed heat capacity (MW)</t>
  </si>
  <si>
    <t>All units</t>
  </si>
  <si>
    <t>Services</t>
  </si>
  <si>
    <t>Normalised installed capacities</t>
  </si>
  <si>
    <t>Remaining power capacity</t>
  </si>
  <si>
    <t>Total installed CHP capacity</t>
  </si>
  <si>
    <t>Power plants full load hours</t>
  </si>
  <si>
    <t>LIGNITE</t>
  </si>
  <si>
    <t>OTHER GAS (1)</t>
  </si>
  <si>
    <t>(1) OTHER GAS is composed of OTHER GAS, DERIVED GAS and BIOGAS</t>
  </si>
  <si>
    <t>This source analysis is used to determine the dashboard parameters of the CHP and Power and heat plant analysis based on proprietary data from Platts. Paste the Platts data in the table below or use the `import Platts data` button to import the data from platts.csv. Make sure NOT to save prorietary data in this file.</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</si>
</sst>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000"/>
  </numFmts>
  <fonts count="8" x14ac:knownFonts="1">
    <font>
      <sz val="12"/>
      <color theme="1"/>
      <name val="Calibri"/>
      <family val="2"/>
      <scheme val="minor"/>
    </font>
    <font>
      <b/>
      <sz val="12"/>
      <color theme="1"/>
      <name val="Calibri"/>
      <family val="2"/>
      <scheme val="minor"/>
    </font>
    <font>
      <u/>
      <sz val="12"/>
      <color theme="10"/>
      <name val="Calibri"/>
      <family val="2"/>
      <scheme val="minor"/>
    </font>
    <font>
      <u/>
      <sz val="12"/>
      <color theme="11"/>
      <name val="Calibri"/>
      <family val="2"/>
      <scheme val="minor"/>
    </font>
    <font>
      <i/>
      <sz val="12"/>
      <color theme="1"/>
      <name val="Calibri"/>
      <scheme val="minor"/>
    </font>
    <font>
      <sz val="12"/>
      <color rgb="FF000000"/>
      <name val="Calibri"/>
      <family val="2"/>
      <scheme val="minor"/>
    </font>
    <font>
      <i/>
      <sz val="12"/>
      <color rgb="FF000000"/>
      <name val="Calibri"/>
      <scheme val="minor"/>
    </font>
    <font>
      <sz val="12"/>
      <color rgb="FF000000"/>
      <name val="Lucida Grande"/>
    </font>
  </fonts>
  <fills count="2">
    <fill>
      <patternFill patternType="none"/>
    </fill>
    <fill>
      <patternFill patternType="gray125"/>
    </fill>
  </fills>
  <borders count="20">
    <border>
      <left/>
      <right/>
      <top/>
      <bottom/>
      <diagonal/>
    </border>
    <border>
      <left/>
      <right/>
      <top/>
      <bottom style="thin">
        <color auto="1"/>
      </bottom>
      <diagonal/>
    </border>
    <border>
      <left style="thin">
        <color auto="1"/>
      </left>
      <right/>
      <top/>
      <bottom style="thin">
        <color auto="1"/>
      </bottom>
      <diagonal/>
    </border>
    <border>
      <left style="thin">
        <color auto="1"/>
      </left>
      <right/>
      <top/>
      <bottom/>
      <diagonal/>
    </border>
    <border>
      <left/>
      <right/>
      <top style="thin">
        <color auto="1"/>
      </top>
      <bottom/>
      <diagonal/>
    </border>
    <border>
      <left style="thin">
        <color auto="1"/>
      </left>
      <right/>
      <top style="thin">
        <color auto="1"/>
      </top>
      <bottom/>
      <diagonal/>
    </border>
    <border>
      <left/>
      <right style="thin">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bottom style="medium">
        <color auto="1"/>
      </bottom>
      <diagonal/>
    </border>
    <border>
      <left style="thin">
        <color auto="1"/>
      </left>
      <right/>
      <top/>
      <bottom style="double">
        <color auto="1"/>
      </bottom>
      <diagonal/>
    </border>
    <border>
      <left/>
      <right/>
      <top style="thin">
        <color auto="1"/>
      </top>
      <bottom style="double">
        <color auto="1"/>
      </bottom>
      <diagonal/>
    </border>
    <border>
      <left style="thin">
        <color auto="1"/>
      </left>
      <right/>
      <top style="thin">
        <color auto="1"/>
      </top>
      <bottom style="double">
        <color auto="1"/>
      </bottom>
      <diagonal/>
    </border>
    <border>
      <left/>
      <right style="thin">
        <color auto="1"/>
      </right>
      <top/>
      <bottom style="thin">
        <color auto="1"/>
      </bottom>
      <diagonal/>
    </border>
    <border>
      <left/>
      <right style="thin">
        <color auto="1"/>
      </right>
      <top style="thin">
        <color auto="1"/>
      </top>
      <bottom/>
      <diagonal/>
    </border>
    <border>
      <left style="thin">
        <color indexed="8"/>
      </left>
      <right/>
      <top style="thin">
        <color indexed="8"/>
      </top>
      <bottom/>
      <diagonal/>
    </border>
    <border>
      <left/>
      <right/>
      <top style="thin">
        <color indexed="8"/>
      </top>
      <bottom/>
      <diagonal/>
    </border>
    <border>
      <left style="thin">
        <color indexed="8"/>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s>
  <cellStyleXfs count="395">
    <xf numFmtId="0" fontId="0" fillId="0" borderId="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cellStyleXfs>
  <cellXfs count="72">
    <xf numFmtId="0" fontId="0" fillId="0" borderId="0" xfId="0"/>
    <xf numFmtId="0" fontId="0" fillId="0" borderId="0" xfId="0" applyBorder="1"/>
    <xf numFmtId="0" fontId="0" fillId="0" borderId="0" xfId="0" applyFill="1" applyBorder="1"/>
    <xf numFmtId="2" fontId="0" fillId="0" borderId="0" xfId="0" applyNumberFormat="1" applyBorder="1"/>
    <xf numFmtId="0" fontId="0" fillId="0" borderId="1" xfId="0" applyBorder="1"/>
    <xf numFmtId="0" fontId="1" fillId="0" borderId="0" xfId="0" applyFont="1" applyBorder="1"/>
    <xf numFmtId="0" fontId="1" fillId="0" borderId="0" xfId="0" applyFont="1"/>
    <xf numFmtId="3" fontId="0" fillId="0" borderId="0" xfId="0" applyNumberFormat="1"/>
    <xf numFmtId="3" fontId="0" fillId="0" borderId="1" xfId="0" applyNumberFormat="1" applyBorder="1"/>
    <xf numFmtId="0" fontId="0" fillId="0" borderId="4" xfId="0" applyBorder="1"/>
    <xf numFmtId="0" fontId="5" fillId="0" borderId="0" xfId="0" applyFont="1"/>
    <xf numFmtId="0" fontId="0" fillId="0" borderId="0" xfId="0" quotePrefix="1"/>
    <xf numFmtId="0" fontId="0" fillId="0" borderId="0" xfId="0" applyAlignment="1">
      <alignment horizontal="center"/>
    </xf>
    <xf numFmtId="0" fontId="4" fillId="0" borderId="0" xfId="0" applyFont="1"/>
    <xf numFmtId="0" fontId="0" fillId="0" borderId="3" xfId="0" applyBorder="1"/>
    <xf numFmtId="0" fontId="4" fillId="0" borderId="3" xfId="0" applyFont="1" applyBorder="1"/>
    <xf numFmtId="0" fontId="0" fillId="0" borderId="2" xfId="0" applyBorder="1"/>
    <xf numFmtId="0" fontId="0" fillId="0" borderId="10" xfId="0" applyBorder="1"/>
    <xf numFmtId="0" fontId="4" fillId="0" borderId="11" xfId="0" applyFont="1" applyBorder="1"/>
    <xf numFmtId="0" fontId="4" fillId="0" borderId="10" xfId="0" applyFont="1" applyBorder="1"/>
    <xf numFmtId="0" fontId="0" fillId="0" borderId="11" xfId="0" applyBorder="1"/>
    <xf numFmtId="0" fontId="0" fillId="0" borderId="9" xfId="0" applyBorder="1"/>
    <xf numFmtId="0" fontId="0" fillId="0" borderId="5" xfId="0" applyBorder="1"/>
    <xf numFmtId="3" fontId="0" fillId="0" borderId="10" xfId="0" applyNumberFormat="1" applyBorder="1"/>
    <xf numFmtId="2" fontId="0" fillId="0" borderId="10" xfId="0" applyNumberFormat="1" applyBorder="1"/>
    <xf numFmtId="0" fontId="0" fillId="0" borderId="1" xfId="0" applyBorder="1" applyAlignment="1">
      <alignment vertical="top" wrapText="1"/>
    </xf>
    <xf numFmtId="0" fontId="0" fillId="0" borderId="0" xfId="0" applyAlignment="1">
      <alignment vertical="top" wrapText="1"/>
    </xf>
    <xf numFmtId="0" fontId="5" fillId="0" borderId="1" xfId="0" applyFont="1" applyBorder="1"/>
    <xf numFmtId="0" fontId="0" fillId="0" borderId="1" xfId="0" applyFont="1" applyBorder="1"/>
    <xf numFmtId="0" fontId="0" fillId="0" borderId="8" xfId="0" applyBorder="1"/>
    <xf numFmtId="0" fontId="0" fillId="0" borderId="7" xfId="0" applyBorder="1"/>
    <xf numFmtId="0" fontId="6" fillId="0" borderId="0" xfId="0" applyFont="1"/>
    <xf numFmtId="0" fontId="0" fillId="0" borderId="13" xfId="0" applyBorder="1"/>
    <xf numFmtId="0" fontId="0" fillId="0" borderId="6" xfId="0" applyBorder="1"/>
    <xf numFmtId="0" fontId="0" fillId="0" borderId="12" xfId="0" applyBorder="1"/>
    <xf numFmtId="0" fontId="0" fillId="0" borderId="10" xfId="0" applyBorder="1" applyAlignment="1">
      <alignment horizontal="center"/>
    </xf>
    <xf numFmtId="3" fontId="0" fillId="0" borderId="2" xfId="0" applyNumberFormat="1" applyBorder="1"/>
    <xf numFmtId="3" fontId="0" fillId="0" borderId="11" xfId="0" applyNumberFormat="1" applyBorder="1"/>
    <xf numFmtId="3" fontId="0" fillId="0" borderId="10" xfId="0" applyNumberFormat="1" applyBorder="1" applyAlignment="1">
      <alignment horizontal="center"/>
    </xf>
    <xf numFmtId="3" fontId="0" fillId="0" borderId="9" xfId="0" applyNumberFormat="1" applyBorder="1"/>
    <xf numFmtId="0" fontId="0" fillId="0" borderId="4" xfId="0" applyBorder="1" applyAlignment="1">
      <alignment horizontal="center"/>
    </xf>
    <xf numFmtId="0" fontId="0" fillId="0" borderId="13" xfId="0" applyBorder="1" applyAlignment="1">
      <alignment horizontal="center"/>
    </xf>
    <xf numFmtId="0" fontId="4" fillId="0" borderId="3" xfId="0" applyFont="1" applyBorder="1" applyAlignment="1">
      <alignment horizontal="center"/>
    </xf>
    <xf numFmtId="0" fontId="0" fillId="0" borderId="0" xfId="0" applyBorder="1" applyAlignment="1">
      <alignment horizontal="center"/>
    </xf>
    <xf numFmtId="0" fontId="0" fillId="0" borderId="6" xfId="0" applyBorder="1" applyAlignment="1">
      <alignment horizontal="center"/>
    </xf>
    <xf numFmtId="0" fontId="4" fillId="0" borderId="2" xfId="0" applyFont="1" applyBorder="1" applyAlignment="1">
      <alignment horizontal="center"/>
    </xf>
    <xf numFmtId="0" fontId="0" fillId="0" borderId="9" xfId="0" applyBorder="1" applyAlignment="1">
      <alignment horizontal="center"/>
    </xf>
    <xf numFmtId="2" fontId="0" fillId="0" borderId="5" xfId="0" applyNumberFormat="1" applyBorder="1"/>
    <xf numFmtId="2" fontId="0" fillId="0" borderId="4" xfId="0" applyNumberFormat="1" applyBorder="1"/>
    <xf numFmtId="2" fontId="0" fillId="0" borderId="3" xfId="0" applyNumberFormat="1" applyBorder="1"/>
    <xf numFmtId="2" fontId="0" fillId="0" borderId="11" xfId="0" applyNumberFormat="1" applyBorder="1"/>
    <xf numFmtId="2" fontId="0" fillId="0" borderId="4" xfId="0" applyNumberFormat="1" applyBorder="1" applyAlignment="1">
      <alignment horizontal="center"/>
    </xf>
    <xf numFmtId="2" fontId="0" fillId="0" borderId="0" xfId="0" applyNumberFormat="1" applyBorder="1" applyAlignment="1">
      <alignment horizontal="center"/>
    </xf>
    <xf numFmtId="2" fontId="0" fillId="0" borderId="10" xfId="0" applyNumberFormat="1" applyBorder="1" applyAlignment="1">
      <alignment horizontal="center"/>
    </xf>
    <xf numFmtId="3" fontId="0" fillId="0" borderId="3" xfId="0" applyNumberFormat="1" applyBorder="1"/>
    <xf numFmtId="3" fontId="4" fillId="0" borderId="3" xfId="0" applyNumberFormat="1" applyFont="1" applyBorder="1"/>
    <xf numFmtId="3" fontId="4" fillId="0" borderId="2" xfId="0" applyNumberFormat="1" applyFont="1" applyBorder="1"/>
    <xf numFmtId="3" fontId="4" fillId="0" borderId="11" xfId="0" applyNumberFormat="1" applyFont="1" applyBorder="1"/>
    <xf numFmtId="3" fontId="4" fillId="0" borderId="10" xfId="0" applyNumberFormat="1" applyFont="1" applyBorder="1"/>
    <xf numFmtId="3" fontId="0" fillId="0" borderId="1" xfId="0" applyNumberFormat="1" applyBorder="1" applyAlignment="1">
      <alignment vertical="top" wrapText="1"/>
    </xf>
    <xf numFmtId="0" fontId="1" fillId="0" borderId="0" xfId="0" applyNumberFormat="1" applyFont="1"/>
    <xf numFmtId="164" fontId="0" fillId="0" borderId="1" xfId="0" applyNumberFormat="1" applyBorder="1" applyAlignment="1">
      <alignment vertical="top" wrapText="1"/>
    </xf>
    <xf numFmtId="164" fontId="0" fillId="0" borderId="0" xfId="0" applyNumberFormat="1"/>
    <xf numFmtId="0" fontId="0" fillId="0" borderId="14" xfId="0" applyNumberFormat="1" applyBorder="1"/>
    <xf numFmtId="0" fontId="0" fillId="0" borderId="15" xfId="0" applyNumberFormat="1" applyBorder="1"/>
    <xf numFmtId="0" fontId="0" fillId="0" borderId="16" xfId="0" applyNumberFormat="1" applyBorder="1"/>
    <xf numFmtId="0" fontId="0" fillId="0" borderId="0" xfId="0" applyNumberFormat="1"/>
    <xf numFmtId="3" fontId="0" fillId="0" borderId="0" xfId="0" applyNumberFormat="1" applyBorder="1"/>
    <xf numFmtId="3" fontId="0" fillId="0" borderId="0" xfId="0" applyNumberFormat="1" applyAlignment="1">
      <alignment horizontal="right"/>
    </xf>
    <xf numFmtId="0" fontId="0" fillId="0" borderId="17" xfId="0" applyBorder="1" applyAlignment="1">
      <alignment horizontal="left" vertical="center" wrapText="1"/>
    </xf>
    <xf numFmtId="0" fontId="0" fillId="0" borderId="18" xfId="0" applyBorder="1" applyAlignment="1">
      <alignment horizontal="left" vertical="center" wrapText="1"/>
    </xf>
    <xf numFmtId="0" fontId="0" fillId="0" borderId="19" xfId="0" applyBorder="1" applyAlignment="1">
      <alignment horizontal="left" vertical="center" wrapText="1"/>
    </xf>
  </cellXfs>
  <cellStyles count="395">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Normal" xfId="0" builtinId="0"/>
  </cellStyles>
  <dxfs count="0"/>
  <tableStyles count="0" defaultTableStyle="TableStyleMedium9" defaultPivotStyle="PivotStyleMedium4"/>
</styleSheet>
</file>

<file path=xl/_rels/workbook.xml.rels><?xml version="1.0" encoding="UTF-8" standalone="yes"?>
<Relationships xmlns="http://schemas.openxmlformats.org/package/2006/relationships"><Relationship Id="rId11" Type="http://schemas.openxmlformats.org/officeDocument/2006/relationships/theme" Target="theme/theme1.xml"/><Relationship Id="rId12" Type="http://schemas.openxmlformats.org/officeDocument/2006/relationships/styles" Target="styles.xml"/><Relationship Id="rId13" Type="http://schemas.openxmlformats.org/officeDocument/2006/relationships/sharedStrings" Target="sharedStrings.xml"/><Relationship Id="rId14" Type="http://schemas.openxmlformats.org/officeDocument/2006/relationships/calcChain" Target="calcChain.xml"/><Relationship Id="rId15"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292100</xdr:colOff>
          <xdr:row>1</xdr:row>
          <xdr:rowOff>152400</xdr:rowOff>
        </xdr:from>
        <xdr:to>
          <xdr:col>12</xdr:col>
          <xdr:colOff>698500</xdr:colOff>
          <xdr:row>1</xdr:row>
          <xdr:rowOff>520700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import Platts data</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Alexander/Dropbox/DropDocuments/Energietransitie/Projecten/Git/rdr/analyses/1_chp/20130913_CHP_analysis_v2.27.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Cover sheet"/>
      <sheetName val="Changelog"/>
      <sheetName val="Contents"/>
      <sheetName val="Introduction"/>
      <sheetName val="Dataflow"/>
      <sheetName val="Assumptions"/>
      <sheetName val="Dashboard"/>
      <sheetName val="IEA energy balance"/>
      <sheetName val="IEA autoproducer prod."/>
      <sheetName val="technical_specs"/>
      <sheetName val="Results by fuel"/>
      <sheetName val="Results by machine"/>
      <sheetName val="Delta energy balance"/>
      <sheetName val="Corrected energy balance step 1"/>
      <sheetName val="AP net-gross conversion"/>
      <sheetName val="CEB allocation factors"/>
      <sheetName val="Co-fueling shares"/>
      <sheetName val="Fuel allocation"/>
      <sheetName val="Agriculture"/>
      <sheetName val="Households"/>
      <sheetName val="C&amp;P services"/>
      <sheetName val="Energy industry"/>
      <sheetName val="Industry"/>
      <sheetName val="Main activity"/>
      <sheetName val="Waste incineration"/>
      <sheetName val="Fuel mixes"/>
      <sheetName val="Fuel aggregation"/>
      <sheetName val="match carriers IEA to ETM"/>
      <sheetName val="csv_sold_heat_deficit"/>
      <sheetName val="csv_corrected energy balance 1"/>
      <sheetName val="csv_ce_production_table_1"/>
      <sheetName val="csv_energy_mixer_for_gas_cs"/>
    </sheetNames>
    <sheetDataSet>
      <sheetData sheetId="0" refreshError="1"/>
      <sheetData sheetId="1" refreshError="1"/>
      <sheetData sheetId="2" refreshError="1"/>
      <sheetData sheetId="3" refreshError="1"/>
      <sheetData sheetId="4" refreshError="1"/>
      <sheetData sheetId="5" refreshError="1">
        <row r="174">
          <cell r="C174">
            <v>3.6</v>
          </cell>
        </row>
      </sheetData>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2:V34"/>
  <sheetViews>
    <sheetView tabSelected="1" workbookViewId="0"/>
  </sheetViews>
  <sheetFormatPr baseColWidth="10" defaultRowHeight="15" x14ac:dyDescent="0"/>
  <cols>
    <col min="1" max="1" width="3.83203125" customWidth="1"/>
    <col min="3" max="3" width="20.83203125" customWidth="1"/>
  </cols>
  <sheetData>
    <row r="2" spans="1:22" ht="77" customHeight="1">
      <c r="B2" s="69" t="s">
        <v>146</v>
      </c>
      <c r="C2" s="70"/>
      <c r="D2" s="70"/>
      <c r="E2" s="70"/>
      <c r="F2" s="71"/>
    </row>
    <row r="3" spans="1:22">
      <c r="A3" s="6"/>
    </row>
    <row r="4" spans="1:22">
      <c r="B4" s="4"/>
      <c r="C4" s="4"/>
      <c r="D4" s="16" t="s">
        <v>76</v>
      </c>
      <c r="E4" s="4" t="s">
        <v>77</v>
      </c>
      <c r="F4" s="4" t="s">
        <v>78</v>
      </c>
      <c r="G4" s="4" t="s">
        <v>79</v>
      </c>
      <c r="H4" s="4" t="s">
        <v>143</v>
      </c>
      <c r="I4" s="4" t="s">
        <v>80</v>
      </c>
      <c r="J4" s="4" t="s">
        <v>81</v>
      </c>
      <c r="K4" s="4" t="s">
        <v>82</v>
      </c>
      <c r="L4" s="4" t="s">
        <v>83</v>
      </c>
      <c r="M4" s="4" t="s">
        <v>84</v>
      </c>
      <c r="N4" s="4" t="s">
        <v>144</v>
      </c>
      <c r="O4" s="4" t="s">
        <v>86</v>
      </c>
      <c r="P4" s="4" t="s">
        <v>87</v>
      </c>
      <c r="Q4" s="4" t="s">
        <v>88</v>
      </c>
      <c r="R4" s="4" t="s">
        <v>89</v>
      </c>
      <c r="S4" s="4" t="s">
        <v>90</v>
      </c>
      <c r="T4" s="4" t="s">
        <v>91</v>
      </c>
      <c r="U4" s="4" t="s">
        <v>92</v>
      </c>
      <c r="V4" s="16" t="s">
        <v>108</v>
      </c>
    </row>
    <row r="5" spans="1:22">
      <c r="B5" t="s">
        <v>107</v>
      </c>
      <c r="C5" t="s">
        <v>100</v>
      </c>
      <c r="D5" s="63"/>
      <c r="E5" s="64"/>
      <c r="F5" s="64"/>
      <c r="G5" s="64"/>
      <c r="H5" s="64"/>
      <c r="I5" s="64"/>
      <c r="J5" s="64"/>
      <c r="K5" s="64"/>
      <c r="L5" s="64"/>
      <c r="M5" s="64"/>
      <c r="N5" s="64"/>
      <c r="O5" s="64"/>
      <c r="P5" s="64"/>
      <c r="Q5" s="64"/>
      <c r="R5" s="64"/>
      <c r="S5" s="64"/>
      <c r="T5" s="64"/>
      <c r="U5" s="64"/>
      <c r="V5" s="15">
        <f>SUM(D5:U5)</f>
        <v>0</v>
      </c>
    </row>
    <row r="6" spans="1:22">
      <c r="C6" t="s">
        <v>69</v>
      </c>
      <c r="D6" s="65"/>
      <c r="E6" s="66"/>
      <c r="F6" s="66"/>
      <c r="G6" s="66"/>
      <c r="H6" s="66"/>
      <c r="I6" s="66"/>
      <c r="J6" s="66"/>
      <c r="K6" s="66"/>
      <c r="L6" s="66"/>
      <c r="M6" s="66"/>
      <c r="N6" s="66"/>
      <c r="O6" s="66"/>
      <c r="P6" s="66"/>
      <c r="Q6" s="66"/>
      <c r="R6" s="66"/>
      <c r="S6" s="66"/>
      <c r="T6" s="66"/>
      <c r="U6" s="66"/>
      <c r="V6" s="15">
        <f t="shared" ref="V6:V16" si="0">SUM(D6:U6)</f>
        <v>0</v>
      </c>
    </row>
    <row r="7" spans="1:22">
      <c r="C7" t="s">
        <v>101</v>
      </c>
      <c r="D7" s="14"/>
      <c r="V7" s="15">
        <f t="shared" si="0"/>
        <v>0</v>
      </c>
    </row>
    <row r="8" spans="1:22">
      <c r="C8" t="s">
        <v>102</v>
      </c>
      <c r="D8" s="65"/>
      <c r="E8" s="66"/>
      <c r="F8" s="66"/>
      <c r="G8" s="66"/>
      <c r="H8" s="66"/>
      <c r="I8" s="66"/>
      <c r="J8" s="66"/>
      <c r="K8" s="66"/>
      <c r="L8" s="66"/>
      <c r="M8" s="66"/>
      <c r="N8" s="66"/>
      <c r="O8" s="66"/>
      <c r="P8" s="66"/>
      <c r="Q8" s="66"/>
      <c r="R8" s="66"/>
      <c r="S8" s="66"/>
      <c r="T8" s="66"/>
      <c r="U8" s="66"/>
      <c r="V8" s="15">
        <f t="shared" si="0"/>
        <v>0</v>
      </c>
    </row>
    <row r="9" spans="1:22">
      <c r="C9" t="s">
        <v>103</v>
      </c>
      <c r="D9" s="14"/>
      <c r="V9" s="15">
        <f t="shared" si="0"/>
        <v>0</v>
      </c>
    </row>
    <row r="10" spans="1:22">
      <c r="C10" t="s">
        <v>95</v>
      </c>
      <c r="D10" s="65"/>
      <c r="E10" s="66"/>
      <c r="F10" s="66"/>
      <c r="G10" s="66"/>
      <c r="H10" s="66"/>
      <c r="I10" s="66"/>
      <c r="J10" s="66"/>
      <c r="K10" s="66"/>
      <c r="L10" s="66"/>
      <c r="M10" s="66"/>
      <c r="N10" s="66"/>
      <c r="O10" s="66"/>
      <c r="P10" s="66"/>
      <c r="Q10" s="66"/>
      <c r="R10" s="66"/>
      <c r="S10" s="66"/>
      <c r="T10" s="66"/>
      <c r="U10" s="66"/>
      <c r="V10" s="15">
        <f t="shared" si="0"/>
        <v>0</v>
      </c>
    </row>
    <row r="11" spans="1:22">
      <c r="C11" t="s">
        <v>68</v>
      </c>
      <c r="D11" s="65"/>
      <c r="E11" s="66"/>
      <c r="F11" s="66"/>
      <c r="G11" s="66"/>
      <c r="H11" s="66"/>
      <c r="I11" s="66"/>
      <c r="J11" s="66"/>
      <c r="K11" s="66"/>
      <c r="L11" s="66"/>
      <c r="M11" s="66"/>
      <c r="N11" s="66"/>
      <c r="O11" s="66"/>
      <c r="P11" s="66"/>
      <c r="Q11" s="66"/>
      <c r="R11" s="66"/>
      <c r="S11" s="66"/>
      <c r="T11" s="66"/>
      <c r="U11" s="66"/>
      <c r="V11" s="15">
        <f t="shared" si="0"/>
        <v>0</v>
      </c>
    </row>
    <row r="12" spans="1:22">
      <c r="C12" t="s">
        <v>94</v>
      </c>
      <c r="D12" s="65"/>
      <c r="E12" s="66"/>
      <c r="F12" s="66"/>
      <c r="G12" s="66"/>
      <c r="H12" s="66"/>
      <c r="I12" s="66"/>
      <c r="J12" s="66"/>
      <c r="K12" s="66"/>
      <c r="L12" s="66"/>
      <c r="M12" s="66"/>
      <c r="N12" s="66"/>
      <c r="O12" s="66"/>
      <c r="P12" s="66"/>
      <c r="Q12" s="66"/>
      <c r="R12" s="66"/>
      <c r="S12" s="66"/>
      <c r="T12" s="66"/>
      <c r="U12" s="66"/>
      <c r="V12" s="15">
        <f t="shared" si="0"/>
        <v>0</v>
      </c>
    </row>
    <row r="13" spans="1:22">
      <c r="C13" t="s">
        <v>104</v>
      </c>
      <c r="D13" s="65"/>
      <c r="E13" s="66"/>
      <c r="F13" s="66"/>
      <c r="G13" s="66"/>
      <c r="H13" s="66"/>
      <c r="I13" s="66"/>
      <c r="J13" s="66"/>
      <c r="K13" s="66"/>
      <c r="L13" s="66"/>
      <c r="M13" s="66"/>
      <c r="N13" s="66"/>
      <c r="O13" s="66"/>
      <c r="P13" s="66"/>
      <c r="Q13" s="66"/>
      <c r="R13" s="66"/>
      <c r="S13" s="66"/>
      <c r="T13" s="66"/>
      <c r="U13" s="66"/>
      <c r="V13" s="15">
        <f t="shared" si="0"/>
        <v>0</v>
      </c>
    </row>
    <row r="14" spans="1:22">
      <c r="C14" t="s">
        <v>105</v>
      </c>
      <c r="D14" s="65"/>
      <c r="E14" s="66"/>
      <c r="F14" s="66"/>
      <c r="G14" s="66"/>
      <c r="H14" s="66"/>
      <c r="I14" s="66"/>
      <c r="J14" s="66"/>
      <c r="K14" s="66"/>
      <c r="L14" s="66"/>
      <c r="M14" s="66"/>
      <c r="N14" s="66"/>
      <c r="O14" s="66"/>
      <c r="P14" s="66"/>
      <c r="Q14" s="66"/>
      <c r="R14" s="66"/>
      <c r="S14" s="66"/>
      <c r="T14" s="66"/>
      <c r="U14" s="66"/>
      <c r="V14" s="15">
        <f t="shared" si="0"/>
        <v>0</v>
      </c>
    </row>
    <row r="15" spans="1:22">
      <c r="C15" t="s">
        <v>72</v>
      </c>
      <c r="D15" s="65"/>
      <c r="E15" s="66"/>
      <c r="F15" s="66"/>
      <c r="G15" s="66"/>
      <c r="H15" s="66"/>
      <c r="I15" s="66"/>
      <c r="J15" s="66"/>
      <c r="K15" s="66"/>
      <c r="L15" s="66"/>
      <c r="M15" s="66"/>
      <c r="N15" s="66"/>
      <c r="O15" s="66"/>
      <c r="P15" s="66"/>
      <c r="Q15" s="66"/>
      <c r="R15" s="66"/>
      <c r="S15" s="66"/>
      <c r="T15" s="66"/>
      <c r="U15" s="66"/>
      <c r="V15" s="15">
        <f t="shared" si="0"/>
        <v>0</v>
      </c>
    </row>
    <row r="16" spans="1:22">
      <c r="B16" s="4"/>
      <c r="C16" s="4" t="s">
        <v>106</v>
      </c>
      <c r="D16" s="65"/>
      <c r="E16" s="66"/>
      <c r="F16" s="66"/>
      <c r="G16" s="66"/>
      <c r="H16" s="66"/>
      <c r="I16" s="66"/>
      <c r="J16" s="66"/>
      <c r="K16" s="66"/>
      <c r="L16" s="66"/>
      <c r="M16" s="66"/>
      <c r="N16" s="66"/>
      <c r="O16" s="66"/>
      <c r="P16" s="66"/>
      <c r="Q16" s="66"/>
      <c r="R16" s="66"/>
      <c r="S16" s="66"/>
      <c r="T16" s="66"/>
      <c r="U16" s="66"/>
      <c r="V16" s="15">
        <f t="shared" si="0"/>
        <v>0</v>
      </c>
    </row>
    <row r="17" spans="2:22" ht="16" thickBot="1">
      <c r="B17" s="17"/>
      <c r="C17" s="17" t="s">
        <v>109</v>
      </c>
      <c r="D17" s="18">
        <f>SUM(D5:D16)</f>
        <v>0</v>
      </c>
      <c r="E17" s="19">
        <f t="shared" ref="E17:U17" si="1">SUM(E5:E16)</f>
        <v>0</v>
      </c>
      <c r="F17" s="19">
        <f t="shared" si="1"/>
        <v>0</v>
      </c>
      <c r="G17" s="19">
        <f t="shared" si="1"/>
        <v>0</v>
      </c>
      <c r="H17" s="19">
        <f t="shared" si="1"/>
        <v>0</v>
      </c>
      <c r="I17" s="19">
        <f t="shared" si="1"/>
        <v>0</v>
      </c>
      <c r="J17" s="19">
        <f t="shared" si="1"/>
        <v>0</v>
      </c>
      <c r="K17" s="19">
        <f t="shared" si="1"/>
        <v>0</v>
      </c>
      <c r="L17" s="19">
        <f t="shared" si="1"/>
        <v>0</v>
      </c>
      <c r="M17" s="19">
        <f t="shared" si="1"/>
        <v>0</v>
      </c>
      <c r="N17" s="19">
        <f t="shared" si="1"/>
        <v>0</v>
      </c>
      <c r="O17" s="19">
        <f t="shared" si="1"/>
        <v>0</v>
      </c>
      <c r="P17" s="19">
        <f t="shared" si="1"/>
        <v>0</v>
      </c>
      <c r="Q17" s="19">
        <f t="shared" si="1"/>
        <v>0</v>
      </c>
      <c r="R17" s="19">
        <f t="shared" si="1"/>
        <v>0</v>
      </c>
      <c r="S17" s="19">
        <f t="shared" si="1"/>
        <v>0</v>
      </c>
      <c r="T17" s="19">
        <f t="shared" si="1"/>
        <v>0</v>
      </c>
      <c r="U17" s="19">
        <f t="shared" si="1"/>
        <v>0</v>
      </c>
      <c r="V17" s="20">
        <f>SUM(D17:U17)-SUM(V5:V16)</f>
        <v>0</v>
      </c>
    </row>
    <row r="18" spans="2:22" ht="16" thickTop="1">
      <c r="B18" t="s">
        <v>59</v>
      </c>
      <c r="C18" t="s">
        <v>100</v>
      </c>
      <c r="D18" s="63"/>
      <c r="E18" s="64"/>
      <c r="F18" s="64"/>
      <c r="G18" s="64"/>
      <c r="H18" s="64"/>
      <c r="I18" s="64"/>
      <c r="J18" s="64"/>
      <c r="K18" s="64"/>
      <c r="L18" s="64"/>
      <c r="M18" s="64"/>
      <c r="N18" s="64"/>
      <c r="O18" s="64"/>
      <c r="P18" s="64"/>
      <c r="Q18" s="64"/>
      <c r="R18" s="64"/>
      <c r="S18" s="64"/>
      <c r="T18" s="64"/>
      <c r="U18" s="64"/>
      <c r="V18" s="15">
        <f>SUM(D18:U18)</f>
        <v>0</v>
      </c>
    </row>
    <row r="19" spans="2:22">
      <c r="C19" t="s">
        <v>69</v>
      </c>
      <c r="D19" s="65"/>
      <c r="E19" s="66"/>
      <c r="F19" s="66"/>
      <c r="G19" s="66"/>
      <c r="H19" s="66"/>
      <c r="I19" s="66"/>
      <c r="J19" s="66"/>
      <c r="K19" s="66"/>
      <c r="L19" s="66"/>
      <c r="M19" s="66"/>
      <c r="N19" s="66"/>
      <c r="O19" s="66"/>
      <c r="P19" s="66"/>
      <c r="Q19" s="66"/>
      <c r="R19" s="66"/>
      <c r="S19" s="66"/>
      <c r="T19" s="66"/>
      <c r="U19" s="66"/>
      <c r="V19" s="15">
        <f t="shared" ref="V19:V29" si="2">SUM(D19:U19)</f>
        <v>0</v>
      </c>
    </row>
    <row r="20" spans="2:22">
      <c r="D20" s="14"/>
      <c r="V20" s="15">
        <f t="shared" si="2"/>
        <v>0</v>
      </c>
    </row>
    <row r="21" spans="2:22">
      <c r="C21" t="s">
        <v>102</v>
      </c>
      <c r="D21" s="65"/>
      <c r="E21" s="66"/>
      <c r="F21" s="66"/>
      <c r="G21" s="66"/>
      <c r="H21" s="66"/>
      <c r="I21" s="66"/>
      <c r="J21" s="66"/>
      <c r="K21" s="66"/>
      <c r="L21" s="66"/>
      <c r="M21" s="66"/>
      <c r="N21" s="66"/>
      <c r="O21" s="66"/>
      <c r="P21" s="66"/>
      <c r="Q21" s="66"/>
      <c r="R21" s="66"/>
      <c r="S21" s="66"/>
      <c r="T21" s="66"/>
      <c r="U21" s="66"/>
      <c r="V21" s="15">
        <f t="shared" si="2"/>
        <v>0</v>
      </c>
    </row>
    <row r="22" spans="2:22">
      <c r="C22" t="s">
        <v>103</v>
      </c>
      <c r="D22" s="65"/>
      <c r="E22" s="66"/>
      <c r="F22" s="66"/>
      <c r="G22" s="66"/>
      <c r="H22" s="66"/>
      <c r="I22" s="66"/>
      <c r="J22" s="66"/>
      <c r="K22" s="66"/>
      <c r="L22" s="66"/>
      <c r="M22" s="66"/>
      <c r="N22" s="66"/>
      <c r="O22" s="66"/>
      <c r="P22" s="66"/>
      <c r="Q22" s="66"/>
      <c r="R22" s="66"/>
      <c r="S22" s="66"/>
      <c r="T22" s="66"/>
      <c r="U22" s="66"/>
      <c r="V22" s="15">
        <f t="shared" si="2"/>
        <v>0</v>
      </c>
    </row>
    <row r="23" spans="2:22">
      <c r="D23" s="14"/>
      <c r="V23" s="15">
        <f t="shared" si="2"/>
        <v>0</v>
      </c>
    </row>
    <row r="24" spans="2:22">
      <c r="C24" t="s">
        <v>68</v>
      </c>
      <c r="D24" s="14"/>
      <c r="V24" s="15">
        <f t="shared" si="2"/>
        <v>0</v>
      </c>
    </row>
    <row r="25" spans="2:22">
      <c r="D25" s="14"/>
      <c r="V25" s="15">
        <f t="shared" si="2"/>
        <v>0</v>
      </c>
    </row>
    <row r="26" spans="2:22">
      <c r="D26" s="14"/>
      <c r="V26" s="15">
        <f t="shared" si="2"/>
        <v>0</v>
      </c>
    </row>
    <row r="27" spans="2:22">
      <c r="D27" s="14"/>
      <c r="V27" s="15">
        <f t="shared" si="2"/>
        <v>0</v>
      </c>
    </row>
    <row r="28" spans="2:22">
      <c r="C28" t="s">
        <v>72</v>
      </c>
      <c r="D28" s="65"/>
      <c r="E28" s="66"/>
      <c r="F28" s="66"/>
      <c r="G28" s="66"/>
      <c r="H28" s="66"/>
      <c r="I28" s="66"/>
      <c r="J28" s="66"/>
      <c r="K28" s="66"/>
      <c r="L28" s="66"/>
      <c r="M28" s="66"/>
      <c r="N28" s="66"/>
      <c r="O28" s="66"/>
      <c r="P28" s="66"/>
      <c r="Q28" s="66"/>
      <c r="R28" s="66"/>
      <c r="S28" s="66"/>
      <c r="T28" s="66"/>
      <c r="U28" s="66"/>
      <c r="V28" s="15">
        <f t="shared" si="2"/>
        <v>0</v>
      </c>
    </row>
    <row r="29" spans="2:22">
      <c r="D29" s="14"/>
      <c r="V29" s="15">
        <f t="shared" si="2"/>
        <v>0</v>
      </c>
    </row>
    <row r="30" spans="2:22" ht="16" thickBot="1">
      <c r="B30" s="17"/>
      <c r="C30" s="17" t="s">
        <v>110</v>
      </c>
      <c r="D30" s="20">
        <f>SUM(D18:D28)</f>
        <v>0</v>
      </c>
      <c r="E30" s="17">
        <f t="shared" ref="E30:U30" si="3">SUM(E18:E28)</f>
        <v>0</v>
      </c>
      <c r="F30" s="17">
        <f t="shared" si="3"/>
        <v>0</v>
      </c>
      <c r="G30" s="17">
        <f t="shared" si="3"/>
        <v>0</v>
      </c>
      <c r="H30" s="17">
        <f t="shared" si="3"/>
        <v>0</v>
      </c>
      <c r="I30" s="17">
        <f t="shared" si="3"/>
        <v>0</v>
      </c>
      <c r="J30" s="17">
        <f t="shared" si="3"/>
        <v>0</v>
      </c>
      <c r="K30" s="17">
        <f t="shared" si="3"/>
        <v>0</v>
      </c>
      <c r="L30" s="17">
        <f t="shared" si="3"/>
        <v>0</v>
      </c>
      <c r="M30" s="17">
        <f t="shared" si="3"/>
        <v>0</v>
      </c>
      <c r="N30" s="17">
        <f t="shared" si="3"/>
        <v>0</v>
      </c>
      <c r="O30" s="17">
        <f t="shared" si="3"/>
        <v>0</v>
      </c>
      <c r="P30" s="17">
        <f t="shared" si="3"/>
        <v>0</v>
      </c>
      <c r="Q30" s="17">
        <f t="shared" si="3"/>
        <v>0</v>
      </c>
      <c r="R30" s="17">
        <f t="shared" si="3"/>
        <v>0</v>
      </c>
      <c r="S30" s="17">
        <f t="shared" si="3"/>
        <v>0</v>
      </c>
      <c r="T30" s="17">
        <f t="shared" si="3"/>
        <v>0</v>
      </c>
      <c r="U30" s="17">
        <f t="shared" si="3"/>
        <v>0</v>
      </c>
      <c r="V30" s="21">
        <f>SUM(D30:U30)-SUM(V18:V28)</f>
        <v>0</v>
      </c>
    </row>
    <row r="31" spans="2:22" ht="16" thickTop="1">
      <c r="D31" s="14"/>
      <c r="V31" s="14"/>
    </row>
    <row r="32" spans="2:22" ht="16" thickBot="1">
      <c r="B32" s="17" t="s">
        <v>108</v>
      </c>
      <c r="C32" s="17"/>
      <c r="D32" s="20">
        <f>D17+D30</f>
        <v>0</v>
      </c>
      <c r="E32" s="17">
        <f t="shared" ref="E32:V32" si="4">E17+E30</f>
        <v>0</v>
      </c>
      <c r="F32" s="17">
        <f t="shared" si="4"/>
        <v>0</v>
      </c>
      <c r="G32" s="17">
        <f t="shared" si="4"/>
        <v>0</v>
      </c>
      <c r="H32" s="17">
        <f t="shared" si="4"/>
        <v>0</v>
      </c>
      <c r="I32" s="17">
        <f t="shared" si="4"/>
        <v>0</v>
      </c>
      <c r="J32" s="17">
        <f t="shared" si="4"/>
        <v>0</v>
      </c>
      <c r="K32" s="17">
        <f t="shared" si="4"/>
        <v>0</v>
      </c>
      <c r="L32" s="17">
        <f t="shared" si="4"/>
        <v>0</v>
      </c>
      <c r="M32" s="17">
        <f t="shared" si="4"/>
        <v>0</v>
      </c>
      <c r="N32" s="17">
        <f t="shared" si="4"/>
        <v>0</v>
      </c>
      <c r="O32" s="17">
        <f t="shared" si="4"/>
        <v>0</v>
      </c>
      <c r="P32" s="17">
        <f t="shared" si="4"/>
        <v>0</v>
      </c>
      <c r="Q32" s="17">
        <f t="shared" si="4"/>
        <v>0</v>
      </c>
      <c r="R32" s="17">
        <f t="shared" si="4"/>
        <v>0</v>
      </c>
      <c r="S32" s="17">
        <f t="shared" si="4"/>
        <v>0</v>
      </c>
      <c r="T32" s="17">
        <f t="shared" si="4"/>
        <v>0</v>
      </c>
      <c r="U32" s="17">
        <f t="shared" si="4"/>
        <v>0</v>
      </c>
      <c r="V32" s="20">
        <f t="shared" si="4"/>
        <v>0</v>
      </c>
    </row>
    <row r="33" spans="3:3" ht="16" thickTop="1"/>
    <row r="34" spans="3:3">
      <c r="C34" t="s">
        <v>145</v>
      </c>
    </row>
  </sheetData>
  <mergeCells count="1">
    <mergeCell ref="B2:F2"/>
  </mergeCells>
  <pageMargins left="0.75" right="0.75" top="1" bottom="1" header="0.5" footer="0.5"/>
  <pageSetup paperSize="9" orientation="portrait" horizontalDpi="4294967292" verticalDpi="4294967292"/>
  <ignoredErrors>
    <ignoredError sqref="V5 I17:U17 I30:V30 V18 D30:G30 D17:G17" emptyCellReference="1"/>
    <ignoredError sqref="V17" formula="1"/>
  </ignoredErrors>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import_platts_data">
                <anchor moveWithCells="1" sizeWithCells="1">
                  <from>
                    <xdr:col>7</xdr:col>
                    <xdr:colOff>292100</xdr:colOff>
                    <xdr:row>1</xdr:row>
                    <xdr:rowOff>152400</xdr:rowOff>
                  </from>
                  <to>
                    <xdr:col>12</xdr:col>
                    <xdr:colOff>698500</xdr:colOff>
                    <xdr:row>1</xdr:row>
                    <xdr:rowOff>520700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B2:N31"/>
  <sheetViews>
    <sheetView topLeftCell="C1" workbookViewId="0">
      <selection activeCell="H28" sqref="H28"/>
    </sheetView>
  </sheetViews>
  <sheetFormatPr baseColWidth="10" defaultRowHeight="15" x14ac:dyDescent="0"/>
  <cols>
    <col min="1" max="1" width="3.83203125" style="7" customWidth="1"/>
    <col min="2" max="2" width="10.83203125" style="7"/>
    <col min="3" max="3" width="20.83203125" style="7" customWidth="1"/>
    <col min="4" max="16384" width="10.83203125" style="7"/>
  </cols>
  <sheetData>
    <row r="2" spans="2:14">
      <c r="B2" s="8"/>
      <c r="C2" s="8"/>
      <c r="D2" s="36" t="s">
        <v>55</v>
      </c>
      <c r="E2" s="8" t="s">
        <v>56</v>
      </c>
      <c r="F2" s="8" t="s">
        <v>57</v>
      </c>
      <c r="G2" s="8" t="s">
        <v>111</v>
      </c>
      <c r="H2" s="8" t="s">
        <v>58</v>
      </c>
      <c r="I2" s="8" t="s">
        <v>94</v>
      </c>
      <c r="J2" s="8" t="s">
        <v>95</v>
      </c>
      <c r="K2" s="8" t="s">
        <v>22</v>
      </c>
      <c r="L2" s="8" t="s">
        <v>105</v>
      </c>
      <c r="M2" s="8" t="s">
        <v>98</v>
      </c>
      <c r="N2" s="36" t="s">
        <v>108</v>
      </c>
    </row>
    <row r="3" spans="2:14">
      <c r="B3" s="7" t="s">
        <v>107</v>
      </c>
      <c r="C3" s="7" t="s">
        <v>100</v>
      </c>
      <c r="D3" s="54">
        <f>input_Platts!E5+input_Platts!G5</f>
        <v>0</v>
      </c>
      <c r="E3" s="67">
        <f>input_Platts!H5</f>
        <v>0</v>
      </c>
      <c r="F3" s="7">
        <f>input_Platts!K5+input_Platts!N5</f>
        <v>0</v>
      </c>
      <c r="G3" s="7">
        <f>input_Platts!D5+input_Platts!L5</f>
        <v>0</v>
      </c>
      <c r="H3" s="7">
        <f>input_Platts!R5+input_Platts!S5</f>
        <v>0</v>
      </c>
      <c r="I3" s="7">
        <f>input_Platts!Q5</f>
        <v>0</v>
      </c>
      <c r="J3" s="7">
        <f>input_Platts!T5</f>
        <v>0</v>
      </c>
      <c r="L3" s="7">
        <f>input_Platts!O5</f>
        <v>0</v>
      </c>
      <c r="M3" s="7">
        <f>input_Platts!U5</f>
        <v>0</v>
      </c>
      <c r="N3" s="55">
        <f t="shared" ref="N3:N14" si="0">SUM(D3:M3)</f>
        <v>0</v>
      </c>
    </row>
    <row r="4" spans="2:14">
      <c r="C4" s="7" t="s">
        <v>69</v>
      </c>
      <c r="D4" s="54">
        <f>input_Platts!E6+input_Platts!G6</f>
        <v>0</v>
      </c>
      <c r="E4" s="67">
        <f>input_Platts!H6</f>
        <v>0</v>
      </c>
      <c r="F4" s="7">
        <f>input_Platts!K6+input_Platts!N6</f>
        <v>0</v>
      </c>
      <c r="G4" s="7">
        <f>input_Platts!D6+input_Platts!L6</f>
        <v>0</v>
      </c>
      <c r="H4" s="7">
        <f>input_Platts!R6+input_Platts!S6</f>
        <v>0</v>
      </c>
      <c r="I4" s="7">
        <f>input_Platts!Q6</f>
        <v>0</v>
      </c>
      <c r="J4" s="7">
        <f>input_Platts!T6</f>
        <v>0</v>
      </c>
      <c r="L4" s="7">
        <f>input_Platts!O6</f>
        <v>0</v>
      </c>
      <c r="M4" s="7">
        <f>input_Platts!U6</f>
        <v>0</v>
      </c>
      <c r="N4" s="55">
        <f t="shared" si="0"/>
        <v>0</v>
      </c>
    </row>
    <row r="5" spans="2:14">
      <c r="C5" s="7" t="s">
        <v>101</v>
      </c>
      <c r="D5" s="54">
        <f>input_Platts!E7+input_Platts!G7</f>
        <v>0</v>
      </c>
      <c r="E5" s="67">
        <f>input_Platts!H7</f>
        <v>0</v>
      </c>
      <c r="F5" s="7">
        <f>input_Platts!K7+input_Platts!N7</f>
        <v>0</v>
      </c>
      <c r="G5" s="7">
        <f>input_Platts!D7+input_Platts!L7</f>
        <v>0</v>
      </c>
      <c r="H5" s="7">
        <f>input_Platts!R7+input_Platts!S7</f>
        <v>0</v>
      </c>
      <c r="I5" s="7">
        <f>input_Platts!Q7</f>
        <v>0</v>
      </c>
      <c r="J5" s="7">
        <f>input_Platts!T7</f>
        <v>0</v>
      </c>
      <c r="L5" s="7">
        <f>input_Platts!O7</f>
        <v>0</v>
      </c>
      <c r="M5" s="7">
        <f>input_Platts!U7</f>
        <v>0</v>
      </c>
      <c r="N5" s="55">
        <f t="shared" si="0"/>
        <v>0</v>
      </c>
    </row>
    <row r="6" spans="2:14">
      <c r="C6" s="7" t="s">
        <v>102</v>
      </c>
      <c r="D6" s="54">
        <f>input_Platts!E8+input_Platts!G8</f>
        <v>0</v>
      </c>
      <c r="E6" s="67">
        <f>input_Platts!H8</f>
        <v>0</v>
      </c>
      <c r="F6" s="7">
        <f>input_Platts!K8+input_Platts!N8</f>
        <v>0</v>
      </c>
      <c r="G6" s="7">
        <f>input_Platts!D8+input_Platts!L8</f>
        <v>0</v>
      </c>
      <c r="H6" s="7">
        <f>input_Platts!R8+input_Platts!S8</f>
        <v>0</v>
      </c>
      <c r="I6" s="7">
        <f>input_Platts!Q8</f>
        <v>0</v>
      </c>
      <c r="J6" s="7">
        <f>input_Platts!T8</f>
        <v>0</v>
      </c>
      <c r="L6" s="7">
        <f>input_Platts!O8</f>
        <v>0</v>
      </c>
      <c r="M6" s="7">
        <f>input_Platts!U8</f>
        <v>0</v>
      </c>
      <c r="N6" s="55">
        <f t="shared" si="0"/>
        <v>0</v>
      </c>
    </row>
    <row r="7" spans="2:14">
      <c r="C7" s="7" t="s">
        <v>103</v>
      </c>
      <c r="D7" s="54">
        <f>input_Platts!E9+input_Platts!G9</f>
        <v>0</v>
      </c>
      <c r="E7" s="67">
        <f>input_Platts!H9</f>
        <v>0</v>
      </c>
      <c r="F7" s="7">
        <f>input_Platts!K9+input_Platts!N9</f>
        <v>0</v>
      </c>
      <c r="G7" s="7">
        <f>input_Platts!D9+input_Platts!L9</f>
        <v>0</v>
      </c>
      <c r="H7" s="7">
        <f>input_Platts!R9+input_Platts!S9</f>
        <v>0</v>
      </c>
      <c r="I7" s="7">
        <f>input_Platts!Q9</f>
        <v>0</v>
      </c>
      <c r="J7" s="7">
        <f>input_Platts!T9</f>
        <v>0</v>
      </c>
      <c r="L7" s="7">
        <f>input_Platts!O9</f>
        <v>0</v>
      </c>
      <c r="M7" s="7">
        <f>input_Platts!U9</f>
        <v>0</v>
      </c>
      <c r="N7" s="55">
        <f t="shared" si="0"/>
        <v>0</v>
      </c>
    </row>
    <row r="8" spans="2:14">
      <c r="C8" s="7" t="s">
        <v>95</v>
      </c>
      <c r="D8" s="54">
        <f>input_Platts!E10+input_Platts!G10</f>
        <v>0</v>
      </c>
      <c r="E8" s="67">
        <f>input_Platts!H10</f>
        <v>0</v>
      </c>
      <c r="F8" s="7">
        <f>input_Platts!K10+input_Platts!N10</f>
        <v>0</v>
      </c>
      <c r="G8" s="7">
        <f>input_Platts!D10+input_Platts!L10</f>
        <v>0</v>
      </c>
      <c r="H8" s="7">
        <f>input_Platts!R10+input_Platts!S10</f>
        <v>0</v>
      </c>
      <c r="I8" s="7">
        <f>input_Platts!Q10</f>
        <v>0</v>
      </c>
      <c r="J8" s="7">
        <f>input_Platts!T10</f>
        <v>0</v>
      </c>
      <c r="L8" s="7">
        <f>input_Platts!O10</f>
        <v>0</v>
      </c>
      <c r="M8" s="7">
        <f>input_Platts!U10</f>
        <v>0</v>
      </c>
      <c r="N8" s="55">
        <f t="shared" si="0"/>
        <v>0</v>
      </c>
    </row>
    <row r="9" spans="2:14">
      <c r="C9" s="7" t="s">
        <v>68</v>
      </c>
      <c r="D9" s="54">
        <f>input_Platts!E11+input_Platts!G11</f>
        <v>0</v>
      </c>
      <c r="E9" s="67">
        <f>input_Platts!H11</f>
        <v>0</v>
      </c>
      <c r="F9" s="7">
        <f>input_Platts!K11+input_Platts!N11</f>
        <v>0</v>
      </c>
      <c r="G9" s="7">
        <f>input_Platts!D11+input_Platts!L11</f>
        <v>0</v>
      </c>
      <c r="H9" s="7">
        <f>input_Platts!R11+input_Platts!S11</f>
        <v>0</v>
      </c>
      <c r="I9" s="7">
        <f>input_Platts!Q11</f>
        <v>0</v>
      </c>
      <c r="J9" s="7">
        <f>input_Platts!T11</f>
        <v>0</v>
      </c>
      <c r="L9" s="7">
        <f>input_Platts!O11</f>
        <v>0</v>
      </c>
      <c r="M9" s="7">
        <f>input_Platts!U11</f>
        <v>0</v>
      </c>
      <c r="N9" s="55">
        <f t="shared" si="0"/>
        <v>0</v>
      </c>
    </row>
    <row r="10" spans="2:14">
      <c r="C10" s="7" t="s">
        <v>94</v>
      </c>
      <c r="D10" s="54">
        <f>input_Platts!E12+input_Platts!G12</f>
        <v>0</v>
      </c>
      <c r="E10" s="67">
        <f>input_Platts!H12</f>
        <v>0</v>
      </c>
      <c r="F10" s="7">
        <f>input_Platts!K12+input_Platts!N12</f>
        <v>0</v>
      </c>
      <c r="G10" s="7">
        <f>input_Platts!D12+input_Platts!L12</f>
        <v>0</v>
      </c>
      <c r="H10" s="7">
        <f>input_Platts!R12+input_Platts!S12</f>
        <v>0</v>
      </c>
      <c r="I10" s="7">
        <f>input_Platts!Q12</f>
        <v>0</v>
      </c>
      <c r="J10" s="7">
        <f>input_Platts!T12</f>
        <v>0</v>
      </c>
      <c r="L10" s="7">
        <f>input_Platts!O12</f>
        <v>0</v>
      </c>
      <c r="M10" s="7">
        <f>input_Platts!U12</f>
        <v>0</v>
      </c>
      <c r="N10" s="55">
        <f t="shared" si="0"/>
        <v>0</v>
      </c>
    </row>
    <row r="11" spans="2:14">
      <c r="C11" s="7" t="s">
        <v>104</v>
      </c>
      <c r="D11" s="54">
        <f>input_Platts!E13+input_Platts!G13</f>
        <v>0</v>
      </c>
      <c r="E11" s="67">
        <f>input_Platts!H13</f>
        <v>0</v>
      </c>
      <c r="F11" s="7">
        <f>input_Platts!K13+input_Platts!N13</f>
        <v>0</v>
      </c>
      <c r="G11" s="7">
        <f>input_Platts!D13+input_Platts!L13</f>
        <v>0</v>
      </c>
      <c r="H11" s="7">
        <f>input_Platts!R13+input_Platts!S13</f>
        <v>0</v>
      </c>
      <c r="I11" s="7">
        <f>input_Platts!Q13</f>
        <v>0</v>
      </c>
      <c r="J11" s="7">
        <f>input_Platts!T13</f>
        <v>0</v>
      </c>
      <c r="L11" s="7">
        <f>input_Platts!O13</f>
        <v>0</v>
      </c>
      <c r="M11" s="7">
        <f>input_Platts!U13</f>
        <v>0</v>
      </c>
      <c r="N11" s="55">
        <f t="shared" si="0"/>
        <v>0</v>
      </c>
    </row>
    <row r="12" spans="2:14">
      <c r="C12" s="7" t="s">
        <v>105</v>
      </c>
      <c r="D12" s="54">
        <f>input_Platts!E14+input_Platts!G14</f>
        <v>0</v>
      </c>
      <c r="E12" s="67">
        <f>input_Platts!H14</f>
        <v>0</v>
      </c>
      <c r="F12" s="7">
        <f>input_Platts!K14+input_Platts!N14</f>
        <v>0</v>
      </c>
      <c r="G12" s="7">
        <f>input_Platts!D14+input_Platts!L14</f>
        <v>0</v>
      </c>
      <c r="H12" s="7">
        <f>input_Platts!R14+input_Platts!S14</f>
        <v>0</v>
      </c>
      <c r="I12" s="7">
        <f>input_Platts!Q14</f>
        <v>0</v>
      </c>
      <c r="J12" s="7">
        <f>input_Platts!T14</f>
        <v>0</v>
      </c>
      <c r="L12" s="7">
        <f>input_Platts!O14</f>
        <v>0</v>
      </c>
      <c r="M12" s="7">
        <f>input_Platts!U14</f>
        <v>0</v>
      </c>
      <c r="N12" s="55">
        <f t="shared" si="0"/>
        <v>0</v>
      </c>
    </row>
    <row r="13" spans="2:14">
      <c r="C13" s="7" t="s">
        <v>72</v>
      </c>
      <c r="D13" s="54">
        <f>input_Platts!E15+input_Platts!G15</f>
        <v>0</v>
      </c>
      <c r="E13" s="67">
        <f>input_Platts!H15</f>
        <v>0</v>
      </c>
      <c r="F13" s="7">
        <f>input_Platts!K15+input_Platts!N15</f>
        <v>0</v>
      </c>
      <c r="G13" s="7">
        <f>input_Platts!D15+input_Platts!L15</f>
        <v>0</v>
      </c>
      <c r="H13" s="7">
        <f>input_Platts!R15+input_Platts!S15</f>
        <v>0</v>
      </c>
      <c r="I13" s="7">
        <f>input_Platts!Q15</f>
        <v>0</v>
      </c>
      <c r="J13" s="7">
        <f>input_Platts!T15</f>
        <v>0</v>
      </c>
      <c r="L13" s="7">
        <f>input_Platts!O15</f>
        <v>0</v>
      </c>
      <c r="M13" s="7">
        <f>input_Platts!U15</f>
        <v>0</v>
      </c>
      <c r="N13" s="55">
        <f t="shared" si="0"/>
        <v>0</v>
      </c>
    </row>
    <row r="14" spans="2:14">
      <c r="B14" s="8"/>
      <c r="C14" s="8" t="s">
        <v>106</v>
      </c>
      <c r="D14" s="36">
        <f>input_Platts!E16+input_Platts!G16</f>
        <v>0</v>
      </c>
      <c r="E14" s="67">
        <f>input_Platts!H16</f>
        <v>0</v>
      </c>
      <c r="F14" s="8">
        <f>input_Platts!K16+input_Platts!N16</f>
        <v>0</v>
      </c>
      <c r="G14" s="8">
        <f>input_Platts!D16+input_Platts!L16</f>
        <v>0</v>
      </c>
      <c r="H14" s="8">
        <f>input_Platts!R16+input_Platts!S16</f>
        <v>0</v>
      </c>
      <c r="I14" s="8">
        <f>input_Platts!Q16</f>
        <v>0</v>
      </c>
      <c r="J14" s="8">
        <f>input_Platts!T16</f>
        <v>0</v>
      </c>
      <c r="K14" s="8"/>
      <c r="L14" s="8">
        <f>input_Platts!O16</f>
        <v>0</v>
      </c>
      <c r="M14" s="8">
        <f>input_Platts!U16</f>
        <v>0</v>
      </c>
      <c r="N14" s="56">
        <f t="shared" si="0"/>
        <v>0</v>
      </c>
    </row>
    <row r="15" spans="2:14" ht="16" thickBot="1">
      <c r="B15" s="23"/>
      <c r="C15" s="23" t="s">
        <v>109</v>
      </c>
      <c r="D15" s="57">
        <f>SUM(D3:D14)</f>
        <v>0</v>
      </c>
      <c r="E15" s="58">
        <f>SUM(E3:E14)</f>
        <v>0</v>
      </c>
      <c r="F15" s="58">
        <f t="shared" ref="F15:M15" si="1">SUM(F3:F14)</f>
        <v>0</v>
      </c>
      <c r="G15" s="58">
        <f t="shared" si="1"/>
        <v>0</v>
      </c>
      <c r="H15" s="58">
        <f t="shared" si="1"/>
        <v>0</v>
      </c>
      <c r="I15" s="58">
        <f t="shared" si="1"/>
        <v>0</v>
      </c>
      <c r="J15" s="58">
        <f t="shared" si="1"/>
        <v>0</v>
      </c>
      <c r="K15" s="58">
        <f t="shared" si="1"/>
        <v>0</v>
      </c>
      <c r="L15" s="58">
        <f t="shared" si="1"/>
        <v>0</v>
      </c>
      <c r="M15" s="58">
        <f t="shared" si="1"/>
        <v>0</v>
      </c>
      <c r="N15" s="37">
        <f>SUM(D15:M15)-SUM(N3:N14)</f>
        <v>0</v>
      </c>
    </row>
    <row r="16" spans="2:14" ht="16" thickTop="1">
      <c r="B16" s="7" t="s">
        <v>59</v>
      </c>
      <c r="C16" s="7" t="s">
        <v>100</v>
      </c>
      <c r="D16" s="54">
        <f>input_Platts!E18+input_Platts!G18</f>
        <v>0</v>
      </c>
      <c r="E16" s="7">
        <f>input_Platts!H18</f>
        <v>0</v>
      </c>
      <c r="F16" s="7">
        <f>input_Platts!K18+input_Platts!N18</f>
        <v>0</v>
      </c>
      <c r="G16" s="7">
        <f>input_Platts!D18+input_Platts!L18</f>
        <v>0</v>
      </c>
      <c r="H16" s="7">
        <f>input_Platts!R18+input_Platts!S18</f>
        <v>0</v>
      </c>
      <c r="I16" s="7">
        <f>input_Platts!Q18</f>
        <v>0</v>
      </c>
      <c r="J16" s="7">
        <f>input_Platts!T18</f>
        <v>0</v>
      </c>
      <c r="L16" s="7">
        <f>input_Platts!O18</f>
        <v>0</v>
      </c>
      <c r="M16" s="7">
        <f>input_Platts!U18</f>
        <v>0</v>
      </c>
      <c r="N16" s="55">
        <f>SUM(D16:M16)</f>
        <v>0</v>
      </c>
    </row>
    <row r="17" spans="2:14">
      <c r="C17" s="7" t="s">
        <v>69</v>
      </c>
      <c r="D17" s="54">
        <f>input_Platts!E19+input_Platts!G19</f>
        <v>0</v>
      </c>
      <c r="E17" s="7">
        <f>input_Platts!H19</f>
        <v>0</v>
      </c>
      <c r="F17" s="7">
        <f>input_Platts!K19+input_Platts!N19</f>
        <v>0</v>
      </c>
      <c r="G17" s="7">
        <f>input_Platts!D19+input_Platts!L19</f>
        <v>0</v>
      </c>
      <c r="H17" s="7">
        <f>input_Platts!R19+input_Platts!S19</f>
        <v>0</v>
      </c>
      <c r="I17" s="7">
        <f>input_Platts!Q19</f>
        <v>0</v>
      </c>
      <c r="J17" s="7">
        <f>input_Platts!T19</f>
        <v>0</v>
      </c>
      <c r="L17" s="7">
        <f>input_Platts!O19</f>
        <v>0</v>
      </c>
      <c r="M17" s="7">
        <f>input_Platts!U19</f>
        <v>0</v>
      </c>
      <c r="N17" s="55">
        <f>SUM(D17:M17)</f>
        <v>0</v>
      </c>
    </row>
    <row r="18" spans="2:14">
      <c r="D18" s="54"/>
      <c r="N18" s="55"/>
    </row>
    <row r="19" spans="2:14">
      <c r="C19" s="7" t="s">
        <v>102</v>
      </c>
      <c r="D19" s="54">
        <f>input_Platts!E21+input_Platts!G21</f>
        <v>0</v>
      </c>
      <c r="E19" s="7">
        <f>input_Platts!H21</f>
        <v>0</v>
      </c>
      <c r="F19" s="7">
        <f>input_Platts!K21+input_Platts!N21</f>
        <v>0</v>
      </c>
      <c r="G19" s="7">
        <f>input_Platts!D21+input_Platts!L21</f>
        <v>0</v>
      </c>
      <c r="H19" s="7">
        <f>input_Platts!R21+input_Platts!S21</f>
        <v>0</v>
      </c>
      <c r="I19" s="7">
        <f>input_Platts!Q21</f>
        <v>0</v>
      </c>
      <c r="J19" s="7">
        <f>input_Platts!T21</f>
        <v>0</v>
      </c>
      <c r="L19" s="7">
        <f>input_Platts!O21</f>
        <v>0</v>
      </c>
      <c r="M19" s="7">
        <f>input_Platts!U21</f>
        <v>0</v>
      </c>
      <c r="N19" s="55">
        <f>SUM(D19:M19)</f>
        <v>0</v>
      </c>
    </row>
    <row r="20" spans="2:14">
      <c r="C20" s="7" t="s">
        <v>103</v>
      </c>
      <c r="D20" s="54">
        <f>input_Platts!E22+input_Platts!G22</f>
        <v>0</v>
      </c>
      <c r="E20" s="7">
        <f>input_Platts!H22</f>
        <v>0</v>
      </c>
      <c r="F20" s="7">
        <f>input_Platts!K22+input_Platts!N22</f>
        <v>0</v>
      </c>
      <c r="G20" s="7">
        <f>input_Platts!L22</f>
        <v>0</v>
      </c>
      <c r="H20" s="7">
        <f>input_Platts!R22+input_Platts!S22</f>
        <v>0</v>
      </c>
      <c r="I20" s="7">
        <f>input_Platts!Q22</f>
        <v>0</v>
      </c>
      <c r="J20" s="7">
        <f>input_Platts!T22</f>
        <v>0</v>
      </c>
      <c r="L20" s="7">
        <f>input_Platts!O22</f>
        <v>0</v>
      </c>
      <c r="M20" s="7">
        <f>input_Platts!U22</f>
        <v>0</v>
      </c>
      <c r="N20" s="55">
        <f>SUM(D20:M20)</f>
        <v>0</v>
      </c>
    </row>
    <row r="21" spans="2:14">
      <c r="D21" s="54"/>
      <c r="N21" s="55"/>
    </row>
    <row r="22" spans="2:14">
      <c r="C22" s="7" t="s">
        <v>68</v>
      </c>
      <c r="D22" s="54">
        <f>input_Platts!E24+input_Platts!G24</f>
        <v>0</v>
      </c>
      <c r="E22" s="7">
        <f>input_Platts!H24</f>
        <v>0</v>
      </c>
      <c r="F22" s="7">
        <f>input_Platts!K24+input_Platts!N24</f>
        <v>0</v>
      </c>
      <c r="G22" s="7">
        <f>input_Platts!D24+input_Platts!L24</f>
        <v>0</v>
      </c>
      <c r="H22" s="7">
        <f>input_Platts!R24+input_Platts!S24</f>
        <v>0</v>
      </c>
      <c r="I22" s="7">
        <f>input_Platts!Q24</f>
        <v>0</v>
      </c>
      <c r="J22" s="7">
        <f>input_Platts!T24</f>
        <v>0</v>
      </c>
      <c r="L22" s="7">
        <f>input_Platts!O24</f>
        <v>0</v>
      </c>
      <c r="M22" s="7">
        <f>input_Platts!U24</f>
        <v>0</v>
      </c>
      <c r="N22" s="55">
        <f>SUM(D22:M22)</f>
        <v>0</v>
      </c>
    </row>
    <row r="23" spans="2:14">
      <c r="D23" s="54"/>
      <c r="N23" s="55"/>
    </row>
    <row r="24" spans="2:14">
      <c r="D24" s="54"/>
      <c r="N24" s="55"/>
    </row>
    <row r="25" spans="2:14">
      <c r="D25" s="54"/>
      <c r="N25" s="55"/>
    </row>
    <row r="26" spans="2:14">
      <c r="C26" s="7" t="s">
        <v>72</v>
      </c>
      <c r="D26" s="54">
        <f>input_Platts!E28+input_Platts!G28</f>
        <v>0</v>
      </c>
      <c r="E26" s="7">
        <f>input_Platts!H28</f>
        <v>0</v>
      </c>
      <c r="F26" s="7">
        <f>input_Platts!K28+input_Platts!N28</f>
        <v>0</v>
      </c>
      <c r="G26" s="7">
        <f>input_Platts!D28+input_Platts!L28</f>
        <v>0</v>
      </c>
      <c r="H26" s="7">
        <f>input_Platts!R28+input_Platts!S28</f>
        <v>0</v>
      </c>
      <c r="I26" s="7">
        <f>input_Platts!Q28</f>
        <v>0</v>
      </c>
      <c r="J26" s="7">
        <f>input_Platts!T28</f>
        <v>0</v>
      </c>
      <c r="L26" s="7">
        <f>input_Platts!O28</f>
        <v>0</v>
      </c>
      <c r="M26" s="7">
        <f>input_Platts!U28</f>
        <v>0</v>
      </c>
      <c r="N26" s="55">
        <f>SUM(D26:M26)</f>
        <v>0</v>
      </c>
    </row>
    <row r="27" spans="2:14">
      <c r="D27" s="54"/>
      <c r="N27" s="56"/>
    </row>
    <row r="28" spans="2:14" ht="16" thickBot="1">
      <c r="B28" s="23"/>
      <c r="C28" s="23" t="s">
        <v>110</v>
      </c>
      <c r="D28" s="37">
        <f>SUM(D16:D26)</f>
        <v>0</v>
      </c>
      <c r="E28" s="23">
        <f t="shared" ref="E28:M28" si="2">SUM(E16:E26)</f>
        <v>0</v>
      </c>
      <c r="F28" s="23">
        <f t="shared" si="2"/>
        <v>0</v>
      </c>
      <c r="G28" s="23">
        <f t="shared" si="2"/>
        <v>0</v>
      </c>
      <c r="H28" s="23">
        <f t="shared" si="2"/>
        <v>0</v>
      </c>
      <c r="I28" s="23">
        <f t="shared" si="2"/>
        <v>0</v>
      </c>
      <c r="J28" s="23">
        <f t="shared" si="2"/>
        <v>0</v>
      </c>
      <c r="K28" s="23">
        <f t="shared" si="2"/>
        <v>0</v>
      </c>
      <c r="L28" s="23">
        <f t="shared" si="2"/>
        <v>0</v>
      </c>
      <c r="M28" s="23">
        <f t="shared" si="2"/>
        <v>0</v>
      </c>
      <c r="N28" s="39">
        <f>SUM(D28:M28)-SUM(N16:N26)</f>
        <v>0</v>
      </c>
    </row>
    <row r="29" spans="2:14" ht="16" thickTop="1">
      <c r="D29" s="54"/>
      <c r="E29" s="67"/>
      <c r="N29" s="54"/>
    </row>
    <row r="30" spans="2:14" ht="16" thickBot="1">
      <c r="B30" s="23" t="s">
        <v>108</v>
      </c>
      <c r="C30" s="23"/>
      <c r="D30" s="37">
        <f>D15+D28</f>
        <v>0</v>
      </c>
      <c r="E30" s="23">
        <f t="shared" ref="E30:N30" si="3">E15+E28</f>
        <v>0</v>
      </c>
      <c r="F30" s="23">
        <f t="shared" si="3"/>
        <v>0</v>
      </c>
      <c r="G30" s="23">
        <f t="shared" si="3"/>
        <v>0</v>
      </c>
      <c r="H30" s="23">
        <f t="shared" si="3"/>
        <v>0</v>
      </c>
      <c r="I30" s="23">
        <f t="shared" si="3"/>
        <v>0</v>
      </c>
      <c r="J30" s="23">
        <f t="shared" si="3"/>
        <v>0</v>
      </c>
      <c r="K30" s="23">
        <f t="shared" si="3"/>
        <v>0</v>
      </c>
      <c r="L30" s="23">
        <f t="shared" si="3"/>
        <v>0</v>
      </c>
      <c r="M30" s="23">
        <f t="shared" si="3"/>
        <v>0</v>
      </c>
      <c r="N30" s="37">
        <f t="shared" si="3"/>
        <v>0</v>
      </c>
    </row>
    <row r="31" spans="2:14" ht="16" thickTop="1"/>
  </sheetData>
  <pageMargins left="0.75" right="0.75" top="1" bottom="1" header="0.5" footer="0.5"/>
  <pageSetup paperSize="9" orientation="portrait" horizontalDpi="4294967292" verticalDpi="4294967292"/>
  <ignoredErrors>
    <ignoredError sqref="F28:N30 F15 F20 F22 F26 F3 H3:N3 F4:F14 H4:N14 F17 F16 H16:N16 H17:N17 F19 H19:N19 H22:N22 H26:N26 H15:N15 H20:N20 G20 G15 G3:G14 G16:G17 G22 D19 D16 D17 D4:D14 D3 D26 D22 D20 D15 D28:D30 G19 G26 E3:E22 E28:E30" emptyCellReference="1"/>
  </ignoredErrors>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B2:T28"/>
  <sheetViews>
    <sheetView workbookViewId="0">
      <selection activeCell="G18" sqref="G18"/>
    </sheetView>
  </sheetViews>
  <sheetFormatPr baseColWidth="10" defaultRowHeight="15" x14ac:dyDescent="0"/>
  <cols>
    <col min="1" max="1" width="3.83203125" customWidth="1"/>
    <col min="2" max="2" width="29.1640625" customWidth="1"/>
  </cols>
  <sheetData>
    <row r="2" spans="2:20">
      <c r="C2" t="s">
        <v>76</v>
      </c>
      <c r="D2" t="s">
        <v>77</v>
      </c>
      <c r="E2" t="s">
        <v>78</v>
      </c>
      <c r="F2" t="s">
        <v>79</v>
      </c>
      <c r="G2" t="s">
        <v>143</v>
      </c>
      <c r="H2" t="s">
        <v>80</v>
      </c>
      <c r="I2" t="s">
        <v>81</v>
      </c>
      <c r="J2" t="s">
        <v>82</v>
      </c>
      <c r="K2" t="s">
        <v>83</v>
      </c>
      <c r="L2" t="s">
        <v>84</v>
      </c>
      <c r="M2" t="s">
        <v>85</v>
      </c>
      <c r="N2" t="s">
        <v>86</v>
      </c>
      <c r="O2" t="s">
        <v>87</v>
      </c>
      <c r="P2" t="s">
        <v>88</v>
      </c>
      <c r="Q2" t="s">
        <v>89</v>
      </c>
      <c r="R2" t="s">
        <v>90</v>
      </c>
      <c r="S2" t="s">
        <v>91</v>
      </c>
      <c r="T2" t="s">
        <v>92</v>
      </c>
    </row>
    <row r="3" spans="2:20">
      <c r="B3" t="s">
        <v>93</v>
      </c>
      <c r="C3" s="12"/>
      <c r="D3" s="12" t="s">
        <v>99</v>
      </c>
      <c r="E3" s="12"/>
      <c r="F3" s="12" t="s">
        <v>99</v>
      </c>
      <c r="G3" s="12"/>
      <c r="H3" s="12"/>
      <c r="I3" s="12"/>
      <c r="J3" s="12"/>
      <c r="K3" s="12"/>
      <c r="L3" s="12"/>
      <c r="M3" s="12"/>
      <c r="N3" s="12"/>
      <c r="O3" s="12"/>
      <c r="P3" s="12"/>
      <c r="Q3" s="12"/>
      <c r="R3" s="12"/>
      <c r="S3" s="12"/>
      <c r="T3" s="12"/>
    </row>
    <row r="4" spans="2:20">
      <c r="B4" t="s">
        <v>56</v>
      </c>
      <c r="C4" s="12"/>
      <c r="D4" s="12" t="s">
        <v>99</v>
      </c>
      <c r="E4" s="12"/>
      <c r="F4" s="12"/>
      <c r="G4" s="12" t="s">
        <v>99</v>
      </c>
      <c r="H4" s="12"/>
      <c r="I4" s="12"/>
      <c r="J4" s="12"/>
      <c r="K4" s="12"/>
      <c r="L4" s="12"/>
      <c r="M4" s="12"/>
      <c r="N4" s="12"/>
      <c r="O4" s="12"/>
      <c r="P4" s="12"/>
      <c r="Q4" s="12"/>
      <c r="R4" s="12"/>
      <c r="S4" s="12"/>
      <c r="T4" s="12"/>
    </row>
    <row r="5" spans="2:20">
      <c r="B5" t="s">
        <v>57</v>
      </c>
      <c r="C5" s="12"/>
      <c r="D5" s="12"/>
      <c r="E5" s="12" t="s">
        <v>99</v>
      </c>
      <c r="F5" s="12"/>
      <c r="G5" s="12"/>
      <c r="H5" s="12"/>
      <c r="I5" s="12"/>
      <c r="J5" s="12" t="s">
        <v>99</v>
      </c>
      <c r="K5" s="12"/>
      <c r="L5" s="12"/>
      <c r="M5" s="12" t="s">
        <v>99</v>
      </c>
      <c r="N5" s="12"/>
      <c r="O5" s="12"/>
      <c r="P5" s="12"/>
      <c r="Q5" s="12"/>
      <c r="R5" s="12"/>
      <c r="S5" s="12"/>
      <c r="T5" s="12"/>
    </row>
    <row r="6" spans="2:20">
      <c r="B6" t="s">
        <v>94</v>
      </c>
      <c r="C6" s="12"/>
      <c r="D6" s="12"/>
      <c r="E6" s="12"/>
      <c r="F6" s="12"/>
      <c r="G6" s="12"/>
      <c r="H6" s="12"/>
      <c r="I6" s="12"/>
      <c r="J6" s="12"/>
      <c r="K6" s="12"/>
      <c r="L6" s="12"/>
      <c r="M6" s="12"/>
      <c r="N6" s="12"/>
      <c r="O6" s="12"/>
      <c r="P6" s="12" t="s">
        <v>99</v>
      </c>
      <c r="Q6" s="12"/>
      <c r="R6" s="12"/>
      <c r="S6" s="12"/>
      <c r="T6" s="12"/>
    </row>
    <row r="7" spans="2:20">
      <c r="B7" t="s">
        <v>95</v>
      </c>
      <c r="C7" s="12"/>
      <c r="D7" s="12"/>
      <c r="E7" s="12"/>
      <c r="F7" s="12"/>
      <c r="G7" s="12"/>
      <c r="H7" s="12"/>
      <c r="I7" s="12"/>
      <c r="J7" s="12"/>
      <c r="K7" s="12"/>
      <c r="L7" s="12"/>
      <c r="M7" s="12"/>
      <c r="N7" s="12"/>
      <c r="O7" s="12"/>
      <c r="P7" s="12"/>
      <c r="Q7" s="12"/>
      <c r="R7" s="12"/>
      <c r="S7" s="12" t="s">
        <v>99</v>
      </c>
      <c r="T7" s="12"/>
    </row>
    <row r="8" spans="2:20">
      <c r="B8" t="s">
        <v>96</v>
      </c>
      <c r="C8" s="12"/>
      <c r="D8" s="12"/>
      <c r="E8" s="12"/>
      <c r="F8" s="12"/>
      <c r="G8" s="12"/>
      <c r="H8" s="12"/>
      <c r="I8" s="12"/>
      <c r="J8" s="12"/>
      <c r="K8" s="12"/>
      <c r="L8" s="12"/>
      <c r="M8" s="12"/>
      <c r="N8" s="12" t="s">
        <v>99</v>
      </c>
      <c r="O8" s="12"/>
      <c r="P8" s="12"/>
      <c r="Q8" s="12"/>
      <c r="R8" s="12"/>
      <c r="S8" s="12"/>
      <c r="T8" s="12"/>
    </row>
    <row r="9" spans="2:20">
      <c r="B9" t="s">
        <v>97</v>
      </c>
      <c r="C9" s="12"/>
      <c r="D9" s="12"/>
      <c r="E9" s="12"/>
      <c r="F9" s="12"/>
      <c r="G9" s="12"/>
      <c r="H9" s="12"/>
      <c r="I9" s="12"/>
      <c r="J9" s="12"/>
      <c r="K9" s="12"/>
      <c r="L9" s="12"/>
      <c r="M9" s="12"/>
      <c r="N9" s="12" t="s">
        <v>99</v>
      </c>
      <c r="O9" s="12"/>
      <c r="P9" s="12"/>
      <c r="Q9" s="12"/>
      <c r="R9" s="12"/>
      <c r="S9" s="12"/>
      <c r="T9" s="12"/>
    </row>
    <row r="10" spans="2:20">
      <c r="B10" t="s">
        <v>98</v>
      </c>
      <c r="C10" s="12"/>
      <c r="D10" s="12"/>
      <c r="E10" s="12"/>
      <c r="F10" s="12"/>
      <c r="G10" s="12"/>
      <c r="H10" s="12"/>
      <c r="I10" s="12"/>
      <c r="J10" s="12"/>
      <c r="K10" s="12"/>
      <c r="L10" s="12"/>
      <c r="M10" s="12"/>
      <c r="N10" s="12"/>
      <c r="O10" s="12"/>
      <c r="P10" s="12"/>
      <c r="Q10" s="12"/>
      <c r="R10" s="12"/>
      <c r="S10" s="12"/>
      <c r="T10" s="12" t="s">
        <v>99</v>
      </c>
    </row>
    <row r="11" spans="2:20">
      <c r="B11" t="s">
        <v>15</v>
      </c>
      <c r="C11" s="12" t="s">
        <v>99</v>
      </c>
      <c r="D11" s="12"/>
      <c r="E11" s="12"/>
      <c r="F11" s="12"/>
      <c r="G11" s="12"/>
      <c r="H11" s="12"/>
      <c r="I11" s="12"/>
      <c r="J11" s="12"/>
      <c r="K11" s="12" t="s">
        <v>99</v>
      </c>
      <c r="L11" s="12"/>
      <c r="M11" s="12"/>
      <c r="N11" s="12"/>
      <c r="O11" s="12"/>
      <c r="P11" s="12"/>
      <c r="Q11" s="12"/>
      <c r="R11" s="12"/>
      <c r="S11" s="12"/>
      <c r="T11" s="12"/>
    </row>
    <row r="12" spans="2:20">
      <c r="B12" t="s">
        <v>16</v>
      </c>
      <c r="C12" s="12" t="s">
        <v>99</v>
      </c>
      <c r="D12" s="12"/>
      <c r="E12" s="12"/>
      <c r="F12" s="12"/>
      <c r="G12" s="12"/>
      <c r="H12" s="12"/>
      <c r="I12" s="12"/>
      <c r="J12" s="12"/>
      <c r="K12" s="12" t="s">
        <v>99</v>
      </c>
      <c r="L12" s="12"/>
      <c r="M12" s="12"/>
      <c r="N12" s="12"/>
      <c r="O12" s="12"/>
      <c r="P12" s="12"/>
      <c r="Q12" s="12"/>
      <c r="R12" s="12"/>
      <c r="S12" s="12"/>
      <c r="T12" s="12"/>
    </row>
    <row r="13" spans="2:20">
      <c r="B13" t="s">
        <v>17</v>
      </c>
      <c r="C13" s="12"/>
      <c r="D13" s="12"/>
      <c r="E13" s="12"/>
      <c r="F13" s="12"/>
      <c r="G13" s="12"/>
      <c r="H13" s="12"/>
      <c r="I13" s="12"/>
      <c r="J13" s="12"/>
      <c r="K13" s="12"/>
      <c r="L13" s="12"/>
      <c r="M13" s="12"/>
      <c r="N13" s="12"/>
      <c r="O13" s="12"/>
      <c r="P13" s="12"/>
      <c r="Q13" s="12" t="s">
        <v>99</v>
      </c>
      <c r="R13" s="12" t="s">
        <v>99</v>
      </c>
      <c r="S13" s="12"/>
      <c r="T13" s="12"/>
    </row>
    <row r="14" spans="2:20">
      <c r="B14" t="s">
        <v>22</v>
      </c>
      <c r="C14" s="12"/>
      <c r="D14" s="12"/>
      <c r="E14" s="12"/>
      <c r="F14" s="12"/>
      <c r="G14" s="12"/>
      <c r="H14" s="12"/>
      <c r="I14" s="12"/>
      <c r="J14" s="12"/>
      <c r="K14" s="12"/>
      <c r="L14" s="12"/>
      <c r="M14" s="12"/>
      <c r="N14" s="12"/>
      <c r="O14" s="12"/>
      <c r="P14" s="12"/>
      <c r="Q14" s="12"/>
      <c r="R14" s="12"/>
      <c r="S14" s="12"/>
      <c r="T14" s="12"/>
    </row>
    <row r="17" spans="2:20">
      <c r="C17" t="s">
        <v>76</v>
      </c>
      <c r="D17" t="s">
        <v>77</v>
      </c>
      <c r="E17" t="s">
        <v>78</v>
      </c>
      <c r="F17" t="s">
        <v>79</v>
      </c>
      <c r="G17" t="s">
        <v>143</v>
      </c>
      <c r="H17" t="s">
        <v>80</v>
      </c>
      <c r="I17" t="s">
        <v>81</v>
      </c>
      <c r="J17" t="s">
        <v>82</v>
      </c>
      <c r="K17" t="s">
        <v>83</v>
      </c>
      <c r="L17" t="s">
        <v>84</v>
      </c>
      <c r="M17" t="s">
        <v>85</v>
      </c>
      <c r="N17" t="s">
        <v>86</v>
      </c>
      <c r="O17" t="s">
        <v>87</v>
      </c>
      <c r="P17" t="s">
        <v>88</v>
      </c>
      <c r="Q17" t="s">
        <v>89</v>
      </c>
      <c r="R17" t="s">
        <v>90</v>
      </c>
      <c r="S17" t="s">
        <v>91</v>
      </c>
      <c r="T17" t="s">
        <v>92</v>
      </c>
    </row>
    <row r="18" spans="2:20">
      <c r="B18" t="s">
        <v>55</v>
      </c>
      <c r="C18" s="12"/>
      <c r="D18" s="12" t="s">
        <v>99</v>
      </c>
      <c r="E18" s="12"/>
      <c r="F18" s="12" t="s">
        <v>99</v>
      </c>
      <c r="G18" s="12"/>
      <c r="H18" s="12"/>
      <c r="I18" s="12"/>
      <c r="J18" s="12"/>
      <c r="K18" s="12"/>
      <c r="L18" s="12"/>
      <c r="M18" s="12"/>
      <c r="N18" s="12"/>
      <c r="O18" s="12"/>
      <c r="P18" s="12"/>
      <c r="Q18" s="12"/>
      <c r="R18" s="12"/>
      <c r="S18" s="12"/>
      <c r="T18" s="12"/>
    </row>
    <row r="19" spans="2:20">
      <c r="B19" t="s">
        <v>56</v>
      </c>
      <c r="C19" s="12"/>
      <c r="D19" s="12"/>
      <c r="E19" s="12"/>
      <c r="F19" s="12"/>
      <c r="G19" s="12" t="s">
        <v>99</v>
      </c>
      <c r="H19" s="12"/>
      <c r="I19" s="12"/>
      <c r="J19" s="12"/>
      <c r="K19" s="12"/>
      <c r="L19" s="12"/>
      <c r="M19" s="12"/>
      <c r="N19" s="12"/>
      <c r="O19" s="12"/>
      <c r="P19" s="12"/>
      <c r="Q19" s="12"/>
      <c r="R19" s="12"/>
      <c r="S19" s="12"/>
      <c r="T19" s="12"/>
    </row>
    <row r="20" spans="2:20">
      <c r="B20" t="s">
        <v>57</v>
      </c>
      <c r="C20" s="12"/>
      <c r="D20" s="12"/>
      <c r="E20" s="12"/>
      <c r="F20" s="12"/>
      <c r="G20" s="12"/>
      <c r="H20" s="12"/>
      <c r="I20" s="12"/>
      <c r="J20" s="12" t="s">
        <v>99</v>
      </c>
      <c r="K20" s="12"/>
      <c r="L20" s="12"/>
      <c r="M20" s="12" t="s">
        <v>99</v>
      </c>
      <c r="N20" s="12"/>
      <c r="O20" s="12"/>
      <c r="P20" s="12"/>
      <c r="Q20" s="12"/>
      <c r="R20" s="12"/>
      <c r="S20" s="12"/>
      <c r="T20" s="12"/>
    </row>
    <row r="21" spans="2:20">
      <c r="B21" t="s">
        <v>113</v>
      </c>
      <c r="C21" s="12" t="s">
        <v>99</v>
      </c>
      <c r="D21" s="12"/>
      <c r="E21" s="12"/>
      <c r="F21" s="12"/>
      <c r="G21" s="12"/>
      <c r="H21" s="12"/>
      <c r="I21" s="12"/>
      <c r="J21" s="12"/>
      <c r="K21" s="12" t="s">
        <v>99</v>
      </c>
      <c r="L21" s="12"/>
      <c r="M21" s="12"/>
      <c r="N21" s="12"/>
      <c r="O21" s="12"/>
      <c r="P21" s="12"/>
      <c r="Q21" s="12"/>
      <c r="R21" s="12"/>
      <c r="S21" s="12"/>
      <c r="T21" s="12"/>
    </row>
    <row r="22" spans="2:20">
      <c r="B22" t="s">
        <v>58</v>
      </c>
      <c r="C22" s="12"/>
      <c r="D22" s="12"/>
      <c r="E22" s="12"/>
      <c r="F22" s="12"/>
      <c r="G22" s="12"/>
      <c r="H22" s="12"/>
      <c r="I22" s="12"/>
      <c r="J22" s="12"/>
      <c r="K22" s="12"/>
      <c r="L22" s="12"/>
      <c r="M22" s="12"/>
      <c r="N22" s="12"/>
      <c r="O22" s="12"/>
      <c r="P22" s="12"/>
      <c r="Q22" s="12" t="s">
        <v>99</v>
      </c>
      <c r="R22" s="12" t="s">
        <v>99</v>
      </c>
      <c r="S22" s="12"/>
      <c r="T22" s="12"/>
    </row>
    <row r="23" spans="2:20">
      <c r="B23" t="s">
        <v>94</v>
      </c>
      <c r="C23" s="12"/>
      <c r="D23" s="12"/>
      <c r="E23" s="12"/>
      <c r="F23" s="12"/>
      <c r="G23" s="12"/>
      <c r="H23" s="12"/>
      <c r="I23" s="12"/>
      <c r="J23" s="12"/>
      <c r="K23" s="12"/>
      <c r="L23" s="12"/>
      <c r="M23" s="12"/>
      <c r="N23" s="12"/>
      <c r="O23" s="12"/>
      <c r="P23" s="12" t="s">
        <v>99</v>
      </c>
      <c r="Q23" s="12"/>
      <c r="R23" s="12"/>
      <c r="S23" s="12"/>
      <c r="T23" s="12"/>
    </row>
    <row r="24" spans="2:20">
      <c r="B24" t="s">
        <v>95</v>
      </c>
      <c r="C24" s="12"/>
      <c r="D24" s="12"/>
      <c r="E24" s="12"/>
      <c r="F24" s="12"/>
      <c r="G24" s="12"/>
      <c r="H24" s="12"/>
      <c r="I24" s="12"/>
      <c r="J24" s="12"/>
      <c r="K24" s="12"/>
      <c r="L24" s="12"/>
      <c r="M24" s="12"/>
      <c r="N24" s="12"/>
      <c r="O24" s="12"/>
      <c r="P24" s="12"/>
      <c r="Q24" s="12"/>
      <c r="R24" s="12"/>
      <c r="S24" s="12" t="s">
        <v>99</v>
      </c>
      <c r="T24" s="12"/>
    </row>
    <row r="25" spans="2:20">
      <c r="B25" t="s">
        <v>22</v>
      </c>
      <c r="C25" s="12"/>
      <c r="D25" s="12"/>
      <c r="E25" s="12"/>
      <c r="F25" s="12"/>
      <c r="G25" s="12"/>
      <c r="H25" s="12"/>
      <c r="I25" s="12"/>
      <c r="J25" s="12"/>
      <c r="K25" s="12"/>
      <c r="L25" s="12"/>
      <c r="M25" s="12"/>
      <c r="N25" s="12"/>
      <c r="O25" s="12"/>
      <c r="P25" s="12"/>
      <c r="Q25" s="12"/>
      <c r="R25" s="12"/>
      <c r="S25" s="12"/>
      <c r="T25" s="12"/>
    </row>
    <row r="26" spans="2:20">
      <c r="B26" t="s">
        <v>105</v>
      </c>
      <c r="C26" s="12"/>
      <c r="D26" s="12"/>
      <c r="E26" s="12"/>
      <c r="F26" s="12"/>
      <c r="G26" s="12"/>
      <c r="H26" s="12"/>
      <c r="I26" s="12"/>
      <c r="J26" s="12"/>
      <c r="K26" s="12"/>
      <c r="L26" s="12"/>
      <c r="M26" s="12"/>
      <c r="N26" s="12" t="s">
        <v>99</v>
      </c>
      <c r="O26" s="12"/>
      <c r="P26" s="12"/>
      <c r="Q26" s="12"/>
      <c r="R26" s="12"/>
      <c r="S26" s="12"/>
      <c r="T26" s="12"/>
    </row>
    <row r="27" spans="2:20">
      <c r="B27" t="s">
        <v>98</v>
      </c>
      <c r="C27" s="12"/>
      <c r="D27" s="12"/>
      <c r="E27" s="12"/>
      <c r="F27" s="12"/>
      <c r="G27" s="12"/>
      <c r="H27" s="12"/>
      <c r="I27" s="12"/>
      <c r="J27" s="12"/>
      <c r="K27" s="12"/>
      <c r="L27" s="12"/>
      <c r="M27" s="12"/>
      <c r="N27" s="12"/>
      <c r="O27" s="12"/>
      <c r="P27" s="12"/>
      <c r="Q27" s="12"/>
      <c r="R27" s="12"/>
      <c r="S27" s="12"/>
      <c r="T27" s="12" t="s">
        <v>99</v>
      </c>
    </row>
    <row r="28" spans="2:20">
      <c r="B28" t="s">
        <v>112</v>
      </c>
      <c r="C28" s="12"/>
      <c r="D28" s="12"/>
      <c r="E28" s="12" t="s">
        <v>99</v>
      </c>
      <c r="F28" s="12"/>
      <c r="G28" s="12"/>
      <c r="H28" s="12" t="s">
        <v>99</v>
      </c>
      <c r="I28" s="12" t="s">
        <v>99</v>
      </c>
      <c r="J28" s="12"/>
      <c r="K28" s="12"/>
      <c r="L28" s="12" t="s">
        <v>99</v>
      </c>
      <c r="M28" s="12"/>
      <c r="N28" s="12"/>
      <c r="O28" s="12" t="s">
        <v>99</v>
      </c>
      <c r="P28" s="12"/>
      <c r="Q28" s="12"/>
      <c r="R28" s="12"/>
      <c r="S28" s="12"/>
      <c r="T28" s="12"/>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B2:E7"/>
  <sheetViews>
    <sheetView workbookViewId="0">
      <selection activeCell="E5" sqref="E5"/>
    </sheetView>
  </sheetViews>
  <sheetFormatPr baseColWidth="10" defaultRowHeight="15" x14ac:dyDescent="0"/>
  <cols>
    <col min="1" max="1" width="3.83203125" customWidth="1"/>
    <col min="3" max="3" width="20.83203125" customWidth="1"/>
  </cols>
  <sheetData>
    <row r="2" spans="2:5">
      <c r="B2" t="s">
        <v>114</v>
      </c>
    </row>
    <row r="4" spans="2:5" ht="16" thickBot="1">
      <c r="B4" t="s">
        <v>38</v>
      </c>
    </row>
    <row r="5" spans="2:5" ht="16" thickBot="1">
      <c r="C5" t="s">
        <v>35</v>
      </c>
      <c r="D5" t="s">
        <v>63</v>
      </c>
      <c r="E5" s="30">
        <v>6000</v>
      </c>
    </row>
    <row r="6" spans="2:5" ht="16" thickBot="1">
      <c r="C6" t="s">
        <v>36</v>
      </c>
      <c r="D6" t="s">
        <v>63</v>
      </c>
      <c r="E6" s="30">
        <v>6000</v>
      </c>
    </row>
    <row r="7" spans="2:5" ht="16" thickBot="1">
      <c r="C7" t="s">
        <v>64</v>
      </c>
      <c r="D7" t="s">
        <v>63</v>
      </c>
      <c r="E7" s="29">
        <v>6000</v>
      </c>
    </row>
  </sheetData>
  <dataValidations count="1">
    <dataValidation type="whole" allowBlank="1" showInputMessage="1" showErrorMessage="1" sqref="E4:E7">
      <formula1>0</formula1>
      <formula2>8760</formula2>
    </dataValidation>
  </dataValidation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B2:O53"/>
  <sheetViews>
    <sheetView workbookViewId="0">
      <selection activeCell="B2" sqref="B2:O53"/>
    </sheetView>
  </sheetViews>
  <sheetFormatPr baseColWidth="10" defaultRowHeight="15" x14ac:dyDescent="0"/>
  <cols>
    <col min="1" max="1" width="3.83203125" customWidth="1"/>
  </cols>
  <sheetData>
    <row r="2" spans="2:15">
      <c r="B2" s="22" t="s">
        <v>127</v>
      </c>
      <c r="C2" s="9"/>
      <c r="D2" s="9"/>
      <c r="E2" s="9"/>
      <c r="F2" s="9"/>
      <c r="G2" s="9"/>
      <c r="H2" s="9"/>
      <c r="I2" s="9"/>
      <c r="J2" s="9"/>
      <c r="K2" s="9"/>
      <c r="L2" s="9"/>
      <c r="M2" s="9"/>
      <c r="N2" s="9"/>
      <c r="O2" s="32"/>
    </row>
    <row r="3" spans="2:15">
      <c r="B3" s="14"/>
      <c r="C3" s="1"/>
      <c r="D3" s="1"/>
      <c r="E3" s="1"/>
      <c r="F3" s="1"/>
      <c r="G3" s="1"/>
      <c r="H3" s="1"/>
      <c r="I3" s="1"/>
      <c r="J3" s="1"/>
      <c r="K3" s="1"/>
      <c r="L3" s="1"/>
      <c r="M3" s="1"/>
      <c r="N3" s="1"/>
      <c r="O3" s="33"/>
    </row>
    <row r="4" spans="2:15">
      <c r="B4" s="14" t="s">
        <v>0</v>
      </c>
      <c r="C4" s="1" t="s">
        <v>1</v>
      </c>
      <c r="D4" s="1" t="s">
        <v>128</v>
      </c>
      <c r="E4" s="1" t="s">
        <v>129</v>
      </c>
      <c r="F4" s="1" t="s">
        <v>130</v>
      </c>
      <c r="G4" s="1" t="s">
        <v>131</v>
      </c>
      <c r="H4" s="1" t="s">
        <v>132</v>
      </c>
      <c r="I4" s="1" t="s">
        <v>133</v>
      </c>
      <c r="J4" s="1" t="s">
        <v>134</v>
      </c>
      <c r="K4" s="1"/>
      <c r="L4" s="1" t="s">
        <v>135</v>
      </c>
      <c r="M4" s="1" t="s">
        <v>2</v>
      </c>
      <c r="N4" s="1" t="s">
        <v>136</v>
      </c>
      <c r="O4" s="33"/>
    </row>
    <row r="5" spans="2:15">
      <c r="B5" s="14" t="s">
        <v>29</v>
      </c>
      <c r="C5" s="1"/>
      <c r="D5" s="1"/>
      <c r="E5" s="1"/>
      <c r="F5" s="1"/>
      <c r="G5" s="1"/>
      <c r="H5" s="1"/>
      <c r="I5" s="1"/>
      <c r="J5" s="1"/>
      <c r="K5" s="1"/>
      <c r="L5" s="1"/>
      <c r="M5" s="1"/>
      <c r="N5" s="1"/>
      <c r="O5" s="33"/>
    </row>
    <row r="6" spans="2:15">
      <c r="B6" s="14"/>
      <c r="C6" s="1" t="s">
        <v>30</v>
      </c>
      <c r="D6" s="1">
        <v>33503.97033710275</v>
      </c>
      <c r="E6" s="1">
        <v>77916.210086285471</v>
      </c>
      <c r="F6" s="1">
        <v>37369.047225216324</v>
      </c>
      <c r="G6" s="1">
        <v>40547.162861069148</v>
      </c>
      <c r="H6" s="1">
        <v>36620.618740554171</v>
      </c>
      <c r="I6" s="1">
        <v>128.17216559193767</v>
      </c>
      <c r="J6" s="1">
        <v>36492.446574962232</v>
      </c>
      <c r="K6" s="1"/>
      <c r="L6" s="1">
        <v>3600</v>
      </c>
      <c r="M6" s="1">
        <v>2585.182896381385</v>
      </c>
      <c r="N6" s="1">
        <v>2825.6650262773283</v>
      </c>
      <c r="O6" s="33"/>
    </row>
    <row r="7" spans="2:15">
      <c r="B7" s="14"/>
      <c r="C7" s="1" t="s">
        <v>31</v>
      </c>
      <c r="D7" s="1">
        <v>5732.22804</v>
      </c>
      <c r="E7" s="1">
        <v>13648.162</v>
      </c>
      <c r="F7" s="1">
        <v>7444.4519999999993</v>
      </c>
      <c r="G7" s="1">
        <v>6203.71</v>
      </c>
      <c r="H7" s="1">
        <v>4776.8566999999994</v>
      </c>
      <c r="I7" s="1">
        <v>0</v>
      </c>
      <c r="J7" s="1">
        <v>4776.8566999999994</v>
      </c>
      <c r="K7" s="1"/>
      <c r="L7" s="1">
        <v>8000</v>
      </c>
      <c r="M7" s="1">
        <v>199.03569583333334</v>
      </c>
      <c r="N7" s="1">
        <v>165.86307986111109</v>
      </c>
      <c r="O7" s="33"/>
    </row>
    <row r="8" spans="2:15">
      <c r="B8" s="14"/>
      <c r="C8" s="1" t="s">
        <v>32</v>
      </c>
      <c r="D8" s="1">
        <v>14358.844430186899</v>
      </c>
      <c r="E8" s="1">
        <v>71794.222150934482</v>
      </c>
      <c r="F8" s="1">
        <v>14559.868252209504</v>
      </c>
      <c r="G8" s="1">
        <v>57234.353898724978</v>
      </c>
      <c r="H8" s="1">
        <v>57435.377720747587</v>
      </c>
      <c r="I8" s="1">
        <v>201.02382202261356</v>
      </c>
      <c r="J8" s="1">
        <v>57234.35389872497</v>
      </c>
      <c r="K8" s="1"/>
      <c r="L8" s="1">
        <v>6000</v>
      </c>
      <c r="M8" s="1">
        <v>664.76131621235641</v>
      </c>
      <c r="N8" s="1">
        <v>2659.0452648494252</v>
      </c>
      <c r="O8" s="33"/>
    </row>
    <row r="9" spans="2:15">
      <c r="B9" s="14"/>
      <c r="C9" s="1" t="s">
        <v>137</v>
      </c>
      <c r="D9" s="1">
        <v>53595.042807289647</v>
      </c>
      <c r="E9" s="1">
        <v>163358.59423721995</v>
      </c>
      <c r="F9" s="1">
        <v>59373.367477425825</v>
      </c>
      <c r="G9" s="1">
        <v>103985.22675979412</v>
      </c>
      <c r="H9" s="1">
        <v>98832.853161301755</v>
      </c>
      <c r="I9" s="1">
        <v>329.1959876145512</v>
      </c>
      <c r="J9" s="1">
        <v>98503.657173687199</v>
      </c>
      <c r="K9" s="1"/>
      <c r="L9" s="1"/>
      <c r="M9" s="1">
        <v>3448.9799084270744</v>
      </c>
      <c r="N9" s="1">
        <v>5650.5733709878641</v>
      </c>
      <c r="O9" s="33"/>
    </row>
    <row r="10" spans="2:15">
      <c r="B10" s="14"/>
      <c r="C10" s="1"/>
      <c r="D10" s="1"/>
      <c r="E10" s="1"/>
      <c r="F10" s="1"/>
      <c r="G10" s="1"/>
      <c r="H10" s="1"/>
      <c r="I10" s="1"/>
      <c r="J10" s="1"/>
      <c r="K10" s="1"/>
      <c r="L10" s="1"/>
      <c r="M10" s="1"/>
      <c r="N10" s="1"/>
      <c r="O10" s="33"/>
    </row>
    <row r="11" spans="2:15">
      <c r="B11" s="14" t="s">
        <v>33</v>
      </c>
      <c r="C11" s="1"/>
      <c r="D11" s="1"/>
      <c r="E11" s="1"/>
      <c r="F11" s="1"/>
      <c r="G11" s="1"/>
      <c r="H11" s="1"/>
      <c r="I11" s="1"/>
      <c r="J11" s="1"/>
      <c r="K11" s="1"/>
      <c r="L11" s="1"/>
      <c r="M11" s="1"/>
      <c r="N11" s="1"/>
      <c r="O11" s="33"/>
    </row>
    <row r="12" spans="2:15">
      <c r="B12" s="14"/>
      <c r="C12" s="1" t="s">
        <v>30</v>
      </c>
      <c r="D12" s="1">
        <v>388.58650133695232</v>
      </c>
      <c r="E12" s="1">
        <v>903.68953799291239</v>
      </c>
      <c r="F12" s="1">
        <v>620.53348275513315</v>
      </c>
      <c r="G12" s="1">
        <v>283.15605523777924</v>
      </c>
      <c r="H12" s="1">
        <v>424.73408285666881</v>
      </c>
      <c r="I12" s="1">
        <v>169.89363314266754</v>
      </c>
      <c r="J12" s="1">
        <v>254.84044971400127</v>
      </c>
      <c r="K12" s="1"/>
      <c r="L12" s="1">
        <v>4000</v>
      </c>
      <c r="M12" s="1">
        <v>26.98517370395502</v>
      </c>
      <c r="N12" s="1">
        <v>29.495422420602001</v>
      </c>
      <c r="O12" s="33"/>
    </row>
    <row r="13" spans="2:15">
      <c r="B13" s="14"/>
      <c r="C13" s="1" t="s">
        <v>31</v>
      </c>
      <c r="D13" s="1">
        <v>502.57283999999993</v>
      </c>
      <c r="E13" s="1">
        <v>1196.6019999999999</v>
      </c>
      <c r="F13" s="1">
        <v>652.69199999999989</v>
      </c>
      <c r="G13" s="1">
        <v>543.91</v>
      </c>
      <c r="H13" s="1">
        <v>418.81069999999994</v>
      </c>
      <c r="I13" s="1">
        <v>0</v>
      </c>
      <c r="J13" s="1">
        <v>418.81069999999994</v>
      </c>
      <c r="K13" s="1"/>
      <c r="L13" s="1">
        <v>8000</v>
      </c>
      <c r="M13" s="1">
        <v>17.45044583333333</v>
      </c>
      <c r="N13" s="1">
        <v>14.542038194444443</v>
      </c>
      <c r="O13" s="33"/>
    </row>
    <row r="14" spans="2:15">
      <c r="B14" s="14"/>
      <c r="C14" s="1" t="s">
        <v>32</v>
      </c>
      <c r="D14" s="1">
        <v>166.53707200155105</v>
      </c>
      <c r="E14" s="1">
        <v>832.68536000775521</v>
      </c>
      <c r="F14" s="1">
        <v>438.25545263566073</v>
      </c>
      <c r="G14" s="1">
        <v>394.42990737209453</v>
      </c>
      <c r="H14" s="1">
        <v>624.51402000581641</v>
      </c>
      <c r="I14" s="1">
        <v>249.80560800232658</v>
      </c>
      <c r="J14" s="1">
        <v>374.70841200348985</v>
      </c>
      <c r="K14" s="1"/>
      <c r="L14" s="1">
        <v>6000</v>
      </c>
      <c r="M14" s="1">
        <v>7.7100496297014374</v>
      </c>
      <c r="N14" s="1">
        <v>28.912686111380392</v>
      </c>
      <c r="O14" s="33"/>
    </row>
    <row r="15" spans="2:15">
      <c r="B15" s="14"/>
      <c r="C15" s="1" t="s">
        <v>137</v>
      </c>
      <c r="D15" s="1">
        <v>1057.6964133385034</v>
      </c>
      <c r="E15" s="1">
        <v>2932.9768980006675</v>
      </c>
      <c r="F15" s="1">
        <v>1711.4809353907938</v>
      </c>
      <c r="G15" s="1">
        <v>1221.4959626098737</v>
      </c>
      <c r="H15" s="1">
        <v>1468.0588028624852</v>
      </c>
      <c r="I15" s="1">
        <v>419.69924114499412</v>
      </c>
      <c r="J15" s="1">
        <v>1048.359561717491</v>
      </c>
      <c r="K15" s="1"/>
      <c r="L15" s="1"/>
      <c r="M15" s="1">
        <v>52.145669166989784</v>
      </c>
      <c r="N15" s="1">
        <v>72.950146726426837</v>
      </c>
      <c r="O15" s="33"/>
    </row>
    <row r="16" spans="2:15">
      <c r="B16" s="14"/>
      <c r="C16" s="1"/>
      <c r="D16" s="1"/>
      <c r="E16" s="1"/>
      <c r="F16" s="1"/>
      <c r="G16" s="1"/>
      <c r="H16" s="1"/>
      <c r="I16" s="1"/>
      <c r="J16" s="1"/>
      <c r="K16" s="1"/>
      <c r="L16" s="1"/>
      <c r="M16" s="1"/>
      <c r="N16" s="1"/>
      <c r="O16" s="33"/>
    </row>
    <row r="17" spans="2:15">
      <c r="B17" s="14" t="s">
        <v>138</v>
      </c>
      <c r="C17" s="1"/>
      <c r="D17" s="1"/>
      <c r="E17" s="1"/>
      <c r="F17" s="1"/>
      <c r="G17" s="1"/>
      <c r="H17" s="1"/>
      <c r="I17" s="1"/>
      <c r="J17" s="1"/>
      <c r="K17" s="1"/>
      <c r="L17" s="1"/>
      <c r="M17" s="1"/>
      <c r="N17" s="1"/>
      <c r="O17" s="33"/>
    </row>
    <row r="18" spans="2:15">
      <c r="B18" s="14"/>
      <c r="C18" s="1" t="s">
        <v>30</v>
      </c>
      <c r="D18" s="1">
        <v>9540.5114614176073</v>
      </c>
      <c r="E18" s="1">
        <v>22187.235956785134</v>
      </c>
      <c r="F18" s="1">
        <v>22187.235956785134</v>
      </c>
      <c r="G18" s="1">
        <v>0</v>
      </c>
      <c r="H18" s="1">
        <v>10428.000899689012</v>
      </c>
      <c r="I18" s="1">
        <v>10428.000899689012</v>
      </c>
      <c r="J18" s="1">
        <v>0</v>
      </c>
      <c r="K18" s="1"/>
      <c r="L18" s="1">
        <v>4000</v>
      </c>
      <c r="M18" s="1">
        <v>662.53551815400044</v>
      </c>
      <c r="N18" s="1">
        <v>724.16672914507024</v>
      </c>
      <c r="O18" s="33"/>
    </row>
    <row r="19" spans="2:15">
      <c r="B19" s="14"/>
      <c r="C19" s="1" t="s">
        <v>31</v>
      </c>
      <c r="D19" s="1">
        <v>11687.278679999999</v>
      </c>
      <c r="E19" s="1">
        <v>27826.853999999999</v>
      </c>
      <c r="F19" s="1">
        <v>15178.283999999998</v>
      </c>
      <c r="G19" s="1">
        <v>12648.57</v>
      </c>
      <c r="H19" s="1">
        <v>9739.3988999999983</v>
      </c>
      <c r="I19" s="1">
        <v>0</v>
      </c>
      <c r="J19" s="1">
        <v>9739.3988999999983</v>
      </c>
      <c r="K19" s="1"/>
      <c r="L19" s="1">
        <v>8000</v>
      </c>
      <c r="M19" s="1">
        <v>405.80828749999995</v>
      </c>
      <c r="N19" s="1">
        <v>338.17357291666661</v>
      </c>
      <c r="O19" s="33"/>
    </row>
    <row r="20" spans="2:15">
      <c r="B20" s="14"/>
      <c r="C20" s="1" t="s">
        <v>32</v>
      </c>
      <c r="D20" s="1">
        <v>4088.790626321832</v>
      </c>
      <c r="E20" s="1">
        <v>20443.95313160916</v>
      </c>
      <c r="F20" s="1">
        <v>20443.95313160916</v>
      </c>
      <c r="G20" s="1">
        <v>0</v>
      </c>
      <c r="H20" s="1">
        <v>15332.96484870687</v>
      </c>
      <c r="I20" s="1">
        <v>15332.96484870687</v>
      </c>
      <c r="J20" s="1">
        <v>0</v>
      </c>
      <c r="K20" s="1"/>
      <c r="L20" s="1">
        <v>6000</v>
      </c>
      <c r="M20" s="1">
        <v>189.29586232971442</v>
      </c>
      <c r="N20" s="1">
        <v>709.85948373642918</v>
      </c>
      <c r="O20" s="33"/>
    </row>
    <row r="21" spans="2:15">
      <c r="B21" s="14"/>
      <c r="C21" s="1" t="s">
        <v>137</v>
      </c>
      <c r="D21" s="1">
        <v>25316.58076773944</v>
      </c>
      <c r="E21" s="1">
        <v>70458.04308839429</v>
      </c>
      <c r="F21" s="1">
        <v>57809.47308839429</v>
      </c>
      <c r="G21" s="1">
        <v>12648.57</v>
      </c>
      <c r="H21" s="1">
        <v>35500.36464839588</v>
      </c>
      <c r="I21" s="1">
        <v>25760.96574839588</v>
      </c>
      <c r="J21" s="1">
        <v>9739.3988999999983</v>
      </c>
      <c r="K21" s="1"/>
      <c r="L21" s="1"/>
      <c r="M21" s="1">
        <v>1257.6396679837148</v>
      </c>
      <c r="N21" s="1">
        <v>1772.199785798166</v>
      </c>
      <c r="O21" s="33"/>
    </row>
    <row r="22" spans="2:15">
      <c r="B22" s="14"/>
      <c r="C22" s="1"/>
      <c r="D22" s="1"/>
      <c r="E22" s="1"/>
      <c r="F22" s="1"/>
      <c r="G22" s="1"/>
      <c r="H22" s="1"/>
      <c r="I22" s="1"/>
      <c r="J22" s="1"/>
      <c r="K22" s="1"/>
      <c r="L22" s="1"/>
      <c r="M22" s="1"/>
      <c r="N22" s="1"/>
      <c r="O22" s="33"/>
    </row>
    <row r="23" spans="2:15">
      <c r="B23" s="14" t="s">
        <v>60</v>
      </c>
      <c r="C23" s="1"/>
      <c r="D23" s="1"/>
      <c r="E23" s="1"/>
      <c r="F23" s="1"/>
      <c r="G23" s="1"/>
      <c r="H23" s="1"/>
      <c r="I23" s="1"/>
      <c r="J23" s="1"/>
      <c r="K23" s="1"/>
      <c r="L23" s="1"/>
      <c r="M23" s="1"/>
      <c r="N23" s="1"/>
      <c r="O23" s="33"/>
    </row>
    <row r="24" spans="2:15">
      <c r="B24" s="14"/>
      <c r="C24" s="1" t="s">
        <v>35</v>
      </c>
      <c r="D24" s="1">
        <v>60488.146566886389</v>
      </c>
      <c r="E24" s="1">
        <v>159179.33307075367</v>
      </c>
      <c r="F24" s="1">
        <v>119901.83263554522</v>
      </c>
      <c r="G24" s="1">
        <v>39277.500435208451</v>
      </c>
      <c r="H24" s="1">
        <v>66855.319889716542</v>
      </c>
      <c r="I24" s="1">
        <v>35433.319541549761</v>
      </c>
      <c r="J24" s="1">
        <v>31422.00034816677</v>
      </c>
      <c r="K24" s="1"/>
      <c r="L24" s="1"/>
      <c r="M24" s="1"/>
      <c r="N24" s="1"/>
      <c r="O24" s="33"/>
    </row>
    <row r="25" spans="2:15">
      <c r="B25" s="14"/>
      <c r="C25" s="1" t="s">
        <v>36</v>
      </c>
      <c r="D25" s="1">
        <v>5234.5511452113224</v>
      </c>
      <c r="E25" s="1">
        <v>12463.217012407911</v>
      </c>
      <c r="F25" s="1">
        <v>9339.1039479643296</v>
      </c>
      <c r="G25" s="1">
        <v>3124.113064443583</v>
      </c>
      <c r="H25" s="1">
        <v>5982.3441659557975</v>
      </c>
      <c r="I25" s="1">
        <v>3170.6424079565732</v>
      </c>
      <c r="J25" s="1">
        <v>2811.7017579992244</v>
      </c>
      <c r="K25" s="1"/>
      <c r="L25" s="1"/>
      <c r="M25" s="1"/>
      <c r="N25" s="1"/>
      <c r="O25" s="33"/>
    </row>
    <row r="26" spans="2:15">
      <c r="B26" s="14"/>
      <c r="C26" s="1" t="s">
        <v>37</v>
      </c>
      <c r="D26" s="1">
        <v>128149.56692535867</v>
      </c>
      <c r="E26" s="1">
        <v>305118.01648894924</v>
      </c>
      <c r="F26" s="1">
        <v>235164.12978172672</v>
      </c>
      <c r="G26" s="1">
        <v>69953.886707222497</v>
      </c>
      <c r="H26" s="1">
        <v>122047.20659557969</v>
      </c>
      <c r="I26" s="1">
        <v>64685.019495657238</v>
      </c>
      <c r="J26" s="1">
        <v>57362.187099922448</v>
      </c>
      <c r="K26" s="1"/>
      <c r="L26" s="1"/>
      <c r="M26" s="1"/>
      <c r="N26" s="1"/>
      <c r="O26" s="33"/>
    </row>
    <row r="27" spans="2:15">
      <c r="B27" s="14"/>
      <c r="C27" s="1" t="s">
        <v>34</v>
      </c>
      <c r="D27" s="1">
        <v>7735.3627374951511</v>
      </c>
      <c r="E27" s="1">
        <v>25784.54245831717</v>
      </c>
      <c r="F27" s="1">
        <v>19259.069790019978</v>
      </c>
      <c r="G27" s="1">
        <v>6525.4726682971914</v>
      </c>
      <c r="H27" s="1">
        <v>9024.589860411008</v>
      </c>
      <c r="I27" s="1">
        <v>4783.0326260178344</v>
      </c>
      <c r="J27" s="1">
        <v>4241.5572343931735</v>
      </c>
      <c r="K27" s="1"/>
      <c r="L27" s="1"/>
      <c r="M27" s="1"/>
      <c r="N27" s="1"/>
      <c r="O27" s="33"/>
    </row>
    <row r="28" spans="2:15">
      <c r="B28" s="14"/>
      <c r="C28" s="1" t="s">
        <v>137</v>
      </c>
      <c r="D28" s="1">
        <v>201607.62737495155</v>
      </c>
      <c r="E28" s="1">
        <v>502545.10903042799</v>
      </c>
      <c r="F28" s="1">
        <v>383664.1361552563</v>
      </c>
      <c r="G28" s="1">
        <v>118880.97287517173</v>
      </c>
      <c r="H28" s="1">
        <v>203909.46051166306</v>
      </c>
      <c r="I28" s="1">
        <v>108072.01407118142</v>
      </c>
      <c r="J28" s="1">
        <v>95837.44644048161</v>
      </c>
      <c r="K28" s="1"/>
      <c r="L28" s="1"/>
      <c r="M28" s="1"/>
      <c r="N28" s="1"/>
      <c r="O28" s="33"/>
    </row>
    <row r="29" spans="2:15">
      <c r="B29" s="14"/>
      <c r="C29" s="1"/>
      <c r="D29" s="1"/>
      <c r="E29" s="1"/>
      <c r="F29" s="1"/>
      <c r="G29" s="1"/>
      <c r="H29" s="1"/>
      <c r="I29" s="1"/>
      <c r="J29" s="1"/>
      <c r="K29" s="1"/>
      <c r="L29" s="1"/>
      <c r="M29" s="1"/>
      <c r="N29" s="1"/>
      <c r="O29" s="33"/>
    </row>
    <row r="30" spans="2:15">
      <c r="B30" s="14" t="s">
        <v>62</v>
      </c>
      <c r="C30" s="1"/>
      <c r="D30" s="1"/>
      <c r="E30" s="1"/>
      <c r="F30" s="1"/>
      <c r="G30" s="1"/>
      <c r="H30" s="1"/>
      <c r="I30" s="1"/>
      <c r="J30" s="1"/>
      <c r="K30" s="1"/>
      <c r="L30" s="1"/>
      <c r="M30" s="1"/>
      <c r="N30" s="1"/>
      <c r="O30" s="33"/>
    </row>
    <row r="31" spans="2:15">
      <c r="B31" s="14"/>
      <c r="C31" s="1" t="s">
        <v>35</v>
      </c>
      <c r="D31" s="1">
        <v>118566.67290083815</v>
      </c>
      <c r="E31" s="1">
        <v>312017.5602653636</v>
      </c>
      <c r="F31" s="1">
        <v>198170.15296353909</v>
      </c>
      <c r="G31" s="1">
        <v>113847.40730182451</v>
      </c>
      <c r="H31" s="1">
        <v>131047.37531145271</v>
      </c>
      <c r="I31" s="1">
        <v>39969.44946999308</v>
      </c>
      <c r="J31" s="1">
        <v>91077.925841459626</v>
      </c>
      <c r="K31" s="1"/>
      <c r="L31" s="1"/>
      <c r="M31" s="1"/>
      <c r="N31" s="1"/>
      <c r="O31" s="33"/>
    </row>
    <row r="32" spans="2:15">
      <c r="B32" s="14"/>
      <c r="C32" s="1" t="s">
        <v>36</v>
      </c>
      <c r="D32" s="1">
        <v>10260.577462572532</v>
      </c>
      <c r="E32" s="1">
        <v>24429.946339458409</v>
      </c>
      <c r="F32" s="1">
        <v>15374.579562965824</v>
      </c>
      <c r="G32" s="1">
        <v>9055.3667764925831</v>
      </c>
      <c r="H32" s="1">
        <v>11726.374242940035</v>
      </c>
      <c r="I32" s="1">
        <v>3576.5441440967115</v>
      </c>
      <c r="J32" s="1">
        <v>8149.8300988433239</v>
      </c>
      <c r="K32" s="1"/>
      <c r="L32" s="1"/>
      <c r="M32" s="1"/>
      <c r="N32" s="1"/>
      <c r="O32" s="33"/>
    </row>
    <row r="33" spans="2:15">
      <c r="B33" s="14"/>
      <c r="C33" s="1" t="s">
        <v>37</v>
      </c>
      <c r="D33" s="1">
        <v>251194.1371392757</v>
      </c>
      <c r="E33" s="1">
        <v>598081.27890303743</v>
      </c>
      <c r="F33" s="1">
        <v>395317.13800664182</v>
      </c>
      <c r="G33" s="1">
        <v>202764.14089639561</v>
      </c>
      <c r="H33" s="1">
        <v>239232.51156121498</v>
      </c>
      <c r="I33" s="1">
        <v>72965.916026170584</v>
      </c>
      <c r="J33" s="1">
        <v>166266.59553504441</v>
      </c>
      <c r="K33" s="1"/>
      <c r="L33" s="1"/>
      <c r="M33" s="1"/>
      <c r="N33" s="1"/>
      <c r="O33" s="33"/>
    </row>
    <row r="34" spans="2:15">
      <c r="B34" s="14"/>
      <c r="C34" s="1" t="s">
        <v>34</v>
      </c>
      <c r="D34" s="1">
        <v>105921.66513399457</v>
      </c>
      <c r="E34" s="1">
        <v>353072.21711331524</v>
      </c>
      <c r="F34" s="1">
        <v>220941.72970898609</v>
      </c>
      <c r="G34" s="1">
        <v>132130.48740432912</v>
      </c>
      <c r="H34" s="1">
        <v>123575.27598966032</v>
      </c>
      <c r="I34" s="1">
        <v>37690.459176846402</v>
      </c>
      <c r="J34" s="1">
        <v>85884.816812813922</v>
      </c>
      <c r="K34" s="1"/>
      <c r="L34" s="1"/>
      <c r="M34" s="1"/>
      <c r="N34" s="1"/>
      <c r="O34" s="33"/>
    </row>
    <row r="35" spans="2:15">
      <c r="B35" s="14"/>
      <c r="C35" s="1" t="s">
        <v>137</v>
      </c>
      <c r="D35" s="1">
        <v>485943.05263668089</v>
      </c>
      <c r="E35" s="1">
        <v>1287601.0026211748</v>
      </c>
      <c r="F35" s="1">
        <v>829803.60024213279</v>
      </c>
      <c r="G35" s="1">
        <v>457797.40237904183</v>
      </c>
      <c r="H35" s="1">
        <v>505581.53710526798</v>
      </c>
      <c r="I35" s="1">
        <v>154202.36881710676</v>
      </c>
      <c r="J35" s="1">
        <v>351379.16828816128</v>
      </c>
      <c r="K35" s="1"/>
      <c r="L35" s="1"/>
      <c r="M35" s="1"/>
      <c r="N35" s="1"/>
      <c r="O35" s="33"/>
    </row>
    <row r="36" spans="2:15">
      <c r="B36" s="14"/>
      <c r="C36" s="1"/>
      <c r="D36" s="1"/>
      <c r="E36" s="1"/>
      <c r="F36" s="1"/>
      <c r="G36" s="1"/>
      <c r="H36" s="1"/>
      <c r="I36" s="1"/>
      <c r="J36" s="1"/>
      <c r="K36" s="1"/>
      <c r="L36" s="1"/>
      <c r="M36" s="1"/>
      <c r="N36" s="1"/>
      <c r="O36" s="33"/>
    </row>
    <row r="37" spans="2:15">
      <c r="B37" s="14" t="s">
        <v>38</v>
      </c>
      <c r="C37" s="1"/>
      <c r="D37" s="1"/>
      <c r="E37" s="1"/>
      <c r="F37" s="1"/>
      <c r="G37" s="1"/>
      <c r="H37" s="1"/>
      <c r="I37" s="1"/>
      <c r="J37" s="1"/>
      <c r="K37" s="1"/>
      <c r="L37" s="1"/>
      <c r="M37" s="1"/>
      <c r="N37" s="1"/>
      <c r="O37" s="33"/>
    </row>
    <row r="38" spans="2:15">
      <c r="B38" s="14"/>
      <c r="C38" s="1" t="s">
        <v>35</v>
      </c>
      <c r="D38" s="1">
        <v>179054.81946772453</v>
      </c>
      <c r="E38" s="1">
        <v>471196.89333611727</v>
      </c>
      <c r="F38" s="1">
        <v>318071.98559908429</v>
      </c>
      <c r="G38" s="1">
        <v>153124.90773703298</v>
      </c>
      <c r="H38" s="1">
        <v>197902.69520116923</v>
      </c>
      <c r="I38" s="1">
        <v>75402.769011542841</v>
      </c>
      <c r="J38" s="1">
        <v>122499.92618962639</v>
      </c>
      <c r="K38" s="1"/>
      <c r="L38" s="1">
        <v>6000</v>
      </c>
      <c r="M38" s="1">
        <v>8289.5749753576165</v>
      </c>
      <c r="N38" s="1">
        <v>9162.1618148689467</v>
      </c>
      <c r="O38" s="33"/>
    </row>
    <row r="39" spans="2:15">
      <c r="B39" s="14"/>
      <c r="C39" s="1" t="s">
        <v>36</v>
      </c>
      <c r="D39" s="1">
        <v>15495.128607783854</v>
      </c>
      <c r="E39" s="1">
        <v>36893.163351866322</v>
      </c>
      <c r="F39" s="1">
        <v>24713.683510930154</v>
      </c>
      <c r="G39" s="1">
        <v>12179.479840936167</v>
      </c>
      <c r="H39" s="1">
        <v>17708.718408895831</v>
      </c>
      <c r="I39" s="1">
        <v>6747.1865520532847</v>
      </c>
      <c r="J39" s="1">
        <v>10961.531856842548</v>
      </c>
      <c r="K39" s="1"/>
      <c r="L39" s="1">
        <v>6000</v>
      </c>
      <c r="M39" s="1">
        <v>717.36706517517848</v>
      </c>
      <c r="N39" s="1">
        <v>819.84807448591812</v>
      </c>
      <c r="O39" s="33"/>
    </row>
    <row r="40" spans="2:15">
      <c r="B40" s="14"/>
      <c r="C40" s="1" t="s">
        <v>37</v>
      </c>
      <c r="D40" s="1">
        <v>379343.7040646344</v>
      </c>
      <c r="E40" s="1">
        <v>903199.29539198661</v>
      </c>
      <c r="F40" s="1">
        <v>630481.26778836851</v>
      </c>
      <c r="G40" s="1">
        <v>272718.0276036181</v>
      </c>
      <c r="H40" s="1">
        <v>361279.71815679467</v>
      </c>
      <c r="I40" s="1">
        <v>137650.93552182784</v>
      </c>
      <c r="J40" s="1">
        <v>223628.78263496686</v>
      </c>
      <c r="K40" s="1"/>
      <c r="L40" s="1">
        <v>6000</v>
      </c>
      <c r="M40" s="1">
        <v>17562.208521510849</v>
      </c>
      <c r="N40" s="1">
        <v>16725.912877629384</v>
      </c>
      <c r="O40" s="33"/>
    </row>
    <row r="41" spans="2:15">
      <c r="B41" s="14"/>
      <c r="C41" s="1" t="s">
        <v>34</v>
      </c>
      <c r="D41" s="1">
        <v>113657.02787148971</v>
      </c>
      <c r="E41" s="1">
        <v>378856.75957163243</v>
      </c>
      <c r="F41" s="1">
        <v>240200.79949900607</v>
      </c>
      <c r="G41" s="1">
        <v>138655.9600726263</v>
      </c>
      <c r="H41" s="1">
        <v>132599.86585007134</v>
      </c>
      <c r="I41" s="1">
        <v>42473.491802864235</v>
      </c>
      <c r="J41" s="1">
        <v>90126.374047207093</v>
      </c>
      <c r="K41" s="1"/>
      <c r="L41" s="1">
        <v>7000</v>
      </c>
      <c r="M41" s="1">
        <v>4510.1995187099092</v>
      </c>
      <c r="N41" s="1">
        <v>5261.8994384948946</v>
      </c>
      <c r="O41" s="33"/>
    </row>
    <row r="42" spans="2:15">
      <c r="B42" s="14"/>
      <c r="C42" s="1" t="s">
        <v>137</v>
      </c>
      <c r="D42" s="1">
        <v>687550.68001163239</v>
      </c>
      <c r="E42" s="1">
        <v>1790146.1116516027</v>
      </c>
      <c r="F42" s="1">
        <v>1213467.7363973891</v>
      </c>
      <c r="G42" s="1">
        <v>576678.37525421358</v>
      </c>
      <c r="H42" s="1">
        <v>709490.9976169311</v>
      </c>
      <c r="I42" s="1">
        <v>262274.38288828818</v>
      </c>
      <c r="J42" s="1">
        <v>447216.61472864286</v>
      </c>
      <c r="K42" s="1"/>
      <c r="L42" s="1"/>
      <c r="M42" s="1">
        <v>31079.350080753553</v>
      </c>
      <c r="N42" s="1">
        <v>31969.822205479148</v>
      </c>
      <c r="O42" s="33"/>
    </row>
    <row r="43" spans="2:15">
      <c r="B43" s="14"/>
      <c r="C43" s="1"/>
      <c r="D43" s="1"/>
      <c r="E43" s="1"/>
      <c r="F43" s="1"/>
      <c r="G43" s="1"/>
      <c r="H43" s="1"/>
      <c r="I43" s="1"/>
      <c r="J43" s="1"/>
      <c r="K43" s="1"/>
      <c r="L43" s="1"/>
      <c r="M43" s="1"/>
      <c r="N43" s="1"/>
      <c r="O43" s="33"/>
    </row>
    <row r="44" spans="2:15">
      <c r="B44" s="14" t="s">
        <v>39</v>
      </c>
      <c r="C44" s="1"/>
      <c r="D44" s="1"/>
      <c r="E44" s="1"/>
      <c r="F44" s="1"/>
      <c r="G44" s="1"/>
      <c r="H44" s="1"/>
      <c r="I44" s="1"/>
      <c r="J44" s="1"/>
      <c r="K44" s="1"/>
      <c r="L44" s="1"/>
      <c r="M44" s="1"/>
      <c r="N44" s="1"/>
      <c r="O44" s="33"/>
    </row>
    <row r="45" spans="2:15">
      <c r="B45" s="14"/>
      <c r="C45" s="1" t="s">
        <v>37</v>
      </c>
      <c r="D45" s="1">
        <v>683931.6</v>
      </c>
      <c r="E45" s="1">
        <v>1628408.5714285716</v>
      </c>
      <c r="F45" s="1">
        <v>1628408.5714285716</v>
      </c>
      <c r="G45" s="1">
        <v>0</v>
      </c>
      <c r="H45" s="1">
        <v>700215.68571428582</v>
      </c>
      <c r="I45" s="1">
        <v>700215.68571428582</v>
      </c>
      <c r="J45" s="1">
        <v>0</v>
      </c>
      <c r="K45" s="1"/>
      <c r="L45" s="1">
        <v>4500</v>
      </c>
      <c r="M45" s="1">
        <v>42218</v>
      </c>
      <c r="N45" s="1">
        <v>43223.190476190481</v>
      </c>
      <c r="O45" s="33"/>
    </row>
    <row r="46" spans="2:15">
      <c r="B46" s="14"/>
      <c r="C46" s="1" t="s">
        <v>34</v>
      </c>
      <c r="D46" s="1">
        <v>391748.39999999997</v>
      </c>
      <c r="E46" s="1">
        <v>979370.99999999988</v>
      </c>
      <c r="F46" s="1">
        <v>979370.99999999988</v>
      </c>
      <c r="G46" s="1">
        <v>0</v>
      </c>
      <c r="H46" s="1">
        <v>146905.64999999997</v>
      </c>
      <c r="I46" s="1">
        <v>146905.64999999997</v>
      </c>
      <c r="J46" s="1">
        <v>0</v>
      </c>
      <c r="K46" s="1"/>
      <c r="L46" s="1">
        <v>4500</v>
      </c>
      <c r="M46" s="1">
        <v>24181.999999999996</v>
      </c>
      <c r="N46" s="1">
        <v>9068.2499999999982</v>
      </c>
      <c r="O46" s="33"/>
    </row>
    <row r="47" spans="2:15">
      <c r="B47" s="14"/>
      <c r="C47" s="1" t="s">
        <v>40</v>
      </c>
      <c r="D47" s="1">
        <v>312606</v>
      </c>
      <c r="E47" s="1">
        <v>893160</v>
      </c>
      <c r="F47" s="1">
        <v>893160</v>
      </c>
      <c r="G47" s="1">
        <v>0</v>
      </c>
      <c r="H47" s="1">
        <v>133974</v>
      </c>
      <c r="I47" s="1">
        <v>133974</v>
      </c>
      <c r="J47" s="1">
        <v>0</v>
      </c>
      <c r="K47" s="1"/>
      <c r="L47" s="1">
        <v>7000</v>
      </c>
      <c r="M47" s="1">
        <v>12405</v>
      </c>
      <c r="N47" s="1">
        <v>5316.4285714285716</v>
      </c>
      <c r="O47" s="33"/>
    </row>
    <row r="48" spans="2:15">
      <c r="B48" s="14"/>
      <c r="C48" s="1" t="s">
        <v>41</v>
      </c>
      <c r="D48" s="1">
        <v>173008.80000000002</v>
      </c>
      <c r="E48" s="1">
        <v>467591.35135135142</v>
      </c>
      <c r="F48" s="1">
        <v>467591.35135135142</v>
      </c>
      <c r="G48" s="1">
        <v>0</v>
      </c>
      <c r="H48" s="1">
        <v>70138.702702702707</v>
      </c>
      <c r="I48" s="1">
        <v>70138.702702702707</v>
      </c>
      <c r="J48" s="1">
        <v>0</v>
      </c>
      <c r="K48" s="1"/>
      <c r="L48" s="1">
        <v>4500</v>
      </c>
      <c r="M48" s="1">
        <v>10679.555555555558</v>
      </c>
      <c r="N48" s="1">
        <v>4329.5495495495497</v>
      </c>
      <c r="O48" s="33"/>
    </row>
    <row r="49" spans="2:15">
      <c r="B49" s="14"/>
      <c r="C49" s="1" t="s">
        <v>137</v>
      </c>
      <c r="D49" s="1">
        <v>877363.19999999995</v>
      </c>
      <c r="E49" s="1">
        <v>2340122.3513513515</v>
      </c>
      <c r="F49" s="1">
        <v>2340122.3513513515</v>
      </c>
      <c r="G49" s="1">
        <v>0</v>
      </c>
      <c r="H49" s="1">
        <v>351018.35270270269</v>
      </c>
      <c r="I49" s="1">
        <v>351018.35270270269</v>
      </c>
      <c r="J49" s="1">
        <v>0</v>
      </c>
      <c r="K49" s="1"/>
      <c r="L49" s="1"/>
      <c r="M49" s="1">
        <v>89484.555555555562</v>
      </c>
      <c r="N49" s="1">
        <v>61937.418597168602</v>
      </c>
      <c r="O49" s="33"/>
    </row>
    <row r="50" spans="2:15">
      <c r="B50" s="14"/>
      <c r="C50" s="1"/>
      <c r="D50" s="1"/>
      <c r="E50" s="1"/>
      <c r="F50" s="1"/>
      <c r="G50" s="1"/>
      <c r="H50" s="1"/>
      <c r="I50" s="1"/>
      <c r="J50" s="1"/>
      <c r="K50" s="1"/>
      <c r="L50" s="1"/>
      <c r="M50" s="1"/>
      <c r="N50" s="1"/>
      <c r="O50" s="33"/>
    </row>
    <row r="51" spans="2:15">
      <c r="B51" s="14" t="s">
        <v>42</v>
      </c>
      <c r="C51" s="1"/>
      <c r="D51" s="1"/>
      <c r="E51" s="1"/>
      <c r="F51" s="1"/>
      <c r="G51" s="1"/>
      <c r="H51" s="1"/>
      <c r="I51" s="1"/>
      <c r="J51" s="1"/>
      <c r="K51" s="1"/>
      <c r="L51" s="1"/>
      <c r="M51" s="1"/>
      <c r="N51" s="1"/>
      <c r="O51" s="33"/>
    </row>
    <row r="52" spans="2:15">
      <c r="B52" s="14"/>
      <c r="C52" s="1" t="s">
        <v>43</v>
      </c>
      <c r="D52" s="1">
        <v>67982.400000000009</v>
      </c>
      <c r="E52" s="1">
        <v>251786.66666666669</v>
      </c>
      <c r="F52" s="1">
        <v>251786.66666666669</v>
      </c>
      <c r="G52" s="1">
        <v>0</v>
      </c>
      <c r="H52" s="1">
        <v>37768</v>
      </c>
      <c r="I52" s="1">
        <v>37768</v>
      </c>
      <c r="J52" s="1">
        <v>0</v>
      </c>
      <c r="K52" s="1"/>
      <c r="L52" s="1">
        <v>6000</v>
      </c>
      <c r="M52" s="1">
        <v>3147.3333333333339</v>
      </c>
      <c r="N52" s="1">
        <v>1748.5185185185185</v>
      </c>
      <c r="O52" s="33"/>
    </row>
    <row r="53" spans="2:15">
      <c r="B53" s="16"/>
      <c r="C53" s="4"/>
      <c r="D53" s="4"/>
      <c r="E53" s="4"/>
      <c r="F53" s="4"/>
      <c r="G53" s="4"/>
      <c r="H53" s="4"/>
      <c r="I53" s="4"/>
      <c r="J53" s="4"/>
      <c r="K53" s="4"/>
      <c r="L53" s="4"/>
      <c r="M53" s="4"/>
      <c r="N53" s="4"/>
      <c r="O53" s="34"/>
    </row>
  </sheetData>
  <pageMargins left="0.75" right="0.75" top="1" bottom="1" header="0.5" footer="0.5"/>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B2:E18"/>
  <sheetViews>
    <sheetView workbookViewId="0">
      <selection activeCell="E13" sqref="E13"/>
    </sheetView>
  </sheetViews>
  <sheetFormatPr baseColWidth="10" defaultRowHeight="15" x14ac:dyDescent="0"/>
  <cols>
    <col min="1" max="1" width="3.83203125" customWidth="1"/>
    <col min="3" max="3" width="20.83203125" customWidth="1"/>
  </cols>
  <sheetData>
    <row r="2" spans="2:5">
      <c r="B2" t="s">
        <v>114</v>
      </c>
    </row>
    <row r="4" spans="2:5" ht="16" thickBot="1">
      <c r="B4" t="s">
        <v>142</v>
      </c>
    </row>
    <row r="5" spans="2:5" ht="16" thickBot="1">
      <c r="C5" t="s">
        <v>6</v>
      </c>
      <c r="D5" t="s">
        <v>63</v>
      </c>
      <c r="E5" s="30">
        <v>7700</v>
      </c>
    </row>
    <row r="6" spans="2:5" ht="16" thickBot="1">
      <c r="C6" t="s">
        <v>3</v>
      </c>
      <c r="D6" t="s">
        <v>63</v>
      </c>
      <c r="E6" s="30">
        <v>6800</v>
      </c>
    </row>
    <row r="7" spans="2:5" ht="16" thickBot="1">
      <c r="C7" t="s">
        <v>4</v>
      </c>
      <c r="D7" t="s">
        <v>63</v>
      </c>
      <c r="E7" s="30">
        <v>7700</v>
      </c>
    </row>
    <row r="8" spans="2:5" ht="16" thickBot="1">
      <c r="C8" t="s">
        <v>7</v>
      </c>
      <c r="D8" t="s">
        <v>63</v>
      </c>
      <c r="E8" s="30">
        <v>4600</v>
      </c>
    </row>
    <row r="9" spans="2:5" ht="16" thickBot="1"/>
    <row r="10" spans="2:5" ht="16" thickBot="1">
      <c r="C10" t="s">
        <v>9</v>
      </c>
      <c r="D10" t="s">
        <v>63</v>
      </c>
      <c r="E10" s="30">
        <v>6400</v>
      </c>
    </row>
    <row r="11" spans="2:5" ht="16" thickBot="1"/>
    <row r="12" spans="2:5" ht="16" thickBot="1">
      <c r="C12" t="s">
        <v>11</v>
      </c>
      <c r="D12" t="s">
        <v>63</v>
      </c>
      <c r="E12" s="30">
        <v>700</v>
      </c>
    </row>
    <row r="13" spans="2:5" ht="16" thickBot="1">
      <c r="C13" t="s">
        <v>12</v>
      </c>
      <c r="D13" t="s">
        <v>63</v>
      </c>
      <c r="E13" s="30">
        <v>4200</v>
      </c>
    </row>
    <row r="14" spans="2:5" ht="16" thickBot="1">
      <c r="C14" t="s">
        <v>54</v>
      </c>
      <c r="D14" t="s">
        <v>63</v>
      </c>
      <c r="E14" s="30">
        <v>700</v>
      </c>
    </row>
    <row r="15" spans="2:5" ht="16" thickBot="1">
      <c r="C15" t="s">
        <v>14</v>
      </c>
      <c r="D15" t="s">
        <v>63</v>
      </c>
      <c r="E15" s="30">
        <v>700</v>
      </c>
    </row>
    <row r="16" spans="2:5" ht="16" thickBot="1"/>
    <row r="17" spans="3:5" ht="16" thickBot="1">
      <c r="C17" t="s">
        <v>15</v>
      </c>
      <c r="D17" t="s">
        <v>63</v>
      </c>
      <c r="E17" s="30">
        <v>3500</v>
      </c>
    </row>
    <row r="18" spans="3:5" ht="16" thickBot="1">
      <c r="C18" t="s">
        <v>16</v>
      </c>
      <c r="D18" t="s">
        <v>63</v>
      </c>
      <c r="E18" s="30">
        <v>3500</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B2:G19"/>
  <sheetViews>
    <sheetView workbookViewId="0">
      <selection activeCell="E14" sqref="E14"/>
    </sheetView>
  </sheetViews>
  <sheetFormatPr baseColWidth="10" defaultRowHeight="15" x14ac:dyDescent="0"/>
  <cols>
    <col min="1" max="1" width="3.83203125" customWidth="1"/>
    <col min="2" max="2" width="20.83203125" customWidth="1"/>
    <col min="3" max="6" width="13.33203125" customWidth="1"/>
    <col min="7" max="7" width="10.83203125" customWidth="1"/>
  </cols>
  <sheetData>
    <row r="2" spans="2:7">
      <c r="B2" s="6" t="s">
        <v>124</v>
      </c>
    </row>
    <row r="3" spans="2:7" s="26" customFormat="1" ht="30">
      <c r="B3" s="25" t="s">
        <v>115</v>
      </c>
      <c r="C3" s="25" t="s">
        <v>121</v>
      </c>
      <c r="D3" s="25" t="s">
        <v>122</v>
      </c>
      <c r="E3" s="25" t="s">
        <v>123</v>
      </c>
      <c r="F3" s="25" t="s">
        <v>61</v>
      </c>
    </row>
    <row r="4" spans="2:7">
      <c r="B4" t="s">
        <v>35</v>
      </c>
      <c r="C4" s="7">
        <f>processed_Platts!F19+processed_Platts!F26+processed_Platts!F16</f>
        <v>0</v>
      </c>
      <c r="D4" s="7">
        <f>CHP_dashboard!E5</f>
        <v>6000</v>
      </c>
      <c r="E4" s="7">
        <f>C4*D4</f>
        <v>0</v>
      </c>
      <c r="F4" s="60" t="e">
        <f>E4/$E$7</f>
        <v>#DIV/0!</v>
      </c>
      <c r="G4" s="11"/>
    </row>
    <row r="5" spans="2:7">
      <c r="B5" t="s">
        <v>36</v>
      </c>
      <c r="C5" s="7">
        <f>processed_Platts!F22</f>
        <v>0</v>
      </c>
      <c r="D5" s="7">
        <f>CHP_dashboard!E6</f>
        <v>6000</v>
      </c>
      <c r="E5" s="7">
        <f t="shared" ref="E5:E6" si="0">C5*D5</f>
        <v>0</v>
      </c>
      <c r="F5" s="60" t="e">
        <f t="shared" ref="F5:F6" si="1">E5/$E$7</f>
        <v>#DIV/0!</v>
      </c>
    </row>
    <row r="6" spans="2:7">
      <c r="B6" t="s">
        <v>64</v>
      </c>
      <c r="C6" s="7">
        <f>processed_Platts!F17</f>
        <v>0</v>
      </c>
      <c r="D6" s="7">
        <f>CHP_dashboard!E7</f>
        <v>6000</v>
      </c>
      <c r="E6" s="7">
        <f t="shared" si="0"/>
        <v>0</v>
      </c>
      <c r="F6" s="60" t="e">
        <f t="shared" si="1"/>
        <v>#DIV/0!</v>
      </c>
    </row>
    <row r="7" spans="2:7" ht="16" thickBot="1">
      <c r="B7" s="17" t="s">
        <v>108</v>
      </c>
      <c r="C7" s="23">
        <f>SUM(C4:C6)</f>
        <v>0</v>
      </c>
      <c r="D7" s="23"/>
      <c r="E7" s="23">
        <f>SUM(E4:E6)</f>
        <v>0</v>
      </c>
      <c r="F7" s="17"/>
    </row>
    <row r="8" spans="2:7" ht="16" thickTop="1"/>
    <row r="10" spans="2:7">
      <c r="B10" s="6" t="s">
        <v>65</v>
      </c>
    </row>
    <row r="11" spans="2:7">
      <c r="B11" s="13" t="s">
        <v>125</v>
      </c>
    </row>
    <row r="12" spans="2:7">
      <c r="B12" s="28" t="s">
        <v>66</v>
      </c>
      <c r="C12" s="28" t="s">
        <v>70</v>
      </c>
      <c r="D12" s="28" t="s">
        <v>71</v>
      </c>
      <c r="E12" s="28" t="s">
        <v>117</v>
      </c>
      <c r="F12" s="28" t="s">
        <v>118</v>
      </c>
    </row>
    <row r="13" spans="2:7">
      <c r="B13" s="10" t="s">
        <v>35</v>
      </c>
      <c r="C13" t="s">
        <v>67</v>
      </c>
      <c r="D13" t="s">
        <v>72</v>
      </c>
      <c r="E13" t="s">
        <v>100</v>
      </c>
    </row>
    <row r="14" spans="2:7">
      <c r="B14" s="10" t="s">
        <v>36</v>
      </c>
      <c r="C14" t="s">
        <v>68</v>
      </c>
    </row>
    <row r="15" spans="2:7">
      <c r="B15" s="10" t="s">
        <v>64</v>
      </c>
      <c r="C15" t="s">
        <v>69</v>
      </c>
    </row>
    <row r="16" spans="2:7">
      <c r="B16" s="10"/>
    </row>
    <row r="17" spans="2:6">
      <c r="B17" s="31" t="s">
        <v>126</v>
      </c>
    </row>
    <row r="18" spans="2:6">
      <c r="B18" s="27" t="s">
        <v>66</v>
      </c>
      <c r="C18" s="27" t="s">
        <v>75</v>
      </c>
      <c r="D18" s="27" t="s">
        <v>74</v>
      </c>
      <c r="E18" s="27" t="s">
        <v>119</v>
      </c>
      <c r="F18" s="28" t="s">
        <v>120</v>
      </c>
    </row>
    <row r="19" spans="2:6">
      <c r="B19" s="10" t="s">
        <v>57</v>
      </c>
      <c r="C19" t="s">
        <v>116</v>
      </c>
      <c r="D19" t="s">
        <v>73</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B2:O39"/>
  <sheetViews>
    <sheetView topLeftCell="C18" workbookViewId="0">
      <selection activeCell="J31" sqref="J31"/>
    </sheetView>
  </sheetViews>
  <sheetFormatPr baseColWidth="10" defaultRowHeight="15" x14ac:dyDescent="0"/>
  <cols>
    <col min="1" max="1" width="3.83203125" customWidth="1"/>
    <col min="2" max="7" width="10.83203125" customWidth="1"/>
  </cols>
  <sheetData>
    <row r="2" spans="2:15">
      <c r="B2" t="s">
        <v>141</v>
      </c>
    </row>
    <row r="3" spans="2:15">
      <c r="B3" s="8"/>
      <c r="C3" s="8"/>
      <c r="D3" s="36" t="s">
        <v>55</v>
      </c>
      <c r="E3" s="8" t="s">
        <v>56</v>
      </c>
      <c r="F3" s="8" t="s">
        <v>57</v>
      </c>
      <c r="G3" s="8" t="s">
        <v>111</v>
      </c>
      <c r="H3" s="8" t="s">
        <v>58</v>
      </c>
      <c r="I3" s="8" t="s">
        <v>94</v>
      </c>
      <c r="J3" s="8" t="s">
        <v>95</v>
      </c>
      <c r="K3" s="8" t="s">
        <v>22</v>
      </c>
      <c r="L3" s="8" t="s">
        <v>105</v>
      </c>
      <c r="M3" s="8" t="s">
        <v>98</v>
      </c>
      <c r="N3" s="36" t="s">
        <v>108</v>
      </c>
    </row>
    <row r="4" spans="2:15" ht="16" thickBot="1">
      <c r="B4" s="23"/>
      <c r="C4" s="23" t="s">
        <v>110</v>
      </c>
      <c r="D4" s="37">
        <f>CHP_results_by_machine!M8+CHP_results_by_machine!M14+CHP_results_by_machine!M20+CHP_results_by_machine!M41+CHP_results_by_machine!M46+CHP_results_by_machine!M48</f>
        <v>40233.522302437239</v>
      </c>
      <c r="E4" s="23">
        <f>CHP_results_by_machine!M47</f>
        <v>12405</v>
      </c>
      <c r="F4" s="23">
        <f>CHP_results_by_machine!M6+CHP_results_by_machine!M7+CHP_results_by_machine!M12+CHP_results_by_machine!M13+CHP_results_by_machine!M18+CHP_results_by_machine!M19+CHP_results_by_machine!M38+CHP_results_by_machine!M39+CHP_results_by_machine!M40+CHP_results_by_machine!M45</f>
        <v>72684.148579449655</v>
      </c>
      <c r="G4" s="23"/>
      <c r="H4" s="23">
        <f>CHP_results_by_machine!M52</f>
        <v>3147.3333333333339</v>
      </c>
      <c r="I4" s="38"/>
      <c r="J4" s="38"/>
      <c r="K4" s="38"/>
      <c r="L4" s="38"/>
      <c r="M4" s="38"/>
      <c r="N4" s="39">
        <f>SUM(D4:M4)</f>
        <v>128470.00421522022</v>
      </c>
    </row>
    <row r="5" spans="2:15" ht="16" thickTop="1"/>
    <row r="7" spans="2:15">
      <c r="B7" t="s">
        <v>139</v>
      </c>
    </row>
    <row r="8" spans="2:15">
      <c r="B8" s="4"/>
      <c r="C8" s="4"/>
      <c r="D8" s="16" t="s">
        <v>55</v>
      </c>
      <c r="E8" s="4" t="s">
        <v>56</v>
      </c>
      <c r="F8" s="4" t="s">
        <v>57</v>
      </c>
      <c r="G8" s="4" t="s">
        <v>111</v>
      </c>
      <c r="H8" s="4" t="s">
        <v>58</v>
      </c>
      <c r="I8" s="4" t="s">
        <v>94</v>
      </c>
      <c r="J8" s="4" t="s">
        <v>95</v>
      </c>
      <c r="K8" s="4" t="s">
        <v>22</v>
      </c>
      <c r="L8" s="4" t="s">
        <v>105</v>
      </c>
      <c r="M8" s="4" t="s">
        <v>98</v>
      </c>
      <c r="N8" s="16" t="s">
        <v>108</v>
      </c>
    </row>
    <row r="9" spans="2:15">
      <c r="B9" t="s">
        <v>59</v>
      </c>
      <c r="C9" t="s">
        <v>100</v>
      </c>
      <c r="D9" s="47" t="e">
        <f>processed_Platts!D16/SUM(processed_Platts!D$16:D$26)</f>
        <v>#DIV/0!</v>
      </c>
      <c r="E9" s="48" t="e">
        <f>processed_Platts!E16/SUM(processed_Platts!E$16:E$26)</f>
        <v>#DIV/0!</v>
      </c>
      <c r="F9" s="48" t="e">
        <f>processed_Platts!F16/SUM(processed_Platts!F$16:F$26)</f>
        <v>#DIV/0!</v>
      </c>
      <c r="G9" s="51"/>
      <c r="H9" s="48" t="e">
        <f>processed_Platts!H16/SUM(processed_Platts!H$16:H$26)</f>
        <v>#DIV/0!</v>
      </c>
      <c r="I9" s="40"/>
      <c r="J9" s="40"/>
      <c r="K9" s="40"/>
      <c r="L9" s="40"/>
      <c r="M9" s="41"/>
      <c r="N9" s="42"/>
      <c r="O9" s="2"/>
    </row>
    <row r="10" spans="2:15">
      <c r="C10" t="s">
        <v>69</v>
      </c>
      <c r="D10" s="49" t="e">
        <f>processed_Platts!D17/SUM(processed_Platts!D$16:D$26)</f>
        <v>#DIV/0!</v>
      </c>
      <c r="E10" s="3" t="e">
        <f>processed_Platts!E17/SUM(processed_Platts!E$16:E$26)</f>
        <v>#DIV/0!</v>
      </c>
      <c r="F10" s="3" t="e">
        <f>processed_Platts!F17/SUM(processed_Platts!F$16:F$26)</f>
        <v>#DIV/0!</v>
      </c>
      <c r="G10" s="52"/>
      <c r="H10" s="3" t="e">
        <f>processed_Platts!H17/SUM(processed_Platts!H$16:H$26)</f>
        <v>#DIV/0!</v>
      </c>
      <c r="I10" s="43"/>
      <c r="J10" s="43"/>
      <c r="K10" s="43"/>
      <c r="L10" s="43"/>
      <c r="M10" s="44"/>
      <c r="N10" s="42"/>
    </row>
    <row r="11" spans="2:15">
      <c r="D11" s="49"/>
      <c r="E11" s="3"/>
      <c r="F11" s="3"/>
      <c r="G11" s="52"/>
      <c r="H11" s="3"/>
      <c r="I11" s="43"/>
      <c r="J11" s="43"/>
      <c r="K11" s="43"/>
      <c r="L11" s="43"/>
      <c r="M11" s="44"/>
      <c r="N11" s="42"/>
    </row>
    <row r="12" spans="2:15">
      <c r="C12" t="s">
        <v>102</v>
      </c>
      <c r="D12" s="49" t="e">
        <f>processed_Platts!D19/SUM(processed_Platts!D$16:D$26)</f>
        <v>#DIV/0!</v>
      </c>
      <c r="E12" s="3" t="e">
        <f>processed_Platts!E19/SUM(processed_Platts!E$16:E$26)</f>
        <v>#DIV/0!</v>
      </c>
      <c r="F12" s="3" t="e">
        <f>processed_Platts!F19/SUM(processed_Platts!F$16:F$26)</f>
        <v>#DIV/0!</v>
      </c>
      <c r="G12" s="52"/>
      <c r="H12" s="3" t="e">
        <f>processed_Platts!H19/SUM(processed_Platts!H$16:H$26)</f>
        <v>#DIV/0!</v>
      </c>
      <c r="I12" s="43"/>
      <c r="J12" s="43"/>
      <c r="K12" s="43"/>
      <c r="L12" s="43"/>
      <c r="M12" s="44"/>
      <c r="N12" s="42"/>
    </row>
    <row r="13" spans="2:15">
      <c r="C13" t="s">
        <v>103</v>
      </c>
      <c r="D13" s="49" t="e">
        <f>processed_Platts!D20/SUM(processed_Platts!D$16:D$26)</f>
        <v>#DIV/0!</v>
      </c>
      <c r="E13" s="3" t="e">
        <f>processed_Platts!E20/SUM(processed_Platts!E$16:E$26)</f>
        <v>#DIV/0!</v>
      </c>
      <c r="F13" s="3" t="e">
        <f>processed_Platts!F20/SUM(processed_Platts!F$16:F$26)</f>
        <v>#DIV/0!</v>
      </c>
      <c r="G13" s="52"/>
      <c r="H13" s="3" t="e">
        <f>processed_Platts!H20/SUM(processed_Platts!H$16:H$26)</f>
        <v>#DIV/0!</v>
      </c>
      <c r="I13" s="43"/>
      <c r="J13" s="43"/>
      <c r="K13" s="43"/>
      <c r="L13" s="43"/>
      <c r="M13" s="44"/>
      <c r="N13" s="42"/>
    </row>
    <row r="14" spans="2:15">
      <c r="D14" s="49"/>
      <c r="E14" s="3"/>
      <c r="F14" s="3"/>
      <c r="G14" s="52"/>
      <c r="H14" s="3"/>
      <c r="I14" s="43"/>
      <c r="J14" s="43"/>
      <c r="K14" s="43"/>
      <c r="L14" s="43"/>
      <c r="M14" s="44"/>
      <c r="N14" s="42"/>
    </row>
    <row r="15" spans="2:15">
      <c r="C15" t="s">
        <v>68</v>
      </c>
      <c r="D15" s="49" t="e">
        <f>processed_Platts!D22/SUM(processed_Platts!D$16:D$26)</f>
        <v>#DIV/0!</v>
      </c>
      <c r="E15" s="3" t="e">
        <f>processed_Platts!E22/SUM(processed_Platts!E$16:E$26)</f>
        <v>#DIV/0!</v>
      </c>
      <c r="F15" s="3" t="e">
        <f>processed_Platts!F22/SUM(processed_Platts!F$16:F$26)</f>
        <v>#DIV/0!</v>
      </c>
      <c r="G15" s="52"/>
      <c r="H15" s="3" t="e">
        <f>processed_Platts!H22/SUM(processed_Platts!H$16:H$26)</f>
        <v>#DIV/0!</v>
      </c>
      <c r="I15" s="43"/>
      <c r="J15" s="43"/>
      <c r="K15" s="43"/>
      <c r="L15" s="43"/>
      <c r="M15" s="44"/>
      <c r="N15" s="42"/>
    </row>
    <row r="16" spans="2:15">
      <c r="D16" s="49"/>
      <c r="E16" s="3"/>
      <c r="F16" s="3"/>
      <c r="G16" s="52"/>
      <c r="H16" s="3"/>
      <c r="I16" s="43"/>
      <c r="J16" s="43"/>
      <c r="K16" s="43"/>
      <c r="L16" s="43"/>
      <c r="M16" s="44"/>
      <c r="N16" s="42"/>
    </row>
    <row r="17" spans="2:14">
      <c r="D17" s="49"/>
      <c r="E17" s="3"/>
      <c r="F17" s="3"/>
      <c r="G17" s="52"/>
      <c r="H17" s="3"/>
      <c r="I17" s="43"/>
      <c r="J17" s="43"/>
      <c r="K17" s="43"/>
      <c r="L17" s="43"/>
      <c r="M17" s="44"/>
      <c r="N17" s="42"/>
    </row>
    <row r="18" spans="2:14">
      <c r="D18" s="49"/>
      <c r="E18" s="3"/>
      <c r="F18" s="3"/>
      <c r="G18" s="52"/>
      <c r="H18" s="3"/>
      <c r="I18" s="43"/>
      <c r="J18" s="43"/>
      <c r="K18" s="43"/>
      <c r="L18" s="43"/>
      <c r="M18" s="44"/>
      <c r="N18" s="42"/>
    </row>
    <row r="19" spans="2:14">
      <c r="C19" t="s">
        <v>72</v>
      </c>
      <c r="D19" s="49" t="e">
        <f>processed_Platts!D26/SUM(processed_Platts!D$16:D$26)</f>
        <v>#DIV/0!</v>
      </c>
      <c r="E19" s="3" t="e">
        <f>processed_Platts!E26/SUM(processed_Platts!E$16:E$26)</f>
        <v>#DIV/0!</v>
      </c>
      <c r="F19" s="3" t="e">
        <f>processed_Platts!F26/SUM(processed_Platts!F$16:F$26)</f>
        <v>#DIV/0!</v>
      </c>
      <c r="G19" s="52"/>
      <c r="H19" s="3" t="e">
        <f>processed_Platts!H26/SUM(processed_Platts!H$16:H$26)</f>
        <v>#DIV/0!</v>
      </c>
      <c r="I19" s="43"/>
      <c r="J19" s="43"/>
      <c r="K19" s="43"/>
      <c r="L19" s="43"/>
      <c r="M19" s="44"/>
      <c r="N19" s="42"/>
    </row>
    <row r="20" spans="2:14">
      <c r="D20" s="49"/>
      <c r="E20" s="3"/>
      <c r="F20" s="3"/>
      <c r="G20" s="52"/>
      <c r="H20" s="3"/>
      <c r="I20" s="43"/>
      <c r="J20" s="43"/>
      <c r="K20" s="43"/>
      <c r="L20" s="43"/>
      <c r="M20" s="43"/>
      <c r="N20" s="45"/>
    </row>
    <row r="21" spans="2:14" ht="16" thickBot="1">
      <c r="B21" s="17"/>
      <c r="C21" s="17" t="s">
        <v>110</v>
      </c>
      <c r="D21" s="50" t="e">
        <f>SUM(D9:D19)</f>
        <v>#DIV/0!</v>
      </c>
      <c r="E21" s="24" t="e">
        <f>SUM(E9:E19)</f>
        <v>#DIV/0!</v>
      </c>
      <c r="F21" s="24" t="e">
        <f>SUM(F9:F19)</f>
        <v>#DIV/0!</v>
      </c>
      <c r="G21" s="53"/>
      <c r="H21" s="24" t="e">
        <f>SUM(H9:H19)</f>
        <v>#DIV/0!</v>
      </c>
      <c r="I21" s="35"/>
      <c r="J21" s="35"/>
      <c r="K21" s="35"/>
      <c r="L21" s="35"/>
      <c r="M21" s="35"/>
      <c r="N21" s="46"/>
    </row>
    <row r="22" spans="2:14" ht="16" thickTop="1">
      <c r="D22" s="14"/>
      <c r="E22" s="1"/>
      <c r="N22" s="14"/>
    </row>
    <row r="24" spans="2:14">
      <c r="B24" t="s">
        <v>140</v>
      </c>
    </row>
    <row r="25" spans="2:14">
      <c r="B25" s="8"/>
      <c r="C25" s="8"/>
      <c r="D25" s="36" t="s">
        <v>55</v>
      </c>
      <c r="E25" s="8" t="s">
        <v>56</v>
      </c>
      <c r="F25" s="8" t="s">
        <v>57</v>
      </c>
      <c r="G25" s="8" t="s">
        <v>111</v>
      </c>
      <c r="H25" s="8" t="s">
        <v>58</v>
      </c>
      <c r="I25" s="8" t="s">
        <v>94</v>
      </c>
      <c r="J25" s="8" t="s">
        <v>95</v>
      </c>
      <c r="K25" s="8" t="s">
        <v>22</v>
      </c>
      <c r="L25" s="8" t="s">
        <v>105</v>
      </c>
      <c r="M25" s="8" t="s">
        <v>98</v>
      </c>
      <c r="N25" s="36" t="s">
        <v>108</v>
      </c>
    </row>
    <row r="26" spans="2:14">
      <c r="B26" s="7" t="s">
        <v>107</v>
      </c>
      <c r="C26" s="7" t="s">
        <v>100</v>
      </c>
      <c r="D26" s="54" t="e">
        <f>processed_Platts!D3+processed_Platts!D16-('Step 2'!D9*'Step 2'!D$4)</f>
        <v>#DIV/0!</v>
      </c>
      <c r="E26" s="7" t="e">
        <f>processed_Platts!E3+processed_Platts!E16-('Step 2'!E9*'Step 2'!E$4)</f>
        <v>#DIV/0!</v>
      </c>
      <c r="F26" s="7" t="e">
        <f>processed_Platts!F3+processed_Platts!F16-('Step 2'!F9*'Step 2'!F$4)</f>
        <v>#DIV/0!</v>
      </c>
      <c r="G26" s="7">
        <f>processed_Platts!G3+processed_Platts!G16-('Step 2'!G9*'Step 2'!G$4)</f>
        <v>0</v>
      </c>
      <c r="H26" s="7" t="e">
        <f>processed_Platts!H3+processed_Platts!H16-('Step 2'!H9*'Step 2'!H$4)</f>
        <v>#DIV/0!</v>
      </c>
      <c r="I26" s="7">
        <f>processed_Platts!I3+processed_Platts!I16-('Step 2'!I9*'Step 2'!I$4)</f>
        <v>0</v>
      </c>
      <c r="J26" s="7">
        <f>processed_Platts!J3+processed_Platts!J16-('Step 2'!J9*'Step 2'!J$4)</f>
        <v>0</v>
      </c>
      <c r="K26" s="7">
        <f>processed_Platts!K3+processed_Platts!K16-('Step 2'!K9*'Step 2'!K$4)</f>
        <v>0</v>
      </c>
      <c r="L26" s="7">
        <f>processed_Platts!L3+processed_Platts!L16-('Step 2'!L9*'Step 2'!L$4)</f>
        <v>0</v>
      </c>
      <c r="M26" s="7">
        <f>processed_Platts!M3+processed_Platts!M16-('Step 2'!M9*'Step 2'!M$4)</f>
        <v>0</v>
      </c>
      <c r="N26" s="55" t="e">
        <f t="shared" ref="N26:N37" si="0">SUM(D26:M26)</f>
        <v>#DIV/0!</v>
      </c>
    </row>
    <row r="27" spans="2:14">
      <c r="B27" s="7"/>
      <c r="C27" s="7" t="s">
        <v>69</v>
      </c>
      <c r="D27" s="54" t="e">
        <f>processed_Platts!D4+processed_Platts!D17-('Step 2'!D10*'Step 2'!D$4)</f>
        <v>#DIV/0!</v>
      </c>
      <c r="E27" s="7" t="e">
        <f>processed_Platts!E4+processed_Platts!E17-('Step 2'!E10*'Step 2'!E$4)</f>
        <v>#DIV/0!</v>
      </c>
      <c r="F27" s="7" t="e">
        <f>processed_Platts!F4+processed_Platts!F17-('Step 2'!F10*'Step 2'!F$4)</f>
        <v>#DIV/0!</v>
      </c>
      <c r="G27" s="7">
        <f>processed_Platts!G4+processed_Platts!G17-('Step 2'!G10*'Step 2'!G$4)</f>
        <v>0</v>
      </c>
      <c r="H27" s="7" t="e">
        <f>processed_Platts!H4+processed_Platts!H17-('Step 2'!H10*'Step 2'!H$4)</f>
        <v>#DIV/0!</v>
      </c>
      <c r="I27" s="7">
        <f>processed_Platts!I4+processed_Platts!I17-('Step 2'!I10*'Step 2'!I$4)</f>
        <v>0</v>
      </c>
      <c r="J27" s="7">
        <f>processed_Platts!J4+processed_Platts!J17-('Step 2'!J10*'Step 2'!J$4)</f>
        <v>0</v>
      </c>
      <c r="K27" s="7">
        <f>processed_Platts!K4+processed_Platts!K17-('Step 2'!K10*'Step 2'!K$4)</f>
        <v>0</v>
      </c>
      <c r="L27" s="7">
        <f>processed_Platts!L4+processed_Platts!L17-('Step 2'!L10*'Step 2'!L$4)</f>
        <v>0</v>
      </c>
      <c r="M27" s="7">
        <f>processed_Platts!M4+processed_Platts!M17-('Step 2'!M10*'Step 2'!M$4)</f>
        <v>0</v>
      </c>
      <c r="N27" s="55" t="e">
        <f t="shared" si="0"/>
        <v>#DIV/0!</v>
      </c>
    </row>
    <row r="28" spans="2:14">
      <c r="B28" s="7"/>
      <c r="C28" s="7" t="s">
        <v>101</v>
      </c>
      <c r="D28" s="54">
        <f>processed_Platts!D5+processed_Platts!D18-('Step 2'!D11*'Step 2'!D$4)</f>
        <v>0</v>
      </c>
      <c r="E28" s="7">
        <f>processed_Platts!E5+processed_Platts!E18-('Step 2'!E11*'Step 2'!E$4)</f>
        <v>0</v>
      </c>
      <c r="F28" s="7">
        <f>processed_Platts!F5+processed_Platts!F18-('Step 2'!F11*'Step 2'!F$4)</f>
        <v>0</v>
      </c>
      <c r="G28" s="7">
        <f>processed_Platts!G5+processed_Platts!G18-('Step 2'!G11*'Step 2'!G$4)</f>
        <v>0</v>
      </c>
      <c r="H28" s="7">
        <f>processed_Platts!H5+processed_Platts!H18-('Step 2'!H11*'Step 2'!H$4)</f>
        <v>0</v>
      </c>
      <c r="I28" s="7">
        <f>processed_Platts!I5+processed_Platts!I18-('Step 2'!I11*'Step 2'!I$4)</f>
        <v>0</v>
      </c>
      <c r="J28" s="7">
        <f>processed_Platts!J5+processed_Platts!J18-('Step 2'!J11*'Step 2'!J$4)</f>
        <v>0</v>
      </c>
      <c r="K28" s="7">
        <f>processed_Platts!K5+processed_Platts!K18-('Step 2'!K11*'Step 2'!K$4)</f>
        <v>0</v>
      </c>
      <c r="L28" s="7">
        <f>processed_Platts!L5+processed_Platts!L18-('Step 2'!L11*'Step 2'!L$4)</f>
        <v>0</v>
      </c>
      <c r="M28" s="7">
        <f>processed_Platts!M5+processed_Platts!M18-('Step 2'!M11*'Step 2'!M$4)</f>
        <v>0</v>
      </c>
      <c r="N28" s="55">
        <f t="shared" si="0"/>
        <v>0</v>
      </c>
    </row>
    <row r="29" spans="2:14">
      <c r="B29" s="7"/>
      <c r="C29" s="7" t="s">
        <v>102</v>
      </c>
      <c r="D29" s="54" t="e">
        <f>processed_Platts!D6+processed_Platts!D19-('Step 2'!D12*'Step 2'!D$4)</f>
        <v>#DIV/0!</v>
      </c>
      <c r="E29" s="7" t="e">
        <f>processed_Platts!E6+processed_Platts!E19-('Step 2'!E12*'Step 2'!E$4)</f>
        <v>#DIV/0!</v>
      </c>
      <c r="F29" s="7" t="e">
        <f>processed_Platts!F6+processed_Platts!F19-('Step 2'!F12*'Step 2'!F$4)</f>
        <v>#DIV/0!</v>
      </c>
      <c r="G29" s="7">
        <f>processed_Platts!G6+processed_Platts!G19-('Step 2'!G12*'Step 2'!G$4)</f>
        <v>0</v>
      </c>
      <c r="H29" s="7" t="e">
        <f>processed_Platts!H6+processed_Platts!H19-('Step 2'!H12*'Step 2'!H$4)</f>
        <v>#DIV/0!</v>
      </c>
      <c r="I29" s="7">
        <f>processed_Platts!I6+processed_Platts!I19-('Step 2'!I12*'Step 2'!I$4)</f>
        <v>0</v>
      </c>
      <c r="J29" s="7">
        <f>processed_Platts!J6+processed_Platts!J19-('Step 2'!J12*'Step 2'!J$4)</f>
        <v>0</v>
      </c>
      <c r="K29" s="7">
        <f>processed_Platts!K6+processed_Platts!K19-('Step 2'!K12*'Step 2'!K$4)</f>
        <v>0</v>
      </c>
      <c r="L29" s="7">
        <f>processed_Platts!L6+processed_Platts!L19-('Step 2'!L12*'Step 2'!L$4)</f>
        <v>0</v>
      </c>
      <c r="M29" s="7">
        <f>processed_Platts!M6+processed_Platts!M19-('Step 2'!M12*'Step 2'!M$4)</f>
        <v>0</v>
      </c>
      <c r="N29" s="55" t="e">
        <f t="shared" si="0"/>
        <v>#DIV/0!</v>
      </c>
    </row>
    <row r="30" spans="2:14">
      <c r="B30" s="7"/>
      <c r="C30" s="7" t="s">
        <v>103</v>
      </c>
      <c r="D30" s="54" t="e">
        <f>processed_Platts!D7+processed_Platts!D20-('Step 2'!D13*'Step 2'!D$4)</f>
        <v>#DIV/0!</v>
      </c>
      <c r="E30" s="7" t="e">
        <f>processed_Platts!E7+processed_Platts!E20-('Step 2'!E13*'Step 2'!E$4)</f>
        <v>#DIV/0!</v>
      </c>
      <c r="F30" s="7" t="e">
        <f>processed_Platts!F7+processed_Platts!F20-('Step 2'!F13*'Step 2'!F$4)</f>
        <v>#DIV/0!</v>
      </c>
      <c r="G30" s="7">
        <f>processed_Platts!G7+processed_Platts!G20-('Step 2'!G13*'Step 2'!G$4)</f>
        <v>0</v>
      </c>
      <c r="H30" s="7" t="e">
        <f>processed_Platts!H7+processed_Platts!H20-('Step 2'!H13*'Step 2'!H$4)</f>
        <v>#DIV/0!</v>
      </c>
      <c r="I30" s="7">
        <f>processed_Platts!I7+processed_Platts!I20-('Step 2'!I13*'Step 2'!I$4)</f>
        <v>0</v>
      </c>
      <c r="J30" s="7">
        <f>processed_Platts!J7+processed_Platts!J20-('Step 2'!J13*'Step 2'!J$4)</f>
        <v>0</v>
      </c>
      <c r="K30" s="7">
        <f>processed_Platts!K7+processed_Platts!K20-('Step 2'!K13*'Step 2'!K$4)</f>
        <v>0</v>
      </c>
      <c r="L30" s="7">
        <f>processed_Platts!L7+processed_Platts!L20-('Step 2'!L13*'Step 2'!L$4)</f>
        <v>0</v>
      </c>
      <c r="M30" s="7">
        <f>processed_Platts!M7+processed_Platts!M20-('Step 2'!M13*'Step 2'!M$4)</f>
        <v>0</v>
      </c>
      <c r="N30" s="55" t="e">
        <f t="shared" si="0"/>
        <v>#DIV/0!</v>
      </c>
    </row>
    <row r="31" spans="2:14">
      <c r="B31" s="7"/>
      <c r="C31" s="7" t="s">
        <v>95</v>
      </c>
      <c r="D31" s="54">
        <f>processed_Platts!D8+processed_Platts!D21-('Step 2'!D14*'Step 2'!D$4)</f>
        <v>0</v>
      </c>
      <c r="E31" s="7">
        <f>processed_Platts!E8+processed_Platts!E21-('Step 2'!E14*'Step 2'!E$4)</f>
        <v>0</v>
      </c>
      <c r="F31" s="7">
        <f>processed_Platts!F8+processed_Platts!F21-('Step 2'!F14*'Step 2'!F$4)</f>
        <v>0</v>
      </c>
      <c r="G31" s="7">
        <f>processed_Platts!G8+processed_Platts!G21-('Step 2'!G14*'Step 2'!G$4)</f>
        <v>0</v>
      </c>
      <c r="H31" s="7">
        <f>processed_Platts!H8+processed_Platts!H21-('Step 2'!H14*'Step 2'!H$4)</f>
        <v>0</v>
      </c>
      <c r="I31" s="7">
        <f>processed_Platts!I8+processed_Platts!I21-('Step 2'!I14*'Step 2'!I$4)</f>
        <v>0</v>
      </c>
      <c r="J31" s="7">
        <f>processed_Platts!J8+processed_Platts!J21-('Step 2'!J14*'Step 2'!J$4)</f>
        <v>0</v>
      </c>
      <c r="K31" s="7">
        <f>processed_Platts!K8+processed_Platts!K21-('Step 2'!K14*'Step 2'!K$4)</f>
        <v>0</v>
      </c>
      <c r="L31" s="7">
        <f>processed_Platts!L8+processed_Platts!L21-('Step 2'!L14*'Step 2'!L$4)</f>
        <v>0</v>
      </c>
      <c r="M31" s="7">
        <f>processed_Platts!M8+processed_Platts!M21-('Step 2'!M14*'Step 2'!M$4)</f>
        <v>0</v>
      </c>
      <c r="N31" s="55">
        <f t="shared" si="0"/>
        <v>0</v>
      </c>
    </row>
    <row r="32" spans="2:14">
      <c r="B32" s="7"/>
      <c r="C32" s="7" t="s">
        <v>68</v>
      </c>
      <c r="D32" s="54" t="e">
        <f>processed_Platts!D9+processed_Platts!D22-('Step 2'!D15*'Step 2'!D$4)</f>
        <v>#DIV/0!</v>
      </c>
      <c r="E32" s="7" t="e">
        <f>processed_Platts!E9+processed_Platts!E22-('Step 2'!E15*'Step 2'!E$4)</f>
        <v>#DIV/0!</v>
      </c>
      <c r="F32" s="7" t="e">
        <f>processed_Platts!F9+processed_Platts!F22-('Step 2'!F15*'Step 2'!F$4)</f>
        <v>#DIV/0!</v>
      </c>
      <c r="G32" s="7">
        <f>processed_Platts!G9+processed_Platts!G22-('Step 2'!G15*'Step 2'!G$4)</f>
        <v>0</v>
      </c>
      <c r="H32" s="7" t="e">
        <f>processed_Platts!H9+processed_Platts!H22-('Step 2'!H15*'Step 2'!H$4)</f>
        <v>#DIV/0!</v>
      </c>
      <c r="I32" s="7">
        <f>processed_Platts!I9+processed_Platts!I22-('Step 2'!I15*'Step 2'!I$4)</f>
        <v>0</v>
      </c>
      <c r="J32" s="7">
        <f>processed_Platts!J9+processed_Platts!J22-('Step 2'!J15*'Step 2'!J$4)</f>
        <v>0</v>
      </c>
      <c r="K32" s="7">
        <f>processed_Platts!K9+processed_Platts!K22-('Step 2'!K15*'Step 2'!K$4)</f>
        <v>0</v>
      </c>
      <c r="L32" s="7">
        <f>processed_Platts!L9+processed_Platts!L22-('Step 2'!L15*'Step 2'!L$4)</f>
        <v>0</v>
      </c>
      <c r="M32" s="7">
        <f>processed_Platts!M9+processed_Platts!M22-('Step 2'!M15*'Step 2'!M$4)</f>
        <v>0</v>
      </c>
      <c r="N32" s="55" t="e">
        <f t="shared" si="0"/>
        <v>#DIV/0!</v>
      </c>
    </row>
    <row r="33" spans="2:14">
      <c r="B33" s="7"/>
      <c r="C33" s="7" t="s">
        <v>94</v>
      </c>
      <c r="D33" s="54">
        <f>processed_Platts!D10+processed_Platts!D23-('Step 2'!D16*'Step 2'!D$4)</f>
        <v>0</v>
      </c>
      <c r="E33" s="7">
        <f>processed_Platts!E10+processed_Platts!E23-('Step 2'!E16*'Step 2'!E$4)</f>
        <v>0</v>
      </c>
      <c r="F33" s="7">
        <f>processed_Platts!F10+processed_Platts!F23-('Step 2'!F16*'Step 2'!F$4)</f>
        <v>0</v>
      </c>
      <c r="G33" s="7">
        <f>processed_Platts!G10+processed_Platts!G23-('Step 2'!G16*'Step 2'!G$4)</f>
        <v>0</v>
      </c>
      <c r="H33" s="7">
        <f>processed_Platts!H10+processed_Platts!H23-('Step 2'!H16*'Step 2'!H$4)</f>
        <v>0</v>
      </c>
      <c r="I33" s="7">
        <f>processed_Platts!I10+processed_Platts!I23-('Step 2'!I16*'Step 2'!I$4)</f>
        <v>0</v>
      </c>
      <c r="J33" s="7">
        <f>processed_Platts!J10+processed_Platts!J23-('Step 2'!J16*'Step 2'!J$4)</f>
        <v>0</v>
      </c>
      <c r="K33" s="7">
        <f>processed_Platts!K10+processed_Platts!K23-('Step 2'!K16*'Step 2'!K$4)</f>
        <v>0</v>
      </c>
      <c r="L33" s="7">
        <f>processed_Platts!L10+processed_Platts!L23-('Step 2'!L16*'Step 2'!L$4)</f>
        <v>0</v>
      </c>
      <c r="M33" s="7">
        <f>processed_Platts!M10+processed_Platts!M23-('Step 2'!M16*'Step 2'!M$4)</f>
        <v>0</v>
      </c>
      <c r="N33" s="55">
        <f t="shared" si="0"/>
        <v>0</v>
      </c>
    </row>
    <row r="34" spans="2:14">
      <c r="B34" s="7"/>
      <c r="C34" s="7" t="s">
        <v>104</v>
      </c>
      <c r="D34" s="54">
        <f>processed_Platts!D11+processed_Platts!D24-('Step 2'!D17*'Step 2'!D$4)</f>
        <v>0</v>
      </c>
      <c r="E34" s="7">
        <f>processed_Platts!E11+processed_Platts!E24-('Step 2'!E17*'Step 2'!E$4)</f>
        <v>0</v>
      </c>
      <c r="F34" s="7">
        <f>processed_Platts!F11+processed_Platts!F24-('Step 2'!F17*'Step 2'!F$4)</f>
        <v>0</v>
      </c>
      <c r="G34" s="7">
        <f>processed_Platts!G11+processed_Platts!G24-('Step 2'!G17*'Step 2'!G$4)</f>
        <v>0</v>
      </c>
      <c r="H34" s="7">
        <f>processed_Platts!H11+processed_Platts!H24-('Step 2'!H17*'Step 2'!H$4)</f>
        <v>0</v>
      </c>
      <c r="I34" s="7">
        <f>processed_Platts!I11+processed_Platts!I24-('Step 2'!I17*'Step 2'!I$4)</f>
        <v>0</v>
      </c>
      <c r="J34" s="7">
        <f>processed_Platts!J11+processed_Platts!J24-('Step 2'!J17*'Step 2'!J$4)</f>
        <v>0</v>
      </c>
      <c r="K34" s="7">
        <f>processed_Platts!K11+processed_Platts!K24-('Step 2'!K17*'Step 2'!K$4)</f>
        <v>0</v>
      </c>
      <c r="L34" s="7">
        <f>processed_Platts!L11+processed_Platts!L24-('Step 2'!L17*'Step 2'!L$4)</f>
        <v>0</v>
      </c>
      <c r="M34" s="7">
        <f>processed_Platts!M11+processed_Platts!M24-('Step 2'!M17*'Step 2'!M$4)</f>
        <v>0</v>
      </c>
      <c r="N34" s="55">
        <f t="shared" si="0"/>
        <v>0</v>
      </c>
    </row>
    <row r="35" spans="2:14">
      <c r="B35" s="7"/>
      <c r="C35" s="7" t="s">
        <v>105</v>
      </c>
      <c r="D35" s="54">
        <f>processed_Platts!D12+processed_Platts!D25-('Step 2'!D18*'Step 2'!D$4)</f>
        <v>0</v>
      </c>
      <c r="E35" s="7">
        <f>processed_Platts!E12+processed_Platts!E25-('Step 2'!E18*'Step 2'!E$4)</f>
        <v>0</v>
      </c>
      <c r="F35" s="7">
        <f>processed_Platts!F12+processed_Platts!F25-('Step 2'!F18*'Step 2'!F$4)</f>
        <v>0</v>
      </c>
      <c r="G35" s="7">
        <f>processed_Platts!G12+processed_Platts!G25-('Step 2'!G18*'Step 2'!G$4)</f>
        <v>0</v>
      </c>
      <c r="H35" s="7">
        <f>processed_Platts!H12+processed_Platts!H25-('Step 2'!H18*'Step 2'!H$4)</f>
        <v>0</v>
      </c>
      <c r="I35" s="7">
        <f>processed_Platts!I12+processed_Platts!I25-('Step 2'!I18*'Step 2'!I$4)</f>
        <v>0</v>
      </c>
      <c r="J35" s="7">
        <f>processed_Platts!J12+processed_Platts!J25-('Step 2'!J18*'Step 2'!J$4)</f>
        <v>0</v>
      </c>
      <c r="K35" s="7">
        <f>processed_Platts!K12+processed_Platts!K25-('Step 2'!K18*'Step 2'!K$4)</f>
        <v>0</v>
      </c>
      <c r="L35" s="7">
        <f>processed_Platts!L12+processed_Platts!L25-('Step 2'!L18*'Step 2'!L$4)</f>
        <v>0</v>
      </c>
      <c r="M35" s="7">
        <f>processed_Platts!M12+processed_Platts!M25-('Step 2'!M18*'Step 2'!M$4)</f>
        <v>0</v>
      </c>
      <c r="N35" s="55">
        <f t="shared" si="0"/>
        <v>0</v>
      </c>
    </row>
    <row r="36" spans="2:14">
      <c r="B36" s="7"/>
      <c r="C36" s="7" t="s">
        <v>72</v>
      </c>
      <c r="D36" s="54" t="e">
        <f>processed_Platts!D13+processed_Platts!D26-('Step 2'!D19*'Step 2'!D$4)</f>
        <v>#DIV/0!</v>
      </c>
      <c r="E36" s="7" t="e">
        <f>processed_Platts!E13+processed_Platts!E26-('Step 2'!E19*'Step 2'!E$4)</f>
        <v>#DIV/0!</v>
      </c>
      <c r="F36" s="7" t="e">
        <f>processed_Platts!F13+processed_Platts!F26-('Step 2'!F19*'Step 2'!F$4)</f>
        <v>#DIV/0!</v>
      </c>
      <c r="G36" s="7">
        <f>processed_Platts!G13+processed_Platts!G26-('Step 2'!G19*'Step 2'!G$4)</f>
        <v>0</v>
      </c>
      <c r="H36" s="7" t="e">
        <f>processed_Platts!H13+processed_Platts!H26-('Step 2'!H19*'Step 2'!H$4)</f>
        <v>#DIV/0!</v>
      </c>
      <c r="I36" s="7">
        <f>processed_Platts!I13+processed_Platts!I26-('Step 2'!I19*'Step 2'!I$4)</f>
        <v>0</v>
      </c>
      <c r="J36" s="7">
        <f>processed_Platts!J13+processed_Platts!J26-('Step 2'!J19*'Step 2'!J$4)</f>
        <v>0</v>
      </c>
      <c r="K36" s="7">
        <f>processed_Platts!K13+processed_Platts!K26-('Step 2'!K19*'Step 2'!K$4)</f>
        <v>0</v>
      </c>
      <c r="L36" s="7">
        <f>processed_Platts!L13+processed_Platts!L26-('Step 2'!L19*'Step 2'!L$4)</f>
        <v>0</v>
      </c>
      <c r="M36" s="7">
        <f>processed_Platts!M13+processed_Platts!M26-('Step 2'!M19*'Step 2'!M$4)</f>
        <v>0</v>
      </c>
      <c r="N36" s="55" t="e">
        <f t="shared" si="0"/>
        <v>#DIV/0!</v>
      </c>
    </row>
    <row r="37" spans="2:14">
      <c r="B37" s="8"/>
      <c r="C37" s="8" t="s">
        <v>106</v>
      </c>
      <c r="D37" s="36">
        <f>processed_Platts!D14+processed_Platts!D27-('Step 2'!D20*'Step 2'!D$4)</f>
        <v>0</v>
      </c>
      <c r="E37" s="7">
        <f>processed_Platts!E14+processed_Platts!E27-('Step 2'!E20*'Step 2'!E$4)</f>
        <v>0</v>
      </c>
      <c r="F37" s="8">
        <f>processed_Platts!F14+processed_Platts!F27-('Step 2'!F20*'Step 2'!F$4)</f>
        <v>0</v>
      </c>
      <c r="G37" s="8">
        <f>processed_Platts!G14+processed_Platts!G27-('Step 2'!G20*'Step 2'!G$4)</f>
        <v>0</v>
      </c>
      <c r="H37" s="8">
        <f>processed_Platts!H14+processed_Platts!H27-('Step 2'!H20*'Step 2'!H$4)</f>
        <v>0</v>
      </c>
      <c r="I37" s="8">
        <f>processed_Platts!I14+processed_Platts!I27-('Step 2'!I20*'Step 2'!I$4)</f>
        <v>0</v>
      </c>
      <c r="J37" s="8">
        <f>processed_Platts!J14+processed_Platts!J27-('Step 2'!J20*'Step 2'!J$4)</f>
        <v>0</v>
      </c>
      <c r="K37" s="8">
        <f>processed_Platts!K14+processed_Platts!K27-('Step 2'!K20*'Step 2'!K$4)</f>
        <v>0</v>
      </c>
      <c r="L37" s="8">
        <f>processed_Platts!L14+processed_Platts!L27-('Step 2'!L20*'Step 2'!L$4)</f>
        <v>0</v>
      </c>
      <c r="M37" s="8">
        <f>processed_Platts!M14+processed_Platts!M27-('Step 2'!M20*'Step 2'!M$4)</f>
        <v>0</v>
      </c>
      <c r="N37" s="56">
        <f t="shared" si="0"/>
        <v>0</v>
      </c>
    </row>
    <row r="38" spans="2:14" ht="16" thickBot="1">
      <c r="B38" s="23"/>
      <c r="C38" s="23" t="s">
        <v>109</v>
      </c>
      <c r="D38" s="57" t="e">
        <f>SUM(D26:D37)</f>
        <v>#DIV/0!</v>
      </c>
      <c r="E38" s="58" t="e">
        <f t="shared" ref="E38:M38" si="1">SUM(E26:E37)</f>
        <v>#DIV/0!</v>
      </c>
      <c r="F38" s="58" t="e">
        <f t="shared" si="1"/>
        <v>#DIV/0!</v>
      </c>
      <c r="G38" s="58">
        <f t="shared" si="1"/>
        <v>0</v>
      </c>
      <c r="H38" s="58" t="e">
        <f t="shared" si="1"/>
        <v>#DIV/0!</v>
      </c>
      <c r="I38" s="58">
        <f t="shared" si="1"/>
        <v>0</v>
      </c>
      <c r="J38" s="58">
        <f t="shared" si="1"/>
        <v>0</v>
      </c>
      <c r="K38" s="58">
        <f t="shared" si="1"/>
        <v>0</v>
      </c>
      <c r="L38" s="58">
        <f t="shared" si="1"/>
        <v>0</v>
      </c>
      <c r="M38" s="58">
        <f t="shared" si="1"/>
        <v>0</v>
      </c>
      <c r="N38" s="37" t="e">
        <f>SUM(D38:M38)-SUM(N26:N37)</f>
        <v>#DIV/0!</v>
      </c>
    </row>
    <row r="39" spans="2:14" ht="16" thickTop="1"/>
  </sheetData>
  <pageMargins left="0.75" right="0.75" top="1" bottom="1" header="0.5" footer="0.5"/>
  <pageSetup paperSize="9" orientation="portrait" horizontalDpi="4294967292" verticalDpi="4294967292"/>
  <ignoredErrors>
    <ignoredError sqref="F26:M37 D27:D37 E26:E37" emptyCellReference="1"/>
  </ignoredErrors>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dimension ref="B3:F48"/>
  <sheetViews>
    <sheetView topLeftCell="A3" workbookViewId="0">
      <selection activeCell="C16" sqref="C16:C20"/>
    </sheetView>
  </sheetViews>
  <sheetFormatPr baseColWidth="10" defaultRowHeight="15" x14ac:dyDescent="0"/>
  <cols>
    <col min="1" max="1" width="3.83203125" customWidth="1"/>
    <col min="2" max="2" width="20.83203125" customWidth="1"/>
    <col min="5" max="5" width="11.33203125" style="7" bestFit="1" customWidth="1"/>
    <col min="6" max="6" width="10.83203125" style="62"/>
  </cols>
  <sheetData>
    <row r="3" spans="2:6" ht="60">
      <c r="C3" s="25" t="s">
        <v>121</v>
      </c>
      <c r="D3" s="25" t="s">
        <v>122</v>
      </c>
      <c r="E3" s="59" t="s">
        <v>123</v>
      </c>
      <c r="F3" s="61" t="s">
        <v>61</v>
      </c>
    </row>
    <row r="4" spans="2:6">
      <c r="B4" s="5" t="s">
        <v>45</v>
      </c>
    </row>
    <row r="5" spans="2:6">
      <c r="B5" s="1" t="s">
        <v>6</v>
      </c>
      <c r="C5" s="12" t="s">
        <v>44</v>
      </c>
      <c r="D5">
        <f>PHP_dashboard!E5</f>
        <v>7700</v>
      </c>
    </row>
    <row r="6" spans="2:6">
      <c r="B6" s="1" t="s">
        <v>3</v>
      </c>
      <c r="C6" s="7" t="e">
        <f>'Step 2'!D29+'Step 2'!D32+'Step 2'!D36</f>
        <v>#DIV/0!</v>
      </c>
      <c r="D6">
        <f>PHP_dashboard!E6</f>
        <v>6800</v>
      </c>
      <c r="E6" s="7" t="e">
        <f>C6*D6</f>
        <v>#DIV/0!</v>
      </c>
      <c r="F6" s="62" t="e">
        <f>E6/SUM(E$5:E$10)</f>
        <v>#DIV/0!</v>
      </c>
    </row>
    <row r="7" spans="2:6">
      <c r="B7" s="1" t="s">
        <v>4</v>
      </c>
      <c r="C7" s="12" t="s">
        <v>44</v>
      </c>
      <c r="D7">
        <f>PHP_dashboard!E7</f>
        <v>7700</v>
      </c>
    </row>
    <row r="8" spans="2:6">
      <c r="B8" s="1" t="s">
        <v>5</v>
      </c>
      <c r="C8" s="12" t="s">
        <v>44</v>
      </c>
    </row>
    <row r="9" spans="2:6">
      <c r="B9" s="1" t="s">
        <v>7</v>
      </c>
      <c r="C9" s="7" t="e">
        <f>'Step 2'!D27</f>
        <v>#DIV/0!</v>
      </c>
      <c r="D9">
        <f>PHP_dashboard!E8</f>
        <v>4600</v>
      </c>
      <c r="E9" s="7" t="e">
        <f>C9*D9</f>
        <v>#DIV/0!</v>
      </c>
      <c r="F9" s="62" t="e">
        <f>E9/SUM(E$5:E$10)</f>
        <v>#DIV/0!</v>
      </c>
    </row>
    <row r="10" spans="2:6">
      <c r="B10" s="1" t="s">
        <v>8</v>
      </c>
      <c r="C10" s="12" t="s">
        <v>44</v>
      </c>
    </row>
    <row r="11" spans="2:6">
      <c r="B11" s="1"/>
    </row>
    <row r="12" spans="2:6">
      <c r="B12" s="1" t="s">
        <v>9</v>
      </c>
      <c r="C12" s="68" t="e">
        <f>'Step 2'!E36</f>
        <v>#DIV/0!</v>
      </c>
      <c r="D12">
        <f>PHP_dashboard!E10</f>
        <v>6400</v>
      </c>
      <c r="E12" s="7" t="e">
        <f>C12*D12</f>
        <v>#DIV/0!</v>
      </c>
      <c r="F12" s="62" t="e">
        <f>E12/SUM(E$12:E$13)</f>
        <v>#DIV/0!</v>
      </c>
    </row>
    <row r="13" spans="2:6">
      <c r="B13" s="1" t="s">
        <v>10</v>
      </c>
      <c r="C13" s="12" t="s">
        <v>44</v>
      </c>
    </row>
    <row r="15" spans="2:6">
      <c r="B15" s="5" t="s">
        <v>46</v>
      </c>
    </row>
    <row r="16" spans="2:6">
      <c r="B16" s="1" t="s">
        <v>11</v>
      </c>
      <c r="C16" s="7" t="e">
        <f>'Step 2'!F29</f>
        <v>#DIV/0!</v>
      </c>
      <c r="D16">
        <f>PHP_dashboard!E12</f>
        <v>700</v>
      </c>
      <c r="E16" s="7" t="e">
        <f>C16*D16</f>
        <v>#DIV/0!</v>
      </c>
      <c r="F16" s="62" t="e">
        <f>E15:E16/SUM(E$17:E$20)</f>
        <v>#DIV/0!</v>
      </c>
    </row>
    <row r="17" spans="2:6">
      <c r="B17" s="1" t="s">
        <v>12</v>
      </c>
      <c r="C17" s="7" t="e">
        <f>'Step 2'!F27</f>
        <v>#DIV/0!</v>
      </c>
      <c r="D17">
        <f>PHP_dashboard!E13</f>
        <v>4200</v>
      </c>
      <c r="E17" s="7" t="e">
        <f>C17*D17</f>
        <v>#DIV/0!</v>
      </c>
      <c r="F17" s="62" t="e">
        <f>E16:E17/SUM(E$17:E$20)</f>
        <v>#DIV/0!</v>
      </c>
    </row>
    <row r="18" spans="2:6">
      <c r="B18" s="1" t="s">
        <v>13</v>
      </c>
      <c r="C18" s="12" t="s">
        <v>44</v>
      </c>
    </row>
    <row r="19" spans="2:6">
      <c r="B19" s="2" t="s">
        <v>54</v>
      </c>
      <c r="C19" s="7" t="e">
        <f>'Step 2'!F32</f>
        <v>#DIV/0!</v>
      </c>
      <c r="D19">
        <f>PHP_dashboard!E14</f>
        <v>700</v>
      </c>
      <c r="E19" s="7" t="e">
        <f>C19*D19</f>
        <v>#DIV/0!</v>
      </c>
      <c r="F19" s="62" t="e">
        <f>E18:E19/SUM(E$17:E$20)</f>
        <v>#DIV/0!</v>
      </c>
    </row>
    <row r="20" spans="2:6">
      <c r="B20" s="1" t="s">
        <v>14</v>
      </c>
      <c r="C20" s="7" t="e">
        <f>'Step 2'!F36</f>
        <v>#DIV/0!</v>
      </c>
      <c r="D20">
        <f>PHP_dashboard!E15</f>
        <v>700</v>
      </c>
      <c r="E20" s="7" t="e">
        <f>C20*D20</f>
        <v>#DIV/0!</v>
      </c>
      <c r="F20" s="62" t="e">
        <f>E19:E20/SUM(E$17:E$20)</f>
        <v>#DIV/0!</v>
      </c>
    </row>
    <row r="21" spans="2:6">
      <c r="B21" s="1"/>
    </row>
    <row r="22" spans="2:6">
      <c r="B22" s="5" t="s">
        <v>48</v>
      </c>
    </row>
    <row r="23" spans="2:6">
      <c r="B23" s="1" t="s">
        <v>15</v>
      </c>
      <c r="C23" s="7">
        <f>'Step 2'!G26+'Step 2'!G27+'Step 2'!G29+'Step 2'!G36</f>
        <v>0</v>
      </c>
      <c r="D23">
        <f>PHP_dashboard!E17</f>
        <v>3500</v>
      </c>
      <c r="E23" s="7">
        <f>C23*D23</f>
        <v>0</v>
      </c>
    </row>
    <row r="24" spans="2:6">
      <c r="B24" s="1" t="s">
        <v>16</v>
      </c>
      <c r="C24" s="7">
        <f>'Step 2'!G32</f>
        <v>0</v>
      </c>
      <c r="D24">
        <f>PHP_dashboard!E18</f>
        <v>3500</v>
      </c>
      <c r="E24" s="7">
        <f>C24*D24</f>
        <v>0</v>
      </c>
    </row>
    <row r="25" spans="2:6">
      <c r="B25" s="1"/>
    </row>
    <row r="26" spans="2:6">
      <c r="B26" s="5" t="s">
        <v>47</v>
      </c>
    </row>
    <row r="27" spans="2:6">
      <c r="B27" s="1" t="s">
        <v>17</v>
      </c>
      <c r="C27" s="12" t="s">
        <v>44</v>
      </c>
    </row>
    <row r="28" spans="2:6">
      <c r="B28" s="1"/>
      <c r="C28" s="12"/>
    </row>
    <row r="29" spans="2:6">
      <c r="B29" s="5" t="s">
        <v>49</v>
      </c>
      <c r="C29" s="12"/>
    </row>
    <row r="30" spans="2:6">
      <c r="B30" s="1" t="s">
        <v>18</v>
      </c>
      <c r="C30" s="12" t="s">
        <v>44</v>
      </c>
    </row>
    <row r="31" spans="2:6">
      <c r="B31" s="1" t="s">
        <v>19</v>
      </c>
      <c r="C31" s="12" t="s">
        <v>44</v>
      </c>
    </row>
    <row r="32" spans="2:6">
      <c r="B32" s="1"/>
      <c r="C32" s="12"/>
    </row>
    <row r="33" spans="2:3">
      <c r="B33" s="5" t="s">
        <v>50</v>
      </c>
      <c r="C33" s="12"/>
    </row>
    <row r="34" spans="2:3">
      <c r="B34" s="1" t="s">
        <v>20</v>
      </c>
      <c r="C34" s="12" t="s">
        <v>44</v>
      </c>
    </row>
    <row r="35" spans="2:3">
      <c r="B35" s="1" t="s">
        <v>21</v>
      </c>
      <c r="C35" s="12" t="s">
        <v>44</v>
      </c>
    </row>
    <row r="36" spans="2:3">
      <c r="B36" s="1"/>
      <c r="C36" s="12"/>
    </row>
    <row r="37" spans="2:3">
      <c r="B37" s="5" t="s">
        <v>53</v>
      </c>
      <c r="C37" s="12"/>
    </row>
    <row r="38" spans="2:3">
      <c r="B38" s="1" t="s">
        <v>22</v>
      </c>
      <c r="C38" s="12" t="s">
        <v>44</v>
      </c>
    </row>
    <row r="39" spans="2:3">
      <c r="B39" s="1"/>
      <c r="C39" s="12"/>
    </row>
    <row r="40" spans="2:3">
      <c r="B40" s="5" t="s">
        <v>51</v>
      </c>
      <c r="C40" s="12"/>
    </row>
    <row r="41" spans="2:3">
      <c r="B41" s="2" t="s">
        <v>28</v>
      </c>
      <c r="C41" s="12" t="s">
        <v>44</v>
      </c>
    </row>
    <row r="42" spans="2:3">
      <c r="B42" s="1" t="s">
        <v>23</v>
      </c>
      <c r="C42" s="12" t="s">
        <v>44</v>
      </c>
    </row>
    <row r="43" spans="2:3">
      <c r="B43" s="1" t="s">
        <v>24</v>
      </c>
      <c r="C43" s="12" t="s">
        <v>44</v>
      </c>
    </row>
    <row r="44" spans="2:3">
      <c r="B44" s="1"/>
      <c r="C44" s="12"/>
    </row>
    <row r="45" spans="2:3">
      <c r="B45" s="5" t="s">
        <v>52</v>
      </c>
      <c r="C45" s="12"/>
    </row>
    <row r="46" spans="2:3">
      <c r="B46" s="1" t="s">
        <v>25</v>
      </c>
      <c r="C46" s="12" t="s">
        <v>44</v>
      </c>
    </row>
    <row r="47" spans="2:3">
      <c r="B47" s="1" t="s">
        <v>26</v>
      </c>
      <c r="C47" s="12" t="s">
        <v>44</v>
      </c>
    </row>
    <row r="48" spans="2:3">
      <c r="B48" s="1" t="s">
        <v>27</v>
      </c>
      <c r="C48" s="12" t="s">
        <v>44</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9</vt:i4>
      </vt:variant>
    </vt:vector>
  </HeadingPairs>
  <TitlesOfParts>
    <vt:vector size="9" baseType="lpstr">
      <vt:lpstr>input_Platts</vt:lpstr>
      <vt:lpstr>processed_Platts</vt:lpstr>
      <vt:lpstr>mapping_Platts</vt:lpstr>
      <vt:lpstr>CHP_dashboard</vt:lpstr>
      <vt:lpstr>CHP_results_by_machine</vt:lpstr>
      <vt:lpstr>PHP_dashboard</vt:lpstr>
      <vt:lpstr>Step 1</vt:lpstr>
      <vt:lpstr>Step 2</vt:lpstr>
      <vt:lpstr>Step 3</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Quintel Intelligence</dc:creator>
  <cp:lastModifiedBy>Joris Berkhout</cp:lastModifiedBy>
  <dcterms:created xsi:type="dcterms:W3CDTF">2013-08-30T12:00:44Z</dcterms:created>
  <dcterms:modified xsi:type="dcterms:W3CDTF">2014-07-08T09:54:31Z</dcterms:modified>
</cp:coreProperties>
</file>