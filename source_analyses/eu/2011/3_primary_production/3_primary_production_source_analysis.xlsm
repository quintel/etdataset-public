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eu/2011/3_primary_production/"/>
    </mc:Choice>
  </mc:AlternateContent>
  <xr:revisionPtr revIDLastSave="0" documentId="13_ncr:1_{93BF5ABF-2C77-5340-AF81-5307C49C2F5A}" xr6:coauthVersionLast="43" xr6:coauthVersionMax="43" xr10:uidLastSave="{00000000-0000-0000-0000-000000000000}"/>
  <bookViews>
    <workbookView xWindow="25600" yWindow="460" windowWidth="25600" windowHeight="26940" tabRatio="500" firstSheet="3"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11" i="2" l="1"/>
  <c r="E10" i="6"/>
  <c r="C19" i="5" s="1"/>
  <c r="F10" i="6"/>
  <c r="C24" i="5" s="1"/>
  <c r="B3" i="3"/>
  <c r="C3" i="3"/>
  <c r="E12" i="6"/>
  <c r="D19" i="5" s="1"/>
  <c r="F12" i="6"/>
  <c r="D24" i="5" s="1"/>
  <c r="D3" i="3"/>
  <c r="E11" i="6"/>
  <c r="E19" i="5" s="1"/>
  <c r="F11" i="6"/>
  <c r="E24" i="5" s="1"/>
  <c r="E3" i="3"/>
  <c r="E13" i="6"/>
  <c r="F19" i="5" s="1"/>
  <c r="F15" i="5" s="1"/>
  <c r="F13" i="6"/>
  <c r="F24" i="5" s="1"/>
  <c r="F3" i="3"/>
  <c r="E16" i="6"/>
  <c r="G19" i="5" s="1"/>
  <c r="F16" i="6"/>
  <c r="G24" i="5" s="1"/>
  <c r="G7" i="3" s="1"/>
  <c r="G10" i="6"/>
  <c r="C29" i="5"/>
  <c r="G12" i="6"/>
  <c r="D29" i="5" s="1"/>
  <c r="G11" i="6"/>
  <c r="E29" i="5" s="1"/>
  <c r="G13" i="6"/>
  <c r="F29" i="5" s="1"/>
  <c r="G16" i="6"/>
  <c r="G29" i="5" s="1"/>
  <c r="F12" i="3"/>
  <c r="H10" i="6"/>
  <c r="C34" i="5" s="1"/>
  <c r="C17" i="3" s="1"/>
  <c r="H12" i="6"/>
  <c r="D34" i="5" s="1"/>
  <c r="D17" i="3" s="1"/>
  <c r="H11" i="6"/>
  <c r="E34" i="5" s="1"/>
  <c r="H13" i="6"/>
  <c r="F34" i="5" s="1"/>
  <c r="H16" i="6"/>
  <c r="G34" i="5" s="1"/>
  <c r="G17" i="3" s="1"/>
  <c r="I10" i="6"/>
  <c r="I12" i="6"/>
  <c r="D39" i="5" s="1"/>
  <c r="I11" i="6"/>
  <c r="E39" i="5" s="1"/>
  <c r="I13" i="6"/>
  <c r="F39" i="5" s="1"/>
  <c r="I16" i="6"/>
  <c r="G39" i="5" s="1"/>
  <c r="J10" i="6"/>
  <c r="C44" i="5" s="1"/>
  <c r="C27" i="3" s="1"/>
  <c r="J12" i="6"/>
  <c r="D44" i="5" s="1"/>
  <c r="J11" i="6"/>
  <c r="E44" i="5" s="1"/>
  <c r="E43" i="5" s="1"/>
  <c r="E26" i="3" s="1"/>
  <c r="J13" i="6"/>
  <c r="F44" i="5" s="1"/>
  <c r="J16" i="6"/>
  <c r="G44" i="5" s="1"/>
  <c r="K10" i="6"/>
  <c r="B49" i="5" s="1"/>
  <c r="B32" i="3" s="1"/>
  <c r="K12" i="6"/>
  <c r="D49" i="5" s="1"/>
  <c r="D46" i="5" s="1"/>
  <c r="D29" i="3" s="1"/>
  <c r="K11" i="6"/>
  <c r="E49" i="5" s="1"/>
  <c r="K13" i="6"/>
  <c r="F49" i="5" s="1"/>
  <c r="K16" i="6"/>
  <c r="G49" i="5" s="1"/>
  <c r="G32" i="3" s="1"/>
  <c r="L10" i="6"/>
  <c r="C54" i="5" s="1"/>
  <c r="L12" i="6"/>
  <c r="D54" i="5" s="1"/>
  <c r="L11" i="6"/>
  <c r="E54" i="5" s="1"/>
  <c r="L13" i="6"/>
  <c r="F54" i="5" s="1"/>
  <c r="L16" i="6"/>
  <c r="G54" i="5" s="1"/>
  <c r="G37" i="3" s="1"/>
  <c r="M10" i="6"/>
  <c r="B59" i="5" s="1"/>
  <c r="B42" i="3" s="1"/>
  <c r="M12" i="6"/>
  <c r="D59" i="5" s="1"/>
  <c r="D42" i="3" s="1"/>
  <c r="M11" i="6"/>
  <c r="E59" i="5" s="1"/>
  <c r="E42" i="3" s="1"/>
  <c r="M13" i="6"/>
  <c r="F59" i="5" s="1"/>
  <c r="F42" i="3" s="1"/>
  <c r="M16" i="6"/>
  <c r="G59" i="5" s="1"/>
  <c r="G42" i="3" s="1"/>
  <c r="G2" i="3"/>
  <c r="C10" i="6"/>
  <c r="C12" i="6"/>
  <c r="D9" i="5" s="1"/>
  <c r="C11" i="6"/>
  <c r="E9" i="5" s="1"/>
  <c r="C13" i="6"/>
  <c r="F9" i="5" s="1"/>
  <c r="C16" i="6"/>
  <c r="G9" i="5" s="1"/>
  <c r="C8" i="7"/>
  <c r="C5" i="7"/>
  <c r="D10" i="6"/>
  <c r="B14" i="5" s="1"/>
  <c r="D12" i="6"/>
  <c r="D14" i="5" s="1"/>
  <c r="D11" i="6"/>
  <c r="E14" i="5" s="1"/>
  <c r="D13" i="6"/>
  <c r="F14" i="5" s="1"/>
  <c r="D16" i="6"/>
  <c r="G14" i="5" s="1"/>
  <c r="G15" i="5"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F12" i="5" l="1"/>
  <c r="G31" i="5"/>
  <c r="G14" i="3" s="1"/>
  <c r="D52" i="5"/>
  <c r="D35" i="3" s="1"/>
  <c r="D51" i="5"/>
  <c r="D34" i="3" s="1"/>
  <c r="E18" i="5"/>
  <c r="G38" i="5"/>
  <c r="G21" i="3" s="1"/>
  <c r="G35" i="5"/>
  <c r="G18" i="3" s="1"/>
  <c r="G37" i="5"/>
  <c r="G20" i="3" s="1"/>
  <c r="G22" i="3"/>
  <c r="C37" i="3"/>
  <c r="C23" i="5"/>
  <c r="C6" i="3" s="1"/>
  <c r="C7" i="3"/>
  <c r="E36" i="5"/>
  <c r="E19" i="3" s="1"/>
  <c r="E31" i="5"/>
  <c r="E14" i="3" s="1"/>
  <c r="E38" i="5"/>
  <c r="E21" i="3" s="1"/>
  <c r="E32" i="5"/>
  <c r="E15" i="3" s="1"/>
  <c r="D2" i="3"/>
  <c r="D16" i="5"/>
  <c r="G40" i="5"/>
  <c r="G23" i="3" s="1"/>
  <c r="D18" i="5"/>
  <c r="D53" i="5"/>
  <c r="D36" i="3" s="1"/>
  <c r="F35" i="5"/>
  <c r="F18" i="3" s="1"/>
  <c r="C14" i="5"/>
  <c r="C18" i="5" s="1"/>
  <c r="C59" i="5"/>
  <c r="C55" i="5" s="1"/>
  <c r="C38" i="3" s="1"/>
  <c r="D35" i="5"/>
  <c r="D18" i="3" s="1"/>
  <c r="D41" i="5"/>
  <c r="D24" i="3" s="1"/>
  <c r="D22" i="3"/>
  <c r="D42" i="5"/>
  <c r="D25" i="3" s="1"/>
  <c r="C33" i="5"/>
  <c r="C16" i="3" s="1"/>
  <c r="G20" i="5"/>
  <c r="G3" i="3" s="1"/>
  <c r="C17" i="5"/>
  <c r="C2" i="3"/>
  <c r="F21" i="5"/>
  <c r="F4" i="3" s="1"/>
  <c r="F23" i="5"/>
  <c r="F6" i="3" s="1"/>
  <c r="F7" i="3"/>
  <c r="F26" i="5"/>
  <c r="F9" i="3" s="1"/>
  <c r="F28" i="5"/>
  <c r="F11" i="3" s="1"/>
  <c r="F27" i="5"/>
  <c r="F10" i="3" s="1"/>
  <c r="F22" i="5"/>
  <c r="F5" i="3" s="1"/>
  <c r="D28" i="5"/>
  <c r="D11" i="3" s="1"/>
  <c r="D27" i="5"/>
  <c r="D10" i="3" s="1"/>
  <c r="G18" i="5"/>
  <c r="F2" i="3"/>
  <c r="F18" i="5"/>
  <c r="E17" i="5"/>
  <c r="F16" i="5"/>
  <c r="E2" i="3"/>
  <c r="C56" i="5"/>
  <c r="C39" i="3" s="1"/>
  <c r="G36" i="5"/>
  <c r="G19" i="3" s="1"/>
  <c r="E17" i="3"/>
  <c r="E33" i="5"/>
  <c r="E16" i="3" s="1"/>
  <c r="C32" i="5"/>
  <c r="C15" i="3" s="1"/>
  <c r="C31" i="5"/>
  <c r="C14" i="3" s="1"/>
  <c r="C30" i="5"/>
  <c r="C13" i="3" s="1"/>
  <c r="C12" i="3"/>
  <c r="G17" i="5"/>
  <c r="G33" i="5"/>
  <c r="G16" i="3" s="1"/>
  <c r="E16" i="5"/>
  <c r="C49" i="5"/>
  <c r="C53" i="5" s="1"/>
  <c r="C36" i="3" s="1"/>
  <c r="B44" i="5"/>
  <c r="B48" i="5" s="1"/>
  <c r="B31" i="3" s="1"/>
  <c r="D26" i="5"/>
  <c r="D9" i="3" s="1"/>
  <c r="D12" i="5"/>
  <c r="D11" i="5"/>
  <c r="D10" i="5"/>
  <c r="D13" i="5"/>
  <c r="F55" i="5"/>
  <c r="F38" i="3" s="1"/>
  <c r="F57" i="5"/>
  <c r="F40" i="3" s="1"/>
  <c r="F37" i="3"/>
  <c r="F56" i="5"/>
  <c r="F39" i="3" s="1"/>
  <c r="F58" i="5"/>
  <c r="F41" i="3" s="1"/>
  <c r="F50" i="5"/>
  <c r="F33" i="3" s="1"/>
  <c r="F47" i="5"/>
  <c r="F30" i="3" s="1"/>
  <c r="F51" i="5"/>
  <c r="F34" i="3" s="1"/>
  <c r="F53" i="5"/>
  <c r="F36" i="3" s="1"/>
  <c r="F46" i="5"/>
  <c r="F29" i="3" s="1"/>
  <c r="F32" i="3"/>
  <c r="F52" i="5"/>
  <c r="F35" i="3" s="1"/>
  <c r="G13" i="5"/>
  <c r="E12" i="5"/>
  <c r="E10" i="5"/>
  <c r="B9" i="5"/>
  <c r="C9" i="5"/>
  <c r="D56" i="5"/>
  <c r="D39" i="3" s="1"/>
  <c r="G50" i="5"/>
  <c r="G33" i="3" s="1"/>
  <c r="G51" i="5"/>
  <c r="G34" i="3" s="1"/>
  <c r="G52" i="5"/>
  <c r="G35" i="3" s="1"/>
  <c r="G53" i="5"/>
  <c r="G36" i="3" s="1"/>
  <c r="E50" i="5"/>
  <c r="E33" i="3" s="1"/>
  <c r="E51" i="5"/>
  <c r="E34" i="3" s="1"/>
  <c r="E52" i="5"/>
  <c r="E35" i="3" s="1"/>
  <c r="E53" i="5"/>
  <c r="E36" i="3" s="1"/>
  <c r="E32" i="3"/>
  <c r="F40" i="5"/>
  <c r="F23" i="3" s="1"/>
  <c r="C48" i="5"/>
  <c r="C31" i="3" s="1"/>
  <c r="E11" i="5"/>
  <c r="E13" i="5"/>
  <c r="D57" i="5"/>
  <c r="D40" i="3" s="1"/>
  <c r="D37" i="3"/>
  <c r="D55" i="5"/>
  <c r="D38" i="3" s="1"/>
  <c r="F43" i="5"/>
  <c r="F26" i="3" s="1"/>
  <c r="G41" i="5"/>
  <c r="G24" i="3" s="1"/>
  <c r="F45" i="5"/>
  <c r="F28" i="3" s="1"/>
  <c r="F48" i="5"/>
  <c r="F31" i="3" s="1"/>
  <c r="F27" i="3"/>
  <c r="D45" i="5"/>
  <c r="D28" i="3" s="1"/>
  <c r="D43" i="5"/>
  <c r="D26" i="3" s="1"/>
  <c r="D27" i="3"/>
  <c r="D47" i="5"/>
  <c r="D30" i="3" s="1"/>
  <c r="D40" i="5"/>
  <c r="D23" i="3" s="1"/>
  <c r="D48" i="5"/>
  <c r="D31" i="3" s="1"/>
  <c r="E35" i="5"/>
  <c r="E18" i="3" s="1"/>
  <c r="E37" i="5"/>
  <c r="E20" i="3" s="1"/>
  <c r="E22" i="3"/>
  <c r="E40" i="5"/>
  <c r="E23" i="3" s="1"/>
  <c r="E41" i="5"/>
  <c r="E24" i="3" s="1"/>
  <c r="E42" i="5"/>
  <c r="E25" i="3" s="1"/>
  <c r="F17" i="3"/>
  <c r="F36" i="5"/>
  <c r="F19" i="3" s="1"/>
  <c r="F37" i="5"/>
  <c r="F20" i="3" s="1"/>
  <c r="F38" i="5"/>
  <c r="F21" i="3" s="1"/>
  <c r="B19" i="5"/>
  <c r="B29" i="5"/>
  <c r="B34" i="5"/>
  <c r="B24" i="5"/>
  <c r="B54" i="5"/>
  <c r="F17" i="5"/>
  <c r="G16" i="5"/>
  <c r="E15" i="5"/>
  <c r="G11" i="5"/>
  <c r="G10" i="5"/>
  <c r="G12" i="5"/>
  <c r="D58" i="5"/>
  <c r="D41" i="3" s="1"/>
  <c r="D32" i="3"/>
  <c r="D50" i="5"/>
  <c r="D33" i="3" s="1"/>
  <c r="G27" i="3"/>
  <c r="F42" i="5"/>
  <c r="F25" i="3" s="1"/>
  <c r="B39" i="5"/>
  <c r="C39" i="5"/>
  <c r="G25" i="5"/>
  <c r="G8" i="3" s="1"/>
  <c r="D15" i="5"/>
  <c r="D17" i="5"/>
  <c r="B16" i="5"/>
  <c r="F10" i="5"/>
  <c r="F11" i="5"/>
  <c r="F13" i="5"/>
  <c r="G55" i="5"/>
  <c r="G38" i="3" s="1"/>
  <c r="G56" i="5"/>
  <c r="G39" i="3" s="1"/>
  <c r="G57" i="5"/>
  <c r="G40" i="3" s="1"/>
  <c r="G58" i="5"/>
  <c r="G41" i="3" s="1"/>
  <c r="E37" i="3"/>
  <c r="E55" i="5"/>
  <c r="E38" i="3" s="1"/>
  <c r="E56" i="5"/>
  <c r="E39" i="3" s="1"/>
  <c r="E57" i="5"/>
  <c r="E40" i="3" s="1"/>
  <c r="E58" i="5"/>
  <c r="E41" i="3" s="1"/>
  <c r="G45" i="5"/>
  <c r="G28" i="3" s="1"/>
  <c r="G46" i="5"/>
  <c r="G29" i="3" s="1"/>
  <c r="G47" i="5"/>
  <c r="G30" i="3" s="1"/>
  <c r="G48" i="5"/>
  <c r="G31" i="3" s="1"/>
  <c r="G42" i="5"/>
  <c r="G25" i="3" s="1"/>
  <c r="G43" i="5"/>
  <c r="G26" i="3" s="1"/>
  <c r="E27" i="3"/>
  <c r="E45" i="5"/>
  <c r="E28" i="3" s="1"/>
  <c r="E46" i="5"/>
  <c r="E29" i="3" s="1"/>
  <c r="E47" i="5"/>
  <c r="E30" i="3" s="1"/>
  <c r="E48" i="5"/>
  <c r="E31" i="3" s="1"/>
  <c r="B45" i="5"/>
  <c r="B28" i="3" s="1"/>
  <c r="F22" i="3"/>
  <c r="F41" i="5"/>
  <c r="F24" i="3" s="1"/>
  <c r="G12" i="3"/>
  <c r="G30" i="5"/>
  <c r="G13" i="3" s="1"/>
  <c r="G32" i="5"/>
  <c r="G15" i="3" s="1"/>
  <c r="F31" i="5"/>
  <c r="F14" i="3" s="1"/>
  <c r="F32" i="5"/>
  <c r="F15" i="3" s="1"/>
  <c r="F33" i="5"/>
  <c r="F16" i="3" s="1"/>
  <c r="F25" i="5"/>
  <c r="F8" i="3" s="1"/>
  <c r="F30" i="5"/>
  <c r="F13" i="3" s="1"/>
  <c r="E21" i="5"/>
  <c r="E4" i="3" s="1"/>
  <c r="E7" i="3"/>
  <c r="E25" i="5"/>
  <c r="E8" i="3" s="1"/>
  <c r="E26" i="5"/>
  <c r="E9" i="3" s="1"/>
  <c r="E27" i="5"/>
  <c r="E10" i="3" s="1"/>
  <c r="E28" i="5"/>
  <c r="E11" i="3" s="1"/>
  <c r="E23" i="5"/>
  <c r="E6" i="3" s="1"/>
  <c r="E22" i="5"/>
  <c r="E5" i="3" s="1"/>
  <c r="D7" i="3"/>
  <c r="D23" i="5"/>
  <c r="D6" i="3" s="1"/>
  <c r="D22" i="5"/>
  <c r="D5" i="3" s="1"/>
  <c r="D25" i="5"/>
  <c r="D8" i="3" s="1"/>
  <c r="D21" i="5"/>
  <c r="D4" i="3" s="1"/>
  <c r="D36" i="5"/>
  <c r="D19" i="3" s="1"/>
  <c r="D37" i="5"/>
  <c r="D20" i="3" s="1"/>
  <c r="D38" i="5"/>
  <c r="D21" i="3" s="1"/>
  <c r="E12" i="3"/>
  <c r="E30" i="5"/>
  <c r="E13" i="3" s="1"/>
  <c r="G23" i="5"/>
  <c r="G6" i="3" s="1"/>
  <c r="G22" i="5"/>
  <c r="G5" i="3" s="1"/>
  <c r="G21" i="5"/>
  <c r="G4" i="3" s="1"/>
  <c r="D31" i="5"/>
  <c r="D14" i="3" s="1"/>
  <c r="D32" i="5"/>
  <c r="D15" i="3" s="1"/>
  <c r="D33" i="5"/>
  <c r="D16" i="3" s="1"/>
  <c r="D12" i="3"/>
  <c r="D30" i="5"/>
  <c r="D13" i="3" s="1"/>
  <c r="C21" i="5"/>
  <c r="C4" i="3" s="1"/>
  <c r="G28" i="5"/>
  <c r="G11" i="3" s="1"/>
  <c r="C28" i="5"/>
  <c r="C11" i="3" s="1"/>
  <c r="G27" i="5"/>
  <c r="G10" i="3" s="1"/>
  <c r="C27" i="5"/>
  <c r="C10" i="3" s="1"/>
  <c r="G26" i="5"/>
  <c r="G9" i="3" s="1"/>
  <c r="C26" i="5"/>
  <c r="C9" i="3" s="1"/>
  <c r="C25" i="5"/>
  <c r="C8" i="3" s="1"/>
  <c r="C22" i="5"/>
  <c r="C5" i="3" s="1"/>
  <c r="B47" i="5" l="1"/>
  <c r="B30" i="3" s="1"/>
  <c r="B27" i="3"/>
  <c r="B46" i="5"/>
  <c r="B29" i="3" s="1"/>
  <c r="C52" i="5"/>
  <c r="C35" i="3" s="1"/>
  <c r="C47" i="5"/>
  <c r="C30" i="3" s="1"/>
  <c r="C51" i="5"/>
  <c r="C34" i="3" s="1"/>
  <c r="C42" i="3"/>
  <c r="C58" i="5"/>
  <c r="C41" i="3" s="1"/>
  <c r="C46" i="5"/>
  <c r="C29" i="3" s="1"/>
  <c r="C50" i="5"/>
  <c r="C33" i="3" s="1"/>
  <c r="C32" i="3"/>
  <c r="C16" i="5"/>
  <c r="C45" i="5"/>
  <c r="C28" i="3" s="1"/>
  <c r="C15" i="5"/>
  <c r="C57" i="5"/>
  <c r="C40" i="3" s="1"/>
  <c r="B23" i="5"/>
  <c r="B6" i="3" s="1"/>
  <c r="B22" i="5"/>
  <c r="B5" i="3" s="1"/>
  <c r="B21" i="5"/>
  <c r="B4" i="3" s="1"/>
  <c r="B7" i="3"/>
  <c r="B25" i="5"/>
  <c r="B8" i="3" s="1"/>
  <c r="B26" i="5"/>
  <c r="B9" i="3" s="1"/>
  <c r="B28" i="5"/>
  <c r="B11" i="3" s="1"/>
  <c r="B27" i="5"/>
  <c r="B10" i="3" s="1"/>
  <c r="B11" i="5"/>
  <c r="B13" i="5"/>
  <c r="B10" i="5"/>
  <c r="B12" i="5"/>
  <c r="B17" i="3"/>
  <c r="B35" i="5"/>
  <c r="B18" i="3" s="1"/>
  <c r="B36" i="5"/>
  <c r="B19" i="3" s="1"/>
  <c r="B37" i="5"/>
  <c r="B20" i="3" s="1"/>
  <c r="B38" i="5"/>
  <c r="B21" i="3" s="1"/>
  <c r="C36" i="5"/>
  <c r="C19" i="3" s="1"/>
  <c r="C38" i="5"/>
  <c r="C21" i="3" s="1"/>
  <c r="C41" i="5"/>
  <c r="C24" i="3" s="1"/>
  <c r="C22" i="3"/>
  <c r="C43" i="5"/>
  <c r="C26" i="3" s="1"/>
  <c r="C37" i="5"/>
  <c r="C20" i="3" s="1"/>
  <c r="C40" i="5"/>
  <c r="C23" i="3" s="1"/>
  <c r="C35" i="5"/>
  <c r="C18" i="3" s="1"/>
  <c r="C42" i="5"/>
  <c r="C25" i="3" s="1"/>
  <c r="B31" i="5"/>
  <c r="B14" i="3" s="1"/>
  <c r="B32" i="5"/>
  <c r="B15" i="3" s="1"/>
  <c r="B33" i="5"/>
  <c r="B16" i="3" s="1"/>
  <c r="B12" i="3"/>
  <c r="B30" i="5"/>
  <c r="B13" i="3" s="1"/>
  <c r="B22" i="3"/>
  <c r="B40" i="5"/>
  <c r="B23" i="3" s="1"/>
  <c r="B42" i="5"/>
  <c r="B25" i="3" s="1"/>
  <c r="B43" i="5"/>
  <c r="B26" i="3" s="1"/>
  <c r="B41" i="5"/>
  <c r="B24" i="3" s="1"/>
  <c r="B55" i="5"/>
  <c r="B38" i="3" s="1"/>
  <c r="B56" i="5"/>
  <c r="B39" i="3" s="1"/>
  <c r="B51" i="5"/>
  <c r="B34" i="3" s="1"/>
  <c r="B53" i="5"/>
  <c r="B36" i="3" s="1"/>
  <c r="B50" i="5"/>
  <c r="B33" i="3" s="1"/>
  <c r="B58" i="5"/>
  <c r="B41" i="3" s="1"/>
  <c r="B52" i="5"/>
  <c r="B35" i="3" s="1"/>
  <c r="B37" i="3"/>
  <c r="B57" i="5"/>
  <c r="B40" i="3" s="1"/>
  <c r="B15" i="5"/>
  <c r="B17" i="5"/>
  <c r="B2" i="3"/>
  <c r="B18" i="5"/>
  <c r="C10" i="5"/>
  <c r="C12" i="5"/>
  <c r="C13" i="5"/>
  <c r="C11" i="5"/>
</calcChain>
</file>

<file path=xl/sharedStrings.xml><?xml version="1.0" encoding="utf-8"?>
<sst xmlns="http://schemas.openxmlformats.org/spreadsheetml/2006/main" count="131" uniqueCount="98">
  <si>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</si>
  <si>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</si>
  <si>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</si>
  <si>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</si>
  <si>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</si>
  <si>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</si>
  <si>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</si>
  <si>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</si>
  <si>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</si>
  <si>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</si>
  <si>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</si>
  <si>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</si>
  <si>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</si>
  <si>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</si>
  <si>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</si>
  <si>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</si>
  <si>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</si>
  <si>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</si>
  <si>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</si>
  <si>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</si>
  <si>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</si>
  <si>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</si>
  <si>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</si>
  <si>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</si>
  <si>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</si>
  <si>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</si>
  <si>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</si>
  <si>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</si>
  <si>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</si>
  <si>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</si>
  <si>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</si>
  <si>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</si>
  <si>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</si>
  <si>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</si>
  <si>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</si>
  <si>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</si>
  <si>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</si>
  <si>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</si>
  <si>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</si>
  <si>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</si>
  <si>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</si>
  <si>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</si>
  <si>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</si>
  <si>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</si>
  <si>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</si>
  <si>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</si>
  <si>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</si>
  <si>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</si>
  <si>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</si>
  <si>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</si>
  <si>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</si>
  <si>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</si>
  <si>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</si>
  <si>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</si>
  <si>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</si>
  <si>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</si>
  <si>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</si>
  <si>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</si>
  <si>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</si>
  <si>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</si>
  <si>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</si>
  <si>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</si>
  <si>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</si>
  <si>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</si>
  <si>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</si>
  <si>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</si>
  <si>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</si>
  <si>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</si>
  <si>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</si>
  <si>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</si>
  <si>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</si>
  <si>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</si>
  <si>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</si>
  <si>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</si>
  <si>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</si>
  <si>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</si>
  <si>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</si>
  <si>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</si>
  <si>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</si>
  <si>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</si>
  <si>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</si>
  <si>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</si>
  <si>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</si>
  <si>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</si>
  <si>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</si>
  <si>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</si>
  <si>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</si>
  <si>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</si>
  <si>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</si>
  <si>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</si>
  <si>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</si>
  <si>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</si>
  <si>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</si>
  <si>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</si>
  <si>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uk</t>
  </si>
  <si>
    <t>Based on the 2011 IEA Energy Balances</t>
  </si>
  <si>
    <t>Based on the 2011 IEA Energy Balances ( Primary solid biofuels / (Industrial waste + Municipal waste (renewable) + Primary solid biofuels) )</t>
  </si>
  <si>
    <t>Production (incl.recovery of products) (ktoe)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</si>
</sst>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0000FF"/>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xr:uid="{00000000-0005-0000-0000-0000B1000000}"/>
    <cellStyle name="Percent 2" xfId="162" xr:uid="{00000000-0005-0000-0000-0000B2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E419-1F44-8495-67A277F5A510}"/>
            </c:ext>
          </c:extLst>
        </c:ser>
        <c:ser>
          <c:idx val="1"/>
          <c:order val="1"/>
          <c:tx>
            <c:strRef>
              <c:f>interpolation!$B$8</c:f>
              <c:strCache>
                <c:ptCount val="1"/>
                <c:pt idx="0">
                  <c:v>Coal</c:v>
                </c:pt>
              </c:strCache>
            </c:strRef>
          </c:tx>
          <c:val>
            <c:numRef>
              <c:f>interpolation!$B$9:$B$59</c:f>
              <c:numCache>
                <c:formatCode>General</c:formatCode>
                <c:ptCount val="51"/>
                <c:pt idx="0">
                  <c:v>4039517.868312961</c:v>
                </c:pt>
                <c:pt idx="1">
                  <c:v>3969621.138096001</c:v>
                </c:pt>
                <c:pt idx="2">
                  <c:v>3899724.407879041</c:v>
                </c:pt>
                <c:pt idx="3">
                  <c:v>3829827.6776620806</c:v>
                </c:pt>
                <c:pt idx="4">
                  <c:v>3759930.9474451207</c:v>
                </c:pt>
                <c:pt idx="5">
                  <c:v>3690034.2172281607</c:v>
                </c:pt>
                <c:pt idx="6">
                  <c:v>3572601.6115353606</c:v>
                </c:pt>
                <c:pt idx="7">
                  <c:v>3455169.0058425604</c:v>
                </c:pt>
                <c:pt idx="8">
                  <c:v>3337736.4001497598</c:v>
                </c:pt>
                <c:pt idx="9">
                  <c:v>3220303.7944569597</c:v>
                </c:pt>
                <c:pt idx="10">
                  <c:v>3102871.1887641596</c:v>
                </c:pt>
                <c:pt idx="11">
                  <c:v>3151628.51</c:v>
                </c:pt>
                <c:pt idx="12">
                  <c:v>3061124.2557653789</c:v>
                </c:pt>
                <c:pt idx="13">
                  <c:v>2970620.0015307581</c:v>
                </c:pt>
                <c:pt idx="14">
                  <c:v>2880115.7472961377</c:v>
                </c:pt>
                <c:pt idx="15">
                  <c:v>2789611.4930615169</c:v>
                </c:pt>
                <c:pt idx="16">
                  <c:v>2740485.3720997991</c:v>
                </c:pt>
                <c:pt idx="17">
                  <c:v>2691359.2511380813</c:v>
                </c:pt>
                <c:pt idx="18">
                  <c:v>2642233.130176364</c:v>
                </c:pt>
                <c:pt idx="19">
                  <c:v>2593107.0092146462</c:v>
                </c:pt>
                <c:pt idx="20">
                  <c:v>2543980.8882529284</c:v>
                </c:pt>
                <c:pt idx="21">
                  <c:v>2492602.7652193075</c:v>
                </c:pt>
                <c:pt idx="22">
                  <c:v>2441224.6421856866</c:v>
                </c:pt>
                <c:pt idx="23">
                  <c:v>2389846.5191520657</c:v>
                </c:pt>
                <c:pt idx="24">
                  <c:v>2338468.3961184449</c:v>
                </c:pt>
                <c:pt idx="25">
                  <c:v>2287090.273084824</c:v>
                </c:pt>
                <c:pt idx="26">
                  <c:v>2212308.0623124978</c:v>
                </c:pt>
                <c:pt idx="27">
                  <c:v>2137525.851540172</c:v>
                </c:pt>
                <c:pt idx="28">
                  <c:v>2062743.640767846</c:v>
                </c:pt>
                <c:pt idx="29">
                  <c:v>1987961.42999552</c:v>
                </c:pt>
                <c:pt idx="30">
                  <c:v>1913179.2192231941</c:v>
                </c:pt>
                <c:pt idx="31">
                  <c:v>1836970.3436790891</c:v>
                </c:pt>
                <c:pt idx="32">
                  <c:v>1760761.4681349844</c:v>
                </c:pt>
                <c:pt idx="33">
                  <c:v>1684552.5925908794</c:v>
                </c:pt>
                <c:pt idx="34">
                  <c:v>1608343.7170467745</c:v>
                </c:pt>
                <c:pt idx="35">
                  <c:v>1532134.8415026697</c:v>
                </c:pt>
                <c:pt idx="36">
                  <c:v>1471982.8234348211</c:v>
                </c:pt>
                <c:pt idx="37">
                  <c:v>1411830.8053669725</c:v>
                </c:pt>
                <c:pt idx="38">
                  <c:v>1351678.7872991238</c:v>
                </c:pt>
                <c:pt idx="39">
                  <c:v>1291526.7692312752</c:v>
                </c:pt>
                <c:pt idx="40">
                  <c:v>1231374.7511634266</c:v>
                </c:pt>
                <c:pt idx="41">
                  <c:v>1172702.4859285511</c:v>
                </c:pt>
                <c:pt idx="42">
                  <c:v>1114030.2206936756</c:v>
                </c:pt>
                <c:pt idx="43">
                  <c:v>1055357.9554588001</c:v>
                </c:pt>
                <c:pt idx="44">
                  <c:v>996685.6902239247</c:v>
                </c:pt>
                <c:pt idx="45">
                  <c:v>938013.42498904921</c:v>
                </c:pt>
                <c:pt idx="46">
                  <c:v>980538.09623867646</c:v>
                </c:pt>
                <c:pt idx="47">
                  <c:v>1023062.7674883037</c:v>
                </c:pt>
                <c:pt idx="48">
                  <c:v>1065587.438737931</c:v>
                </c:pt>
                <c:pt idx="49">
                  <c:v>1108112.1099875583</c:v>
                </c:pt>
                <c:pt idx="50">
                  <c:v>1150636.7812371855</c:v>
                </c:pt>
              </c:numCache>
            </c:numRef>
          </c:val>
          <c:smooth val="0"/>
          <c:extLst>
            <c:ext xmlns:c16="http://schemas.microsoft.com/office/drawing/2014/chart" uri="{C3380CC4-5D6E-409C-BE32-E72D297353CC}">
              <c16:uniqueId val="{00000001-E419-1F44-8495-67A277F5A510}"/>
            </c:ext>
          </c:extLst>
        </c:ser>
        <c:ser>
          <c:idx val="2"/>
          <c:order val="2"/>
          <c:tx>
            <c:strRef>
              <c:f>interpolation!$C$8</c:f>
              <c:strCache>
                <c:ptCount val="1"/>
                <c:pt idx="0">
                  <c:v>Lignite</c:v>
                </c:pt>
              </c:strCache>
            </c:strRef>
          </c:tx>
          <c:val>
            <c:numRef>
              <c:f>interpolation!$C$9:$C$59</c:f>
              <c:numCache>
                <c:formatCode>General</c:formatCode>
                <c:ptCount val="51"/>
                <c:pt idx="0">
                  <c:v>4945174.8992870413</c:v>
                </c:pt>
                <c:pt idx="1">
                  <c:v>4859607.3719040016</c:v>
                </c:pt>
                <c:pt idx="2">
                  <c:v>4774039.8445209609</c:v>
                </c:pt>
                <c:pt idx="3">
                  <c:v>4688472.3171379212</c:v>
                </c:pt>
                <c:pt idx="4">
                  <c:v>4602904.7897548806</c:v>
                </c:pt>
                <c:pt idx="5">
                  <c:v>4517337.2623718409</c:v>
                </c:pt>
                <c:pt idx="6">
                  <c:v>4373576.3500646409</c:v>
                </c:pt>
                <c:pt idx="7">
                  <c:v>4229815.4377574408</c:v>
                </c:pt>
                <c:pt idx="8">
                  <c:v>4086054.5254502404</c:v>
                </c:pt>
                <c:pt idx="9">
                  <c:v>3942293.6131430399</c:v>
                </c:pt>
                <c:pt idx="10">
                  <c:v>3798532.7008358398</c:v>
                </c:pt>
                <c:pt idx="11">
                  <c:v>3858091.19</c:v>
                </c:pt>
                <c:pt idx="12">
                  <c:v>3747328.4935793253</c:v>
                </c:pt>
                <c:pt idx="13">
                  <c:v>3636565.7971586511</c:v>
                </c:pt>
                <c:pt idx="14">
                  <c:v>3525803.1007379768</c:v>
                </c:pt>
                <c:pt idx="15">
                  <c:v>3415040.4043173022</c:v>
                </c:pt>
                <c:pt idx="16">
                  <c:v>3354900.2420011782</c:v>
                </c:pt>
                <c:pt idx="17">
                  <c:v>3294760.0796850538</c:v>
                </c:pt>
                <c:pt idx="18">
                  <c:v>3234619.9173689298</c:v>
                </c:pt>
                <c:pt idx="19">
                  <c:v>3174479.7550528054</c:v>
                </c:pt>
                <c:pt idx="20">
                  <c:v>3114339.5927366815</c:v>
                </c:pt>
                <c:pt idx="21">
                  <c:v>3051442.5310869818</c:v>
                </c:pt>
                <c:pt idx="22">
                  <c:v>2988545.4694372821</c:v>
                </c:pt>
                <c:pt idx="23">
                  <c:v>2925648.4077875828</c:v>
                </c:pt>
                <c:pt idx="24">
                  <c:v>2862751.3461378831</c:v>
                </c:pt>
                <c:pt idx="25">
                  <c:v>2799854.2844881834</c:v>
                </c:pt>
                <c:pt idx="26">
                  <c:v>2708305.9552864749</c:v>
                </c:pt>
                <c:pt idx="27">
                  <c:v>2616757.6260847659</c:v>
                </c:pt>
                <c:pt idx="28">
                  <c:v>2525209.2968830573</c:v>
                </c:pt>
                <c:pt idx="29">
                  <c:v>2433660.9676813483</c:v>
                </c:pt>
                <c:pt idx="30">
                  <c:v>2342112.6384796398</c:v>
                </c:pt>
                <c:pt idx="31">
                  <c:v>2248817.787279739</c:v>
                </c:pt>
                <c:pt idx="32">
                  <c:v>2155522.9360798383</c:v>
                </c:pt>
                <c:pt idx="33">
                  <c:v>2062228.0848799378</c:v>
                </c:pt>
                <c:pt idx="34">
                  <c:v>1968933.2336800373</c:v>
                </c:pt>
                <c:pt idx="35">
                  <c:v>1875638.3824801366</c:v>
                </c:pt>
                <c:pt idx="36">
                  <c:v>1802000.3247743004</c:v>
                </c:pt>
                <c:pt idx="37">
                  <c:v>1728362.2670684645</c:v>
                </c:pt>
                <c:pt idx="38">
                  <c:v>1654724.2093626284</c:v>
                </c:pt>
                <c:pt idx="39">
                  <c:v>1581086.1516567925</c:v>
                </c:pt>
                <c:pt idx="40">
                  <c:v>1507448.0939509564</c:v>
                </c:pt>
                <c:pt idx="41">
                  <c:v>1435621.5486100412</c:v>
                </c:pt>
                <c:pt idx="42">
                  <c:v>1363795.0032691259</c:v>
                </c:pt>
                <c:pt idx="43">
                  <c:v>1291968.457928211</c:v>
                </c:pt>
                <c:pt idx="44">
                  <c:v>1220141.9125872958</c:v>
                </c:pt>
                <c:pt idx="45">
                  <c:v>1148315.3672463805</c:v>
                </c:pt>
                <c:pt idx="46">
                  <c:v>1200374.0395235042</c:v>
                </c:pt>
                <c:pt idx="47">
                  <c:v>1252432.7118006281</c:v>
                </c:pt>
                <c:pt idx="48">
                  <c:v>1304491.3840777518</c:v>
                </c:pt>
                <c:pt idx="49">
                  <c:v>1356550.0563548757</c:v>
                </c:pt>
                <c:pt idx="50">
                  <c:v>1408608.7286319993</c:v>
                </c:pt>
              </c:numCache>
            </c:numRef>
          </c:val>
          <c:smooth val="0"/>
          <c:extLst>
            <c:ext xmlns:c16="http://schemas.microsoft.com/office/drawing/2014/chart" uri="{C3380CC4-5D6E-409C-BE32-E72D297353CC}">
              <c16:uniqueId val="{00000002-E419-1F44-8495-67A277F5A510}"/>
            </c:ext>
          </c:extLst>
        </c:ser>
        <c:ser>
          <c:idx val="3"/>
          <c:order val="3"/>
          <c:tx>
            <c:strRef>
              <c:f>interpolation!$D$8</c:f>
              <c:strCache>
                <c:ptCount val="1"/>
                <c:pt idx="0">
                  <c:v>Natural gas</c:v>
                </c:pt>
              </c:strCache>
            </c:strRef>
          </c:tx>
          <c:val>
            <c:numRef>
              <c:f>interpolation!$D$9:$D$59</c:f>
              <c:numCache>
                <c:formatCode>General</c:formatCode>
                <c:ptCount val="51"/>
                <c:pt idx="0">
                  <c:v>8768686.2171255555</c:v>
                </c:pt>
                <c:pt idx="1">
                  <c:v>8612385.2349712867</c:v>
                </c:pt>
                <c:pt idx="2">
                  <c:v>8456084.252817018</c:v>
                </c:pt>
                <c:pt idx="3">
                  <c:v>8299783.2706627483</c:v>
                </c:pt>
                <c:pt idx="4">
                  <c:v>8143482.2885084795</c:v>
                </c:pt>
                <c:pt idx="5">
                  <c:v>7987181.3063542107</c:v>
                </c:pt>
                <c:pt idx="6">
                  <c:v>7729083.2777844584</c:v>
                </c:pt>
                <c:pt idx="7">
                  <c:v>7470985.249214706</c:v>
                </c:pt>
                <c:pt idx="8">
                  <c:v>7212887.2206449546</c:v>
                </c:pt>
                <c:pt idx="9">
                  <c:v>6954789.1920752022</c:v>
                </c:pt>
                <c:pt idx="10">
                  <c:v>6696691.1635054499</c:v>
                </c:pt>
                <c:pt idx="11">
                  <c:v>5867098.4100000001</c:v>
                </c:pt>
                <c:pt idx="12">
                  <c:v>5640019.3528815154</c:v>
                </c:pt>
                <c:pt idx="13">
                  <c:v>5412940.2957630306</c:v>
                </c:pt>
                <c:pt idx="14">
                  <c:v>5185861.2386445468</c:v>
                </c:pt>
                <c:pt idx="15">
                  <c:v>4958782.1815260621</c:v>
                </c:pt>
                <c:pt idx="16">
                  <c:v>4858942.2156630438</c:v>
                </c:pt>
                <c:pt idx="17">
                  <c:v>4759102.2498000264</c:v>
                </c:pt>
                <c:pt idx="18">
                  <c:v>4659262.2839370081</c:v>
                </c:pt>
                <c:pt idx="19">
                  <c:v>4559422.3180739908</c:v>
                </c:pt>
                <c:pt idx="20">
                  <c:v>4459582.3522109725</c:v>
                </c:pt>
                <c:pt idx="21">
                  <c:v>4342872.2847303916</c:v>
                </c:pt>
                <c:pt idx="22">
                  <c:v>4226162.2172498116</c:v>
                </c:pt>
                <c:pt idx="23">
                  <c:v>4109452.1497692307</c:v>
                </c:pt>
                <c:pt idx="24">
                  <c:v>3992742.0822886503</c:v>
                </c:pt>
                <c:pt idx="25">
                  <c:v>3876032.0148080699</c:v>
                </c:pt>
                <c:pt idx="26">
                  <c:v>3758221.7598106028</c:v>
                </c:pt>
                <c:pt idx="27">
                  <c:v>3640411.5048131356</c:v>
                </c:pt>
                <c:pt idx="28">
                  <c:v>3522601.2498156684</c:v>
                </c:pt>
                <c:pt idx="29">
                  <c:v>3404790.9948182013</c:v>
                </c:pt>
                <c:pt idx="30">
                  <c:v>3286980.7398207341</c:v>
                </c:pt>
                <c:pt idx="31">
                  <c:v>3162097.0839976459</c:v>
                </c:pt>
                <c:pt idx="32">
                  <c:v>3037213.4281745581</c:v>
                </c:pt>
                <c:pt idx="33">
                  <c:v>2912329.7723514698</c:v>
                </c:pt>
                <c:pt idx="34">
                  <c:v>2787446.1165283821</c:v>
                </c:pt>
                <c:pt idx="35">
                  <c:v>2662562.4607052938</c:v>
                </c:pt>
                <c:pt idx="36">
                  <c:v>2627348.3869318259</c:v>
                </c:pt>
                <c:pt idx="37">
                  <c:v>2592134.313158358</c:v>
                </c:pt>
                <c:pt idx="38">
                  <c:v>2556920.2393848905</c:v>
                </c:pt>
                <c:pt idx="39">
                  <c:v>2521706.1656114226</c:v>
                </c:pt>
                <c:pt idx="40">
                  <c:v>2486492.0918379547</c:v>
                </c:pt>
                <c:pt idx="41">
                  <c:v>2470244.216653517</c:v>
                </c:pt>
                <c:pt idx="42">
                  <c:v>2453996.3414690793</c:v>
                </c:pt>
                <c:pt idx="43">
                  <c:v>2437748.4662846411</c:v>
                </c:pt>
                <c:pt idx="44">
                  <c:v>2421500.5911002033</c:v>
                </c:pt>
                <c:pt idx="45">
                  <c:v>2405252.7159157656</c:v>
                </c:pt>
                <c:pt idx="46">
                  <c:v>2370393.1567549682</c:v>
                </c:pt>
                <c:pt idx="47">
                  <c:v>2335533.5975941708</c:v>
                </c:pt>
                <c:pt idx="48">
                  <c:v>2300674.0384333734</c:v>
                </c:pt>
                <c:pt idx="49">
                  <c:v>2265814.479272576</c:v>
                </c:pt>
                <c:pt idx="50">
                  <c:v>2230954.9201117787</c:v>
                </c:pt>
              </c:numCache>
            </c:numRef>
          </c:val>
          <c:smooth val="0"/>
          <c:extLst>
            <c:ext xmlns:c16="http://schemas.microsoft.com/office/drawing/2014/chart" uri="{C3380CC4-5D6E-409C-BE32-E72D297353CC}">
              <c16:uniqueId val="{00000003-E419-1F44-8495-67A277F5A510}"/>
            </c:ext>
          </c:extLst>
        </c:ser>
        <c:ser>
          <c:idx val="4"/>
          <c:order val="4"/>
          <c:tx>
            <c:strRef>
              <c:f>interpolation!$E$8</c:f>
              <c:strCache>
                <c:ptCount val="1"/>
                <c:pt idx="0">
                  <c:v>Crude oil</c:v>
                </c:pt>
              </c:strCache>
            </c:strRef>
          </c:tx>
          <c:val>
            <c:numRef>
              <c:f>interpolation!$E$9:$E$59</c:f>
              <c:numCache>
                <c:formatCode>General</c:formatCode>
                <c:ptCount val="51"/>
                <c:pt idx="0">
                  <c:v>7280870.3208000008</c:v>
                </c:pt>
                <c:pt idx="1">
                  <c:v>6959764.5321600009</c:v>
                </c:pt>
                <c:pt idx="2">
                  <c:v>6638658.7435200009</c:v>
                </c:pt>
                <c:pt idx="3">
                  <c:v>6317552.954880001</c:v>
                </c:pt>
                <c:pt idx="4">
                  <c:v>5996447.1662400011</c:v>
                </c:pt>
                <c:pt idx="5">
                  <c:v>5675341.3776000012</c:v>
                </c:pt>
                <c:pt idx="6">
                  <c:v>5381052.8803200014</c:v>
                </c:pt>
                <c:pt idx="7">
                  <c:v>5086764.3830400016</c:v>
                </c:pt>
                <c:pt idx="8">
                  <c:v>4792475.8857600018</c:v>
                </c:pt>
                <c:pt idx="9">
                  <c:v>4498187.3884800011</c:v>
                </c:pt>
                <c:pt idx="10">
                  <c:v>4203898.8912000014</c:v>
                </c:pt>
                <c:pt idx="11">
                  <c:v>3524038.7800000003</c:v>
                </c:pt>
                <c:pt idx="12">
                  <c:v>3464988.573503051</c:v>
                </c:pt>
                <c:pt idx="13">
                  <c:v>3405938.3670061021</c:v>
                </c:pt>
                <c:pt idx="14">
                  <c:v>3346888.1605091533</c:v>
                </c:pt>
                <c:pt idx="15">
                  <c:v>3287837.954012204</c:v>
                </c:pt>
                <c:pt idx="16">
                  <c:v>3214146.2167888028</c:v>
                </c:pt>
                <c:pt idx="17">
                  <c:v>3140454.4795654016</c:v>
                </c:pt>
                <c:pt idx="18">
                  <c:v>3066762.7423419999</c:v>
                </c:pt>
                <c:pt idx="19">
                  <c:v>2993071.0051185987</c:v>
                </c:pt>
                <c:pt idx="20">
                  <c:v>2919379.2678951975</c:v>
                </c:pt>
                <c:pt idx="21">
                  <c:v>2821884.2402322791</c:v>
                </c:pt>
                <c:pt idx="22">
                  <c:v>2724389.2125693606</c:v>
                </c:pt>
                <c:pt idx="23">
                  <c:v>2626894.1849064426</c:v>
                </c:pt>
                <c:pt idx="24">
                  <c:v>2529399.1572435242</c:v>
                </c:pt>
                <c:pt idx="25">
                  <c:v>2431904.1295806058</c:v>
                </c:pt>
                <c:pt idx="26">
                  <c:v>2349219.1199677992</c:v>
                </c:pt>
                <c:pt idx="27">
                  <c:v>2266534.1103549921</c:v>
                </c:pt>
                <c:pt idx="28">
                  <c:v>2183849.1007421855</c:v>
                </c:pt>
                <c:pt idx="29">
                  <c:v>2101164.0911293784</c:v>
                </c:pt>
                <c:pt idx="30">
                  <c:v>2018479.0815165718</c:v>
                </c:pt>
                <c:pt idx="31">
                  <c:v>1922773.6258864508</c:v>
                </c:pt>
                <c:pt idx="32">
                  <c:v>1827068.1702563295</c:v>
                </c:pt>
                <c:pt idx="33">
                  <c:v>1731362.7146262084</c:v>
                </c:pt>
                <c:pt idx="34">
                  <c:v>1635657.2589960871</c:v>
                </c:pt>
                <c:pt idx="35">
                  <c:v>1539951.8033659661</c:v>
                </c:pt>
                <c:pt idx="36">
                  <c:v>1473100.2823305163</c:v>
                </c:pt>
                <c:pt idx="37">
                  <c:v>1406248.7612950662</c:v>
                </c:pt>
                <c:pt idx="38">
                  <c:v>1339397.2402596164</c:v>
                </c:pt>
                <c:pt idx="39">
                  <c:v>1272545.7192241666</c:v>
                </c:pt>
                <c:pt idx="40">
                  <c:v>1205694.1981887165</c:v>
                </c:pt>
                <c:pt idx="41">
                  <c:v>1141172.736494754</c:v>
                </c:pt>
                <c:pt idx="42">
                  <c:v>1076651.2748007912</c:v>
                </c:pt>
                <c:pt idx="43">
                  <c:v>1012129.8131068285</c:v>
                </c:pt>
                <c:pt idx="44">
                  <c:v>947608.3514128658</c:v>
                </c:pt>
                <c:pt idx="45">
                  <c:v>883086.88971890311</c:v>
                </c:pt>
                <c:pt idx="46">
                  <c:v>823936.06150085153</c:v>
                </c:pt>
                <c:pt idx="47">
                  <c:v>764785.23328280007</c:v>
                </c:pt>
                <c:pt idx="48">
                  <c:v>705634.40506474848</c:v>
                </c:pt>
                <c:pt idx="49">
                  <c:v>646483.5768466969</c:v>
                </c:pt>
                <c:pt idx="50">
                  <c:v>587332.74862864544</c:v>
                </c:pt>
              </c:numCache>
            </c:numRef>
          </c:val>
          <c:smooth val="0"/>
          <c:extLst>
            <c:ext xmlns:c16="http://schemas.microsoft.com/office/drawing/2014/chart" uri="{C3380CC4-5D6E-409C-BE32-E72D297353CC}">
              <c16:uniqueId val="{00000004-E419-1F44-8495-67A277F5A510}"/>
            </c:ext>
          </c:extLst>
        </c:ser>
        <c:ser>
          <c:idx val="5"/>
          <c:order val="5"/>
          <c:tx>
            <c:strRef>
              <c:f>interpolation!$F$8</c:f>
              <c:strCache>
                <c:ptCount val="1"/>
                <c:pt idx="0">
                  <c:v>Uranium oxide</c:v>
                </c:pt>
              </c:strCache>
            </c:strRef>
          </c:tx>
          <c:val>
            <c:numRef>
              <c:f>interpolation!$F$9:$F$59</c:f>
              <c:numCache>
                <c:formatCode>General</c:formatCode>
                <c:ptCount val="51"/>
                <c:pt idx="0">
                  <c:v>10209130.801200001</c:v>
                </c:pt>
                <c:pt idx="1">
                  <c:v>10323640.618560001</c:v>
                </c:pt>
                <c:pt idx="2">
                  <c:v>10438150.43592</c:v>
                </c:pt>
                <c:pt idx="3">
                  <c:v>10552660.253280001</c:v>
                </c:pt>
                <c:pt idx="4">
                  <c:v>10667170.07064</c:v>
                </c:pt>
                <c:pt idx="5">
                  <c:v>10781679.888</c:v>
                </c:pt>
                <c:pt idx="6">
                  <c:v>10606221.985680001</c:v>
                </c:pt>
                <c:pt idx="7">
                  <c:v>10430764.083360001</c:v>
                </c:pt>
                <c:pt idx="8">
                  <c:v>10255306.18104</c:v>
                </c:pt>
                <c:pt idx="9">
                  <c:v>10079848.278720001</c:v>
                </c:pt>
                <c:pt idx="10">
                  <c:v>9904390.3764000013</c:v>
                </c:pt>
                <c:pt idx="11">
                  <c:v>9899121.0800000001</c:v>
                </c:pt>
                <c:pt idx="12">
                  <c:v>9654260.3998455312</c:v>
                </c:pt>
                <c:pt idx="13">
                  <c:v>9409399.7196910623</c:v>
                </c:pt>
                <c:pt idx="14">
                  <c:v>9164539.0395365935</c:v>
                </c:pt>
                <c:pt idx="15">
                  <c:v>8919678.3593821246</c:v>
                </c:pt>
                <c:pt idx="16">
                  <c:v>8718138.3262627516</c:v>
                </c:pt>
                <c:pt idx="17">
                  <c:v>8516598.2931433804</c:v>
                </c:pt>
                <c:pt idx="18">
                  <c:v>8315058.2600240074</c:v>
                </c:pt>
                <c:pt idx="19">
                  <c:v>8113518.2269046353</c:v>
                </c:pt>
                <c:pt idx="20">
                  <c:v>7911978.1937852632</c:v>
                </c:pt>
                <c:pt idx="21">
                  <c:v>7792776.7932918007</c:v>
                </c:pt>
                <c:pt idx="22">
                  <c:v>7673575.3927983372</c:v>
                </c:pt>
                <c:pt idx="23">
                  <c:v>7554373.9923048746</c:v>
                </c:pt>
                <c:pt idx="24">
                  <c:v>7435172.5918114111</c:v>
                </c:pt>
                <c:pt idx="25">
                  <c:v>7315971.1913179485</c:v>
                </c:pt>
                <c:pt idx="26">
                  <c:v>7420581.8219108861</c:v>
                </c:pt>
                <c:pt idx="27">
                  <c:v>7525192.4525038237</c:v>
                </c:pt>
                <c:pt idx="28">
                  <c:v>7629803.0830967613</c:v>
                </c:pt>
                <c:pt idx="29">
                  <c:v>7734413.7136896988</c:v>
                </c:pt>
                <c:pt idx="30">
                  <c:v>7839024.3442826364</c:v>
                </c:pt>
                <c:pt idx="31">
                  <c:v>7843344.017394877</c:v>
                </c:pt>
                <c:pt idx="32">
                  <c:v>7847663.6905071167</c:v>
                </c:pt>
                <c:pt idx="33">
                  <c:v>7851983.3636193573</c:v>
                </c:pt>
                <c:pt idx="34">
                  <c:v>7856303.036731597</c:v>
                </c:pt>
                <c:pt idx="35">
                  <c:v>7860622.7098438377</c:v>
                </c:pt>
                <c:pt idx="36">
                  <c:v>7721421.8347641109</c:v>
                </c:pt>
                <c:pt idx="37">
                  <c:v>7582220.9596843841</c:v>
                </c:pt>
                <c:pt idx="38">
                  <c:v>7443020.0846046573</c:v>
                </c:pt>
                <c:pt idx="39">
                  <c:v>7303819.2095249305</c:v>
                </c:pt>
                <c:pt idx="40">
                  <c:v>7164618.3344452037</c:v>
                </c:pt>
                <c:pt idx="41">
                  <c:v>7119995.3626904823</c:v>
                </c:pt>
                <c:pt idx="42">
                  <c:v>7075372.3909357609</c:v>
                </c:pt>
                <c:pt idx="43">
                  <c:v>7030749.4191810396</c:v>
                </c:pt>
                <c:pt idx="44">
                  <c:v>6986126.4474263182</c:v>
                </c:pt>
                <c:pt idx="45">
                  <c:v>6941503.4756715968</c:v>
                </c:pt>
                <c:pt idx="46">
                  <c:v>6925007.3564703558</c:v>
                </c:pt>
                <c:pt idx="47">
                  <c:v>6908511.2372691147</c:v>
                </c:pt>
                <c:pt idx="48">
                  <c:v>6892015.1180678736</c:v>
                </c:pt>
                <c:pt idx="49">
                  <c:v>6875518.9988666326</c:v>
                </c:pt>
                <c:pt idx="50">
                  <c:v>6859022.8796653915</c:v>
                </c:pt>
              </c:numCache>
            </c:numRef>
          </c:val>
          <c:smooth val="0"/>
          <c:extLst>
            <c:ext xmlns:c16="http://schemas.microsoft.com/office/drawing/2014/chart" uri="{C3380CC4-5D6E-409C-BE32-E72D297353CC}">
              <c16:uniqueId val="{00000005-E419-1F44-8495-67A277F5A510}"/>
            </c:ext>
          </c:extLst>
        </c:ser>
        <c:ser>
          <c:idx val="6"/>
          <c:order val="6"/>
          <c:tx>
            <c:strRef>
              <c:f>interpolation!$G$8</c:f>
              <c:strCache>
                <c:ptCount val="1"/>
                <c:pt idx="0">
                  <c:v>Woody biomass</c:v>
                </c:pt>
              </c:strCache>
            </c:strRef>
          </c:tx>
          <c:val>
            <c:numRef>
              <c:f>interpolation!$G$9:$G$59</c:f>
              <c:numCache>
                <c:formatCode>General</c:formatCode>
                <c:ptCount val="51"/>
                <c:pt idx="0">
                  <c:v>2319683.4857818517</c:v>
                </c:pt>
                <c:pt idx="1">
                  <c:v>2457460.5832965812</c:v>
                </c:pt>
                <c:pt idx="2">
                  <c:v>2595237.6808113107</c:v>
                </c:pt>
                <c:pt idx="3">
                  <c:v>2733014.7783260401</c:v>
                </c:pt>
                <c:pt idx="4">
                  <c:v>2870791.8758407701</c:v>
                </c:pt>
                <c:pt idx="5">
                  <c:v>3008568.9733554996</c:v>
                </c:pt>
                <c:pt idx="6">
                  <c:v>3252714.5384540944</c:v>
                </c:pt>
                <c:pt idx="7">
                  <c:v>3496860.1035526893</c:v>
                </c:pt>
                <c:pt idx="8">
                  <c:v>3741005.6686512837</c:v>
                </c:pt>
                <c:pt idx="9">
                  <c:v>3985151.2337498786</c:v>
                </c:pt>
                <c:pt idx="10">
                  <c:v>4229296.7988484735</c:v>
                </c:pt>
                <c:pt idx="11">
                  <c:v>4321543.3490961995</c:v>
                </c:pt>
                <c:pt idx="12">
                  <c:v>4413789.8993439246</c:v>
                </c:pt>
                <c:pt idx="13">
                  <c:v>4506036.4495916506</c:v>
                </c:pt>
                <c:pt idx="14">
                  <c:v>4598282.9998393757</c:v>
                </c:pt>
                <c:pt idx="15">
                  <c:v>4690529.5500871018</c:v>
                </c:pt>
                <c:pt idx="16">
                  <c:v>4908607.2334113829</c:v>
                </c:pt>
                <c:pt idx="17">
                  <c:v>5126684.9167356631</c:v>
                </c:pt>
                <c:pt idx="18">
                  <c:v>5344762.6000599442</c:v>
                </c:pt>
                <c:pt idx="19">
                  <c:v>5562840.2833842244</c:v>
                </c:pt>
                <c:pt idx="20">
                  <c:v>5780917.9667085055</c:v>
                </c:pt>
                <c:pt idx="21">
                  <c:v>5791603.9239477403</c:v>
                </c:pt>
                <c:pt idx="22">
                  <c:v>5802289.8811869752</c:v>
                </c:pt>
                <c:pt idx="23">
                  <c:v>5812975.8384262109</c:v>
                </c:pt>
                <c:pt idx="24">
                  <c:v>5823661.7956654457</c:v>
                </c:pt>
                <c:pt idx="25">
                  <c:v>5834347.7529046806</c:v>
                </c:pt>
                <c:pt idx="26">
                  <c:v>5856856.6767845117</c:v>
                </c:pt>
                <c:pt idx="27">
                  <c:v>5879365.6006643428</c:v>
                </c:pt>
                <c:pt idx="28">
                  <c:v>5901874.5245441739</c:v>
                </c:pt>
                <c:pt idx="29">
                  <c:v>5924383.4484240049</c:v>
                </c:pt>
                <c:pt idx="30">
                  <c:v>5946892.372303836</c:v>
                </c:pt>
                <c:pt idx="31">
                  <c:v>5958465.6234526439</c:v>
                </c:pt>
                <c:pt idx="32">
                  <c:v>5970038.8746014517</c:v>
                </c:pt>
                <c:pt idx="33">
                  <c:v>5981612.1257502604</c:v>
                </c:pt>
                <c:pt idx="34">
                  <c:v>5993185.3768990682</c:v>
                </c:pt>
                <c:pt idx="35">
                  <c:v>6004758.6280478761</c:v>
                </c:pt>
                <c:pt idx="36">
                  <c:v>6062200.660904265</c:v>
                </c:pt>
                <c:pt idx="37">
                  <c:v>6119642.693760654</c:v>
                </c:pt>
                <c:pt idx="38">
                  <c:v>6177084.7266170438</c:v>
                </c:pt>
                <c:pt idx="39">
                  <c:v>6234526.7594734328</c:v>
                </c:pt>
                <c:pt idx="40">
                  <c:v>6291968.7923298217</c:v>
                </c:pt>
                <c:pt idx="41">
                  <c:v>6317496.3964231014</c:v>
                </c:pt>
                <c:pt idx="42">
                  <c:v>6343024.000516382</c:v>
                </c:pt>
                <c:pt idx="43">
                  <c:v>6368551.6046096617</c:v>
                </c:pt>
                <c:pt idx="44">
                  <c:v>6394079.2087029424</c:v>
                </c:pt>
                <c:pt idx="45">
                  <c:v>6419606.812796222</c:v>
                </c:pt>
                <c:pt idx="46">
                  <c:v>6435183.08125568</c:v>
                </c:pt>
                <c:pt idx="47">
                  <c:v>6450759.3497151379</c:v>
                </c:pt>
                <c:pt idx="48">
                  <c:v>6466335.6181745958</c:v>
                </c:pt>
                <c:pt idx="49">
                  <c:v>6481911.8866340537</c:v>
                </c:pt>
                <c:pt idx="50">
                  <c:v>6497488.1550935116</c:v>
                </c:pt>
              </c:numCache>
            </c:numRef>
          </c:val>
          <c:smooth val="0"/>
          <c:extLst>
            <c:ext xmlns:c16="http://schemas.microsoft.com/office/drawing/2014/chart" uri="{C3380CC4-5D6E-409C-BE32-E72D297353CC}">
              <c16:uniqueId val="{00000006-E419-1F44-8495-67A277F5A510}"/>
            </c:ext>
          </c:extLst>
        </c:ser>
        <c:dLbls>
          <c:showLegendKey val="0"/>
          <c:showVal val="0"/>
          <c:showCatName val="0"/>
          <c:showSerName val="0"/>
          <c:showPercent val="0"/>
          <c:showBubbleSize val="0"/>
        </c:dLbls>
        <c:marker val="1"/>
        <c:smooth val="0"/>
        <c:axId val="-2134639688"/>
        <c:axId val="2123526200"/>
      </c:lineChart>
      <c:catAx>
        <c:axId val="-2134639688"/>
        <c:scaling>
          <c:orientation val="minMax"/>
        </c:scaling>
        <c:delete val="0"/>
        <c:axPos val="b"/>
        <c:majorTickMark val="out"/>
        <c:minorTickMark val="none"/>
        <c:tickLblPos val="nextTo"/>
        <c:crossAx val="2123526200"/>
        <c:crosses val="autoZero"/>
        <c:auto val="1"/>
        <c:lblAlgn val="ctr"/>
        <c:lblOffset val="100"/>
        <c:noMultiLvlLbl val="0"/>
      </c:catAx>
      <c:valAx>
        <c:axId val="2123526200"/>
        <c:scaling>
          <c:orientation val="minMax"/>
        </c:scaling>
        <c:delete val="0"/>
        <c:axPos val="l"/>
        <c:majorGridlines/>
        <c:numFmt formatCode="General" sourceLinked="1"/>
        <c:majorTickMark val="out"/>
        <c:minorTickMark val="none"/>
        <c:tickLblPos val="nextTo"/>
        <c:crossAx val="-213463968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eu</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6" sqref="C6"/>
    </sheetView>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94</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84</v>
      </c>
    </row>
    <row r="12" spans="2:3" s="67" customFormat="1" ht="30" customHeight="1" x14ac:dyDescent="0.2">
      <c r="B12" s="72" t="s">
        <v>79</v>
      </c>
      <c r="C12" s="71" t="s">
        <v>85</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ht="17" x14ac:dyDescent="0.2">
      <c r="B6" s="76" t="s">
        <v>86</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87</v>
      </c>
      <c r="C11" s="21"/>
    </row>
    <row r="12" spans="2:3" ht="15" customHeight="1" x14ac:dyDescent="0.2">
      <c r="B12" s="79" t="s">
        <v>88</v>
      </c>
      <c r="C12" s="21"/>
    </row>
    <row r="13" spans="2:3" ht="15" customHeight="1" x14ac:dyDescent="0.2">
      <c r="B13" s="79" t="s">
        <v>89</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102"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22"/>
  <sheetViews>
    <sheetView workbookViewId="0"/>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56" t="s">
        <v>68</v>
      </c>
      <c r="C5" s="157"/>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4" x14ac:dyDescent="0.2">
      <c r="B11" s="104"/>
      <c r="C11" s="103" t="s">
        <v>90</v>
      </c>
      <c r="D11" s="105"/>
      <c r="F11" s="106"/>
    </row>
    <row r="12" spans="1:6" x14ac:dyDescent="0.2">
      <c r="B12" s="104"/>
      <c r="C12" s="103"/>
      <c r="D12" s="105"/>
      <c r="F12" s="106"/>
    </row>
    <row r="13" spans="1:6" ht="17" thickBot="1" x14ac:dyDescent="0.25">
      <c r="B13" s="107"/>
      <c r="C13" s="108"/>
      <c r="D13" s="109"/>
    </row>
    <row r="14" spans="1:6" ht="17" thickBot="1" x14ac:dyDescent="0.25">
      <c r="B14" s="86"/>
      <c r="C14" s="86"/>
      <c r="D14" s="86"/>
    </row>
    <row r="15" spans="1:6" x14ac:dyDescent="0.2">
      <c r="B15" s="89" t="s">
        <v>73</v>
      </c>
      <c r="C15" s="90"/>
      <c r="D15" s="91"/>
    </row>
    <row r="16" spans="1:6" x14ac:dyDescent="0.2">
      <c r="B16" s="92"/>
      <c r="C16" s="93"/>
      <c r="D16" s="94"/>
    </row>
    <row r="17" spans="2:4" x14ac:dyDescent="0.2">
      <c r="B17" s="96" t="s">
        <v>70</v>
      </c>
      <c r="C17" s="97" t="s">
        <v>71</v>
      </c>
      <c r="D17" s="98" t="s">
        <v>74</v>
      </c>
    </row>
    <row r="18" spans="2:4" x14ac:dyDescent="0.2">
      <c r="B18" s="99"/>
      <c r="C18" s="110"/>
      <c r="D18" s="101"/>
    </row>
    <row r="19" spans="2:4" x14ac:dyDescent="0.2">
      <c r="B19" s="102"/>
      <c r="C19" s="103"/>
      <c r="D19" s="105"/>
    </row>
    <row r="20" spans="2:4" x14ac:dyDescent="0.2">
      <c r="B20" s="102"/>
      <c r="C20" s="111"/>
      <c r="D20" s="112"/>
    </row>
    <row r="21" spans="2:4" ht="17" thickBot="1" x14ac:dyDescent="0.25">
      <c r="B21" s="113"/>
      <c r="C21" s="114"/>
      <c r="D21" s="115"/>
    </row>
    <row r="22" spans="2:4" x14ac:dyDescent="0.2">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B21" sqref="B21:M31"/>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58" t="s">
        <v>91</v>
      </c>
      <c r="C5" s="159"/>
      <c r="D5" s="159"/>
      <c r="E5" s="159"/>
      <c r="F5" s="159"/>
      <c r="G5" s="160"/>
      <c r="H5" s="122"/>
      <c r="I5" s="122"/>
      <c r="J5" s="86"/>
      <c r="K5" s="126"/>
      <c r="L5" s="21"/>
      <c r="M5" s="21"/>
    </row>
    <row r="6" spans="2:14" s="16" customFormat="1" x14ac:dyDescent="0.2">
      <c r="B6" s="158"/>
      <c r="C6" s="159"/>
      <c r="D6" s="159"/>
      <c r="E6" s="159"/>
      <c r="F6" s="159"/>
      <c r="G6" s="160"/>
      <c r="H6" s="122"/>
      <c r="I6" s="122"/>
      <c r="J6" s="86"/>
      <c r="K6" s="126"/>
      <c r="L6" s="21"/>
      <c r="M6" s="21"/>
    </row>
    <row r="7" spans="2:14" s="16" customFormat="1" x14ac:dyDescent="0.2">
      <c r="B7" s="156"/>
      <c r="C7" s="161"/>
      <c r="D7" s="161"/>
      <c r="E7" s="161"/>
      <c r="F7" s="161"/>
      <c r="G7" s="157"/>
      <c r="H7" s="122"/>
      <c r="I7" s="122"/>
      <c r="J7" s="86"/>
      <c r="K7" s="126"/>
      <c r="L7" s="21"/>
      <c r="M7" s="21"/>
    </row>
    <row r="8" spans="2:14" s="16" customFormat="1" ht="15" customHeight="1" thickBot="1" x14ac:dyDescent="0.25">
      <c r="D8" s="116"/>
      <c r="E8" s="86"/>
      <c r="F8" s="86"/>
      <c r="G8" s="86"/>
      <c r="H8" s="86"/>
      <c r="I8" s="86"/>
    </row>
    <row r="9" spans="2:14" x14ac:dyDescent="0.2">
      <c r="B9" s="143" t="s">
        <v>18</v>
      </c>
      <c r="C9" s="127"/>
      <c r="D9" s="127"/>
      <c r="E9" s="127"/>
      <c r="F9" s="144"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f>1-D12</f>
        <v>0.4496</v>
      </c>
      <c r="E11" s="130"/>
      <c r="F11" s="141" t="s">
        <v>95</v>
      </c>
      <c r="G11" s="130"/>
      <c r="H11" s="130"/>
      <c r="I11" s="130"/>
      <c r="J11" s="130"/>
      <c r="K11" s="130"/>
      <c r="L11" s="130"/>
      <c r="M11" s="130"/>
      <c r="N11" s="131"/>
    </row>
    <row r="12" spans="2:14" ht="15" customHeight="1" thickBot="1" x14ac:dyDescent="0.25">
      <c r="B12" s="129" t="s">
        <v>22</v>
      </c>
      <c r="D12" s="13">
        <v>0.5504</v>
      </c>
      <c r="E12" s="130"/>
      <c r="F12" s="142" t="s">
        <v>95</v>
      </c>
      <c r="G12" s="130"/>
      <c r="H12" s="130"/>
      <c r="I12" s="130"/>
      <c r="J12" s="130"/>
      <c r="K12" s="130"/>
      <c r="L12" s="130"/>
      <c r="M12" s="130"/>
      <c r="N12" s="131"/>
    </row>
    <row r="13" spans="2:14" ht="17" thickBot="1" x14ac:dyDescent="0.25">
      <c r="B13" s="129"/>
      <c r="D13" s="14"/>
      <c r="E13" s="130"/>
      <c r="F13" s="130"/>
      <c r="G13" s="130"/>
      <c r="H13" s="130"/>
      <c r="I13" s="130"/>
      <c r="J13" s="130"/>
      <c r="K13" s="130"/>
      <c r="L13" s="130"/>
      <c r="M13" s="130"/>
      <c r="N13" s="131"/>
    </row>
    <row r="14" spans="2:14" ht="17" thickBot="1" x14ac:dyDescent="0.25">
      <c r="B14" s="129" t="s">
        <v>23</v>
      </c>
      <c r="D14" s="13">
        <v>0.8448</v>
      </c>
      <c r="E14" s="130"/>
      <c r="F14" s="142" t="s">
        <v>96</v>
      </c>
      <c r="G14" s="130"/>
      <c r="H14" s="130"/>
      <c r="I14" s="130"/>
      <c r="J14" s="130"/>
      <c r="K14" s="130"/>
      <c r="L14" s="130"/>
      <c r="M14" s="130"/>
      <c r="N14" s="131"/>
    </row>
    <row r="15" spans="2:14" x14ac:dyDescent="0.2">
      <c r="B15" s="129"/>
      <c r="D15" s="130"/>
      <c r="E15" s="130"/>
      <c r="F15" s="130"/>
      <c r="G15" s="130"/>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c r="C20" s="3"/>
      <c r="D20" s="3"/>
      <c r="E20" s="3"/>
      <c r="F20" s="3"/>
      <c r="G20" s="3"/>
      <c r="H20" s="3"/>
      <c r="I20" s="3"/>
      <c r="J20" s="3"/>
      <c r="K20" s="3"/>
      <c r="L20" s="3"/>
      <c r="M20" s="3"/>
      <c r="N20" s="131"/>
    </row>
    <row r="21" spans="2:14" x14ac:dyDescent="0.2">
      <c r="B21" s="132" t="s">
        <v>97</v>
      </c>
      <c r="C21" s="4">
        <v>944995.57317811018</v>
      </c>
      <c r="D21" s="5">
        <v>903985.74905937281</v>
      </c>
      <c r="E21" s="5">
        <v>835772.42248270777</v>
      </c>
      <c r="F21" s="5">
        <v>758584.76478003722</v>
      </c>
      <c r="G21" s="5">
        <v>756920.2335629859</v>
      </c>
      <c r="H21" s="5">
        <v>716020.63737892604</v>
      </c>
      <c r="I21" s="5">
        <v>701817.21261609858</v>
      </c>
      <c r="J21" s="5">
        <v>664399.58980373968</v>
      </c>
      <c r="K21" s="5">
        <v>645477.41551735811</v>
      </c>
      <c r="L21" s="5">
        <v>639418.99326144194</v>
      </c>
      <c r="M21" s="6">
        <v>661556.34416392073</v>
      </c>
      <c r="N21" s="131"/>
    </row>
    <row r="22" spans="2:14" x14ac:dyDescent="0.2">
      <c r="B22" s="135" t="s">
        <v>9</v>
      </c>
      <c r="C22" s="7">
        <v>214595.7</v>
      </c>
      <c r="D22" s="8">
        <v>196029.70000000004</v>
      </c>
      <c r="E22" s="8">
        <v>164837.19999999998</v>
      </c>
      <c r="F22" s="8">
        <v>148195.56456909378</v>
      </c>
      <c r="G22" s="8">
        <v>135146.66286876873</v>
      </c>
      <c r="H22" s="8">
        <v>121499.58339478855</v>
      </c>
      <c r="I22" s="8">
        <v>101635.89991647161</v>
      </c>
      <c r="J22" s="8">
        <v>81393.265118534589</v>
      </c>
      <c r="K22" s="8">
        <v>65415.659814521416</v>
      </c>
      <c r="L22" s="8">
        <v>49831.107104123184</v>
      </c>
      <c r="M22" s="9">
        <v>61126.528849459843</v>
      </c>
      <c r="N22" s="131"/>
    </row>
    <row r="23" spans="2:14" x14ac:dyDescent="0.2">
      <c r="B23" s="135" t="s">
        <v>10</v>
      </c>
      <c r="C23" s="7">
        <v>173900.6</v>
      </c>
      <c r="D23" s="8">
        <v>135553.20000000001</v>
      </c>
      <c r="E23" s="8">
        <v>100408.40000000004</v>
      </c>
      <c r="F23" s="8">
        <v>78528.660409195654</v>
      </c>
      <c r="G23" s="8">
        <v>69728.175883615113</v>
      </c>
      <c r="H23" s="8">
        <v>58085.032234178987</v>
      </c>
      <c r="I23" s="8">
        <v>48210.544604867006</v>
      </c>
      <c r="J23" s="8">
        <v>36781.116923807349</v>
      </c>
      <c r="K23" s="8">
        <v>28797.511182495378</v>
      </c>
      <c r="L23" s="8">
        <v>21092.167997489803</v>
      </c>
      <c r="M23" s="9">
        <v>14028.201696490049</v>
      </c>
      <c r="N23" s="131"/>
    </row>
    <row r="24" spans="2:14" x14ac:dyDescent="0.2">
      <c r="B24" s="135" t="s">
        <v>3</v>
      </c>
      <c r="C24" s="7">
        <v>209436.47217745188</v>
      </c>
      <c r="D24" s="8">
        <v>190770.54806425457</v>
      </c>
      <c r="E24" s="8">
        <v>159947.72053848882</v>
      </c>
      <c r="F24" s="8">
        <v>118438.47763270425</v>
      </c>
      <c r="G24" s="8">
        <v>106515.29454979871</v>
      </c>
      <c r="H24" s="8">
        <v>92577.4341933713</v>
      </c>
      <c r="I24" s="8">
        <v>78508.186199979318</v>
      </c>
      <c r="J24" s="8">
        <v>63594.211825386781</v>
      </c>
      <c r="K24" s="8">
        <v>59388.843313221427</v>
      </c>
      <c r="L24" s="8">
        <v>57448.474154862073</v>
      </c>
      <c r="M24" s="9">
        <v>53285.442822962134</v>
      </c>
      <c r="N24" s="131"/>
    </row>
    <row r="25" spans="2:14" x14ac:dyDescent="0.2">
      <c r="B25" s="135" t="s">
        <v>11</v>
      </c>
      <c r="C25" s="7">
        <v>243840.9</v>
      </c>
      <c r="D25" s="8">
        <v>257516</v>
      </c>
      <c r="E25" s="8">
        <v>236562.30000000002</v>
      </c>
      <c r="F25" s="8">
        <v>213042.85753754954</v>
      </c>
      <c r="G25" s="8">
        <v>188974.3525791837</v>
      </c>
      <c r="H25" s="8">
        <v>174738.96988912649</v>
      </c>
      <c r="I25" s="8">
        <v>187231.87981949546</v>
      </c>
      <c r="J25" s="8">
        <v>187747.74791831081</v>
      </c>
      <c r="K25" s="8">
        <v>171123.96900843611</v>
      </c>
      <c r="L25" s="8">
        <v>165794.9621589662</v>
      </c>
      <c r="M25" s="9">
        <v>163824.94696821895</v>
      </c>
      <c r="N25" s="131"/>
    </row>
    <row r="26" spans="2:14" x14ac:dyDescent="0.2">
      <c r="B26" s="135" t="s">
        <v>12</v>
      </c>
      <c r="C26" s="7">
        <v>103221.90100065833</v>
      </c>
      <c r="D26" s="8">
        <v>124116.30099511826</v>
      </c>
      <c r="E26" s="8">
        <v>174016.80194421898</v>
      </c>
      <c r="F26" s="8">
        <v>200379.20463149392</v>
      </c>
      <c r="G26" s="8">
        <v>256555.74768161974</v>
      </c>
      <c r="H26" s="8">
        <v>269119.61766746076</v>
      </c>
      <c r="I26" s="8">
        <v>286230.70207528514</v>
      </c>
      <c r="J26" s="8">
        <v>294883.24801770021</v>
      </c>
      <c r="K26" s="8">
        <v>320751.43219868373</v>
      </c>
      <c r="L26" s="8">
        <v>345252.28184600075</v>
      </c>
      <c r="M26" s="9">
        <v>369291.22382678965</v>
      </c>
      <c r="N26" s="131"/>
    </row>
    <row r="27" spans="2:14" x14ac:dyDescent="0.2">
      <c r="B27" s="136" t="s">
        <v>13</v>
      </c>
      <c r="C27" s="7">
        <v>30702.6</v>
      </c>
      <c r="D27" s="8">
        <v>26859.399999999998</v>
      </c>
      <c r="E27" s="8">
        <v>32311.599999999999</v>
      </c>
      <c r="F27" s="8">
        <v>31167.670657710449</v>
      </c>
      <c r="G27" s="8">
        <v>32300.651695647863</v>
      </c>
      <c r="H27" s="8">
        <v>32291.335901630617</v>
      </c>
      <c r="I27" s="8">
        <v>32592.205114541535</v>
      </c>
      <c r="J27" s="8">
        <v>33260.791027317086</v>
      </c>
      <c r="K27" s="8">
        <v>34005.173967356677</v>
      </c>
      <c r="L27" s="8">
        <v>35116.954332136775</v>
      </c>
      <c r="M27" s="9">
        <v>36214.688869199708</v>
      </c>
      <c r="N27" s="131"/>
    </row>
    <row r="28" spans="2:14" x14ac:dyDescent="0.2">
      <c r="B28" s="136" t="s">
        <v>14</v>
      </c>
      <c r="C28" s="7">
        <v>65583.20100065833</v>
      </c>
      <c r="D28" s="8">
        <v>85059.70099511827</v>
      </c>
      <c r="E28" s="8">
        <v>119572.70194421898</v>
      </c>
      <c r="F28" s="8">
        <v>132612.89489208319</v>
      </c>
      <c r="G28" s="8">
        <v>163440.87773301298</v>
      </c>
      <c r="H28" s="8">
        <v>164951.47020349602</v>
      </c>
      <c r="I28" s="8">
        <v>168133.38551256226</v>
      </c>
      <c r="J28" s="8">
        <v>169769.40797203922</v>
      </c>
      <c r="K28" s="8">
        <v>177889.55110750935</v>
      </c>
      <c r="L28" s="8">
        <v>181498.1942706315</v>
      </c>
      <c r="M28" s="9">
        <v>183700.0928302372</v>
      </c>
      <c r="N28" s="131"/>
    </row>
    <row r="29" spans="2:14" x14ac:dyDescent="0.2">
      <c r="B29" s="136" t="s">
        <v>15</v>
      </c>
      <c r="C29" s="7">
        <v>1913.4000000000003</v>
      </c>
      <c r="D29" s="8">
        <v>6057.9999999999991</v>
      </c>
      <c r="E29" s="8">
        <v>12835.699999999999</v>
      </c>
      <c r="F29" s="8">
        <v>23587.895714992112</v>
      </c>
      <c r="G29" s="8">
        <v>39793.907338194251</v>
      </c>
      <c r="H29" s="8">
        <v>45356.326861303991</v>
      </c>
      <c r="I29" s="8">
        <v>52327.528840567451</v>
      </c>
      <c r="J29" s="8">
        <v>53250.952007953681</v>
      </c>
      <c r="K29" s="8">
        <v>59501.72093930628</v>
      </c>
      <c r="L29" s="8">
        <v>70647.837670070352</v>
      </c>
      <c r="M29" s="9">
        <v>84279.866579090143</v>
      </c>
      <c r="N29" s="131"/>
    </row>
    <row r="30" spans="2:14" x14ac:dyDescent="0.2">
      <c r="B30" s="136" t="s">
        <v>16</v>
      </c>
      <c r="C30" s="7">
        <v>435.5</v>
      </c>
      <c r="D30" s="8">
        <v>827.4000000000002</v>
      </c>
      <c r="E30" s="8">
        <v>3775.4000000000005</v>
      </c>
      <c r="F30" s="8">
        <v>11001.285800111125</v>
      </c>
      <c r="G30" s="8">
        <v>17798.81237342762</v>
      </c>
      <c r="H30" s="8">
        <v>22825.706673684665</v>
      </c>
      <c r="I30" s="8">
        <v>27798.908960892531</v>
      </c>
      <c r="J30" s="8">
        <v>30962.710716615296</v>
      </c>
      <c r="K30" s="8">
        <v>35731.445082977683</v>
      </c>
      <c r="L30" s="8">
        <v>41786.497097651772</v>
      </c>
      <c r="M30" s="9">
        <v>48934.218092335388</v>
      </c>
      <c r="N30" s="131"/>
    </row>
    <row r="31" spans="2:14" ht="17" thickBot="1" x14ac:dyDescent="0.25">
      <c r="B31" s="136" t="s">
        <v>17</v>
      </c>
      <c r="C31" s="10">
        <v>4587.2</v>
      </c>
      <c r="D31" s="11">
        <v>5311.7999999999993</v>
      </c>
      <c r="E31" s="11">
        <v>5521.4000000000005</v>
      </c>
      <c r="F31" s="11">
        <v>2009.4575665971074</v>
      </c>
      <c r="G31" s="11">
        <v>3221.4985413370059</v>
      </c>
      <c r="H31" s="11">
        <v>3694.7780273454578</v>
      </c>
      <c r="I31" s="11">
        <v>5378.6736467214214</v>
      </c>
      <c r="J31" s="11">
        <v>7639.3862937749645</v>
      </c>
      <c r="K31" s="11">
        <v>13623.541101533854</v>
      </c>
      <c r="L31" s="11">
        <v>16202.79847551039</v>
      </c>
      <c r="M31" s="12">
        <v>16162.357455927191</v>
      </c>
      <c r="N31" s="131"/>
    </row>
    <row r="32" spans="2:14" x14ac:dyDescent="0.2">
      <c r="B32" s="129"/>
      <c r="C32" s="130"/>
      <c r="D32" s="130"/>
      <c r="E32" s="130"/>
      <c r="F32" s="130"/>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58" t="s">
        <v>92</v>
      </c>
      <c r="C3" s="159"/>
      <c r="D3" s="159"/>
      <c r="E3" s="159"/>
      <c r="F3" s="159"/>
      <c r="G3" s="160"/>
      <c r="H3" s="122"/>
      <c r="I3" s="122"/>
      <c r="J3" s="86"/>
      <c r="K3" s="126"/>
      <c r="L3" s="21"/>
      <c r="M3" s="21"/>
    </row>
    <row r="4" spans="2:13" s="16" customFormat="1" x14ac:dyDescent="0.2">
      <c r="B4" s="158"/>
      <c r="C4" s="159"/>
      <c r="D4" s="159"/>
      <c r="E4" s="159"/>
      <c r="F4" s="159"/>
      <c r="G4" s="160"/>
      <c r="H4" s="122"/>
      <c r="I4" s="122"/>
      <c r="J4" s="86"/>
      <c r="K4" s="126"/>
      <c r="L4" s="21"/>
      <c r="M4" s="21"/>
    </row>
    <row r="5" spans="2:13" s="16" customFormat="1" x14ac:dyDescent="0.2">
      <c r="B5" s="156"/>
      <c r="C5" s="161"/>
      <c r="D5" s="161"/>
      <c r="E5" s="161"/>
      <c r="F5" s="161"/>
      <c r="G5" s="157"/>
      <c r="H5" s="122"/>
      <c r="I5" s="122"/>
      <c r="J5" s="86"/>
      <c r="K5" s="126"/>
      <c r="L5" s="21"/>
      <c r="M5" s="21"/>
    </row>
    <row r="6" spans="2:13" x14ac:dyDescent="0.2">
      <c r="B6" s="145"/>
      <c r="C6" s="145"/>
      <c r="D6" s="145"/>
      <c r="E6" s="145"/>
      <c r="F6" s="145"/>
      <c r="G6" s="145"/>
      <c r="H6" s="145"/>
      <c r="I6" s="145"/>
      <c r="J6" s="145"/>
      <c r="K6" s="145"/>
      <c r="L6" s="145"/>
      <c r="M6" s="145"/>
    </row>
    <row r="7" spans="2:13" x14ac:dyDescent="0.2">
      <c r="B7" s="146" t="s">
        <v>19</v>
      </c>
      <c r="C7" s="150">
        <v>2000</v>
      </c>
      <c r="D7" s="150">
        <v>2005</v>
      </c>
      <c r="E7" s="150">
        <v>2010</v>
      </c>
      <c r="F7" s="150">
        <v>2015</v>
      </c>
      <c r="G7" s="150">
        <v>2020</v>
      </c>
      <c r="H7" s="150">
        <v>2025</v>
      </c>
      <c r="I7" s="150">
        <v>2030</v>
      </c>
      <c r="J7" s="150">
        <v>2035</v>
      </c>
      <c r="K7" s="150">
        <v>2040</v>
      </c>
      <c r="L7" s="150">
        <v>2045</v>
      </c>
      <c r="M7" s="150">
        <v>2050</v>
      </c>
    </row>
    <row r="8" spans="2:13" x14ac:dyDescent="0.2">
      <c r="B8" s="147"/>
      <c r="C8" s="151"/>
      <c r="D8" s="151"/>
      <c r="E8" s="151"/>
      <c r="F8" s="151"/>
      <c r="G8" s="151"/>
      <c r="H8" s="151"/>
      <c r="I8" s="151"/>
      <c r="J8" s="151"/>
      <c r="K8" s="151"/>
      <c r="L8" s="151"/>
      <c r="M8" s="151"/>
    </row>
    <row r="9" spans="2:13" x14ac:dyDescent="0.2">
      <c r="B9" s="147" t="s">
        <v>8</v>
      </c>
      <c r="C9" s="152">
        <f>Dashboard!C21*ktoe_TJ</f>
        <v>39565074.657821119</v>
      </c>
      <c r="D9" s="152">
        <f>Dashboard!D21*ktoe_TJ</f>
        <v>37848075.341617823</v>
      </c>
      <c r="E9" s="152">
        <f>Dashboard!E21*ktoe_TJ</f>
        <v>34992119.784506008</v>
      </c>
      <c r="F9" s="152">
        <f>Dashboard!F21*ktoe_TJ</f>
        <v>31760426.931810599</v>
      </c>
      <c r="G9" s="152">
        <f>Dashboard!G21*ktoe_TJ</f>
        <v>31690736.338815097</v>
      </c>
      <c r="H9" s="152">
        <f>Dashboard!H21*ktoe_TJ</f>
        <v>29978352.045780879</v>
      </c>
      <c r="I9" s="152">
        <f>Dashboard!I21*ktoe_TJ</f>
        <v>29383683.057810817</v>
      </c>
      <c r="J9" s="152">
        <f>Dashboard!J21*ktoe_TJ</f>
        <v>27817082.025902975</v>
      </c>
      <c r="K9" s="152">
        <f>Dashboard!K21*ktoe_TJ</f>
        <v>27024848.432880752</v>
      </c>
      <c r="L9" s="152">
        <f>Dashboard!L21*ktoe_TJ</f>
        <v>26771194.409870051</v>
      </c>
      <c r="M9" s="152">
        <f>Dashboard!M21*ktoe_TJ</f>
        <v>27698041.017455034</v>
      </c>
    </row>
    <row r="10" spans="2:13" x14ac:dyDescent="0.2">
      <c r="B10" s="149" t="s">
        <v>9</v>
      </c>
      <c r="C10" s="153">
        <f>Dashboard!C22*ktoe_TJ</f>
        <v>8984692.7676000018</v>
      </c>
      <c r="D10" s="153">
        <f>Dashboard!D22*ktoe_TJ</f>
        <v>8207371.4796000021</v>
      </c>
      <c r="E10" s="153">
        <f>Dashboard!E22*ktoe_TJ</f>
        <v>6901403.8895999994</v>
      </c>
      <c r="F10" s="153">
        <f>Dashboard!F22*ktoe_TJ</f>
        <v>6204651.8973788191</v>
      </c>
      <c r="G10" s="153">
        <f>Dashboard!G22*ktoe_TJ</f>
        <v>5658320.4809896098</v>
      </c>
      <c r="H10" s="153">
        <f>Dashboard!H22*ktoe_TJ</f>
        <v>5086944.5575730074</v>
      </c>
      <c r="I10" s="153">
        <f>Dashboard!I22*ktoe_TJ</f>
        <v>4255291.8577028336</v>
      </c>
      <c r="J10" s="153">
        <f>Dashboard!J22*ktoe_TJ</f>
        <v>3407773.2239828063</v>
      </c>
      <c r="K10" s="153">
        <f>Dashboard!K22*ktoe_TJ</f>
        <v>2738822.8451143829</v>
      </c>
      <c r="L10" s="153">
        <f>Dashboard!L22*ktoe_TJ</f>
        <v>2086328.7922354296</v>
      </c>
      <c r="M10" s="153">
        <f>Dashboard!M22*ktoe_TJ</f>
        <v>2559245.5098691848</v>
      </c>
    </row>
    <row r="11" spans="2:13" x14ac:dyDescent="0.2">
      <c r="B11" s="149" t="s">
        <v>10</v>
      </c>
      <c r="C11" s="153">
        <f>Dashboard!C23*ktoe_TJ</f>
        <v>7280870.3208000008</v>
      </c>
      <c r="D11" s="153">
        <f>Dashboard!D23*ktoe_TJ</f>
        <v>5675341.3776000012</v>
      </c>
      <c r="E11" s="153">
        <f>Dashboard!E23*ktoe_TJ</f>
        <v>4203898.8912000014</v>
      </c>
      <c r="F11" s="153">
        <f>Dashboard!F23*ktoe_TJ</f>
        <v>3287837.954012204</v>
      </c>
      <c r="G11" s="153">
        <f>Dashboard!G23*ktoe_TJ</f>
        <v>2919379.2678951975</v>
      </c>
      <c r="H11" s="153">
        <f>Dashboard!H23*ktoe_TJ</f>
        <v>2431904.1295806058</v>
      </c>
      <c r="I11" s="153">
        <f>Dashboard!I23*ktoe_TJ</f>
        <v>2018479.0815165718</v>
      </c>
      <c r="J11" s="153">
        <f>Dashboard!J23*ktoe_TJ</f>
        <v>1539951.8033659661</v>
      </c>
      <c r="K11" s="153">
        <f>Dashboard!K23*ktoe_TJ</f>
        <v>1205694.1981887165</v>
      </c>
      <c r="L11" s="153">
        <f>Dashboard!L23*ktoe_TJ</f>
        <v>883086.88971890311</v>
      </c>
      <c r="M11" s="153">
        <f>Dashboard!M23*ktoe_TJ</f>
        <v>587332.74862864544</v>
      </c>
    </row>
    <row r="12" spans="2:13" x14ac:dyDescent="0.2">
      <c r="B12" s="149" t="s">
        <v>3</v>
      </c>
      <c r="C12" s="153">
        <f>Dashboard!C24*ktoe_TJ</f>
        <v>8768686.2171255555</v>
      </c>
      <c r="D12" s="153">
        <f>Dashboard!D24*ktoe_TJ</f>
        <v>7987181.3063542107</v>
      </c>
      <c r="E12" s="153">
        <f>Dashboard!E24*ktoe_TJ</f>
        <v>6696691.1635054499</v>
      </c>
      <c r="F12" s="153">
        <f>Dashboard!F24*ktoe_TJ</f>
        <v>4958782.1815260621</v>
      </c>
      <c r="G12" s="153">
        <f>Dashboard!G24*ktoe_TJ</f>
        <v>4459582.3522109725</v>
      </c>
      <c r="H12" s="153">
        <f>Dashboard!H24*ktoe_TJ</f>
        <v>3876032.0148080699</v>
      </c>
      <c r="I12" s="153">
        <f>Dashboard!I24*ktoe_TJ</f>
        <v>3286980.7398207341</v>
      </c>
      <c r="J12" s="153">
        <f>Dashboard!J24*ktoe_TJ</f>
        <v>2662562.4607052938</v>
      </c>
      <c r="K12" s="153">
        <f>Dashboard!K24*ktoe_TJ</f>
        <v>2486492.0918379547</v>
      </c>
      <c r="L12" s="153">
        <f>Dashboard!L24*ktoe_TJ</f>
        <v>2405252.7159157656</v>
      </c>
      <c r="M12" s="153">
        <f>Dashboard!M24*ktoe_TJ</f>
        <v>2230954.9201117787</v>
      </c>
    </row>
    <row r="13" spans="2:13" x14ac:dyDescent="0.2">
      <c r="B13" s="149" t="s">
        <v>11</v>
      </c>
      <c r="C13" s="153">
        <f>Dashboard!C25*ktoe_TJ</f>
        <v>10209130.801200001</v>
      </c>
      <c r="D13" s="153">
        <f>Dashboard!D25*ktoe_TJ</f>
        <v>10781679.888</v>
      </c>
      <c r="E13" s="153">
        <f>Dashboard!E25*ktoe_TJ</f>
        <v>9904390.3764000013</v>
      </c>
      <c r="F13" s="153">
        <f>Dashboard!F25*ktoe_TJ</f>
        <v>8919678.3593821246</v>
      </c>
      <c r="G13" s="153">
        <f>Dashboard!G25*ktoe_TJ</f>
        <v>7911978.1937852632</v>
      </c>
      <c r="H13" s="153">
        <f>Dashboard!H25*ktoe_TJ</f>
        <v>7315971.1913179485</v>
      </c>
      <c r="I13" s="153">
        <f>Dashboard!I25*ktoe_TJ</f>
        <v>7839024.3442826364</v>
      </c>
      <c r="J13" s="153">
        <f>Dashboard!J25*ktoe_TJ</f>
        <v>7860622.7098438377</v>
      </c>
      <c r="K13" s="153">
        <f>Dashboard!K25*ktoe_TJ</f>
        <v>7164618.3344452037</v>
      </c>
      <c r="L13" s="153">
        <f>Dashboard!L25*ktoe_TJ</f>
        <v>6941503.4756715968</v>
      </c>
      <c r="M13" s="153">
        <f>Dashboard!M25*ktoe_TJ</f>
        <v>6859022.8796653915</v>
      </c>
    </row>
    <row r="14" spans="2:13" x14ac:dyDescent="0.2">
      <c r="B14" s="149" t="s">
        <v>12</v>
      </c>
      <c r="C14" s="153">
        <f>Dashboard!C26*ktoe_TJ</f>
        <v>4321694.551095563</v>
      </c>
      <c r="D14" s="153">
        <f>Dashboard!D26*ktoe_TJ</f>
        <v>5196501.2900636112</v>
      </c>
      <c r="E14" s="153">
        <f>Dashboard!E26*ktoe_TJ</f>
        <v>7285735.4638005607</v>
      </c>
      <c r="F14" s="153">
        <f>Dashboard!F26*ktoe_TJ</f>
        <v>8389476.5395113882</v>
      </c>
      <c r="G14" s="153">
        <f>Dashboard!G26*ktoe_TJ</f>
        <v>10741476.043934057</v>
      </c>
      <c r="H14" s="153">
        <f>Dashboard!H26*ktoe_TJ</f>
        <v>11267500.152501248</v>
      </c>
      <c r="I14" s="153">
        <f>Dashboard!I26*ktoe_TJ</f>
        <v>11983907.034488039</v>
      </c>
      <c r="J14" s="153">
        <f>Dashboard!J26*ktoe_TJ</f>
        <v>12346171.828005074</v>
      </c>
      <c r="K14" s="153">
        <f>Dashboard!K26*ktoe_TJ</f>
        <v>13429220.963294491</v>
      </c>
      <c r="L14" s="153">
        <f>Dashboard!L26*ktoe_TJ</f>
        <v>14455022.53632836</v>
      </c>
      <c r="M14" s="153">
        <f>Dashboard!M26*ktoe_TJ</f>
        <v>15461484.959180029</v>
      </c>
    </row>
    <row r="15" spans="2:13" x14ac:dyDescent="0.2">
      <c r="B15" s="149" t="s">
        <v>13</v>
      </c>
      <c r="C15" s="153">
        <f>Dashboard!C27*ktoe_TJ</f>
        <v>1285456.4568</v>
      </c>
      <c r="D15" s="153">
        <f>Dashboard!D27*ktoe_TJ</f>
        <v>1124549.3592000001</v>
      </c>
      <c r="E15" s="153">
        <f>Dashboard!E27*ktoe_TJ</f>
        <v>1352822.0688</v>
      </c>
      <c r="F15" s="153">
        <f>Dashboard!F27*ktoe_TJ</f>
        <v>1304928.0350970211</v>
      </c>
      <c r="G15" s="153">
        <f>Dashboard!G27*ktoe_TJ</f>
        <v>1352363.6851933848</v>
      </c>
      <c r="H15" s="153">
        <f>Dashboard!H27*ktoe_TJ</f>
        <v>1351973.6515294707</v>
      </c>
      <c r="I15" s="153">
        <f>Dashboard!I27*ktoe_TJ</f>
        <v>1364570.4437356251</v>
      </c>
      <c r="J15" s="153">
        <f>Dashboard!J27*ktoe_TJ</f>
        <v>1392562.7987317117</v>
      </c>
      <c r="K15" s="153">
        <f>Dashboard!K27*ktoe_TJ</f>
        <v>1423728.6236652895</v>
      </c>
      <c r="L15" s="153">
        <f>Dashboard!L27*ktoe_TJ</f>
        <v>1470276.6439779026</v>
      </c>
      <c r="M15" s="153">
        <f>Dashboard!M27*ktoe_TJ</f>
        <v>1516236.5935756534</v>
      </c>
    </row>
    <row r="16" spans="2:13" x14ac:dyDescent="0.2">
      <c r="B16" s="149" t="s">
        <v>14</v>
      </c>
      <c r="C16" s="153">
        <f>Dashboard!C28*ktoe_TJ</f>
        <v>2745837.4594955631</v>
      </c>
      <c r="D16" s="153">
        <f>Dashboard!D28*ktoe_TJ</f>
        <v>3561279.561263612</v>
      </c>
      <c r="E16" s="153">
        <f>Dashboard!E28*ktoe_TJ</f>
        <v>5006269.8850005604</v>
      </c>
      <c r="F16" s="153">
        <f>Dashboard!F28*ktoe_TJ</f>
        <v>5552236.6833417397</v>
      </c>
      <c r="G16" s="153">
        <f>Dashboard!G28*ktoe_TJ</f>
        <v>6842942.6689257883</v>
      </c>
      <c r="H16" s="153">
        <f>Dashboard!H28*ktoe_TJ</f>
        <v>6906188.1544799721</v>
      </c>
      <c r="I16" s="153">
        <f>Dashboard!I28*ktoe_TJ</f>
        <v>7039408.5846399572</v>
      </c>
      <c r="J16" s="153">
        <f>Dashboard!J28*ktoe_TJ</f>
        <v>7107905.572973338</v>
      </c>
      <c r="K16" s="153">
        <f>Dashboard!K28*ktoe_TJ</f>
        <v>7447879.7257692022</v>
      </c>
      <c r="L16" s="153">
        <f>Dashboard!L28*ktoe_TJ</f>
        <v>7598966.3977228003</v>
      </c>
      <c r="M16" s="153">
        <f>Dashboard!M28*ktoe_TJ</f>
        <v>7691155.4866163721</v>
      </c>
    </row>
    <row r="17" spans="2:13" x14ac:dyDescent="0.2">
      <c r="B17" s="148" t="s">
        <v>15</v>
      </c>
      <c r="C17" s="153">
        <f>Dashboard!C29*ktoe_TJ</f>
        <v>80110.231200000024</v>
      </c>
      <c r="D17" s="153">
        <f>Dashboard!D29*ktoe_TJ</f>
        <v>253636.34399999998</v>
      </c>
      <c r="E17" s="153">
        <f>Dashboard!E29*ktoe_TJ</f>
        <v>537405.08759999997</v>
      </c>
      <c r="F17" s="153">
        <f>Dashboard!F29*ktoe_TJ</f>
        <v>987578.01779528975</v>
      </c>
      <c r="G17" s="153">
        <f>Dashboard!G29*ktoe_TJ</f>
        <v>1666091.3124355171</v>
      </c>
      <c r="H17" s="153">
        <f>Dashboard!H29*ktoe_TJ</f>
        <v>1898978.6930290756</v>
      </c>
      <c r="I17" s="153">
        <f>Dashboard!I29*ktoe_TJ</f>
        <v>2190848.9774968782</v>
      </c>
      <c r="J17" s="153">
        <f>Dashboard!J29*ktoe_TJ</f>
        <v>2229510.8586690049</v>
      </c>
      <c r="K17" s="153">
        <f>Dashboard!K29*ktoe_TJ</f>
        <v>2491218.0522868754</v>
      </c>
      <c r="L17" s="153">
        <f>Dashboard!L29*ktoe_TJ</f>
        <v>2957883.6675705058</v>
      </c>
      <c r="M17" s="153">
        <f>Dashboard!M29*ktoe_TJ</f>
        <v>3528629.4539333461</v>
      </c>
    </row>
    <row r="18" spans="2:13" x14ac:dyDescent="0.2">
      <c r="B18" s="148" t="s">
        <v>16</v>
      </c>
      <c r="C18" s="153">
        <f>Dashboard!C30*ktoe_TJ</f>
        <v>18233.513999999999</v>
      </c>
      <c r="D18" s="153">
        <f>Dashboard!D30*ktoe_TJ</f>
        <v>34641.583200000008</v>
      </c>
      <c r="E18" s="153">
        <f>Dashboard!E30*ktoe_TJ</f>
        <v>158068.44720000002</v>
      </c>
      <c r="F18" s="153">
        <f>Dashboard!F30*ktoe_TJ</f>
        <v>460601.8338790526</v>
      </c>
      <c r="G18" s="153">
        <f>Dashboard!G30*ktoe_TJ</f>
        <v>745200.67645066767</v>
      </c>
      <c r="H18" s="153">
        <f>Dashboard!H30*ktoe_TJ</f>
        <v>955666.68701382959</v>
      </c>
      <c r="I18" s="153">
        <f>Dashboard!I30*ktoe_TJ</f>
        <v>1163884.7203746485</v>
      </c>
      <c r="J18" s="153">
        <f>Dashboard!J30*ktoe_TJ</f>
        <v>1296346.7722832493</v>
      </c>
      <c r="K18" s="153">
        <f>Dashboard!K30*ktoe_TJ</f>
        <v>1496004.1427341097</v>
      </c>
      <c r="L18" s="153">
        <f>Dashboard!L30*ktoe_TJ</f>
        <v>1749517.0604844845</v>
      </c>
      <c r="M18" s="153">
        <f>Dashboard!M30*ktoe_TJ</f>
        <v>2048777.8430898981</v>
      </c>
    </row>
    <row r="19" spans="2:13" x14ac:dyDescent="0.2">
      <c r="B19" s="148" t="s">
        <v>17</v>
      </c>
      <c r="C19" s="153">
        <f>Dashboard!C31*ktoe_TJ</f>
        <v>192056.88959999999</v>
      </c>
      <c r="D19" s="153">
        <f>Dashboard!D31*ktoe_TJ</f>
        <v>222394.44239999997</v>
      </c>
      <c r="E19" s="153">
        <f>Dashboard!E31*ktoe_TJ</f>
        <v>231169.97520000004</v>
      </c>
      <c r="F19" s="153">
        <f>Dashboard!F31*ktoe_TJ</f>
        <v>84131.969398287692</v>
      </c>
      <c r="G19" s="153">
        <f>Dashboard!G31*ktoe_TJ</f>
        <v>134877.70092869777</v>
      </c>
      <c r="H19" s="153">
        <f>Dashboard!H31*ktoe_TJ</f>
        <v>154692.96644889962</v>
      </c>
      <c r="I19" s="153">
        <f>Dashboard!I31*ktoe_TJ</f>
        <v>225194.30824093247</v>
      </c>
      <c r="J19" s="153">
        <f>Dashboard!J31*ktoe_TJ</f>
        <v>319845.82534777024</v>
      </c>
      <c r="K19" s="153">
        <f>Dashboard!K31*ktoe_TJ</f>
        <v>570390.41883901937</v>
      </c>
      <c r="L19" s="153">
        <f>Dashboard!L31*ktoe_TJ</f>
        <v>678378.76657266903</v>
      </c>
      <c r="M19" s="153">
        <f>Dashboard!M31*ktoe_TJ</f>
        <v>676685.58196475962</v>
      </c>
    </row>
    <row r="20" spans="2:13" x14ac:dyDescent="0.2">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workbookViewId="0">
      <selection activeCell="D20" sqref="D20"/>
    </sheetView>
  </sheetViews>
  <sheetFormatPr baseColWidth="10" defaultRowHeight="16" x14ac:dyDescent="0.2"/>
  <cols>
    <col min="1"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58" t="s">
        <v>93</v>
      </c>
      <c r="C3" s="159"/>
      <c r="D3" s="159"/>
      <c r="E3" s="159"/>
      <c r="F3" s="159"/>
      <c r="G3" s="160"/>
      <c r="H3" s="122"/>
      <c r="I3" s="122"/>
      <c r="J3" s="86"/>
      <c r="K3" s="126"/>
      <c r="L3" s="21"/>
      <c r="M3" s="21"/>
    </row>
    <row r="4" spans="1:13" s="16" customFormat="1" x14ac:dyDescent="0.2">
      <c r="B4" s="158"/>
      <c r="C4" s="159"/>
      <c r="D4" s="159"/>
      <c r="E4" s="159"/>
      <c r="F4" s="159"/>
      <c r="G4" s="160"/>
      <c r="H4" s="122"/>
      <c r="I4" s="122"/>
      <c r="J4" s="86"/>
      <c r="K4" s="126"/>
      <c r="L4" s="21"/>
      <c r="M4" s="21"/>
    </row>
    <row r="5" spans="1:13" s="16" customFormat="1" x14ac:dyDescent="0.2">
      <c r="B5" s="156"/>
      <c r="C5" s="161"/>
      <c r="D5" s="161"/>
      <c r="E5" s="161"/>
      <c r="F5" s="161"/>
      <c r="G5" s="157"/>
      <c r="H5" s="122"/>
      <c r="I5" s="122"/>
      <c r="J5" s="86"/>
      <c r="K5" s="126"/>
      <c r="L5" s="21"/>
      <c r="M5" s="21"/>
    </row>
    <row r="8" spans="1:13" x14ac:dyDescent="0.2">
      <c r="A8" s="154" t="s">
        <v>0</v>
      </c>
      <c r="B8" s="154" t="s">
        <v>1</v>
      </c>
      <c r="C8" s="154" t="s">
        <v>2</v>
      </c>
      <c r="D8" s="154" t="s">
        <v>3</v>
      </c>
      <c r="E8" s="154" t="s">
        <v>4</v>
      </c>
      <c r="F8" s="154" t="s">
        <v>5</v>
      </c>
      <c r="G8" s="154" t="s">
        <v>6</v>
      </c>
    </row>
    <row r="9" spans="1:13" x14ac:dyDescent="0.2">
      <c r="A9" s="2">
        <v>2000</v>
      </c>
      <c r="B9" s="2">
        <f>conversion_to_TJ!C10*Dashboard!$D$11</f>
        <v>4039517.868312961</v>
      </c>
      <c r="C9" s="2">
        <f>conversion_to_TJ!C10*Dashboard!$D$12</f>
        <v>4945174.8992870413</v>
      </c>
      <c r="D9" s="2">
        <f>conversion_to_TJ!C12</f>
        <v>8768686.2171255555</v>
      </c>
      <c r="E9" s="2">
        <f>conversion_to_TJ!C11</f>
        <v>7280870.3208000008</v>
      </c>
      <c r="F9" s="2">
        <f>conversion_to_TJ!C13</f>
        <v>10209130.801200001</v>
      </c>
      <c r="G9" s="2">
        <f>conversion_to_TJ!C16*Dashboard!$D$14</f>
        <v>2319683.4857818517</v>
      </c>
    </row>
    <row r="10" spans="1:13" x14ac:dyDescent="0.2">
      <c r="A10" s="1">
        <v>2001</v>
      </c>
      <c r="B10" s="1">
        <f>B$9+(B$14-B$9)/($A$14-$A$9)*($A10-$A$9)</f>
        <v>3969621.138096001</v>
      </c>
      <c r="C10" s="1">
        <f t="shared" ref="C10:G10" si="0">C$9+(C$14-C$9)/($A$14-$A$9)*($A10-$A$9)</f>
        <v>4859607.3719040016</v>
      </c>
      <c r="D10" s="1">
        <f t="shared" si="0"/>
        <v>8612385.2349712867</v>
      </c>
      <c r="E10" s="1">
        <f t="shared" si="0"/>
        <v>6959764.5321600009</v>
      </c>
      <c r="F10" s="1">
        <f t="shared" si="0"/>
        <v>10323640.618560001</v>
      </c>
      <c r="G10" s="1">
        <f t="shared" si="0"/>
        <v>2457460.5832965812</v>
      </c>
    </row>
    <row r="11" spans="1:13" x14ac:dyDescent="0.2">
      <c r="A11" s="1">
        <v>2002</v>
      </c>
      <c r="B11" s="1">
        <f t="shared" ref="B11:G13" si="1">B$9+(B$14-B$9)/($A$14-$A$9)*($A11-$A$9)</f>
        <v>3899724.407879041</v>
      </c>
      <c r="C11" s="1">
        <f t="shared" si="1"/>
        <v>4774039.8445209609</v>
      </c>
      <c r="D11" s="1">
        <f t="shared" si="1"/>
        <v>8456084.252817018</v>
      </c>
      <c r="E11" s="1">
        <f t="shared" si="1"/>
        <v>6638658.7435200009</v>
      </c>
      <c r="F11" s="1">
        <f t="shared" si="1"/>
        <v>10438150.43592</v>
      </c>
      <c r="G11" s="1">
        <f t="shared" si="1"/>
        <v>2595237.6808113107</v>
      </c>
    </row>
    <row r="12" spans="1:13" x14ac:dyDescent="0.2">
      <c r="A12" s="1">
        <v>2003</v>
      </c>
      <c r="B12" s="1">
        <f t="shared" si="1"/>
        <v>3829827.6776620806</v>
      </c>
      <c r="C12" s="1">
        <f t="shared" si="1"/>
        <v>4688472.3171379212</v>
      </c>
      <c r="D12" s="1">
        <f t="shared" si="1"/>
        <v>8299783.2706627483</v>
      </c>
      <c r="E12" s="1">
        <f t="shared" si="1"/>
        <v>6317552.954880001</v>
      </c>
      <c r="F12" s="1">
        <f t="shared" si="1"/>
        <v>10552660.253280001</v>
      </c>
      <c r="G12" s="1">
        <f t="shared" si="1"/>
        <v>2733014.7783260401</v>
      </c>
    </row>
    <row r="13" spans="1:13" x14ac:dyDescent="0.2">
      <c r="A13" s="1">
        <v>2004</v>
      </c>
      <c r="B13" s="1">
        <f t="shared" si="1"/>
        <v>3759930.9474451207</v>
      </c>
      <c r="C13" s="1">
        <f t="shared" si="1"/>
        <v>4602904.7897548806</v>
      </c>
      <c r="D13" s="1">
        <f t="shared" si="1"/>
        <v>8143482.2885084795</v>
      </c>
      <c r="E13" s="1">
        <f t="shared" si="1"/>
        <v>5996447.1662400011</v>
      </c>
      <c r="F13" s="1">
        <f t="shared" si="1"/>
        <v>10667170.07064</v>
      </c>
      <c r="G13" s="1">
        <f t="shared" si="1"/>
        <v>2870791.8758407701</v>
      </c>
    </row>
    <row r="14" spans="1:13" x14ac:dyDescent="0.2">
      <c r="A14" s="2">
        <v>2005</v>
      </c>
      <c r="B14" s="2">
        <f>conversion_to_TJ!D10*Dashboard!$D$11</f>
        <v>3690034.2172281607</v>
      </c>
      <c r="C14" s="2">
        <f>conversion_to_TJ!D10*Dashboard!$D$12</f>
        <v>4517337.2623718409</v>
      </c>
      <c r="D14" s="2">
        <f>conversion_to_TJ!D12</f>
        <v>7987181.3063542107</v>
      </c>
      <c r="E14" s="2">
        <f>conversion_to_TJ!D11</f>
        <v>5675341.3776000012</v>
      </c>
      <c r="F14" s="2">
        <f>conversion_to_TJ!D13</f>
        <v>10781679.888</v>
      </c>
      <c r="G14" s="2">
        <f>conversion_to_TJ!D16*Dashboard!$D$14</f>
        <v>3008568.9733554996</v>
      </c>
    </row>
    <row r="15" spans="1:13" x14ac:dyDescent="0.2">
      <c r="A15" s="1">
        <v>2006</v>
      </c>
      <c r="B15" s="1">
        <f>B$14+(B$19-B$14)/($A$19-$A$14)*($A15-$A$14)</f>
        <v>3572601.6115353606</v>
      </c>
      <c r="C15" s="1">
        <f t="shared" ref="C15:G15" si="2">C$14+(C$19-C$14)/($A$19-$A$14)*($A15-$A$14)</f>
        <v>4373576.3500646409</v>
      </c>
      <c r="D15" s="1">
        <f t="shared" si="2"/>
        <v>7729083.2777844584</v>
      </c>
      <c r="E15" s="1">
        <f t="shared" si="2"/>
        <v>5381052.8803200014</v>
      </c>
      <c r="F15" s="1">
        <f t="shared" si="2"/>
        <v>10606221.985680001</v>
      </c>
      <c r="G15" s="1">
        <f t="shared" si="2"/>
        <v>3252714.5384540944</v>
      </c>
    </row>
    <row r="16" spans="1:13" x14ac:dyDescent="0.2">
      <c r="A16" s="1">
        <v>2007</v>
      </c>
      <c r="B16" s="1">
        <f t="shared" ref="B16:G18" si="3">B$14+(B$19-B$14)/($A$19-$A$14)*($A16-$A$14)</f>
        <v>3455169.0058425604</v>
      </c>
      <c r="C16" s="1">
        <f t="shared" si="3"/>
        <v>4229815.4377574408</v>
      </c>
      <c r="D16" s="1">
        <f t="shared" si="3"/>
        <v>7470985.249214706</v>
      </c>
      <c r="E16" s="1">
        <f t="shared" si="3"/>
        <v>5086764.3830400016</v>
      </c>
      <c r="F16" s="1">
        <f t="shared" si="3"/>
        <v>10430764.083360001</v>
      </c>
      <c r="G16" s="1">
        <f t="shared" si="3"/>
        <v>3496860.1035526893</v>
      </c>
    </row>
    <row r="17" spans="1:7" x14ac:dyDescent="0.2">
      <c r="A17" s="1">
        <v>2008</v>
      </c>
      <c r="B17" s="1">
        <f t="shared" si="3"/>
        <v>3337736.4001497598</v>
      </c>
      <c r="C17" s="1">
        <f t="shared" si="3"/>
        <v>4086054.5254502404</v>
      </c>
      <c r="D17" s="1">
        <f t="shared" si="3"/>
        <v>7212887.2206449546</v>
      </c>
      <c r="E17" s="1">
        <f t="shared" si="3"/>
        <v>4792475.8857600018</v>
      </c>
      <c r="F17" s="1">
        <f t="shared" si="3"/>
        <v>10255306.18104</v>
      </c>
      <c r="G17" s="1">
        <f t="shared" si="3"/>
        <v>3741005.6686512837</v>
      </c>
    </row>
    <row r="18" spans="1:7" x14ac:dyDescent="0.2">
      <c r="A18" s="1">
        <v>2009</v>
      </c>
      <c r="B18" s="1">
        <f t="shared" si="3"/>
        <v>3220303.7944569597</v>
      </c>
      <c r="C18" s="1">
        <f t="shared" si="3"/>
        <v>3942293.6131430399</v>
      </c>
      <c r="D18" s="1">
        <f t="shared" si="3"/>
        <v>6954789.1920752022</v>
      </c>
      <c r="E18" s="1">
        <f t="shared" si="3"/>
        <v>4498187.3884800011</v>
      </c>
      <c r="F18" s="1">
        <f t="shared" si="3"/>
        <v>10079848.278720001</v>
      </c>
      <c r="G18" s="1">
        <f t="shared" si="3"/>
        <v>3985151.2337498786</v>
      </c>
    </row>
    <row r="19" spans="1:7" x14ac:dyDescent="0.2">
      <c r="A19" s="2">
        <v>2010</v>
      </c>
      <c r="B19" s="2">
        <f>conversion_to_TJ!E10*Dashboard!$D$11</f>
        <v>3102871.1887641596</v>
      </c>
      <c r="C19" s="2">
        <f>conversion_to_TJ!E10*Dashboard!$D$12</f>
        <v>3798532.7008358398</v>
      </c>
      <c r="D19" s="2">
        <f>conversion_to_TJ!E12</f>
        <v>6696691.1635054499</v>
      </c>
      <c r="E19" s="2">
        <f>conversion_to_TJ!E11</f>
        <v>4203898.8912000014</v>
      </c>
      <c r="F19" s="2">
        <f>conversion_to_TJ!E13</f>
        <v>9904390.3764000013</v>
      </c>
      <c r="G19" s="2">
        <f>conversion_to_TJ!E16*Dashboard!$D$14</f>
        <v>4229296.7988484735</v>
      </c>
    </row>
    <row r="20" spans="1:7" x14ac:dyDescent="0.2">
      <c r="A20" s="155">
        <v>2011</v>
      </c>
      <c r="B20" s="155">
        <v>3151628.51</v>
      </c>
      <c r="C20" s="155">
        <v>3858091.19</v>
      </c>
      <c r="D20" s="155">
        <v>5867098.4100000001</v>
      </c>
      <c r="E20" s="155">
        <v>3524038.7800000003</v>
      </c>
      <c r="F20" s="155">
        <v>9899121.0800000001</v>
      </c>
      <c r="G20" s="1">
        <f t="shared" ref="G20" si="4">G$19+(G$24-G$19)/($A$24-$A$19)*($A20-$A$19)</f>
        <v>4321543.3490961995</v>
      </c>
    </row>
    <row r="21" spans="1:7" x14ac:dyDescent="0.2">
      <c r="A21" s="1">
        <v>2012</v>
      </c>
      <c r="B21" s="1">
        <f>B$20+(B$24-B$20)/($A$24-$A$20)*($A21-$A$20)</f>
        <v>3061124.2557653789</v>
      </c>
      <c r="C21" s="1">
        <f t="shared" ref="C21:F23" si="5">C$20+(C$24-C$20)/($A$24-$A$20)*($A21-$A$20)</f>
        <v>3747328.4935793253</v>
      </c>
      <c r="D21" s="1">
        <f t="shared" si="5"/>
        <v>5640019.3528815154</v>
      </c>
      <c r="E21" s="1">
        <f t="shared" si="5"/>
        <v>3464988.573503051</v>
      </c>
      <c r="F21" s="1">
        <f t="shared" si="5"/>
        <v>9654260.3998455312</v>
      </c>
      <c r="G21" s="1">
        <f t="shared" ref="G21:G23" si="6">G$19+(G$24-G$19)/($A$24-$A$19)*($A21-$A$19)</f>
        <v>4413789.8993439246</v>
      </c>
    </row>
    <row r="22" spans="1:7" x14ac:dyDescent="0.2">
      <c r="A22" s="1">
        <v>2013</v>
      </c>
      <c r="B22" s="1">
        <f>B$20+(B$24-B$20)/($A$24-$A$20)*($A22-$A$20)</f>
        <v>2970620.0015307581</v>
      </c>
      <c r="C22" s="1">
        <f t="shared" si="5"/>
        <v>3636565.7971586511</v>
      </c>
      <c r="D22" s="1">
        <f t="shared" si="5"/>
        <v>5412940.2957630306</v>
      </c>
      <c r="E22" s="1">
        <f t="shared" si="5"/>
        <v>3405938.3670061021</v>
      </c>
      <c r="F22" s="1">
        <f t="shared" si="5"/>
        <v>9409399.7196910623</v>
      </c>
      <c r="G22" s="1">
        <f t="shared" si="6"/>
        <v>4506036.4495916506</v>
      </c>
    </row>
    <row r="23" spans="1:7" x14ac:dyDescent="0.2">
      <c r="A23" s="1">
        <v>2014</v>
      </c>
      <c r="B23" s="1">
        <f>B$20+(B$24-B$20)/($A$24-$A$20)*($A23-$A$20)</f>
        <v>2880115.7472961377</v>
      </c>
      <c r="C23" s="1">
        <f t="shared" si="5"/>
        <v>3525803.1007379768</v>
      </c>
      <c r="D23" s="1">
        <f t="shared" si="5"/>
        <v>5185861.2386445468</v>
      </c>
      <c r="E23" s="1">
        <f t="shared" si="5"/>
        <v>3346888.1605091533</v>
      </c>
      <c r="F23" s="1">
        <f t="shared" si="5"/>
        <v>9164539.0395365935</v>
      </c>
      <c r="G23" s="1">
        <f t="shared" si="6"/>
        <v>4598282.9998393757</v>
      </c>
    </row>
    <row r="24" spans="1:7" x14ac:dyDescent="0.2">
      <c r="A24" s="2">
        <v>2015</v>
      </c>
      <c r="B24" s="2">
        <f>conversion_to_TJ!F10*Dashboard!$D$11</f>
        <v>2789611.4930615169</v>
      </c>
      <c r="C24" s="2">
        <f>conversion_to_TJ!F10*Dashboard!$D$12</f>
        <v>3415040.4043173022</v>
      </c>
      <c r="D24" s="2">
        <f>conversion_to_TJ!F12</f>
        <v>4958782.1815260621</v>
      </c>
      <c r="E24" s="2">
        <f>conversion_to_TJ!F11</f>
        <v>3287837.954012204</v>
      </c>
      <c r="F24" s="2">
        <f>conversion_to_TJ!F13</f>
        <v>8919678.3593821246</v>
      </c>
      <c r="G24" s="2">
        <f>conversion_to_TJ!F16*Dashboard!$D$14</f>
        <v>4690529.5500871018</v>
      </c>
    </row>
    <row r="25" spans="1:7" x14ac:dyDescent="0.2">
      <c r="A25" s="1">
        <v>2016</v>
      </c>
      <c r="B25" s="1">
        <f>B$24+(B$29-B$24)/($A$29-$A$24)*($A25-$A$24)</f>
        <v>2740485.3720997991</v>
      </c>
      <c r="C25" s="1">
        <f t="shared" ref="C25:G25" si="7">C$24+(C$29-C$24)/($A$29-$A$24)*($A25-$A$24)</f>
        <v>3354900.2420011782</v>
      </c>
      <c r="D25" s="1">
        <f t="shared" si="7"/>
        <v>4858942.2156630438</v>
      </c>
      <c r="E25" s="1">
        <f t="shared" si="7"/>
        <v>3214146.2167888028</v>
      </c>
      <c r="F25" s="1">
        <f t="shared" si="7"/>
        <v>8718138.3262627516</v>
      </c>
      <c r="G25" s="1">
        <f t="shared" si="7"/>
        <v>4908607.2334113829</v>
      </c>
    </row>
    <row r="26" spans="1:7" x14ac:dyDescent="0.2">
      <c r="A26" s="1">
        <v>2017</v>
      </c>
      <c r="B26" s="1">
        <f t="shared" ref="B26:G28" si="8">B$24+(B$29-B$24)/($A$29-$A$24)*($A26-$A$24)</f>
        <v>2691359.2511380813</v>
      </c>
      <c r="C26" s="1">
        <f t="shared" si="8"/>
        <v>3294760.0796850538</v>
      </c>
      <c r="D26" s="1">
        <f t="shared" si="8"/>
        <v>4759102.2498000264</v>
      </c>
      <c r="E26" s="1">
        <f t="shared" si="8"/>
        <v>3140454.4795654016</v>
      </c>
      <c r="F26" s="1">
        <f t="shared" si="8"/>
        <v>8516598.2931433804</v>
      </c>
      <c r="G26" s="1">
        <f t="shared" si="8"/>
        <v>5126684.9167356631</v>
      </c>
    </row>
    <row r="27" spans="1:7" x14ac:dyDescent="0.2">
      <c r="A27" s="1">
        <v>2018</v>
      </c>
      <c r="B27" s="1">
        <f t="shared" si="8"/>
        <v>2642233.130176364</v>
      </c>
      <c r="C27" s="1">
        <f t="shared" si="8"/>
        <v>3234619.9173689298</v>
      </c>
      <c r="D27" s="1">
        <f t="shared" si="8"/>
        <v>4659262.2839370081</v>
      </c>
      <c r="E27" s="1">
        <f t="shared" si="8"/>
        <v>3066762.7423419999</v>
      </c>
      <c r="F27" s="1">
        <f t="shared" si="8"/>
        <v>8315058.2600240074</v>
      </c>
      <c r="G27" s="1">
        <f t="shared" si="8"/>
        <v>5344762.6000599442</v>
      </c>
    </row>
    <row r="28" spans="1:7" x14ac:dyDescent="0.2">
      <c r="A28" s="1">
        <v>2019</v>
      </c>
      <c r="B28" s="1">
        <f t="shared" si="8"/>
        <v>2593107.0092146462</v>
      </c>
      <c r="C28" s="1">
        <f t="shared" si="8"/>
        <v>3174479.7550528054</v>
      </c>
      <c r="D28" s="1">
        <f t="shared" si="8"/>
        <v>4559422.3180739908</v>
      </c>
      <c r="E28" s="1">
        <f t="shared" si="8"/>
        <v>2993071.0051185987</v>
      </c>
      <c r="F28" s="1">
        <f t="shared" si="8"/>
        <v>8113518.2269046353</v>
      </c>
      <c r="G28" s="1">
        <f t="shared" si="8"/>
        <v>5562840.2833842244</v>
      </c>
    </row>
    <row r="29" spans="1:7" x14ac:dyDescent="0.2">
      <c r="A29" s="2">
        <v>2020</v>
      </c>
      <c r="B29" s="2">
        <f>conversion_to_TJ!G10*Dashboard!$D$11</f>
        <v>2543980.8882529284</v>
      </c>
      <c r="C29" s="2">
        <f>conversion_to_TJ!G10*Dashboard!$D$12</f>
        <v>3114339.5927366815</v>
      </c>
      <c r="D29" s="2">
        <f>conversion_to_TJ!G12</f>
        <v>4459582.3522109725</v>
      </c>
      <c r="E29" s="2">
        <f>conversion_to_TJ!G11</f>
        <v>2919379.2678951975</v>
      </c>
      <c r="F29" s="2">
        <f>conversion_to_TJ!G13</f>
        <v>7911978.1937852632</v>
      </c>
      <c r="G29" s="2">
        <f>conversion_to_TJ!G16*Dashboard!$D$14</f>
        <v>5780917.9667085055</v>
      </c>
    </row>
    <row r="30" spans="1:7" x14ac:dyDescent="0.2">
      <c r="A30" s="1">
        <v>2021</v>
      </c>
      <c r="B30" s="1">
        <f>B$29+(B$34-B$29)/($A$34-$A$29)*($A30-$A$29)</f>
        <v>2492602.7652193075</v>
      </c>
      <c r="C30" s="1">
        <f t="shared" ref="C30:G30" si="9">C$29+(C$34-C$29)/($A$34-$A$29)*($A30-$A$29)</f>
        <v>3051442.5310869818</v>
      </c>
      <c r="D30" s="1">
        <f t="shared" si="9"/>
        <v>4342872.2847303916</v>
      </c>
      <c r="E30" s="1">
        <f t="shared" si="9"/>
        <v>2821884.2402322791</v>
      </c>
      <c r="F30" s="1">
        <f t="shared" si="9"/>
        <v>7792776.7932918007</v>
      </c>
      <c r="G30" s="1">
        <f t="shared" si="9"/>
        <v>5791603.9239477403</v>
      </c>
    </row>
    <row r="31" spans="1:7" x14ac:dyDescent="0.2">
      <c r="A31" s="1">
        <v>2022</v>
      </c>
      <c r="B31" s="1">
        <f t="shared" ref="B31:G33" si="10">B$29+(B$34-B$29)/($A$34-$A$29)*($A31-$A$29)</f>
        <v>2441224.6421856866</v>
      </c>
      <c r="C31" s="1">
        <f t="shared" si="10"/>
        <v>2988545.4694372821</v>
      </c>
      <c r="D31" s="1">
        <f t="shared" si="10"/>
        <v>4226162.2172498116</v>
      </c>
      <c r="E31" s="1">
        <f t="shared" si="10"/>
        <v>2724389.2125693606</v>
      </c>
      <c r="F31" s="1">
        <f t="shared" si="10"/>
        <v>7673575.3927983372</v>
      </c>
      <c r="G31" s="1">
        <f t="shared" si="10"/>
        <v>5802289.8811869752</v>
      </c>
    </row>
    <row r="32" spans="1:7" x14ac:dyDescent="0.2">
      <c r="A32" s="1">
        <v>2023</v>
      </c>
      <c r="B32" s="1">
        <f t="shared" si="10"/>
        <v>2389846.5191520657</v>
      </c>
      <c r="C32" s="1">
        <f t="shared" si="10"/>
        <v>2925648.4077875828</v>
      </c>
      <c r="D32" s="1">
        <f t="shared" si="10"/>
        <v>4109452.1497692307</v>
      </c>
      <c r="E32" s="1">
        <f t="shared" si="10"/>
        <v>2626894.1849064426</v>
      </c>
      <c r="F32" s="1">
        <f t="shared" si="10"/>
        <v>7554373.9923048746</v>
      </c>
      <c r="G32" s="1">
        <f t="shared" si="10"/>
        <v>5812975.8384262109</v>
      </c>
    </row>
    <row r="33" spans="1:7" x14ac:dyDescent="0.2">
      <c r="A33" s="1">
        <v>2024</v>
      </c>
      <c r="B33" s="1">
        <f t="shared" si="10"/>
        <v>2338468.3961184449</v>
      </c>
      <c r="C33" s="1">
        <f t="shared" si="10"/>
        <v>2862751.3461378831</v>
      </c>
      <c r="D33" s="1">
        <f t="shared" si="10"/>
        <v>3992742.0822886503</v>
      </c>
      <c r="E33" s="1">
        <f t="shared" si="10"/>
        <v>2529399.1572435242</v>
      </c>
      <c r="F33" s="1">
        <f t="shared" si="10"/>
        <v>7435172.5918114111</v>
      </c>
      <c r="G33" s="1">
        <f t="shared" si="10"/>
        <v>5823661.7956654457</v>
      </c>
    </row>
    <row r="34" spans="1:7" x14ac:dyDescent="0.2">
      <c r="A34" s="2">
        <v>2025</v>
      </c>
      <c r="B34" s="2">
        <f>conversion_to_TJ!H10*Dashboard!$D$11</f>
        <v>2287090.273084824</v>
      </c>
      <c r="C34" s="2">
        <f>conversion_to_TJ!H10*Dashboard!$D$12</f>
        <v>2799854.2844881834</v>
      </c>
      <c r="D34" s="2">
        <f>conversion_to_TJ!H12</f>
        <v>3876032.0148080699</v>
      </c>
      <c r="E34" s="2">
        <f>conversion_to_TJ!H11</f>
        <v>2431904.1295806058</v>
      </c>
      <c r="F34" s="2">
        <f>conversion_to_TJ!H13</f>
        <v>7315971.1913179485</v>
      </c>
      <c r="G34" s="2">
        <f>conversion_to_TJ!H16*Dashboard!$D$14</f>
        <v>5834347.7529046806</v>
      </c>
    </row>
    <row r="35" spans="1:7" x14ac:dyDescent="0.2">
      <c r="A35" s="1">
        <v>2026</v>
      </c>
      <c r="B35" s="1">
        <f>B$34+(B$39-B$34)/($A$39-$A$34)*($A35-$A$34)</f>
        <v>2212308.0623124978</v>
      </c>
      <c r="C35" s="1">
        <f t="shared" ref="C35:G35" si="11">C$34+(C$39-C$34)/($A$39-$A$34)*($A35-$A$34)</f>
        <v>2708305.9552864749</v>
      </c>
      <c r="D35" s="1">
        <f t="shared" si="11"/>
        <v>3758221.7598106028</v>
      </c>
      <c r="E35" s="1">
        <f t="shared" si="11"/>
        <v>2349219.1199677992</v>
      </c>
      <c r="F35" s="1">
        <f t="shared" si="11"/>
        <v>7420581.8219108861</v>
      </c>
      <c r="G35" s="1">
        <f t="shared" si="11"/>
        <v>5856856.6767845117</v>
      </c>
    </row>
    <row r="36" spans="1:7" x14ac:dyDescent="0.2">
      <c r="A36" s="1">
        <v>2027</v>
      </c>
      <c r="B36" s="1">
        <f t="shared" ref="B36:G38" si="12">B$34+(B$39-B$34)/($A$39-$A$34)*($A36-$A$34)</f>
        <v>2137525.851540172</v>
      </c>
      <c r="C36" s="1">
        <f t="shared" si="12"/>
        <v>2616757.6260847659</v>
      </c>
      <c r="D36" s="1">
        <f t="shared" si="12"/>
        <v>3640411.5048131356</v>
      </c>
      <c r="E36" s="1">
        <f t="shared" si="12"/>
        <v>2266534.1103549921</v>
      </c>
      <c r="F36" s="1">
        <f t="shared" si="12"/>
        <v>7525192.4525038237</v>
      </c>
      <c r="G36" s="1">
        <f t="shared" si="12"/>
        <v>5879365.6006643428</v>
      </c>
    </row>
    <row r="37" spans="1:7" x14ac:dyDescent="0.2">
      <c r="A37" s="1">
        <v>2028</v>
      </c>
      <c r="B37" s="1">
        <f t="shared" si="12"/>
        <v>2062743.640767846</v>
      </c>
      <c r="C37" s="1">
        <f t="shared" si="12"/>
        <v>2525209.2968830573</v>
      </c>
      <c r="D37" s="1">
        <f t="shared" si="12"/>
        <v>3522601.2498156684</v>
      </c>
      <c r="E37" s="1">
        <f t="shared" si="12"/>
        <v>2183849.1007421855</v>
      </c>
      <c r="F37" s="1">
        <f t="shared" si="12"/>
        <v>7629803.0830967613</v>
      </c>
      <c r="G37" s="1">
        <f t="shared" si="12"/>
        <v>5901874.5245441739</v>
      </c>
    </row>
    <row r="38" spans="1:7" x14ac:dyDescent="0.2">
      <c r="A38" s="1">
        <v>2029</v>
      </c>
      <c r="B38" s="1">
        <f t="shared" si="12"/>
        <v>1987961.42999552</v>
      </c>
      <c r="C38" s="1">
        <f t="shared" si="12"/>
        <v>2433660.9676813483</v>
      </c>
      <c r="D38" s="1">
        <f t="shared" si="12"/>
        <v>3404790.9948182013</v>
      </c>
      <c r="E38" s="1">
        <f t="shared" si="12"/>
        <v>2101164.0911293784</v>
      </c>
      <c r="F38" s="1">
        <f t="shared" si="12"/>
        <v>7734413.7136896988</v>
      </c>
      <c r="G38" s="1">
        <f t="shared" si="12"/>
        <v>5924383.4484240049</v>
      </c>
    </row>
    <row r="39" spans="1:7" x14ac:dyDescent="0.2">
      <c r="A39" s="2">
        <v>2030</v>
      </c>
      <c r="B39" s="2">
        <f>conversion_to_TJ!I10*Dashboard!$D$11</f>
        <v>1913179.2192231941</v>
      </c>
      <c r="C39" s="2">
        <f>conversion_to_TJ!I10*Dashboard!$D$12</f>
        <v>2342112.6384796398</v>
      </c>
      <c r="D39" s="2">
        <f>conversion_to_TJ!I12</f>
        <v>3286980.7398207341</v>
      </c>
      <c r="E39" s="2">
        <f>conversion_to_TJ!I11</f>
        <v>2018479.0815165718</v>
      </c>
      <c r="F39" s="2">
        <f>conversion_to_TJ!I13</f>
        <v>7839024.3442826364</v>
      </c>
      <c r="G39" s="2">
        <f>conversion_to_TJ!I16*Dashboard!$D$14</f>
        <v>5946892.372303836</v>
      </c>
    </row>
    <row r="40" spans="1:7" x14ac:dyDescent="0.2">
      <c r="A40" s="1">
        <v>2031</v>
      </c>
      <c r="B40" s="1">
        <f>B$39+(B$44-B$39)/($A$44-$A$39)*($A40-$A$39)</f>
        <v>1836970.3436790891</v>
      </c>
      <c r="C40" s="1">
        <f t="shared" ref="C40:G40" si="13">C$39+(C$44-C$39)/($A$44-$A$39)*($A40-$A$39)</f>
        <v>2248817.787279739</v>
      </c>
      <c r="D40" s="1">
        <f t="shared" si="13"/>
        <v>3162097.0839976459</v>
      </c>
      <c r="E40" s="1">
        <f t="shared" si="13"/>
        <v>1922773.6258864508</v>
      </c>
      <c r="F40" s="1">
        <f t="shared" si="13"/>
        <v>7843344.017394877</v>
      </c>
      <c r="G40" s="1">
        <f t="shared" si="13"/>
        <v>5958465.6234526439</v>
      </c>
    </row>
    <row r="41" spans="1:7" x14ac:dyDescent="0.2">
      <c r="A41" s="1">
        <v>2032</v>
      </c>
      <c r="B41" s="1">
        <f t="shared" ref="B41:G43" si="14">B$39+(B$44-B$39)/($A$44-$A$39)*($A41-$A$39)</f>
        <v>1760761.4681349844</v>
      </c>
      <c r="C41" s="1">
        <f t="shared" si="14"/>
        <v>2155522.9360798383</v>
      </c>
      <c r="D41" s="1">
        <f t="shared" si="14"/>
        <v>3037213.4281745581</v>
      </c>
      <c r="E41" s="1">
        <f t="shared" si="14"/>
        <v>1827068.1702563295</v>
      </c>
      <c r="F41" s="1">
        <f t="shared" si="14"/>
        <v>7847663.6905071167</v>
      </c>
      <c r="G41" s="1">
        <f t="shared" si="14"/>
        <v>5970038.8746014517</v>
      </c>
    </row>
    <row r="42" spans="1:7" x14ac:dyDescent="0.2">
      <c r="A42" s="1">
        <v>2033</v>
      </c>
      <c r="B42" s="1">
        <f t="shared" si="14"/>
        <v>1684552.5925908794</v>
      </c>
      <c r="C42" s="1">
        <f t="shared" si="14"/>
        <v>2062228.0848799378</v>
      </c>
      <c r="D42" s="1">
        <f t="shared" si="14"/>
        <v>2912329.7723514698</v>
      </c>
      <c r="E42" s="1">
        <f t="shared" si="14"/>
        <v>1731362.7146262084</v>
      </c>
      <c r="F42" s="1">
        <f t="shared" si="14"/>
        <v>7851983.3636193573</v>
      </c>
      <c r="G42" s="1">
        <f t="shared" si="14"/>
        <v>5981612.1257502604</v>
      </c>
    </row>
    <row r="43" spans="1:7" x14ac:dyDescent="0.2">
      <c r="A43" s="1">
        <v>2034</v>
      </c>
      <c r="B43" s="1">
        <f t="shared" si="14"/>
        <v>1608343.7170467745</v>
      </c>
      <c r="C43" s="1">
        <f t="shared" si="14"/>
        <v>1968933.2336800373</v>
      </c>
      <c r="D43" s="1">
        <f t="shared" si="14"/>
        <v>2787446.1165283821</v>
      </c>
      <c r="E43" s="1">
        <f t="shared" si="14"/>
        <v>1635657.2589960871</v>
      </c>
      <c r="F43" s="1">
        <f t="shared" si="14"/>
        <v>7856303.036731597</v>
      </c>
      <c r="G43" s="1">
        <f t="shared" si="14"/>
        <v>5993185.3768990682</v>
      </c>
    </row>
    <row r="44" spans="1:7" x14ac:dyDescent="0.2">
      <c r="A44" s="2">
        <v>2035</v>
      </c>
      <c r="B44" s="2">
        <f>conversion_to_TJ!J10*Dashboard!$D$11</f>
        <v>1532134.8415026697</v>
      </c>
      <c r="C44" s="2">
        <f>conversion_to_TJ!J10*Dashboard!$D$12</f>
        <v>1875638.3824801366</v>
      </c>
      <c r="D44" s="2">
        <f>conversion_to_TJ!J12</f>
        <v>2662562.4607052938</v>
      </c>
      <c r="E44" s="2">
        <f>conversion_to_TJ!J11</f>
        <v>1539951.8033659661</v>
      </c>
      <c r="F44" s="2">
        <f>conversion_to_TJ!J13</f>
        <v>7860622.7098438377</v>
      </c>
      <c r="G44" s="2">
        <f>conversion_to_TJ!J16*Dashboard!$D$14</f>
        <v>6004758.6280478761</v>
      </c>
    </row>
    <row r="45" spans="1:7" x14ac:dyDescent="0.2">
      <c r="A45" s="1">
        <v>2036</v>
      </c>
      <c r="B45" s="1">
        <f>B$44+(B$49-B$44)/($A$49-$A$44)*($A45-$A$44)</f>
        <v>1471982.8234348211</v>
      </c>
      <c r="C45" s="1">
        <f t="shared" ref="C45:G45" si="15">C$44+(C$49-C$44)/($A$49-$A$44)*($A45-$A$44)</f>
        <v>1802000.3247743004</v>
      </c>
      <c r="D45" s="1">
        <f t="shared" si="15"/>
        <v>2627348.3869318259</v>
      </c>
      <c r="E45" s="1">
        <f t="shared" si="15"/>
        <v>1473100.2823305163</v>
      </c>
      <c r="F45" s="1">
        <f t="shared" si="15"/>
        <v>7721421.8347641109</v>
      </c>
      <c r="G45" s="1">
        <f t="shared" si="15"/>
        <v>6062200.660904265</v>
      </c>
    </row>
    <row r="46" spans="1:7" x14ac:dyDescent="0.2">
      <c r="A46" s="1">
        <v>2037</v>
      </c>
      <c r="B46" s="1">
        <f t="shared" ref="B46:G48" si="16">B$44+(B$49-B$44)/($A$49-$A$44)*($A46-$A$44)</f>
        <v>1411830.8053669725</v>
      </c>
      <c r="C46" s="1">
        <f t="shared" si="16"/>
        <v>1728362.2670684645</v>
      </c>
      <c r="D46" s="1">
        <f t="shared" si="16"/>
        <v>2592134.313158358</v>
      </c>
      <c r="E46" s="1">
        <f t="shared" si="16"/>
        <v>1406248.7612950662</v>
      </c>
      <c r="F46" s="1">
        <f t="shared" si="16"/>
        <v>7582220.9596843841</v>
      </c>
      <c r="G46" s="1">
        <f t="shared" si="16"/>
        <v>6119642.693760654</v>
      </c>
    </row>
    <row r="47" spans="1:7" x14ac:dyDescent="0.2">
      <c r="A47" s="1">
        <v>2038</v>
      </c>
      <c r="B47" s="1">
        <f t="shared" si="16"/>
        <v>1351678.7872991238</v>
      </c>
      <c r="C47" s="1">
        <f t="shared" si="16"/>
        <v>1654724.2093626284</v>
      </c>
      <c r="D47" s="1">
        <f t="shared" si="16"/>
        <v>2556920.2393848905</v>
      </c>
      <c r="E47" s="1">
        <f t="shared" si="16"/>
        <v>1339397.2402596164</v>
      </c>
      <c r="F47" s="1">
        <f t="shared" si="16"/>
        <v>7443020.0846046573</v>
      </c>
      <c r="G47" s="1">
        <f t="shared" si="16"/>
        <v>6177084.7266170438</v>
      </c>
    </row>
    <row r="48" spans="1:7" x14ac:dyDescent="0.2">
      <c r="A48" s="1">
        <v>2039</v>
      </c>
      <c r="B48" s="1">
        <f t="shared" si="16"/>
        <v>1291526.7692312752</v>
      </c>
      <c r="C48" s="1">
        <f t="shared" si="16"/>
        <v>1581086.1516567925</v>
      </c>
      <c r="D48" s="1">
        <f t="shared" si="16"/>
        <v>2521706.1656114226</v>
      </c>
      <c r="E48" s="1">
        <f t="shared" si="16"/>
        <v>1272545.7192241666</v>
      </c>
      <c r="F48" s="1">
        <f t="shared" si="16"/>
        <v>7303819.2095249305</v>
      </c>
      <c r="G48" s="1">
        <f t="shared" si="16"/>
        <v>6234526.7594734328</v>
      </c>
    </row>
    <row r="49" spans="1:7" x14ac:dyDescent="0.2">
      <c r="A49" s="2">
        <v>2040</v>
      </c>
      <c r="B49" s="2">
        <f>conversion_to_TJ!K10*Dashboard!$D$11</f>
        <v>1231374.7511634266</v>
      </c>
      <c r="C49" s="2">
        <f>conversion_to_TJ!K10*Dashboard!$D$12</f>
        <v>1507448.0939509564</v>
      </c>
      <c r="D49" s="2">
        <f>conversion_to_TJ!K12</f>
        <v>2486492.0918379547</v>
      </c>
      <c r="E49" s="2">
        <f>conversion_to_TJ!K11</f>
        <v>1205694.1981887165</v>
      </c>
      <c r="F49" s="2">
        <f>conversion_to_TJ!K13</f>
        <v>7164618.3344452037</v>
      </c>
      <c r="G49" s="2">
        <f>conversion_to_TJ!K16*Dashboard!$D$14</f>
        <v>6291968.7923298217</v>
      </c>
    </row>
    <row r="50" spans="1:7" x14ac:dyDescent="0.2">
      <c r="A50" s="1">
        <v>2041</v>
      </c>
      <c r="B50" s="1">
        <f>B$49+(B$54-B$49)/($A$54-$A$49)*($A50-$A$49)</f>
        <v>1172702.4859285511</v>
      </c>
      <c r="C50" s="1">
        <f t="shared" ref="C50:G50" si="17">C$49+(C$54-C$49)/($A$54-$A$49)*($A50-$A$49)</f>
        <v>1435621.5486100412</v>
      </c>
      <c r="D50" s="1">
        <f t="shared" si="17"/>
        <v>2470244.216653517</v>
      </c>
      <c r="E50" s="1">
        <f t="shared" si="17"/>
        <v>1141172.736494754</v>
      </c>
      <c r="F50" s="1">
        <f t="shared" si="17"/>
        <v>7119995.3626904823</v>
      </c>
      <c r="G50" s="1">
        <f t="shared" si="17"/>
        <v>6317496.3964231014</v>
      </c>
    </row>
    <row r="51" spans="1:7" x14ac:dyDescent="0.2">
      <c r="A51" s="1">
        <v>2042</v>
      </c>
      <c r="B51" s="1">
        <f t="shared" ref="B51:G53" si="18">B$49+(B$54-B$49)/($A$54-$A$49)*($A51-$A$49)</f>
        <v>1114030.2206936756</v>
      </c>
      <c r="C51" s="1">
        <f t="shared" si="18"/>
        <v>1363795.0032691259</v>
      </c>
      <c r="D51" s="1">
        <f t="shared" si="18"/>
        <v>2453996.3414690793</v>
      </c>
      <c r="E51" s="1">
        <f t="shared" si="18"/>
        <v>1076651.2748007912</v>
      </c>
      <c r="F51" s="1">
        <f t="shared" si="18"/>
        <v>7075372.3909357609</v>
      </c>
      <c r="G51" s="1">
        <f t="shared" si="18"/>
        <v>6343024.000516382</v>
      </c>
    </row>
    <row r="52" spans="1:7" x14ac:dyDescent="0.2">
      <c r="A52" s="1">
        <v>2043</v>
      </c>
      <c r="B52" s="1">
        <f t="shared" si="18"/>
        <v>1055357.9554588001</v>
      </c>
      <c r="C52" s="1">
        <f t="shared" si="18"/>
        <v>1291968.457928211</v>
      </c>
      <c r="D52" s="1">
        <f t="shared" si="18"/>
        <v>2437748.4662846411</v>
      </c>
      <c r="E52" s="1">
        <f t="shared" si="18"/>
        <v>1012129.8131068285</v>
      </c>
      <c r="F52" s="1">
        <f t="shared" si="18"/>
        <v>7030749.4191810396</v>
      </c>
      <c r="G52" s="1">
        <f t="shared" si="18"/>
        <v>6368551.6046096617</v>
      </c>
    </row>
    <row r="53" spans="1:7" x14ac:dyDescent="0.2">
      <c r="A53" s="1">
        <v>2044</v>
      </c>
      <c r="B53" s="1">
        <f t="shared" si="18"/>
        <v>996685.6902239247</v>
      </c>
      <c r="C53" s="1">
        <f t="shared" si="18"/>
        <v>1220141.9125872958</v>
      </c>
      <c r="D53" s="1">
        <f t="shared" si="18"/>
        <v>2421500.5911002033</v>
      </c>
      <c r="E53" s="1">
        <f t="shared" si="18"/>
        <v>947608.3514128658</v>
      </c>
      <c r="F53" s="1">
        <f t="shared" si="18"/>
        <v>6986126.4474263182</v>
      </c>
      <c r="G53" s="1">
        <f t="shared" si="18"/>
        <v>6394079.2087029424</v>
      </c>
    </row>
    <row r="54" spans="1:7" x14ac:dyDescent="0.2">
      <c r="A54" s="2">
        <v>2045</v>
      </c>
      <c r="B54" s="2">
        <f>conversion_to_TJ!L10*Dashboard!$D$11</f>
        <v>938013.42498904921</v>
      </c>
      <c r="C54" s="2">
        <f>conversion_to_TJ!L10*Dashboard!$D$12</f>
        <v>1148315.3672463805</v>
      </c>
      <c r="D54" s="2">
        <f>conversion_to_TJ!L12</f>
        <v>2405252.7159157656</v>
      </c>
      <c r="E54" s="2">
        <f>conversion_to_TJ!L11</f>
        <v>883086.88971890311</v>
      </c>
      <c r="F54" s="2">
        <f>conversion_to_TJ!L13</f>
        <v>6941503.4756715968</v>
      </c>
      <c r="G54" s="2">
        <f>conversion_to_TJ!L16*Dashboard!$D$14</f>
        <v>6419606.812796222</v>
      </c>
    </row>
    <row r="55" spans="1:7" x14ac:dyDescent="0.2">
      <c r="A55" s="1">
        <v>2046</v>
      </c>
      <c r="B55" s="1">
        <f>B$54+(B$59-B$54)/($A$59-$A$54)*($A55-$A$54)</f>
        <v>980538.09623867646</v>
      </c>
      <c r="C55" s="1">
        <f t="shared" ref="C55:G55" si="19">C$54+(C$59-C$54)/($A$59-$A$54)*($A55-$A$54)</f>
        <v>1200374.0395235042</v>
      </c>
      <c r="D55" s="1">
        <f t="shared" si="19"/>
        <v>2370393.1567549682</v>
      </c>
      <c r="E55" s="1">
        <f t="shared" si="19"/>
        <v>823936.06150085153</v>
      </c>
      <c r="F55" s="1">
        <f t="shared" si="19"/>
        <v>6925007.3564703558</v>
      </c>
      <c r="G55" s="1">
        <f t="shared" si="19"/>
        <v>6435183.08125568</v>
      </c>
    </row>
    <row r="56" spans="1:7" x14ac:dyDescent="0.2">
      <c r="A56" s="1">
        <v>2047</v>
      </c>
      <c r="B56" s="1">
        <f t="shared" ref="B56:G58" si="20">B$54+(B$59-B$54)/($A$59-$A$54)*($A56-$A$54)</f>
        <v>1023062.7674883037</v>
      </c>
      <c r="C56" s="1">
        <f t="shared" si="20"/>
        <v>1252432.7118006281</v>
      </c>
      <c r="D56" s="1">
        <f t="shared" si="20"/>
        <v>2335533.5975941708</v>
      </c>
      <c r="E56" s="1">
        <f t="shared" si="20"/>
        <v>764785.23328280007</v>
      </c>
      <c r="F56" s="1">
        <f t="shared" si="20"/>
        <v>6908511.2372691147</v>
      </c>
      <c r="G56" s="1">
        <f t="shared" si="20"/>
        <v>6450759.3497151379</v>
      </c>
    </row>
    <row r="57" spans="1:7" x14ac:dyDescent="0.2">
      <c r="A57" s="1">
        <v>2048</v>
      </c>
      <c r="B57" s="1">
        <f t="shared" si="20"/>
        <v>1065587.438737931</v>
      </c>
      <c r="C57" s="1">
        <f t="shared" si="20"/>
        <v>1304491.3840777518</v>
      </c>
      <c r="D57" s="1">
        <f t="shared" si="20"/>
        <v>2300674.0384333734</v>
      </c>
      <c r="E57" s="1">
        <f t="shared" si="20"/>
        <v>705634.40506474848</v>
      </c>
      <c r="F57" s="1">
        <f t="shared" si="20"/>
        <v>6892015.1180678736</v>
      </c>
      <c r="G57" s="1">
        <f t="shared" si="20"/>
        <v>6466335.6181745958</v>
      </c>
    </row>
    <row r="58" spans="1:7" x14ac:dyDescent="0.2">
      <c r="A58" s="1">
        <v>2049</v>
      </c>
      <c r="B58" s="1">
        <f t="shared" si="20"/>
        <v>1108112.1099875583</v>
      </c>
      <c r="C58" s="1">
        <f t="shared" si="20"/>
        <v>1356550.0563548757</v>
      </c>
      <c r="D58" s="1">
        <f t="shared" si="20"/>
        <v>2265814.479272576</v>
      </c>
      <c r="E58" s="1">
        <f t="shared" si="20"/>
        <v>646483.5768466969</v>
      </c>
      <c r="F58" s="1">
        <f t="shared" si="20"/>
        <v>6875518.9988666326</v>
      </c>
      <c r="G58" s="1">
        <f t="shared" si="20"/>
        <v>6481911.8866340537</v>
      </c>
    </row>
    <row r="59" spans="1:7" x14ac:dyDescent="0.2">
      <c r="A59" s="2">
        <v>2050</v>
      </c>
      <c r="B59" s="2">
        <f>conversion_to_TJ!M10*Dashboard!$D$11</f>
        <v>1150636.7812371855</v>
      </c>
      <c r="C59" s="2">
        <f>conversion_to_TJ!M10*Dashboard!$D$12</f>
        <v>1408608.7286319993</v>
      </c>
      <c r="D59" s="2">
        <f>conversion_to_TJ!M12</f>
        <v>2230954.9201117787</v>
      </c>
      <c r="E59" s="2">
        <f>conversion_to_TJ!M11</f>
        <v>587332.74862864544</v>
      </c>
      <c r="F59" s="2">
        <f>conversion_to_TJ!M13</f>
        <v>6859022.8796653915</v>
      </c>
      <c r="G59" s="2">
        <f>conversion_to_TJ!M16*Dashboard!$D$14</f>
        <v>6497488.1550935116</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x14ac:dyDescent="0.2"/>
  <sheetData>
    <row r="1" spans="1:7" x14ac:dyDescent="0.2">
      <c r="A1" t="s">
        <v>0</v>
      </c>
      <c r="B1" t="s">
        <v>1</v>
      </c>
      <c r="C1" t="s">
        <v>2</v>
      </c>
      <c r="D1" t="s">
        <v>3</v>
      </c>
      <c r="E1" t="s">
        <v>4</v>
      </c>
      <c r="F1" t="s">
        <v>5</v>
      </c>
      <c r="G1" t="s">
        <v>6</v>
      </c>
    </row>
    <row r="2" spans="1:7" x14ac:dyDescent="0.2">
      <c r="A2">
        <v>2010</v>
      </c>
      <c r="B2">
        <f>interpolation!B19</f>
        <v>3102871.1887641596</v>
      </c>
      <c r="C2">
        <f>interpolation!C19</f>
        <v>3798532.7008358398</v>
      </c>
      <c r="D2">
        <f>interpolation!D19</f>
        <v>6696691.1635054499</v>
      </c>
      <c r="E2">
        <f>interpolation!E19</f>
        <v>4203898.8912000014</v>
      </c>
      <c r="F2">
        <f>interpolation!F19</f>
        <v>9904390.3764000013</v>
      </c>
      <c r="G2">
        <f>interpolation!G19</f>
        <v>4229296.7988484735</v>
      </c>
    </row>
    <row r="3" spans="1:7" x14ac:dyDescent="0.2">
      <c r="A3">
        <v>2011</v>
      </c>
      <c r="B3">
        <f>interpolation!B20</f>
        <v>3151628.51</v>
      </c>
      <c r="C3">
        <f>interpolation!C20</f>
        <v>3858091.19</v>
      </c>
      <c r="D3">
        <f>interpolation!D20</f>
        <v>5867098.4100000001</v>
      </c>
      <c r="E3">
        <f>interpolation!E20</f>
        <v>3524038.7800000003</v>
      </c>
      <c r="F3">
        <f>interpolation!F20</f>
        <v>9899121.0800000001</v>
      </c>
      <c r="G3">
        <f>interpolation!G20</f>
        <v>4321543.3490961995</v>
      </c>
    </row>
    <row r="4" spans="1:7" x14ac:dyDescent="0.2">
      <c r="A4">
        <v>2012</v>
      </c>
      <c r="B4">
        <f>interpolation!B21</f>
        <v>3061124.2557653789</v>
      </c>
      <c r="C4">
        <f>interpolation!C21</f>
        <v>3747328.4935793253</v>
      </c>
      <c r="D4">
        <f>interpolation!D21</f>
        <v>5640019.3528815154</v>
      </c>
      <c r="E4">
        <f>interpolation!E21</f>
        <v>3464988.573503051</v>
      </c>
      <c r="F4">
        <f>interpolation!F21</f>
        <v>9654260.3998455312</v>
      </c>
      <c r="G4">
        <f>interpolation!G21</f>
        <v>4413789.8993439246</v>
      </c>
    </row>
    <row r="5" spans="1:7" x14ac:dyDescent="0.2">
      <c r="A5">
        <v>2013</v>
      </c>
      <c r="B5">
        <f>interpolation!B22</f>
        <v>2970620.0015307581</v>
      </c>
      <c r="C5">
        <f>interpolation!C22</f>
        <v>3636565.7971586511</v>
      </c>
      <c r="D5">
        <f>interpolation!D22</f>
        <v>5412940.2957630306</v>
      </c>
      <c r="E5">
        <f>interpolation!E22</f>
        <v>3405938.3670061021</v>
      </c>
      <c r="F5">
        <f>interpolation!F22</f>
        <v>9409399.7196910623</v>
      </c>
      <c r="G5">
        <f>interpolation!G22</f>
        <v>4506036.4495916506</v>
      </c>
    </row>
    <row r="6" spans="1:7" x14ac:dyDescent="0.2">
      <c r="A6">
        <v>2014</v>
      </c>
      <c r="B6">
        <f>interpolation!B23</f>
        <v>2880115.7472961377</v>
      </c>
      <c r="C6">
        <f>interpolation!C23</f>
        <v>3525803.1007379768</v>
      </c>
      <c r="D6">
        <f>interpolation!D23</f>
        <v>5185861.2386445468</v>
      </c>
      <c r="E6">
        <f>interpolation!E23</f>
        <v>3346888.1605091533</v>
      </c>
      <c r="F6">
        <f>interpolation!F23</f>
        <v>9164539.0395365935</v>
      </c>
      <c r="G6">
        <f>interpolation!G23</f>
        <v>4598282.9998393757</v>
      </c>
    </row>
    <row r="7" spans="1:7" x14ac:dyDescent="0.2">
      <c r="A7">
        <v>2015</v>
      </c>
      <c r="B7">
        <f>interpolation!B24</f>
        <v>2789611.4930615169</v>
      </c>
      <c r="C7">
        <f>interpolation!C24</f>
        <v>3415040.4043173022</v>
      </c>
      <c r="D7">
        <f>interpolation!D24</f>
        <v>4958782.1815260621</v>
      </c>
      <c r="E7">
        <f>interpolation!E24</f>
        <v>3287837.954012204</v>
      </c>
      <c r="F7">
        <f>interpolation!F24</f>
        <v>8919678.3593821246</v>
      </c>
      <c r="G7">
        <f>interpolation!G24</f>
        <v>4690529.5500871018</v>
      </c>
    </row>
    <row r="8" spans="1:7" x14ac:dyDescent="0.2">
      <c r="A8">
        <v>2016</v>
      </c>
      <c r="B8">
        <f>interpolation!B25</f>
        <v>2740485.3720997991</v>
      </c>
      <c r="C8">
        <f>interpolation!C25</f>
        <v>3354900.2420011782</v>
      </c>
      <c r="D8">
        <f>interpolation!D25</f>
        <v>4858942.2156630438</v>
      </c>
      <c r="E8">
        <f>interpolation!E25</f>
        <v>3214146.2167888028</v>
      </c>
      <c r="F8">
        <f>interpolation!F25</f>
        <v>8718138.3262627516</v>
      </c>
      <c r="G8">
        <f>interpolation!G25</f>
        <v>4908607.2334113829</v>
      </c>
    </row>
    <row r="9" spans="1:7" x14ac:dyDescent="0.2">
      <c r="A9">
        <v>2017</v>
      </c>
      <c r="B9">
        <f>interpolation!B26</f>
        <v>2691359.2511380813</v>
      </c>
      <c r="C9">
        <f>interpolation!C26</f>
        <v>3294760.0796850538</v>
      </c>
      <c r="D9">
        <f>interpolation!D26</f>
        <v>4759102.2498000264</v>
      </c>
      <c r="E9">
        <f>interpolation!E26</f>
        <v>3140454.4795654016</v>
      </c>
      <c r="F9">
        <f>interpolation!F26</f>
        <v>8516598.2931433804</v>
      </c>
      <c r="G9">
        <f>interpolation!G26</f>
        <v>5126684.9167356631</v>
      </c>
    </row>
    <row r="10" spans="1:7" x14ac:dyDescent="0.2">
      <c r="A10">
        <v>2018</v>
      </c>
      <c r="B10">
        <f>interpolation!B27</f>
        <v>2642233.130176364</v>
      </c>
      <c r="C10">
        <f>interpolation!C27</f>
        <v>3234619.9173689298</v>
      </c>
      <c r="D10">
        <f>interpolation!D27</f>
        <v>4659262.2839370081</v>
      </c>
      <c r="E10">
        <f>interpolation!E27</f>
        <v>3066762.7423419999</v>
      </c>
      <c r="F10">
        <f>interpolation!F27</f>
        <v>8315058.2600240074</v>
      </c>
      <c r="G10">
        <f>interpolation!G27</f>
        <v>5344762.6000599442</v>
      </c>
    </row>
    <row r="11" spans="1:7" x14ac:dyDescent="0.2">
      <c r="A11">
        <v>2019</v>
      </c>
      <c r="B11">
        <f>interpolation!B28</f>
        <v>2593107.0092146462</v>
      </c>
      <c r="C11">
        <f>interpolation!C28</f>
        <v>3174479.7550528054</v>
      </c>
      <c r="D11">
        <f>interpolation!D28</f>
        <v>4559422.3180739908</v>
      </c>
      <c r="E11">
        <f>interpolation!E28</f>
        <v>2993071.0051185987</v>
      </c>
      <c r="F11">
        <f>interpolation!F28</f>
        <v>8113518.2269046353</v>
      </c>
      <c r="G11">
        <f>interpolation!G28</f>
        <v>5562840.2833842244</v>
      </c>
    </row>
    <row r="12" spans="1:7" x14ac:dyDescent="0.2">
      <c r="A12">
        <v>2020</v>
      </c>
      <c r="B12">
        <f>interpolation!B29</f>
        <v>2543980.8882529284</v>
      </c>
      <c r="C12">
        <f>interpolation!C29</f>
        <v>3114339.5927366815</v>
      </c>
      <c r="D12">
        <f>interpolation!D29</f>
        <v>4459582.3522109725</v>
      </c>
      <c r="E12">
        <f>interpolation!E29</f>
        <v>2919379.2678951975</v>
      </c>
      <c r="F12">
        <f>interpolation!F29</f>
        <v>7911978.1937852632</v>
      </c>
      <c r="G12">
        <f>interpolation!G29</f>
        <v>5780917.9667085055</v>
      </c>
    </row>
    <row r="13" spans="1:7" x14ac:dyDescent="0.2">
      <c r="A13">
        <v>2021</v>
      </c>
      <c r="B13">
        <f>interpolation!B30</f>
        <v>2492602.7652193075</v>
      </c>
      <c r="C13">
        <f>interpolation!C30</f>
        <v>3051442.5310869818</v>
      </c>
      <c r="D13">
        <f>interpolation!D30</f>
        <v>4342872.2847303916</v>
      </c>
      <c r="E13">
        <f>interpolation!E30</f>
        <v>2821884.2402322791</v>
      </c>
      <c r="F13">
        <f>interpolation!F30</f>
        <v>7792776.7932918007</v>
      </c>
      <c r="G13">
        <f>interpolation!G30</f>
        <v>5791603.9239477403</v>
      </c>
    </row>
    <row r="14" spans="1:7" x14ac:dyDescent="0.2">
      <c r="A14">
        <v>2022</v>
      </c>
      <c r="B14">
        <f>interpolation!B31</f>
        <v>2441224.6421856866</v>
      </c>
      <c r="C14">
        <f>interpolation!C31</f>
        <v>2988545.4694372821</v>
      </c>
      <c r="D14">
        <f>interpolation!D31</f>
        <v>4226162.2172498116</v>
      </c>
      <c r="E14">
        <f>interpolation!E31</f>
        <v>2724389.2125693606</v>
      </c>
      <c r="F14">
        <f>interpolation!F31</f>
        <v>7673575.3927983372</v>
      </c>
      <c r="G14">
        <f>interpolation!G31</f>
        <v>5802289.8811869752</v>
      </c>
    </row>
    <row r="15" spans="1:7" x14ac:dyDescent="0.2">
      <c r="A15">
        <v>2023</v>
      </c>
      <c r="B15">
        <f>interpolation!B32</f>
        <v>2389846.5191520657</v>
      </c>
      <c r="C15">
        <f>interpolation!C32</f>
        <v>2925648.4077875828</v>
      </c>
      <c r="D15">
        <f>interpolation!D32</f>
        <v>4109452.1497692307</v>
      </c>
      <c r="E15">
        <f>interpolation!E32</f>
        <v>2626894.1849064426</v>
      </c>
      <c r="F15">
        <f>interpolation!F32</f>
        <v>7554373.9923048746</v>
      </c>
      <c r="G15">
        <f>interpolation!G32</f>
        <v>5812975.8384262109</v>
      </c>
    </row>
    <row r="16" spans="1:7" x14ac:dyDescent="0.2">
      <c r="A16">
        <v>2024</v>
      </c>
      <c r="B16">
        <f>interpolation!B33</f>
        <v>2338468.3961184449</v>
      </c>
      <c r="C16">
        <f>interpolation!C33</f>
        <v>2862751.3461378831</v>
      </c>
      <c r="D16">
        <f>interpolation!D33</f>
        <v>3992742.0822886503</v>
      </c>
      <c r="E16">
        <f>interpolation!E33</f>
        <v>2529399.1572435242</v>
      </c>
      <c r="F16">
        <f>interpolation!F33</f>
        <v>7435172.5918114111</v>
      </c>
      <c r="G16">
        <f>interpolation!G33</f>
        <v>5823661.7956654457</v>
      </c>
    </row>
    <row r="17" spans="1:7" x14ac:dyDescent="0.2">
      <c r="A17">
        <v>2025</v>
      </c>
      <c r="B17">
        <f>interpolation!B34</f>
        <v>2287090.273084824</v>
      </c>
      <c r="C17">
        <f>interpolation!C34</f>
        <v>2799854.2844881834</v>
      </c>
      <c r="D17">
        <f>interpolation!D34</f>
        <v>3876032.0148080699</v>
      </c>
      <c r="E17">
        <f>interpolation!E34</f>
        <v>2431904.1295806058</v>
      </c>
      <c r="F17">
        <f>interpolation!F34</f>
        <v>7315971.1913179485</v>
      </c>
      <c r="G17">
        <f>interpolation!G34</f>
        <v>5834347.7529046806</v>
      </c>
    </row>
    <row r="18" spans="1:7" x14ac:dyDescent="0.2">
      <c r="A18">
        <v>2026</v>
      </c>
      <c r="B18">
        <f>interpolation!B35</f>
        <v>2212308.0623124978</v>
      </c>
      <c r="C18">
        <f>interpolation!C35</f>
        <v>2708305.9552864749</v>
      </c>
      <c r="D18">
        <f>interpolation!D35</f>
        <v>3758221.7598106028</v>
      </c>
      <c r="E18">
        <f>interpolation!E35</f>
        <v>2349219.1199677992</v>
      </c>
      <c r="F18">
        <f>interpolation!F35</f>
        <v>7420581.8219108861</v>
      </c>
      <c r="G18">
        <f>interpolation!G35</f>
        <v>5856856.6767845117</v>
      </c>
    </row>
    <row r="19" spans="1:7" x14ac:dyDescent="0.2">
      <c r="A19">
        <v>2027</v>
      </c>
      <c r="B19">
        <f>interpolation!B36</f>
        <v>2137525.851540172</v>
      </c>
      <c r="C19">
        <f>interpolation!C36</f>
        <v>2616757.6260847659</v>
      </c>
      <c r="D19">
        <f>interpolation!D36</f>
        <v>3640411.5048131356</v>
      </c>
      <c r="E19">
        <f>interpolation!E36</f>
        <v>2266534.1103549921</v>
      </c>
      <c r="F19">
        <f>interpolation!F36</f>
        <v>7525192.4525038237</v>
      </c>
      <c r="G19">
        <f>interpolation!G36</f>
        <v>5879365.6006643428</v>
      </c>
    </row>
    <row r="20" spans="1:7" x14ac:dyDescent="0.2">
      <c r="A20">
        <v>2028</v>
      </c>
      <c r="B20">
        <f>interpolation!B37</f>
        <v>2062743.640767846</v>
      </c>
      <c r="C20">
        <f>interpolation!C37</f>
        <v>2525209.2968830573</v>
      </c>
      <c r="D20">
        <f>interpolation!D37</f>
        <v>3522601.2498156684</v>
      </c>
      <c r="E20">
        <f>interpolation!E37</f>
        <v>2183849.1007421855</v>
      </c>
      <c r="F20">
        <f>interpolation!F37</f>
        <v>7629803.0830967613</v>
      </c>
      <c r="G20">
        <f>interpolation!G37</f>
        <v>5901874.5245441739</v>
      </c>
    </row>
    <row r="21" spans="1:7" x14ac:dyDescent="0.2">
      <c r="A21">
        <v>2029</v>
      </c>
      <c r="B21">
        <f>interpolation!B38</f>
        <v>1987961.42999552</v>
      </c>
      <c r="C21">
        <f>interpolation!C38</f>
        <v>2433660.9676813483</v>
      </c>
      <c r="D21">
        <f>interpolation!D38</f>
        <v>3404790.9948182013</v>
      </c>
      <c r="E21">
        <f>interpolation!E38</f>
        <v>2101164.0911293784</v>
      </c>
      <c r="F21">
        <f>interpolation!F38</f>
        <v>7734413.7136896988</v>
      </c>
      <c r="G21">
        <f>interpolation!G38</f>
        <v>5924383.4484240049</v>
      </c>
    </row>
    <row r="22" spans="1:7" x14ac:dyDescent="0.2">
      <c r="A22">
        <v>2030</v>
      </c>
      <c r="B22">
        <f>interpolation!B39</f>
        <v>1913179.2192231941</v>
      </c>
      <c r="C22">
        <f>interpolation!C39</f>
        <v>2342112.6384796398</v>
      </c>
      <c r="D22">
        <f>interpolation!D39</f>
        <v>3286980.7398207341</v>
      </c>
      <c r="E22">
        <f>interpolation!E39</f>
        <v>2018479.0815165718</v>
      </c>
      <c r="F22">
        <f>interpolation!F39</f>
        <v>7839024.3442826364</v>
      </c>
      <c r="G22">
        <f>interpolation!G39</f>
        <v>5946892.372303836</v>
      </c>
    </row>
    <row r="23" spans="1:7" x14ac:dyDescent="0.2">
      <c r="A23">
        <v>2031</v>
      </c>
      <c r="B23">
        <f>interpolation!B40</f>
        <v>1836970.3436790891</v>
      </c>
      <c r="C23">
        <f>interpolation!C40</f>
        <v>2248817.787279739</v>
      </c>
      <c r="D23">
        <f>interpolation!D40</f>
        <v>3162097.0839976459</v>
      </c>
      <c r="E23">
        <f>interpolation!E40</f>
        <v>1922773.6258864508</v>
      </c>
      <c r="F23">
        <f>interpolation!F40</f>
        <v>7843344.017394877</v>
      </c>
      <c r="G23">
        <f>interpolation!G40</f>
        <v>5958465.6234526439</v>
      </c>
    </row>
    <row r="24" spans="1:7" x14ac:dyDescent="0.2">
      <c r="A24">
        <v>2032</v>
      </c>
      <c r="B24">
        <f>interpolation!B41</f>
        <v>1760761.4681349844</v>
      </c>
      <c r="C24">
        <f>interpolation!C41</f>
        <v>2155522.9360798383</v>
      </c>
      <c r="D24">
        <f>interpolation!D41</f>
        <v>3037213.4281745581</v>
      </c>
      <c r="E24">
        <f>interpolation!E41</f>
        <v>1827068.1702563295</v>
      </c>
      <c r="F24">
        <f>interpolation!F41</f>
        <v>7847663.6905071167</v>
      </c>
      <c r="G24">
        <f>interpolation!G41</f>
        <v>5970038.8746014517</v>
      </c>
    </row>
    <row r="25" spans="1:7" x14ac:dyDescent="0.2">
      <c r="A25">
        <v>2033</v>
      </c>
      <c r="B25">
        <f>interpolation!B42</f>
        <v>1684552.5925908794</v>
      </c>
      <c r="C25">
        <f>interpolation!C42</f>
        <v>2062228.0848799378</v>
      </c>
      <c r="D25">
        <f>interpolation!D42</f>
        <v>2912329.7723514698</v>
      </c>
      <c r="E25">
        <f>interpolation!E42</f>
        <v>1731362.7146262084</v>
      </c>
      <c r="F25">
        <f>interpolation!F42</f>
        <v>7851983.3636193573</v>
      </c>
      <c r="G25">
        <f>interpolation!G42</f>
        <v>5981612.1257502604</v>
      </c>
    </row>
    <row r="26" spans="1:7" x14ac:dyDescent="0.2">
      <c r="A26">
        <v>2034</v>
      </c>
      <c r="B26">
        <f>interpolation!B43</f>
        <v>1608343.7170467745</v>
      </c>
      <c r="C26">
        <f>interpolation!C43</f>
        <v>1968933.2336800373</v>
      </c>
      <c r="D26">
        <f>interpolation!D43</f>
        <v>2787446.1165283821</v>
      </c>
      <c r="E26">
        <f>interpolation!E43</f>
        <v>1635657.2589960871</v>
      </c>
      <c r="F26">
        <f>interpolation!F43</f>
        <v>7856303.036731597</v>
      </c>
      <c r="G26">
        <f>interpolation!G43</f>
        <v>5993185.3768990682</v>
      </c>
    </row>
    <row r="27" spans="1:7" x14ac:dyDescent="0.2">
      <c r="A27">
        <v>2035</v>
      </c>
      <c r="B27">
        <f>interpolation!B44</f>
        <v>1532134.8415026697</v>
      </c>
      <c r="C27">
        <f>interpolation!C44</f>
        <v>1875638.3824801366</v>
      </c>
      <c r="D27">
        <f>interpolation!D44</f>
        <v>2662562.4607052938</v>
      </c>
      <c r="E27">
        <f>interpolation!E44</f>
        <v>1539951.8033659661</v>
      </c>
      <c r="F27">
        <f>interpolation!F44</f>
        <v>7860622.7098438377</v>
      </c>
      <c r="G27">
        <f>interpolation!G44</f>
        <v>6004758.6280478761</v>
      </c>
    </row>
    <row r="28" spans="1:7" x14ac:dyDescent="0.2">
      <c r="A28">
        <v>2036</v>
      </c>
      <c r="B28">
        <f>interpolation!B45</f>
        <v>1471982.8234348211</v>
      </c>
      <c r="C28">
        <f>interpolation!C45</f>
        <v>1802000.3247743004</v>
      </c>
      <c r="D28">
        <f>interpolation!D45</f>
        <v>2627348.3869318259</v>
      </c>
      <c r="E28">
        <f>interpolation!E45</f>
        <v>1473100.2823305163</v>
      </c>
      <c r="F28">
        <f>interpolation!F45</f>
        <v>7721421.8347641109</v>
      </c>
      <c r="G28">
        <f>interpolation!G45</f>
        <v>6062200.660904265</v>
      </c>
    </row>
    <row r="29" spans="1:7" x14ac:dyDescent="0.2">
      <c r="A29">
        <v>2037</v>
      </c>
      <c r="B29">
        <f>interpolation!B46</f>
        <v>1411830.8053669725</v>
      </c>
      <c r="C29">
        <f>interpolation!C46</f>
        <v>1728362.2670684645</v>
      </c>
      <c r="D29">
        <f>interpolation!D46</f>
        <v>2592134.313158358</v>
      </c>
      <c r="E29">
        <f>interpolation!E46</f>
        <v>1406248.7612950662</v>
      </c>
      <c r="F29">
        <f>interpolation!F46</f>
        <v>7582220.9596843841</v>
      </c>
      <c r="G29">
        <f>interpolation!G46</f>
        <v>6119642.693760654</v>
      </c>
    </row>
    <row r="30" spans="1:7" x14ac:dyDescent="0.2">
      <c r="A30">
        <v>2038</v>
      </c>
      <c r="B30">
        <f>interpolation!B47</f>
        <v>1351678.7872991238</v>
      </c>
      <c r="C30">
        <f>interpolation!C47</f>
        <v>1654724.2093626284</v>
      </c>
      <c r="D30">
        <f>interpolation!D47</f>
        <v>2556920.2393848905</v>
      </c>
      <c r="E30">
        <f>interpolation!E47</f>
        <v>1339397.2402596164</v>
      </c>
      <c r="F30">
        <f>interpolation!F47</f>
        <v>7443020.0846046573</v>
      </c>
      <c r="G30">
        <f>interpolation!G47</f>
        <v>6177084.7266170438</v>
      </c>
    </row>
    <row r="31" spans="1:7" x14ac:dyDescent="0.2">
      <c r="A31">
        <v>2039</v>
      </c>
      <c r="B31">
        <f>interpolation!B48</f>
        <v>1291526.7692312752</v>
      </c>
      <c r="C31">
        <f>interpolation!C48</f>
        <v>1581086.1516567925</v>
      </c>
      <c r="D31">
        <f>interpolation!D48</f>
        <v>2521706.1656114226</v>
      </c>
      <c r="E31">
        <f>interpolation!E48</f>
        <v>1272545.7192241666</v>
      </c>
      <c r="F31">
        <f>interpolation!F48</f>
        <v>7303819.2095249305</v>
      </c>
      <c r="G31">
        <f>interpolation!G48</f>
        <v>6234526.7594734328</v>
      </c>
    </row>
    <row r="32" spans="1:7" x14ac:dyDescent="0.2">
      <c r="A32">
        <v>2040</v>
      </c>
      <c r="B32">
        <f>interpolation!B49</f>
        <v>1231374.7511634266</v>
      </c>
      <c r="C32">
        <f>interpolation!C49</f>
        <v>1507448.0939509564</v>
      </c>
      <c r="D32">
        <f>interpolation!D49</f>
        <v>2486492.0918379547</v>
      </c>
      <c r="E32">
        <f>interpolation!E49</f>
        <v>1205694.1981887165</v>
      </c>
      <c r="F32">
        <f>interpolation!F49</f>
        <v>7164618.3344452037</v>
      </c>
      <c r="G32">
        <f>interpolation!G49</f>
        <v>6291968.7923298217</v>
      </c>
    </row>
    <row r="33" spans="1:7" x14ac:dyDescent="0.2">
      <c r="A33">
        <v>2041</v>
      </c>
      <c r="B33">
        <f>interpolation!B50</f>
        <v>1172702.4859285511</v>
      </c>
      <c r="C33">
        <f>interpolation!C50</f>
        <v>1435621.5486100412</v>
      </c>
      <c r="D33">
        <f>interpolation!D50</f>
        <v>2470244.216653517</v>
      </c>
      <c r="E33">
        <f>interpolation!E50</f>
        <v>1141172.736494754</v>
      </c>
      <c r="F33">
        <f>interpolation!F50</f>
        <v>7119995.3626904823</v>
      </c>
      <c r="G33">
        <f>interpolation!G50</f>
        <v>6317496.3964231014</v>
      </c>
    </row>
    <row r="34" spans="1:7" x14ac:dyDescent="0.2">
      <c r="A34">
        <v>2042</v>
      </c>
      <c r="B34">
        <f>interpolation!B51</f>
        <v>1114030.2206936756</v>
      </c>
      <c r="C34">
        <f>interpolation!C51</f>
        <v>1363795.0032691259</v>
      </c>
      <c r="D34">
        <f>interpolation!D51</f>
        <v>2453996.3414690793</v>
      </c>
      <c r="E34">
        <f>interpolation!E51</f>
        <v>1076651.2748007912</v>
      </c>
      <c r="F34">
        <f>interpolation!F51</f>
        <v>7075372.3909357609</v>
      </c>
      <c r="G34">
        <f>interpolation!G51</f>
        <v>6343024.000516382</v>
      </c>
    </row>
    <row r="35" spans="1:7" x14ac:dyDescent="0.2">
      <c r="A35">
        <v>2043</v>
      </c>
      <c r="B35">
        <f>interpolation!B52</f>
        <v>1055357.9554588001</v>
      </c>
      <c r="C35">
        <f>interpolation!C52</f>
        <v>1291968.457928211</v>
      </c>
      <c r="D35">
        <f>interpolation!D52</f>
        <v>2437748.4662846411</v>
      </c>
      <c r="E35">
        <f>interpolation!E52</f>
        <v>1012129.8131068285</v>
      </c>
      <c r="F35">
        <f>interpolation!F52</f>
        <v>7030749.4191810396</v>
      </c>
      <c r="G35">
        <f>interpolation!G52</f>
        <v>6368551.6046096617</v>
      </c>
    </row>
    <row r="36" spans="1:7" x14ac:dyDescent="0.2">
      <c r="A36">
        <v>2044</v>
      </c>
      <c r="B36">
        <f>interpolation!B53</f>
        <v>996685.6902239247</v>
      </c>
      <c r="C36">
        <f>interpolation!C53</f>
        <v>1220141.9125872958</v>
      </c>
      <c r="D36">
        <f>interpolation!D53</f>
        <v>2421500.5911002033</v>
      </c>
      <c r="E36">
        <f>interpolation!E53</f>
        <v>947608.3514128658</v>
      </c>
      <c r="F36">
        <f>interpolation!F53</f>
        <v>6986126.4474263182</v>
      </c>
      <c r="G36">
        <f>interpolation!G53</f>
        <v>6394079.2087029424</v>
      </c>
    </row>
    <row r="37" spans="1:7" x14ac:dyDescent="0.2">
      <c r="A37">
        <v>2045</v>
      </c>
      <c r="B37">
        <f>interpolation!B54</f>
        <v>938013.42498904921</v>
      </c>
      <c r="C37">
        <f>interpolation!C54</f>
        <v>1148315.3672463805</v>
      </c>
      <c r="D37">
        <f>interpolation!D54</f>
        <v>2405252.7159157656</v>
      </c>
      <c r="E37">
        <f>interpolation!E54</f>
        <v>883086.88971890311</v>
      </c>
      <c r="F37">
        <f>interpolation!F54</f>
        <v>6941503.4756715968</v>
      </c>
      <c r="G37">
        <f>interpolation!G54</f>
        <v>6419606.812796222</v>
      </c>
    </row>
    <row r="38" spans="1:7" x14ac:dyDescent="0.2">
      <c r="A38">
        <v>2046</v>
      </c>
      <c r="B38">
        <f>interpolation!B55</f>
        <v>980538.09623867646</v>
      </c>
      <c r="C38">
        <f>interpolation!C55</f>
        <v>1200374.0395235042</v>
      </c>
      <c r="D38">
        <f>interpolation!D55</f>
        <v>2370393.1567549682</v>
      </c>
      <c r="E38">
        <f>interpolation!E55</f>
        <v>823936.06150085153</v>
      </c>
      <c r="F38">
        <f>interpolation!F55</f>
        <v>6925007.3564703558</v>
      </c>
      <c r="G38">
        <f>interpolation!G55</f>
        <v>6435183.08125568</v>
      </c>
    </row>
    <row r="39" spans="1:7" x14ac:dyDescent="0.2">
      <c r="A39">
        <v>2047</v>
      </c>
      <c r="B39">
        <f>interpolation!B56</f>
        <v>1023062.7674883037</v>
      </c>
      <c r="C39">
        <f>interpolation!C56</f>
        <v>1252432.7118006281</v>
      </c>
      <c r="D39">
        <f>interpolation!D56</f>
        <v>2335533.5975941708</v>
      </c>
      <c r="E39">
        <f>interpolation!E56</f>
        <v>764785.23328280007</v>
      </c>
      <c r="F39">
        <f>interpolation!F56</f>
        <v>6908511.2372691147</v>
      </c>
      <c r="G39">
        <f>interpolation!G56</f>
        <v>6450759.3497151379</v>
      </c>
    </row>
    <row r="40" spans="1:7" x14ac:dyDescent="0.2">
      <c r="A40">
        <v>2048</v>
      </c>
      <c r="B40">
        <f>interpolation!B57</f>
        <v>1065587.438737931</v>
      </c>
      <c r="C40">
        <f>interpolation!C57</f>
        <v>1304491.3840777518</v>
      </c>
      <c r="D40">
        <f>interpolation!D57</f>
        <v>2300674.0384333734</v>
      </c>
      <c r="E40">
        <f>interpolation!E57</f>
        <v>705634.40506474848</v>
      </c>
      <c r="F40">
        <f>interpolation!F57</f>
        <v>6892015.1180678736</v>
      </c>
      <c r="G40">
        <f>interpolation!G57</f>
        <v>6466335.6181745958</v>
      </c>
    </row>
    <row r="41" spans="1:7" x14ac:dyDescent="0.2">
      <c r="A41">
        <v>2049</v>
      </c>
      <c r="B41">
        <f>interpolation!B58</f>
        <v>1108112.1099875583</v>
      </c>
      <c r="C41">
        <f>interpolation!C58</f>
        <v>1356550.0563548757</v>
      </c>
      <c r="D41">
        <f>interpolation!D58</f>
        <v>2265814.479272576</v>
      </c>
      <c r="E41">
        <f>interpolation!E58</f>
        <v>646483.5768466969</v>
      </c>
      <c r="F41">
        <f>interpolation!F58</f>
        <v>6875518.9988666326</v>
      </c>
      <c r="G41">
        <f>interpolation!G58</f>
        <v>6481911.8866340537</v>
      </c>
    </row>
    <row r="42" spans="1:7" x14ac:dyDescent="0.2">
      <c r="A42">
        <v>2050</v>
      </c>
      <c r="B42">
        <f>interpolation!B59</f>
        <v>1150636.7812371855</v>
      </c>
      <c r="C42">
        <f>interpolation!C59</f>
        <v>1408608.7286319993</v>
      </c>
      <c r="D42">
        <f>interpolation!D59</f>
        <v>2230954.9201117787</v>
      </c>
      <c r="E42">
        <f>interpolation!E59</f>
        <v>587332.74862864544</v>
      </c>
      <c r="F42">
        <f>interpolation!F59</f>
        <v>6859022.8796653915</v>
      </c>
      <c r="G42">
        <f>interpolation!G59</f>
        <v>6497488.1550935116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2019-05-07T12:07:14Z</dcterms:modified>
</cp:coreProperties>
</file>