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816" codeName="{00000000-0000-0000-0000-000000000000}"/>
  <workbookPr showInkAnnotation="0" codeName="ThisWorkbook" autoCompressPictures="0"/>
  <bookViews>
    <workbookView xWindow="0" yWindow="0" windowWidth="28800" windowHeight="15960" tabRatio="500" firstSheet="3" activeTab="5"/>
  </bookViews>
  <sheets>
    <sheet name="Cover sheet" sheetId="7" r:id="rId1"/>
    <sheet name="Changelog" sheetId="8" r:id="rId2"/>
    <sheet name="Contents" sheetId="9" r:id="rId3"/>
    <sheet name="Introduction" sheetId="10" r:id="rId4"/>
    <sheet name="Assumptions" sheetId="11" r:id="rId5"/>
    <sheet name="Dashboard" sheetId="2" r:id="rId6"/>
    <sheet name="conversion_to_TJ" sheetId="6" r:id="rId7"/>
    <sheet name="interpolation" sheetId="5" r:id="rId8"/>
    <sheet name="timecurves" sheetId="3" r:id="rId9"/>
  </sheets>
  <externalReferences>
    <externalReference r:id="rId10"/>
  </externalReferences>
  <definedNames>
    <definedName name="base_year">[1]Dashboard!$E$14</definedName>
    <definedName name="country">[1]Dashboard!$E$13</definedName>
    <definedName name="export_csv">"Button 2"</definedName>
    <definedName name="import_ceb2">"Button 1"</definedName>
    <definedName name="ktoe_TJ">Dashboard!$D$16</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C23" i="5" l="1"/>
  <c r="D23" i="5"/>
  <c r="E23" i="5"/>
  <c r="F23" i="5"/>
  <c r="C22" i="5"/>
  <c r="D22" i="5"/>
  <c r="E22" i="5"/>
  <c r="F22" i="5"/>
  <c r="B23" i="5"/>
  <c r="B22" i="5"/>
  <c r="C21" i="5"/>
  <c r="D21" i="5"/>
  <c r="E21" i="5"/>
  <c r="F21" i="5"/>
  <c r="B21" i="5"/>
  <c r="D11" i="2"/>
  <c r="E10" i="6"/>
  <c r="B19" i="5"/>
  <c r="F10" i="6"/>
  <c r="B24" i="5"/>
  <c r="B3" i="3"/>
  <c r="C19" i="5"/>
  <c r="C24" i="5"/>
  <c r="C3" i="3"/>
  <c r="E12" i="6"/>
  <c r="D19" i="5"/>
  <c r="F12" i="6"/>
  <c r="D24" i="5"/>
  <c r="D3" i="3"/>
  <c r="E11" i="6"/>
  <c r="E19" i="5"/>
  <c r="F11" i="6"/>
  <c r="E24" i="5"/>
  <c r="E3" i="3"/>
  <c r="E13" i="6"/>
  <c r="F19" i="5"/>
  <c r="F13" i="6"/>
  <c r="F24" i="5"/>
  <c r="F3" i="3"/>
  <c r="E16" i="6"/>
  <c r="G19" i="5"/>
  <c r="F16" i="6"/>
  <c r="G24" i="5"/>
  <c r="G20" i="5"/>
  <c r="G3" i="3"/>
  <c r="B4" i="3"/>
  <c r="C4" i="3"/>
  <c r="D4" i="3"/>
  <c r="E4" i="3"/>
  <c r="F4" i="3"/>
  <c r="G21" i="5"/>
  <c r="G4" i="3"/>
  <c r="B5" i="3"/>
  <c r="C5" i="3"/>
  <c r="D5" i="3"/>
  <c r="E5" i="3"/>
  <c r="F5" i="3"/>
  <c r="G22" i="5"/>
  <c r="G5" i="3"/>
  <c r="B6" i="3"/>
  <c r="C6" i="3"/>
  <c r="D6" i="3"/>
  <c r="E6" i="3"/>
  <c r="F6" i="3"/>
  <c r="G23" i="5"/>
  <c r="G6" i="3"/>
  <c r="B7" i="3"/>
  <c r="C7" i="3"/>
  <c r="D7" i="3"/>
  <c r="E7" i="3"/>
  <c r="F7" i="3"/>
  <c r="G7" i="3"/>
  <c r="G10" i="6"/>
  <c r="B29" i="5"/>
  <c r="B25" i="5"/>
  <c r="B8" i="3"/>
  <c r="C29" i="5"/>
  <c r="C25" i="5"/>
  <c r="C8" i="3"/>
  <c r="G12" i="6"/>
  <c r="D29" i="5"/>
  <c r="D25" i="5"/>
  <c r="D8" i="3"/>
  <c r="G11" i="6"/>
  <c r="E29" i="5"/>
  <c r="E25" i="5"/>
  <c r="E8" i="3"/>
  <c r="G13" i="6"/>
  <c r="F29" i="5"/>
  <c r="F25" i="5"/>
  <c r="F8" i="3"/>
  <c r="G16" i="6"/>
  <c r="G29" i="5"/>
  <c r="G25" i="5"/>
  <c r="G8" i="3"/>
  <c r="B26" i="5"/>
  <c r="B9" i="3"/>
  <c r="C26" i="5"/>
  <c r="C9" i="3"/>
  <c r="D26" i="5"/>
  <c r="D9" i="3"/>
  <c r="E26" i="5"/>
  <c r="E9" i="3"/>
  <c r="F26" i="5"/>
  <c r="F9" i="3"/>
  <c r="G26" i="5"/>
  <c r="G9" i="3"/>
  <c r="B27" i="5"/>
  <c r="B10" i="3"/>
  <c r="C27" i="5"/>
  <c r="C10" i="3"/>
  <c r="D27" i="5"/>
  <c r="D10" i="3"/>
  <c r="E27" i="5"/>
  <c r="E10" i="3"/>
  <c r="F27" i="5"/>
  <c r="F10" i="3"/>
  <c r="G27" i="5"/>
  <c r="G10" i="3"/>
  <c r="B28" i="5"/>
  <c r="B11" i="3"/>
  <c r="C28" i="5"/>
  <c r="C11" i="3"/>
  <c r="D28" i="5"/>
  <c r="D11" i="3"/>
  <c r="E28" i="5"/>
  <c r="E11" i="3"/>
  <c r="F28" i="5"/>
  <c r="F11" i="3"/>
  <c r="G28" i="5"/>
  <c r="G11" i="3"/>
  <c r="B12" i="3"/>
  <c r="C12" i="3"/>
  <c r="D12" i="3"/>
  <c r="E12" i="3"/>
  <c r="F12" i="3"/>
  <c r="G12" i="3"/>
  <c r="H10" i="6"/>
  <c r="B34" i="5"/>
  <c r="B30" i="5"/>
  <c r="B13" i="3"/>
  <c r="C34" i="5"/>
  <c r="C30" i="5"/>
  <c r="C13" i="3"/>
  <c r="H12" i="6"/>
  <c r="D34" i="5"/>
  <c r="D30" i="5"/>
  <c r="D13" i="3"/>
  <c r="H11" i="6"/>
  <c r="E34" i="5"/>
  <c r="E30" i="5"/>
  <c r="E13" i="3"/>
  <c r="H13" i="6"/>
  <c r="F34" i="5"/>
  <c r="F30" i="5"/>
  <c r="F13" i="3"/>
  <c r="H16" i="6"/>
  <c r="G34" i="5"/>
  <c r="G30" i="5"/>
  <c r="G13" i="3"/>
  <c r="B31" i="5"/>
  <c r="B14" i="3"/>
  <c r="C31" i="5"/>
  <c r="C14" i="3"/>
  <c r="D31" i="5"/>
  <c r="D14" i="3"/>
  <c r="E31" i="5"/>
  <c r="E14" i="3"/>
  <c r="F31" i="5"/>
  <c r="F14" i="3"/>
  <c r="G31" i="5"/>
  <c r="G14" i="3"/>
  <c r="B32" i="5"/>
  <c r="B15" i="3"/>
  <c r="C32" i="5"/>
  <c r="C15" i="3"/>
  <c r="D32" i="5"/>
  <c r="D15" i="3"/>
  <c r="E32" i="5"/>
  <c r="E15" i="3"/>
  <c r="F32" i="5"/>
  <c r="F15" i="3"/>
  <c r="G32" i="5"/>
  <c r="G15" i="3"/>
  <c r="B33" i="5"/>
  <c r="B16" i="3"/>
  <c r="C33" i="5"/>
  <c r="C16" i="3"/>
  <c r="D33" i="5"/>
  <c r="D16" i="3"/>
  <c r="E33" i="5"/>
  <c r="E16" i="3"/>
  <c r="F33" i="5"/>
  <c r="F16" i="3"/>
  <c r="G33" i="5"/>
  <c r="G16" i="3"/>
  <c r="B17" i="3"/>
  <c r="C17" i="3"/>
  <c r="D17" i="3"/>
  <c r="E17" i="3"/>
  <c r="F17" i="3"/>
  <c r="G17" i="3"/>
  <c r="I10" i="6"/>
  <c r="B39" i="5"/>
  <c r="B35" i="5"/>
  <c r="B18" i="3"/>
  <c r="C39" i="5"/>
  <c r="C35" i="5"/>
  <c r="C18" i="3"/>
  <c r="I12" i="6"/>
  <c r="D39" i="5"/>
  <c r="D35" i="5"/>
  <c r="D18" i="3"/>
  <c r="I11" i="6"/>
  <c r="E39" i="5"/>
  <c r="E35" i="5"/>
  <c r="E18" i="3"/>
  <c r="I13" i="6"/>
  <c r="F39" i="5"/>
  <c r="F35" i="5"/>
  <c r="F18" i="3"/>
  <c r="I16" i="6"/>
  <c r="G39" i="5"/>
  <c r="G35" i="5"/>
  <c r="G18" i="3"/>
  <c r="B36" i="5"/>
  <c r="B19" i="3"/>
  <c r="C36" i="5"/>
  <c r="C19" i="3"/>
  <c r="D36" i="5"/>
  <c r="D19" i="3"/>
  <c r="E36" i="5"/>
  <c r="E19" i="3"/>
  <c r="F36" i="5"/>
  <c r="F19" i="3"/>
  <c r="G36" i="5"/>
  <c r="G19" i="3"/>
  <c r="B37" i="5"/>
  <c r="B20" i="3"/>
  <c r="C37" i="5"/>
  <c r="C20" i="3"/>
  <c r="D37" i="5"/>
  <c r="D20" i="3"/>
  <c r="E37" i="5"/>
  <c r="E20" i="3"/>
  <c r="F37" i="5"/>
  <c r="F20" i="3"/>
  <c r="G37" i="5"/>
  <c r="G20" i="3"/>
  <c r="B38" i="5"/>
  <c r="B21" i="3"/>
  <c r="C38" i="5"/>
  <c r="C21" i="3"/>
  <c r="D38" i="5"/>
  <c r="D21" i="3"/>
  <c r="E38" i="5"/>
  <c r="E21" i="3"/>
  <c r="F38" i="5"/>
  <c r="F21" i="3"/>
  <c r="G38" i="5"/>
  <c r="G21" i="3"/>
  <c r="B22" i="3"/>
  <c r="C22" i="3"/>
  <c r="D22" i="3"/>
  <c r="E22" i="3"/>
  <c r="F22" i="3"/>
  <c r="G22" i="3"/>
  <c r="J10" i="6"/>
  <c r="B44" i="5"/>
  <c r="B40" i="5"/>
  <c r="B23" i="3"/>
  <c r="C44" i="5"/>
  <c r="C40" i="5"/>
  <c r="C23" i="3"/>
  <c r="J12" i="6"/>
  <c r="D44" i="5"/>
  <c r="D40" i="5"/>
  <c r="D23" i="3"/>
  <c r="J11" i="6"/>
  <c r="E44" i="5"/>
  <c r="E40" i="5"/>
  <c r="E23" i="3"/>
  <c r="J13" i="6"/>
  <c r="F44" i="5"/>
  <c r="F40" i="5"/>
  <c r="F23" i="3"/>
  <c r="J16" i="6"/>
  <c r="G44" i="5"/>
  <c r="G40" i="5"/>
  <c r="G23" i="3"/>
  <c r="B41" i="5"/>
  <c r="B24" i="3"/>
  <c r="C41" i="5"/>
  <c r="C24" i="3"/>
  <c r="D41" i="5"/>
  <c r="D24" i="3"/>
  <c r="E41" i="5"/>
  <c r="E24" i="3"/>
  <c r="F41" i="5"/>
  <c r="F24" i="3"/>
  <c r="G41" i="5"/>
  <c r="G24" i="3"/>
  <c r="B42" i="5"/>
  <c r="B25" i="3"/>
  <c r="C42" i="5"/>
  <c r="C25" i="3"/>
  <c r="D42" i="5"/>
  <c r="D25" i="3"/>
  <c r="E42" i="5"/>
  <c r="E25" i="3"/>
  <c r="F42" i="5"/>
  <c r="F25" i="3"/>
  <c r="G42" i="5"/>
  <c r="G25" i="3"/>
  <c r="B43" i="5"/>
  <c r="B26" i="3"/>
  <c r="C43" i="5"/>
  <c r="C26" i="3"/>
  <c r="D43" i="5"/>
  <c r="D26" i="3"/>
  <c r="E43" i="5"/>
  <c r="E26" i="3"/>
  <c r="F43" i="5"/>
  <c r="F26" i="3"/>
  <c r="G43" i="5"/>
  <c r="G26" i="3"/>
  <c r="B27" i="3"/>
  <c r="C27" i="3"/>
  <c r="D27" i="3"/>
  <c r="E27" i="3"/>
  <c r="F27" i="3"/>
  <c r="G27" i="3"/>
  <c r="K10" i="6"/>
  <c r="B49" i="5"/>
  <c r="B45" i="5"/>
  <c r="B28" i="3"/>
  <c r="C49" i="5"/>
  <c r="C45" i="5"/>
  <c r="C28" i="3"/>
  <c r="K12" i="6"/>
  <c r="D49" i="5"/>
  <c r="D45" i="5"/>
  <c r="D28" i="3"/>
  <c r="K11" i="6"/>
  <c r="E49" i="5"/>
  <c r="E45" i="5"/>
  <c r="E28" i="3"/>
  <c r="K13" i="6"/>
  <c r="F49" i="5"/>
  <c r="F45" i="5"/>
  <c r="F28" i="3"/>
  <c r="K16" i="6"/>
  <c r="G49" i="5"/>
  <c r="G45" i="5"/>
  <c r="G28" i="3"/>
  <c r="B46" i="5"/>
  <c r="B29" i="3"/>
  <c r="C46" i="5"/>
  <c r="C29" i="3"/>
  <c r="D46" i="5"/>
  <c r="D29" i="3"/>
  <c r="E46" i="5"/>
  <c r="E29" i="3"/>
  <c r="F46" i="5"/>
  <c r="F29" i="3"/>
  <c r="G46" i="5"/>
  <c r="G29" i="3"/>
  <c r="B47" i="5"/>
  <c r="B30" i="3"/>
  <c r="C47" i="5"/>
  <c r="C30" i="3"/>
  <c r="D47" i="5"/>
  <c r="D30" i="3"/>
  <c r="E47" i="5"/>
  <c r="E30" i="3"/>
  <c r="F47" i="5"/>
  <c r="F30" i="3"/>
  <c r="G47" i="5"/>
  <c r="G30" i="3"/>
  <c r="B48" i="5"/>
  <c r="B31" i="3"/>
  <c r="C48" i="5"/>
  <c r="C31" i="3"/>
  <c r="D48" i="5"/>
  <c r="D31" i="3"/>
  <c r="E48" i="5"/>
  <c r="E31" i="3"/>
  <c r="F48" i="5"/>
  <c r="F31" i="3"/>
  <c r="G48" i="5"/>
  <c r="G31" i="3"/>
  <c r="B32" i="3"/>
  <c r="C32" i="3"/>
  <c r="D32" i="3"/>
  <c r="E32" i="3"/>
  <c r="F32" i="3"/>
  <c r="G32" i="3"/>
  <c r="L10" i="6"/>
  <c r="B54" i="5"/>
  <c r="B50" i="5"/>
  <c r="B33" i="3"/>
  <c r="C54" i="5"/>
  <c r="C50" i="5"/>
  <c r="C33" i="3"/>
  <c r="L12" i="6"/>
  <c r="D54" i="5"/>
  <c r="D50" i="5"/>
  <c r="D33" i="3"/>
  <c r="L11" i="6"/>
  <c r="E54" i="5"/>
  <c r="E50" i="5"/>
  <c r="E33" i="3"/>
  <c r="L13" i="6"/>
  <c r="F54" i="5"/>
  <c r="F50" i="5"/>
  <c r="F33" i="3"/>
  <c r="L16" i="6"/>
  <c r="G54" i="5"/>
  <c r="G50" i="5"/>
  <c r="G33" i="3"/>
  <c r="B51" i="5"/>
  <c r="B34" i="3"/>
  <c r="C51" i="5"/>
  <c r="C34" i="3"/>
  <c r="D51" i="5"/>
  <c r="D34" i="3"/>
  <c r="E51" i="5"/>
  <c r="E34" i="3"/>
  <c r="F51" i="5"/>
  <c r="F34" i="3"/>
  <c r="G51" i="5"/>
  <c r="G34" i="3"/>
  <c r="B52" i="5"/>
  <c r="B35" i="3"/>
  <c r="C52" i="5"/>
  <c r="C35" i="3"/>
  <c r="D52" i="5"/>
  <c r="D35" i="3"/>
  <c r="E52" i="5"/>
  <c r="E35" i="3"/>
  <c r="F52" i="5"/>
  <c r="F35" i="3"/>
  <c r="G52" i="5"/>
  <c r="G35" i="3"/>
  <c r="B53" i="5"/>
  <c r="B36" i="3"/>
  <c r="C53" i="5"/>
  <c r="C36" i="3"/>
  <c r="D53" i="5"/>
  <c r="D36" i="3"/>
  <c r="E53" i="5"/>
  <c r="E36" i="3"/>
  <c r="F53" i="5"/>
  <c r="F36" i="3"/>
  <c r="G53" i="5"/>
  <c r="G36" i="3"/>
  <c r="B37" i="3"/>
  <c r="C37" i="3"/>
  <c r="D37" i="3"/>
  <c r="E37" i="3"/>
  <c r="F37" i="3"/>
  <c r="G37" i="3"/>
  <c r="M10" i="6"/>
  <c r="B59" i="5"/>
  <c r="B55" i="5"/>
  <c r="B38" i="3"/>
  <c r="C59" i="5"/>
  <c r="C55" i="5"/>
  <c r="C38" i="3"/>
  <c r="M12" i="6"/>
  <c r="D59" i="5"/>
  <c r="D55" i="5"/>
  <c r="D38" i="3"/>
  <c r="M11" i="6"/>
  <c r="E59" i="5"/>
  <c r="E55" i="5"/>
  <c r="E38" i="3"/>
  <c r="M13" i="6"/>
  <c r="F59" i="5"/>
  <c r="F55" i="5"/>
  <c r="F38" i="3"/>
  <c r="M16" i="6"/>
  <c r="G59" i="5"/>
  <c r="G55" i="5"/>
  <c r="G38" i="3"/>
  <c r="B56" i="5"/>
  <c r="B39" i="3"/>
  <c r="C56" i="5"/>
  <c r="C39" i="3"/>
  <c r="D56" i="5"/>
  <c r="D39" i="3"/>
  <c r="E56" i="5"/>
  <c r="E39" i="3"/>
  <c r="F56" i="5"/>
  <c r="F39" i="3"/>
  <c r="G56" i="5"/>
  <c r="G39" i="3"/>
  <c r="B57" i="5"/>
  <c r="B40" i="3"/>
  <c r="C57" i="5"/>
  <c r="C40" i="3"/>
  <c r="D57" i="5"/>
  <c r="D40" i="3"/>
  <c r="E57" i="5"/>
  <c r="E40" i="3"/>
  <c r="F57" i="5"/>
  <c r="F40" i="3"/>
  <c r="G57" i="5"/>
  <c r="G40" i="3"/>
  <c r="B58" i="5"/>
  <c r="B41" i="3"/>
  <c r="C58" i="5"/>
  <c r="C41" i="3"/>
  <c r="D58" i="5"/>
  <c r="D41" i="3"/>
  <c r="E58" i="5"/>
  <c r="E41" i="3"/>
  <c r="F58" i="5"/>
  <c r="F41" i="3"/>
  <c r="G58" i="5"/>
  <c r="G41" i="3"/>
  <c r="B42" i="3"/>
  <c r="C42" i="3"/>
  <c r="D42" i="3"/>
  <c r="E42" i="3"/>
  <c r="F42" i="3"/>
  <c r="G42" i="3"/>
  <c r="C2" i="3"/>
  <c r="D2" i="3"/>
  <c r="E2" i="3"/>
  <c r="F2" i="3"/>
  <c r="G2" i="3"/>
  <c r="B2" i="3"/>
  <c r="C10" i="6"/>
  <c r="B9" i="5"/>
  <c r="C9" i="5"/>
  <c r="C12" i="6"/>
  <c r="D9" i="5"/>
  <c r="C11" i="6"/>
  <c r="E9" i="5"/>
  <c r="C13" i="6"/>
  <c r="F9" i="5"/>
  <c r="C16" i="6"/>
  <c r="G9" i="5"/>
  <c r="C8" i="7"/>
  <c r="C5" i="7"/>
  <c r="D10" i="6"/>
  <c r="B14" i="5"/>
  <c r="B10" i="5"/>
  <c r="C14" i="5"/>
  <c r="C10" i="5"/>
  <c r="D12" i="6"/>
  <c r="D14" i="5"/>
  <c r="D10" i="5"/>
  <c r="D11" i="6"/>
  <c r="E14" i="5"/>
  <c r="E10" i="5"/>
  <c r="D13" i="6"/>
  <c r="F14" i="5"/>
  <c r="F10" i="5"/>
  <c r="D16" i="6"/>
  <c r="G14" i="5"/>
  <c r="G10" i="5"/>
  <c r="B11" i="5"/>
  <c r="C11" i="5"/>
  <c r="D11" i="5"/>
  <c r="E11" i="5"/>
  <c r="F11" i="5"/>
  <c r="G11" i="5"/>
  <c r="B12" i="5"/>
  <c r="C12" i="5"/>
  <c r="D12" i="5"/>
  <c r="E12" i="5"/>
  <c r="F12" i="5"/>
  <c r="G12" i="5"/>
  <c r="B13" i="5"/>
  <c r="C13" i="5"/>
  <c r="D13" i="5"/>
  <c r="E13" i="5"/>
  <c r="F13" i="5"/>
  <c r="G13" i="5"/>
  <c r="B15" i="5"/>
  <c r="C15" i="5"/>
  <c r="D15" i="5"/>
  <c r="E15" i="5"/>
  <c r="F15" i="5"/>
  <c r="G15" i="5"/>
  <c r="B16" i="5"/>
  <c r="C16" i="5"/>
  <c r="D16" i="5"/>
  <c r="E16" i="5"/>
  <c r="F16" i="5"/>
  <c r="G16" i="5"/>
  <c r="B17" i="5"/>
  <c r="C17" i="5"/>
  <c r="D17" i="5"/>
  <c r="E17" i="5"/>
  <c r="F17" i="5"/>
  <c r="G17" i="5"/>
  <c r="B18" i="5"/>
  <c r="C18" i="5"/>
  <c r="D18" i="5"/>
  <c r="E18" i="5"/>
  <c r="F18" i="5"/>
  <c r="G18" i="5"/>
  <c r="C14" i="6"/>
  <c r="D14" i="6"/>
  <c r="E14" i="6"/>
  <c r="F14" i="6"/>
  <c r="G14" i="6"/>
  <c r="H14" i="6"/>
  <c r="I14" i="6"/>
  <c r="J14" i="6"/>
  <c r="K14" i="6"/>
  <c r="L14" i="6"/>
  <c r="M14" i="6"/>
  <c r="C15" i="6"/>
  <c r="D15" i="6"/>
  <c r="E15" i="6"/>
  <c r="F15" i="6"/>
  <c r="G15" i="6"/>
  <c r="H15" i="6"/>
  <c r="I15" i="6"/>
  <c r="J15" i="6"/>
  <c r="K15" i="6"/>
  <c r="L15" i="6"/>
  <c r="M15" i="6"/>
  <c r="C17" i="6"/>
  <c r="D17" i="6"/>
  <c r="E17" i="6"/>
  <c r="F17" i="6"/>
  <c r="G17" i="6"/>
  <c r="H17" i="6"/>
  <c r="I17" i="6"/>
  <c r="J17" i="6"/>
  <c r="K17" i="6"/>
  <c r="L17" i="6"/>
  <c r="M17" i="6"/>
  <c r="C18" i="6"/>
  <c r="D18" i="6"/>
  <c r="E18" i="6"/>
  <c r="F18" i="6"/>
  <c r="G18" i="6"/>
  <c r="H18" i="6"/>
  <c r="I18" i="6"/>
  <c r="J18" i="6"/>
  <c r="K18" i="6"/>
  <c r="L18" i="6"/>
  <c r="M18" i="6"/>
  <c r="C19" i="6"/>
  <c r="D19" i="6"/>
  <c r="E19" i="6"/>
  <c r="F19" i="6"/>
  <c r="G19" i="6"/>
  <c r="H19" i="6"/>
  <c r="I19" i="6"/>
  <c r="J19" i="6"/>
  <c r="K19" i="6"/>
  <c r="L19" i="6"/>
  <c r="M19" i="6"/>
  <c r="D9" i="6"/>
  <c r="E9" i="6"/>
  <c r="F9" i="6"/>
  <c r="G9" i="6"/>
  <c r="H9" i="6"/>
  <c r="I9" i="6"/>
  <c r="J9" i="6"/>
  <c r="K9" i="6"/>
  <c r="L9" i="6"/>
  <c r="M9" i="6"/>
  <c r="C9" i="6"/>
</calcChain>
</file>

<file path=xl/sharedStrings.xml><?xml version="1.0" encoding="utf-8"?>
<sst xmlns="http://schemas.openxmlformats.org/spreadsheetml/2006/main" count="131" uniqueCount="97">
  <si>
    <t>Year</t>
  </si>
  <si>
    <t>Coal</t>
  </si>
  <si>
    <t>Lignite</t>
  </si>
  <si>
    <t>Natural gas</t>
  </si>
  <si>
    <t>Crude oil</t>
  </si>
  <si>
    <t>Uranium oxide</t>
  </si>
  <si>
    <t>Woody biomass</t>
  </si>
  <si>
    <t>ktoe</t>
  </si>
  <si>
    <t>Production (incl.recovery of products)</t>
  </si>
  <si>
    <t>Solids</t>
  </si>
  <si>
    <t>Oil</t>
  </si>
  <si>
    <t>Nuclear</t>
  </si>
  <si>
    <t>Renewable energy sources</t>
  </si>
  <si>
    <t>Hydro</t>
  </si>
  <si>
    <t>Biomass &amp; Waste</t>
  </si>
  <si>
    <t>Wind</t>
  </si>
  <si>
    <t>Solar and others</t>
  </si>
  <si>
    <t>Geothermal</t>
  </si>
  <si>
    <t>Assumptions</t>
  </si>
  <si>
    <t>TJ</t>
  </si>
  <si>
    <t>ktoe_TJ_conversion</t>
  </si>
  <si>
    <t>Percentage of solids that is coal</t>
  </si>
  <si>
    <t>Percentage of solids that is lignite</t>
  </si>
  <si>
    <t>Percentage of Biomass &amp; Waste that is Biomass</t>
  </si>
  <si>
    <t>Cover sheet</t>
  </si>
  <si>
    <t>Document</t>
  </si>
  <si>
    <t>Version #</t>
  </si>
  <si>
    <t>Country</t>
  </si>
  <si>
    <t>Year data</t>
  </si>
  <si>
    <t>Date</t>
  </si>
  <si>
    <t>Author</t>
  </si>
  <si>
    <t>Organisation</t>
  </si>
  <si>
    <t>Quintel Intelligence</t>
  </si>
  <si>
    <t>Legend</t>
  </si>
  <si>
    <t>Cells</t>
  </si>
  <si>
    <t>Intermediate (calculation)</t>
  </si>
  <si>
    <t>Result</t>
  </si>
  <si>
    <t>Manual input</t>
  </si>
  <si>
    <t>Reference to manual input or data input</t>
  </si>
  <si>
    <t>Sheets</t>
  </si>
  <si>
    <t>Introductory</t>
  </si>
  <si>
    <t>Dashboard</t>
  </si>
  <si>
    <t>Research data</t>
  </si>
  <si>
    <t>Sources</t>
  </si>
  <si>
    <t>Results</t>
  </si>
  <si>
    <t>Main calculations</t>
  </si>
  <si>
    <t>Additional calculations</t>
  </si>
  <si>
    <t>Output to csv</t>
  </si>
  <si>
    <t>Comments</t>
  </si>
  <si>
    <t>Primary production source analysis</t>
  </si>
  <si>
    <t>Changelog</t>
  </si>
  <si>
    <t>Changes</t>
  </si>
  <si>
    <t>Version</t>
  </si>
  <si>
    <t>Contents</t>
  </si>
  <si>
    <t>Sheet</t>
  </si>
  <si>
    <t>Description</t>
  </si>
  <si>
    <t>Information about this document and a legend to sheet and cell formatting</t>
  </si>
  <si>
    <t>Documentation of the changes to this analysis</t>
  </si>
  <si>
    <t>Index with description of all the sheets in this analysis</t>
  </si>
  <si>
    <t>Introduction</t>
  </si>
  <si>
    <t>Introduction to the Energy Transition Model (ETM) and the Primary production analysis</t>
  </si>
  <si>
    <t>Description of the modeling and country-specific assumptions for this analysis</t>
  </si>
  <si>
    <t>On the dashboard the country-specific assumptions can be changed manually. It also shows the most important checks</t>
  </si>
  <si>
    <t>This analysis</t>
  </si>
  <si>
    <t>Steps to perform the analysis</t>
  </si>
  <si>
    <t>The Energy Transition Model</t>
  </si>
  <si>
    <t>In short, the Energy Transition Model (ETM) is a calculation engine with a front-end interface that is free to be used by private, commercial and public users. The engine exists of a collection of 'converters' that are linked together to approach the structure of an energy system at the country level. It includes for example import, export, electricity and heat production, final demand sectors and useful demand applications. Every converter has technical and economical specifications that were determined from scientific and technical literature. The model's initial configuration is mostly based on 2010 statistical data. Useful demand of energy applications is gathered from other sources. By moving sliders in a front end dashboard, representing energy use, energy production or socio-economical parameters, the calculation engine determines the results from these actions in a future scenario and communicates them to the user.</t>
  </si>
  <si>
    <t>Notes</t>
  </si>
  <si>
    <t>On this page, a description of the assumptions for this analysis is given. There are two types of assumptions, Modeling assumptions and Country specific assumptions. The modeling assumptions form the structure or framework to be able to do this analysis. They are the same for every country. The country specific assumptions must be entered by the researcher on the Dashboard page and are used to correctly adjust the calculations to the specific country. The fuels table gives an overview of how the ETM fuel carriers correspond with the IEA fuel carriers.</t>
  </si>
  <si>
    <t>Modeling assumptions</t>
  </si>
  <si>
    <t>Type</t>
  </si>
  <si>
    <t>Assumption</t>
  </si>
  <si>
    <t>Comment</t>
  </si>
  <si>
    <t>Country specific assumptions</t>
  </si>
  <si>
    <t>Proposed source</t>
  </si>
  <si>
    <t>Initial document</t>
  </si>
  <si>
    <t>Joris Berkhout</t>
  </si>
  <si>
    <t>timecurves</t>
  </si>
  <si>
    <t>Output data from this source analysis. The timecurves as required for the 3_primary_production_analysis</t>
  </si>
  <si>
    <t>interpolation</t>
  </si>
  <si>
    <t>conversion_to_TJ</t>
  </si>
  <si>
    <t>4. Check the interpolation sheet for the results.</t>
  </si>
  <si>
    <t>5. Use the export timecurves button in the Dashboard to export the timecurves in the ETM format.</t>
  </si>
  <si>
    <t>Source</t>
  </si>
  <si>
    <t>Conversion of the original PRIMES data from ktoe to TJ</t>
  </si>
  <si>
    <t>Interpolation of the PRIMES data for years not reported in PRIMES</t>
  </si>
  <si>
    <t>This analysis is used to transform the PRIMES forecast for Production of carriers into timecurves that can be used by the ETM.</t>
  </si>
  <si>
    <t>1. Copy the PRIMES data in the dashboard.</t>
  </si>
  <si>
    <t>2. PRIMES reports forecasts for Solids while the ETM requires coal and lignite. Make an assumption on the percentage of Solids that is Coal and Lignite.</t>
  </si>
  <si>
    <t>3. PRIMES reports forecasts for Biomass and waste while the ETM needs Woody Biomass. Make an assumption on the percentage of Woody Biomass in Biomass and waste.</t>
  </si>
  <si>
    <t>The PRIMES data gives forecasts of the primary production of several carriers in 5 year intervals. We have linearly interpolated the data between the 5 year datapoints.</t>
  </si>
  <si>
    <t>On this page PRIMES data and the country specific assumptions must be entered, with the source of the data when applicable.</t>
  </si>
  <si>
    <t>The table on this page displays the PRIMES data converted from ktoe to TJ.</t>
  </si>
  <si>
    <t>This page presents the values from PRIMES (in red). These values are scaled by the corresponding dashboard items. PRIMES only reports data for 5 year intervals. We have linearly interpolated the data between these data points.</t>
  </si>
  <si>
    <t>uk</t>
  </si>
  <si>
    <t>Based on the 2011 IEA Energy Balances</t>
  </si>
  <si>
    <t>Based on the 2011 IEA Energy Balances ( Primary solid biofuels / (Industrial waste + Municipal waste (renewable) + Primary solid biofuels) )</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</si>
</sst>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General_)"/>
    <numFmt numFmtId="165" formatCode="0_)"/>
    <numFmt numFmtId="166" formatCode="[$-409]mmmm\ d\,\ yyyy;@"/>
    <numFmt numFmtId="167" formatCode="0.000000"/>
  </numFmts>
  <fonts count="25" x14ac:knownFonts="1">
    <font>
      <sz val="12"/>
      <color theme="1"/>
      <name val="Calibri"/>
      <family val="2"/>
      <scheme val="minor"/>
    </font>
    <font>
      <sz val="12"/>
      <color theme="1"/>
      <name val="Calibri"/>
      <family val="2"/>
      <scheme val="minor"/>
    </font>
    <font>
      <sz val="12"/>
      <color rgb="FFFF0000"/>
      <name val="Calibri"/>
      <family val="2"/>
      <scheme val="minor"/>
    </font>
    <font>
      <sz val="10"/>
      <name val="Courier"/>
      <family val="3"/>
    </font>
    <font>
      <b/>
      <sz val="8"/>
      <name val="Arial"/>
      <family val="2"/>
      <charset val="161"/>
    </font>
    <font>
      <sz val="8"/>
      <name val="Arial"/>
      <family val="2"/>
      <charset val="161"/>
    </font>
    <font>
      <u/>
      <sz val="12"/>
      <color theme="10"/>
      <name val="Calibri"/>
      <family val="2"/>
      <scheme val="minor"/>
    </font>
    <font>
      <u/>
      <sz val="12"/>
      <color theme="11"/>
      <name val="Calibri"/>
      <family val="2"/>
      <scheme val="minor"/>
    </font>
    <font>
      <sz val="12"/>
      <color rgb="FF000000"/>
      <name val="Lucida Grande"/>
    </font>
    <font>
      <b/>
      <sz val="12"/>
      <color theme="1"/>
      <name val="Calibri"/>
      <family val="2"/>
      <scheme val="minor"/>
    </font>
    <font>
      <b/>
      <sz val="16"/>
      <color theme="3"/>
      <name val="Calibri"/>
      <scheme val="minor"/>
    </font>
    <font>
      <b/>
      <sz val="12"/>
      <color rgb="FF000000"/>
      <name val="Calibri"/>
      <scheme val="minor"/>
    </font>
    <font>
      <i/>
      <sz val="12"/>
      <color theme="1"/>
      <name val="Calibri"/>
      <scheme val="minor"/>
    </font>
    <font>
      <b/>
      <sz val="11"/>
      <color rgb="FF000000"/>
      <name val="Calibri"/>
      <family val="2"/>
      <scheme val="minor"/>
    </font>
    <font>
      <sz val="12"/>
      <color rgb="FF000000"/>
      <name val="Calibri"/>
      <family val="2"/>
      <scheme val="minor"/>
    </font>
    <font>
      <sz val="12"/>
      <name val="Calibri"/>
      <scheme val="minor"/>
    </font>
    <font>
      <b/>
      <sz val="12"/>
      <name val="Calibri"/>
      <scheme val="minor"/>
    </font>
    <font>
      <b/>
      <sz val="12"/>
      <color rgb="FFFF0000"/>
      <name val="Calibri"/>
      <scheme val="minor"/>
    </font>
    <font>
      <u/>
      <sz val="12"/>
      <name val="Calibri"/>
      <scheme val="minor"/>
    </font>
    <font>
      <i/>
      <sz val="12"/>
      <name val="Calibri"/>
      <scheme val="minor"/>
    </font>
    <font>
      <b/>
      <sz val="16"/>
      <name val="Calibri"/>
      <scheme val="minor"/>
    </font>
    <font>
      <sz val="12"/>
      <color theme="0" tint="-0.499984740745262"/>
      <name val="Calibri"/>
      <scheme val="minor"/>
    </font>
    <font>
      <b/>
      <sz val="12"/>
      <name val="Arial"/>
      <family val="2"/>
      <charset val="161"/>
    </font>
    <font>
      <sz val="12"/>
      <name val="Arial"/>
      <family val="2"/>
      <charset val="161"/>
    </font>
    <font>
      <sz val="12"/>
      <color rgb="FF0000FF"/>
      <name val="Calibri"/>
      <scheme val="minor"/>
    </font>
  </fonts>
  <fills count="13">
    <fill>
      <patternFill patternType="none"/>
    </fill>
    <fill>
      <patternFill patternType="gray125"/>
    </fill>
    <fill>
      <patternFill patternType="solid">
        <fgColor theme="9" tint="0.59999389629810485"/>
        <bgColor indexed="64"/>
      </patternFill>
    </fill>
    <fill>
      <patternFill patternType="solid">
        <fgColor theme="0"/>
        <bgColor indexed="64"/>
      </patternFill>
    </fill>
    <fill>
      <patternFill patternType="solid">
        <fgColor theme="0"/>
        <bgColor rgb="FF000000"/>
      </patternFill>
    </fill>
    <fill>
      <patternFill patternType="solid">
        <fgColor theme="2"/>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7" tint="0.39997558519241921"/>
        <bgColor indexed="64"/>
      </patternFill>
    </fill>
  </fills>
  <borders count="27">
    <border>
      <left/>
      <right/>
      <top/>
      <bottom/>
      <diagonal/>
    </border>
    <border>
      <left style="medium">
        <color auto="1"/>
      </left>
      <right/>
      <top/>
      <bottom/>
      <diagonal/>
    </border>
    <border>
      <left/>
      <right style="medium">
        <color auto="1"/>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auto="1"/>
      </left>
      <right/>
      <top/>
      <bottom style="dotted">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s>
  <cellStyleXfs count="179">
    <xf numFmtId="0" fontId="0" fillId="0" borderId="0"/>
    <xf numFmtId="164" fontId="3"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9" fontId="1" fillId="0" borderId="0" applyFon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cellStyleXfs>
  <cellXfs count="162">
    <xf numFmtId="0" fontId="0" fillId="0" borderId="0" xfId="0"/>
    <xf numFmtId="0" fontId="0" fillId="0" borderId="0" xfId="0" applyFill="1"/>
    <xf numFmtId="0" fontId="2" fillId="0" borderId="0" xfId="0" applyFont="1" applyFill="1"/>
    <xf numFmtId="164" fontId="5" fillId="2" borderId="0" xfId="1" applyFont="1" applyFill="1" applyBorder="1"/>
    <xf numFmtId="165" fontId="4" fillId="2" borderId="4" xfId="1" applyNumberFormat="1" applyFont="1" applyFill="1" applyBorder="1"/>
    <xf numFmtId="165" fontId="4" fillId="2" borderId="5" xfId="1" applyNumberFormat="1" applyFont="1" applyFill="1" applyBorder="1"/>
    <xf numFmtId="165" fontId="4" fillId="2" borderId="6" xfId="1" applyNumberFormat="1" applyFont="1" applyFill="1" applyBorder="1"/>
    <xf numFmtId="165" fontId="5" fillId="2" borderId="1" xfId="1" applyNumberFormat="1" applyFont="1" applyFill="1" applyBorder="1"/>
    <xf numFmtId="165" fontId="5" fillId="2" borderId="0" xfId="1" applyNumberFormat="1" applyFont="1" applyFill="1" applyBorder="1"/>
    <xf numFmtId="165" fontId="5" fillId="2" borderId="2" xfId="1" applyNumberFormat="1" applyFont="1" applyFill="1" applyBorder="1"/>
    <xf numFmtId="165" fontId="5" fillId="2" borderId="7" xfId="1" applyNumberFormat="1" applyFont="1" applyFill="1" applyBorder="1"/>
    <xf numFmtId="165" fontId="5" fillId="2" borderId="8" xfId="1" applyNumberFormat="1" applyFont="1" applyFill="1" applyBorder="1"/>
    <xf numFmtId="165" fontId="5" fillId="2" borderId="9" xfId="1" applyNumberFormat="1" applyFont="1" applyFill="1" applyBorder="1"/>
    <xf numFmtId="10" fontId="0" fillId="0" borderId="3" xfId="0" applyNumberFormat="1" applyBorder="1"/>
    <xf numFmtId="10" fontId="0" fillId="0" borderId="0" xfId="0" applyNumberFormat="1" applyBorder="1"/>
    <xf numFmtId="0" fontId="10" fillId="3" borderId="0" xfId="0" applyFont="1" applyFill="1"/>
    <xf numFmtId="0" fontId="0" fillId="3" borderId="0" xfId="0" applyFill="1"/>
    <xf numFmtId="0" fontId="9" fillId="3" borderId="10" xfId="0" applyFont="1" applyFill="1" applyBorder="1"/>
    <xf numFmtId="0" fontId="0" fillId="3" borderId="11" xfId="0" applyFill="1" applyBorder="1"/>
    <xf numFmtId="0" fontId="0" fillId="3" borderId="12" xfId="0" applyFill="1" applyBorder="1"/>
    <xf numFmtId="0" fontId="9" fillId="3" borderId="0" xfId="0" applyFont="1" applyFill="1" applyBorder="1"/>
    <xf numFmtId="0" fontId="0" fillId="3" borderId="0" xfId="0" applyFill="1" applyBorder="1"/>
    <xf numFmtId="0" fontId="11" fillId="4" borderId="13" xfId="0" applyFont="1" applyFill="1" applyBorder="1" applyAlignment="1">
      <alignment vertical="center"/>
    </xf>
    <xf numFmtId="0" fontId="0" fillId="3" borderId="0" xfId="0" applyFill="1" applyBorder="1" applyAlignment="1">
      <alignment horizontal="left"/>
    </xf>
    <xf numFmtId="0" fontId="0" fillId="3" borderId="14" xfId="0" applyFill="1" applyBorder="1"/>
    <xf numFmtId="166" fontId="0" fillId="3" borderId="0" xfId="0" applyNumberFormat="1" applyFill="1" applyBorder="1" applyAlignment="1">
      <alignment horizontal="left"/>
    </xf>
    <xf numFmtId="0" fontId="11" fillId="4" borderId="15" xfId="0" applyFont="1" applyFill="1" applyBorder="1" applyAlignment="1">
      <alignment vertical="center"/>
    </xf>
    <xf numFmtId="0" fontId="0" fillId="3" borderId="16" xfId="0" applyFill="1" applyBorder="1"/>
    <xf numFmtId="0" fontId="0" fillId="3" borderId="17" xfId="0" applyFill="1" applyBorder="1"/>
    <xf numFmtId="0" fontId="9" fillId="3" borderId="13" xfId="0" applyFont="1" applyFill="1" applyBorder="1"/>
    <xf numFmtId="0" fontId="12" fillId="3" borderId="0" xfId="0" applyFont="1" applyFill="1" applyBorder="1"/>
    <xf numFmtId="0" fontId="0" fillId="3" borderId="3" xfId="0" applyFill="1" applyBorder="1"/>
    <xf numFmtId="0" fontId="0" fillId="5" borderId="0" xfId="0" applyFill="1" applyBorder="1"/>
    <xf numFmtId="0" fontId="0" fillId="6" borderId="0" xfId="0" applyFill="1" applyBorder="1"/>
    <xf numFmtId="0" fontId="0" fillId="7" borderId="0" xfId="0" applyFill="1" applyBorder="1"/>
    <xf numFmtId="0" fontId="0" fillId="8" borderId="0" xfId="0" applyFill="1" applyBorder="1"/>
    <xf numFmtId="0" fontId="0" fillId="3" borderId="13" xfId="0" applyFill="1" applyBorder="1"/>
    <xf numFmtId="0" fontId="0" fillId="9" borderId="0" xfId="0" applyFill="1" applyBorder="1"/>
    <xf numFmtId="0" fontId="0" fillId="10" borderId="0" xfId="0" applyFill="1" applyBorder="1"/>
    <xf numFmtId="0" fontId="0" fillId="11" borderId="0" xfId="0" applyFill="1" applyBorder="1"/>
    <xf numFmtId="0" fontId="0" fillId="12" borderId="0" xfId="0" applyFill="1" applyBorder="1"/>
    <xf numFmtId="0" fontId="0" fillId="3" borderId="15" xfId="0" applyFill="1" applyBorder="1"/>
    <xf numFmtId="0" fontId="13" fillId="4" borderId="10" xfId="0" applyFont="1" applyFill="1" applyBorder="1" applyAlignment="1">
      <alignment vertical="center"/>
    </xf>
    <xf numFmtId="0" fontId="9" fillId="3" borderId="11" xfId="0" applyFont="1" applyFill="1" applyBorder="1"/>
    <xf numFmtId="0" fontId="9" fillId="3" borderId="12" xfId="0" applyFont="1" applyFill="1" applyBorder="1"/>
    <xf numFmtId="0" fontId="13" fillId="4" borderId="13" xfId="0" applyFont="1" applyFill="1" applyBorder="1" applyAlignment="1">
      <alignment vertical="center"/>
    </xf>
    <xf numFmtId="0" fontId="9" fillId="3" borderId="14" xfId="0" applyFont="1" applyFill="1" applyBorder="1"/>
    <xf numFmtId="166" fontId="14" fillId="0" borderId="13" xfId="0" applyNumberFormat="1" applyFont="1" applyFill="1" applyBorder="1" applyAlignment="1">
      <alignment horizontal="left" vertical="center"/>
    </xf>
    <xf numFmtId="0" fontId="0" fillId="0" borderId="0" xfId="0" applyFill="1" applyBorder="1" applyAlignment="1">
      <alignment vertical="center"/>
    </xf>
    <xf numFmtId="2" fontId="0" fillId="0" borderId="14" xfId="0" applyNumberFormat="1" applyFill="1" applyBorder="1" applyAlignment="1">
      <alignment vertical="center"/>
    </xf>
    <xf numFmtId="166" fontId="0" fillId="0" borderId="13" xfId="0" applyNumberFormat="1" applyFill="1" applyBorder="1" applyAlignment="1">
      <alignment horizontal="left" vertical="center"/>
    </xf>
    <xf numFmtId="0" fontId="0" fillId="0" borderId="0" xfId="0" applyFill="1" applyBorder="1" applyAlignment="1">
      <alignment vertical="center" wrapText="1"/>
    </xf>
    <xf numFmtId="166" fontId="0" fillId="0" borderId="13" xfId="0" applyNumberFormat="1" applyFill="1" applyBorder="1" applyAlignment="1">
      <alignment horizontal="left"/>
    </xf>
    <xf numFmtId="0" fontId="0" fillId="0" borderId="0" xfId="0" applyFill="1" applyBorder="1" applyAlignment="1">
      <alignment wrapText="1"/>
    </xf>
    <xf numFmtId="166" fontId="0" fillId="0" borderId="13" xfId="0" applyNumberFormat="1" applyFill="1" applyBorder="1" applyAlignment="1">
      <alignment horizontal="left" vertical="top"/>
    </xf>
    <xf numFmtId="2" fontId="0" fillId="0" borderId="14" xfId="0" applyNumberFormat="1" applyFill="1" applyBorder="1" applyAlignment="1">
      <alignment vertical="top"/>
    </xf>
    <xf numFmtId="166" fontId="14" fillId="0" borderId="13" xfId="0" applyNumberFormat="1" applyFont="1" applyBorder="1" applyAlignment="1">
      <alignment horizontal="left" vertical="top"/>
    </xf>
    <xf numFmtId="0" fontId="14" fillId="0" borderId="0" xfId="0" applyFont="1" applyAlignment="1">
      <alignment wrapText="1"/>
    </xf>
    <xf numFmtId="2" fontId="14" fillId="0" borderId="14" xfId="0" applyNumberFormat="1" applyFont="1" applyBorder="1" applyAlignment="1">
      <alignment vertical="top"/>
    </xf>
    <xf numFmtId="166" fontId="0" fillId="3" borderId="15" xfId="0" applyNumberFormat="1" applyFill="1" applyBorder="1" applyAlignment="1">
      <alignment horizontal="left" vertical="center"/>
    </xf>
    <xf numFmtId="0" fontId="0" fillId="3" borderId="16" xfId="0" applyFill="1" applyBorder="1" applyAlignment="1">
      <alignment vertical="center"/>
    </xf>
    <xf numFmtId="2" fontId="0" fillId="3" borderId="17" xfId="0" applyNumberFormat="1" applyFill="1" applyBorder="1" applyAlignment="1">
      <alignment vertical="center"/>
    </xf>
    <xf numFmtId="2" fontId="0" fillId="3" borderId="0" xfId="0" applyNumberFormat="1" applyFill="1"/>
    <xf numFmtId="0" fontId="9" fillId="3" borderId="10" xfId="0" applyFont="1" applyFill="1" applyBorder="1" applyAlignment="1">
      <alignment vertical="center"/>
    </xf>
    <xf numFmtId="0" fontId="9" fillId="3" borderId="18" xfId="0" applyFont="1" applyFill="1" applyBorder="1" applyAlignment="1">
      <alignment vertical="center" wrapText="1"/>
    </xf>
    <xf numFmtId="0" fontId="0" fillId="5" borderId="19" xfId="0" applyFont="1" applyFill="1" applyBorder="1" applyAlignment="1">
      <alignment vertical="center"/>
    </xf>
    <xf numFmtId="0" fontId="15" fillId="0" borderId="19" xfId="0" applyFont="1" applyFill="1" applyBorder="1" applyAlignment="1">
      <alignment vertical="center" wrapText="1"/>
    </xf>
    <xf numFmtId="0" fontId="0" fillId="3" borderId="0" xfId="0" applyFill="1" applyAlignment="1">
      <alignment vertical="center"/>
    </xf>
    <xf numFmtId="0" fontId="0" fillId="5" borderId="19" xfId="0" applyFill="1" applyBorder="1" applyAlignment="1">
      <alignment vertical="center"/>
    </xf>
    <xf numFmtId="0" fontId="15" fillId="0" borderId="14" xfId="0" applyFont="1" applyFill="1" applyBorder="1" applyAlignment="1">
      <alignment vertical="center" wrapText="1"/>
    </xf>
    <xf numFmtId="0" fontId="0" fillId="6" borderId="19" xfId="0" applyFill="1" applyBorder="1" applyAlignment="1">
      <alignment vertical="center"/>
    </xf>
    <xf numFmtId="0" fontId="0" fillId="0" borderId="19" xfId="0" applyFill="1" applyBorder="1" applyAlignment="1">
      <alignment vertical="center" wrapText="1"/>
    </xf>
    <xf numFmtId="0" fontId="15" fillId="10" borderId="19" xfId="0" applyFont="1" applyFill="1" applyBorder="1" applyAlignment="1">
      <alignment vertical="center"/>
    </xf>
    <xf numFmtId="0" fontId="15" fillId="12" borderId="19" xfId="0" applyFont="1" applyFill="1" applyBorder="1" applyAlignment="1">
      <alignment vertical="center"/>
    </xf>
    <xf numFmtId="0" fontId="16" fillId="3" borderId="18" xfId="0" applyFont="1" applyFill="1" applyBorder="1"/>
    <xf numFmtId="0" fontId="16" fillId="3" borderId="20" xfId="0" applyFont="1" applyFill="1" applyBorder="1"/>
    <xf numFmtId="0" fontId="15" fillId="3" borderId="20" xfId="0" applyFont="1" applyFill="1" applyBorder="1" applyAlignment="1">
      <alignment horizontal="left" vertical="top" wrapText="1"/>
    </xf>
    <xf numFmtId="0" fontId="15" fillId="3" borderId="21" xfId="0" applyFont="1" applyFill="1" applyBorder="1" applyAlignment="1">
      <alignment horizontal="left" vertical="top" wrapText="1"/>
    </xf>
    <xf numFmtId="0" fontId="15" fillId="0" borderId="0" xfId="0" applyFont="1" applyBorder="1" applyAlignment="1">
      <alignment horizontal="left" vertical="top" wrapText="1"/>
    </xf>
    <xf numFmtId="0" fontId="15" fillId="3" borderId="20" xfId="0" applyFont="1" applyFill="1" applyBorder="1"/>
    <xf numFmtId="0" fontId="2" fillId="3" borderId="21" xfId="0" applyFont="1" applyFill="1" applyBorder="1"/>
    <xf numFmtId="0" fontId="2" fillId="3" borderId="0" xfId="0" applyFont="1" applyFill="1"/>
    <xf numFmtId="0" fontId="9" fillId="3" borderId="18" xfId="0" applyFont="1" applyFill="1" applyBorder="1"/>
    <xf numFmtId="0" fontId="9" fillId="3" borderId="20" xfId="0" applyFont="1" applyFill="1" applyBorder="1"/>
    <xf numFmtId="0" fontId="15" fillId="3" borderId="20" xfId="0" applyFont="1" applyFill="1" applyBorder="1" applyAlignment="1">
      <alignment vertical="top" wrapText="1"/>
    </xf>
    <xf numFmtId="0" fontId="15" fillId="3" borderId="21" xfId="0" applyFont="1" applyFill="1" applyBorder="1" applyAlignment="1">
      <alignment vertical="top" wrapText="1"/>
    </xf>
    <xf numFmtId="0" fontId="15" fillId="3" borderId="0" xfId="0" applyFont="1" applyFill="1"/>
    <xf numFmtId="0" fontId="16" fillId="3" borderId="10" xfId="0" applyFont="1" applyFill="1" applyBorder="1"/>
    <xf numFmtId="0" fontId="15" fillId="3" borderId="12" xfId="0" applyFont="1" applyFill="1" applyBorder="1"/>
    <xf numFmtId="0" fontId="16" fillId="3" borderId="4" xfId="0" applyFont="1" applyFill="1" applyBorder="1"/>
    <xf numFmtId="0" fontId="16" fillId="3" borderId="5" xfId="0" applyFont="1" applyFill="1" applyBorder="1"/>
    <xf numFmtId="0" fontId="15" fillId="3" borderId="6" xfId="0" applyFont="1" applyFill="1" applyBorder="1"/>
    <xf numFmtId="0" fontId="15" fillId="3" borderId="1" xfId="0" applyFont="1" applyFill="1" applyBorder="1"/>
    <xf numFmtId="0" fontId="15" fillId="3" borderId="0" xfId="0" applyFont="1" applyFill="1" applyBorder="1"/>
    <xf numFmtId="0" fontId="15" fillId="3" borderId="2" xfId="0" applyFont="1" applyFill="1" applyBorder="1"/>
    <xf numFmtId="0" fontId="17" fillId="3" borderId="0" xfId="0" applyFont="1" applyFill="1"/>
    <xf numFmtId="0" fontId="16" fillId="3" borderId="22" xfId="0" applyFont="1" applyFill="1" applyBorder="1"/>
    <xf numFmtId="0" fontId="16" fillId="3" borderId="16" xfId="0" applyFont="1" applyFill="1" applyBorder="1"/>
    <xf numFmtId="0" fontId="16" fillId="3" borderId="23" xfId="0" applyFont="1" applyFill="1" applyBorder="1"/>
    <xf numFmtId="0" fontId="18" fillId="3" borderId="1" xfId="0" applyFont="1" applyFill="1" applyBorder="1"/>
    <xf numFmtId="0" fontId="16" fillId="3" borderId="0" xfId="0" applyFont="1" applyFill="1" applyBorder="1"/>
    <xf numFmtId="0" fontId="16" fillId="3" borderId="2" xfId="0" applyFont="1" applyFill="1" applyBorder="1"/>
    <xf numFmtId="0" fontId="15" fillId="3" borderId="1" xfId="0" applyFont="1" applyFill="1" applyBorder="1" applyAlignment="1">
      <alignment vertical="top"/>
    </xf>
    <xf numFmtId="0" fontId="15" fillId="0" borderId="0" xfId="0" applyFont="1" applyFill="1" applyBorder="1" applyAlignment="1">
      <alignment vertical="top" wrapText="1"/>
    </xf>
    <xf numFmtId="0" fontId="2" fillId="3" borderId="1" xfId="0" applyFont="1" applyFill="1" applyBorder="1"/>
    <xf numFmtId="0" fontId="2" fillId="0" borderId="2" xfId="0" applyFont="1" applyFill="1" applyBorder="1" applyAlignment="1">
      <alignment vertical="top"/>
    </xf>
    <xf numFmtId="167" fontId="0" fillId="3" borderId="0" xfId="0" applyNumberFormat="1" applyFill="1"/>
    <xf numFmtId="0" fontId="2" fillId="3" borderId="7" xfId="0" applyFont="1" applyFill="1" applyBorder="1"/>
    <xf numFmtId="0" fontId="2" fillId="3" borderId="8" xfId="0" applyFont="1" applyFill="1" applyBorder="1"/>
    <xf numFmtId="0" fontId="2" fillId="3" borderId="9" xfId="0" applyFont="1" applyFill="1" applyBorder="1"/>
    <xf numFmtId="0" fontId="19" fillId="3" borderId="0" xfId="0" applyFont="1" applyFill="1" applyBorder="1"/>
    <xf numFmtId="0" fontId="15" fillId="0" borderId="0" xfId="0" applyFont="1" applyFill="1" applyBorder="1"/>
    <xf numFmtId="0" fontId="15" fillId="0" borderId="2" xfId="0" applyFont="1" applyFill="1" applyBorder="1" applyAlignment="1">
      <alignment vertical="top"/>
    </xf>
    <xf numFmtId="0" fontId="15" fillId="3" borderId="7" xfId="0" applyFont="1" applyFill="1" applyBorder="1"/>
    <xf numFmtId="0" fontId="15" fillId="3" borderId="8" xfId="0" applyFont="1" applyFill="1" applyBorder="1"/>
    <xf numFmtId="0" fontId="15" fillId="3" borderId="9" xfId="0" applyFont="1" applyFill="1" applyBorder="1"/>
    <xf numFmtId="0" fontId="0" fillId="3" borderId="0" xfId="0" applyFill="1" applyAlignment="1">
      <alignment horizontal="center"/>
    </xf>
    <xf numFmtId="0" fontId="20" fillId="3" borderId="0" xfId="0" applyFont="1" applyFill="1"/>
    <xf numFmtId="0" fontId="15" fillId="3" borderId="0" xfId="0" applyFont="1" applyFill="1" applyAlignment="1">
      <alignment horizontal="center"/>
    </xf>
    <xf numFmtId="0" fontId="16" fillId="3" borderId="10" xfId="0" applyFont="1" applyFill="1" applyBorder="1" applyAlignment="1">
      <alignment horizontal="left"/>
    </xf>
    <xf numFmtId="0" fontId="15" fillId="3" borderId="11" xfId="0" applyFont="1" applyFill="1" applyBorder="1" applyAlignment="1">
      <alignment horizontal="left"/>
    </xf>
    <xf numFmtId="0" fontId="15" fillId="3" borderId="12" xfId="0" applyFont="1" applyFill="1" applyBorder="1" applyAlignment="1">
      <alignment horizontal="left"/>
    </xf>
    <xf numFmtId="0" fontId="15" fillId="3" borderId="0" xfId="0" applyFont="1" applyFill="1" applyBorder="1" applyAlignment="1">
      <alignment vertical="top" wrapText="1"/>
    </xf>
    <xf numFmtId="0" fontId="9" fillId="3" borderId="0" xfId="0" applyFont="1" applyFill="1" applyBorder="1" applyAlignment="1">
      <alignment vertical="top"/>
    </xf>
    <xf numFmtId="0" fontId="21" fillId="3" borderId="0" xfId="0" applyFont="1" applyFill="1" applyBorder="1" applyAlignment="1">
      <alignment vertical="top" wrapText="1"/>
    </xf>
    <xf numFmtId="0" fontId="21" fillId="3" borderId="0" xfId="0" applyFont="1" applyFill="1" applyBorder="1"/>
    <xf numFmtId="0" fontId="21" fillId="3" borderId="0" xfId="0" applyFont="1" applyFill="1" applyBorder="1" applyAlignment="1">
      <alignment vertical="top"/>
    </xf>
    <xf numFmtId="0" fontId="0" fillId="0" borderId="5" xfId="0" applyBorder="1"/>
    <xf numFmtId="0" fontId="0" fillId="0" borderId="6" xfId="0" applyBorder="1"/>
    <xf numFmtId="0" fontId="0" fillId="0" borderId="1" xfId="0" applyBorder="1"/>
    <xf numFmtId="0" fontId="0" fillId="0" borderId="0" xfId="0" applyBorder="1"/>
    <xf numFmtId="0" fontId="0" fillId="0" borderId="2" xfId="0" applyBorder="1"/>
    <xf numFmtId="164" fontId="4" fillId="2" borderId="1" xfId="1" applyFont="1" applyFill="1" applyBorder="1" applyAlignment="1">
      <alignment horizontal="left" indent="1"/>
    </xf>
    <xf numFmtId="164" fontId="4" fillId="2" borderId="0" xfId="1" quotePrefix="1" applyFont="1" applyFill="1" applyBorder="1"/>
    <xf numFmtId="164" fontId="4" fillId="2" borderId="24" xfId="1" applyFont="1" applyFill="1" applyBorder="1" applyAlignment="1">
      <alignment horizontal="left" indent="1"/>
    </xf>
    <xf numFmtId="164" fontId="5" fillId="2" borderId="1" xfId="1" applyFont="1" applyFill="1" applyBorder="1" applyAlignment="1">
      <alignment horizontal="left" indent="2"/>
    </xf>
    <xf numFmtId="164" fontId="5" fillId="2" borderId="1" xfId="1" applyFont="1" applyFill="1" applyBorder="1" applyAlignment="1">
      <alignment horizontal="left" indent="3"/>
    </xf>
    <xf numFmtId="0" fontId="0" fillId="0" borderId="7" xfId="0" applyBorder="1"/>
    <xf numFmtId="0" fontId="0" fillId="0" borderId="8" xfId="0" applyBorder="1"/>
    <xf numFmtId="0" fontId="0" fillId="0" borderId="9" xfId="0" applyBorder="1"/>
    <xf numFmtId="2" fontId="0" fillId="3" borderId="0" xfId="0" applyNumberFormat="1" applyFill="1" applyBorder="1" applyAlignment="1">
      <alignment horizontal="left"/>
    </xf>
    <xf numFmtId="0" fontId="0" fillId="0" borderId="25" xfId="0" applyBorder="1"/>
    <xf numFmtId="0" fontId="0" fillId="0" borderId="26" xfId="0" applyBorder="1"/>
    <xf numFmtId="0" fontId="9" fillId="0" borderId="4" xfId="0" applyFont="1" applyBorder="1"/>
    <xf numFmtId="0" fontId="9" fillId="0" borderId="5" xfId="0" applyFont="1" applyBorder="1"/>
    <xf numFmtId="0" fontId="0" fillId="0" borderId="0" xfId="0" applyFont="1" applyFill="1"/>
    <xf numFmtId="164" fontId="22" fillId="0" borderId="0" xfId="1" applyFont="1" applyFill="1" applyAlignment="1">
      <alignment horizontal="left"/>
    </xf>
    <xf numFmtId="164" fontId="22" fillId="0" borderId="0" xfId="1" applyFont="1" applyFill="1" applyBorder="1" applyAlignment="1">
      <alignment horizontal="left"/>
    </xf>
    <xf numFmtId="164" fontId="23" fillId="0" borderId="0" xfId="1" applyFont="1" applyFill="1" applyBorder="1" applyAlignment="1">
      <alignment horizontal="left"/>
    </xf>
    <xf numFmtId="164" fontId="23" fillId="0" borderId="0" xfId="1" applyFont="1" applyFill="1" applyAlignment="1">
      <alignment horizontal="left"/>
    </xf>
    <xf numFmtId="164" fontId="22" fillId="0" borderId="0" xfId="1" quotePrefix="1" applyFont="1" applyFill="1" applyAlignment="1">
      <alignment horizontal="right"/>
    </xf>
    <xf numFmtId="164" fontId="23" fillId="0" borderId="0" xfId="1" applyFont="1" applyFill="1" applyBorder="1" applyAlignment="1">
      <alignment horizontal="right"/>
    </xf>
    <xf numFmtId="165" fontId="22" fillId="0" borderId="0" xfId="1" applyNumberFormat="1" applyFont="1" applyFill="1" applyBorder="1" applyAlignment="1">
      <alignment horizontal="right"/>
    </xf>
    <xf numFmtId="165" fontId="23" fillId="0" borderId="0" xfId="1" applyNumberFormat="1" applyFont="1" applyFill="1" applyBorder="1" applyAlignment="1">
      <alignment horizontal="right"/>
    </xf>
    <xf numFmtId="0" fontId="9" fillId="0" borderId="0" xfId="0" applyFont="1" applyFill="1"/>
    <xf numFmtId="0" fontId="15" fillId="3" borderId="15" xfId="0" applyFont="1" applyFill="1" applyBorder="1" applyAlignment="1">
      <alignment horizontal="left" vertical="top" wrapText="1"/>
    </xf>
    <xf numFmtId="0" fontId="15" fillId="3" borderId="17" xfId="0" applyFont="1" applyFill="1" applyBorder="1" applyAlignment="1">
      <alignment horizontal="left" vertical="top" wrapText="1"/>
    </xf>
    <xf numFmtId="0" fontId="15" fillId="3" borderId="13" xfId="0" applyFont="1" applyFill="1" applyBorder="1" applyAlignment="1">
      <alignment horizontal="left" vertical="top" wrapText="1"/>
    </xf>
    <xf numFmtId="0" fontId="15" fillId="3" borderId="0" xfId="0" applyFont="1" applyFill="1" applyBorder="1" applyAlignment="1">
      <alignment horizontal="left" vertical="top" wrapText="1"/>
    </xf>
    <xf numFmtId="0" fontId="15" fillId="3" borderId="14" xfId="0" applyFont="1" applyFill="1" applyBorder="1" applyAlignment="1">
      <alignment horizontal="left" vertical="top" wrapText="1"/>
    </xf>
    <xf numFmtId="0" fontId="15" fillId="3" borderId="16" xfId="0" applyFont="1" applyFill="1" applyBorder="1" applyAlignment="1">
      <alignment horizontal="left" vertical="top" wrapText="1"/>
    </xf>
    <xf numFmtId="0" fontId="24" fillId="0" borderId="0" xfId="0" applyFont="1" applyFill="1"/>
  </cellXfs>
  <cellStyles count="179">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Normal" xfId="0" builtinId="0"/>
    <cellStyle name="Normal_AppendixAU" xfId="1"/>
    <cellStyle name="Percent 2" xfId="162"/>
  </cellStyles>
  <dxfs count="1">
    <dxf>
      <font>
        <color rgb="FF9C6500"/>
      </font>
      <fill>
        <patternFill>
          <bgColor rgb="FFFFEB9C"/>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interpolation!$A$8</c:f>
              <c:strCache>
                <c:ptCount val="1"/>
                <c:pt idx="0">
                  <c:v>Year</c:v>
                </c:pt>
              </c:strCache>
            </c:strRef>
          </c:tx>
          <c:val>
            <c:numRef>
              <c:f>interpolation!$A$9:$A$59</c:f>
              <c:numCache>
                <c:formatCode>General</c:formatCode>
                <c:ptCount val="51"/>
                <c:pt idx="0">
                  <c:v>2000.0</c:v>
                </c:pt>
                <c:pt idx="1">
                  <c:v>2001.0</c:v>
                </c:pt>
                <c:pt idx="2">
                  <c:v>2002.0</c:v>
                </c:pt>
                <c:pt idx="3">
                  <c:v>2003.0</c:v>
                </c:pt>
                <c:pt idx="4">
                  <c:v>2004.0</c:v>
                </c:pt>
                <c:pt idx="5">
                  <c:v>2005.0</c:v>
                </c:pt>
                <c:pt idx="6">
                  <c:v>2006.0</c:v>
                </c:pt>
                <c:pt idx="7">
                  <c:v>2007.0</c:v>
                </c:pt>
                <c:pt idx="8">
                  <c:v>2008.0</c:v>
                </c:pt>
                <c:pt idx="9">
                  <c:v>2009.0</c:v>
                </c:pt>
                <c:pt idx="10">
                  <c:v>2010.0</c:v>
                </c:pt>
                <c:pt idx="11">
                  <c:v>2011.0</c:v>
                </c:pt>
                <c:pt idx="12">
                  <c:v>2012.0</c:v>
                </c:pt>
                <c:pt idx="13">
                  <c:v>2013.0</c:v>
                </c:pt>
                <c:pt idx="14">
                  <c:v>2014.0</c:v>
                </c:pt>
                <c:pt idx="15">
                  <c:v>2015.0</c:v>
                </c:pt>
                <c:pt idx="16">
                  <c:v>2016.0</c:v>
                </c:pt>
                <c:pt idx="17">
                  <c:v>2017.0</c:v>
                </c:pt>
                <c:pt idx="18">
                  <c:v>2018.0</c:v>
                </c:pt>
                <c:pt idx="19">
                  <c:v>2019.0</c:v>
                </c:pt>
                <c:pt idx="20">
                  <c:v>2020.0</c:v>
                </c:pt>
                <c:pt idx="21">
                  <c:v>2021.0</c:v>
                </c:pt>
                <c:pt idx="22">
                  <c:v>2022.0</c:v>
                </c:pt>
                <c:pt idx="23">
                  <c:v>2023.0</c:v>
                </c:pt>
                <c:pt idx="24">
                  <c:v>2024.0</c:v>
                </c:pt>
                <c:pt idx="25">
                  <c:v>2025.0</c:v>
                </c:pt>
                <c:pt idx="26">
                  <c:v>2026.0</c:v>
                </c:pt>
                <c:pt idx="27">
                  <c:v>2027.0</c:v>
                </c:pt>
                <c:pt idx="28">
                  <c:v>2028.0</c:v>
                </c:pt>
                <c:pt idx="29">
                  <c:v>2029.0</c:v>
                </c:pt>
                <c:pt idx="30">
                  <c:v>2030.0</c:v>
                </c:pt>
                <c:pt idx="31">
                  <c:v>2031.0</c:v>
                </c:pt>
                <c:pt idx="32">
                  <c:v>2032.0</c:v>
                </c:pt>
                <c:pt idx="33">
                  <c:v>2033.0</c:v>
                </c:pt>
                <c:pt idx="34">
                  <c:v>2034.0</c:v>
                </c:pt>
                <c:pt idx="35">
                  <c:v>2035.0</c:v>
                </c:pt>
                <c:pt idx="36">
                  <c:v>2036.0</c:v>
                </c:pt>
                <c:pt idx="37">
                  <c:v>2037.0</c:v>
                </c:pt>
                <c:pt idx="38">
                  <c:v>2038.0</c:v>
                </c:pt>
                <c:pt idx="39">
                  <c:v>2039.0</c:v>
                </c:pt>
                <c:pt idx="40">
                  <c:v>2040.0</c:v>
                </c:pt>
                <c:pt idx="41">
                  <c:v>2041.0</c:v>
                </c:pt>
                <c:pt idx="42">
                  <c:v>2042.0</c:v>
                </c:pt>
                <c:pt idx="43">
                  <c:v>2043.0</c:v>
                </c:pt>
                <c:pt idx="44">
                  <c:v>2044.0</c:v>
                </c:pt>
                <c:pt idx="45">
                  <c:v>2045.0</c:v>
                </c:pt>
                <c:pt idx="46">
                  <c:v>2046.0</c:v>
                </c:pt>
                <c:pt idx="47">
                  <c:v>2047.0</c:v>
                </c:pt>
                <c:pt idx="48">
                  <c:v>2048.0</c:v>
                </c:pt>
                <c:pt idx="49">
                  <c:v>2049.0</c:v>
                </c:pt>
                <c:pt idx="50">
                  <c:v>2050.0</c:v>
                </c:pt>
              </c:numCache>
            </c:numRef>
          </c:val>
          <c:smooth val="0"/>
        </c:ser>
        <c:ser>
          <c:idx val="1"/>
          <c:order val="1"/>
          <c:tx>
            <c:strRef>
              <c:f>interpolation!$B$8</c:f>
              <c:strCache>
                <c:ptCount val="1"/>
                <c:pt idx="0">
                  <c:v>Coal</c:v>
                </c:pt>
              </c:strCache>
            </c:strRef>
          </c:tx>
          <c:val>
            <c:numRef>
              <c:f>interpolation!$B$9:$B$59</c:f>
              <c:numCache>
                <c:formatCode>General</c:formatCode>
                <c:ptCount val="51"/>
                <c:pt idx="0">
                  <c:v>4.0401070549056E6</c:v>
                </c:pt>
                <c:pt idx="1">
                  <c:v>3.97020279514752E6</c:v>
                </c:pt>
                <c:pt idx="2">
                  <c:v>3.90029853538944E6</c:v>
                </c:pt>
                <c:pt idx="3">
                  <c:v>3.83039427563136E6</c:v>
                </c:pt>
                <c:pt idx="4">
                  <c:v>3.76049001587328E6</c:v>
                </c:pt>
                <c:pt idx="5">
                  <c:v>3.6905857561152E6</c:v>
                </c:pt>
                <c:pt idx="6">
                  <c:v>3.56934508500096E6</c:v>
                </c:pt>
                <c:pt idx="7">
                  <c:v>3.44810441388672E6</c:v>
                </c:pt>
                <c:pt idx="8">
                  <c:v>3.32686374277248E6</c:v>
                </c:pt>
                <c:pt idx="9">
                  <c:v>3.20562307165824E6</c:v>
                </c:pt>
                <c:pt idx="10">
                  <c:v>3.084382400544E6</c:v>
                </c:pt>
                <c:pt idx="11">
                  <c:v>3.15162851E6</c:v>
                </c:pt>
                <c:pt idx="12">
                  <c:v>3.069427623972E6</c:v>
                </c:pt>
                <c:pt idx="13">
                  <c:v>2.987226737944E6</c:v>
                </c:pt>
                <c:pt idx="14">
                  <c:v>2.905025851916E6</c:v>
                </c:pt>
                <c:pt idx="15">
                  <c:v>2.822824965888E6</c:v>
                </c:pt>
                <c:pt idx="16">
                  <c:v>2.78402524049664E6</c:v>
                </c:pt>
                <c:pt idx="17">
                  <c:v>2.74522551510528E6</c:v>
                </c:pt>
                <c:pt idx="18">
                  <c:v>2.70642578971392E6</c:v>
                </c:pt>
                <c:pt idx="19">
                  <c:v>2.66762606432256E6</c:v>
                </c:pt>
                <c:pt idx="20">
                  <c:v>2.6288263389312E6</c:v>
                </c:pt>
                <c:pt idx="21">
                  <c:v>2.58272295865344E6</c:v>
                </c:pt>
                <c:pt idx="22">
                  <c:v>2.53661957837568E6</c:v>
                </c:pt>
                <c:pt idx="23">
                  <c:v>2.49051619809792E6</c:v>
                </c:pt>
                <c:pt idx="24">
                  <c:v>2.44441281782016E6</c:v>
                </c:pt>
                <c:pt idx="25">
                  <c:v>2.3983094375424E6</c:v>
                </c:pt>
                <c:pt idx="26">
                  <c:v>2.2519351581696E6</c:v>
                </c:pt>
                <c:pt idx="27">
                  <c:v>2.1055608787968E6</c:v>
                </c:pt>
                <c:pt idx="28">
                  <c:v>1.959186599424E6</c:v>
                </c:pt>
                <c:pt idx="29">
                  <c:v>1.8128123200512E6</c:v>
                </c:pt>
                <c:pt idx="30">
                  <c:v>1.6664380406784E6</c:v>
                </c:pt>
                <c:pt idx="31">
                  <c:v>1.63132779043584E6</c:v>
                </c:pt>
                <c:pt idx="32">
                  <c:v>1.59621754019328E6</c:v>
                </c:pt>
                <c:pt idx="33">
                  <c:v>1.56110728995072E6</c:v>
                </c:pt>
                <c:pt idx="34">
                  <c:v>1.52599703970816E6</c:v>
                </c:pt>
                <c:pt idx="35">
                  <c:v>1.4908867894656E6</c:v>
                </c:pt>
                <c:pt idx="36">
                  <c:v>1.47238670693376E6</c:v>
                </c:pt>
                <c:pt idx="37">
                  <c:v>1.45388662440192E6</c:v>
                </c:pt>
                <c:pt idx="38">
                  <c:v>1.43538654187008E6</c:v>
                </c:pt>
                <c:pt idx="39">
                  <c:v>1.41688645933824E6</c:v>
                </c:pt>
                <c:pt idx="40">
                  <c:v>1.3983863768064E6</c:v>
                </c:pt>
                <c:pt idx="41">
                  <c:v>1.3926639255552E6</c:v>
                </c:pt>
                <c:pt idx="42">
                  <c:v>1.386941474304E6</c:v>
                </c:pt>
                <c:pt idx="43">
                  <c:v>1.3812190230528E6</c:v>
                </c:pt>
                <c:pt idx="44">
                  <c:v>1.3754965718016E6</c:v>
                </c:pt>
                <c:pt idx="45">
                  <c:v>1.3697741205504E6</c:v>
                </c:pt>
                <c:pt idx="46">
                  <c:v>1.35613059204096E6</c:v>
                </c:pt>
                <c:pt idx="47">
                  <c:v>1.34248706353152E6</c:v>
                </c:pt>
                <c:pt idx="48">
                  <c:v>1.32884353502208E6</c:v>
                </c:pt>
                <c:pt idx="49">
                  <c:v>1.31520000651264E6</c:v>
                </c:pt>
                <c:pt idx="50">
                  <c:v>1.3015564780032E6</c:v>
                </c:pt>
              </c:numCache>
            </c:numRef>
          </c:val>
          <c:smooth val="0"/>
        </c:ser>
        <c:ser>
          <c:idx val="2"/>
          <c:order val="2"/>
          <c:tx>
            <c:strRef>
              <c:f>interpolation!$C$8</c:f>
              <c:strCache>
                <c:ptCount val="1"/>
                <c:pt idx="0">
                  <c:v>Lignite</c:v>
                </c:pt>
              </c:strCache>
            </c:strRef>
          </c:tx>
          <c:val>
            <c:numRef>
              <c:f>interpolation!$C$9:$C$59</c:f>
              <c:numCache>
                <c:formatCode>General</c:formatCode>
                <c:ptCount val="51"/>
                <c:pt idx="0">
                  <c:v>4.9458961810944E6</c:v>
                </c:pt>
                <c:pt idx="1">
                  <c:v>4.86031943605248E6</c:v>
                </c:pt>
                <c:pt idx="2">
                  <c:v>4.77474269101056E6</c:v>
                </c:pt>
                <c:pt idx="3">
                  <c:v>4.68916594596864E6</c:v>
                </c:pt>
                <c:pt idx="4">
                  <c:v>4.60358920092672E6</c:v>
                </c:pt>
                <c:pt idx="5">
                  <c:v>4.5180124558848E6</c:v>
                </c:pt>
                <c:pt idx="6">
                  <c:v>4.36958971259904E6</c:v>
                </c:pt>
                <c:pt idx="7">
                  <c:v>4.22116696931328E6</c:v>
                </c:pt>
                <c:pt idx="8">
                  <c:v>4.07274422602752E6</c:v>
                </c:pt>
                <c:pt idx="9">
                  <c:v>3.92432148274176E6</c:v>
                </c:pt>
                <c:pt idx="10">
                  <c:v>3.775898739456E6</c:v>
                </c:pt>
                <c:pt idx="11">
                  <c:v>3.85809119E6</c:v>
                </c:pt>
                <c:pt idx="12">
                  <c:v>3.757493471028E6</c:v>
                </c:pt>
                <c:pt idx="13">
                  <c:v>3.656895752056E6</c:v>
                </c:pt>
                <c:pt idx="14">
                  <c:v>3.556298033084E6</c:v>
                </c:pt>
                <c:pt idx="15">
                  <c:v>3.455700314112E6</c:v>
                </c:pt>
                <c:pt idx="16">
                  <c:v>3.40820171790336E6</c:v>
                </c:pt>
                <c:pt idx="17">
                  <c:v>3.36070312169472E6</c:v>
                </c:pt>
                <c:pt idx="18">
                  <c:v>3.31320452548608E6</c:v>
                </c:pt>
                <c:pt idx="19">
                  <c:v>3.26570592927744E6</c:v>
                </c:pt>
                <c:pt idx="20">
                  <c:v>3.2182073330688E6</c:v>
                </c:pt>
                <c:pt idx="21">
                  <c:v>3.16176760774656E6</c:v>
                </c:pt>
                <c:pt idx="22">
                  <c:v>3.10532788242432E6</c:v>
                </c:pt>
                <c:pt idx="23">
                  <c:v>3.04888815710208E6</c:v>
                </c:pt>
                <c:pt idx="24">
                  <c:v>2.99244843177984E6</c:v>
                </c:pt>
                <c:pt idx="25">
                  <c:v>2.9360087064576E6</c:v>
                </c:pt>
                <c:pt idx="26">
                  <c:v>2.7568174178304E6</c:v>
                </c:pt>
                <c:pt idx="27">
                  <c:v>2.5776261292032E6</c:v>
                </c:pt>
                <c:pt idx="28">
                  <c:v>2.398434840576E6</c:v>
                </c:pt>
                <c:pt idx="29">
                  <c:v>2.2192435519488E6</c:v>
                </c:pt>
                <c:pt idx="30">
                  <c:v>2.0400522633216E6</c:v>
                </c:pt>
                <c:pt idx="31">
                  <c:v>1.99707031996416E6</c:v>
                </c:pt>
                <c:pt idx="32">
                  <c:v>1.95408837660672E6</c:v>
                </c:pt>
                <c:pt idx="33">
                  <c:v>1.91110643324928E6</c:v>
                </c:pt>
                <c:pt idx="34">
                  <c:v>1.86812448989184E6</c:v>
                </c:pt>
                <c:pt idx="35">
                  <c:v>1.8251425465344E6</c:v>
                </c:pt>
                <c:pt idx="36">
                  <c:v>1.80249475866624E6</c:v>
                </c:pt>
                <c:pt idx="37">
                  <c:v>1.77984697079808E6</c:v>
                </c:pt>
                <c:pt idx="38">
                  <c:v>1.75719918292992E6</c:v>
                </c:pt>
                <c:pt idx="39">
                  <c:v>1.73455139506176E6</c:v>
                </c:pt>
                <c:pt idx="40">
                  <c:v>1.7119036071936E6</c:v>
                </c:pt>
                <c:pt idx="41">
                  <c:v>1.7048981864448E6</c:v>
                </c:pt>
                <c:pt idx="42">
                  <c:v>1.697892765696E6</c:v>
                </c:pt>
                <c:pt idx="43">
                  <c:v>1.6908873449472E6</c:v>
                </c:pt>
                <c:pt idx="44">
                  <c:v>1.6838819241984E6</c:v>
                </c:pt>
                <c:pt idx="45">
                  <c:v>1.6768765034496E6</c:v>
                </c:pt>
                <c:pt idx="46">
                  <c:v>1.66017410555904E6</c:v>
                </c:pt>
                <c:pt idx="47">
                  <c:v>1.64347170766848E6</c:v>
                </c:pt>
                <c:pt idx="48">
                  <c:v>1.62676930977792E6</c:v>
                </c:pt>
                <c:pt idx="49">
                  <c:v>1.61006691188736E6</c:v>
                </c:pt>
                <c:pt idx="50">
                  <c:v>1.5933645139968E6</c:v>
                </c:pt>
              </c:numCache>
            </c:numRef>
          </c:val>
          <c:smooth val="0"/>
        </c:ser>
        <c:ser>
          <c:idx val="3"/>
          <c:order val="3"/>
          <c:tx>
            <c:strRef>
              <c:f>interpolation!$D$8</c:f>
              <c:strCache>
                <c:ptCount val="1"/>
                <c:pt idx="0">
                  <c:v>Natural gas</c:v>
                </c:pt>
              </c:strCache>
            </c:strRef>
          </c:tx>
          <c:val>
            <c:numRef>
              <c:f>interpolation!$D$9:$D$59</c:f>
              <c:numCache>
                <c:formatCode>General</c:formatCode>
                <c:ptCount val="51"/>
                <c:pt idx="0">
                  <c:v>8.711977176E6</c:v>
                </c:pt>
                <c:pt idx="1">
                  <c:v>8.5506262776E6</c:v>
                </c:pt>
                <c:pt idx="2">
                  <c:v>8.3892753792E6</c:v>
                </c:pt>
                <c:pt idx="3">
                  <c:v>8.2279244808E6</c:v>
                </c:pt>
                <c:pt idx="4">
                  <c:v>8.0665735824E6</c:v>
                </c:pt>
                <c:pt idx="5">
                  <c:v>7.905222684E6</c:v>
                </c:pt>
                <c:pt idx="6">
                  <c:v>7.6330639368E6</c:v>
                </c:pt>
                <c:pt idx="7">
                  <c:v>7.3609051896E6</c:v>
                </c:pt>
                <c:pt idx="8">
                  <c:v>7.0887464424E6</c:v>
                </c:pt>
                <c:pt idx="9">
                  <c:v>6.8165876952E6</c:v>
                </c:pt>
                <c:pt idx="10">
                  <c:v>6.544428948E6</c:v>
                </c:pt>
                <c:pt idx="11">
                  <c:v>5.86709841E6</c:v>
                </c:pt>
                <c:pt idx="12">
                  <c:v>5.9536161405E6</c:v>
                </c:pt>
                <c:pt idx="13">
                  <c:v>6.040133871E6</c:v>
                </c:pt>
                <c:pt idx="14">
                  <c:v>6.1266516015E6</c:v>
                </c:pt>
                <c:pt idx="15">
                  <c:v>6.213169332E6</c:v>
                </c:pt>
                <c:pt idx="16">
                  <c:v>6.1489940616E6</c:v>
                </c:pt>
                <c:pt idx="17">
                  <c:v>6.0848187912E6</c:v>
                </c:pt>
                <c:pt idx="18">
                  <c:v>6.0206435208E6</c:v>
                </c:pt>
                <c:pt idx="19">
                  <c:v>5.9564682504E6</c:v>
                </c:pt>
                <c:pt idx="20">
                  <c:v>5.89229298E6</c:v>
                </c:pt>
                <c:pt idx="21">
                  <c:v>5.756389452E6</c:v>
                </c:pt>
                <c:pt idx="22">
                  <c:v>5.620485924E6</c:v>
                </c:pt>
                <c:pt idx="23">
                  <c:v>5.484582396E6</c:v>
                </c:pt>
                <c:pt idx="24">
                  <c:v>5.348678868E6</c:v>
                </c:pt>
                <c:pt idx="25">
                  <c:v>5.21277534E6</c:v>
                </c:pt>
                <c:pt idx="26">
                  <c:v>5.088050568E6</c:v>
                </c:pt>
                <c:pt idx="27">
                  <c:v>4.963325796E6</c:v>
                </c:pt>
                <c:pt idx="28">
                  <c:v>4.838601024E6</c:v>
                </c:pt>
                <c:pt idx="29">
                  <c:v>4.713876252E6</c:v>
                </c:pt>
                <c:pt idx="30">
                  <c:v>4.58915148E6</c:v>
                </c:pt>
                <c:pt idx="31">
                  <c:v>4.5247333752E6</c:v>
                </c:pt>
                <c:pt idx="32">
                  <c:v>4.4603152704E6</c:v>
                </c:pt>
                <c:pt idx="33">
                  <c:v>4.3958971656E6</c:v>
                </c:pt>
                <c:pt idx="34">
                  <c:v>4.3314790608E6</c:v>
                </c:pt>
                <c:pt idx="35">
                  <c:v>4.267060956E6</c:v>
                </c:pt>
                <c:pt idx="36">
                  <c:v>4.2122641176E6</c:v>
                </c:pt>
                <c:pt idx="37">
                  <c:v>4.1574672792E6</c:v>
                </c:pt>
                <c:pt idx="38">
                  <c:v>4.1026704408E6</c:v>
                </c:pt>
                <c:pt idx="39">
                  <c:v>4.0478736024E6</c:v>
                </c:pt>
                <c:pt idx="40">
                  <c:v>3.993076764E6</c:v>
                </c:pt>
                <c:pt idx="41">
                  <c:v>3.8868074064E6</c:v>
                </c:pt>
                <c:pt idx="42">
                  <c:v>3.7805380488E6</c:v>
                </c:pt>
                <c:pt idx="43">
                  <c:v>3.6742686912E6</c:v>
                </c:pt>
                <c:pt idx="44">
                  <c:v>3.5679993336E6</c:v>
                </c:pt>
                <c:pt idx="45">
                  <c:v>3.461729976E6</c:v>
                </c:pt>
                <c:pt idx="46">
                  <c:v>3.3527559456E6</c:v>
                </c:pt>
                <c:pt idx="47">
                  <c:v>3.2437819152E6</c:v>
                </c:pt>
                <c:pt idx="48">
                  <c:v>3.1348078848E6</c:v>
                </c:pt>
                <c:pt idx="49">
                  <c:v>3.0258338544E6</c:v>
                </c:pt>
                <c:pt idx="50">
                  <c:v>2.916859824E6</c:v>
                </c:pt>
              </c:numCache>
            </c:numRef>
          </c:val>
          <c:smooth val="0"/>
        </c:ser>
        <c:ser>
          <c:idx val="4"/>
          <c:order val="4"/>
          <c:tx>
            <c:strRef>
              <c:f>interpolation!$E$8</c:f>
              <c:strCache>
                <c:ptCount val="1"/>
                <c:pt idx="0">
                  <c:v>Crude oil</c:v>
                </c:pt>
              </c:strCache>
            </c:strRef>
          </c:tx>
          <c:val>
            <c:numRef>
              <c:f>interpolation!$E$9:$E$59</c:f>
              <c:numCache>
                <c:formatCode>General</c:formatCode>
                <c:ptCount val="51"/>
                <c:pt idx="0">
                  <c:v>7.315553772E6</c:v>
                </c:pt>
                <c:pt idx="1">
                  <c:v>6.9864964128E6</c:v>
                </c:pt>
                <c:pt idx="2">
                  <c:v>6.6574390536E6</c:v>
                </c:pt>
                <c:pt idx="3">
                  <c:v>6.3283816944E6</c:v>
                </c:pt>
                <c:pt idx="4">
                  <c:v>5.9993243352E6</c:v>
                </c:pt>
                <c:pt idx="5">
                  <c:v>5.670266976E6</c:v>
                </c:pt>
                <c:pt idx="6">
                  <c:v>5.3970531552E6</c:v>
                </c:pt>
                <c:pt idx="7">
                  <c:v>5.1238393344E6</c:v>
                </c:pt>
                <c:pt idx="8">
                  <c:v>4.8506255136E6</c:v>
                </c:pt>
                <c:pt idx="9">
                  <c:v>4.5774116928E6</c:v>
                </c:pt>
                <c:pt idx="10">
                  <c:v>4.304197872E6</c:v>
                </c:pt>
                <c:pt idx="11">
                  <c:v>3.52403878E6</c:v>
                </c:pt>
                <c:pt idx="12">
                  <c:v>3.587529297E6</c:v>
                </c:pt>
                <c:pt idx="13">
                  <c:v>3.651019814E6</c:v>
                </c:pt>
                <c:pt idx="14">
                  <c:v>3.714510331E6</c:v>
                </c:pt>
                <c:pt idx="15">
                  <c:v>3.778000848E6</c:v>
                </c:pt>
                <c:pt idx="16">
                  <c:v>3.6668161872E6</c:v>
                </c:pt>
                <c:pt idx="17">
                  <c:v>3.5556315264E6</c:v>
                </c:pt>
                <c:pt idx="18">
                  <c:v>3.4444468656E6</c:v>
                </c:pt>
                <c:pt idx="19">
                  <c:v>3.3332622048E6</c:v>
                </c:pt>
                <c:pt idx="20">
                  <c:v>3.222077544E6</c:v>
                </c:pt>
                <c:pt idx="21">
                  <c:v>3.1209579504E6</c:v>
                </c:pt>
                <c:pt idx="22">
                  <c:v>3.0198383568E6</c:v>
                </c:pt>
                <c:pt idx="23">
                  <c:v>2.9187187632E6</c:v>
                </c:pt>
                <c:pt idx="24">
                  <c:v>2.8175991696E6</c:v>
                </c:pt>
                <c:pt idx="25">
                  <c:v>2.716479576E6</c:v>
                </c:pt>
                <c:pt idx="26">
                  <c:v>2.6351384256E6</c:v>
                </c:pt>
                <c:pt idx="27">
                  <c:v>2.5537972752E6</c:v>
                </c:pt>
                <c:pt idx="28">
                  <c:v>2.4724561248E6</c:v>
                </c:pt>
                <c:pt idx="29">
                  <c:v>2.3911149744E6</c:v>
                </c:pt>
                <c:pt idx="30">
                  <c:v>2.309773824E6</c:v>
                </c:pt>
                <c:pt idx="31">
                  <c:v>2.209206888E6</c:v>
                </c:pt>
                <c:pt idx="32">
                  <c:v>2.108639952E6</c:v>
                </c:pt>
                <c:pt idx="33">
                  <c:v>2.008073016E6</c:v>
                </c:pt>
                <c:pt idx="34">
                  <c:v>1.90750608E6</c:v>
                </c:pt>
                <c:pt idx="35">
                  <c:v>1.806939144E6</c:v>
                </c:pt>
                <c:pt idx="36">
                  <c:v>1.7292572568E6</c:v>
                </c:pt>
                <c:pt idx="37">
                  <c:v>1.6515753696E6</c:v>
                </c:pt>
                <c:pt idx="38">
                  <c:v>1.5738934824E6</c:v>
                </c:pt>
                <c:pt idx="39">
                  <c:v>1.4962115952E6</c:v>
                </c:pt>
                <c:pt idx="40">
                  <c:v>1.418529708E6</c:v>
                </c:pt>
                <c:pt idx="41">
                  <c:v>1.3271904792E6</c:v>
                </c:pt>
                <c:pt idx="42">
                  <c:v>1.2358512504E6</c:v>
                </c:pt>
                <c:pt idx="43">
                  <c:v>1.1445120216E6</c:v>
                </c:pt>
                <c:pt idx="44">
                  <c:v>1.0531727928E6</c:v>
                </c:pt>
                <c:pt idx="45">
                  <c:v>961833.564</c:v>
                </c:pt>
                <c:pt idx="46">
                  <c:v>904390.668</c:v>
                </c:pt>
                <c:pt idx="47">
                  <c:v>846947.772</c:v>
                </c:pt>
                <c:pt idx="48">
                  <c:v>789504.876</c:v>
                </c:pt>
                <c:pt idx="49">
                  <c:v>732061.98</c:v>
                </c:pt>
                <c:pt idx="50">
                  <c:v>674619.084</c:v>
                </c:pt>
              </c:numCache>
            </c:numRef>
          </c:val>
          <c:smooth val="0"/>
        </c:ser>
        <c:ser>
          <c:idx val="5"/>
          <c:order val="5"/>
          <c:tx>
            <c:strRef>
              <c:f>interpolation!$F$8</c:f>
              <c:strCache>
                <c:ptCount val="1"/>
                <c:pt idx="0">
                  <c:v>Uranium oxide</c:v>
                </c:pt>
              </c:strCache>
            </c:strRef>
          </c:tx>
          <c:val>
            <c:numRef>
              <c:f>interpolation!$F$9:$F$59</c:f>
              <c:numCache>
                <c:formatCode>General</c:formatCode>
                <c:ptCount val="51"/>
                <c:pt idx="0">
                  <c:v>1.0209134988E7</c:v>
                </c:pt>
                <c:pt idx="1">
                  <c:v>1.0323643968E7</c:v>
                </c:pt>
                <c:pt idx="2">
                  <c:v>1.0438152948E7</c:v>
                </c:pt>
                <c:pt idx="3">
                  <c:v>1.0552661928E7</c:v>
                </c:pt>
                <c:pt idx="4">
                  <c:v>1.0667170908E7</c:v>
                </c:pt>
                <c:pt idx="5">
                  <c:v>1.0781679888E7</c:v>
                </c:pt>
                <c:pt idx="6">
                  <c:v>1.06062278472E7</c:v>
                </c:pt>
                <c:pt idx="7">
                  <c:v>1.04307758064E7</c:v>
                </c:pt>
                <c:pt idx="8">
                  <c:v>1.02553237656E7</c:v>
                </c:pt>
                <c:pt idx="9">
                  <c:v>1.00798717248E7</c:v>
                </c:pt>
                <c:pt idx="10">
                  <c:v>9.904419684E6</c:v>
                </c:pt>
                <c:pt idx="11">
                  <c:v>9.89912108E6</c:v>
                </c:pt>
                <c:pt idx="12">
                  <c:v>9.822560784E6</c:v>
                </c:pt>
                <c:pt idx="13">
                  <c:v>9.746000488E6</c:v>
                </c:pt>
                <c:pt idx="14">
                  <c:v>9.669440192E6</c:v>
                </c:pt>
                <c:pt idx="15">
                  <c:v>9.592879896E6</c:v>
                </c:pt>
                <c:pt idx="16">
                  <c:v>9.2945117808E6</c:v>
                </c:pt>
                <c:pt idx="17">
                  <c:v>8.9961436656E6</c:v>
                </c:pt>
                <c:pt idx="18">
                  <c:v>8.6977755504E6</c:v>
                </c:pt>
                <c:pt idx="19">
                  <c:v>8.3994074352E6</c:v>
                </c:pt>
                <c:pt idx="20">
                  <c:v>8.10103932E6</c:v>
                </c:pt>
                <c:pt idx="21">
                  <c:v>7.9954231032E6</c:v>
                </c:pt>
                <c:pt idx="22">
                  <c:v>7.8898068864E6</c:v>
                </c:pt>
                <c:pt idx="23">
                  <c:v>7.7841906696E6</c:v>
                </c:pt>
                <c:pt idx="24">
                  <c:v>7.6785744528E6</c:v>
                </c:pt>
                <c:pt idx="25">
                  <c:v>7.572958236E6</c:v>
                </c:pt>
                <c:pt idx="26">
                  <c:v>7.7430846672E6</c:v>
                </c:pt>
                <c:pt idx="27">
                  <c:v>7.9132110984E6</c:v>
                </c:pt>
                <c:pt idx="28">
                  <c:v>8.0833375296E6</c:v>
                </c:pt>
                <c:pt idx="29">
                  <c:v>8.2534639608E6</c:v>
                </c:pt>
                <c:pt idx="30">
                  <c:v>8.423590392E6</c:v>
                </c:pt>
                <c:pt idx="31">
                  <c:v>8.53855992E6</c:v>
                </c:pt>
                <c:pt idx="32">
                  <c:v>8.653529448E6</c:v>
                </c:pt>
                <c:pt idx="33">
                  <c:v>8.768498976E6</c:v>
                </c:pt>
                <c:pt idx="34">
                  <c:v>8.883468504E6</c:v>
                </c:pt>
                <c:pt idx="35">
                  <c:v>8.998438032E6</c:v>
                </c:pt>
                <c:pt idx="36">
                  <c:v>9.0234918432E6</c:v>
                </c:pt>
                <c:pt idx="37">
                  <c:v>9.0485456544E6</c:v>
                </c:pt>
                <c:pt idx="38">
                  <c:v>9.0735994656E6</c:v>
                </c:pt>
                <c:pt idx="39">
                  <c:v>9.0986532768E6</c:v>
                </c:pt>
                <c:pt idx="40">
                  <c:v>9.123707088E6</c:v>
                </c:pt>
                <c:pt idx="41">
                  <c:v>9.1467261144E6</c:v>
                </c:pt>
                <c:pt idx="42">
                  <c:v>9.1697451408E6</c:v>
                </c:pt>
                <c:pt idx="43">
                  <c:v>9.1927641672E6</c:v>
                </c:pt>
                <c:pt idx="44">
                  <c:v>9.2157831936E6</c:v>
                </c:pt>
                <c:pt idx="45">
                  <c:v>9.23880222E6</c:v>
                </c:pt>
                <c:pt idx="46">
                  <c:v>9.199153224E6</c:v>
                </c:pt>
                <c:pt idx="47">
                  <c:v>9.159504228E6</c:v>
                </c:pt>
                <c:pt idx="48">
                  <c:v>9.119855232E6</c:v>
                </c:pt>
                <c:pt idx="49">
                  <c:v>9.080206236E6</c:v>
                </c:pt>
                <c:pt idx="50">
                  <c:v>9.04055724E6</c:v>
                </c:pt>
              </c:numCache>
            </c:numRef>
          </c:val>
          <c:smooth val="0"/>
        </c:ser>
        <c:ser>
          <c:idx val="6"/>
          <c:order val="6"/>
          <c:tx>
            <c:strRef>
              <c:f>interpolation!$G$8</c:f>
              <c:strCache>
                <c:ptCount val="1"/>
                <c:pt idx="0">
                  <c:v>Woody biomass</c:v>
                </c:pt>
              </c:strCache>
            </c:strRef>
          </c:tx>
          <c:val>
            <c:numRef>
              <c:f>interpolation!$G$9:$G$59</c:f>
              <c:numCache>
                <c:formatCode>General</c:formatCode>
                <c:ptCount val="51"/>
                <c:pt idx="0">
                  <c:v>2.3236731961344E6</c:v>
                </c:pt>
                <c:pt idx="1">
                  <c:v>2.45684864544768E6</c:v>
                </c:pt>
                <c:pt idx="2">
                  <c:v>2.59002409476096E6</c:v>
                </c:pt>
                <c:pt idx="3">
                  <c:v>2.72319954407424E6</c:v>
                </c:pt>
                <c:pt idx="4">
                  <c:v>2.85637499338752E6</c:v>
                </c:pt>
                <c:pt idx="5">
                  <c:v>2.9895504427008E6</c:v>
                </c:pt>
                <c:pt idx="6">
                  <c:v>3.267842282496E6</c:v>
                </c:pt>
                <c:pt idx="7">
                  <c:v>3.5461341222912E6</c:v>
                </c:pt>
                <c:pt idx="8">
                  <c:v>3.8244259620864E6</c:v>
                </c:pt>
                <c:pt idx="9">
                  <c:v>4.1027178018816E6</c:v>
                </c:pt>
                <c:pt idx="10">
                  <c:v>4.3810096416768E6</c:v>
                </c:pt>
                <c:pt idx="11">
                  <c:v>4.46236791441408E6</c:v>
                </c:pt>
                <c:pt idx="12">
                  <c:v>4.54372618715136E6</c:v>
                </c:pt>
                <c:pt idx="13">
                  <c:v>4.62508445988864E6</c:v>
                </c:pt>
                <c:pt idx="14">
                  <c:v>4.70644273262592E6</c:v>
                </c:pt>
                <c:pt idx="15">
                  <c:v>4.7878010053632E6</c:v>
                </c:pt>
                <c:pt idx="16">
                  <c:v>4.8901266653184E6</c:v>
                </c:pt>
                <c:pt idx="17">
                  <c:v>4.9924523252736E6</c:v>
                </c:pt>
                <c:pt idx="18">
                  <c:v>5.0947779852288E6</c:v>
                </c:pt>
                <c:pt idx="19">
                  <c:v>5.197103645184E6</c:v>
                </c:pt>
                <c:pt idx="20">
                  <c:v>5.2994293051392E6</c:v>
                </c:pt>
                <c:pt idx="21">
                  <c:v>5.3063264719872E6</c:v>
                </c:pt>
                <c:pt idx="22">
                  <c:v>5.3132236388352E6</c:v>
                </c:pt>
                <c:pt idx="23">
                  <c:v>5.3201208056832E6</c:v>
                </c:pt>
                <c:pt idx="24">
                  <c:v>5.3270179725312E6</c:v>
                </c:pt>
                <c:pt idx="25">
                  <c:v>5.3339151393792E6</c:v>
                </c:pt>
                <c:pt idx="26">
                  <c:v>5.34253836644352E6</c:v>
                </c:pt>
                <c:pt idx="27">
                  <c:v>5.35116159350784E6</c:v>
                </c:pt>
                <c:pt idx="28">
                  <c:v>5.35978482057216E6</c:v>
                </c:pt>
                <c:pt idx="29">
                  <c:v>5.36840804763648E6</c:v>
                </c:pt>
                <c:pt idx="30">
                  <c:v>5.3770312747008E6</c:v>
                </c:pt>
                <c:pt idx="31">
                  <c:v>5.39105905096704E6</c:v>
                </c:pt>
                <c:pt idx="32">
                  <c:v>5.40508682723328E6</c:v>
                </c:pt>
                <c:pt idx="33">
                  <c:v>5.41911460349952E6</c:v>
                </c:pt>
                <c:pt idx="34">
                  <c:v>5.43314237976576E6</c:v>
                </c:pt>
                <c:pt idx="35">
                  <c:v>5.447170156032E6</c:v>
                </c:pt>
                <c:pt idx="36">
                  <c:v>5.49327860066304E6</c:v>
                </c:pt>
                <c:pt idx="37">
                  <c:v>5.53938704529408E6</c:v>
                </c:pt>
                <c:pt idx="38">
                  <c:v>5.58549548992512E6</c:v>
                </c:pt>
                <c:pt idx="39">
                  <c:v>5.63160393455616E6</c:v>
                </c:pt>
                <c:pt idx="40">
                  <c:v>5.6777123791872E6</c:v>
                </c:pt>
                <c:pt idx="41">
                  <c:v>5.70004505174016E6</c:v>
                </c:pt>
                <c:pt idx="42">
                  <c:v>5.72237772429312E6</c:v>
                </c:pt>
                <c:pt idx="43">
                  <c:v>5.74471039684608E6</c:v>
                </c:pt>
                <c:pt idx="44">
                  <c:v>5.76704306939904E6</c:v>
                </c:pt>
                <c:pt idx="45">
                  <c:v>5.789375741952E6</c:v>
                </c:pt>
                <c:pt idx="46">
                  <c:v>5.78436026370048E6</c:v>
                </c:pt>
                <c:pt idx="47">
                  <c:v>5.77934478544896E6</c:v>
                </c:pt>
                <c:pt idx="48">
                  <c:v>5.77432930719744E6</c:v>
                </c:pt>
                <c:pt idx="49">
                  <c:v>5.76931382894592E6</c:v>
                </c:pt>
                <c:pt idx="50">
                  <c:v>5.7642983506944E6</c:v>
                </c:pt>
              </c:numCache>
            </c:numRef>
          </c:val>
          <c:smooth val="0"/>
        </c:ser>
        <c:dLbls>
          <c:showLegendKey val="0"/>
          <c:showVal val="0"/>
          <c:showCatName val="0"/>
          <c:showSerName val="0"/>
          <c:showPercent val="0"/>
          <c:showBubbleSize val="0"/>
        </c:dLbls>
        <c:marker val="1"/>
        <c:smooth val="0"/>
        <c:axId val="-2134639688"/>
        <c:axId val="2123526200"/>
      </c:lineChart>
      <c:catAx>
        <c:axId val="-2134639688"/>
        <c:scaling>
          <c:orientation val="minMax"/>
        </c:scaling>
        <c:delete val="0"/>
        <c:axPos val="b"/>
        <c:majorTickMark val="out"/>
        <c:minorTickMark val="none"/>
        <c:tickLblPos val="nextTo"/>
        <c:crossAx val="2123526200"/>
        <c:crosses val="autoZero"/>
        <c:auto val="1"/>
        <c:lblAlgn val="ctr"/>
        <c:lblOffset val="100"/>
        <c:noMultiLvlLbl val="0"/>
      </c:catAx>
      <c:valAx>
        <c:axId val="2123526200"/>
        <c:scaling>
          <c:orientation val="minMax"/>
        </c:scaling>
        <c:delete val="0"/>
        <c:axPos val="l"/>
        <c:majorGridlines/>
        <c:numFmt formatCode="General" sourceLinked="1"/>
        <c:majorTickMark val="out"/>
        <c:minorTickMark val="none"/>
        <c:tickLblPos val="nextTo"/>
        <c:crossAx val="-2134639688"/>
        <c:crosses val="autoZero"/>
        <c:crossBetween val="between"/>
      </c:valAx>
    </c:plotArea>
    <c:legend>
      <c:legendPos val="r"/>
      <c:layout/>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4</xdr:row>
          <xdr:rowOff>114300</xdr:rowOff>
        </xdr:from>
        <xdr:to>
          <xdr:col>12</xdr:col>
          <xdr:colOff>0</xdr:colOff>
          <xdr:row>5</xdr:row>
          <xdr:rowOff>101600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export timecurves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152400</xdr:colOff>
      <xdr:row>1</xdr:row>
      <xdr:rowOff>12700</xdr:rowOff>
    </xdr:from>
    <xdr:to>
      <xdr:col>21</xdr:col>
      <xdr:colOff>12700</xdr:colOff>
      <xdr:row>37</xdr:row>
      <xdr:rowOff>127000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orisberkhout/Projects/etdataset/analyses/3_primary_production_analysis.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over sheet"/>
      <sheetName val="Changelog"/>
      <sheetName val="Contents"/>
      <sheetName val="Introduction"/>
      <sheetName val="Dataflow"/>
      <sheetName val="Assumptions"/>
      <sheetName val="Dashboard"/>
      <sheetName val="Corrected energy balance step 2"/>
      <sheetName val="Timecurves"/>
      <sheetName val="technical_specs"/>
      <sheetName val="Production analysis"/>
      <sheetName val="Greengas analysis"/>
      <sheetName val="Waste analysis"/>
      <sheetName val="Fuel aggregation"/>
      <sheetName val="csv_carrier_domestic_production"/>
      <sheetName val="csv_coal_time_curve"/>
      <sheetName val="csv_lignite_time_curve"/>
      <sheetName val="csv_natural_gas_time_curve"/>
      <sheetName val="csv_crude_oil_time_curve"/>
      <sheetName val="csv_uranium_oxide_time_curve"/>
      <sheetName val="csv_bio_residues_time_curve"/>
      <sheetName val="csv_energy_distribution_wood_pa"/>
      <sheetName val="csv_energy_distribution_waste_m"/>
    </sheetNames>
    <sheetDataSet>
      <sheetData sheetId="0"/>
      <sheetData sheetId="1"/>
      <sheetData sheetId="2"/>
      <sheetData sheetId="3"/>
      <sheetData sheetId="4"/>
      <sheetData sheetId="5"/>
      <sheetData sheetId="6">
        <row r="13">
          <cell r="E13" t="str">
            <v>eu</v>
          </cell>
        </row>
        <row r="14">
          <cell r="E14">
            <v>2011</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H39"/>
  <sheetViews>
    <sheetView workbookViewId="0">
      <selection activeCell="C6" sqref="C6"/>
    </sheetView>
  </sheetViews>
  <sheetFormatPr baseColWidth="10" defaultRowHeight="15" x14ac:dyDescent="0"/>
  <cols>
    <col min="1" max="1" width="10.83203125" style="16"/>
    <col min="2" max="2" width="13.33203125" style="16" customWidth="1"/>
    <col min="3" max="3" width="44" style="16" customWidth="1"/>
    <col min="4" max="13" width="10.83203125" style="16" customWidth="1"/>
    <col min="14" max="16384" width="10.83203125" style="16"/>
  </cols>
  <sheetData>
    <row r="2" spans="2:8" ht="20">
      <c r="B2" s="15" t="s">
        <v>24</v>
      </c>
    </row>
    <row r="4" spans="2:8">
      <c r="B4" s="17" t="s">
        <v>25</v>
      </c>
      <c r="C4" s="18" t="s">
        <v>49</v>
      </c>
      <c r="D4" s="19"/>
      <c r="F4" s="20"/>
      <c r="G4" s="21"/>
      <c r="H4" s="20"/>
    </row>
    <row r="5" spans="2:8">
      <c r="B5" s="22" t="s">
        <v>26</v>
      </c>
      <c r="C5" s="140">
        <f>MAX(Changelog!D:D)</f>
        <v>1</v>
      </c>
      <c r="D5" s="24"/>
      <c r="F5" s="21"/>
      <c r="G5" s="21"/>
      <c r="H5" s="21"/>
    </row>
    <row r="6" spans="2:8">
      <c r="B6" s="22" t="s">
        <v>27</v>
      </c>
      <c r="C6" s="23" t="s">
        <v>94</v>
      </c>
      <c r="D6" s="24"/>
      <c r="F6" s="21"/>
      <c r="G6" s="21"/>
      <c r="H6" s="21"/>
    </row>
    <row r="7" spans="2:8">
      <c r="B7" s="22" t="s">
        <v>28</v>
      </c>
      <c r="C7" s="23">
        <v>2012</v>
      </c>
      <c r="D7" s="24"/>
      <c r="F7" s="21"/>
      <c r="G7" s="21"/>
      <c r="H7" s="21"/>
    </row>
    <row r="8" spans="2:8">
      <c r="B8" s="22" t="s">
        <v>29</v>
      </c>
      <c r="C8" s="25">
        <f>MAX(Changelog!B:B)</f>
        <v>41794</v>
      </c>
      <c r="D8" s="24"/>
      <c r="F8" s="21"/>
      <c r="G8" s="21"/>
      <c r="H8" s="21"/>
    </row>
    <row r="9" spans="2:8">
      <c r="B9" s="22" t="s">
        <v>30</v>
      </c>
      <c r="C9" s="21" t="s">
        <v>76</v>
      </c>
      <c r="D9" s="24"/>
      <c r="F9" s="21"/>
      <c r="G9" s="21"/>
      <c r="H9" s="21"/>
    </row>
    <row r="10" spans="2:8">
      <c r="B10" s="26" t="s">
        <v>31</v>
      </c>
      <c r="C10" s="27" t="s">
        <v>32</v>
      </c>
      <c r="D10" s="28"/>
      <c r="F10" s="21"/>
      <c r="G10" s="21"/>
      <c r="H10" s="21"/>
    </row>
    <row r="12" spans="2:8">
      <c r="B12" s="17" t="s">
        <v>33</v>
      </c>
      <c r="C12" s="18"/>
      <c r="D12" s="19"/>
    </row>
    <row r="13" spans="2:8">
      <c r="B13" s="29"/>
      <c r="C13" s="21"/>
      <c r="D13" s="24"/>
    </row>
    <row r="14" spans="2:8">
      <c r="B14" s="29" t="s">
        <v>34</v>
      </c>
      <c r="C14" s="30" t="s">
        <v>35</v>
      </c>
      <c r="D14" s="24"/>
    </row>
    <row r="15" spans="2:8" ht="16" thickBot="1">
      <c r="B15" s="29"/>
      <c r="C15" s="20" t="s">
        <v>36</v>
      </c>
      <c r="D15" s="24"/>
    </row>
    <row r="16" spans="2:8" ht="16" thickBot="1">
      <c r="B16" s="29"/>
      <c r="C16" s="31" t="s">
        <v>37</v>
      </c>
      <c r="D16" s="24"/>
    </row>
    <row r="17" spans="2:4">
      <c r="B17" s="29"/>
      <c r="C17" s="21" t="s">
        <v>38</v>
      </c>
      <c r="D17" s="24"/>
    </row>
    <row r="18" spans="2:4">
      <c r="B18" s="29"/>
      <c r="C18" s="21"/>
      <c r="D18" s="24"/>
    </row>
    <row r="19" spans="2:4">
      <c r="B19" s="29" t="s">
        <v>39</v>
      </c>
      <c r="C19" s="32" t="s">
        <v>40</v>
      </c>
      <c r="D19" s="24"/>
    </row>
    <row r="20" spans="2:4">
      <c r="B20" s="29"/>
      <c r="C20" s="33" t="s">
        <v>41</v>
      </c>
      <c r="D20" s="24"/>
    </row>
    <row r="21" spans="2:4">
      <c r="B21" s="29"/>
      <c r="C21" s="34" t="s">
        <v>42</v>
      </c>
      <c r="D21" s="24"/>
    </row>
    <row r="22" spans="2:4">
      <c r="B22" s="29"/>
      <c r="C22" s="35" t="s">
        <v>43</v>
      </c>
      <c r="D22" s="24"/>
    </row>
    <row r="23" spans="2:4">
      <c r="B23" s="36"/>
      <c r="C23" s="37" t="s">
        <v>44</v>
      </c>
      <c r="D23" s="24"/>
    </row>
    <row r="24" spans="2:4">
      <c r="B24" s="36"/>
      <c r="C24" s="38" t="s">
        <v>45</v>
      </c>
      <c r="D24" s="24"/>
    </row>
    <row r="25" spans="2:4">
      <c r="B25" s="36"/>
      <c r="C25" s="39" t="s">
        <v>46</v>
      </c>
      <c r="D25" s="24"/>
    </row>
    <row r="26" spans="2:4">
      <c r="B26" s="36"/>
      <c r="C26" s="40" t="s">
        <v>47</v>
      </c>
      <c r="D26" s="24"/>
    </row>
    <row r="27" spans="2:4">
      <c r="B27" s="41"/>
      <c r="C27" s="27"/>
      <c r="D27" s="28"/>
    </row>
    <row r="29" spans="2:4">
      <c r="B29" s="17" t="s">
        <v>48</v>
      </c>
      <c r="C29" s="18"/>
      <c r="D29" s="19"/>
    </row>
    <row r="30" spans="2:4">
      <c r="B30" s="36"/>
      <c r="C30" s="21"/>
      <c r="D30" s="24"/>
    </row>
    <row r="31" spans="2:4">
      <c r="B31" s="36"/>
      <c r="C31" s="21"/>
      <c r="D31" s="24"/>
    </row>
    <row r="32" spans="2:4">
      <c r="B32" s="36"/>
      <c r="C32" s="21"/>
      <c r="D32" s="24"/>
    </row>
    <row r="33" spans="2:4">
      <c r="B33" s="36"/>
      <c r="C33" s="21"/>
      <c r="D33" s="24"/>
    </row>
    <row r="34" spans="2:4">
      <c r="B34" s="36"/>
      <c r="C34" s="21"/>
      <c r="D34" s="24"/>
    </row>
    <row r="35" spans="2:4">
      <c r="B35" s="36"/>
      <c r="C35" s="21"/>
      <c r="D35" s="24"/>
    </row>
    <row r="36" spans="2:4">
      <c r="B36" s="36"/>
      <c r="C36" s="21"/>
      <c r="D36" s="24"/>
    </row>
    <row r="37" spans="2:4">
      <c r="B37" s="36"/>
      <c r="C37" s="21"/>
      <c r="D37" s="24"/>
    </row>
    <row r="38" spans="2:4">
      <c r="B38" s="36"/>
      <c r="C38" s="21"/>
      <c r="D38" s="24"/>
    </row>
    <row r="39" spans="2:4">
      <c r="B39" s="41"/>
      <c r="C39" s="27"/>
      <c r="D39" s="28"/>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D45"/>
  <sheetViews>
    <sheetView workbookViewId="0"/>
  </sheetViews>
  <sheetFormatPr baseColWidth="10" defaultRowHeight="15" x14ac:dyDescent="0"/>
  <cols>
    <col min="1" max="1" width="10.83203125" style="16"/>
    <col min="2" max="2" width="17.6640625" style="16" bestFit="1" customWidth="1"/>
    <col min="3" max="3" width="59.5" style="16" customWidth="1"/>
    <col min="4" max="16384" width="10.83203125" style="16"/>
  </cols>
  <sheetData>
    <row r="2" spans="2:4" ht="20">
      <c r="B2" s="15" t="s">
        <v>50</v>
      </c>
    </row>
    <row r="4" spans="2:4">
      <c r="B4" s="42" t="s">
        <v>29</v>
      </c>
      <c r="C4" s="43" t="s">
        <v>51</v>
      </c>
      <c r="D4" s="44" t="s">
        <v>52</v>
      </c>
    </row>
    <row r="5" spans="2:4">
      <c r="B5" s="45"/>
      <c r="C5" s="20"/>
      <c r="D5" s="46"/>
    </row>
    <row r="6" spans="2:4">
      <c r="B6" s="47">
        <v>41794</v>
      </c>
      <c r="C6" s="48" t="s">
        <v>75</v>
      </c>
      <c r="D6" s="49">
        <v>1</v>
      </c>
    </row>
    <row r="7" spans="2:4">
      <c r="B7" s="50"/>
      <c r="C7" s="48"/>
      <c r="D7" s="49"/>
    </row>
    <row r="8" spans="2:4">
      <c r="B8" s="50"/>
      <c r="C8" s="48"/>
      <c r="D8" s="49"/>
    </row>
    <row r="9" spans="2:4">
      <c r="B9" s="50"/>
      <c r="C9" s="48"/>
      <c r="D9" s="49"/>
    </row>
    <row r="10" spans="2:4">
      <c r="B10" s="50"/>
      <c r="C10" s="48"/>
      <c r="D10" s="49"/>
    </row>
    <row r="11" spans="2:4">
      <c r="B11" s="50"/>
      <c r="C11" s="48"/>
      <c r="D11" s="49"/>
    </row>
    <row r="12" spans="2:4">
      <c r="B12" s="50"/>
      <c r="C12" s="48"/>
      <c r="D12" s="49"/>
    </row>
    <row r="13" spans="2:4">
      <c r="B13" s="50"/>
      <c r="C13" s="48"/>
      <c r="D13" s="49"/>
    </row>
    <row r="14" spans="2:4">
      <c r="B14" s="50"/>
      <c r="C14" s="51"/>
      <c r="D14" s="49"/>
    </row>
    <row r="15" spans="2:4">
      <c r="B15" s="50"/>
      <c r="C15" s="48"/>
      <c r="D15" s="49"/>
    </row>
    <row r="16" spans="2:4">
      <c r="B16" s="52"/>
      <c r="C16" s="53"/>
      <c r="D16" s="49"/>
    </row>
    <row r="17" spans="2:4">
      <c r="B17" s="50"/>
      <c r="C17" s="48"/>
      <c r="D17" s="49"/>
    </row>
    <row r="18" spans="2:4">
      <c r="B18" s="50"/>
      <c r="C18" s="51"/>
      <c r="D18" s="49"/>
    </row>
    <row r="19" spans="2:4">
      <c r="B19" s="50"/>
      <c r="C19" s="48"/>
      <c r="D19" s="49"/>
    </row>
    <row r="20" spans="2:4">
      <c r="B20" s="50"/>
      <c r="C20" s="48"/>
      <c r="D20" s="49"/>
    </row>
    <row r="21" spans="2:4">
      <c r="B21" s="50"/>
      <c r="C21" s="51"/>
      <c r="D21" s="49"/>
    </row>
    <row r="22" spans="2:4">
      <c r="B22" s="54"/>
      <c r="C22" s="53"/>
      <c r="D22" s="55"/>
    </row>
    <row r="23" spans="2:4">
      <c r="B23" s="54"/>
      <c r="C23" s="53"/>
      <c r="D23" s="55"/>
    </row>
    <row r="24" spans="2:4">
      <c r="B24" s="54"/>
      <c r="C24" s="53"/>
      <c r="D24" s="55"/>
    </row>
    <row r="25" spans="2:4">
      <c r="B25" s="54"/>
      <c r="C25" s="53"/>
      <c r="D25" s="55"/>
    </row>
    <row r="26" spans="2:4">
      <c r="B26" s="54"/>
      <c r="C26" s="53"/>
      <c r="D26" s="55"/>
    </row>
    <row r="27" spans="2:4">
      <c r="B27" s="54"/>
      <c r="C27" s="53"/>
      <c r="D27" s="55"/>
    </row>
    <row r="28" spans="2:4">
      <c r="B28" s="54"/>
      <c r="C28" s="53"/>
      <c r="D28" s="55"/>
    </row>
    <row r="29" spans="2:4">
      <c r="B29" s="54"/>
      <c r="C29" s="53"/>
      <c r="D29" s="55"/>
    </row>
    <row r="30" spans="2:4">
      <c r="B30" s="54"/>
      <c r="C30" s="53"/>
      <c r="D30" s="55"/>
    </row>
    <row r="31" spans="2:4">
      <c r="B31" s="56"/>
      <c r="C31" s="57"/>
      <c r="D31" s="58"/>
    </row>
    <row r="32" spans="2:4">
      <c r="B32" s="54"/>
      <c r="C32" s="53"/>
      <c r="D32" s="55"/>
    </row>
    <row r="33" spans="2:4">
      <c r="B33" s="54"/>
      <c r="C33" s="53"/>
      <c r="D33" s="55"/>
    </row>
    <row r="34" spans="2:4">
      <c r="B34" s="54"/>
      <c r="C34" s="53"/>
      <c r="D34" s="55"/>
    </row>
    <row r="35" spans="2:4">
      <c r="B35" s="54"/>
      <c r="C35" s="53"/>
      <c r="D35" s="55"/>
    </row>
    <row r="36" spans="2:4">
      <c r="B36" s="50"/>
      <c r="C36" s="48"/>
      <c r="D36" s="49"/>
    </row>
    <row r="37" spans="2:4">
      <c r="B37" s="59"/>
      <c r="C37" s="60"/>
      <c r="D37" s="61"/>
    </row>
    <row r="38" spans="2:4">
      <c r="D38" s="62"/>
    </row>
    <row r="39" spans="2:4">
      <c r="D39" s="62"/>
    </row>
    <row r="40" spans="2:4">
      <c r="D40" s="62"/>
    </row>
    <row r="41" spans="2:4">
      <c r="D41" s="62"/>
    </row>
    <row r="42" spans="2:4">
      <c r="D42" s="62"/>
    </row>
    <row r="43" spans="2:4">
      <c r="D43" s="62"/>
    </row>
    <row r="44" spans="2:4">
      <c r="D44" s="62"/>
    </row>
    <row r="45" spans="2:4">
      <c r="D45" s="62"/>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C13"/>
  <sheetViews>
    <sheetView workbookViewId="0"/>
  </sheetViews>
  <sheetFormatPr baseColWidth="10" defaultRowHeight="15" x14ac:dyDescent="0"/>
  <cols>
    <col min="1" max="1" width="8.6640625" style="16" customWidth="1"/>
    <col min="2" max="2" width="35.83203125" style="16" customWidth="1"/>
    <col min="3" max="3" width="100.83203125" style="16" customWidth="1"/>
    <col min="4" max="16384" width="10.83203125" style="16"/>
  </cols>
  <sheetData>
    <row r="2" spans="2:3" ht="20">
      <c r="B2" s="15" t="s">
        <v>53</v>
      </c>
    </row>
    <row r="4" spans="2:3" ht="30" customHeight="1">
      <c r="B4" s="63" t="s">
        <v>54</v>
      </c>
      <c r="C4" s="64" t="s">
        <v>55</v>
      </c>
    </row>
    <row r="5" spans="2:3" s="67" customFormat="1" ht="30" customHeight="1">
      <c r="B5" s="65" t="s">
        <v>24</v>
      </c>
      <c r="C5" s="66" t="s">
        <v>56</v>
      </c>
    </row>
    <row r="6" spans="2:3" s="67" customFormat="1" ht="30" customHeight="1">
      <c r="B6" s="68" t="s">
        <v>50</v>
      </c>
      <c r="C6" s="69" t="s">
        <v>57</v>
      </c>
    </row>
    <row r="7" spans="2:3" s="67" customFormat="1" ht="30" customHeight="1">
      <c r="B7" s="68" t="s">
        <v>53</v>
      </c>
      <c r="C7" s="66" t="s">
        <v>58</v>
      </c>
    </row>
    <row r="8" spans="2:3" s="67" customFormat="1" ht="30" customHeight="1">
      <c r="B8" s="68" t="s">
        <v>59</v>
      </c>
      <c r="C8" s="66" t="s">
        <v>60</v>
      </c>
    </row>
    <row r="9" spans="2:3" s="67" customFormat="1" ht="30" customHeight="1">
      <c r="B9" s="68" t="s">
        <v>18</v>
      </c>
      <c r="C9" s="66" t="s">
        <v>61</v>
      </c>
    </row>
    <row r="10" spans="2:3" s="67" customFormat="1" ht="30" customHeight="1">
      <c r="B10" s="70" t="s">
        <v>41</v>
      </c>
      <c r="C10" s="66" t="s">
        <v>62</v>
      </c>
    </row>
    <row r="11" spans="2:3" s="67" customFormat="1" ht="30" customHeight="1">
      <c r="B11" s="72" t="s">
        <v>80</v>
      </c>
      <c r="C11" s="66" t="s">
        <v>84</v>
      </c>
    </row>
    <row r="12" spans="2:3" s="67" customFormat="1" ht="30" customHeight="1">
      <c r="B12" s="72" t="s">
        <v>79</v>
      </c>
      <c r="C12" s="71" t="s">
        <v>85</v>
      </c>
    </row>
    <row r="13" spans="2:3" s="67" customFormat="1" ht="30" customHeight="1">
      <c r="B13" s="73" t="s">
        <v>77</v>
      </c>
      <c r="C13" s="66" t="s">
        <v>78</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C30"/>
  <sheetViews>
    <sheetView workbookViewId="0"/>
  </sheetViews>
  <sheetFormatPr baseColWidth="10" defaultRowHeight="15" x14ac:dyDescent="0"/>
  <cols>
    <col min="1" max="1" width="10.83203125" style="16" customWidth="1"/>
    <col min="2" max="2" width="140.83203125" style="16" customWidth="1"/>
    <col min="3" max="3" width="20.33203125" style="16" customWidth="1"/>
    <col min="4" max="16384" width="10.83203125" style="16"/>
  </cols>
  <sheetData>
    <row r="2" spans="2:3" ht="20">
      <c r="B2" s="15" t="s">
        <v>59</v>
      </c>
    </row>
    <row r="4" spans="2:3">
      <c r="B4" s="74" t="s">
        <v>63</v>
      </c>
      <c r="C4" s="21"/>
    </row>
    <row r="5" spans="2:3">
      <c r="B5" s="75"/>
      <c r="C5" s="21"/>
    </row>
    <row r="6" spans="2:3">
      <c r="B6" s="76" t="s">
        <v>86</v>
      </c>
      <c r="C6" s="21"/>
    </row>
    <row r="7" spans="2:3">
      <c r="B7" s="77"/>
      <c r="C7" s="21"/>
    </row>
    <row r="8" spans="2:3" ht="15" customHeight="1">
      <c r="B8" s="78"/>
      <c r="C8" s="21"/>
    </row>
    <row r="9" spans="2:3" ht="15" customHeight="1">
      <c r="B9" s="74" t="s">
        <v>64</v>
      </c>
      <c r="C9" s="21"/>
    </row>
    <row r="10" spans="2:3" ht="15" customHeight="1">
      <c r="B10" s="75"/>
      <c r="C10" s="21"/>
    </row>
    <row r="11" spans="2:3" ht="15" customHeight="1">
      <c r="B11" s="79" t="s">
        <v>87</v>
      </c>
      <c r="C11" s="21"/>
    </row>
    <row r="12" spans="2:3" ht="15" customHeight="1">
      <c r="B12" s="79" t="s">
        <v>88</v>
      </c>
      <c r="C12" s="21"/>
    </row>
    <row r="13" spans="2:3" ht="15" customHeight="1">
      <c r="B13" s="79" t="s">
        <v>89</v>
      </c>
      <c r="C13" s="21"/>
    </row>
    <row r="14" spans="2:3" ht="15" customHeight="1">
      <c r="B14" s="79" t="s">
        <v>81</v>
      </c>
      <c r="C14" s="21"/>
    </row>
    <row r="15" spans="2:3" ht="15" customHeight="1">
      <c r="B15" s="79" t="s">
        <v>82</v>
      </c>
      <c r="C15" s="21"/>
    </row>
    <row r="16" spans="2:3" ht="15" customHeight="1">
      <c r="B16" s="80"/>
      <c r="C16" s="21"/>
    </row>
    <row r="17" spans="2:2">
      <c r="B17" s="81"/>
    </row>
    <row r="18" spans="2:2">
      <c r="B18" s="82" t="s">
        <v>65</v>
      </c>
    </row>
    <row r="19" spans="2:2">
      <c r="B19" s="83"/>
    </row>
    <row r="20" spans="2:2" ht="90">
      <c r="B20" s="84" t="s">
        <v>66</v>
      </c>
    </row>
    <row r="21" spans="2:2">
      <c r="B21" s="85"/>
    </row>
    <row r="24" spans="2:2" ht="15" customHeight="1"/>
    <row r="30" spans="2:2" ht="30" customHeight="1"/>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A2:F22"/>
  <sheetViews>
    <sheetView workbookViewId="0"/>
  </sheetViews>
  <sheetFormatPr baseColWidth="10" defaultRowHeight="15" x14ac:dyDescent="0"/>
  <cols>
    <col min="1" max="1" width="10.83203125" style="16"/>
    <col min="2" max="2" width="25.83203125" style="16" customWidth="1"/>
    <col min="3" max="4" width="75.83203125" style="16" customWidth="1"/>
    <col min="5" max="16384" width="10.83203125" style="16"/>
  </cols>
  <sheetData>
    <row r="2" spans="1:6" ht="20">
      <c r="B2" s="15" t="s">
        <v>18</v>
      </c>
      <c r="C2" s="15"/>
    </row>
    <row r="3" spans="1:6">
      <c r="A3" s="86"/>
      <c r="B3" s="86"/>
      <c r="C3" s="86"/>
      <c r="D3" s="86"/>
    </row>
    <row r="4" spans="1:6">
      <c r="A4" s="86"/>
      <c r="B4" s="87" t="s">
        <v>67</v>
      </c>
      <c r="C4" s="88"/>
      <c r="D4" s="86"/>
    </row>
    <row r="5" spans="1:6" ht="79" customHeight="1">
      <c r="A5" s="86"/>
      <c r="B5" s="155" t="s">
        <v>68</v>
      </c>
      <c r="C5" s="156"/>
      <c r="D5" s="86"/>
    </row>
    <row r="6" spans="1:6" ht="16" thickBot="1">
      <c r="A6" s="86"/>
      <c r="B6" s="86"/>
      <c r="C6" s="86"/>
      <c r="D6" s="86"/>
    </row>
    <row r="7" spans="1:6">
      <c r="A7" s="86"/>
      <c r="B7" s="89" t="s">
        <v>69</v>
      </c>
      <c r="C7" s="90"/>
      <c r="D7" s="91"/>
    </row>
    <row r="8" spans="1:6">
      <c r="A8" s="86"/>
      <c r="B8" s="92"/>
      <c r="C8" s="93"/>
      <c r="D8" s="94"/>
      <c r="F8" s="95"/>
    </row>
    <row r="9" spans="1:6">
      <c r="A9" s="86"/>
      <c r="B9" s="96" t="s">
        <v>70</v>
      </c>
      <c r="C9" s="97" t="s">
        <v>71</v>
      </c>
      <c r="D9" s="98" t="s">
        <v>72</v>
      </c>
    </row>
    <row r="10" spans="1:6">
      <c r="A10" s="86"/>
      <c r="B10" s="99"/>
      <c r="C10" s="100"/>
      <c r="D10" s="101"/>
    </row>
    <row r="11" spans="1:6" ht="30">
      <c r="B11" s="104"/>
      <c r="C11" s="103" t="s">
        <v>90</v>
      </c>
      <c r="D11" s="105"/>
      <c r="F11" s="106"/>
    </row>
    <row r="12" spans="1:6">
      <c r="B12" s="104"/>
      <c r="C12" s="103"/>
      <c r="D12" s="105"/>
      <c r="F12" s="106"/>
    </row>
    <row r="13" spans="1:6" ht="16" thickBot="1">
      <c r="B13" s="107"/>
      <c r="C13" s="108"/>
      <c r="D13" s="109"/>
    </row>
    <row r="14" spans="1:6" ht="16" thickBot="1">
      <c r="B14" s="86"/>
      <c r="C14" s="86"/>
      <c r="D14" s="86"/>
    </row>
    <row r="15" spans="1:6">
      <c r="B15" s="89" t="s">
        <v>73</v>
      </c>
      <c r="C15" s="90"/>
      <c r="D15" s="91"/>
    </row>
    <row r="16" spans="1:6">
      <c r="B16" s="92"/>
      <c r="C16" s="93"/>
      <c r="D16" s="94"/>
    </row>
    <row r="17" spans="2:4">
      <c r="B17" s="96" t="s">
        <v>70</v>
      </c>
      <c r="C17" s="97" t="s">
        <v>71</v>
      </c>
      <c r="D17" s="98" t="s">
        <v>74</v>
      </c>
    </row>
    <row r="18" spans="2:4">
      <c r="B18" s="99"/>
      <c r="C18" s="110"/>
      <c r="D18" s="101"/>
    </row>
    <row r="19" spans="2:4">
      <c r="B19" s="102"/>
      <c r="C19" s="103"/>
      <c r="D19" s="105"/>
    </row>
    <row r="20" spans="2:4">
      <c r="B20" s="102"/>
      <c r="C20" s="111"/>
      <c r="D20" s="112"/>
    </row>
    <row r="21" spans="2:4" ht="16" thickBot="1">
      <c r="B21" s="113"/>
      <c r="C21" s="114"/>
      <c r="D21" s="115"/>
    </row>
    <row r="22" spans="2:4">
      <c r="B22" s="86"/>
      <c r="C22" s="86"/>
      <c r="D22" s="86"/>
    </row>
  </sheetData>
  <mergeCells count="1">
    <mergeCell ref="B5:C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B1:N33"/>
  <sheetViews>
    <sheetView tabSelected="1" workbookViewId="0">
      <selection activeCell="F15" sqref="F15"/>
    </sheetView>
  </sheetViews>
  <sheetFormatPr baseColWidth="10" defaultRowHeight="15" x14ac:dyDescent="0"/>
  <cols>
    <col min="2" max="2" width="28.6640625" customWidth="1"/>
  </cols>
  <sheetData>
    <row r="1" spans="2:14" s="16" customFormat="1">
      <c r="D1" s="116"/>
      <c r="E1" s="86"/>
      <c r="F1" s="86"/>
      <c r="G1" s="86"/>
      <c r="H1" s="86"/>
      <c r="I1" s="86"/>
    </row>
    <row r="2" spans="2:14" s="16" customFormat="1" ht="20">
      <c r="B2" s="15" t="s">
        <v>41</v>
      </c>
      <c r="D2" s="116"/>
      <c r="E2" s="86"/>
      <c r="F2" s="86"/>
      <c r="G2" s="86"/>
      <c r="H2" s="86"/>
      <c r="I2" s="86"/>
      <c r="K2" s="123"/>
      <c r="L2" s="20"/>
      <c r="M2" s="21"/>
    </row>
    <row r="3" spans="2:14" s="16" customFormat="1" ht="15" customHeight="1">
      <c r="B3" s="117"/>
      <c r="C3" s="86"/>
      <c r="D3" s="118"/>
      <c r="E3" s="86"/>
      <c r="F3" s="86"/>
      <c r="G3" s="86"/>
      <c r="H3" s="86"/>
      <c r="I3" s="86"/>
      <c r="J3" s="86"/>
      <c r="K3" s="124"/>
      <c r="L3" s="21"/>
      <c r="M3" s="21"/>
    </row>
    <row r="4" spans="2:14" s="16" customFormat="1" ht="15" customHeight="1">
      <c r="B4" s="119" t="s">
        <v>67</v>
      </c>
      <c r="C4" s="120"/>
      <c r="D4" s="120"/>
      <c r="E4" s="120"/>
      <c r="F4" s="120"/>
      <c r="G4" s="121"/>
      <c r="H4" s="93"/>
      <c r="I4" s="93"/>
      <c r="J4" s="86"/>
      <c r="K4" s="125"/>
      <c r="L4" s="21"/>
      <c r="M4" s="21"/>
    </row>
    <row r="5" spans="2:14" s="16" customFormat="1" ht="15" customHeight="1">
      <c r="B5" s="157" t="s">
        <v>91</v>
      </c>
      <c r="C5" s="158"/>
      <c r="D5" s="158"/>
      <c r="E5" s="158"/>
      <c r="F5" s="158"/>
      <c r="G5" s="159"/>
      <c r="H5" s="122"/>
      <c r="I5" s="122"/>
      <c r="J5" s="86"/>
      <c r="K5" s="126"/>
      <c r="L5" s="21"/>
      <c r="M5" s="21"/>
    </row>
    <row r="6" spans="2:14" s="16" customFormat="1">
      <c r="B6" s="157"/>
      <c r="C6" s="158"/>
      <c r="D6" s="158"/>
      <c r="E6" s="158"/>
      <c r="F6" s="158"/>
      <c r="G6" s="159"/>
      <c r="H6" s="122"/>
      <c r="I6" s="122"/>
      <c r="J6" s="86"/>
      <c r="K6" s="126"/>
      <c r="L6" s="21"/>
      <c r="M6" s="21"/>
    </row>
    <row r="7" spans="2:14" s="16" customFormat="1">
      <c r="B7" s="155"/>
      <c r="C7" s="160"/>
      <c r="D7" s="160"/>
      <c r="E7" s="160"/>
      <c r="F7" s="160"/>
      <c r="G7" s="156"/>
      <c r="H7" s="122"/>
      <c r="I7" s="122"/>
      <c r="J7" s="86"/>
      <c r="K7" s="126"/>
      <c r="L7" s="21"/>
      <c r="M7" s="21"/>
    </row>
    <row r="8" spans="2:14" s="16" customFormat="1" ht="15" customHeight="1" thickBot="1">
      <c r="D8" s="116"/>
      <c r="E8" s="86"/>
      <c r="F8" s="86"/>
      <c r="G8" s="86"/>
      <c r="H8" s="86"/>
      <c r="I8" s="86"/>
    </row>
    <row r="9" spans="2:14">
      <c r="B9" s="143" t="s">
        <v>18</v>
      </c>
      <c r="C9" s="127"/>
      <c r="D9" s="127"/>
      <c r="E9" s="127"/>
      <c r="F9" s="144" t="s">
        <v>83</v>
      </c>
      <c r="G9" s="127"/>
      <c r="H9" s="127"/>
      <c r="I9" s="127"/>
      <c r="J9" s="127"/>
      <c r="K9" s="127"/>
      <c r="L9" s="127"/>
      <c r="M9" s="127"/>
      <c r="N9" s="128"/>
    </row>
    <row r="10" spans="2:14" ht="16" thickBot="1">
      <c r="B10" s="129"/>
      <c r="C10" s="130"/>
      <c r="D10" s="130"/>
      <c r="E10" s="130"/>
      <c r="F10" s="130"/>
      <c r="G10" s="130"/>
      <c r="H10" s="130"/>
      <c r="I10" s="130"/>
      <c r="J10" s="130"/>
      <c r="K10" s="130"/>
      <c r="L10" s="130"/>
      <c r="M10" s="130"/>
      <c r="N10" s="131"/>
    </row>
    <row r="11" spans="2:14" ht="15" customHeight="1" thickBot="1">
      <c r="B11" s="129" t="s">
        <v>21</v>
      </c>
      <c r="D11" s="13">
        <f>1-D12</f>
        <v>0.4496</v>
      </c>
      <c r="E11" s="130"/>
      <c r="F11" s="141" t="s">
        <v>95</v>
      </c>
      <c r="G11" s="130"/>
      <c r="H11" s="130"/>
      <c r="I11" s="130"/>
      <c r="J11" s="130"/>
      <c r="K11" s="130"/>
      <c r="L11" s="130"/>
      <c r="M11" s="130"/>
      <c r="N11" s="131"/>
    </row>
    <row r="12" spans="2:14" ht="15" customHeight="1" thickBot="1">
      <c r="B12" s="129" t="s">
        <v>22</v>
      </c>
      <c r="D12" s="13">
        <v>0.5504</v>
      </c>
      <c r="E12" s="130"/>
      <c r="F12" s="142" t="s">
        <v>95</v>
      </c>
      <c r="G12" s="130"/>
      <c r="H12" s="130"/>
      <c r="I12" s="130"/>
      <c r="J12" s="130"/>
      <c r="K12" s="130"/>
      <c r="L12" s="130"/>
      <c r="M12" s="130"/>
      <c r="N12" s="131"/>
    </row>
    <row r="13" spans="2:14" ht="16" thickBot="1">
      <c r="B13" s="129"/>
      <c r="D13" s="14"/>
      <c r="E13" s="130"/>
      <c r="F13" s="130"/>
      <c r="G13" s="130"/>
      <c r="H13" s="130"/>
      <c r="I13" s="130"/>
      <c r="J13" s="130"/>
      <c r="K13" s="130"/>
      <c r="L13" s="130"/>
      <c r="M13" s="130"/>
      <c r="N13" s="131"/>
    </row>
    <row r="14" spans="2:14" ht="16" thickBot="1">
      <c r="B14" s="129" t="s">
        <v>23</v>
      </c>
      <c r="D14" s="13">
        <v>0.8448</v>
      </c>
      <c r="E14" s="130"/>
      <c r="F14" s="142" t="s">
        <v>96</v>
      </c>
      <c r="G14" s="130"/>
      <c r="H14" s="130"/>
      <c r="I14" s="130"/>
      <c r="J14" s="130"/>
      <c r="K14" s="130"/>
      <c r="L14" s="130"/>
      <c r="M14" s="130"/>
      <c r="N14" s="131"/>
    </row>
    <row r="15" spans="2:14">
      <c r="B15" s="129"/>
      <c r="D15" s="130"/>
      <c r="E15" s="130"/>
      <c r="F15" s="130"/>
      <c r="G15" s="130"/>
      <c r="H15" s="130"/>
      <c r="I15" s="130"/>
      <c r="J15" s="130"/>
      <c r="K15" s="130"/>
      <c r="L15" s="130"/>
      <c r="M15" s="130"/>
      <c r="N15" s="131"/>
    </row>
    <row r="16" spans="2:14">
      <c r="B16" s="129" t="s">
        <v>20</v>
      </c>
      <c r="D16" s="130">
        <v>41.868000000000002</v>
      </c>
      <c r="E16" s="130"/>
      <c r="F16" s="130"/>
      <c r="G16" s="130"/>
      <c r="H16" s="130"/>
      <c r="I16" s="130"/>
      <c r="J16" s="130"/>
      <c r="K16" s="130"/>
      <c r="L16" s="130"/>
      <c r="M16" s="130"/>
      <c r="N16" s="131"/>
    </row>
    <row r="17" spans="2:14">
      <c r="B17" s="129"/>
      <c r="C17" s="130"/>
      <c r="D17" s="130"/>
      <c r="E17" s="130"/>
      <c r="F17" s="130"/>
      <c r="G17" s="130"/>
      <c r="H17" s="130"/>
      <c r="I17" s="130"/>
      <c r="J17" s="130"/>
      <c r="K17" s="130"/>
      <c r="L17" s="130"/>
      <c r="M17" s="130"/>
      <c r="N17" s="131"/>
    </row>
    <row r="18" spans="2:14">
      <c r="B18" s="129"/>
      <c r="C18" s="130"/>
      <c r="D18" s="130"/>
      <c r="E18" s="130"/>
      <c r="F18" s="130"/>
      <c r="G18" s="130"/>
      <c r="H18" s="130"/>
      <c r="I18" s="130"/>
      <c r="J18" s="130"/>
      <c r="K18" s="130"/>
      <c r="L18" s="130"/>
      <c r="M18" s="130"/>
      <c r="N18" s="131"/>
    </row>
    <row r="19" spans="2:14">
      <c r="B19" s="132" t="s">
        <v>7</v>
      </c>
      <c r="C19" s="133">
        <v>2000</v>
      </c>
      <c r="D19" s="133">
        <v>2005</v>
      </c>
      <c r="E19" s="133">
        <v>2010</v>
      </c>
      <c r="F19" s="133">
        <v>2015</v>
      </c>
      <c r="G19" s="133">
        <v>2020</v>
      </c>
      <c r="H19" s="133">
        <v>2025</v>
      </c>
      <c r="I19" s="133">
        <v>2030</v>
      </c>
      <c r="J19" s="133">
        <v>2035</v>
      </c>
      <c r="K19" s="133">
        <v>2040</v>
      </c>
      <c r="L19" s="133">
        <v>2045</v>
      </c>
      <c r="M19" s="133">
        <v>2050</v>
      </c>
      <c r="N19" s="131"/>
    </row>
    <row r="20" spans="2:14" ht="16" thickBot="1">
      <c r="B20" s="134"/>
      <c r="C20" s="3"/>
      <c r="D20" s="3"/>
      <c r="E20" s="3"/>
      <c r="F20" s="3"/>
      <c r="G20" s="3"/>
      <c r="H20" s="3"/>
      <c r="I20" s="3"/>
      <c r="J20" s="3"/>
      <c r="K20" s="3"/>
      <c r="L20" s="3"/>
      <c r="M20" s="3"/>
      <c r="N20" s="131"/>
    </row>
    <row r="21" spans="2:14">
      <c r="B21" s="132" t="s">
        <v>8</v>
      </c>
      <c r="C21" s="4">
        <v>944342</v>
      </c>
      <c r="D21" s="5">
        <v>900832</v>
      </c>
      <c r="E21" s="5">
        <v>837269</v>
      </c>
      <c r="F21" s="5">
        <v>828717</v>
      </c>
      <c r="G21" s="5">
        <v>805878</v>
      </c>
      <c r="H21" s="5">
        <v>772881</v>
      </c>
      <c r="I21" s="5">
        <v>747783</v>
      </c>
      <c r="J21" s="5">
        <v>753374</v>
      </c>
      <c r="K21" s="5">
        <v>755340</v>
      </c>
      <c r="L21" s="5">
        <v>753106</v>
      </c>
      <c r="M21" s="6">
        <v>735318</v>
      </c>
      <c r="N21" s="131"/>
    </row>
    <row r="22" spans="2:14">
      <c r="B22" s="135" t="s">
        <v>9</v>
      </c>
      <c r="C22" s="7">
        <v>214627</v>
      </c>
      <c r="D22" s="8">
        <v>196059</v>
      </c>
      <c r="E22" s="8">
        <v>163855</v>
      </c>
      <c r="F22" s="8">
        <v>149960</v>
      </c>
      <c r="G22" s="8">
        <v>139654</v>
      </c>
      <c r="H22" s="8">
        <v>127408</v>
      </c>
      <c r="I22" s="8">
        <v>88528</v>
      </c>
      <c r="J22" s="8">
        <v>79202</v>
      </c>
      <c r="K22" s="8">
        <v>74288</v>
      </c>
      <c r="L22" s="8">
        <v>72768</v>
      </c>
      <c r="M22" s="9">
        <v>69144</v>
      </c>
      <c r="N22" s="131"/>
    </row>
    <row r="23" spans="2:14">
      <c r="B23" s="135" t="s">
        <v>10</v>
      </c>
      <c r="C23" s="7">
        <v>174729</v>
      </c>
      <c r="D23" s="8">
        <v>135432</v>
      </c>
      <c r="E23" s="8">
        <v>102804</v>
      </c>
      <c r="F23" s="8">
        <v>90236</v>
      </c>
      <c r="G23" s="8">
        <v>76958</v>
      </c>
      <c r="H23" s="8">
        <v>64882</v>
      </c>
      <c r="I23" s="8">
        <v>55168</v>
      </c>
      <c r="J23" s="8">
        <v>43158</v>
      </c>
      <c r="K23" s="8">
        <v>33881</v>
      </c>
      <c r="L23" s="8">
        <v>22973</v>
      </c>
      <c r="M23" s="9">
        <v>16113</v>
      </c>
      <c r="N23" s="131"/>
    </row>
    <row r="24" spans="2:14">
      <c r="B24" s="135" t="s">
        <v>3</v>
      </c>
      <c r="C24" s="7">
        <v>208082</v>
      </c>
      <c r="D24" s="8">
        <v>188813</v>
      </c>
      <c r="E24" s="8">
        <v>156311</v>
      </c>
      <c r="F24" s="8">
        <v>148399</v>
      </c>
      <c r="G24" s="8">
        <v>140735</v>
      </c>
      <c r="H24" s="8">
        <v>124505</v>
      </c>
      <c r="I24" s="8">
        <v>109610</v>
      </c>
      <c r="J24" s="8">
        <v>101917</v>
      </c>
      <c r="K24" s="8">
        <v>95373</v>
      </c>
      <c r="L24" s="8">
        <v>82682</v>
      </c>
      <c r="M24" s="9">
        <v>69668</v>
      </c>
      <c r="N24" s="131"/>
    </row>
    <row r="25" spans="2:14">
      <c r="B25" s="135" t="s">
        <v>11</v>
      </c>
      <c r="C25" s="7">
        <v>243841</v>
      </c>
      <c r="D25" s="8">
        <v>257516</v>
      </c>
      <c r="E25" s="8">
        <v>236563</v>
      </c>
      <c r="F25" s="8">
        <v>229122</v>
      </c>
      <c r="G25" s="8">
        <v>193490</v>
      </c>
      <c r="H25" s="8">
        <v>180877</v>
      </c>
      <c r="I25" s="8">
        <v>201194</v>
      </c>
      <c r="J25" s="8">
        <v>214924</v>
      </c>
      <c r="K25" s="8">
        <v>217916</v>
      </c>
      <c r="L25" s="8">
        <v>220665</v>
      </c>
      <c r="M25" s="9">
        <v>215930</v>
      </c>
      <c r="N25" s="131"/>
    </row>
    <row r="26" spans="2:14">
      <c r="B26" s="135" t="s">
        <v>12</v>
      </c>
      <c r="C26" s="7">
        <v>103064</v>
      </c>
      <c r="D26" s="8">
        <v>123012</v>
      </c>
      <c r="E26" s="8">
        <v>177738</v>
      </c>
      <c r="F26" s="8">
        <v>211000</v>
      </c>
      <c r="G26" s="8">
        <v>255042</v>
      </c>
      <c r="H26" s="8">
        <v>275209</v>
      </c>
      <c r="I26" s="8">
        <v>293284</v>
      </c>
      <c r="J26" s="8">
        <v>314173</v>
      </c>
      <c r="K26" s="8">
        <v>333881</v>
      </c>
      <c r="L26" s="8">
        <v>354017</v>
      </c>
      <c r="M26" s="9">
        <v>364463</v>
      </c>
      <c r="N26" s="131"/>
    </row>
    <row r="27" spans="2:14">
      <c r="B27" s="136" t="s">
        <v>13</v>
      </c>
      <c r="C27" s="7">
        <v>30312</v>
      </c>
      <c r="D27" s="8">
        <v>26273</v>
      </c>
      <c r="E27" s="8">
        <v>31492</v>
      </c>
      <c r="F27" s="8">
        <v>31099</v>
      </c>
      <c r="G27" s="8">
        <v>31582</v>
      </c>
      <c r="H27" s="8">
        <v>32336</v>
      </c>
      <c r="I27" s="8">
        <v>33413</v>
      </c>
      <c r="J27" s="8">
        <v>34427</v>
      </c>
      <c r="K27" s="8">
        <v>34978</v>
      </c>
      <c r="L27" s="8">
        <v>35279</v>
      </c>
      <c r="M27" s="9">
        <v>35816</v>
      </c>
      <c r="N27" s="131"/>
    </row>
    <row r="28" spans="2:14">
      <c r="B28" s="136" t="s">
        <v>14</v>
      </c>
      <c r="C28" s="7">
        <v>65696</v>
      </c>
      <c r="D28" s="8">
        <v>84522</v>
      </c>
      <c r="E28" s="8">
        <v>123862</v>
      </c>
      <c r="F28" s="8">
        <v>135363</v>
      </c>
      <c r="G28" s="8">
        <v>149828</v>
      </c>
      <c r="H28" s="8">
        <v>150803</v>
      </c>
      <c r="I28" s="8">
        <v>152022</v>
      </c>
      <c r="J28" s="8">
        <v>154005</v>
      </c>
      <c r="K28" s="8">
        <v>160523</v>
      </c>
      <c r="L28" s="8">
        <v>163680</v>
      </c>
      <c r="M28" s="9">
        <v>162971</v>
      </c>
      <c r="N28" s="131"/>
    </row>
    <row r="29" spans="2:14">
      <c r="B29" s="136" t="s">
        <v>15</v>
      </c>
      <c r="C29" s="7">
        <v>1913</v>
      </c>
      <c r="D29" s="8">
        <v>6057</v>
      </c>
      <c r="E29" s="8">
        <v>12817</v>
      </c>
      <c r="F29" s="8">
        <v>22594</v>
      </c>
      <c r="G29" s="8">
        <v>41816</v>
      </c>
      <c r="H29" s="8">
        <v>54240</v>
      </c>
      <c r="I29" s="8">
        <v>65944</v>
      </c>
      <c r="J29" s="8">
        <v>73433</v>
      </c>
      <c r="K29" s="8">
        <v>77838</v>
      </c>
      <c r="L29" s="8">
        <v>85089</v>
      </c>
      <c r="M29" s="9">
        <v>92284</v>
      </c>
      <c r="N29" s="131"/>
    </row>
    <row r="30" spans="2:14">
      <c r="B30" s="136" t="s">
        <v>16</v>
      </c>
      <c r="C30" s="7">
        <v>430</v>
      </c>
      <c r="D30" s="8">
        <v>806</v>
      </c>
      <c r="E30" s="8">
        <v>3686</v>
      </c>
      <c r="F30" s="8">
        <v>13983</v>
      </c>
      <c r="G30" s="8">
        <v>22583</v>
      </c>
      <c r="H30" s="8">
        <v>28390</v>
      </c>
      <c r="I30" s="8">
        <v>31822</v>
      </c>
      <c r="J30" s="8">
        <v>37117</v>
      </c>
      <c r="K30" s="8">
        <v>41265</v>
      </c>
      <c r="L30" s="8">
        <v>44517</v>
      </c>
      <c r="M30" s="9">
        <v>45624</v>
      </c>
      <c r="N30" s="131"/>
    </row>
    <row r="31" spans="2:14" ht="16" thickBot="1">
      <c r="B31" s="136" t="s">
        <v>17</v>
      </c>
      <c r="C31" s="10">
        <v>4712</v>
      </c>
      <c r="D31" s="11">
        <v>5354</v>
      </c>
      <c r="E31" s="11">
        <v>5881</v>
      </c>
      <c r="F31" s="11">
        <v>7961</v>
      </c>
      <c r="G31" s="11">
        <v>9233</v>
      </c>
      <c r="H31" s="11">
        <v>9441</v>
      </c>
      <c r="I31" s="11">
        <v>10083</v>
      </c>
      <c r="J31" s="11">
        <v>15192</v>
      </c>
      <c r="K31" s="11">
        <v>19277</v>
      </c>
      <c r="L31" s="11">
        <v>25452</v>
      </c>
      <c r="M31" s="12">
        <v>27767</v>
      </c>
      <c r="N31" s="131"/>
    </row>
    <row r="32" spans="2:14">
      <c r="B32" s="129"/>
      <c r="C32" s="130"/>
      <c r="D32" s="130"/>
      <c r="E32" s="130"/>
      <c r="F32" s="130"/>
      <c r="G32" s="130"/>
      <c r="H32" s="130"/>
      <c r="I32" s="130"/>
      <c r="J32" s="130"/>
      <c r="K32" s="130"/>
      <c r="L32" s="130"/>
      <c r="M32" s="130"/>
      <c r="N32" s="131"/>
    </row>
    <row r="33" spans="2:14" ht="16" thickBot="1">
      <c r="B33" s="137"/>
      <c r="C33" s="138"/>
      <c r="D33" s="138"/>
      <c r="E33" s="138"/>
      <c r="F33" s="138"/>
      <c r="G33" s="138"/>
      <c r="H33" s="138"/>
      <c r="I33" s="138"/>
      <c r="J33" s="138"/>
      <c r="K33" s="138"/>
      <c r="L33" s="138"/>
      <c r="M33" s="138"/>
      <c r="N33" s="139"/>
    </row>
  </sheetData>
  <mergeCells count="1">
    <mergeCell ref="B5:G7"/>
  </mergeCells>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xport_timecurves">
                <anchor moveWithCells="1" sizeWithCells="1">
                  <from>
                    <xdr:col>8</xdr:col>
                    <xdr:colOff>0</xdr:colOff>
                    <xdr:row>4</xdr:row>
                    <xdr:rowOff>114300</xdr:rowOff>
                  </from>
                  <to>
                    <xdr:col>12</xdr:col>
                    <xdr:colOff>0</xdr:colOff>
                    <xdr:row>5</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theme="8" tint="0.39997558519241921"/>
  </sheetPr>
  <dimension ref="B2:M20"/>
  <sheetViews>
    <sheetView workbookViewId="0">
      <selection activeCell="B18" sqref="B18"/>
    </sheetView>
  </sheetViews>
  <sheetFormatPr baseColWidth="10" defaultRowHeight="15" x14ac:dyDescent="0"/>
  <cols>
    <col min="2" max="2" width="37.83203125" customWidth="1"/>
  </cols>
  <sheetData>
    <row r="2" spans="2:13" s="16" customFormat="1" ht="15" customHeight="1">
      <c r="B2" s="119" t="s">
        <v>67</v>
      </c>
      <c r="C2" s="120"/>
      <c r="D2" s="120"/>
      <c r="E2" s="120"/>
      <c r="F2" s="120"/>
      <c r="G2" s="121"/>
      <c r="H2" s="93"/>
      <c r="I2" s="93"/>
      <c r="J2" s="86"/>
      <c r="K2" s="125"/>
      <c r="L2" s="21"/>
      <c r="M2" s="21"/>
    </row>
    <row r="3" spans="2:13" s="16" customFormat="1" ht="15" customHeight="1">
      <c r="B3" s="157" t="s">
        <v>92</v>
      </c>
      <c r="C3" s="158"/>
      <c r="D3" s="158"/>
      <c r="E3" s="158"/>
      <c r="F3" s="158"/>
      <c r="G3" s="159"/>
      <c r="H3" s="122"/>
      <c r="I3" s="122"/>
      <c r="J3" s="86"/>
      <c r="K3" s="126"/>
      <c r="L3" s="21"/>
      <c r="M3" s="21"/>
    </row>
    <row r="4" spans="2:13" s="16" customFormat="1">
      <c r="B4" s="157"/>
      <c r="C4" s="158"/>
      <c r="D4" s="158"/>
      <c r="E4" s="158"/>
      <c r="F4" s="158"/>
      <c r="G4" s="159"/>
      <c r="H4" s="122"/>
      <c r="I4" s="122"/>
      <c r="J4" s="86"/>
      <c r="K4" s="126"/>
      <c r="L4" s="21"/>
      <c r="M4" s="21"/>
    </row>
    <row r="5" spans="2:13" s="16" customFormat="1">
      <c r="B5" s="155"/>
      <c r="C5" s="160"/>
      <c r="D5" s="160"/>
      <c r="E5" s="160"/>
      <c r="F5" s="160"/>
      <c r="G5" s="156"/>
      <c r="H5" s="122"/>
      <c r="I5" s="122"/>
      <c r="J5" s="86"/>
      <c r="K5" s="126"/>
      <c r="L5" s="21"/>
      <c r="M5" s="21"/>
    </row>
    <row r="6" spans="2:13">
      <c r="B6" s="145"/>
      <c r="C6" s="145"/>
      <c r="D6" s="145"/>
      <c r="E6" s="145"/>
      <c r="F6" s="145"/>
      <c r="G6" s="145"/>
      <c r="H6" s="145"/>
      <c r="I6" s="145"/>
      <c r="J6" s="145"/>
      <c r="K6" s="145"/>
      <c r="L6" s="145"/>
      <c r="M6" s="145"/>
    </row>
    <row r="7" spans="2:13">
      <c r="B7" s="146" t="s">
        <v>19</v>
      </c>
      <c r="C7" s="150">
        <v>2000</v>
      </c>
      <c r="D7" s="150">
        <v>2005</v>
      </c>
      <c r="E7" s="150">
        <v>2010</v>
      </c>
      <c r="F7" s="150">
        <v>2015</v>
      </c>
      <c r="G7" s="150">
        <v>2020</v>
      </c>
      <c r="H7" s="150">
        <v>2025</v>
      </c>
      <c r="I7" s="150">
        <v>2030</v>
      </c>
      <c r="J7" s="150">
        <v>2035</v>
      </c>
      <c r="K7" s="150">
        <v>2040</v>
      </c>
      <c r="L7" s="150">
        <v>2045</v>
      </c>
      <c r="M7" s="150">
        <v>2050</v>
      </c>
    </row>
    <row r="8" spans="2:13">
      <c r="B8" s="147"/>
      <c r="C8" s="151"/>
      <c r="D8" s="151"/>
      <c r="E8" s="151"/>
      <c r="F8" s="151"/>
      <c r="G8" s="151"/>
      <c r="H8" s="151"/>
      <c r="I8" s="151"/>
      <c r="J8" s="151"/>
      <c r="K8" s="151"/>
      <c r="L8" s="151"/>
      <c r="M8" s="151"/>
    </row>
    <row r="9" spans="2:13">
      <c r="B9" s="147" t="s">
        <v>8</v>
      </c>
      <c r="C9" s="152">
        <f>Dashboard!C21*ktoe_TJ</f>
        <v>39537710.855999999</v>
      </c>
      <c r="D9" s="152">
        <f>Dashboard!D21*ktoe_TJ</f>
        <v>37716034.175999999</v>
      </c>
      <c r="E9" s="152">
        <f>Dashboard!E21*ktoe_TJ</f>
        <v>35054778.491999999</v>
      </c>
      <c r="F9" s="152">
        <f>Dashboard!F21*ktoe_TJ</f>
        <v>34696723.355999999</v>
      </c>
      <c r="G9" s="152">
        <f>Dashboard!G21*ktoe_TJ</f>
        <v>33740500.104000002</v>
      </c>
      <c r="H9" s="152">
        <f>Dashboard!H21*ktoe_TJ</f>
        <v>32358981.708000001</v>
      </c>
      <c r="I9" s="152">
        <f>Dashboard!I21*ktoe_TJ</f>
        <v>31308178.644000001</v>
      </c>
      <c r="J9" s="152">
        <f>Dashboard!J21*ktoe_TJ</f>
        <v>31542262.632000003</v>
      </c>
      <c r="K9" s="152">
        <f>Dashboard!K21*ktoe_TJ</f>
        <v>31624575.120000001</v>
      </c>
      <c r="L9" s="152">
        <f>Dashboard!L21*ktoe_TJ</f>
        <v>31531042.008000001</v>
      </c>
      <c r="M9" s="152">
        <f>Dashboard!M21*ktoe_TJ</f>
        <v>30786294.024</v>
      </c>
    </row>
    <row r="10" spans="2:13">
      <c r="B10" s="149" t="s">
        <v>9</v>
      </c>
      <c r="C10" s="153">
        <f>Dashboard!C22*ktoe_TJ</f>
        <v>8986003.2359999996</v>
      </c>
      <c r="D10" s="153">
        <f>Dashboard!D22*ktoe_TJ</f>
        <v>8208598.2120000003</v>
      </c>
      <c r="E10" s="153">
        <f>Dashboard!E22*ktoe_TJ</f>
        <v>6860281.1400000006</v>
      </c>
      <c r="F10" s="153">
        <f>Dashboard!F22*ktoe_TJ</f>
        <v>6278525.2800000003</v>
      </c>
      <c r="G10" s="153">
        <f>Dashboard!G22*ktoe_TJ</f>
        <v>5847033.6720000003</v>
      </c>
      <c r="H10" s="153">
        <f>Dashboard!H22*ktoe_TJ</f>
        <v>5334318.1440000003</v>
      </c>
      <c r="I10" s="153">
        <f>Dashboard!I22*ktoe_TJ</f>
        <v>3706490.304</v>
      </c>
      <c r="J10" s="153">
        <f>Dashboard!J22*ktoe_TJ</f>
        <v>3316029.3360000001</v>
      </c>
      <c r="K10" s="153">
        <f>Dashboard!K22*ktoe_TJ</f>
        <v>3110289.9840000002</v>
      </c>
      <c r="L10" s="153">
        <f>Dashboard!L22*ktoe_TJ</f>
        <v>3046650.6240000003</v>
      </c>
      <c r="M10" s="153">
        <f>Dashboard!M22*ktoe_TJ</f>
        <v>2894920.9920000001</v>
      </c>
    </row>
    <row r="11" spans="2:13">
      <c r="B11" s="149" t="s">
        <v>10</v>
      </c>
      <c r="C11" s="153">
        <f>Dashboard!C23*ktoe_TJ</f>
        <v>7315553.7720000008</v>
      </c>
      <c r="D11" s="153">
        <f>Dashboard!D23*ktoe_TJ</f>
        <v>5670266.9760000007</v>
      </c>
      <c r="E11" s="153">
        <f>Dashboard!E23*ktoe_TJ</f>
        <v>4304197.8720000004</v>
      </c>
      <c r="F11" s="153">
        <f>Dashboard!F23*ktoe_TJ</f>
        <v>3778000.8480000002</v>
      </c>
      <c r="G11" s="153">
        <f>Dashboard!G23*ktoe_TJ</f>
        <v>3222077.5440000002</v>
      </c>
      <c r="H11" s="153">
        <f>Dashboard!H23*ktoe_TJ</f>
        <v>2716479.5760000004</v>
      </c>
      <c r="I11" s="153">
        <f>Dashboard!I23*ktoe_TJ</f>
        <v>2309773.824</v>
      </c>
      <c r="J11" s="153">
        <f>Dashboard!J23*ktoe_TJ</f>
        <v>1806939.1440000001</v>
      </c>
      <c r="K11" s="153">
        <f>Dashboard!K23*ktoe_TJ</f>
        <v>1418529.7080000001</v>
      </c>
      <c r="L11" s="153">
        <f>Dashboard!L23*ktoe_TJ</f>
        <v>961833.56400000001</v>
      </c>
      <c r="M11" s="153">
        <f>Dashboard!M23*ktoe_TJ</f>
        <v>674619.08400000003</v>
      </c>
    </row>
    <row r="12" spans="2:13">
      <c r="B12" s="149" t="s">
        <v>3</v>
      </c>
      <c r="C12" s="153">
        <f>Dashboard!C24*ktoe_TJ</f>
        <v>8711977.1760000009</v>
      </c>
      <c r="D12" s="153">
        <f>Dashboard!D24*ktoe_TJ</f>
        <v>7905222.6840000004</v>
      </c>
      <c r="E12" s="153">
        <f>Dashboard!E24*ktoe_TJ</f>
        <v>6544428.9480000008</v>
      </c>
      <c r="F12" s="153">
        <f>Dashboard!F24*ktoe_TJ</f>
        <v>6213169.3320000004</v>
      </c>
      <c r="G12" s="153">
        <f>Dashboard!G24*ktoe_TJ</f>
        <v>5892292.9800000004</v>
      </c>
      <c r="H12" s="153">
        <f>Dashboard!H24*ktoe_TJ</f>
        <v>5212775.34</v>
      </c>
      <c r="I12" s="153">
        <f>Dashboard!I24*ktoe_TJ</f>
        <v>4589151.4800000004</v>
      </c>
      <c r="J12" s="153">
        <f>Dashboard!J24*ktoe_TJ</f>
        <v>4267060.9560000002</v>
      </c>
      <c r="K12" s="153">
        <f>Dashboard!K24*ktoe_TJ</f>
        <v>3993076.7640000004</v>
      </c>
      <c r="L12" s="153">
        <f>Dashboard!L24*ktoe_TJ</f>
        <v>3461729.9760000003</v>
      </c>
      <c r="M12" s="153">
        <f>Dashboard!M24*ktoe_TJ</f>
        <v>2916859.824</v>
      </c>
    </row>
    <row r="13" spans="2:13">
      <c r="B13" s="149" t="s">
        <v>11</v>
      </c>
      <c r="C13" s="153">
        <f>Dashboard!C25*ktoe_TJ</f>
        <v>10209134.988</v>
      </c>
      <c r="D13" s="153">
        <f>Dashboard!D25*ktoe_TJ</f>
        <v>10781679.888</v>
      </c>
      <c r="E13" s="153">
        <f>Dashboard!E25*ktoe_TJ</f>
        <v>9904419.6840000004</v>
      </c>
      <c r="F13" s="153">
        <f>Dashboard!F25*ktoe_TJ</f>
        <v>9592879.8959999997</v>
      </c>
      <c r="G13" s="153">
        <f>Dashboard!G25*ktoe_TJ</f>
        <v>8101039.3200000003</v>
      </c>
      <c r="H13" s="153">
        <f>Dashboard!H25*ktoe_TJ</f>
        <v>7572958.2360000005</v>
      </c>
      <c r="I13" s="153">
        <f>Dashboard!I25*ktoe_TJ</f>
        <v>8423590.3920000009</v>
      </c>
      <c r="J13" s="153">
        <f>Dashboard!J25*ktoe_TJ</f>
        <v>8998438.0319999997</v>
      </c>
      <c r="K13" s="153">
        <f>Dashboard!K25*ktoe_TJ</f>
        <v>9123707.0880000014</v>
      </c>
      <c r="L13" s="153">
        <f>Dashboard!L25*ktoe_TJ</f>
        <v>9238802.2200000007</v>
      </c>
      <c r="M13" s="153">
        <f>Dashboard!M25*ktoe_TJ</f>
        <v>9040557.2400000002</v>
      </c>
    </row>
    <row r="14" spans="2:13">
      <c r="B14" s="149" t="s">
        <v>12</v>
      </c>
      <c r="C14" s="153">
        <f>Dashboard!C26*ktoe_TJ</f>
        <v>4315083.5520000001</v>
      </c>
      <c r="D14" s="153">
        <f>Dashboard!D26*ktoe_TJ</f>
        <v>5150266.4160000002</v>
      </c>
      <c r="E14" s="153">
        <f>Dashboard!E26*ktoe_TJ</f>
        <v>7441534.5840000007</v>
      </c>
      <c r="F14" s="153">
        <f>Dashboard!F26*ktoe_TJ</f>
        <v>8834148</v>
      </c>
      <c r="G14" s="153">
        <f>Dashboard!G26*ktoe_TJ</f>
        <v>10678098.456</v>
      </c>
      <c r="H14" s="153">
        <f>Dashboard!H26*ktoe_TJ</f>
        <v>11522450.412</v>
      </c>
      <c r="I14" s="153">
        <f>Dashboard!I26*ktoe_TJ</f>
        <v>12279214.512</v>
      </c>
      <c r="J14" s="153">
        <f>Dashboard!J26*ktoe_TJ</f>
        <v>13153795.164000001</v>
      </c>
      <c r="K14" s="153">
        <f>Dashboard!K26*ktoe_TJ</f>
        <v>13978929.708000001</v>
      </c>
      <c r="L14" s="153">
        <f>Dashboard!L26*ktoe_TJ</f>
        <v>14821983.756000001</v>
      </c>
      <c r="M14" s="153">
        <f>Dashboard!M26*ktoe_TJ</f>
        <v>15259336.884000001</v>
      </c>
    </row>
    <row r="15" spans="2:13">
      <c r="B15" s="149" t="s">
        <v>13</v>
      </c>
      <c r="C15" s="153">
        <f>Dashboard!C27*ktoe_TJ</f>
        <v>1269102.8160000001</v>
      </c>
      <c r="D15" s="153">
        <f>Dashboard!D27*ktoe_TJ</f>
        <v>1099997.9640000002</v>
      </c>
      <c r="E15" s="153">
        <f>Dashboard!E27*ktoe_TJ</f>
        <v>1318507.0560000001</v>
      </c>
      <c r="F15" s="153">
        <f>Dashboard!F27*ktoe_TJ</f>
        <v>1302052.932</v>
      </c>
      <c r="G15" s="153">
        <f>Dashboard!G27*ktoe_TJ</f>
        <v>1322275.176</v>
      </c>
      <c r="H15" s="153">
        <f>Dashboard!H27*ktoe_TJ</f>
        <v>1353843.648</v>
      </c>
      <c r="I15" s="153">
        <f>Dashboard!I27*ktoe_TJ</f>
        <v>1398935.4840000002</v>
      </c>
      <c r="J15" s="153">
        <f>Dashboard!J27*ktoe_TJ</f>
        <v>1441389.6360000002</v>
      </c>
      <c r="K15" s="153">
        <f>Dashboard!K27*ktoe_TJ</f>
        <v>1464458.9040000001</v>
      </c>
      <c r="L15" s="153">
        <f>Dashboard!L27*ktoe_TJ</f>
        <v>1477061.172</v>
      </c>
      <c r="M15" s="153">
        <f>Dashboard!M27*ktoe_TJ</f>
        <v>1499544.2880000002</v>
      </c>
    </row>
    <row r="16" spans="2:13">
      <c r="B16" s="149" t="s">
        <v>14</v>
      </c>
      <c r="C16" s="153">
        <f>Dashboard!C28*ktoe_TJ</f>
        <v>2750560.128</v>
      </c>
      <c r="D16" s="153">
        <f>Dashboard!D28*ktoe_TJ</f>
        <v>3538767.0960000004</v>
      </c>
      <c r="E16" s="153">
        <f>Dashboard!E28*ktoe_TJ</f>
        <v>5185854.216</v>
      </c>
      <c r="F16" s="153">
        <f>Dashboard!F28*ktoe_TJ</f>
        <v>5667378.0840000007</v>
      </c>
      <c r="G16" s="153">
        <f>Dashboard!G28*ktoe_TJ</f>
        <v>6272998.7039999999</v>
      </c>
      <c r="H16" s="153">
        <f>Dashboard!H28*ktoe_TJ</f>
        <v>6313820.0040000007</v>
      </c>
      <c r="I16" s="153">
        <f>Dashboard!I28*ktoe_TJ</f>
        <v>6364857.0959999999</v>
      </c>
      <c r="J16" s="153">
        <f>Dashboard!J28*ktoe_TJ</f>
        <v>6447881.3400000008</v>
      </c>
      <c r="K16" s="153">
        <f>Dashboard!K28*ktoe_TJ</f>
        <v>6720776.9640000006</v>
      </c>
      <c r="L16" s="153">
        <f>Dashboard!L28*ktoe_TJ</f>
        <v>6852954.2400000002</v>
      </c>
      <c r="M16" s="153">
        <f>Dashboard!M28*ktoe_TJ</f>
        <v>6823269.8280000007</v>
      </c>
    </row>
    <row r="17" spans="2:13">
      <c r="B17" s="148" t="s">
        <v>15</v>
      </c>
      <c r="C17" s="153">
        <f>Dashboard!C29*ktoe_TJ</f>
        <v>80093.484000000011</v>
      </c>
      <c r="D17" s="153">
        <f>Dashboard!D29*ktoe_TJ</f>
        <v>253594.47600000002</v>
      </c>
      <c r="E17" s="153">
        <f>Dashboard!E29*ktoe_TJ</f>
        <v>536622.15600000008</v>
      </c>
      <c r="F17" s="153">
        <f>Dashboard!F29*ktoe_TJ</f>
        <v>945965.59200000006</v>
      </c>
      <c r="G17" s="153">
        <f>Dashboard!G29*ktoe_TJ</f>
        <v>1750752.2880000002</v>
      </c>
      <c r="H17" s="153">
        <f>Dashboard!H29*ktoe_TJ</f>
        <v>2270920.3200000003</v>
      </c>
      <c r="I17" s="153">
        <f>Dashboard!I29*ktoe_TJ</f>
        <v>2760943.392</v>
      </c>
      <c r="J17" s="153">
        <f>Dashboard!J29*ktoe_TJ</f>
        <v>3074492.844</v>
      </c>
      <c r="K17" s="153">
        <f>Dashboard!K29*ktoe_TJ</f>
        <v>3258921.3840000001</v>
      </c>
      <c r="L17" s="153">
        <f>Dashboard!L29*ktoe_TJ</f>
        <v>3562506.2520000003</v>
      </c>
      <c r="M17" s="153">
        <f>Dashboard!M29*ktoe_TJ</f>
        <v>3863746.5120000001</v>
      </c>
    </row>
    <row r="18" spans="2:13">
      <c r="B18" s="148" t="s">
        <v>16</v>
      </c>
      <c r="C18" s="153">
        <f>Dashboard!C30*ktoe_TJ</f>
        <v>18003.240000000002</v>
      </c>
      <c r="D18" s="153">
        <f>Dashboard!D30*ktoe_TJ</f>
        <v>33745.608</v>
      </c>
      <c r="E18" s="153">
        <f>Dashboard!E30*ktoe_TJ</f>
        <v>154325.448</v>
      </c>
      <c r="F18" s="153">
        <f>Dashboard!F30*ktoe_TJ</f>
        <v>585440.24400000006</v>
      </c>
      <c r="G18" s="153">
        <f>Dashboard!G30*ktoe_TJ</f>
        <v>945505.04399999999</v>
      </c>
      <c r="H18" s="153">
        <f>Dashboard!H30*ktoe_TJ</f>
        <v>1188632.52</v>
      </c>
      <c r="I18" s="153">
        <f>Dashboard!I30*ktoe_TJ</f>
        <v>1332323.496</v>
      </c>
      <c r="J18" s="153">
        <f>Dashboard!J30*ktoe_TJ</f>
        <v>1554014.5560000001</v>
      </c>
      <c r="K18" s="153">
        <f>Dashboard!K30*ktoe_TJ</f>
        <v>1727683.02</v>
      </c>
      <c r="L18" s="153">
        <f>Dashboard!L30*ktoe_TJ</f>
        <v>1863837.7560000001</v>
      </c>
      <c r="M18" s="153">
        <f>Dashboard!M30*ktoe_TJ</f>
        <v>1910185.632</v>
      </c>
    </row>
    <row r="19" spans="2:13">
      <c r="B19" s="148" t="s">
        <v>17</v>
      </c>
      <c r="C19" s="153">
        <f>Dashboard!C31*ktoe_TJ</f>
        <v>197282.016</v>
      </c>
      <c r="D19" s="153">
        <f>Dashboard!D31*ktoe_TJ</f>
        <v>224161.272</v>
      </c>
      <c r="E19" s="153">
        <f>Dashboard!E31*ktoe_TJ</f>
        <v>246225.70800000001</v>
      </c>
      <c r="F19" s="153">
        <f>Dashboard!F31*ktoe_TJ</f>
        <v>333311.14800000004</v>
      </c>
      <c r="G19" s="153">
        <f>Dashboard!G31*ktoe_TJ</f>
        <v>386567.24400000001</v>
      </c>
      <c r="H19" s="153">
        <f>Dashboard!H31*ktoe_TJ</f>
        <v>395275.788</v>
      </c>
      <c r="I19" s="153">
        <f>Dashboard!I31*ktoe_TJ</f>
        <v>422155.04399999999</v>
      </c>
      <c r="J19" s="153">
        <f>Dashboard!J31*ktoe_TJ</f>
        <v>636058.65600000008</v>
      </c>
      <c r="K19" s="153">
        <f>Dashboard!K31*ktoe_TJ</f>
        <v>807089.43599999999</v>
      </c>
      <c r="L19" s="153">
        <f>Dashboard!L31*ktoe_TJ</f>
        <v>1065624.3360000001</v>
      </c>
      <c r="M19" s="153">
        <f>Dashboard!M31*ktoe_TJ</f>
        <v>1162548.7560000001</v>
      </c>
    </row>
    <row r="20" spans="2:13">
      <c r="B20" s="145"/>
      <c r="C20" s="145"/>
      <c r="D20" s="145"/>
      <c r="E20" s="145"/>
      <c r="F20" s="145"/>
      <c r="G20" s="145"/>
      <c r="H20" s="145"/>
      <c r="I20" s="145"/>
      <c r="J20" s="145"/>
      <c r="K20" s="145"/>
      <c r="L20" s="145"/>
      <c r="M20" s="145"/>
    </row>
  </sheetData>
  <mergeCells count="1">
    <mergeCell ref="B3:G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8" tint="0.39997558519241921"/>
  </sheetPr>
  <dimension ref="A2:M59"/>
  <sheetViews>
    <sheetView workbookViewId="0">
      <selection activeCell="D20" sqref="D20"/>
    </sheetView>
  </sheetViews>
  <sheetFormatPr baseColWidth="10" defaultRowHeight="15" x14ac:dyDescent="0"/>
  <cols>
    <col min="1" max="6" width="10.83203125" style="1"/>
    <col min="7" max="7" width="12.5" style="1" customWidth="1"/>
    <col min="8" max="16384" width="10.83203125" style="1"/>
  </cols>
  <sheetData>
    <row r="2" spans="1:13" s="16" customFormat="1" ht="15" customHeight="1">
      <c r="B2" s="119" t="s">
        <v>67</v>
      </c>
      <c r="C2" s="120"/>
      <c r="D2" s="120"/>
      <c r="E2" s="120"/>
      <c r="F2" s="120"/>
      <c r="G2" s="121"/>
      <c r="H2" s="93"/>
      <c r="I2" s="93"/>
      <c r="J2" s="86"/>
      <c r="K2" s="125"/>
      <c r="L2" s="21"/>
      <c r="M2" s="21"/>
    </row>
    <row r="3" spans="1:13" s="16" customFormat="1" ht="15" customHeight="1">
      <c r="B3" s="157" t="s">
        <v>93</v>
      </c>
      <c r="C3" s="158"/>
      <c r="D3" s="158"/>
      <c r="E3" s="158"/>
      <c r="F3" s="158"/>
      <c r="G3" s="159"/>
      <c r="H3" s="122"/>
      <c r="I3" s="122"/>
      <c r="J3" s="86"/>
      <c r="K3" s="126"/>
      <c r="L3" s="21"/>
      <c r="M3" s="21"/>
    </row>
    <row r="4" spans="1:13" s="16" customFormat="1">
      <c r="B4" s="157"/>
      <c r="C4" s="158"/>
      <c r="D4" s="158"/>
      <c r="E4" s="158"/>
      <c r="F4" s="158"/>
      <c r="G4" s="159"/>
      <c r="H4" s="122"/>
      <c r="I4" s="122"/>
      <c r="J4" s="86"/>
      <c r="K4" s="126"/>
      <c r="L4" s="21"/>
      <c r="M4" s="21"/>
    </row>
    <row r="5" spans="1:13" s="16" customFormat="1">
      <c r="B5" s="155"/>
      <c r="C5" s="160"/>
      <c r="D5" s="160"/>
      <c r="E5" s="160"/>
      <c r="F5" s="160"/>
      <c r="G5" s="156"/>
      <c r="H5" s="122"/>
      <c r="I5" s="122"/>
      <c r="J5" s="86"/>
      <c r="K5" s="126"/>
      <c r="L5" s="21"/>
      <c r="M5" s="21"/>
    </row>
    <row r="8" spans="1:13">
      <c r="A8" s="154" t="s">
        <v>0</v>
      </c>
      <c r="B8" s="154" t="s">
        <v>1</v>
      </c>
      <c r="C8" s="154" t="s">
        <v>2</v>
      </c>
      <c r="D8" s="154" t="s">
        <v>3</v>
      </c>
      <c r="E8" s="154" t="s">
        <v>4</v>
      </c>
      <c r="F8" s="154" t="s">
        <v>5</v>
      </c>
      <c r="G8" s="154" t="s">
        <v>6</v>
      </c>
    </row>
    <row r="9" spans="1:13">
      <c r="A9" s="2">
        <v>2000</v>
      </c>
      <c r="B9" s="2">
        <f>conversion_to_TJ!C10*Dashboard!$D$11</f>
        <v>4040107.0549055999</v>
      </c>
      <c r="C9" s="2">
        <f>conversion_to_TJ!C10*Dashboard!$D$12</f>
        <v>4945896.1810943997</v>
      </c>
      <c r="D9" s="2">
        <f>conversion_to_TJ!C12</f>
        <v>8711977.1760000009</v>
      </c>
      <c r="E9" s="2">
        <f>conversion_to_TJ!C11</f>
        <v>7315553.7720000008</v>
      </c>
      <c r="F9" s="2">
        <f>conversion_to_TJ!C13</f>
        <v>10209134.988</v>
      </c>
      <c r="G9" s="2">
        <f>conversion_to_TJ!C16*Dashboard!$D$14</f>
        <v>2323673.1961344001</v>
      </c>
    </row>
    <row r="10" spans="1:13">
      <c r="A10" s="1">
        <v>2001</v>
      </c>
      <c r="B10" s="1">
        <f>B$9+(B$14-B$9)/($A$14-$A$9)*($A10-$A$9)</f>
        <v>3970202.79514752</v>
      </c>
      <c r="C10" s="1">
        <f t="shared" ref="C10:G10" si="0">C$9+(C$14-C$9)/($A$14-$A$9)*($A10-$A$9)</f>
        <v>4860319.4360524798</v>
      </c>
      <c r="D10" s="1">
        <f t="shared" si="0"/>
        <v>8550626.2776000015</v>
      </c>
      <c r="E10" s="1">
        <f t="shared" si="0"/>
        <v>6986496.412800001</v>
      </c>
      <c r="F10" s="1">
        <f t="shared" si="0"/>
        <v>10323643.968</v>
      </c>
      <c r="G10" s="1">
        <f t="shared" si="0"/>
        <v>2456848.6454476803</v>
      </c>
    </row>
    <row r="11" spans="1:13">
      <c r="A11" s="1">
        <v>2002</v>
      </c>
      <c r="B11" s="1">
        <f t="shared" ref="B11:G13" si="1">B$9+(B$14-B$9)/($A$14-$A$9)*($A11-$A$9)</f>
        <v>3900298.5353894401</v>
      </c>
      <c r="C11" s="1">
        <f t="shared" si="1"/>
        <v>4774742.6910105599</v>
      </c>
      <c r="D11" s="1">
        <f t="shared" si="1"/>
        <v>8389275.3792000003</v>
      </c>
      <c r="E11" s="1">
        <f t="shared" si="1"/>
        <v>6657439.0536000011</v>
      </c>
      <c r="F11" s="1">
        <f t="shared" si="1"/>
        <v>10438152.948000001</v>
      </c>
      <c r="G11" s="1">
        <f t="shared" si="1"/>
        <v>2590024.0947609604</v>
      </c>
    </row>
    <row r="12" spans="1:13">
      <c r="A12" s="1">
        <v>2003</v>
      </c>
      <c r="B12" s="1">
        <f t="shared" si="1"/>
        <v>3830394.2756313598</v>
      </c>
      <c r="C12" s="1">
        <f t="shared" si="1"/>
        <v>4689165.94596864</v>
      </c>
      <c r="D12" s="1">
        <f t="shared" si="1"/>
        <v>8227924.480800001</v>
      </c>
      <c r="E12" s="1">
        <f t="shared" si="1"/>
        <v>6328381.6944000013</v>
      </c>
      <c r="F12" s="1">
        <f t="shared" si="1"/>
        <v>10552661.927999999</v>
      </c>
      <c r="G12" s="1">
        <f t="shared" si="1"/>
        <v>2723199.5440742401</v>
      </c>
    </row>
    <row r="13" spans="1:13">
      <c r="A13" s="1">
        <v>2004</v>
      </c>
      <c r="B13" s="1">
        <f t="shared" si="1"/>
        <v>3760490.0158732799</v>
      </c>
      <c r="C13" s="1">
        <f t="shared" si="1"/>
        <v>4603589.2009267202</v>
      </c>
      <c r="D13" s="1">
        <f t="shared" si="1"/>
        <v>8066573.5824000007</v>
      </c>
      <c r="E13" s="1">
        <f t="shared" si="1"/>
        <v>5999324.3352000006</v>
      </c>
      <c r="F13" s="1">
        <f t="shared" si="1"/>
        <v>10667170.908</v>
      </c>
      <c r="G13" s="1">
        <f t="shared" si="1"/>
        <v>2856374.9933875203</v>
      </c>
    </row>
    <row r="14" spans="1:13">
      <c r="A14" s="2">
        <v>2005</v>
      </c>
      <c r="B14" s="2">
        <f>conversion_to_TJ!D10*Dashboard!$D$11</f>
        <v>3690585.7561152</v>
      </c>
      <c r="C14" s="2">
        <f>conversion_to_TJ!D10*Dashboard!$D$12</f>
        <v>4518012.4558848003</v>
      </c>
      <c r="D14" s="2">
        <f>conversion_to_TJ!D12</f>
        <v>7905222.6840000004</v>
      </c>
      <c r="E14" s="2">
        <f>conversion_to_TJ!D11</f>
        <v>5670266.9760000007</v>
      </c>
      <c r="F14" s="2">
        <f>conversion_to_TJ!D13</f>
        <v>10781679.888</v>
      </c>
      <c r="G14" s="2">
        <f>conversion_to_TJ!D16*Dashboard!$D$14</f>
        <v>2989550.4427008005</v>
      </c>
    </row>
    <row r="15" spans="1:13">
      <c r="A15" s="1">
        <v>2006</v>
      </c>
      <c r="B15" s="1">
        <f>B$14+(B$19-B$14)/($A$19-$A$14)*($A15-$A$14)</f>
        <v>3569345.0850009602</v>
      </c>
      <c r="C15" s="1">
        <f t="shared" ref="C15:G15" si="2">C$14+(C$19-C$14)/($A$19-$A$14)*($A15-$A$14)</f>
        <v>4369589.71259904</v>
      </c>
      <c r="D15" s="1">
        <f t="shared" si="2"/>
        <v>7633063.9368000003</v>
      </c>
      <c r="E15" s="1">
        <f t="shared" si="2"/>
        <v>5397053.1552000009</v>
      </c>
      <c r="F15" s="1">
        <f t="shared" si="2"/>
        <v>10606227.847200001</v>
      </c>
      <c r="G15" s="1">
        <f t="shared" si="2"/>
        <v>3267842.2824960006</v>
      </c>
    </row>
    <row r="16" spans="1:13">
      <c r="A16" s="1">
        <v>2007</v>
      </c>
      <c r="B16" s="1">
        <f t="shared" ref="B16:G18" si="3">B$14+(B$19-B$14)/($A$19-$A$14)*($A16-$A$14)</f>
        <v>3448104.4138867203</v>
      </c>
      <c r="C16" s="1">
        <f t="shared" si="3"/>
        <v>4221166.9693132807</v>
      </c>
      <c r="D16" s="1">
        <f t="shared" si="3"/>
        <v>7360905.1896000002</v>
      </c>
      <c r="E16" s="1">
        <f t="shared" si="3"/>
        <v>5123839.334400001</v>
      </c>
      <c r="F16" s="1">
        <f t="shared" si="3"/>
        <v>10430775.806400001</v>
      </c>
      <c r="G16" s="1">
        <f t="shared" si="3"/>
        <v>3546134.1222912003</v>
      </c>
    </row>
    <row r="17" spans="1:7">
      <c r="A17" s="1">
        <v>2008</v>
      </c>
      <c r="B17" s="1">
        <f t="shared" si="3"/>
        <v>3326863.7427724805</v>
      </c>
      <c r="C17" s="1">
        <f t="shared" si="3"/>
        <v>4072744.2260275204</v>
      </c>
      <c r="D17" s="1">
        <f t="shared" si="3"/>
        <v>7088746.442400001</v>
      </c>
      <c r="E17" s="1">
        <f t="shared" si="3"/>
        <v>4850625.5136000011</v>
      </c>
      <c r="F17" s="1">
        <f t="shared" si="3"/>
        <v>10255323.7656</v>
      </c>
      <c r="G17" s="1">
        <f t="shared" si="3"/>
        <v>3824425.9620864005</v>
      </c>
    </row>
    <row r="18" spans="1:7">
      <c r="A18" s="1">
        <v>2009</v>
      </c>
      <c r="B18" s="1">
        <f t="shared" si="3"/>
        <v>3205623.0716582402</v>
      </c>
      <c r="C18" s="1">
        <f t="shared" si="3"/>
        <v>3924321.4827417601</v>
      </c>
      <c r="D18" s="1">
        <f t="shared" si="3"/>
        <v>6816587.6952000009</v>
      </c>
      <c r="E18" s="1">
        <f t="shared" si="3"/>
        <v>4577411.6928000003</v>
      </c>
      <c r="F18" s="1">
        <f t="shared" si="3"/>
        <v>10079871.7248</v>
      </c>
      <c r="G18" s="1">
        <f t="shared" si="3"/>
        <v>4102717.8018816002</v>
      </c>
    </row>
    <row r="19" spans="1:7">
      <c r="A19" s="2">
        <v>2010</v>
      </c>
      <c r="B19" s="2">
        <f>conversion_to_TJ!E10*Dashboard!$D$11</f>
        <v>3084382.4005440003</v>
      </c>
      <c r="C19" s="2">
        <f>conversion_to_TJ!E10*Dashboard!$D$12</f>
        <v>3775898.7394560003</v>
      </c>
      <c r="D19" s="2">
        <f>conversion_to_TJ!E12</f>
        <v>6544428.9480000008</v>
      </c>
      <c r="E19" s="2">
        <f>conversion_to_TJ!E11</f>
        <v>4304197.8720000004</v>
      </c>
      <c r="F19" s="2">
        <f>conversion_to_TJ!E13</f>
        <v>9904419.6840000004</v>
      </c>
      <c r="G19" s="2">
        <f>conversion_to_TJ!E16*Dashboard!$D$14</f>
        <v>4381009.6416768003</v>
      </c>
    </row>
    <row r="20" spans="1:7">
      <c r="A20" s="161">
        <v>2011</v>
      </c>
      <c r="B20" s="161">
        <v>3151628.51</v>
      </c>
      <c r="C20" s="161">
        <v>3858091.19</v>
      </c>
      <c r="D20" s="161">
        <v>5867098.4100000001</v>
      </c>
      <c r="E20" s="161">
        <v>3524038.7800000003</v>
      </c>
      <c r="F20" s="161">
        <v>9899121.0800000001</v>
      </c>
      <c r="G20" s="1">
        <f t="shared" ref="C20:G20" si="4">G$19+(G$24-G$19)/($A$24-$A$19)*($A20-$A$19)</f>
        <v>4462367.9144140808</v>
      </c>
    </row>
    <row r="21" spans="1:7">
      <c r="A21" s="1">
        <v>2012</v>
      </c>
      <c r="B21" s="1">
        <f>B$20+(B$24-B$20)/($A$24-$A$20)*($A21-$A$20)</f>
        <v>3069427.6239719996</v>
      </c>
      <c r="C21" s="1">
        <f t="shared" ref="C21:F23" si="5">C$20+(C$24-C$20)/($A$24-$A$20)*($A21-$A$20)</f>
        <v>3757493.4710280001</v>
      </c>
      <c r="D21" s="1">
        <f t="shared" si="5"/>
        <v>5953616.1404999997</v>
      </c>
      <c r="E21" s="1">
        <f t="shared" si="5"/>
        <v>3587529.2970000003</v>
      </c>
      <c r="F21" s="1">
        <f t="shared" si="5"/>
        <v>9822560.784</v>
      </c>
      <c r="G21" s="1">
        <f t="shared" ref="B21:G23" si="6">G$19+(G$24-G$19)/($A$24-$A$19)*($A21-$A$19)</f>
        <v>4543726.1871513603</v>
      </c>
    </row>
    <row r="22" spans="1:7">
      <c r="A22" s="1">
        <v>2013</v>
      </c>
      <c r="B22" s="1">
        <f>B$20+(B$24-B$20)/($A$24-$A$20)*($A22-$A$20)</f>
        <v>2987226.7379439999</v>
      </c>
      <c r="C22" s="1">
        <f t="shared" si="5"/>
        <v>3656895.7520559998</v>
      </c>
      <c r="D22" s="1">
        <f t="shared" si="5"/>
        <v>6040133.8710000003</v>
      </c>
      <c r="E22" s="1">
        <f t="shared" si="5"/>
        <v>3651019.8140000002</v>
      </c>
      <c r="F22" s="1">
        <f t="shared" si="5"/>
        <v>9746000.4879999999</v>
      </c>
      <c r="G22" s="1">
        <f t="shared" si="6"/>
        <v>4625084.4598886408</v>
      </c>
    </row>
    <row r="23" spans="1:7">
      <c r="A23" s="1">
        <v>2014</v>
      </c>
      <c r="B23" s="1">
        <f>B$20+(B$24-B$20)/($A$24-$A$20)*($A23-$A$20)</f>
        <v>2905025.8519160002</v>
      </c>
      <c r="C23" s="1">
        <f t="shared" si="5"/>
        <v>3556298.033084</v>
      </c>
      <c r="D23" s="1">
        <f t="shared" si="5"/>
        <v>6126651.6015000008</v>
      </c>
      <c r="E23" s="1">
        <f t="shared" si="5"/>
        <v>3714510.3310000002</v>
      </c>
      <c r="F23" s="1">
        <f t="shared" si="5"/>
        <v>9669440.1919999998</v>
      </c>
      <c r="G23" s="1">
        <f t="shared" si="6"/>
        <v>4706442.7326259203</v>
      </c>
    </row>
    <row r="24" spans="1:7">
      <c r="A24" s="2">
        <v>2015</v>
      </c>
      <c r="B24" s="2">
        <f>conversion_to_TJ!F10*Dashboard!$D$11</f>
        <v>2822824.9658880001</v>
      </c>
      <c r="C24" s="2">
        <f>conversion_to_TJ!F10*Dashboard!$D$12</f>
        <v>3455700.3141120002</v>
      </c>
      <c r="D24" s="2">
        <f>conversion_to_TJ!F12</f>
        <v>6213169.3320000004</v>
      </c>
      <c r="E24" s="2">
        <f>conversion_to_TJ!F11</f>
        <v>3778000.8480000002</v>
      </c>
      <c r="F24" s="2">
        <f>conversion_to_TJ!F13</f>
        <v>9592879.8959999997</v>
      </c>
      <c r="G24" s="2">
        <f>conversion_to_TJ!F16*Dashboard!$D$14</f>
        <v>4787801.0053632008</v>
      </c>
    </row>
    <row r="25" spans="1:7">
      <c r="A25" s="1">
        <v>2016</v>
      </c>
      <c r="B25" s="1">
        <f>B$24+(B$29-B$24)/($A$29-$A$24)*($A25-$A$24)</f>
        <v>2784025.2404966401</v>
      </c>
      <c r="C25" s="1">
        <f t="shared" ref="C25:G25" si="7">C$24+(C$29-C$24)/($A$29-$A$24)*($A25-$A$24)</f>
        <v>3408201.7179033603</v>
      </c>
      <c r="D25" s="1">
        <f t="shared" si="7"/>
        <v>6148994.0616000006</v>
      </c>
      <c r="E25" s="1">
        <f t="shared" si="7"/>
        <v>3666816.1872</v>
      </c>
      <c r="F25" s="1">
        <f t="shared" si="7"/>
        <v>9294511.7807999998</v>
      </c>
      <c r="G25" s="1">
        <f t="shared" si="7"/>
        <v>4890126.6653184006</v>
      </c>
    </row>
    <row r="26" spans="1:7">
      <c r="A26" s="1">
        <v>2017</v>
      </c>
      <c r="B26" s="1">
        <f t="shared" ref="B26:G28" si="8">B$24+(B$29-B$24)/($A$29-$A$24)*($A26-$A$24)</f>
        <v>2745225.5151052801</v>
      </c>
      <c r="C26" s="1">
        <f t="shared" si="8"/>
        <v>3360703.1216947204</v>
      </c>
      <c r="D26" s="1">
        <f t="shared" si="8"/>
        <v>6084818.7912000008</v>
      </c>
      <c r="E26" s="1">
        <f t="shared" si="8"/>
        <v>3555631.5264000003</v>
      </c>
      <c r="F26" s="1">
        <f t="shared" si="8"/>
        <v>8996143.6655999999</v>
      </c>
      <c r="G26" s="1">
        <f t="shared" si="8"/>
        <v>4992452.3252736004</v>
      </c>
    </row>
    <row r="27" spans="1:7">
      <c r="A27" s="1">
        <v>2018</v>
      </c>
      <c r="B27" s="1">
        <f t="shared" si="8"/>
        <v>2706425.7897139201</v>
      </c>
      <c r="C27" s="1">
        <f t="shared" si="8"/>
        <v>3313204.52548608</v>
      </c>
      <c r="D27" s="1">
        <f t="shared" si="8"/>
        <v>6020643.5208000001</v>
      </c>
      <c r="E27" s="1">
        <f t="shared" si="8"/>
        <v>3444446.8656000001</v>
      </c>
      <c r="F27" s="1">
        <f t="shared" si="8"/>
        <v>8697775.5504000001</v>
      </c>
      <c r="G27" s="1">
        <f t="shared" si="8"/>
        <v>5094777.9852288002</v>
      </c>
    </row>
    <row r="28" spans="1:7">
      <c r="A28" s="1">
        <v>2019</v>
      </c>
      <c r="B28" s="1">
        <f t="shared" si="8"/>
        <v>2667626.0643225601</v>
      </c>
      <c r="C28" s="1">
        <f t="shared" si="8"/>
        <v>3265705.9292774401</v>
      </c>
      <c r="D28" s="1">
        <f t="shared" si="8"/>
        <v>5956468.2504000003</v>
      </c>
      <c r="E28" s="1">
        <f t="shared" si="8"/>
        <v>3333262.2048000004</v>
      </c>
      <c r="F28" s="1">
        <f t="shared" si="8"/>
        <v>8399407.4352000002</v>
      </c>
      <c r="G28" s="1">
        <f t="shared" si="8"/>
        <v>5197103.645184</v>
      </c>
    </row>
    <row r="29" spans="1:7">
      <c r="A29" s="2">
        <v>2020</v>
      </c>
      <c r="B29" s="2">
        <f>conversion_to_TJ!G10*Dashboard!$D$11</f>
        <v>2628826.3389312001</v>
      </c>
      <c r="C29" s="2">
        <f>conversion_to_TJ!G10*Dashboard!$D$12</f>
        <v>3218207.3330688002</v>
      </c>
      <c r="D29" s="2">
        <f>conversion_to_TJ!G12</f>
        <v>5892292.9800000004</v>
      </c>
      <c r="E29" s="2">
        <f>conversion_to_TJ!G11</f>
        <v>3222077.5440000002</v>
      </c>
      <c r="F29" s="2">
        <f>conversion_to_TJ!G13</f>
        <v>8101039.3200000003</v>
      </c>
      <c r="G29" s="2">
        <f>conversion_to_TJ!G16*Dashboard!$D$14</f>
        <v>5299429.3051391998</v>
      </c>
    </row>
    <row r="30" spans="1:7">
      <c r="A30" s="1">
        <v>2021</v>
      </c>
      <c r="B30" s="1">
        <f>B$29+(B$34-B$29)/($A$34-$A$29)*($A30-$A$29)</f>
        <v>2582722.9586534402</v>
      </c>
      <c r="C30" s="1">
        <f t="shared" ref="C30:G30" si="9">C$29+(C$34-C$29)/($A$34-$A$29)*($A30-$A$29)</f>
        <v>3161767.6077465601</v>
      </c>
      <c r="D30" s="1">
        <f t="shared" si="9"/>
        <v>5756389.4520000005</v>
      </c>
      <c r="E30" s="1">
        <f t="shared" si="9"/>
        <v>3120957.9504000004</v>
      </c>
      <c r="F30" s="1">
        <f t="shared" si="9"/>
        <v>7995423.1032000007</v>
      </c>
      <c r="G30" s="1">
        <f t="shared" si="9"/>
        <v>5306326.4719872</v>
      </c>
    </row>
    <row r="31" spans="1:7">
      <c r="A31" s="1">
        <v>2022</v>
      </c>
      <c r="B31" s="1">
        <f t="shared" ref="B31:G33" si="10">B$29+(B$34-B$29)/($A$34-$A$29)*($A31-$A$29)</f>
        <v>2536619.5783756804</v>
      </c>
      <c r="C31" s="1">
        <f t="shared" si="10"/>
        <v>3105327.8824243201</v>
      </c>
      <c r="D31" s="1">
        <f t="shared" si="10"/>
        <v>5620485.9240000006</v>
      </c>
      <c r="E31" s="1">
        <f t="shared" si="10"/>
        <v>3019838.3568000002</v>
      </c>
      <c r="F31" s="1">
        <f t="shared" si="10"/>
        <v>7889806.8864000002</v>
      </c>
      <c r="G31" s="1">
        <f t="shared" si="10"/>
        <v>5313223.6388352001</v>
      </c>
    </row>
    <row r="32" spans="1:7">
      <c r="A32" s="1">
        <v>2023</v>
      </c>
      <c r="B32" s="1">
        <f t="shared" si="10"/>
        <v>2490516.19809792</v>
      </c>
      <c r="C32" s="1">
        <f t="shared" si="10"/>
        <v>3048888.1571020801</v>
      </c>
      <c r="D32" s="1">
        <f t="shared" si="10"/>
        <v>5484582.3959999997</v>
      </c>
      <c r="E32" s="1">
        <f t="shared" si="10"/>
        <v>2918718.7632000004</v>
      </c>
      <c r="F32" s="1">
        <f t="shared" si="10"/>
        <v>7784190.6696000006</v>
      </c>
      <c r="G32" s="1">
        <f t="shared" si="10"/>
        <v>5320120.8056832002</v>
      </c>
    </row>
    <row r="33" spans="1:7">
      <c r="A33" s="1">
        <v>2024</v>
      </c>
      <c r="B33" s="1">
        <f t="shared" si="10"/>
        <v>2444412.8178201602</v>
      </c>
      <c r="C33" s="1">
        <f t="shared" si="10"/>
        <v>2992448.43177984</v>
      </c>
      <c r="D33" s="1">
        <f t="shared" si="10"/>
        <v>5348678.8679999998</v>
      </c>
      <c r="E33" s="1">
        <f t="shared" si="10"/>
        <v>2817599.1696000001</v>
      </c>
      <c r="F33" s="1">
        <f t="shared" si="10"/>
        <v>7678574.4528000001</v>
      </c>
      <c r="G33" s="1">
        <f t="shared" si="10"/>
        <v>5327017.9725312004</v>
      </c>
    </row>
    <row r="34" spans="1:7">
      <c r="A34" s="2">
        <v>2025</v>
      </c>
      <c r="B34" s="2">
        <f>conversion_to_TJ!H10*Dashboard!$D$11</f>
        <v>2398309.4375424003</v>
      </c>
      <c r="C34" s="2">
        <f>conversion_to_TJ!H10*Dashboard!$D$12</f>
        <v>2936008.7064576</v>
      </c>
      <c r="D34" s="2">
        <f>conversion_to_TJ!H12</f>
        <v>5212775.34</v>
      </c>
      <c r="E34" s="2">
        <f>conversion_to_TJ!H11</f>
        <v>2716479.5760000004</v>
      </c>
      <c r="F34" s="2">
        <f>conversion_to_TJ!H13</f>
        <v>7572958.2360000005</v>
      </c>
      <c r="G34" s="2">
        <f>conversion_to_TJ!H16*Dashboard!$D$14</f>
        <v>5333915.1393792005</v>
      </c>
    </row>
    <row r="35" spans="1:7">
      <c r="A35" s="1">
        <v>2026</v>
      </c>
      <c r="B35" s="1">
        <f>B$34+(B$39-B$34)/($A$39-$A$34)*($A35-$A$34)</f>
        <v>2251935.1581696002</v>
      </c>
      <c r="C35" s="1">
        <f t="shared" ref="C35:G35" si="11">C$34+(C$39-C$34)/($A$39-$A$34)*($A35-$A$34)</f>
        <v>2756817.4178304002</v>
      </c>
      <c r="D35" s="1">
        <f t="shared" si="11"/>
        <v>5088050.568</v>
      </c>
      <c r="E35" s="1">
        <f t="shared" si="11"/>
        <v>2635138.4256000002</v>
      </c>
      <c r="F35" s="1">
        <f t="shared" si="11"/>
        <v>7743084.667200001</v>
      </c>
      <c r="G35" s="1">
        <f t="shared" si="11"/>
        <v>5342538.3664435204</v>
      </c>
    </row>
    <row r="36" spans="1:7">
      <c r="A36" s="1">
        <v>2027</v>
      </c>
      <c r="B36" s="1">
        <f t="shared" ref="B36:G38" si="12">B$34+(B$39-B$34)/($A$39-$A$34)*($A36-$A$34)</f>
        <v>2105560.8787968</v>
      </c>
      <c r="C36" s="1">
        <f t="shared" si="12"/>
        <v>2577626.1292031999</v>
      </c>
      <c r="D36" s="1">
        <f t="shared" si="12"/>
        <v>4963325.7960000001</v>
      </c>
      <c r="E36" s="1">
        <f t="shared" si="12"/>
        <v>2553797.2752</v>
      </c>
      <c r="F36" s="1">
        <f t="shared" si="12"/>
        <v>7913211.0984000005</v>
      </c>
      <c r="G36" s="1">
        <f t="shared" si="12"/>
        <v>5351161.5935078403</v>
      </c>
    </row>
    <row r="37" spans="1:7">
      <c r="A37" s="1">
        <v>2028</v>
      </c>
      <c r="B37" s="1">
        <f t="shared" si="12"/>
        <v>1959186.5994240001</v>
      </c>
      <c r="C37" s="1">
        <f t="shared" si="12"/>
        <v>2398434.840576</v>
      </c>
      <c r="D37" s="1">
        <f t="shared" si="12"/>
        <v>4838601.0240000002</v>
      </c>
      <c r="E37" s="1">
        <f t="shared" si="12"/>
        <v>2472456.1248000003</v>
      </c>
      <c r="F37" s="1">
        <f t="shared" si="12"/>
        <v>8083337.5296000009</v>
      </c>
      <c r="G37" s="1">
        <f t="shared" si="12"/>
        <v>5359784.8205721602</v>
      </c>
    </row>
    <row r="38" spans="1:7">
      <c r="A38" s="1">
        <v>2029</v>
      </c>
      <c r="B38" s="1">
        <f t="shared" si="12"/>
        <v>1812812.3200512002</v>
      </c>
      <c r="C38" s="1">
        <f t="shared" si="12"/>
        <v>2219243.5519487998</v>
      </c>
      <c r="D38" s="1">
        <f t="shared" si="12"/>
        <v>4713876.2520000003</v>
      </c>
      <c r="E38" s="1">
        <f t="shared" si="12"/>
        <v>2391114.9744000002</v>
      </c>
      <c r="F38" s="1">
        <f t="shared" si="12"/>
        <v>8253463.9608000005</v>
      </c>
      <c r="G38" s="1">
        <f t="shared" si="12"/>
        <v>5368408.0476364801</v>
      </c>
    </row>
    <row r="39" spans="1:7">
      <c r="A39" s="2">
        <v>2030</v>
      </c>
      <c r="B39" s="2">
        <f>conversion_to_TJ!I10*Dashboard!$D$11</f>
        <v>1666438.0406784001</v>
      </c>
      <c r="C39" s="2">
        <f>conversion_to_TJ!I10*Dashboard!$D$12</f>
        <v>2040052.2633215999</v>
      </c>
      <c r="D39" s="2">
        <f>conversion_to_TJ!I12</f>
        <v>4589151.4800000004</v>
      </c>
      <c r="E39" s="2">
        <f>conversion_to_TJ!I11</f>
        <v>2309773.824</v>
      </c>
      <c r="F39" s="2">
        <f>conversion_to_TJ!I13</f>
        <v>8423590.3920000009</v>
      </c>
      <c r="G39" s="2">
        <f>conversion_to_TJ!I16*Dashboard!$D$14</f>
        <v>5377031.2747008</v>
      </c>
    </row>
    <row r="40" spans="1:7">
      <c r="A40" s="1">
        <v>2031</v>
      </c>
      <c r="B40" s="1">
        <f>B$39+(B$44-B$39)/($A$44-$A$39)*($A40-$A$39)</f>
        <v>1631327.7904358401</v>
      </c>
      <c r="C40" s="1">
        <f t="shared" ref="C40:G40" si="13">C$39+(C$44-C$39)/($A$44-$A$39)*($A40-$A$39)</f>
        <v>1997070.31996416</v>
      </c>
      <c r="D40" s="1">
        <f t="shared" si="13"/>
        <v>4524733.3752000006</v>
      </c>
      <c r="E40" s="1">
        <f t="shared" si="13"/>
        <v>2209206.8880000003</v>
      </c>
      <c r="F40" s="1">
        <f t="shared" si="13"/>
        <v>8538559.9199999999</v>
      </c>
      <c r="G40" s="1">
        <f t="shared" si="13"/>
        <v>5391059.0509670405</v>
      </c>
    </row>
    <row r="41" spans="1:7">
      <c r="A41" s="1">
        <v>2032</v>
      </c>
      <c r="B41" s="1">
        <f t="shared" ref="B41:G43" si="14">B$39+(B$44-B$39)/($A$44-$A$39)*($A41-$A$39)</f>
        <v>1596217.5401932802</v>
      </c>
      <c r="C41" s="1">
        <f t="shared" si="14"/>
        <v>1954088.37660672</v>
      </c>
      <c r="D41" s="1">
        <f t="shared" si="14"/>
        <v>4460315.2704000007</v>
      </c>
      <c r="E41" s="1">
        <f t="shared" si="14"/>
        <v>2108639.952</v>
      </c>
      <c r="F41" s="1">
        <f t="shared" si="14"/>
        <v>8653529.4480000008</v>
      </c>
      <c r="G41" s="1">
        <f t="shared" si="14"/>
        <v>5405086.8272332801</v>
      </c>
    </row>
    <row r="42" spans="1:7">
      <c r="A42" s="1">
        <v>2033</v>
      </c>
      <c r="B42" s="1">
        <f t="shared" si="14"/>
        <v>1561107.28995072</v>
      </c>
      <c r="C42" s="1">
        <f t="shared" si="14"/>
        <v>1911106.4332492799</v>
      </c>
      <c r="D42" s="1">
        <f t="shared" si="14"/>
        <v>4395897.1655999999</v>
      </c>
      <c r="E42" s="1">
        <f t="shared" si="14"/>
        <v>2008073.0160000001</v>
      </c>
      <c r="F42" s="1">
        <f t="shared" si="14"/>
        <v>8768498.9759999998</v>
      </c>
      <c r="G42" s="1">
        <f t="shared" si="14"/>
        <v>5419114.6034995206</v>
      </c>
    </row>
    <row r="43" spans="1:7">
      <c r="A43" s="1">
        <v>2034</v>
      </c>
      <c r="B43" s="1">
        <f t="shared" si="14"/>
        <v>1525997.0397081601</v>
      </c>
      <c r="C43" s="1">
        <f t="shared" si="14"/>
        <v>1868124.4898918399</v>
      </c>
      <c r="D43" s="1">
        <f t="shared" si="14"/>
        <v>4331479.0608000001</v>
      </c>
      <c r="E43" s="1">
        <f t="shared" si="14"/>
        <v>1907506.08</v>
      </c>
      <c r="F43" s="1">
        <f t="shared" si="14"/>
        <v>8883468.5040000007</v>
      </c>
      <c r="G43" s="1">
        <f t="shared" si="14"/>
        <v>5433142.3797657602</v>
      </c>
    </row>
    <row r="44" spans="1:7">
      <c r="A44" s="2">
        <v>2035</v>
      </c>
      <c r="B44" s="2">
        <f>conversion_to_TJ!J10*Dashboard!$D$11</f>
        <v>1490886.7894656002</v>
      </c>
      <c r="C44" s="2">
        <f>conversion_to_TJ!J10*Dashboard!$D$12</f>
        <v>1825142.5465344</v>
      </c>
      <c r="D44" s="2">
        <f>conversion_to_TJ!J12</f>
        <v>4267060.9560000002</v>
      </c>
      <c r="E44" s="2">
        <f>conversion_to_TJ!J11</f>
        <v>1806939.1440000001</v>
      </c>
      <c r="F44" s="2">
        <f>conversion_to_TJ!J13</f>
        <v>8998438.0319999997</v>
      </c>
      <c r="G44" s="2">
        <f>conversion_to_TJ!J16*Dashboard!$D$14</f>
        <v>5447170.1560320007</v>
      </c>
    </row>
    <row r="45" spans="1:7">
      <c r="A45" s="1">
        <v>2036</v>
      </c>
      <c r="B45" s="1">
        <f>B$44+(B$49-B$44)/($A$49-$A$44)*($A45-$A$44)</f>
        <v>1472386.7069337601</v>
      </c>
      <c r="C45" s="1">
        <f t="shared" ref="C45:G45" si="15">C$44+(C$49-C$44)/($A$49-$A$44)*($A45-$A$44)</f>
        <v>1802494.7586662399</v>
      </c>
      <c r="D45" s="1">
        <f t="shared" si="15"/>
        <v>4212264.1176000005</v>
      </c>
      <c r="E45" s="1">
        <f t="shared" si="15"/>
        <v>1729257.2568000001</v>
      </c>
      <c r="F45" s="1">
        <f t="shared" si="15"/>
        <v>9023491.8432</v>
      </c>
      <c r="G45" s="1">
        <f t="shared" si="15"/>
        <v>5493278.6006630408</v>
      </c>
    </row>
    <row r="46" spans="1:7">
      <c r="A46" s="1">
        <v>2037</v>
      </c>
      <c r="B46" s="1">
        <f t="shared" ref="B46:G48" si="16">B$44+(B$49-B$44)/($A$49-$A$44)*($A46-$A$44)</f>
        <v>1453886.62440192</v>
      </c>
      <c r="C46" s="1">
        <f t="shared" si="16"/>
        <v>1779846.9707980801</v>
      </c>
      <c r="D46" s="1">
        <f t="shared" si="16"/>
        <v>4157467.2792000002</v>
      </c>
      <c r="E46" s="1">
        <f t="shared" si="16"/>
        <v>1651575.3696000001</v>
      </c>
      <c r="F46" s="1">
        <f t="shared" si="16"/>
        <v>9048545.6544000003</v>
      </c>
      <c r="G46" s="1">
        <f t="shared" si="16"/>
        <v>5539387.0452940809</v>
      </c>
    </row>
    <row r="47" spans="1:7">
      <c r="A47" s="1">
        <v>2038</v>
      </c>
      <c r="B47" s="1">
        <f t="shared" si="16"/>
        <v>1435386.5418700802</v>
      </c>
      <c r="C47" s="1">
        <f t="shared" si="16"/>
        <v>1757199.18292992</v>
      </c>
      <c r="D47" s="1">
        <f t="shared" si="16"/>
        <v>4102670.4408000004</v>
      </c>
      <c r="E47" s="1">
        <f t="shared" si="16"/>
        <v>1573893.4824000001</v>
      </c>
      <c r="F47" s="1">
        <f t="shared" si="16"/>
        <v>9073599.4656000007</v>
      </c>
      <c r="G47" s="1">
        <f t="shared" si="16"/>
        <v>5585495.48992512</v>
      </c>
    </row>
    <row r="48" spans="1:7">
      <c r="A48" s="1">
        <v>2039</v>
      </c>
      <c r="B48" s="1">
        <f t="shared" si="16"/>
        <v>1416886.4593382401</v>
      </c>
      <c r="C48" s="1">
        <f t="shared" si="16"/>
        <v>1734551.3950617602</v>
      </c>
      <c r="D48" s="1">
        <f t="shared" si="16"/>
        <v>4047873.6024000002</v>
      </c>
      <c r="E48" s="1">
        <f t="shared" si="16"/>
        <v>1496211.5952000001</v>
      </c>
      <c r="F48" s="1">
        <f t="shared" si="16"/>
        <v>9098653.276800001</v>
      </c>
      <c r="G48" s="1">
        <f t="shared" si="16"/>
        <v>5631603.9345561601</v>
      </c>
    </row>
    <row r="49" spans="1:7">
      <c r="A49" s="2">
        <v>2040</v>
      </c>
      <c r="B49" s="2">
        <f>conversion_to_TJ!K10*Dashboard!$D$11</f>
        <v>1398386.3768064</v>
      </c>
      <c r="C49" s="2">
        <f>conversion_to_TJ!K10*Dashboard!$D$12</f>
        <v>1711903.6071936002</v>
      </c>
      <c r="D49" s="2">
        <f>conversion_to_TJ!K12</f>
        <v>3993076.7640000004</v>
      </c>
      <c r="E49" s="2">
        <f>conversion_to_TJ!K11</f>
        <v>1418529.7080000001</v>
      </c>
      <c r="F49" s="2">
        <f>conversion_to_TJ!K13</f>
        <v>9123707.0880000014</v>
      </c>
      <c r="G49" s="2">
        <f>conversion_to_TJ!K16*Dashboard!$D$14</f>
        <v>5677712.3791872002</v>
      </c>
    </row>
    <row r="50" spans="1:7">
      <c r="A50" s="1">
        <v>2041</v>
      </c>
      <c r="B50" s="1">
        <f>B$49+(B$54-B$49)/($A$54-$A$49)*($A50-$A$49)</f>
        <v>1392663.9255552001</v>
      </c>
      <c r="C50" s="1">
        <f t="shared" ref="C50:G50" si="17">C$49+(C$54-C$49)/($A$54-$A$49)*($A50-$A$49)</f>
        <v>1704898.1864448001</v>
      </c>
      <c r="D50" s="1">
        <f t="shared" si="17"/>
        <v>3886807.4064000002</v>
      </c>
      <c r="E50" s="1">
        <f t="shared" si="17"/>
        <v>1327190.4792000002</v>
      </c>
      <c r="F50" s="1">
        <f t="shared" si="17"/>
        <v>9146726.1144000012</v>
      </c>
      <c r="G50" s="1">
        <f t="shared" si="17"/>
        <v>5700045.0517401602</v>
      </c>
    </row>
    <row r="51" spans="1:7">
      <c r="A51" s="1">
        <v>2042</v>
      </c>
      <c r="B51" s="1">
        <f t="shared" ref="B51:G53" si="18">B$49+(B$54-B$49)/($A$54-$A$49)*($A51-$A$49)</f>
        <v>1386941.4743040001</v>
      </c>
      <c r="C51" s="1">
        <f t="shared" si="18"/>
        <v>1697892.7656960001</v>
      </c>
      <c r="D51" s="1">
        <f t="shared" si="18"/>
        <v>3780538.0488000005</v>
      </c>
      <c r="E51" s="1">
        <f t="shared" si="18"/>
        <v>1235851.2504</v>
      </c>
      <c r="F51" s="1">
        <f t="shared" si="18"/>
        <v>9169745.1408000011</v>
      </c>
      <c r="G51" s="1">
        <f t="shared" si="18"/>
        <v>5722377.7242931202</v>
      </c>
    </row>
    <row r="52" spans="1:7">
      <c r="A52" s="1">
        <v>2043</v>
      </c>
      <c r="B52" s="1">
        <f t="shared" si="18"/>
        <v>1381219.0230528</v>
      </c>
      <c r="C52" s="1">
        <f t="shared" si="18"/>
        <v>1690887.3449472003</v>
      </c>
      <c r="D52" s="1">
        <f t="shared" si="18"/>
        <v>3674268.6912000002</v>
      </c>
      <c r="E52" s="1">
        <f t="shared" si="18"/>
        <v>1144512.0216000001</v>
      </c>
      <c r="F52" s="1">
        <f t="shared" si="18"/>
        <v>9192764.167200001</v>
      </c>
      <c r="G52" s="1">
        <f t="shared" si="18"/>
        <v>5744710.3968460802</v>
      </c>
    </row>
    <row r="53" spans="1:7">
      <c r="A53" s="1">
        <v>2044</v>
      </c>
      <c r="B53" s="1">
        <f t="shared" si="18"/>
        <v>1375496.5718016</v>
      </c>
      <c r="C53" s="1">
        <f t="shared" si="18"/>
        <v>1683881.9241984002</v>
      </c>
      <c r="D53" s="1">
        <f t="shared" si="18"/>
        <v>3567999.3336000005</v>
      </c>
      <c r="E53" s="1">
        <f t="shared" si="18"/>
        <v>1053172.7927999999</v>
      </c>
      <c r="F53" s="1">
        <f t="shared" si="18"/>
        <v>9215783.1936000008</v>
      </c>
      <c r="G53" s="1">
        <f t="shared" si="18"/>
        <v>5767043.0693990402</v>
      </c>
    </row>
    <row r="54" spans="1:7">
      <c r="A54" s="2">
        <v>2045</v>
      </c>
      <c r="B54" s="2">
        <f>conversion_to_TJ!L10*Dashboard!$D$11</f>
        <v>1369774.1205504001</v>
      </c>
      <c r="C54" s="2">
        <f>conversion_to_TJ!L10*Dashboard!$D$12</f>
        <v>1676876.5034496002</v>
      </c>
      <c r="D54" s="2">
        <f>conversion_to_TJ!L12</f>
        <v>3461729.9760000003</v>
      </c>
      <c r="E54" s="2">
        <f>conversion_to_TJ!L11</f>
        <v>961833.56400000001</v>
      </c>
      <c r="F54" s="2">
        <f>conversion_to_TJ!L13</f>
        <v>9238802.2200000007</v>
      </c>
      <c r="G54" s="2">
        <f>conversion_to_TJ!L16*Dashboard!$D$14</f>
        <v>5789375.7419520002</v>
      </c>
    </row>
    <row r="55" spans="1:7">
      <c r="A55" s="1">
        <v>2046</v>
      </c>
      <c r="B55" s="1">
        <f>B$54+(B$59-B$54)/($A$59-$A$54)*($A55-$A$54)</f>
        <v>1356130.5920409602</v>
      </c>
      <c r="C55" s="1">
        <f t="shared" ref="C55:G55" si="19">C$54+(C$59-C$54)/($A$59-$A$54)*($A55-$A$54)</f>
        <v>1660174.1055590401</v>
      </c>
      <c r="D55" s="1">
        <f t="shared" si="19"/>
        <v>3352755.9456000002</v>
      </c>
      <c r="E55" s="1">
        <f t="shared" si="19"/>
        <v>904390.66800000006</v>
      </c>
      <c r="F55" s="1">
        <f t="shared" si="19"/>
        <v>9199153.2240000013</v>
      </c>
      <c r="G55" s="1">
        <f t="shared" si="19"/>
        <v>5784360.2637004806</v>
      </c>
    </row>
    <row r="56" spans="1:7">
      <c r="A56" s="1">
        <v>2047</v>
      </c>
      <c r="B56" s="1">
        <f t="shared" ref="B56:G58" si="20">B$54+(B$59-B$54)/($A$59-$A$54)*($A56-$A$54)</f>
        <v>1342487.0635315201</v>
      </c>
      <c r="C56" s="1">
        <f t="shared" si="20"/>
        <v>1643471.70766848</v>
      </c>
      <c r="D56" s="1">
        <f t="shared" si="20"/>
        <v>3243781.9152000002</v>
      </c>
      <c r="E56" s="1">
        <f t="shared" si="20"/>
        <v>846947.772</v>
      </c>
      <c r="F56" s="1">
        <f t="shared" si="20"/>
        <v>9159504.2280000001</v>
      </c>
      <c r="G56" s="1">
        <f t="shared" si="20"/>
        <v>5779344.78544896</v>
      </c>
    </row>
    <row r="57" spans="1:7">
      <c r="A57" s="1">
        <v>2048</v>
      </c>
      <c r="B57" s="1">
        <f t="shared" si="20"/>
        <v>1328843.5350220802</v>
      </c>
      <c r="C57" s="1">
        <f t="shared" si="20"/>
        <v>1626769.3097779201</v>
      </c>
      <c r="D57" s="1">
        <f t="shared" si="20"/>
        <v>3134807.8848000001</v>
      </c>
      <c r="E57" s="1">
        <f t="shared" si="20"/>
        <v>789504.87600000005</v>
      </c>
      <c r="F57" s="1">
        <f t="shared" si="20"/>
        <v>9119855.2320000008</v>
      </c>
      <c r="G57" s="1">
        <f t="shared" si="20"/>
        <v>5774329.3071974404</v>
      </c>
    </row>
    <row r="58" spans="1:7">
      <c r="A58" s="1">
        <v>2049</v>
      </c>
      <c r="B58" s="1">
        <f t="shared" si="20"/>
        <v>1315200.00651264</v>
      </c>
      <c r="C58" s="1">
        <f t="shared" si="20"/>
        <v>1610066.91188736</v>
      </c>
      <c r="D58" s="1">
        <f t="shared" si="20"/>
        <v>3025833.8544000001</v>
      </c>
      <c r="E58" s="1">
        <f t="shared" si="20"/>
        <v>732061.98</v>
      </c>
      <c r="F58" s="1">
        <f t="shared" si="20"/>
        <v>9080206.2359999996</v>
      </c>
      <c r="G58" s="1">
        <f t="shared" si="20"/>
        <v>5769313.8289459199</v>
      </c>
    </row>
    <row r="59" spans="1:7">
      <c r="A59" s="2">
        <v>2050</v>
      </c>
      <c r="B59" s="2">
        <f>conversion_to_TJ!M10*Dashboard!$D$11</f>
        <v>1301556.4780032001</v>
      </c>
      <c r="C59" s="2">
        <f>conversion_to_TJ!M10*Dashboard!$D$12</f>
        <v>1593364.5139967999</v>
      </c>
      <c r="D59" s="2">
        <f>conversion_to_TJ!M12</f>
        <v>2916859.824</v>
      </c>
      <c r="E59" s="2">
        <f>conversion_to_TJ!M11</f>
        <v>674619.08400000003</v>
      </c>
      <c r="F59" s="2">
        <f>conversion_to_TJ!M13</f>
        <v>9040557.2400000002</v>
      </c>
      <c r="G59" s="2">
        <f>conversion_to_TJ!M16*Dashboard!$D$14</f>
        <v>5764298.3506944003</v>
      </c>
    </row>
  </sheetData>
  <mergeCells count="1">
    <mergeCell ref="B3:G5"/>
  </mergeCells>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7" tint="0.39997558519241921"/>
  </sheetPr>
  <dimension ref="A1:G42"/>
  <sheetViews>
    <sheetView workbookViewId="0"/>
  </sheetViews>
  <sheetFormatPr baseColWidth="10" defaultRowHeight="15" x14ac:dyDescent="0"/>
  <sheetData>
    <row r="1" spans="1:7">
      <c r="A1" t="s">
        <v>0</v>
      </c>
      <c r="B1" t="s">
        <v>1</v>
      </c>
      <c r="C1" t="s">
        <v>2</v>
      </c>
      <c r="D1" t="s">
        <v>3</v>
      </c>
      <c r="E1" t="s">
        <v>4</v>
      </c>
      <c r="F1" t="s">
        <v>5</v>
      </c>
      <c r="G1" t="s">
        <v>6</v>
      </c>
    </row>
    <row r="2" spans="1:7">
      <c r="A2">
        <v>2010</v>
      </c>
      <c r="B2">
        <f>interpolation!B19</f>
        <v>3084382.4005440003</v>
      </c>
      <c r="C2">
        <f>interpolation!C19</f>
        <v>3775898.7394560003</v>
      </c>
      <c r="D2">
        <f>interpolation!D19</f>
        <v>6544428.9480000008</v>
      </c>
      <c r="E2">
        <f>interpolation!E19</f>
        <v>4304197.8720000004</v>
      </c>
      <c r="F2">
        <f>interpolation!F19</f>
        <v>9904419.6840000004</v>
      </c>
      <c r="G2">
        <f>interpolation!G19</f>
        <v>4381009.6416768003</v>
      </c>
    </row>
    <row r="3" spans="1:7">
      <c r="A3">
        <v>2011</v>
      </c>
      <c r="B3">
        <f>interpolation!B20</f>
        <v>3151628.51</v>
      </c>
      <c r="C3">
        <f>interpolation!C20</f>
        <v>3858091.19</v>
      </c>
      <c r="D3">
        <f>interpolation!D20</f>
        <v>5867098.4100000001</v>
      </c>
      <c r="E3">
        <f>interpolation!E20</f>
        <v>3524038.7800000003</v>
      </c>
      <c r="F3">
        <f>interpolation!F20</f>
        <v>9899121.0800000001</v>
      </c>
      <c r="G3">
        <f>interpolation!G20</f>
        <v>4462367.9144140808</v>
      </c>
    </row>
    <row r="4" spans="1:7">
      <c r="A4">
        <v>2012</v>
      </c>
      <c r="B4">
        <f>interpolation!B21</f>
        <v>3069427.6239719996</v>
      </c>
      <c r="C4">
        <f>interpolation!C21</f>
        <v>3757493.4710280001</v>
      </c>
      <c r="D4">
        <f>interpolation!D21</f>
        <v>5953616.1404999997</v>
      </c>
      <c r="E4">
        <f>interpolation!E21</f>
        <v>3587529.2970000003</v>
      </c>
      <c r="F4">
        <f>interpolation!F21</f>
        <v>9822560.784</v>
      </c>
      <c r="G4">
        <f>interpolation!G21</f>
        <v>4543726.1871513603</v>
      </c>
    </row>
    <row r="5" spans="1:7">
      <c r="A5">
        <v>2013</v>
      </c>
      <c r="B5">
        <f>interpolation!B22</f>
        <v>2987226.7379439999</v>
      </c>
      <c r="C5">
        <f>interpolation!C22</f>
        <v>3656895.7520559998</v>
      </c>
      <c r="D5">
        <f>interpolation!D22</f>
        <v>6040133.8710000003</v>
      </c>
      <c r="E5">
        <f>interpolation!E22</f>
        <v>3651019.8140000002</v>
      </c>
      <c r="F5">
        <f>interpolation!F22</f>
        <v>9746000.4879999999</v>
      </c>
      <c r="G5">
        <f>interpolation!G22</f>
        <v>4625084.4598886408</v>
      </c>
    </row>
    <row r="6" spans="1:7">
      <c r="A6">
        <v>2014</v>
      </c>
      <c r="B6">
        <f>interpolation!B23</f>
        <v>2905025.8519160002</v>
      </c>
      <c r="C6">
        <f>interpolation!C23</f>
        <v>3556298.033084</v>
      </c>
      <c r="D6">
        <f>interpolation!D23</f>
        <v>6126651.6015000008</v>
      </c>
      <c r="E6">
        <f>interpolation!E23</f>
        <v>3714510.3310000002</v>
      </c>
      <c r="F6">
        <f>interpolation!F23</f>
        <v>9669440.1919999998</v>
      </c>
      <c r="G6">
        <f>interpolation!G23</f>
        <v>4706442.7326259203</v>
      </c>
    </row>
    <row r="7" spans="1:7">
      <c r="A7">
        <v>2015</v>
      </c>
      <c r="B7">
        <f>interpolation!B24</f>
        <v>2822824.9658880001</v>
      </c>
      <c r="C7">
        <f>interpolation!C24</f>
        <v>3455700.3141120002</v>
      </c>
      <c r="D7">
        <f>interpolation!D24</f>
        <v>6213169.3320000004</v>
      </c>
      <c r="E7">
        <f>interpolation!E24</f>
        <v>3778000.8480000002</v>
      </c>
      <c r="F7">
        <f>interpolation!F24</f>
        <v>9592879.8959999997</v>
      </c>
      <c r="G7">
        <f>interpolation!G24</f>
        <v>4787801.0053632008</v>
      </c>
    </row>
    <row r="8" spans="1:7">
      <c r="A8">
        <v>2016</v>
      </c>
      <c r="B8">
        <f>interpolation!B25</f>
        <v>2784025.2404966401</v>
      </c>
      <c r="C8">
        <f>interpolation!C25</f>
        <v>3408201.7179033603</v>
      </c>
      <c r="D8">
        <f>interpolation!D25</f>
        <v>6148994.0616000006</v>
      </c>
      <c r="E8">
        <f>interpolation!E25</f>
        <v>3666816.1872</v>
      </c>
      <c r="F8">
        <f>interpolation!F25</f>
        <v>9294511.7807999998</v>
      </c>
      <c r="G8">
        <f>interpolation!G25</f>
        <v>4890126.6653184006</v>
      </c>
    </row>
    <row r="9" spans="1:7">
      <c r="A9">
        <v>2017</v>
      </c>
      <c r="B9">
        <f>interpolation!B26</f>
        <v>2745225.5151052801</v>
      </c>
      <c r="C9">
        <f>interpolation!C26</f>
        <v>3360703.1216947204</v>
      </c>
      <c r="D9">
        <f>interpolation!D26</f>
        <v>6084818.7912000008</v>
      </c>
      <c r="E9">
        <f>interpolation!E26</f>
        <v>3555631.5264000003</v>
      </c>
      <c r="F9">
        <f>interpolation!F26</f>
        <v>8996143.6655999999</v>
      </c>
      <c r="G9">
        <f>interpolation!G26</f>
        <v>4992452.3252736004</v>
      </c>
    </row>
    <row r="10" spans="1:7">
      <c r="A10">
        <v>2018</v>
      </c>
      <c r="B10">
        <f>interpolation!B27</f>
        <v>2706425.7897139201</v>
      </c>
      <c r="C10">
        <f>interpolation!C27</f>
        <v>3313204.52548608</v>
      </c>
      <c r="D10">
        <f>interpolation!D27</f>
        <v>6020643.5208000001</v>
      </c>
      <c r="E10">
        <f>interpolation!E27</f>
        <v>3444446.8656000001</v>
      </c>
      <c r="F10">
        <f>interpolation!F27</f>
        <v>8697775.5504000001</v>
      </c>
      <c r="G10">
        <f>interpolation!G27</f>
        <v>5094777.9852288002</v>
      </c>
    </row>
    <row r="11" spans="1:7">
      <c r="A11">
        <v>2019</v>
      </c>
      <c r="B11">
        <f>interpolation!B28</f>
        <v>2667626.0643225601</v>
      </c>
      <c r="C11">
        <f>interpolation!C28</f>
        <v>3265705.9292774401</v>
      </c>
      <c r="D11">
        <f>interpolation!D28</f>
        <v>5956468.2504000003</v>
      </c>
      <c r="E11">
        <f>interpolation!E28</f>
        <v>3333262.2048000004</v>
      </c>
      <c r="F11">
        <f>interpolation!F28</f>
        <v>8399407.4352000002</v>
      </c>
      <c r="G11">
        <f>interpolation!G28</f>
        <v>5197103.645184</v>
      </c>
    </row>
    <row r="12" spans="1:7">
      <c r="A12">
        <v>2020</v>
      </c>
      <c r="B12">
        <f>interpolation!B29</f>
        <v>2628826.3389312001</v>
      </c>
      <c r="C12">
        <f>interpolation!C29</f>
        <v>3218207.3330688002</v>
      </c>
      <c r="D12">
        <f>interpolation!D29</f>
        <v>5892292.9800000004</v>
      </c>
      <c r="E12">
        <f>interpolation!E29</f>
        <v>3222077.5440000002</v>
      </c>
      <c r="F12">
        <f>interpolation!F29</f>
        <v>8101039.3200000003</v>
      </c>
      <c r="G12">
        <f>interpolation!G29</f>
        <v>5299429.3051391998</v>
      </c>
    </row>
    <row r="13" spans="1:7">
      <c r="A13">
        <v>2021</v>
      </c>
      <c r="B13">
        <f>interpolation!B30</f>
        <v>2582722.9586534402</v>
      </c>
      <c r="C13">
        <f>interpolation!C30</f>
        <v>3161767.6077465601</v>
      </c>
      <c r="D13">
        <f>interpolation!D30</f>
        <v>5756389.4520000005</v>
      </c>
      <c r="E13">
        <f>interpolation!E30</f>
        <v>3120957.9504000004</v>
      </c>
      <c r="F13">
        <f>interpolation!F30</f>
        <v>7995423.1032000007</v>
      </c>
      <c r="G13">
        <f>interpolation!G30</f>
        <v>5306326.4719872</v>
      </c>
    </row>
    <row r="14" spans="1:7">
      <c r="A14">
        <v>2022</v>
      </c>
      <c r="B14">
        <f>interpolation!B31</f>
        <v>2536619.5783756804</v>
      </c>
      <c r="C14">
        <f>interpolation!C31</f>
        <v>3105327.8824243201</v>
      </c>
      <c r="D14">
        <f>interpolation!D31</f>
        <v>5620485.9240000006</v>
      </c>
      <c r="E14">
        <f>interpolation!E31</f>
        <v>3019838.3568000002</v>
      </c>
      <c r="F14">
        <f>interpolation!F31</f>
        <v>7889806.8864000002</v>
      </c>
      <c r="G14">
        <f>interpolation!G31</f>
        <v>5313223.6388352001</v>
      </c>
    </row>
    <row r="15" spans="1:7">
      <c r="A15">
        <v>2023</v>
      </c>
      <c r="B15">
        <f>interpolation!B32</f>
        <v>2490516.19809792</v>
      </c>
      <c r="C15">
        <f>interpolation!C32</f>
        <v>3048888.1571020801</v>
      </c>
      <c r="D15">
        <f>interpolation!D32</f>
        <v>5484582.3959999997</v>
      </c>
      <c r="E15">
        <f>interpolation!E32</f>
        <v>2918718.7632000004</v>
      </c>
      <c r="F15">
        <f>interpolation!F32</f>
        <v>7784190.6696000006</v>
      </c>
      <c r="G15">
        <f>interpolation!G32</f>
        <v>5320120.8056832002</v>
      </c>
    </row>
    <row r="16" spans="1:7">
      <c r="A16">
        <v>2024</v>
      </c>
      <c r="B16">
        <f>interpolation!B33</f>
        <v>2444412.8178201602</v>
      </c>
      <c r="C16">
        <f>interpolation!C33</f>
        <v>2992448.43177984</v>
      </c>
      <c r="D16">
        <f>interpolation!D33</f>
        <v>5348678.8679999998</v>
      </c>
      <c r="E16">
        <f>interpolation!E33</f>
        <v>2817599.1696000001</v>
      </c>
      <c r="F16">
        <f>interpolation!F33</f>
        <v>7678574.4528000001</v>
      </c>
      <c r="G16">
        <f>interpolation!G33</f>
        <v>5327017.9725312004</v>
      </c>
    </row>
    <row r="17" spans="1:7">
      <c r="A17">
        <v>2025</v>
      </c>
      <c r="B17">
        <f>interpolation!B34</f>
        <v>2398309.4375424003</v>
      </c>
      <c r="C17">
        <f>interpolation!C34</f>
        <v>2936008.7064576</v>
      </c>
      <c r="D17">
        <f>interpolation!D34</f>
        <v>5212775.34</v>
      </c>
      <c r="E17">
        <f>interpolation!E34</f>
        <v>2716479.5760000004</v>
      </c>
      <c r="F17">
        <f>interpolation!F34</f>
        <v>7572958.2360000005</v>
      </c>
      <c r="G17">
        <f>interpolation!G34</f>
        <v>5333915.1393792005</v>
      </c>
    </row>
    <row r="18" spans="1:7">
      <c r="A18">
        <v>2026</v>
      </c>
      <c r="B18">
        <f>interpolation!B35</f>
        <v>2251935.1581696002</v>
      </c>
      <c r="C18">
        <f>interpolation!C35</f>
        <v>2756817.4178304002</v>
      </c>
      <c r="D18">
        <f>interpolation!D35</f>
        <v>5088050.568</v>
      </c>
      <c r="E18">
        <f>interpolation!E35</f>
        <v>2635138.4256000002</v>
      </c>
      <c r="F18">
        <f>interpolation!F35</f>
        <v>7743084.667200001</v>
      </c>
      <c r="G18">
        <f>interpolation!G35</f>
        <v>5342538.3664435204</v>
      </c>
    </row>
    <row r="19" spans="1:7">
      <c r="A19">
        <v>2027</v>
      </c>
      <c r="B19">
        <f>interpolation!B36</f>
        <v>2105560.8787968</v>
      </c>
      <c r="C19">
        <f>interpolation!C36</f>
        <v>2577626.1292031999</v>
      </c>
      <c r="D19">
        <f>interpolation!D36</f>
        <v>4963325.7960000001</v>
      </c>
      <c r="E19">
        <f>interpolation!E36</f>
        <v>2553797.2752</v>
      </c>
      <c r="F19">
        <f>interpolation!F36</f>
        <v>7913211.0984000005</v>
      </c>
      <c r="G19">
        <f>interpolation!G36</f>
        <v>5351161.5935078403</v>
      </c>
    </row>
    <row r="20" spans="1:7">
      <c r="A20">
        <v>2028</v>
      </c>
      <c r="B20">
        <f>interpolation!B37</f>
        <v>1959186.5994240001</v>
      </c>
      <c r="C20">
        <f>interpolation!C37</f>
        <v>2398434.840576</v>
      </c>
      <c r="D20">
        <f>interpolation!D37</f>
        <v>4838601.0240000002</v>
      </c>
      <c r="E20">
        <f>interpolation!E37</f>
        <v>2472456.1248000003</v>
      </c>
      <c r="F20">
        <f>interpolation!F37</f>
        <v>8083337.5296000009</v>
      </c>
      <c r="G20">
        <f>interpolation!G37</f>
        <v>5359784.8205721602</v>
      </c>
    </row>
    <row r="21" spans="1:7">
      <c r="A21">
        <v>2029</v>
      </c>
      <c r="B21">
        <f>interpolation!B38</f>
        <v>1812812.3200512002</v>
      </c>
      <c r="C21">
        <f>interpolation!C38</f>
        <v>2219243.5519487998</v>
      </c>
      <c r="D21">
        <f>interpolation!D38</f>
        <v>4713876.2520000003</v>
      </c>
      <c r="E21">
        <f>interpolation!E38</f>
        <v>2391114.9744000002</v>
      </c>
      <c r="F21">
        <f>interpolation!F38</f>
        <v>8253463.9608000005</v>
      </c>
      <c r="G21">
        <f>interpolation!G38</f>
        <v>5368408.0476364801</v>
      </c>
    </row>
    <row r="22" spans="1:7">
      <c r="A22">
        <v>2030</v>
      </c>
      <c r="B22">
        <f>interpolation!B39</f>
        <v>1666438.0406784001</v>
      </c>
      <c r="C22">
        <f>interpolation!C39</f>
        <v>2040052.2633215999</v>
      </c>
      <c r="D22">
        <f>interpolation!D39</f>
        <v>4589151.4800000004</v>
      </c>
      <c r="E22">
        <f>interpolation!E39</f>
        <v>2309773.824</v>
      </c>
      <c r="F22">
        <f>interpolation!F39</f>
        <v>8423590.3920000009</v>
      </c>
      <c r="G22">
        <f>interpolation!G39</f>
        <v>5377031.2747008</v>
      </c>
    </row>
    <row r="23" spans="1:7">
      <c r="A23">
        <v>2031</v>
      </c>
      <c r="B23">
        <f>interpolation!B40</f>
        <v>1631327.7904358401</v>
      </c>
      <c r="C23">
        <f>interpolation!C40</f>
        <v>1997070.31996416</v>
      </c>
      <c r="D23">
        <f>interpolation!D40</f>
        <v>4524733.3752000006</v>
      </c>
      <c r="E23">
        <f>interpolation!E40</f>
        <v>2209206.8880000003</v>
      </c>
      <c r="F23">
        <f>interpolation!F40</f>
        <v>8538559.9199999999</v>
      </c>
      <c r="G23">
        <f>interpolation!G40</f>
        <v>5391059.0509670405</v>
      </c>
    </row>
    <row r="24" spans="1:7">
      <c r="A24">
        <v>2032</v>
      </c>
      <c r="B24">
        <f>interpolation!B41</f>
        <v>1596217.5401932802</v>
      </c>
      <c r="C24">
        <f>interpolation!C41</f>
        <v>1954088.37660672</v>
      </c>
      <c r="D24">
        <f>interpolation!D41</f>
        <v>4460315.2704000007</v>
      </c>
      <c r="E24">
        <f>interpolation!E41</f>
        <v>2108639.952</v>
      </c>
      <c r="F24">
        <f>interpolation!F41</f>
        <v>8653529.4480000008</v>
      </c>
      <c r="G24">
        <f>interpolation!G41</f>
        <v>5405086.8272332801</v>
      </c>
    </row>
    <row r="25" spans="1:7">
      <c r="A25">
        <v>2033</v>
      </c>
      <c r="B25">
        <f>interpolation!B42</f>
        <v>1561107.28995072</v>
      </c>
      <c r="C25">
        <f>interpolation!C42</f>
        <v>1911106.4332492799</v>
      </c>
      <c r="D25">
        <f>interpolation!D42</f>
        <v>4395897.1655999999</v>
      </c>
      <c r="E25">
        <f>interpolation!E42</f>
        <v>2008073.0160000001</v>
      </c>
      <c r="F25">
        <f>interpolation!F42</f>
        <v>8768498.9759999998</v>
      </c>
      <c r="G25">
        <f>interpolation!G42</f>
        <v>5419114.6034995206</v>
      </c>
    </row>
    <row r="26" spans="1:7">
      <c r="A26">
        <v>2034</v>
      </c>
      <c r="B26">
        <f>interpolation!B43</f>
        <v>1525997.0397081601</v>
      </c>
      <c r="C26">
        <f>interpolation!C43</f>
        <v>1868124.4898918399</v>
      </c>
      <c r="D26">
        <f>interpolation!D43</f>
        <v>4331479.0608000001</v>
      </c>
      <c r="E26">
        <f>interpolation!E43</f>
        <v>1907506.08</v>
      </c>
      <c r="F26">
        <f>interpolation!F43</f>
        <v>8883468.5040000007</v>
      </c>
      <c r="G26">
        <f>interpolation!G43</f>
        <v>5433142.3797657602</v>
      </c>
    </row>
    <row r="27" spans="1:7">
      <c r="A27">
        <v>2035</v>
      </c>
      <c r="B27">
        <f>interpolation!B44</f>
        <v>1490886.7894656002</v>
      </c>
      <c r="C27">
        <f>interpolation!C44</f>
        <v>1825142.5465344</v>
      </c>
      <c r="D27">
        <f>interpolation!D44</f>
        <v>4267060.9560000002</v>
      </c>
      <c r="E27">
        <f>interpolation!E44</f>
        <v>1806939.1440000001</v>
      </c>
      <c r="F27">
        <f>interpolation!F44</f>
        <v>8998438.0319999997</v>
      </c>
      <c r="G27">
        <f>interpolation!G44</f>
        <v>5447170.1560320007</v>
      </c>
    </row>
    <row r="28" spans="1:7">
      <c r="A28">
        <v>2036</v>
      </c>
      <c r="B28">
        <f>interpolation!B45</f>
        <v>1472386.7069337601</v>
      </c>
      <c r="C28">
        <f>interpolation!C45</f>
        <v>1802494.7586662399</v>
      </c>
      <c r="D28">
        <f>interpolation!D45</f>
        <v>4212264.1176000005</v>
      </c>
      <c r="E28">
        <f>interpolation!E45</f>
        <v>1729257.2568000001</v>
      </c>
      <c r="F28">
        <f>interpolation!F45</f>
        <v>9023491.8432</v>
      </c>
      <c r="G28">
        <f>interpolation!G45</f>
        <v>5493278.6006630408</v>
      </c>
    </row>
    <row r="29" spans="1:7">
      <c r="A29">
        <v>2037</v>
      </c>
      <c r="B29">
        <f>interpolation!B46</f>
        <v>1453886.62440192</v>
      </c>
      <c r="C29">
        <f>interpolation!C46</f>
        <v>1779846.9707980801</v>
      </c>
      <c r="D29">
        <f>interpolation!D46</f>
        <v>4157467.2792000002</v>
      </c>
      <c r="E29">
        <f>interpolation!E46</f>
        <v>1651575.3696000001</v>
      </c>
      <c r="F29">
        <f>interpolation!F46</f>
        <v>9048545.6544000003</v>
      </c>
      <c r="G29">
        <f>interpolation!G46</f>
        <v>5539387.0452940809</v>
      </c>
    </row>
    <row r="30" spans="1:7">
      <c r="A30">
        <v>2038</v>
      </c>
      <c r="B30">
        <f>interpolation!B47</f>
        <v>1435386.5418700802</v>
      </c>
      <c r="C30">
        <f>interpolation!C47</f>
        <v>1757199.18292992</v>
      </c>
      <c r="D30">
        <f>interpolation!D47</f>
        <v>4102670.4408000004</v>
      </c>
      <c r="E30">
        <f>interpolation!E47</f>
        <v>1573893.4824000001</v>
      </c>
      <c r="F30">
        <f>interpolation!F47</f>
        <v>9073599.4656000007</v>
      </c>
      <c r="G30">
        <f>interpolation!G47</f>
        <v>5585495.48992512</v>
      </c>
    </row>
    <row r="31" spans="1:7">
      <c r="A31">
        <v>2039</v>
      </c>
      <c r="B31">
        <f>interpolation!B48</f>
        <v>1416886.4593382401</v>
      </c>
      <c r="C31">
        <f>interpolation!C48</f>
        <v>1734551.3950617602</v>
      </c>
      <c r="D31">
        <f>interpolation!D48</f>
        <v>4047873.6024000002</v>
      </c>
      <c r="E31">
        <f>interpolation!E48</f>
        <v>1496211.5952000001</v>
      </c>
      <c r="F31">
        <f>interpolation!F48</f>
        <v>9098653.276800001</v>
      </c>
      <c r="G31">
        <f>interpolation!G48</f>
        <v>5631603.9345561601</v>
      </c>
    </row>
    <row r="32" spans="1:7">
      <c r="A32">
        <v>2040</v>
      </c>
      <c r="B32">
        <f>interpolation!B49</f>
        <v>1398386.3768064</v>
      </c>
      <c r="C32">
        <f>interpolation!C49</f>
        <v>1711903.6071936002</v>
      </c>
      <c r="D32">
        <f>interpolation!D49</f>
        <v>3993076.7640000004</v>
      </c>
      <c r="E32">
        <f>interpolation!E49</f>
        <v>1418529.7080000001</v>
      </c>
      <c r="F32">
        <f>interpolation!F49</f>
        <v>9123707.0880000014</v>
      </c>
      <c r="G32">
        <f>interpolation!G49</f>
        <v>5677712.3791872002</v>
      </c>
    </row>
    <row r="33" spans="1:7">
      <c r="A33">
        <v>2041</v>
      </c>
      <c r="B33">
        <f>interpolation!B50</f>
        <v>1392663.9255552001</v>
      </c>
      <c r="C33">
        <f>interpolation!C50</f>
        <v>1704898.1864448001</v>
      </c>
      <c r="D33">
        <f>interpolation!D50</f>
        <v>3886807.4064000002</v>
      </c>
      <c r="E33">
        <f>interpolation!E50</f>
        <v>1327190.4792000002</v>
      </c>
      <c r="F33">
        <f>interpolation!F50</f>
        <v>9146726.1144000012</v>
      </c>
      <c r="G33">
        <f>interpolation!G50</f>
        <v>5700045.0517401602</v>
      </c>
    </row>
    <row r="34" spans="1:7">
      <c r="A34">
        <v>2042</v>
      </c>
      <c r="B34">
        <f>interpolation!B51</f>
        <v>1386941.4743040001</v>
      </c>
      <c r="C34">
        <f>interpolation!C51</f>
        <v>1697892.7656960001</v>
      </c>
      <c r="D34">
        <f>interpolation!D51</f>
        <v>3780538.0488000005</v>
      </c>
      <c r="E34">
        <f>interpolation!E51</f>
        <v>1235851.2504</v>
      </c>
      <c r="F34">
        <f>interpolation!F51</f>
        <v>9169745.1408000011</v>
      </c>
      <c r="G34">
        <f>interpolation!G51</f>
        <v>5722377.7242931202</v>
      </c>
    </row>
    <row r="35" spans="1:7">
      <c r="A35">
        <v>2043</v>
      </c>
      <c r="B35">
        <f>interpolation!B52</f>
        <v>1381219.0230528</v>
      </c>
      <c r="C35">
        <f>interpolation!C52</f>
        <v>1690887.3449472003</v>
      </c>
      <c r="D35">
        <f>interpolation!D52</f>
        <v>3674268.6912000002</v>
      </c>
      <c r="E35">
        <f>interpolation!E52</f>
        <v>1144512.0216000001</v>
      </c>
      <c r="F35">
        <f>interpolation!F52</f>
        <v>9192764.167200001</v>
      </c>
      <c r="G35">
        <f>interpolation!G52</f>
        <v>5744710.3968460802</v>
      </c>
    </row>
    <row r="36" spans="1:7">
      <c r="A36">
        <v>2044</v>
      </c>
      <c r="B36">
        <f>interpolation!B53</f>
        <v>1375496.5718016</v>
      </c>
      <c r="C36">
        <f>interpolation!C53</f>
        <v>1683881.9241984002</v>
      </c>
      <c r="D36">
        <f>interpolation!D53</f>
        <v>3567999.3336000005</v>
      </c>
      <c r="E36">
        <f>interpolation!E53</f>
        <v>1053172.7927999999</v>
      </c>
      <c r="F36">
        <f>interpolation!F53</f>
        <v>9215783.1936000008</v>
      </c>
      <c r="G36">
        <f>interpolation!G53</f>
        <v>5767043.0693990402</v>
      </c>
    </row>
    <row r="37" spans="1:7">
      <c r="A37">
        <v>2045</v>
      </c>
      <c r="B37">
        <f>interpolation!B54</f>
        <v>1369774.1205504001</v>
      </c>
      <c r="C37">
        <f>interpolation!C54</f>
        <v>1676876.5034496002</v>
      </c>
      <c r="D37">
        <f>interpolation!D54</f>
        <v>3461729.9760000003</v>
      </c>
      <c r="E37">
        <f>interpolation!E54</f>
        <v>961833.56400000001</v>
      </c>
      <c r="F37">
        <f>interpolation!F54</f>
        <v>9238802.2200000007</v>
      </c>
      <c r="G37">
        <f>interpolation!G54</f>
        <v>5789375.7419520002</v>
      </c>
    </row>
    <row r="38" spans="1:7">
      <c r="A38">
        <v>2046</v>
      </c>
      <c r="B38">
        <f>interpolation!B55</f>
        <v>1356130.5920409602</v>
      </c>
      <c r="C38">
        <f>interpolation!C55</f>
        <v>1660174.1055590401</v>
      </c>
      <c r="D38">
        <f>interpolation!D55</f>
        <v>3352755.9456000002</v>
      </c>
      <c r="E38">
        <f>interpolation!E55</f>
        <v>904390.66800000006</v>
      </c>
      <c r="F38">
        <f>interpolation!F55</f>
        <v>9199153.2240000013</v>
      </c>
      <c r="G38">
        <f>interpolation!G55</f>
        <v>5784360.2637004806</v>
      </c>
    </row>
    <row r="39" spans="1:7">
      <c r="A39">
        <v>2047</v>
      </c>
      <c r="B39">
        <f>interpolation!B56</f>
        <v>1342487.0635315201</v>
      </c>
      <c r="C39">
        <f>interpolation!C56</f>
        <v>1643471.70766848</v>
      </c>
      <c r="D39">
        <f>interpolation!D56</f>
        <v>3243781.9152000002</v>
      </c>
      <c r="E39">
        <f>interpolation!E56</f>
        <v>846947.772</v>
      </c>
      <c r="F39">
        <f>interpolation!F56</f>
        <v>9159504.2280000001</v>
      </c>
      <c r="G39">
        <f>interpolation!G56</f>
        <v>5779344.78544896</v>
      </c>
    </row>
    <row r="40" spans="1:7">
      <c r="A40">
        <v>2048</v>
      </c>
      <c r="B40">
        <f>interpolation!B57</f>
        <v>1328843.5350220802</v>
      </c>
      <c r="C40">
        <f>interpolation!C57</f>
        <v>1626769.3097779201</v>
      </c>
      <c r="D40">
        <f>interpolation!D57</f>
        <v>3134807.8848000001</v>
      </c>
      <c r="E40">
        <f>interpolation!E57</f>
        <v>789504.87600000005</v>
      </c>
      <c r="F40">
        <f>interpolation!F57</f>
        <v>9119855.2320000008</v>
      </c>
      <c r="G40">
        <f>interpolation!G57</f>
        <v>5774329.3071974404</v>
      </c>
    </row>
    <row r="41" spans="1:7">
      <c r="A41">
        <v>2049</v>
      </c>
      <c r="B41">
        <f>interpolation!B58</f>
        <v>1315200.00651264</v>
      </c>
      <c r="C41">
        <f>interpolation!C58</f>
        <v>1610066.91188736</v>
      </c>
      <c r="D41">
        <f>interpolation!D58</f>
        <v>3025833.8544000001</v>
      </c>
      <c r="E41">
        <f>interpolation!E58</f>
        <v>732061.98</v>
      </c>
      <c r="F41">
        <f>interpolation!F58</f>
        <v>9080206.2359999996</v>
      </c>
      <c r="G41">
        <f>interpolation!G58</f>
        <v>5769313.8289459199</v>
      </c>
    </row>
    <row r="42" spans="1:7">
      <c r="A42">
        <v>2050</v>
      </c>
      <c r="B42">
        <f>interpolation!B59</f>
        <v>1301556.4780032001</v>
      </c>
      <c r="C42">
        <f>interpolation!C59</f>
        <v>1593364.5139967999</v>
      </c>
      <c r="D42">
        <f>interpolation!D59</f>
        <v>2916859.824</v>
      </c>
      <c r="E42">
        <f>interpolation!E59</f>
        <v>674619.08400000003</v>
      </c>
      <c r="F42">
        <f>interpolation!F59</f>
        <v>9040557.2400000002</v>
      </c>
      <c r="G42">
        <f>interpolation!G59</f>
        <v>5764298.3506944003</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Cover sheet</vt:lpstr>
      <vt:lpstr>Changelog</vt:lpstr>
      <vt:lpstr>Contents</vt:lpstr>
      <vt:lpstr>Introduction</vt:lpstr>
      <vt:lpstr>Assumptions</vt:lpstr>
      <vt:lpstr>Dashboard</vt:lpstr>
      <vt:lpstr>conversion_to_TJ</vt:lpstr>
      <vt:lpstr>interpolation</vt:lpstr>
      <vt:lpstr>timecurves</vt:lpstr>
    </vt:vector>
  </TitlesOfParts>
  <Company>Quintel Intelligence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Joris Berkhout</cp:lastModifiedBy>
  <dcterms:created xsi:type="dcterms:W3CDTF">2014-06-04T09:13:49Z</dcterms:created>
  <dcterms:modified xsi:type="dcterms:W3CDTF">2014-07-08T13:09:13Z</dcterms:modified>
</cp:coreProperties>
</file>