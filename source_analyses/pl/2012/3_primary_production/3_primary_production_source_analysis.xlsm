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pl/2012/3_primary_production/"/>
    </mc:Choice>
  </mc:AlternateContent>
  <xr:revisionPtr revIDLastSave="0" documentId="13_ncr:1_{232F2399-4E44-FD41-BACB-0BE4F596EE26}" xr6:coauthVersionLast="43" xr6:coauthVersionMax="43" xr10:uidLastSave="{00000000-0000-0000-0000-000000000000}"/>
  <bookViews>
    <workbookView xWindow="25600" yWindow="460" windowWidth="25600" windowHeight="26940" tabRatio="500"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4" i="3" l="1"/>
  <c r="C4" i="3"/>
  <c r="D4" i="3"/>
  <c r="E4" i="3"/>
  <c r="F4" i="3"/>
  <c r="C10" i="6"/>
  <c r="B9" i="5" s="1"/>
  <c r="C12" i="6"/>
  <c r="D9" i="5"/>
  <c r="C11" i="6"/>
  <c r="E9" i="5" s="1"/>
  <c r="C13" i="6"/>
  <c r="F9" i="5" s="1"/>
  <c r="C16" i="6"/>
  <c r="G9" i="5" s="1"/>
  <c r="G12" i="5" s="1"/>
  <c r="C8" i="7"/>
  <c r="C5" i="7"/>
  <c r="D10" i="6"/>
  <c r="D12" i="6"/>
  <c r="D14" i="5" s="1"/>
  <c r="D11" i="6"/>
  <c r="E14" i="5" s="1"/>
  <c r="D13" i="6"/>
  <c r="F14" i="5"/>
  <c r="D16" i="6"/>
  <c r="G14" i="5" s="1"/>
  <c r="E11" i="5"/>
  <c r="D12" i="5"/>
  <c r="E10" i="6"/>
  <c r="C19" i="5" s="1"/>
  <c r="C20" i="5" s="1"/>
  <c r="C3" i="3" s="1"/>
  <c r="B19" i="5"/>
  <c r="E12" i="6"/>
  <c r="D19" i="5" s="1"/>
  <c r="E11" i="6"/>
  <c r="E19" i="5" s="1"/>
  <c r="E2" i="3" s="1"/>
  <c r="E13" i="6"/>
  <c r="F19" i="5" s="1"/>
  <c r="E16" i="6"/>
  <c r="G19" i="5" s="1"/>
  <c r="G18" i="5" s="1"/>
  <c r="F10" i="6"/>
  <c r="B24" i="5" s="1"/>
  <c r="F12" i="6"/>
  <c r="D24" i="5" s="1"/>
  <c r="F11" i="6"/>
  <c r="E24" i="5" s="1"/>
  <c r="F13" i="6"/>
  <c r="F24" i="5" s="1"/>
  <c r="F16" i="6"/>
  <c r="G24" i="5" s="1"/>
  <c r="G10" i="6"/>
  <c r="B29" i="5" s="1"/>
  <c r="G12" i="6"/>
  <c r="D29" i="5" s="1"/>
  <c r="G11" i="6"/>
  <c r="E29" i="5" s="1"/>
  <c r="E12" i="3" s="1"/>
  <c r="G13" i="6"/>
  <c r="F29" i="5" s="1"/>
  <c r="G16" i="6"/>
  <c r="G29" i="5" s="1"/>
  <c r="G12" i="3" s="1"/>
  <c r="H10" i="6"/>
  <c r="H12" i="6"/>
  <c r="D34" i="5" s="1"/>
  <c r="H11" i="6"/>
  <c r="E34" i="5" s="1"/>
  <c r="H13" i="6"/>
  <c r="F34" i="5"/>
  <c r="F17" i="3" s="1"/>
  <c r="H16" i="6"/>
  <c r="G34" i="5" s="1"/>
  <c r="I10" i="6"/>
  <c r="C39" i="5" s="1"/>
  <c r="C22" i="3" s="1"/>
  <c r="I12" i="6"/>
  <c r="D39" i="5" s="1"/>
  <c r="I11" i="6"/>
  <c r="E39" i="5" s="1"/>
  <c r="E22" i="3" s="1"/>
  <c r="I13" i="6"/>
  <c r="F39" i="5" s="1"/>
  <c r="I16" i="6"/>
  <c r="G39" i="5" s="1"/>
  <c r="J10" i="6"/>
  <c r="J12" i="6"/>
  <c r="D44" i="5" s="1"/>
  <c r="D27" i="3" s="1"/>
  <c r="J11" i="6"/>
  <c r="E44" i="5" s="1"/>
  <c r="J13" i="6"/>
  <c r="F44" i="5" s="1"/>
  <c r="F27" i="3" s="1"/>
  <c r="J16" i="6"/>
  <c r="G44" i="5" s="1"/>
  <c r="K10" i="6"/>
  <c r="B49" i="5" s="1"/>
  <c r="K12" i="6"/>
  <c r="D49" i="5" s="1"/>
  <c r="K11" i="6"/>
  <c r="E49" i="5" s="1"/>
  <c r="E50" i="5" s="1"/>
  <c r="E33" i="3" s="1"/>
  <c r="K13" i="6"/>
  <c r="F49" i="5" s="1"/>
  <c r="K16" i="6"/>
  <c r="G49" i="5" s="1"/>
  <c r="L10" i="6"/>
  <c r="C54" i="5" s="1"/>
  <c r="M10" i="6"/>
  <c r="L12" i="6"/>
  <c r="D54" i="5" s="1"/>
  <c r="M12" i="6"/>
  <c r="D59" i="5" s="1"/>
  <c r="D42" i="3" s="1"/>
  <c r="L11" i="6"/>
  <c r="E54" i="5" s="1"/>
  <c r="E55" i="5" s="1"/>
  <c r="E38" i="3" s="1"/>
  <c r="M11" i="6"/>
  <c r="E59" i="5" s="1"/>
  <c r="E42" i="3" s="1"/>
  <c r="L13" i="6"/>
  <c r="F54" i="5" s="1"/>
  <c r="M13" i="6"/>
  <c r="F59" i="5" s="1"/>
  <c r="F42" i="3" s="1"/>
  <c r="L16" i="6"/>
  <c r="G54" i="5" s="1"/>
  <c r="M16" i="6"/>
  <c r="G59" i="5" s="1"/>
  <c r="G42" i="3"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F10" i="5" l="1"/>
  <c r="F11" i="5"/>
  <c r="F47" i="5"/>
  <c r="F30" i="3" s="1"/>
  <c r="C49" i="5"/>
  <c r="C52" i="5" s="1"/>
  <c r="C35" i="3" s="1"/>
  <c r="G52" i="5"/>
  <c r="G35" i="3" s="1"/>
  <c r="F37" i="5"/>
  <c r="F20" i="3" s="1"/>
  <c r="G27" i="5"/>
  <c r="G10" i="3" s="1"/>
  <c r="F13" i="5"/>
  <c r="D46" i="5"/>
  <c r="D29" i="3" s="1"/>
  <c r="B39" i="5"/>
  <c r="B26" i="5"/>
  <c r="B9" i="3" s="1"/>
  <c r="F37" i="3"/>
  <c r="F51" i="5"/>
  <c r="F34" i="3" s="1"/>
  <c r="F53" i="5"/>
  <c r="F36" i="3" s="1"/>
  <c r="D17" i="5"/>
  <c r="D17" i="3"/>
  <c r="D36" i="5"/>
  <c r="D19" i="3" s="1"/>
  <c r="D35" i="5"/>
  <c r="D18" i="3" s="1"/>
  <c r="G21" i="5"/>
  <c r="G4" i="3" s="1"/>
  <c r="F15" i="5"/>
  <c r="F20" i="5"/>
  <c r="F3" i="3" s="1"/>
  <c r="F2" i="3"/>
  <c r="F16" i="5"/>
  <c r="G22" i="3"/>
  <c r="G41" i="5"/>
  <c r="G24" i="3" s="1"/>
  <c r="G57" i="5"/>
  <c r="G40" i="3" s="1"/>
  <c r="G50" i="5"/>
  <c r="G33" i="3" s="1"/>
  <c r="F36" i="5"/>
  <c r="F19" i="3" s="1"/>
  <c r="F35" i="5"/>
  <c r="F18" i="3" s="1"/>
  <c r="G2" i="3"/>
  <c r="G55" i="5"/>
  <c r="G38" i="3" s="1"/>
  <c r="D56" i="5"/>
  <c r="D39" i="3" s="1"/>
  <c r="E52" i="5"/>
  <c r="E35" i="3" s="1"/>
  <c r="G31" i="5"/>
  <c r="G14" i="3" s="1"/>
  <c r="F18" i="5"/>
  <c r="C9" i="5"/>
  <c r="B54" i="5"/>
  <c r="B51" i="5" s="1"/>
  <c r="B34" i="3" s="1"/>
  <c r="F46" i="5"/>
  <c r="F29" i="3" s="1"/>
  <c r="F45" i="5"/>
  <c r="F28" i="3" s="1"/>
  <c r="D45" i="5"/>
  <c r="D28" i="3" s="1"/>
  <c r="C24" i="5"/>
  <c r="C7" i="3" s="1"/>
  <c r="G16" i="5"/>
  <c r="B59" i="5"/>
  <c r="C59" i="5"/>
  <c r="C42" i="3" s="1"/>
  <c r="B32" i="3"/>
  <c r="G27" i="3"/>
  <c r="G45" i="5"/>
  <c r="G28" i="3" s="1"/>
  <c r="G47" i="5"/>
  <c r="G30" i="3" s="1"/>
  <c r="G46" i="5"/>
  <c r="G29" i="3" s="1"/>
  <c r="G48" i="5"/>
  <c r="G31" i="3" s="1"/>
  <c r="E27" i="3"/>
  <c r="E46" i="5"/>
  <c r="E29" i="3" s="1"/>
  <c r="E48" i="5"/>
  <c r="E31" i="3" s="1"/>
  <c r="E45" i="5"/>
  <c r="E28" i="3" s="1"/>
  <c r="E47" i="5"/>
  <c r="E30" i="3" s="1"/>
  <c r="B22" i="3"/>
  <c r="G17" i="3"/>
  <c r="G36" i="5"/>
  <c r="G19" i="3" s="1"/>
  <c r="G38" i="5"/>
  <c r="G21" i="3" s="1"/>
  <c r="G35" i="5"/>
  <c r="G18" i="3" s="1"/>
  <c r="G37" i="5"/>
  <c r="G20" i="3" s="1"/>
  <c r="E17" i="3"/>
  <c r="E35" i="5"/>
  <c r="E18" i="3" s="1"/>
  <c r="E37" i="5"/>
  <c r="E20" i="3" s="1"/>
  <c r="E36" i="5"/>
  <c r="E19" i="3" s="1"/>
  <c r="E38" i="5"/>
  <c r="E21" i="3" s="1"/>
  <c r="F12" i="3"/>
  <c r="F30" i="5"/>
  <c r="F13" i="3" s="1"/>
  <c r="F31" i="5"/>
  <c r="F14" i="3" s="1"/>
  <c r="F33" i="5"/>
  <c r="F16" i="3" s="1"/>
  <c r="F32" i="5"/>
  <c r="F15" i="3" s="1"/>
  <c r="B12" i="3"/>
  <c r="B28" i="5"/>
  <c r="B11" i="3" s="1"/>
  <c r="F23" i="5"/>
  <c r="F6" i="3" s="1"/>
  <c r="F22" i="5"/>
  <c r="F5" i="3" s="1"/>
  <c r="F26" i="5"/>
  <c r="F9" i="3" s="1"/>
  <c r="F27" i="5"/>
  <c r="F10" i="3" s="1"/>
  <c r="F7" i="3"/>
  <c r="D7" i="3"/>
  <c r="D23" i="5"/>
  <c r="D6" i="3" s="1"/>
  <c r="D22" i="5"/>
  <c r="D5" i="3" s="1"/>
  <c r="D25" i="5"/>
  <c r="D8" i="3" s="1"/>
  <c r="D26" i="5"/>
  <c r="D9" i="3" s="1"/>
  <c r="C14" i="5"/>
  <c r="B14" i="5"/>
  <c r="G42" i="5"/>
  <c r="G25" i="3" s="1"/>
  <c r="E41" i="5"/>
  <c r="E24" i="3" s="1"/>
  <c r="C44" i="5"/>
  <c r="B44" i="5"/>
  <c r="G32" i="5"/>
  <c r="G15" i="3" s="1"/>
  <c r="E31" i="5"/>
  <c r="E14" i="3" s="1"/>
  <c r="B34" i="5"/>
  <c r="B32" i="5" s="1"/>
  <c r="B15" i="3" s="1"/>
  <c r="C34" i="5"/>
  <c r="D27" i="5"/>
  <c r="D10" i="3" s="1"/>
  <c r="D20" i="5"/>
  <c r="D3" i="3" s="1"/>
  <c r="D2" i="3"/>
  <c r="E57" i="5"/>
  <c r="E40" i="3" s="1"/>
  <c r="D37" i="3"/>
  <c r="D55" i="5"/>
  <c r="D38" i="3" s="1"/>
  <c r="D57" i="5"/>
  <c r="D40" i="3" s="1"/>
  <c r="D53" i="5"/>
  <c r="D36" i="3" s="1"/>
  <c r="C50" i="5"/>
  <c r="C33" i="3" s="1"/>
  <c r="F58" i="5"/>
  <c r="F41" i="3" s="1"/>
  <c r="F57" i="5"/>
  <c r="F40" i="3" s="1"/>
  <c r="F55" i="5"/>
  <c r="F38" i="3" s="1"/>
  <c r="E37" i="3"/>
  <c r="E58" i="5"/>
  <c r="E41" i="3" s="1"/>
  <c r="E56" i="5"/>
  <c r="E39" i="3" s="1"/>
  <c r="F48" i="5"/>
  <c r="F31" i="3" s="1"/>
  <c r="D47" i="5"/>
  <c r="D30" i="3" s="1"/>
  <c r="F32" i="3"/>
  <c r="F50" i="5"/>
  <c r="F33" i="3" s="1"/>
  <c r="F52" i="5"/>
  <c r="F35" i="3" s="1"/>
  <c r="D52" i="5"/>
  <c r="D35" i="3" s="1"/>
  <c r="D50" i="5"/>
  <c r="D33" i="3" s="1"/>
  <c r="G43" i="5"/>
  <c r="G26" i="3" s="1"/>
  <c r="E42" i="5"/>
  <c r="E25" i="3" s="1"/>
  <c r="F38" i="5"/>
  <c r="F21" i="3" s="1"/>
  <c r="D37" i="5"/>
  <c r="D20" i="3" s="1"/>
  <c r="F22" i="3"/>
  <c r="F42" i="5"/>
  <c r="F25" i="3" s="1"/>
  <c r="F40" i="5"/>
  <c r="F23" i="3" s="1"/>
  <c r="F41" i="5"/>
  <c r="F24" i="3" s="1"/>
  <c r="F43" i="5"/>
  <c r="F26" i="3" s="1"/>
  <c r="D22" i="3"/>
  <c r="D40" i="5"/>
  <c r="D23" i="3" s="1"/>
  <c r="D41" i="5"/>
  <c r="D24" i="3" s="1"/>
  <c r="D43" i="5"/>
  <c r="D26" i="3" s="1"/>
  <c r="D42" i="5"/>
  <c r="D25" i="3" s="1"/>
  <c r="G33" i="5"/>
  <c r="G16" i="3" s="1"/>
  <c r="E32" i="5"/>
  <c r="E15" i="3" s="1"/>
  <c r="F28" i="5"/>
  <c r="F11" i="3" s="1"/>
  <c r="B27" i="5"/>
  <c r="B10" i="3" s="1"/>
  <c r="D32" i="5"/>
  <c r="D15" i="3" s="1"/>
  <c r="D12" i="3"/>
  <c r="D30" i="5"/>
  <c r="D13" i="3" s="1"/>
  <c r="D31" i="5"/>
  <c r="D14" i="3" s="1"/>
  <c r="D33" i="5"/>
  <c r="D16" i="3" s="1"/>
  <c r="G7" i="3"/>
  <c r="G26" i="5"/>
  <c r="G9" i="3" s="1"/>
  <c r="G20" i="5"/>
  <c r="G3" i="3" s="1"/>
  <c r="G25" i="5"/>
  <c r="G8" i="3" s="1"/>
  <c r="G23" i="5"/>
  <c r="G6" i="3" s="1"/>
  <c r="G28" i="5"/>
  <c r="G11" i="3" s="1"/>
  <c r="E25" i="5"/>
  <c r="E8" i="3" s="1"/>
  <c r="E27" i="5"/>
  <c r="E10" i="3" s="1"/>
  <c r="E7" i="3"/>
  <c r="E23" i="5"/>
  <c r="E6" i="3" s="1"/>
  <c r="E28" i="5"/>
  <c r="E11" i="3" s="1"/>
  <c r="E22" i="5"/>
  <c r="E5" i="3" s="1"/>
  <c r="C22" i="5"/>
  <c r="C5" i="3" s="1"/>
  <c r="D18" i="5"/>
  <c r="E16" i="5"/>
  <c r="E18" i="5"/>
  <c r="E17" i="5"/>
  <c r="E15" i="5"/>
  <c r="E10" i="5"/>
  <c r="E12" i="5"/>
  <c r="E13" i="5"/>
  <c r="B10" i="5"/>
  <c r="C2" i="3"/>
  <c r="D32" i="3"/>
  <c r="C37" i="3"/>
  <c r="C56" i="5"/>
  <c r="C39" i="3" s="1"/>
  <c r="C58" i="5"/>
  <c r="C41" i="3" s="1"/>
  <c r="D51" i="5"/>
  <c r="D34" i="3" s="1"/>
  <c r="D58" i="5"/>
  <c r="D41" i="3" s="1"/>
  <c r="F56" i="5"/>
  <c r="F39" i="3" s="1"/>
  <c r="G37" i="3"/>
  <c r="G56" i="5"/>
  <c r="G39" i="3" s="1"/>
  <c r="G58" i="5"/>
  <c r="G41" i="3" s="1"/>
  <c r="C55" i="5"/>
  <c r="C38" i="3" s="1"/>
  <c r="D48" i="5"/>
  <c r="D31" i="3" s="1"/>
  <c r="G32" i="3"/>
  <c r="G53" i="5"/>
  <c r="G36" i="3" s="1"/>
  <c r="G51" i="5"/>
  <c r="G34" i="3" s="1"/>
  <c r="E32" i="3"/>
  <c r="E51" i="5"/>
  <c r="E34" i="3" s="1"/>
  <c r="E53" i="5"/>
  <c r="E36" i="3" s="1"/>
  <c r="C32" i="3"/>
  <c r="C53" i="5"/>
  <c r="C36" i="3" s="1"/>
  <c r="C51" i="5"/>
  <c r="C34" i="3" s="1"/>
  <c r="E43" i="5"/>
  <c r="E26" i="3" s="1"/>
  <c r="G40" i="5"/>
  <c r="G23" i="3" s="1"/>
  <c r="E40" i="5"/>
  <c r="E23" i="3" s="1"/>
  <c r="D38" i="5"/>
  <c r="D21" i="3" s="1"/>
  <c r="E33" i="5"/>
  <c r="E16" i="3" s="1"/>
  <c r="G30" i="5"/>
  <c r="G13" i="3" s="1"/>
  <c r="E30" i="5"/>
  <c r="E13" i="3" s="1"/>
  <c r="D28" i="5"/>
  <c r="D11" i="3" s="1"/>
  <c r="E26" i="5"/>
  <c r="E9" i="3" s="1"/>
  <c r="F25" i="5"/>
  <c r="F8" i="3" s="1"/>
  <c r="C29" i="5"/>
  <c r="C27" i="5" s="1"/>
  <c r="C10" i="3" s="1"/>
  <c r="G11" i="5"/>
  <c r="G13" i="5"/>
  <c r="G10" i="5"/>
  <c r="B23" i="5"/>
  <c r="B6" i="3" s="1"/>
  <c r="B22" i="5"/>
  <c r="B5" i="3" s="1"/>
  <c r="B25" i="5"/>
  <c r="B8" i="3" s="1"/>
  <c r="G22" i="5"/>
  <c r="G5" i="3" s="1"/>
  <c r="F17" i="5"/>
  <c r="F12" i="5"/>
  <c r="D15" i="5"/>
  <c r="D16" i="5"/>
  <c r="D10" i="5"/>
  <c r="D11" i="5"/>
  <c r="D13" i="5"/>
  <c r="E20" i="5"/>
  <c r="E3" i="3" s="1"/>
  <c r="B7" i="3"/>
  <c r="B2" i="3"/>
  <c r="B20" i="5"/>
  <c r="B3" i="3" s="1"/>
  <c r="G15" i="5"/>
  <c r="G17" i="5"/>
  <c r="C11" i="5"/>
  <c r="C13" i="5"/>
  <c r="B53" i="5" l="1"/>
  <c r="B36" i="3" s="1"/>
  <c r="C23" i="5"/>
  <c r="C6" i="3" s="1"/>
  <c r="B57" i="5"/>
  <c r="B40" i="3" s="1"/>
  <c r="B37" i="3"/>
  <c r="B58" i="5"/>
  <c r="B41" i="3" s="1"/>
  <c r="B50" i="5"/>
  <c r="B33" i="3" s="1"/>
  <c r="C26" i="5"/>
  <c r="C9" i="3" s="1"/>
  <c r="B55" i="5"/>
  <c r="B38" i="3" s="1"/>
  <c r="B52" i="5"/>
  <c r="B35" i="3" s="1"/>
  <c r="C17" i="3"/>
  <c r="C36" i="5"/>
  <c r="C19" i="3" s="1"/>
  <c r="C38" i="5"/>
  <c r="C21" i="3" s="1"/>
  <c r="C35" i="5"/>
  <c r="C18" i="3" s="1"/>
  <c r="C37" i="5"/>
  <c r="C20" i="3" s="1"/>
  <c r="B45" i="5"/>
  <c r="B28" i="3" s="1"/>
  <c r="B27" i="3"/>
  <c r="B47" i="5"/>
  <c r="B30" i="3" s="1"/>
  <c r="B46" i="5"/>
  <c r="B29" i="3" s="1"/>
  <c r="B40" i="5"/>
  <c r="B23" i="3" s="1"/>
  <c r="B48" i="5"/>
  <c r="B31" i="3" s="1"/>
  <c r="B17" i="5"/>
  <c r="B15" i="5"/>
  <c r="B18" i="5"/>
  <c r="B16" i="5"/>
  <c r="B43" i="5"/>
  <c r="B26" i="3" s="1"/>
  <c r="B11" i="5"/>
  <c r="B17" i="3"/>
  <c r="B35" i="5"/>
  <c r="B18" i="3" s="1"/>
  <c r="B37" i="5"/>
  <c r="B20" i="3" s="1"/>
  <c r="B36" i="5"/>
  <c r="B19" i="3" s="1"/>
  <c r="B30" i="5"/>
  <c r="B13" i="3" s="1"/>
  <c r="B38" i="5"/>
  <c r="B21" i="3" s="1"/>
  <c r="C27" i="3"/>
  <c r="C45" i="5"/>
  <c r="C28" i="3" s="1"/>
  <c r="C47" i="5"/>
  <c r="C30" i="3" s="1"/>
  <c r="C46" i="5"/>
  <c r="C29" i="3" s="1"/>
  <c r="C48" i="5"/>
  <c r="C31" i="3" s="1"/>
  <c r="C40" i="5"/>
  <c r="C23" i="3" s="1"/>
  <c r="C42" i="5"/>
  <c r="C25" i="3" s="1"/>
  <c r="C41" i="5"/>
  <c r="C24" i="3" s="1"/>
  <c r="C43" i="5"/>
  <c r="C26" i="3" s="1"/>
  <c r="C15" i="5"/>
  <c r="C17" i="5"/>
  <c r="C16" i="5"/>
  <c r="C10" i="5"/>
  <c r="C12" i="5"/>
  <c r="C18" i="5"/>
  <c r="B41" i="5"/>
  <c r="B24" i="3" s="1"/>
  <c r="C12" i="3"/>
  <c r="C30" i="5"/>
  <c r="C13" i="3" s="1"/>
  <c r="C32" i="5"/>
  <c r="C15" i="3" s="1"/>
  <c r="C31" i="5"/>
  <c r="C14" i="3" s="1"/>
  <c r="C33" i="5"/>
  <c r="C16" i="3" s="1"/>
  <c r="B13" i="5"/>
  <c r="C25" i="5"/>
  <c r="C8" i="3" s="1"/>
  <c r="B33" i="5"/>
  <c r="B16" i="3" s="1"/>
  <c r="B42" i="5"/>
  <c r="B25" i="3" s="1"/>
  <c r="B42" i="3"/>
  <c r="B56" i="5"/>
  <c r="B39" i="3" s="1"/>
  <c r="B12" i="5"/>
  <c r="C28" i="5"/>
  <c r="C11" i="3" s="1"/>
  <c r="B31" i="5"/>
  <c r="B14" i="3" s="1"/>
  <c r="C57" i="5"/>
  <c r="C40" i="3" s="1"/>
</calcChain>
</file>

<file path=xl/sharedStrings.xml><?xml version="1.0" encoding="utf-8"?>
<sst xmlns="http://schemas.openxmlformats.org/spreadsheetml/2006/main" count="131" uniqueCount="98">
  <si>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</si>
  <si>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</si>
  <si>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</si>
  <si>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</si>
  <si>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</si>
  <si>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</si>
  <si>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</si>
  <si>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</si>
  <si>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</si>
  <si>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</si>
  <si>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</si>
  <si>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</si>
  <si>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</si>
  <si>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</si>
  <si>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</si>
  <si>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</si>
  <si>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</si>
  <si>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</si>
  <si>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</si>
  <si>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</si>
  <si>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</si>
  <si>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</si>
  <si>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</si>
  <si>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</si>
  <si>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</si>
  <si>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</si>
  <si>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</si>
  <si>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</si>
  <si>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</si>
  <si>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</si>
  <si>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</si>
  <si>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</si>
  <si>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</si>
  <si>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</si>
  <si>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</si>
  <si>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</si>
  <si>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</si>
  <si>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</si>
  <si>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</si>
  <si>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</si>
  <si>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</si>
  <si>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</si>
  <si>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</si>
  <si>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</si>
  <si>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</si>
  <si>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</si>
  <si>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</si>
  <si>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</si>
  <si>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</si>
  <si>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</si>
  <si>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</si>
  <si>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</si>
  <si>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</si>
  <si>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</si>
  <si>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</si>
  <si>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</si>
  <si>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</si>
  <si>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</si>
  <si>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</si>
  <si>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</si>
  <si>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</si>
  <si>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</si>
  <si>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</si>
  <si>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</si>
  <si>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</si>
  <si>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</si>
  <si>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</si>
  <si>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</si>
  <si>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</si>
  <si>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</si>
  <si>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</si>
  <si>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</si>
  <si>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</si>
  <si>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</si>
  <si>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</si>
  <si>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</si>
  <si>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</si>
  <si>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</si>
  <si>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</si>
  <si>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</si>
  <si>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</si>
  <si>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</si>
  <si>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</si>
  <si>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</si>
  <si>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</si>
  <si>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</si>
  <si>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</si>
  <si>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</si>
  <si>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</si>
  <si>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</si>
  <si>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</si>
  <si>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</si>
  <si>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</si>
  <si>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Based on the 2012 IEA Energy Balances</t>
  </si>
  <si>
    <t>fr</t>
  </si>
  <si>
    <t>Based on the 2012 IEA Energy Balances ((Primary solid biofuels) / (Industrial waste + Municipal waste (renewable) + Primary solid biofuels))</t>
  </si>
  <si>
    <t>This page presents the values from PRIMES (in red) and the energy balance (in blue). The values from PRIMES values are scaled by the corresponding dashboard items. PRIMES only reports data for 5 year intervals. We have linearly interpolated the data between these data points.</t>
  </si>
  <si>
    <t>Production (incl.recovery of products) (ktoe)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</si>
</sst>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3366FF"/>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8">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7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0" fillId="0" borderId="1" xfId="0" applyBorder="1" applyAlignment="1">
      <alignment vertical="center"/>
    </xf>
    <xf numFmtId="0" fontId="0" fillId="0" borderId="0" xfId="0" applyAlignment="1">
      <alignment vertical="center"/>
    </xf>
    <xf numFmtId="10" fontId="0" fillId="0" borderId="3" xfId="0" applyNumberFormat="1" applyBorder="1" applyAlignment="1">
      <alignment vertical="center"/>
    </xf>
    <xf numFmtId="0" fontId="0" fillId="0" borderId="0" xfId="0" applyBorder="1" applyAlignment="1">
      <alignment vertical="center"/>
    </xf>
    <xf numFmtId="0" fontId="0" fillId="0" borderId="2" xfId="0" applyBorder="1" applyAlignment="1">
      <alignment vertical="center"/>
    </xf>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0" fillId="0" borderId="27" xfId="0" applyBorder="1" applyAlignment="1">
      <alignment horizontal="left"/>
    </xf>
    <xf numFmtId="0" fontId="0" fillId="0" borderId="25" xfId="0" applyBorder="1" applyAlignment="1">
      <alignment horizontal="left"/>
    </xf>
    <xf numFmtId="0" fontId="0" fillId="0" borderId="26" xfId="0" applyBorder="1" applyAlignment="1">
      <alignment horizontal="left"/>
    </xf>
    <xf numFmtId="0" fontId="0" fillId="0" borderId="27"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xr:uid="{00000000-0005-0000-0000-0000AD000000}"/>
    <cellStyle name="Percent 2" xfId="162" xr:uid="{00000000-0005-0000-0000-0000AE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1808-6342-82FB-7E3A9EB59112}"/>
            </c:ext>
          </c:extLst>
        </c:ser>
        <c:ser>
          <c:idx val="1"/>
          <c:order val="1"/>
          <c:tx>
            <c:strRef>
              <c:f>interpolation!$B$8</c:f>
              <c:strCache>
                <c:ptCount val="1"/>
                <c:pt idx="0">
                  <c:v>Coal</c:v>
                </c:pt>
              </c:strCache>
            </c:strRef>
          </c:tx>
          <c:val>
            <c:numRef>
              <c:f>interpolation!$B$9:$B$59</c:f>
              <c:numCache>
                <c:formatCode>General</c:formatCode>
                <c:ptCount val="51"/>
                <c:pt idx="0">
                  <c:v>2626320.8682136806</c:v>
                </c:pt>
                <c:pt idx="1">
                  <c:v>2608332.6365519045</c:v>
                </c:pt>
                <c:pt idx="2">
                  <c:v>2590344.4048901284</c:v>
                </c:pt>
                <c:pt idx="3">
                  <c:v>2572356.1732283523</c:v>
                </c:pt>
                <c:pt idx="4">
                  <c:v>2554367.9415665762</c:v>
                </c:pt>
                <c:pt idx="5">
                  <c:v>2536379.7099048002</c:v>
                </c:pt>
                <c:pt idx="6">
                  <c:v>2437101.4975728481</c:v>
                </c:pt>
                <c:pt idx="7">
                  <c:v>2337823.285240896</c:v>
                </c:pt>
                <c:pt idx="8">
                  <c:v>2238545.072908944</c:v>
                </c:pt>
                <c:pt idx="9">
                  <c:v>2139266.8605769919</c:v>
                </c:pt>
                <c:pt idx="10">
                  <c:v>2039988.6482450399</c:v>
                </c:pt>
                <c:pt idx="11">
                  <c:v>1963817.5541225199</c:v>
                </c:pt>
                <c:pt idx="12">
                  <c:v>1887646.46</c:v>
                </c:pt>
                <c:pt idx="13">
                  <c:v>1940946.3536720774</c:v>
                </c:pt>
                <c:pt idx="14">
                  <c:v>1994246.2473441551</c:v>
                </c:pt>
                <c:pt idx="15">
                  <c:v>2047546.1410162325</c:v>
                </c:pt>
                <c:pt idx="16">
                  <c:v>2019787.4296122012</c:v>
                </c:pt>
                <c:pt idx="17">
                  <c:v>1992028.7182081698</c:v>
                </c:pt>
                <c:pt idx="18">
                  <c:v>1964270.0068041382</c:v>
                </c:pt>
                <c:pt idx="19">
                  <c:v>1936511.2954001068</c:v>
                </c:pt>
                <c:pt idx="20">
                  <c:v>1908752.5839960754</c:v>
                </c:pt>
                <c:pt idx="21">
                  <c:v>1860712.3810238875</c:v>
                </c:pt>
                <c:pt idx="22">
                  <c:v>1812672.1780516997</c:v>
                </c:pt>
                <c:pt idx="23">
                  <c:v>1764631.9750795118</c:v>
                </c:pt>
                <c:pt idx="24">
                  <c:v>1716591.7721073236</c:v>
                </c:pt>
                <c:pt idx="25">
                  <c:v>1668551.5691351357</c:v>
                </c:pt>
                <c:pt idx="26">
                  <c:v>1625375.9712096872</c:v>
                </c:pt>
                <c:pt idx="27">
                  <c:v>1582200.3732842389</c:v>
                </c:pt>
                <c:pt idx="28">
                  <c:v>1539024.7753587903</c:v>
                </c:pt>
                <c:pt idx="29">
                  <c:v>1495849.177433342</c:v>
                </c:pt>
                <c:pt idx="30">
                  <c:v>1452673.5795078934</c:v>
                </c:pt>
                <c:pt idx="31">
                  <c:v>1389718.5116718775</c:v>
                </c:pt>
                <c:pt idx="32">
                  <c:v>1326763.4438358617</c:v>
                </c:pt>
                <c:pt idx="33">
                  <c:v>1263808.3759998458</c:v>
                </c:pt>
                <c:pt idx="34">
                  <c:v>1200853.3081638301</c:v>
                </c:pt>
                <c:pt idx="35">
                  <c:v>1137898.2403278141</c:v>
                </c:pt>
                <c:pt idx="36">
                  <c:v>1077505.1560433123</c:v>
                </c:pt>
                <c:pt idx="37">
                  <c:v>1017112.0717588104</c:v>
                </c:pt>
                <c:pt idx="38">
                  <c:v>956718.98747430858</c:v>
                </c:pt>
                <c:pt idx="39">
                  <c:v>896325.90318980673</c:v>
                </c:pt>
                <c:pt idx="40">
                  <c:v>835932.81890530488</c:v>
                </c:pt>
                <c:pt idx="41">
                  <c:v>812075.11019326712</c:v>
                </c:pt>
                <c:pt idx="42">
                  <c:v>788217.40148122935</c:v>
                </c:pt>
                <c:pt idx="43">
                  <c:v>764359.69276919158</c:v>
                </c:pt>
                <c:pt idx="44">
                  <c:v>740501.98405715381</c:v>
                </c:pt>
                <c:pt idx="45">
                  <c:v>716644.27534511604</c:v>
                </c:pt>
                <c:pt idx="46">
                  <c:v>708989.40136610612</c:v>
                </c:pt>
                <c:pt idx="47">
                  <c:v>701334.5273870962</c:v>
                </c:pt>
                <c:pt idx="48">
                  <c:v>693679.65340808616</c:v>
                </c:pt>
                <c:pt idx="49">
                  <c:v>686024.77942907624</c:v>
                </c:pt>
                <c:pt idx="50">
                  <c:v>678369.90545006632</c:v>
                </c:pt>
              </c:numCache>
            </c:numRef>
          </c:val>
          <c:smooth val="0"/>
          <c:extLst>
            <c:ext xmlns:c16="http://schemas.microsoft.com/office/drawing/2014/chart" uri="{C3380CC4-5D6E-409C-BE32-E72D297353CC}">
              <c16:uniqueId val="{00000001-1808-6342-82FB-7E3A9EB59112}"/>
            </c:ext>
          </c:extLst>
        </c:ser>
        <c:ser>
          <c:idx val="2"/>
          <c:order val="2"/>
          <c:tx>
            <c:strRef>
              <c:f>interpolation!$C$8</c:f>
              <c:strCache>
                <c:ptCount val="1"/>
                <c:pt idx="0">
                  <c:v>Lignite</c:v>
                </c:pt>
              </c:strCache>
            </c:strRef>
          </c:tx>
          <c:val>
            <c:numRef>
              <c:f>interpolation!$C$9:$C$59</c:f>
              <c:numCache>
                <c:formatCode>General</c:formatCode>
                <c:ptCount val="51"/>
                <c:pt idx="0">
                  <c:v>657326.50054632023</c:v>
                </c:pt>
                <c:pt idx="1">
                  <c:v>652824.33117609622</c:v>
                </c:pt>
                <c:pt idx="2">
                  <c:v>648322.16180587222</c:v>
                </c:pt>
                <c:pt idx="3">
                  <c:v>643819.99243564811</c:v>
                </c:pt>
                <c:pt idx="4">
                  <c:v>639317.82306542411</c:v>
                </c:pt>
                <c:pt idx="5">
                  <c:v>634815.6536952001</c:v>
                </c:pt>
                <c:pt idx="6">
                  <c:v>609967.89016315213</c:v>
                </c:pt>
                <c:pt idx="7">
                  <c:v>585120.12663110404</c:v>
                </c:pt>
                <c:pt idx="8">
                  <c:v>560272.36309905606</c:v>
                </c:pt>
                <c:pt idx="9">
                  <c:v>535424.59956700797</c:v>
                </c:pt>
                <c:pt idx="10">
                  <c:v>510576.83603496</c:v>
                </c:pt>
                <c:pt idx="11">
                  <c:v>521857.57801747997</c:v>
                </c:pt>
                <c:pt idx="12">
                  <c:v>533138.31999999995</c:v>
                </c:pt>
                <c:pt idx="13">
                  <c:v>526248.33224360622</c:v>
                </c:pt>
                <c:pt idx="14">
                  <c:v>519358.34448721254</c:v>
                </c:pt>
                <c:pt idx="15">
                  <c:v>512468.35673081881</c:v>
                </c:pt>
                <c:pt idx="16">
                  <c:v>505520.79108957341</c:v>
                </c:pt>
                <c:pt idx="17">
                  <c:v>498573.22544832801</c:v>
                </c:pt>
                <c:pt idx="18">
                  <c:v>491625.65980708256</c:v>
                </c:pt>
                <c:pt idx="19">
                  <c:v>484678.09416583716</c:v>
                </c:pt>
                <c:pt idx="20">
                  <c:v>477730.52852459176</c:v>
                </c:pt>
                <c:pt idx="21">
                  <c:v>465706.8268941351</c:v>
                </c:pt>
                <c:pt idx="22">
                  <c:v>453683.12526367843</c:v>
                </c:pt>
                <c:pt idx="23">
                  <c:v>441659.42363322177</c:v>
                </c:pt>
                <c:pt idx="24">
                  <c:v>429635.72200276505</c:v>
                </c:pt>
                <c:pt idx="25">
                  <c:v>417612.02037230838</c:v>
                </c:pt>
                <c:pt idx="26">
                  <c:v>406805.85230776673</c:v>
                </c:pt>
                <c:pt idx="27">
                  <c:v>395999.68424322509</c:v>
                </c:pt>
                <c:pt idx="28">
                  <c:v>385193.51617868338</c:v>
                </c:pt>
                <c:pt idx="29">
                  <c:v>374387.34811414173</c:v>
                </c:pt>
                <c:pt idx="30">
                  <c:v>363581.18004960008</c:v>
                </c:pt>
                <c:pt idx="31">
                  <c:v>347824.52406245447</c:v>
                </c:pt>
                <c:pt idx="32">
                  <c:v>332067.86807530886</c:v>
                </c:pt>
                <c:pt idx="33">
                  <c:v>316311.21208816324</c:v>
                </c:pt>
                <c:pt idx="34">
                  <c:v>300554.55610101769</c:v>
                </c:pt>
                <c:pt idx="35">
                  <c:v>284797.90011387208</c:v>
                </c:pt>
                <c:pt idx="36">
                  <c:v>269682.46801629616</c:v>
                </c:pt>
                <c:pt idx="37">
                  <c:v>254567.03591872021</c:v>
                </c:pt>
                <c:pt idx="38">
                  <c:v>239451.60382114429</c:v>
                </c:pt>
                <c:pt idx="39">
                  <c:v>224336.17172356835</c:v>
                </c:pt>
                <c:pt idx="40">
                  <c:v>209220.73962599243</c:v>
                </c:pt>
                <c:pt idx="41">
                  <c:v>203249.53314907639</c:v>
                </c:pt>
                <c:pt idx="42">
                  <c:v>197278.32667216039</c:v>
                </c:pt>
                <c:pt idx="43">
                  <c:v>191307.12019524435</c:v>
                </c:pt>
                <c:pt idx="44">
                  <c:v>185335.91371832835</c:v>
                </c:pt>
                <c:pt idx="45">
                  <c:v>179364.70724141231</c:v>
                </c:pt>
                <c:pt idx="46">
                  <c:v>177448.81357219431</c:v>
                </c:pt>
                <c:pt idx="47">
                  <c:v>175532.91990297631</c:v>
                </c:pt>
                <c:pt idx="48">
                  <c:v>173617.02623375834</c:v>
                </c:pt>
                <c:pt idx="49">
                  <c:v>171701.13256454034</c:v>
                </c:pt>
                <c:pt idx="50">
                  <c:v>169785.23889532234</c:v>
                </c:pt>
              </c:numCache>
            </c:numRef>
          </c:val>
          <c:smooth val="0"/>
          <c:extLst>
            <c:ext xmlns:c16="http://schemas.microsoft.com/office/drawing/2014/chart" uri="{C3380CC4-5D6E-409C-BE32-E72D297353CC}">
              <c16:uniqueId val="{00000002-1808-6342-82FB-7E3A9EB59112}"/>
            </c:ext>
          </c:extLst>
        </c:ser>
        <c:ser>
          <c:idx val="3"/>
          <c:order val="3"/>
          <c:tx>
            <c:strRef>
              <c:f>interpolation!$D$8</c:f>
              <c:strCache>
                <c:ptCount val="1"/>
                <c:pt idx="0">
                  <c:v>Natural gas</c:v>
                </c:pt>
              </c:strCache>
            </c:strRef>
          </c:tx>
          <c:val>
            <c:numRef>
              <c:f>interpolation!$D$9:$D$59</c:f>
              <c:numCache>
                <c:formatCode>General</c:formatCode>
                <c:ptCount val="51"/>
                <c:pt idx="0">
                  <c:v>138892.90319999997</c:v>
                </c:pt>
                <c:pt idx="1">
                  <c:v>143661.66839999997</c:v>
                </c:pt>
                <c:pt idx="2">
                  <c:v>148430.43359999996</c:v>
                </c:pt>
                <c:pt idx="3">
                  <c:v>153199.19879999995</c:v>
                </c:pt>
                <c:pt idx="4">
                  <c:v>157967.96399999995</c:v>
                </c:pt>
                <c:pt idx="5">
                  <c:v>162736.72919999994</c:v>
                </c:pt>
                <c:pt idx="6">
                  <c:v>161134.02215999996</c:v>
                </c:pt>
                <c:pt idx="7">
                  <c:v>159531.31511999998</c:v>
                </c:pt>
                <c:pt idx="8">
                  <c:v>157928.60807999998</c:v>
                </c:pt>
                <c:pt idx="9">
                  <c:v>156325.90104</c:v>
                </c:pt>
                <c:pt idx="10">
                  <c:v>154723.19400000002</c:v>
                </c:pt>
                <c:pt idx="11">
                  <c:v>157463.93700000001</c:v>
                </c:pt>
                <c:pt idx="12">
                  <c:v>160204.68</c:v>
                </c:pt>
                <c:pt idx="13">
                  <c:v>161886.92173888866</c:v>
                </c:pt>
                <c:pt idx="14">
                  <c:v>163569.16347777733</c:v>
                </c:pt>
                <c:pt idx="15">
                  <c:v>165251.405216666</c:v>
                </c:pt>
                <c:pt idx="16">
                  <c:v>170643.07707272211</c:v>
                </c:pt>
                <c:pt idx="17">
                  <c:v>176034.74892877822</c:v>
                </c:pt>
                <c:pt idx="18">
                  <c:v>181426.42078483436</c:v>
                </c:pt>
                <c:pt idx="19">
                  <c:v>186818.09264089048</c:v>
                </c:pt>
                <c:pt idx="20">
                  <c:v>192209.76449694659</c:v>
                </c:pt>
                <c:pt idx="21">
                  <c:v>196168.39671887524</c:v>
                </c:pt>
                <c:pt idx="22">
                  <c:v>200127.02894080387</c:v>
                </c:pt>
                <c:pt idx="23">
                  <c:v>204085.66116273252</c:v>
                </c:pt>
                <c:pt idx="24">
                  <c:v>208044.29338466114</c:v>
                </c:pt>
                <c:pt idx="25">
                  <c:v>212002.92560658979</c:v>
                </c:pt>
                <c:pt idx="26">
                  <c:v>235809.71603122121</c:v>
                </c:pt>
                <c:pt idx="27">
                  <c:v>259616.50645585262</c:v>
                </c:pt>
                <c:pt idx="28">
                  <c:v>283423.29688048403</c:v>
                </c:pt>
                <c:pt idx="29">
                  <c:v>307230.08730511542</c:v>
                </c:pt>
                <c:pt idx="30">
                  <c:v>331036.87772974686</c:v>
                </c:pt>
                <c:pt idx="31">
                  <c:v>348338.33420173213</c:v>
                </c:pt>
                <c:pt idx="32">
                  <c:v>365639.79067371739</c:v>
                </c:pt>
                <c:pt idx="33">
                  <c:v>382941.24714570265</c:v>
                </c:pt>
                <c:pt idx="34">
                  <c:v>400242.70361768792</c:v>
                </c:pt>
                <c:pt idx="35">
                  <c:v>417544.16008967318</c:v>
                </c:pt>
                <c:pt idx="36">
                  <c:v>431286.51737893146</c:v>
                </c:pt>
                <c:pt idx="37">
                  <c:v>445028.87466818979</c:v>
                </c:pt>
                <c:pt idx="38">
                  <c:v>458771.23195744806</c:v>
                </c:pt>
                <c:pt idx="39">
                  <c:v>472513.5892467064</c:v>
                </c:pt>
                <c:pt idx="40">
                  <c:v>486255.94653596467</c:v>
                </c:pt>
                <c:pt idx="41">
                  <c:v>498350.5464908001</c:v>
                </c:pt>
                <c:pt idx="42">
                  <c:v>510445.14644563559</c:v>
                </c:pt>
                <c:pt idx="43">
                  <c:v>522539.74640047102</c:v>
                </c:pt>
                <c:pt idx="44">
                  <c:v>534634.34635530645</c:v>
                </c:pt>
                <c:pt idx="45">
                  <c:v>546728.94631014194</c:v>
                </c:pt>
                <c:pt idx="46">
                  <c:v>557224.23856621573</c:v>
                </c:pt>
                <c:pt idx="47">
                  <c:v>567719.53082228953</c:v>
                </c:pt>
                <c:pt idx="48">
                  <c:v>578214.82307836332</c:v>
                </c:pt>
                <c:pt idx="49">
                  <c:v>588710.11533443711</c:v>
                </c:pt>
                <c:pt idx="50">
                  <c:v>599205.40759051091</c:v>
                </c:pt>
              </c:numCache>
            </c:numRef>
          </c:val>
          <c:smooth val="0"/>
          <c:extLst>
            <c:ext xmlns:c16="http://schemas.microsoft.com/office/drawing/2014/chart" uri="{C3380CC4-5D6E-409C-BE32-E72D297353CC}">
              <c16:uniqueId val="{00000003-1808-6342-82FB-7E3A9EB59112}"/>
            </c:ext>
          </c:extLst>
        </c:ser>
        <c:ser>
          <c:idx val="4"/>
          <c:order val="4"/>
          <c:tx>
            <c:strRef>
              <c:f>interpolation!$E$8</c:f>
              <c:strCache>
                <c:ptCount val="1"/>
                <c:pt idx="0">
                  <c:v>Crude oil</c:v>
                </c:pt>
              </c:strCache>
            </c:strRef>
          </c:tx>
          <c:val>
            <c:numRef>
              <c:f>interpolation!$E$9:$E$59</c:f>
              <c:numCache>
                <c:formatCode>General</c:formatCode>
                <c:ptCount val="51"/>
                <c:pt idx="0">
                  <c:v>44472.189600000012</c:v>
                </c:pt>
                <c:pt idx="1">
                  <c:v>45147.93912000001</c:v>
                </c:pt>
                <c:pt idx="2">
                  <c:v>45823.68864</c:v>
                </c:pt>
                <c:pt idx="3">
                  <c:v>46499.438159999998</c:v>
                </c:pt>
                <c:pt idx="4">
                  <c:v>47175.187679999988</c:v>
                </c:pt>
                <c:pt idx="5">
                  <c:v>47850.937199999986</c:v>
                </c:pt>
                <c:pt idx="6">
                  <c:v>47184.398639999985</c:v>
                </c:pt>
                <c:pt idx="7">
                  <c:v>46517.860079999984</c:v>
                </c:pt>
                <c:pt idx="8">
                  <c:v>45851.321519999976</c:v>
                </c:pt>
                <c:pt idx="9">
                  <c:v>45184.782959999975</c:v>
                </c:pt>
                <c:pt idx="10">
                  <c:v>44518.244399999974</c:v>
                </c:pt>
                <c:pt idx="11">
                  <c:v>36919.977199999987</c:v>
                </c:pt>
                <c:pt idx="12">
                  <c:v>29321.71</c:v>
                </c:pt>
                <c:pt idx="13">
                  <c:v>41022.564347510008</c:v>
                </c:pt>
                <c:pt idx="14">
                  <c:v>52723.418695020009</c:v>
                </c:pt>
                <c:pt idx="15">
                  <c:v>64424.273042530018</c:v>
                </c:pt>
                <c:pt idx="16">
                  <c:v>64794.880880047451</c:v>
                </c:pt>
                <c:pt idx="17">
                  <c:v>65165.488717564876</c:v>
                </c:pt>
                <c:pt idx="18">
                  <c:v>65536.096555082302</c:v>
                </c:pt>
                <c:pt idx="19">
                  <c:v>65906.704392599742</c:v>
                </c:pt>
                <c:pt idx="20">
                  <c:v>66277.312230117168</c:v>
                </c:pt>
                <c:pt idx="21">
                  <c:v>66130.275543754324</c:v>
                </c:pt>
                <c:pt idx="22">
                  <c:v>65983.23885739148</c:v>
                </c:pt>
                <c:pt idx="23">
                  <c:v>65836.20217102865</c:v>
                </c:pt>
                <c:pt idx="24">
                  <c:v>65689.165484665806</c:v>
                </c:pt>
                <c:pt idx="25">
                  <c:v>65542.128798302962</c:v>
                </c:pt>
                <c:pt idx="26">
                  <c:v>65355.027438625344</c:v>
                </c:pt>
                <c:pt idx="27">
                  <c:v>65167.926078947727</c:v>
                </c:pt>
                <c:pt idx="28">
                  <c:v>64980.824719270116</c:v>
                </c:pt>
                <c:pt idx="29">
                  <c:v>64793.723359592499</c:v>
                </c:pt>
                <c:pt idx="30">
                  <c:v>64606.621999914882</c:v>
                </c:pt>
                <c:pt idx="31">
                  <c:v>64158.19108139872</c:v>
                </c:pt>
                <c:pt idx="32">
                  <c:v>63709.760162882565</c:v>
                </c:pt>
                <c:pt idx="33">
                  <c:v>63261.329244366403</c:v>
                </c:pt>
                <c:pt idx="34">
                  <c:v>62812.898325850249</c:v>
                </c:pt>
                <c:pt idx="35">
                  <c:v>62364.467407334087</c:v>
                </c:pt>
                <c:pt idx="36">
                  <c:v>61216.590573208683</c:v>
                </c:pt>
                <c:pt idx="37">
                  <c:v>60068.71373908328</c:v>
                </c:pt>
                <c:pt idx="38">
                  <c:v>58920.836904957883</c:v>
                </c:pt>
                <c:pt idx="39">
                  <c:v>57772.96007083248</c:v>
                </c:pt>
                <c:pt idx="40">
                  <c:v>56625.083236707076</c:v>
                </c:pt>
                <c:pt idx="41">
                  <c:v>55530.980382370835</c:v>
                </c:pt>
                <c:pt idx="42">
                  <c:v>54436.877528034594</c:v>
                </c:pt>
                <c:pt idx="43">
                  <c:v>53342.774673698346</c:v>
                </c:pt>
                <c:pt idx="44">
                  <c:v>52248.671819362105</c:v>
                </c:pt>
                <c:pt idx="45">
                  <c:v>51154.568965025865</c:v>
                </c:pt>
                <c:pt idx="46">
                  <c:v>50186.879741227742</c:v>
                </c:pt>
                <c:pt idx="47">
                  <c:v>49219.190517429612</c:v>
                </c:pt>
                <c:pt idx="48">
                  <c:v>48251.501293631489</c:v>
                </c:pt>
                <c:pt idx="49">
                  <c:v>47283.812069833359</c:v>
                </c:pt>
                <c:pt idx="50">
                  <c:v>46316.122846035236</c:v>
                </c:pt>
              </c:numCache>
            </c:numRef>
          </c:val>
          <c:smooth val="0"/>
          <c:extLst>
            <c:ext xmlns:c16="http://schemas.microsoft.com/office/drawing/2014/chart" uri="{C3380CC4-5D6E-409C-BE32-E72D297353CC}">
              <c16:uniqueId val="{00000004-1808-6342-82FB-7E3A9EB59112}"/>
            </c:ext>
          </c:extLst>
        </c:ser>
        <c:ser>
          <c:idx val="5"/>
          <c:order val="5"/>
          <c:tx>
            <c:strRef>
              <c:f>interpolation!$F$8</c:f>
              <c:strCache>
                <c:ptCount val="1"/>
                <c:pt idx="0">
                  <c:v>Uranium oxide</c:v>
                </c:pt>
              </c:strCache>
            </c:strRef>
          </c:tx>
          <c:val>
            <c:numRef>
              <c:f>interpolation!$F$9:$F$59</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49717.368568421065</c:v>
                </c:pt>
                <c:pt idx="32">
                  <c:v>99434.73713684213</c:v>
                </c:pt>
                <c:pt idx="33">
                  <c:v>149152.10570526321</c:v>
                </c:pt>
                <c:pt idx="34">
                  <c:v>198869.47427368426</c:v>
                </c:pt>
                <c:pt idx="35">
                  <c:v>248586.84284210534</c:v>
                </c:pt>
                <c:pt idx="36">
                  <c:v>273445.52712631586</c:v>
                </c:pt>
                <c:pt idx="37">
                  <c:v>298304.21141052642</c:v>
                </c:pt>
                <c:pt idx="38">
                  <c:v>323162.89569473697</c:v>
                </c:pt>
                <c:pt idx="39">
                  <c:v>348021.57997894747</c:v>
                </c:pt>
                <c:pt idx="40">
                  <c:v>372880.26426315802</c:v>
                </c:pt>
                <c:pt idx="41">
                  <c:v>397738.94854736858</c:v>
                </c:pt>
                <c:pt idx="42">
                  <c:v>422597.63283157907</c:v>
                </c:pt>
                <c:pt idx="43">
                  <c:v>447456.31711578963</c:v>
                </c:pt>
                <c:pt idx="44">
                  <c:v>472315.00140000018</c:v>
                </c:pt>
                <c:pt idx="45">
                  <c:v>497173.68568421068</c:v>
                </c:pt>
                <c:pt idx="46">
                  <c:v>522032.36996842123</c:v>
                </c:pt>
                <c:pt idx="47">
                  <c:v>546891.05425263173</c:v>
                </c:pt>
                <c:pt idx="48">
                  <c:v>571749.73853684228</c:v>
                </c:pt>
                <c:pt idx="49">
                  <c:v>596608.42282105284</c:v>
                </c:pt>
                <c:pt idx="50">
                  <c:v>621467.10710526339</c:v>
                </c:pt>
              </c:numCache>
            </c:numRef>
          </c:val>
          <c:smooth val="0"/>
          <c:extLst>
            <c:ext xmlns:c16="http://schemas.microsoft.com/office/drawing/2014/chart" uri="{C3380CC4-5D6E-409C-BE32-E72D297353CC}">
              <c16:uniqueId val="{00000005-1808-6342-82FB-7E3A9EB59112}"/>
            </c:ext>
          </c:extLst>
        </c:ser>
        <c:ser>
          <c:idx val="6"/>
          <c:order val="6"/>
          <c:tx>
            <c:strRef>
              <c:f>interpolation!$G$8</c:f>
              <c:strCache>
                <c:ptCount val="1"/>
                <c:pt idx="0">
                  <c:v>Woody biomass</c:v>
                </c:pt>
              </c:strCache>
            </c:strRef>
          </c:tx>
          <c:val>
            <c:numRef>
              <c:f>interpolation!$G$9:$G$59</c:f>
              <c:numCache>
                <c:formatCode>General</c:formatCode>
                <c:ptCount val="51"/>
                <c:pt idx="0">
                  <c:v>144939.56852016001</c:v>
                </c:pt>
                <c:pt idx="1">
                  <c:v>150890.971663656</c:v>
                </c:pt>
                <c:pt idx="2">
                  <c:v>156842.37480715199</c:v>
                </c:pt>
                <c:pt idx="3">
                  <c:v>162793.77795064799</c:v>
                </c:pt>
                <c:pt idx="4">
                  <c:v>168745.18109414401</c:v>
                </c:pt>
                <c:pt idx="5">
                  <c:v>174696.58423764</c:v>
                </c:pt>
                <c:pt idx="6">
                  <c:v>192933.40829740441</c:v>
                </c:pt>
                <c:pt idx="7">
                  <c:v>211170.23235716886</c:v>
                </c:pt>
                <c:pt idx="8">
                  <c:v>229407.05641693328</c:v>
                </c:pt>
                <c:pt idx="9">
                  <c:v>247643.8804766977</c:v>
                </c:pt>
                <c:pt idx="10">
                  <c:v>265880.70453646214</c:v>
                </c:pt>
                <c:pt idx="11">
                  <c:v>280738.25515602215</c:v>
                </c:pt>
                <c:pt idx="12">
                  <c:v>295595.80577558215</c:v>
                </c:pt>
                <c:pt idx="13">
                  <c:v>310453.35639514215</c:v>
                </c:pt>
                <c:pt idx="14">
                  <c:v>325310.9070147021</c:v>
                </c:pt>
                <c:pt idx="15">
                  <c:v>340168.4576342621</c:v>
                </c:pt>
                <c:pt idx="16">
                  <c:v>356028.63783601089</c:v>
                </c:pt>
                <c:pt idx="17">
                  <c:v>371888.81803775969</c:v>
                </c:pt>
                <c:pt idx="18">
                  <c:v>387748.99823950848</c:v>
                </c:pt>
                <c:pt idx="19">
                  <c:v>403609.17844125722</c:v>
                </c:pt>
                <c:pt idx="20">
                  <c:v>419469.35864300601</c:v>
                </c:pt>
                <c:pt idx="21">
                  <c:v>427583.86362189759</c:v>
                </c:pt>
                <c:pt idx="22">
                  <c:v>435698.36860078922</c:v>
                </c:pt>
                <c:pt idx="23">
                  <c:v>443812.8735796808</c:v>
                </c:pt>
                <c:pt idx="24">
                  <c:v>451927.37855857244</c:v>
                </c:pt>
                <c:pt idx="25">
                  <c:v>460041.88353746402</c:v>
                </c:pt>
                <c:pt idx="26">
                  <c:v>467170.05907525623</c:v>
                </c:pt>
                <c:pt idx="27">
                  <c:v>474298.23461304844</c:v>
                </c:pt>
                <c:pt idx="28">
                  <c:v>481426.41015084065</c:v>
                </c:pt>
                <c:pt idx="29">
                  <c:v>488554.58568863285</c:v>
                </c:pt>
                <c:pt idx="30">
                  <c:v>495682.76122642506</c:v>
                </c:pt>
                <c:pt idx="31">
                  <c:v>499323.73068989406</c:v>
                </c:pt>
                <c:pt idx="32">
                  <c:v>502964.70015336305</c:v>
                </c:pt>
                <c:pt idx="33">
                  <c:v>506605.66961683199</c:v>
                </c:pt>
                <c:pt idx="34">
                  <c:v>510246.63908030099</c:v>
                </c:pt>
                <c:pt idx="35">
                  <c:v>513887.60854376998</c:v>
                </c:pt>
                <c:pt idx="36">
                  <c:v>518256.94540546957</c:v>
                </c:pt>
                <c:pt idx="37">
                  <c:v>522626.28226716915</c:v>
                </c:pt>
                <c:pt idx="38">
                  <c:v>526995.61912886868</c:v>
                </c:pt>
                <c:pt idx="39">
                  <c:v>531364.95599056827</c:v>
                </c:pt>
                <c:pt idx="40">
                  <c:v>535734.29285226786</c:v>
                </c:pt>
                <c:pt idx="41">
                  <c:v>539719.07107901073</c:v>
                </c:pt>
                <c:pt idx="42">
                  <c:v>543703.84930575371</c:v>
                </c:pt>
                <c:pt idx="43">
                  <c:v>547688.62753249658</c:v>
                </c:pt>
                <c:pt idx="44">
                  <c:v>551673.40575923957</c:v>
                </c:pt>
                <c:pt idx="45">
                  <c:v>555658.18398598244</c:v>
                </c:pt>
                <c:pt idx="46">
                  <c:v>556935.22147900506</c:v>
                </c:pt>
                <c:pt idx="47">
                  <c:v>558212.25897202757</c:v>
                </c:pt>
                <c:pt idx="48">
                  <c:v>559489.2964650502</c:v>
                </c:pt>
                <c:pt idx="49">
                  <c:v>560766.3339580727</c:v>
                </c:pt>
                <c:pt idx="50">
                  <c:v>562043.37145109533</c:v>
                </c:pt>
              </c:numCache>
            </c:numRef>
          </c:val>
          <c:smooth val="0"/>
          <c:extLst>
            <c:ext xmlns:c16="http://schemas.microsoft.com/office/drawing/2014/chart" uri="{C3380CC4-5D6E-409C-BE32-E72D297353CC}">
              <c16:uniqueId val="{00000006-1808-6342-82FB-7E3A9EB59112}"/>
            </c:ext>
          </c:extLst>
        </c:ser>
        <c:dLbls>
          <c:showLegendKey val="0"/>
          <c:showVal val="0"/>
          <c:showCatName val="0"/>
          <c:showSerName val="0"/>
          <c:showPercent val="0"/>
          <c:showBubbleSize val="0"/>
        </c:dLbls>
        <c:marker val="1"/>
        <c:smooth val="0"/>
        <c:axId val="2142368936"/>
        <c:axId val="2142324424"/>
      </c:lineChart>
      <c:catAx>
        <c:axId val="2142368936"/>
        <c:scaling>
          <c:orientation val="minMax"/>
        </c:scaling>
        <c:delete val="0"/>
        <c:axPos val="b"/>
        <c:majorTickMark val="out"/>
        <c:minorTickMark val="none"/>
        <c:tickLblPos val="nextTo"/>
        <c:crossAx val="2142324424"/>
        <c:crosses val="autoZero"/>
        <c:auto val="1"/>
        <c:lblAlgn val="ctr"/>
        <c:lblOffset val="100"/>
        <c:noMultiLvlLbl val="0"/>
      </c:catAx>
      <c:valAx>
        <c:axId val="2142324424"/>
        <c:scaling>
          <c:orientation val="minMax"/>
        </c:scaling>
        <c:delete val="0"/>
        <c:axPos val="l"/>
        <c:majorGridlines/>
        <c:numFmt formatCode="General" sourceLinked="1"/>
        <c:majorTickMark val="out"/>
        <c:minorTickMark val="none"/>
        <c:tickLblPos val="nextTo"/>
        <c:crossAx val="214236893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7" sqref="C7"/>
    </sheetView>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94</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84</v>
      </c>
    </row>
    <row r="12" spans="2:3" s="67" customFormat="1" ht="30" customHeight="1" x14ac:dyDescent="0.2">
      <c r="B12" s="72" t="s">
        <v>79</v>
      </c>
      <c r="C12" s="71" t="s">
        <v>85</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ht="17" x14ac:dyDescent="0.2">
      <c r="B6" s="76" t="s">
        <v>86</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87</v>
      </c>
      <c r="C11" s="21"/>
    </row>
    <row r="12" spans="2:3" ht="15" customHeight="1" x14ac:dyDescent="0.2">
      <c r="B12" s="79" t="s">
        <v>88</v>
      </c>
      <c r="C12" s="21"/>
    </row>
    <row r="13" spans="2:3" ht="15" customHeight="1" x14ac:dyDescent="0.2">
      <c r="B13" s="79" t="s">
        <v>89</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102"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22"/>
  <sheetViews>
    <sheetView workbookViewId="0"/>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59" t="s">
        <v>68</v>
      </c>
      <c r="C5" s="160"/>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4" x14ac:dyDescent="0.2">
      <c r="B11" s="104"/>
      <c r="C11" s="103" t="s">
        <v>90</v>
      </c>
      <c r="D11" s="105"/>
      <c r="F11" s="106"/>
    </row>
    <row r="12" spans="1:6" x14ac:dyDescent="0.2">
      <c r="B12" s="104"/>
      <c r="C12" s="103"/>
      <c r="D12" s="105"/>
      <c r="F12" s="106"/>
    </row>
    <row r="13" spans="1:6" ht="17" thickBot="1" x14ac:dyDescent="0.25">
      <c r="B13" s="107"/>
      <c r="C13" s="108"/>
      <c r="D13" s="109"/>
    </row>
    <row r="14" spans="1:6" ht="17" thickBot="1" x14ac:dyDescent="0.25">
      <c r="B14" s="86"/>
      <c r="C14" s="86"/>
      <c r="D14" s="86"/>
    </row>
    <row r="15" spans="1:6" x14ac:dyDescent="0.2">
      <c r="B15" s="89" t="s">
        <v>73</v>
      </c>
      <c r="C15" s="90"/>
      <c r="D15" s="91"/>
    </row>
    <row r="16" spans="1:6" x14ac:dyDescent="0.2">
      <c r="B16" s="92"/>
      <c r="C16" s="93"/>
      <c r="D16" s="94"/>
    </row>
    <row r="17" spans="2:4" x14ac:dyDescent="0.2">
      <c r="B17" s="96" t="s">
        <v>70</v>
      </c>
      <c r="C17" s="97" t="s">
        <v>71</v>
      </c>
      <c r="D17" s="98" t="s">
        <v>74</v>
      </c>
    </row>
    <row r="18" spans="2:4" x14ac:dyDescent="0.2">
      <c r="B18" s="99"/>
      <c r="C18" s="110"/>
      <c r="D18" s="101"/>
    </row>
    <row r="19" spans="2:4" x14ac:dyDescent="0.2">
      <c r="B19" s="102"/>
      <c r="C19" s="103"/>
      <c r="D19" s="105"/>
    </row>
    <row r="20" spans="2:4" x14ac:dyDescent="0.2">
      <c r="B20" s="102"/>
      <c r="C20" s="111"/>
      <c r="D20" s="112"/>
    </row>
    <row r="21" spans="2:4" ht="17" thickBot="1" x14ac:dyDescent="0.25">
      <c r="B21" s="113"/>
      <c r="C21" s="114"/>
      <c r="D21" s="115"/>
    </row>
    <row r="22" spans="2:4" x14ac:dyDescent="0.2">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B21" sqref="B21:M31"/>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61" t="s">
        <v>91</v>
      </c>
      <c r="C5" s="162"/>
      <c r="D5" s="162"/>
      <c r="E5" s="162"/>
      <c r="F5" s="162"/>
      <c r="G5" s="163"/>
      <c r="H5" s="122"/>
      <c r="I5" s="122"/>
      <c r="J5" s="86"/>
      <c r="K5" s="126"/>
      <c r="L5" s="21"/>
      <c r="M5" s="21"/>
    </row>
    <row r="6" spans="2:14" s="16" customFormat="1" x14ac:dyDescent="0.2">
      <c r="B6" s="161"/>
      <c r="C6" s="162"/>
      <c r="D6" s="162"/>
      <c r="E6" s="162"/>
      <c r="F6" s="162"/>
      <c r="G6" s="163"/>
      <c r="H6" s="122"/>
      <c r="I6" s="122"/>
      <c r="J6" s="86"/>
      <c r="K6" s="126"/>
      <c r="L6" s="21"/>
      <c r="M6" s="21"/>
    </row>
    <row r="7" spans="2:14" s="16" customFormat="1" x14ac:dyDescent="0.2">
      <c r="B7" s="159"/>
      <c r="C7" s="164"/>
      <c r="D7" s="164"/>
      <c r="E7" s="164"/>
      <c r="F7" s="164"/>
      <c r="G7" s="160"/>
      <c r="H7" s="122"/>
      <c r="I7" s="122"/>
      <c r="J7" s="86"/>
      <c r="K7" s="126"/>
      <c r="L7" s="21"/>
      <c r="M7" s="21"/>
    </row>
    <row r="8" spans="2:14" s="16" customFormat="1" ht="15" customHeight="1" thickBot="1" x14ac:dyDescent="0.25">
      <c r="D8" s="116"/>
      <c r="E8" s="86"/>
      <c r="F8" s="86"/>
      <c r="G8" s="86"/>
      <c r="H8" s="86"/>
      <c r="I8" s="86"/>
    </row>
    <row r="9" spans="2:14" x14ac:dyDescent="0.2">
      <c r="B9" s="141" t="s">
        <v>18</v>
      </c>
      <c r="C9" s="127"/>
      <c r="D9" s="127"/>
      <c r="E9" s="127"/>
      <c r="F9" s="142"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v>0.87980000000000003</v>
      </c>
      <c r="E11" s="130"/>
      <c r="F11" s="165" t="s">
        <v>93</v>
      </c>
      <c r="G11" s="166"/>
      <c r="H11" s="166"/>
      <c r="I11" s="166"/>
      <c r="J11" s="166"/>
      <c r="K11" s="166"/>
      <c r="L11" s="166"/>
      <c r="M11" s="167"/>
      <c r="N11" s="131"/>
    </row>
    <row r="12" spans="2:14" ht="15" customHeight="1" thickBot="1" x14ac:dyDescent="0.25">
      <c r="B12" s="129" t="s">
        <v>22</v>
      </c>
      <c r="D12" s="13">
        <v>0.22020000000000001</v>
      </c>
      <c r="E12" s="130"/>
      <c r="F12" s="165" t="s">
        <v>93</v>
      </c>
      <c r="G12" s="166"/>
      <c r="H12" s="166"/>
      <c r="I12" s="166"/>
      <c r="J12" s="166"/>
      <c r="K12" s="166"/>
      <c r="L12" s="166"/>
      <c r="M12" s="167"/>
      <c r="N12" s="131"/>
    </row>
    <row r="13" spans="2:14" ht="17" thickBot="1" x14ac:dyDescent="0.25">
      <c r="B13" s="129"/>
      <c r="D13" s="14"/>
      <c r="E13" s="130"/>
      <c r="F13" s="130"/>
      <c r="G13" s="130"/>
      <c r="H13" s="130"/>
      <c r="I13" s="130"/>
      <c r="J13" s="130"/>
      <c r="K13" s="130"/>
      <c r="L13" s="130"/>
      <c r="M13" s="130"/>
      <c r="N13" s="131"/>
    </row>
    <row r="14" spans="2:14" s="155" customFormat="1" ht="30" customHeight="1" thickBot="1" x14ac:dyDescent="0.25">
      <c r="B14" s="154" t="s">
        <v>23</v>
      </c>
      <c r="D14" s="156">
        <v>0.92869999999999997</v>
      </c>
      <c r="E14" s="157"/>
      <c r="F14" s="168" t="s">
        <v>95</v>
      </c>
      <c r="G14" s="169"/>
      <c r="H14" s="169"/>
      <c r="I14" s="169"/>
      <c r="J14" s="169"/>
      <c r="K14" s="169"/>
      <c r="L14" s="169"/>
      <c r="M14" s="170"/>
      <c r="N14" s="158"/>
    </row>
    <row r="15" spans="2:14" x14ac:dyDescent="0.2">
      <c r="B15" s="129"/>
      <c r="D15" s="130"/>
      <c r="E15" s="130"/>
      <c r="F15" s="130"/>
      <c r="G15" s="130"/>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c r="C20" s="3"/>
      <c r="D20" s="3"/>
      <c r="E20" s="3"/>
      <c r="F20" s="3"/>
      <c r="G20" s="3"/>
      <c r="H20" s="3"/>
      <c r="I20" s="3"/>
      <c r="J20" s="3"/>
      <c r="K20" s="3"/>
      <c r="L20" s="3"/>
      <c r="M20" s="3"/>
      <c r="N20" s="131"/>
    </row>
    <row r="21" spans="2:14" x14ac:dyDescent="0.2">
      <c r="B21" s="132" t="s">
        <v>97</v>
      </c>
      <c r="C21" s="4">
        <v>79590.400000000023</v>
      </c>
      <c r="D21" s="5">
        <v>78592.099999999991</v>
      </c>
      <c r="E21" s="5">
        <v>67393.900998273006</v>
      </c>
      <c r="F21" s="5">
        <v>70900.487165290411</v>
      </c>
      <c r="G21" s="5">
        <v>70093.775574414583</v>
      </c>
      <c r="H21" s="5">
        <v>65955.304672495273</v>
      </c>
      <c r="I21" s="5">
        <v>64318.06592595941</v>
      </c>
      <c r="J21" s="5">
        <v>64660.396143426115</v>
      </c>
      <c r="K21" s="5">
        <v>64363.198460613661</v>
      </c>
      <c r="L21" s="5">
        <v>66918.838991709214</v>
      </c>
      <c r="M21" s="6">
        <v>70924.513588655711</v>
      </c>
      <c r="N21" s="131"/>
    </row>
    <row r="22" spans="2:14" x14ac:dyDescent="0.2">
      <c r="B22" s="135" t="s">
        <v>9</v>
      </c>
      <c r="C22" s="7">
        <v>71298.700000000012</v>
      </c>
      <c r="D22" s="8">
        <v>68857</v>
      </c>
      <c r="E22" s="8">
        <v>55381.1</v>
      </c>
      <c r="F22" s="8">
        <v>55586.268917616646</v>
      </c>
      <c r="G22" s="8">
        <v>51818.336254216003</v>
      </c>
      <c r="H22" s="8">
        <v>45297.41936795826</v>
      </c>
      <c r="I22" s="8">
        <v>39436.817868224229</v>
      </c>
      <c r="J22" s="8">
        <v>30891.375935661126</v>
      </c>
      <c r="K22" s="8">
        <v>22693.694436438702</v>
      </c>
      <c r="L22" s="8">
        <v>19455.278984742705</v>
      </c>
      <c r="M22" s="9">
        <v>18416.215993672507</v>
      </c>
      <c r="N22" s="131"/>
    </row>
    <row r="23" spans="2:14" x14ac:dyDescent="0.2">
      <c r="B23" s="135" t="s">
        <v>10</v>
      </c>
      <c r="C23" s="7">
        <v>1062.2000000000003</v>
      </c>
      <c r="D23" s="8">
        <v>1142.8999999999996</v>
      </c>
      <c r="E23" s="8">
        <v>1063.2999999999993</v>
      </c>
      <c r="F23" s="8">
        <v>1538.7473259417698</v>
      </c>
      <c r="G23" s="8">
        <v>1583.0064065662837</v>
      </c>
      <c r="H23" s="8">
        <v>1565.4468519705495</v>
      </c>
      <c r="I23" s="8">
        <v>1543.1026559643374</v>
      </c>
      <c r="J23" s="8">
        <v>1489.5497135600956</v>
      </c>
      <c r="K23" s="8">
        <v>1352.4668777277891</v>
      </c>
      <c r="L23" s="8">
        <v>1221.805889104468</v>
      </c>
      <c r="M23" s="9">
        <v>1106.2415889470535</v>
      </c>
      <c r="N23" s="131"/>
    </row>
    <row r="24" spans="2:14" x14ac:dyDescent="0.2">
      <c r="B24" s="135" t="s">
        <v>3</v>
      </c>
      <c r="C24" s="7">
        <v>3317.3999999999992</v>
      </c>
      <c r="D24" s="8">
        <v>3886.8999999999987</v>
      </c>
      <c r="E24" s="8">
        <v>3695.5</v>
      </c>
      <c r="F24" s="8">
        <v>3946.9620047928247</v>
      </c>
      <c r="G24" s="8">
        <v>4590.8513541833045</v>
      </c>
      <c r="H24" s="8">
        <v>5063.6028854158258</v>
      </c>
      <c r="I24" s="8">
        <v>7906.6799878128122</v>
      </c>
      <c r="J24" s="8">
        <v>9972.8709298192698</v>
      </c>
      <c r="K24" s="8">
        <v>11614.02375408342</v>
      </c>
      <c r="L24" s="8">
        <v>13058.396539365194</v>
      </c>
      <c r="M24" s="9">
        <v>14311.775283999972</v>
      </c>
      <c r="N24" s="131"/>
    </row>
    <row r="25" spans="2:14" x14ac:dyDescent="0.2">
      <c r="B25" s="135" t="s">
        <v>11</v>
      </c>
      <c r="C25" s="7">
        <v>0</v>
      </c>
      <c r="D25" s="8">
        <v>0</v>
      </c>
      <c r="E25" s="8">
        <v>0</v>
      </c>
      <c r="F25" s="8">
        <v>0</v>
      </c>
      <c r="G25" s="8">
        <v>0</v>
      </c>
      <c r="H25" s="8">
        <v>0</v>
      </c>
      <c r="I25" s="8">
        <v>0</v>
      </c>
      <c r="J25" s="8">
        <v>5937.3947368421068</v>
      </c>
      <c r="K25" s="8">
        <v>8906.0921052631602</v>
      </c>
      <c r="L25" s="8">
        <v>11874.789473684214</v>
      </c>
      <c r="M25" s="9">
        <v>14843.486842105267</v>
      </c>
      <c r="N25" s="131"/>
    </row>
    <row r="26" spans="2:14" x14ac:dyDescent="0.2">
      <c r="B26" s="135" t="s">
        <v>12</v>
      </c>
      <c r="C26" s="7">
        <v>3912.1000000000004</v>
      </c>
      <c r="D26" s="8">
        <v>4705.3</v>
      </c>
      <c r="E26" s="8">
        <v>7254.0009982730298</v>
      </c>
      <c r="F26" s="8">
        <v>9828.508916939174</v>
      </c>
      <c r="G26" s="8">
        <v>12101.58155944899</v>
      </c>
      <c r="H26" s="8">
        <v>14028.835567150638</v>
      </c>
      <c r="I26" s="8">
        <v>15431.465413958023</v>
      </c>
      <c r="J26" s="8">
        <v>16369.20482754351</v>
      </c>
      <c r="K26" s="8">
        <v>19796.921287100602</v>
      </c>
      <c r="L26" s="8">
        <v>21308.568104812635</v>
      </c>
      <c r="M26" s="9">
        <v>22246.793879930909</v>
      </c>
      <c r="N26" s="131"/>
    </row>
    <row r="27" spans="2:14" x14ac:dyDescent="0.2">
      <c r="B27" s="136" t="s">
        <v>13</v>
      </c>
      <c r="C27" s="7">
        <v>181.1</v>
      </c>
      <c r="D27" s="8">
        <v>189.3</v>
      </c>
      <c r="E27" s="8">
        <v>251.1</v>
      </c>
      <c r="F27" s="8">
        <v>206.14524134215029</v>
      </c>
      <c r="G27" s="8">
        <v>208.73425966520119</v>
      </c>
      <c r="H27" s="8">
        <v>219.59960661828381</v>
      </c>
      <c r="I27" s="8">
        <v>237.78025079111509</v>
      </c>
      <c r="J27" s="8">
        <v>237.83481429723088</v>
      </c>
      <c r="K27" s="8">
        <v>278.86047069278288</v>
      </c>
      <c r="L27" s="8">
        <v>345.59760676039872</v>
      </c>
      <c r="M27" s="9">
        <v>378.6342413238732</v>
      </c>
      <c r="N27" s="131"/>
    </row>
    <row r="28" spans="2:14" x14ac:dyDescent="0.2">
      <c r="B28" s="136" t="s">
        <v>14</v>
      </c>
      <c r="C28" s="7">
        <v>3727.6000000000004</v>
      </c>
      <c r="D28" s="8">
        <v>4492.8999999999996</v>
      </c>
      <c r="E28" s="8">
        <v>6838.0009982730298</v>
      </c>
      <c r="F28" s="8">
        <v>8748.5560749486049</v>
      </c>
      <c r="G28" s="8">
        <v>10788.040817578274</v>
      </c>
      <c r="H28" s="8">
        <v>11831.497379100641</v>
      </c>
      <c r="I28" s="8">
        <v>12748.120334652574</v>
      </c>
      <c r="J28" s="8">
        <v>13216.318146699297</v>
      </c>
      <c r="K28" s="8">
        <v>13778.17783249676</v>
      </c>
      <c r="L28" s="8">
        <v>14290.586537368159</v>
      </c>
      <c r="M28" s="9">
        <v>14454.802734766623</v>
      </c>
      <c r="N28" s="131"/>
    </row>
    <row r="29" spans="2:14" x14ac:dyDescent="0.2">
      <c r="B29" s="136" t="s">
        <v>15</v>
      </c>
      <c r="C29" s="7">
        <v>0.39999999999999997</v>
      </c>
      <c r="D29" s="8">
        <v>11.6</v>
      </c>
      <c r="E29" s="8">
        <v>143.1</v>
      </c>
      <c r="F29" s="8">
        <v>831.50990485024238</v>
      </c>
      <c r="G29" s="8">
        <v>983.60973131111439</v>
      </c>
      <c r="H29" s="8">
        <v>1731.6402589475001</v>
      </c>
      <c r="I29" s="8">
        <v>1863.1953292624203</v>
      </c>
      <c r="J29" s="8">
        <v>1865.0594887854134</v>
      </c>
      <c r="K29" s="8">
        <v>2787.372721414863</v>
      </c>
      <c r="L29" s="8">
        <v>3188.2766687451071</v>
      </c>
      <c r="M29" s="9">
        <v>3867.2226113481183</v>
      </c>
      <c r="N29" s="131"/>
    </row>
    <row r="30" spans="2:14" x14ac:dyDescent="0.2">
      <c r="B30" s="136" t="s">
        <v>16</v>
      </c>
      <c r="C30" s="7">
        <v>0</v>
      </c>
      <c r="D30" s="8">
        <v>9.9999999999999992E-2</v>
      </c>
      <c r="E30" s="8">
        <v>8.4</v>
      </c>
      <c r="F30" s="8">
        <v>21.611029131511128</v>
      </c>
      <c r="G30" s="8">
        <v>82.039952546530245</v>
      </c>
      <c r="H30" s="8">
        <v>198.8129876590281</v>
      </c>
      <c r="I30" s="8">
        <v>250.91905995917682</v>
      </c>
      <c r="J30" s="8">
        <v>364.87126085837059</v>
      </c>
      <c r="K30" s="8">
        <v>471.07893374620642</v>
      </c>
      <c r="L30" s="8">
        <v>549.24954696178565</v>
      </c>
      <c r="M30" s="9">
        <v>598.13784032570084</v>
      </c>
      <c r="N30" s="131"/>
    </row>
    <row r="31" spans="2:14" ht="17" thickBot="1" x14ac:dyDescent="0.25">
      <c r="B31" s="136" t="s">
        <v>17</v>
      </c>
      <c r="C31" s="10">
        <v>3</v>
      </c>
      <c r="D31" s="11">
        <v>11.4</v>
      </c>
      <c r="E31" s="11">
        <v>13.4</v>
      </c>
      <c r="F31" s="11">
        <v>20.686666666666664</v>
      </c>
      <c r="G31" s="11">
        <v>39.156798347868374</v>
      </c>
      <c r="H31" s="11">
        <v>47.285334825185359</v>
      </c>
      <c r="I31" s="11">
        <v>331.45043929273743</v>
      </c>
      <c r="J31" s="11">
        <v>685.12111690319784</v>
      </c>
      <c r="K31" s="11">
        <v>2481.4313287499917</v>
      </c>
      <c r="L31" s="11">
        <v>2934.8577449771833</v>
      </c>
      <c r="M31" s="12">
        <v>2947.9964521665938</v>
      </c>
      <c r="N31" s="131"/>
    </row>
    <row r="32" spans="2:14" x14ac:dyDescent="0.2">
      <c r="B32" s="129"/>
      <c r="C32" s="130"/>
      <c r="D32" s="130"/>
      <c r="E32" s="130"/>
      <c r="F32" s="130"/>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4">
    <mergeCell ref="B5:G7"/>
    <mergeCell ref="F11:M11"/>
    <mergeCell ref="F12:M12"/>
    <mergeCell ref="F14:M14"/>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61" t="s">
        <v>92</v>
      </c>
      <c r="C3" s="162"/>
      <c r="D3" s="162"/>
      <c r="E3" s="162"/>
      <c r="F3" s="162"/>
      <c r="G3" s="163"/>
      <c r="H3" s="122"/>
      <c r="I3" s="122"/>
      <c r="J3" s="86"/>
      <c r="K3" s="126"/>
      <c r="L3" s="21"/>
      <c r="M3" s="21"/>
    </row>
    <row r="4" spans="2:13" s="16" customFormat="1" x14ac:dyDescent="0.2">
      <c r="B4" s="161"/>
      <c r="C4" s="162"/>
      <c r="D4" s="162"/>
      <c r="E4" s="162"/>
      <c r="F4" s="162"/>
      <c r="G4" s="163"/>
      <c r="H4" s="122"/>
      <c r="I4" s="122"/>
      <c r="J4" s="86"/>
      <c r="K4" s="126"/>
      <c r="L4" s="21"/>
      <c r="M4" s="21"/>
    </row>
    <row r="5" spans="2:13" s="16" customFormat="1" x14ac:dyDescent="0.2">
      <c r="B5" s="159"/>
      <c r="C5" s="164"/>
      <c r="D5" s="164"/>
      <c r="E5" s="164"/>
      <c r="F5" s="164"/>
      <c r="G5" s="160"/>
      <c r="H5" s="122"/>
      <c r="I5" s="122"/>
      <c r="J5" s="86"/>
      <c r="K5" s="126"/>
      <c r="L5" s="21"/>
      <c r="M5" s="21"/>
    </row>
    <row r="6" spans="2:13" x14ac:dyDescent="0.2">
      <c r="B6" s="143"/>
      <c r="C6" s="143"/>
      <c r="D6" s="143"/>
      <c r="E6" s="143"/>
      <c r="F6" s="143"/>
      <c r="G6" s="143"/>
      <c r="H6" s="143"/>
      <c r="I6" s="143"/>
      <c r="J6" s="143"/>
      <c r="K6" s="143"/>
      <c r="L6" s="143"/>
      <c r="M6" s="143"/>
    </row>
    <row r="7" spans="2:13" x14ac:dyDescent="0.2">
      <c r="B7" s="144" t="s">
        <v>19</v>
      </c>
      <c r="C7" s="148">
        <v>2000</v>
      </c>
      <c r="D7" s="148">
        <v>2005</v>
      </c>
      <c r="E7" s="148">
        <v>2010</v>
      </c>
      <c r="F7" s="148">
        <v>2015</v>
      </c>
      <c r="G7" s="148">
        <v>2020</v>
      </c>
      <c r="H7" s="148">
        <v>2025</v>
      </c>
      <c r="I7" s="148">
        <v>2030</v>
      </c>
      <c r="J7" s="148">
        <v>2035</v>
      </c>
      <c r="K7" s="148">
        <v>2040</v>
      </c>
      <c r="L7" s="148">
        <v>2045</v>
      </c>
      <c r="M7" s="148">
        <v>2050</v>
      </c>
    </row>
    <row r="8" spans="2:13" x14ac:dyDescent="0.2">
      <c r="B8" s="145"/>
      <c r="C8" s="149"/>
      <c r="D8" s="149"/>
      <c r="E8" s="149"/>
      <c r="F8" s="149"/>
      <c r="G8" s="149"/>
      <c r="H8" s="149"/>
      <c r="I8" s="149"/>
      <c r="J8" s="149"/>
      <c r="K8" s="149"/>
      <c r="L8" s="149"/>
      <c r="M8" s="149"/>
    </row>
    <row r="9" spans="2:13" x14ac:dyDescent="0.2">
      <c r="B9" s="145" t="s">
        <v>8</v>
      </c>
      <c r="C9" s="150">
        <f>Dashboard!C21*ktoe_TJ</f>
        <v>3332290.8672000011</v>
      </c>
      <c r="D9" s="150">
        <f>Dashboard!D21*ktoe_TJ</f>
        <v>3290494.0427999999</v>
      </c>
      <c r="E9" s="150">
        <f>Dashboard!E21*ktoe_TJ</f>
        <v>2821647.8469956946</v>
      </c>
      <c r="F9" s="150">
        <f>Dashboard!F21*ktoe_TJ</f>
        <v>2968461.5966363791</v>
      </c>
      <c r="G9" s="150">
        <f>Dashboard!G21*ktoe_TJ</f>
        <v>2934686.1957495897</v>
      </c>
      <c r="H9" s="150">
        <f>Dashboard!H21*ktoe_TJ</f>
        <v>2761416.6960280323</v>
      </c>
      <c r="I9" s="150">
        <f>Dashboard!I21*ktoe_TJ</f>
        <v>2692868.7841880689</v>
      </c>
      <c r="J9" s="150">
        <f>Dashboard!J21*ktoe_TJ</f>
        <v>2707201.4657329647</v>
      </c>
      <c r="K9" s="150">
        <f>Dashboard!K21*ktoe_TJ</f>
        <v>2694758.3931489731</v>
      </c>
      <c r="L9" s="150">
        <f>Dashboard!L21*ktoe_TJ</f>
        <v>2801757.9509048816</v>
      </c>
      <c r="M9" s="150">
        <f>Dashboard!M21*ktoe_TJ</f>
        <v>2969467.5349298376</v>
      </c>
    </row>
    <row r="10" spans="2:13" x14ac:dyDescent="0.2">
      <c r="B10" s="147" t="s">
        <v>9</v>
      </c>
      <c r="C10" s="151">
        <f>Dashboard!C22*ktoe_TJ</f>
        <v>2985133.9716000007</v>
      </c>
      <c r="D10" s="151">
        <f>Dashboard!D22*ktoe_TJ</f>
        <v>2882904.8760000002</v>
      </c>
      <c r="E10" s="151">
        <f>Dashboard!E22*ktoe_TJ</f>
        <v>2318695.8947999999</v>
      </c>
      <c r="F10" s="151">
        <f>Dashboard!F22*ktoe_TJ</f>
        <v>2327285.9070427739</v>
      </c>
      <c r="G10" s="151">
        <f>Dashboard!G22*ktoe_TJ</f>
        <v>2169530.1022915156</v>
      </c>
      <c r="H10" s="151">
        <f>Dashboard!H22*ktoe_TJ</f>
        <v>1896512.3540976765</v>
      </c>
      <c r="I10" s="151">
        <f>Dashboard!I22*ktoe_TJ</f>
        <v>1651140.6905068122</v>
      </c>
      <c r="J10" s="151">
        <f>Dashboard!J22*ktoe_TJ</f>
        <v>1293360.1276742602</v>
      </c>
      <c r="K10" s="151">
        <f>Dashboard!K22*ktoe_TJ</f>
        <v>950139.59866481565</v>
      </c>
      <c r="L10" s="151">
        <f>Dashboard!L22*ktoe_TJ</f>
        <v>814553.62053320755</v>
      </c>
      <c r="M10" s="151">
        <f>Dashboard!M22*ktoe_TJ</f>
        <v>771050.13122308056</v>
      </c>
    </row>
    <row r="11" spans="2:13" x14ac:dyDescent="0.2">
      <c r="B11" s="147" t="s">
        <v>10</v>
      </c>
      <c r="C11" s="151">
        <f>Dashboard!C23*ktoe_TJ</f>
        <v>44472.189600000012</v>
      </c>
      <c r="D11" s="151">
        <f>Dashboard!D23*ktoe_TJ</f>
        <v>47850.937199999986</v>
      </c>
      <c r="E11" s="151">
        <f>Dashboard!E23*ktoe_TJ</f>
        <v>44518.244399999974</v>
      </c>
      <c r="F11" s="151">
        <f>Dashboard!F23*ktoe_TJ</f>
        <v>64424.273042530018</v>
      </c>
      <c r="G11" s="151">
        <f>Dashboard!G23*ktoe_TJ</f>
        <v>66277.312230117168</v>
      </c>
      <c r="H11" s="151">
        <f>Dashboard!H23*ktoe_TJ</f>
        <v>65542.128798302962</v>
      </c>
      <c r="I11" s="151">
        <f>Dashboard!I23*ktoe_TJ</f>
        <v>64606.621999914882</v>
      </c>
      <c r="J11" s="151">
        <f>Dashboard!J23*ktoe_TJ</f>
        <v>62364.467407334087</v>
      </c>
      <c r="K11" s="151">
        <f>Dashboard!K23*ktoe_TJ</f>
        <v>56625.083236707076</v>
      </c>
      <c r="L11" s="151">
        <f>Dashboard!L23*ktoe_TJ</f>
        <v>51154.568965025865</v>
      </c>
      <c r="M11" s="151">
        <f>Dashboard!M23*ktoe_TJ</f>
        <v>46316.122846035236</v>
      </c>
    </row>
    <row r="12" spans="2:13" x14ac:dyDescent="0.2">
      <c r="B12" s="147" t="s">
        <v>3</v>
      </c>
      <c r="C12" s="151">
        <f>Dashboard!C24*ktoe_TJ</f>
        <v>138892.90319999997</v>
      </c>
      <c r="D12" s="151">
        <f>Dashboard!D24*ktoe_TJ</f>
        <v>162736.72919999994</v>
      </c>
      <c r="E12" s="151">
        <f>Dashboard!E24*ktoe_TJ</f>
        <v>154723.19400000002</v>
      </c>
      <c r="F12" s="151">
        <f>Dashboard!F24*ktoe_TJ</f>
        <v>165251.405216666</v>
      </c>
      <c r="G12" s="151">
        <f>Dashboard!G24*ktoe_TJ</f>
        <v>192209.76449694659</v>
      </c>
      <c r="H12" s="151">
        <f>Dashboard!H24*ktoe_TJ</f>
        <v>212002.92560658979</v>
      </c>
      <c r="I12" s="151">
        <f>Dashboard!I24*ktoe_TJ</f>
        <v>331036.87772974686</v>
      </c>
      <c r="J12" s="151">
        <f>Dashboard!J24*ktoe_TJ</f>
        <v>417544.16008967318</v>
      </c>
      <c r="K12" s="151">
        <f>Dashboard!K24*ktoe_TJ</f>
        <v>486255.94653596467</v>
      </c>
      <c r="L12" s="151">
        <f>Dashboard!L24*ktoe_TJ</f>
        <v>546728.94631014194</v>
      </c>
      <c r="M12" s="151">
        <f>Dashboard!M24*ktoe_TJ</f>
        <v>599205.40759051091</v>
      </c>
    </row>
    <row r="13" spans="2:13" x14ac:dyDescent="0.2">
      <c r="B13" s="147" t="s">
        <v>11</v>
      </c>
      <c r="C13" s="151">
        <f>Dashboard!C25*ktoe_TJ</f>
        <v>0</v>
      </c>
      <c r="D13" s="151">
        <f>Dashboard!D25*ktoe_TJ</f>
        <v>0</v>
      </c>
      <c r="E13" s="151">
        <f>Dashboard!E25*ktoe_TJ</f>
        <v>0</v>
      </c>
      <c r="F13" s="151">
        <f>Dashboard!F25*ktoe_TJ</f>
        <v>0</v>
      </c>
      <c r="G13" s="151">
        <f>Dashboard!G25*ktoe_TJ</f>
        <v>0</v>
      </c>
      <c r="H13" s="151">
        <f>Dashboard!H25*ktoe_TJ</f>
        <v>0</v>
      </c>
      <c r="I13" s="151">
        <f>Dashboard!I25*ktoe_TJ</f>
        <v>0</v>
      </c>
      <c r="J13" s="151">
        <f>Dashboard!J25*ktoe_TJ</f>
        <v>248586.84284210534</v>
      </c>
      <c r="K13" s="151">
        <f>Dashboard!K25*ktoe_TJ</f>
        <v>372880.26426315802</v>
      </c>
      <c r="L13" s="151">
        <f>Dashboard!L25*ktoe_TJ</f>
        <v>497173.68568421068</v>
      </c>
      <c r="M13" s="151">
        <f>Dashboard!M25*ktoe_TJ</f>
        <v>621467.10710526339</v>
      </c>
    </row>
    <row r="14" spans="2:13" x14ac:dyDescent="0.2">
      <c r="B14" s="147" t="s">
        <v>12</v>
      </c>
      <c r="C14" s="151">
        <f>Dashboard!C26*ktoe_TJ</f>
        <v>163791.80280000003</v>
      </c>
      <c r="D14" s="151">
        <f>Dashboard!D26*ktoe_TJ</f>
        <v>197001.50040000002</v>
      </c>
      <c r="E14" s="151">
        <f>Dashboard!E26*ktoe_TJ</f>
        <v>303710.51379569521</v>
      </c>
      <c r="F14" s="151">
        <f>Dashboard!F26*ktoe_TJ</f>
        <v>411500.01133440936</v>
      </c>
      <c r="G14" s="151">
        <f>Dashboard!G26*ktoe_TJ</f>
        <v>506669.01673101034</v>
      </c>
      <c r="H14" s="151">
        <f>Dashboard!H26*ktoe_TJ</f>
        <v>587359.28752546292</v>
      </c>
      <c r="I14" s="151">
        <f>Dashboard!I26*ktoe_TJ</f>
        <v>646084.59395159455</v>
      </c>
      <c r="J14" s="151">
        <f>Dashboard!J26*ktoe_TJ</f>
        <v>685345.86771959171</v>
      </c>
      <c r="K14" s="151">
        <f>Dashboard!K26*ktoe_TJ</f>
        <v>828857.50044832809</v>
      </c>
      <c r="L14" s="151">
        <f>Dashboard!L26*ktoe_TJ</f>
        <v>892147.12941229541</v>
      </c>
      <c r="M14" s="151">
        <f>Dashboard!M26*ktoe_TJ</f>
        <v>931428.7661649473</v>
      </c>
    </row>
    <row r="15" spans="2:13" x14ac:dyDescent="0.2">
      <c r="B15" s="147" t="s">
        <v>13</v>
      </c>
      <c r="C15" s="151">
        <f>Dashboard!C27*ktoe_TJ</f>
        <v>7582.2948000000006</v>
      </c>
      <c r="D15" s="151">
        <f>Dashboard!D27*ktoe_TJ</f>
        <v>7925.6124000000009</v>
      </c>
      <c r="E15" s="151">
        <f>Dashboard!E27*ktoe_TJ</f>
        <v>10513.0548</v>
      </c>
      <c r="F15" s="151">
        <f>Dashboard!F27*ktoe_TJ</f>
        <v>8630.8889645131494</v>
      </c>
      <c r="G15" s="151">
        <f>Dashboard!G27*ktoe_TJ</f>
        <v>8739.2859836626449</v>
      </c>
      <c r="H15" s="151">
        <f>Dashboard!H27*ktoe_TJ</f>
        <v>9194.1963298943065</v>
      </c>
      <c r="I15" s="151">
        <f>Dashboard!I27*ktoe_TJ</f>
        <v>9955.3835401224078</v>
      </c>
      <c r="J15" s="151">
        <f>Dashboard!J27*ktoe_TJ</f>
        <v>9957.6680049964634</v>
      </c>
      <c r="K15" s="151">
        <f>Dashboard!K27*ktoe_TJ</f>
        <v>11675.330186965435</v>
      </c>
      <c r="L15" s="151">
        <f>Dashboard!L27*ktoe_TJ</f>
        <v>14469.480599844374</v>
      </c>
      <c r="M15" s="151">
        <f>Dashboard!M27*ktoe_TJ</f>
        <v>15852.658415747925</v>
      </c>
    </row>
    <row r="16" spans="2:13" x14ac:dyDescent="0.2">
      <c r="B16" s="147" t="s">
        <v>14</v>
      </c>
      <c r="C16" s="151">
        <f>Dashboard!C28*ktoe_TJ</f>
        <v>156067.15680000003</v>
      </c>
      <c r="D16" s="151">
        <f>Dashboard!D28*ktoe_TJ</f>
        <v>188108.7372</v>
      </c>
      <c r="E16" s="151">
        <f>Dashboard!E28*ktoe_TJ</f>
        <v>286293.42579569522</v>
      </c>
      <c r="F16" s="151">
        <f>Dashboard!F28*ktoe_TJ</f>
        <v>366284.54574594821</v>
      </c>
      <c r="G16" s="151">
        <f>Dashboard!G28*ktoe_TJ</f>
        <v>451673.69295036723</v>
      </c>
      <c r="H16" s="151">
        <f>Dashboard!H28*ktoe_TJ</f>
        <v>495361.13226818567</v>
      </c>
      <c r="I16" s="151">
        <f>Dashboard!I28*ktoe_TJ</f>
        <v>533738.30217123404</v>
      </c>
      <c r="J16" s="151">
        <f>Dashboard!J28*ktoe_TJ</f>
        <v>553340.80816600623</v>
      </c>
      <c r="K16" s="151">
        <f>Dashboard!K28*ktoe_TJ</f>
        <v>576864.74949097435</v>
      </c>
      <c r="L16" s="151">
        <f>Dashboard!L28*ktoe_TJ</f>
        <v>598318.2771465301</v>
      </c>
      <c r="M16" s="151">
        <f>Dashboard!M28*ktoe_TJ</f>
        <v>605193.68089920899</v>
      </c>
    </row>
    <row r="17" spans="2:13" x14ac:dyDescent="0.2">
      <c r="B17" s="146" t="s">
        <v>15</v>
      </c>
      <c r="C17" s="151">
        <f>Dashboard!C29*ktoe_TJ</f>
        <v>16.747199999999999</v>
      </c>
      <c r="D17" s="151">
        <f>Dashboard!D29*ktoe_TJ</f>
        <v>485.66880000000003</v>
      </c>
      <c r="E17" s="151">
        <f>Dashboard!E29*ktoe_TJ</f>
        <v>5991.3108000000002</v>
      </c>
      <c r="F17" s="151">
        <f>Dashboard!F29*ktoe_TJ</f>
        <v>34813.656696269951</v>
      </c>
      <c r="G17" s="151">
        <f>Dashboard!G29*ktoe_TJ</f>
        <v>41181.772230533737</v>
      </c>
      <c r="H17" s="151">
        <f>Dashboard!H29*ktoe_TJ</f>
        <v>72500.314361613942</v>
      </c>
      <c r="I17" s="151">
        <f>Dashboard!I29*ktoe_TJ</f>
        <v>78008.262045559022</v>
      </c>
      <c r="J17" s="151">
        <f>Dashboard!J29*ktoe_TJ</f>
        <v>78086.310676467692</v>
      </c>
      <c r="K17" s="151">
        <f>Dashboard!K29*ktoe_TJ</f>
        <v>116701.72110019749</v>
      </c>
      <c r="L17" s="151">
        <f>Dashboard!L29*ktoe_TJ</f>
        <v>133486.76756702014</v>
      </c>
      <c r="M17" s="151">
        <f>Dashboard!M29*ktoe_TJ</f>
        <v>161912.87629192302</v>
      </c>
    </row>
    <row r="18" spans="2:13" x14ac:dyDescent="0.2">
      <c r="B18" s="146" t="s">
        <v>16</v>
      </c>
      <c r="C18" s="151">
        <f>Dashboard!C30*ktoe_TJ</f>
        <v>0</v>
      </c>
      <c r="D18" s="151">
        <f>Dashboard!D30*ktoe_TJ</f>
        <v>4.1867999999999999</v>
      </c>
      <c r="E18" s="151">
        <f>Dashboard!E30*ktoe_TJ</f>
        <v>351.69120000000004</v>
      </c>
      <c r="F18" s="151">
        <f>Dashboard!F30*ktoe_TJ</f>
        <v>904.81056767810799</v>
      </c>
      <c r="G18" s="151">
        <f>Dashboard!G30*ktoe_TJ</f>
        <v>3434.8487332181285</v>
      </c>
      <c r="H18" s="151">
        <f>Dashboard!H30*ktoe_TJ</f>
        <v>8323.9021673081879</v>
      </c>
      <c r="I18" s="151">
        <f>Dashboard!I30*ktoe_TJ</f>
        <v>10505.479202370816</v>
      </c>
      <c r="J18" s="151">
        <f>Dashboard!J30*ktoe_TJ</f>
        <v>15276.429949618261</v>
      </c>
      <c r="K18" s="151">
        <f>Dashboard!K30*ktoe_TJ</f>
        <v>19723.132798086172</v>
      </c>
      <c r="L18" s="151">
        <f>Dashboard!L30*ktoe_TJ</f>
        <v>22995.980032196043</v>
      </c>
      <c r="M18" s="151">
        <f>Dashboard!M30*ktoe_TJ</f>
        <v>25042.835098756444</v>
      </c>
    </row>
    <row r="19" spans="2:13" x14ac:dyDescent="0.2">
      <c r="B19" s="146" t="s">
        <v>17</v>
      </c>
      <c r="C19" s="151">
        <f>Dashboard!C31*ktoe_TJ</f>
        <v>125.60400000000001</v>
      </c>
      <c r="D19" s="151">
        <f>Dashboard!D31*ktoe_TJ</f>
        <v>477.29520000000002</v>
      </c>
      <c r="E19" s="151">
        <f>Dashboard!E31*ktoe_TJ</f>
        <v>561.03120000000001</v>
      </c>
      <c r="F19" s="151">
        <f>Dashboard!F31*ktoe_TJ</f>
        <v>866.10935999999992</v>
      </c>
      <c r="G19" s="151">
        <f>Dashboard!G31*ktoe_TJ</f>
        <v>1639.4168332285533</v>
      </c>
      <c r="H19" s="151">
        <f>Dashboard!H31*ktoe_TJ</f>
        <v>1979.7423984608606</v>
      </c>
      <c r="I19" s="151">
        <f>Dashboard!I31*ktoe_TJ</f>
        <v>13877.166992308332</v>
      </c>
      <c r="J19" s="151">
        <f>Dashboard!J31*ktoe_TJ</f>
        <v>28684.65092250309</v>
      </c>
      <c r="K19" s="151">
        <f>Dashboard!K31*ktoe_TJ</f>
        <v>103892.56687210465</v>
      </c>
      <c r="L19" s="151">
        <f>Dashboard!L31*ktoe_TJ</f>
        <v>122876.62406670471</v>
      </c>
      <c r="M19" s="151">
        <f>Dashboard!M31*ktoe_TJ</f>
        <v>123426.71545931096</v>
      </c>
    </row>
    <row r="20" spans="2:13" x14ac:dyDescent="0.2">
      <c r="B20" s="143"/>
      <c r="C20" s="143"/>
      <c r="D20" s="143"/>
      <c r="E20" s="143"/>
      <c r="F20" s="143"/>
      <c r="G20" s="143"/>
      <c r="H20" s="143"/>
      <c r="I20" s="143"/>
      <c r="J20" s="143"/>
      <c r="K20" s="143"/>
      <c r="L20" s="143"/>
      <c r="M20" s="143"/>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workbookViewId="0">
      <selection activeCell="C20" sqref="C20"/>
    </sheetView>
  </sheetViews>
  <sheetFormatPr baseColWidth="10" defaultRowHeight="16" x14ac:dyDescent="0.2"/>
  <cols>
    <col min="1"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61" t="s">
        <v>96</v>
      </c>
      <c r="C3" s="162"/>
      <c r="D3" s="162"/>
      <c r="E3" s="162"/>
      <c r="F3" s="162"/>
      <c r="G3" s="163"/>
      <c r="H3" s="122"/>
      <c r="I3" s="122"/>
      <c r="J3" s="86"/>
      <c r="K3" s="126"/>
      <c r="L3" s="21"/>
      <c r="M3" s="21"/>
    </row>
    <row r="4" spans="1:13" s="16" customFormat="1" x14ac:dyDescent="0.2">
      <c r="B4" s="161"/>
      <c r="C4" s="162"/>
      <c r="D4" s="162"/>
      <c r="E4" s="162"/>
      <c r="F4" s="162"/>
      <c r="G4" s="163"/>
      <c r="H4" s="122"/>
      <c r="I4" s="122"/>
      <c r="J4" s="86"/>
      <c r="K4" s="126"/>
      <c r="L4" s="21"/>
      <c r="M4" s="21"/>
    </row>
    <row r="5" spans="1:13" s="16" customFormat="1" x14ac:dyDescent="0.2">
      <c r="B5" s="161"/>
      <c r="C5" s="162"/>
      <c r="D5" s="162"/>
      <c r="E5" s="162"/>
      <c r="F5" s="162"/>
      <c r="G5" s="163"/>
      <c r="H5" s="122"/>
      <c r="I5" s="122"/>
      <c r="J5" s="86"/>
      <c r="K5" s="126"/>
      <c r="L5" s="21"/>
      <c r="M5" s="21"/>
    </row>
    <row r="6" spans="1:13" x14ac:dyDescent="0.2">
      <c r="B6" s="159"/>
      <c r="C6" s="164"/>
      <c r="D6" s="164"/>
      <c r="E6" s="164"/>
      <c r="F6" s="164"/>
      <c r="G6" s="160"/>
    </row>
    <row r="8" spans="1:13" x14ac:dyDescent="0.2">
      <c r="A8" s="152" t="s">
        <v>0</v>
      </c>
      <c r="B8" s="152" t="s">
        <v>1</v>
      </c>
      <c r="C8" s="152" t="s">
        <v>2</v>
      </c>
      <c r="D8" s="152" t="s">
        <v>3</v>
      </c>
      <c r="E8" s="152" t="s">
        <v>4</v>
      </c>
      <c r="F8" s="152" t="s">
        <v>5</v>
      </c>
      <c r="G8" s="152" t="s">
        <v>6</v>
      </c>
    </row>
    <row r="9" spans="1:13" x14ac:dyDescent="0.2">
      <c r="A9" s="2">
        <v>2000</v>
      </c>
      <c r="B9" s="2">
        <f>conversion_to_TJ!C10*Dashboard!$D$11</f>
        <v>2626320.8682136806</v>
      </c>
      <c r="C9" s="2">
        <f>conversion_to_TJ!C10*Dashboard!$D$12</f>
        <v>657326.50054632023</v>
      </c>
      <c r="D9" s="2">
        <f>conversion_to_TJ!C12</f>
        <v>138892.90319999997</v>
      </c>
      <c r="E9" s="2">
        <f>conversion_to_TJ!C11</f>
        <v>44472.189600000012</v>
      </c>
      <c r="F9" s="2">
        <f>conversion_to_TJ!C13</f>
        <v>0</v>
      </c>
      <c r="G9" s="2">
        <f>conversion_to_TJ!C16*Dashboard!$D$14</f>
        <v>144939.56852016001</v>
      </c>
    </row>
    <row r="10" spans="1:13" x14ac:dyDescent="0.2">
      <c r="A10" s="1">
        <v>2001</v>
      </c>
      <c r="B10" s="1">
        <f>B$9+(B$14-B$9)/($A$14-$A$9)*($A10-$A$9)</f>
        <v>2608332.6365519045</v>
      </c>
      <c r="C10" s="1">
        <f t="shared" ref="C10:G10" si="0">C$9+(C$14-C$9)/($A$14-$A$9)*($A10-$A$9)</f>
        <v>652824.33117609622</v>
      </c>
      <c r="D10" s="1">
        <f t="shared" si="0"/>
        <v>143661.66839999997</v>
      </c>
      <c r="E10" s="1">
        <f t="shared" si="0"/>
        <v>45147.93912000001</v>
      </c>
      <c r="F10" s="1">
        <f t="shared" si="0"/>
        <v>0</v>
      </c>
      <c r="G10" s="1">
        <f t="shared" si="0"/>
        <v>150890.971663656</v>
      </c>
    </row>
    <row r="11" spans="1:13" x14ac:dyDescent="0.2">
      <c r="A11" s="1">
        <v>2002</v>
      </c>
      <c r="B11" s="1">
        <f t="shared" ref="B11:G13" si="1">B$9+(B$14-B$9)/($A$14-$A$9)*($A11-$A$9)</f>
        <v>2590344.4048901284</v>
      </c>
      <c r="C11" s="1">
        <f t="shared" si="1"/>
        <v>648322.16180587222</v>
      </c>
      <c r="D11" s="1">
        <f t="shared" si="1"/>
        <v>148430.43359999996</v>
      </c>
      <c r="E11" s="1">
        <f t="shared" si="1"/>
        <v>45823.68864</v>
      </c>
      <c r="F11" s="1">
        <f t="shared" si="1"/>
        <v>0</v>
      </c>
      <c r="G11" s="1">
        <f t="shared" si="1"/>
        <v>156842.37480715199</v>
      </c>
    </row>
    <row r="12" spans="1:13" x14ac:dyDescent="0.2">
      <c r="A12" s="1">
        <v>2003</v>
      </c>
      <c r="B12" s="1">
        <f t="shared" si="1"/>
        <v>2572356.1732283523</v>
      </c>
      <c r="C12" s="1">
        <f t="shared" si="1"/>
        <v>643819.99243564811</v>
      </c>
      <c r="D12" s="1">
        <f t="shared" si="1"/>
        <v>153199.19879999995</v>
      </c>
      <c r="E12" s="1">
        <f t="shared" si="1"/>
        <v>46499.438159999998</v>
      </c>
      <c r="F12" s="1">
        <f t="shared" si="1"/>
        <v>0</v>
      </c>
      <c r="G12" s="1">
        <f t="shared" si="1"/>
        <v>162793.77795064799</v>
      </c>
    </row>
    <row r="13" spans="1:13" x14ac:dyDescent="0.2">
      <c r="A13" s="1">
        <v>2004</v>
      </c>
      <c r="B13" s="1">
        <f t="shared" si="1"/>
        <v>2554367.9415665762</v>
      </c>
      <c r="C13" s="1">
        <f t="shared" si="1"/>
        <v>639317.82306542411</v>
      </c>
      <c r="D13" s="1">
        <f t="shared" si="1"/>
        <v>157967.96399999995</v>
      </c>
      <c r="E13" s="1">
        <f t="shared" si="1"/>
        <v>47175.187679999988</v>
      </c>
      <c r="F13" s="1">
        <f t="shared" si="1"/>
        <v>0</v>
      </c>
      <c r="G13" s="1">
        <f t="shared" si="1"/>
        <v>168745.18109414401</v>
      </c>
    </row>
    <row r="14" spans="1:13" x14ac:dyDescent="0.2">
      <c r="A14" s="2">
        <v>2005</v>
      </c>
      <c r="B14" s="2">
        <f>conversion_to_TJ!D10*Dashboard!$D$11</f>
        <v>2536379.7099048002</v>
      </c>
      <c r="C14" s="2">
        <f>conversion_to_TJ!D10*Dashboard!$D$12</f>
        <v>634815.6536952001</v>
      </c>
      <c r="D14" s="2">
        <f>conversion_to_TJ!D12</f>
        <v>162736.72919999994</v>
      </c>
      <c r="E14" s="2">
        <f>conversion_to_TJ!D11</f>
        <v>47850.937199999986</v>
      </c>
      <c r="F14" s="2">
        <f>conversion_to_TJ!D13</f>
        <v>0</v>
      </c>
      <c r="G14" s="2">
        <f>conversion_to_TJ!D16*Dashboard!$D$14</f>
        <v>174696.58423764</v>
      </c>
    </row>
    <row r="15" spans="1:13" x14ac:dyDescent="0.2">
      <c r="A15" s="1">
        <v>2006</v>
      </c>
      <c r="B15" s="1">
        <f>B$14+(B$19-B$14)/($A$19-$A$14)*($A15-$A$14)</f>
        <v>2437101.4975728481</v>
      </c>
      <c r="C15" s="1">
        <f t="shared" ref="C15:G15" si="2">C$14+(C$19-C$14)/($A$19-$A$14)*($A15-$A$14)</f>
        <v>609967.89016315213</v>
      </c>
      <c r="D15" s="1">
        <f t="shared" si="2"/>
        <v>161134.02215999996</v>
      </c>
      <c r="E15" s="1">
        <f t="shared" si="2"/>
        <v>47184.398639999985</v>
      </c>
      <c r="F15" s="1">
        <f t="shared" si="2"/>
        <v>0</v>
      </c>
      <c r="G15" s="1">
        <f t="shared" si="2"/>
        <v>192933.40829740441</v>
      </c>
    </row>
    <row r="16" spans="1:13" x14ac:dyDescent="0.2">
      <c r="A16" s="1">
        <v>2007</v>
      </c>
      <c r="B16" s="1">
        <f t="shared" ref="B16:G18" si="3">B$14+(B$19-B$14)/($A$19-$A$14)*($A16-$A$14)</f>
        <v>2337823.285240896</v>
      </c>
      <c r="C16" s="1">
        <f t="shared" si="3"/>
        <v>585120.12663110404</v>
      </c>
      <c r="D16" s="1">
        <f t="shared" si="3"/>
        <v>159531.31511999998</v>
      </c>
      <c r="E16" s="1">
        <f t="shared" si="3"/>
        <v>46517.860079999984</v>
      </c>
      <c r="F16" s="1">
        <f t="shared" si="3"/>
        <v>0</v>
      </c>
      <c r="G16" s="1">
        <f t="shared" si="3"/>
        <v>211170.23235716886</v>
      </c>
    </row>
    <row r="17" spans="1:7" x14ac:dyDescent="0.2">
      <c r="A17" s="1">
        <v>2008</v>
      </c>
      <c r="B17" s="1">
        <f t="shared" si="3"/>
        <v>2238545.072908944</v>
      </c>
      <c r="C17" s="1">
        <f t="shared" si="3"/>
        <v>560272.36309905606</v>
      </c>
      <c r="D17" s="1">
        <f t="shared" si="3"/>
        <v>157928.60807999998</v>
      </c>
      <c r="E17" s="1">
        <f t="shared" si="3"/>
        <v>45851.321519999976</v>
      </c>
      <c r="F17" s="1">
        <f t="shared" si="3"/>
        <v>0</v>
      </c>
      <c r="G17" s="1">
        <f t="shared" si="3"/>
        <v>229407.05641693328</v>
      </c>
    </row>
    <row r="18" spans="1:7" x14ac:dyDescent="0.2">
      <c r="A18" s="1">
        <v>2009</v>
      </c>
      <c r="B18" s="1">
        <f t="shared" si="3"/>
        <v>2139266.8605769919</v>
      </c>
      <c r="C18" s="1">
        <f t="shared" si="3"/>
        <v>535424.59956700797</v>
      </c>
      <c r="D18" s="1">
        <f t="shared" si="3"/>
        <v>156325.90104</v>
      </c>
      <c r="E18" s="1">
        <f t="shared" si="3"/>
        <v>45184.782959999975</v>
      </c>
      <c r="F18" s="1">
        <f t="shared" si="3"/>
        <v>0</v>
      </c>
      <c r="G18" s="1">
        <f t="shared" si="3"/>
        <v>247643.8804766977</v>
      </c>
    </row>
    <row r="19" spans="1:7" x14ac:dyDescent="0.2">
      <c r="A19" s="2">
        <v>2010</v>
      </c>
      <c r="B19" s="2">
        <f>conversion_to_TJ!E10*Dashboard!$D$11</f>
        <v>2039988.6482450399</v>
      </c>
      <c r="C19" s="2">
        <f>conversion_to_TJ!E10*Dashboard!$D$12</f>
        <v>510576.83603496</v>
      </c>
      <c r="D19" s="2">
        <f>conversion_to_TJ!E12</f>
        <v>154723.19400000002</v>
      </c>
      <c r="E19" s="2">
        <f>conversion_to_TJ!E11</f>
        <v>44518.244399999974</v>
      </c>
      <c r="F19" s="2">
        <f>conversion_to_TJ!E13</f>
        <v>0</v>
      </c>
      <c r="G19" s="2">
        <f>conversion_to_TJ!E16*Dashboard!$D$14</f>
        <v>265880.70453646214</v>
      </c>
    </row>
    <row r="20" spans="1:7" x14ac:dyDescent="0.2">
      <c r="A20" s="1">
        <v>2011</v>
      </c>
      <c r="B20" s="1">
        <f>B$19+(B$21-B$19)/($A$21-$A$19)*($A20-$A$19)</f>
        <v>1963817.5541225199</v>
      </c>
      <c r="C20" s="1">
        <f>C$19+(C$21-C$19)/($A$21-$A$19)*($A20-$A$19)</f>
        <v>521857.57801747997</v>
      </c>
      <c r="D20" s="1">
        <f>D$19+(D$21-D$19)/($A$21-$A$19)*($A20-$A$19)</f>
        <v>157463.93700000001</v>
      </c>
      <c r="E20" s="1">
        <f>E$19+(E$21-E$19)/($A$21-$A$19)*($A20-$A$19)</f>
        <v>36919.977199999987</v>
      </c>
      <c r="F20" s="1">
        <f>F$19+(F$21-F$19)/($A$21-$A$19)*($A20-$A$19)</f>
        <v>0</v>
      </c>
      <c r="G20" s="1">
        <f t="shared" ref="G20" si="4">G$19+(G$24-G$19)/($A$24-$A$19)*($A20-$A$19)</f>
        <v>280738.25515602215</v>
      </c>
    </row>
    <row r="21" spans="1:7" x14ac:dyDescent="0.2">
      <c r="A21" s="1">
        <v>2012</v>
      </c>
      <c r="B21" s="153">
        <v>1887646.46</v>
      </c>
      <c r="C21" s="153">
        <v>533138.31999999995</v>
      </c>
      <c r="D21" s="153">
        <v>160204.68</v>
      </c>
      <c r="E21" s="153">
        <v>29321.71</v>
      </c>
      <c r="F21" s="153">
        <v>0</v>
      </c>
      <c r="G21" s="1">
        <f t="shared" ref="G21:G23" si="5">G$19+(G$24-G$19)/($A$24-$A$19)*($A21-$A$19)</f>
        <v>295595.80577558215</v>
      </c>
    </row>
    <row r="22" spans="1:7" x14ac:dyDescent="0.2">
      <c r="A22" s="1">
        <v>2013</v>
      </c>
      <c r="B22" s="1">
        <f>B$21+(B$24-B$21)/($A$24-$A$21)*($A22-$A$21)</f>
        <v>1940946.3536720774</v>
      </c>
      <c r="C22" s="1">
        <f t="shared" ref="C22:F23" si="6">C$21+(C$24-C$21)/($A$24-$A$21)*($A22-$A$21)</f>
        <v>526248.33224360622</v>
      </c>
      <c r="D22" s="1">
        <f t="shared" si="6"/>
        <v>161886.92173888866</v>
      </c>
      <c r="E22" s="1">
        <f t="shared" si="6"/>
        <v>41022.564347510008</v>
      </c>
      <c r="F22" s="1">
        <f t="shared" si="6"/>
        <v>0</v>
      </c>
      <c r="G22" s="1">
        <f t="shared" si="5"/>
        <v>310453.35639514215</v>
      </c>
    </row>
    <row r="23" spans="1:7" x14ac:dyDescent="0.2">
      <c r="A23" s="1">
        <v>2014</v>
      </c>
      <c r="B23" s="1">
        <f>B$21+(B$24-B$21)/($A$24-$A$21)*($A23-$A$21)</f>
        <v>1994246.2473441551</v>
      </c>
      <c r="C23" s="1">
        <f t="shared" si="6"/>
        <v>519358.34448721254</v>
      </c>
      <c r="D23" s="1">
        <f t="shared" si="6"/>
        <v>163569.16347777733</v>
      </c>
      <c r="E23" s="1">
        <f t="shared" si="6"/>
        <v>52723.418695020009</v>
      </c>
      <c r="F23" s="1">
        <f t="shared" si="6"/>
        <v>0</v>
      </c>
      <c r="G23" s="1">
        <f t="shared" si="5"/>
        <v>325310.9070147021</v>
      </c>
    </row>
    <row r="24" spans="1:7" x14ac:dyDescent="0.2">
      <c r="A24" s="2">
        <v>2015</v>
      </c>
      <c r="B24" s="2">
        <f>conversion_to_TJ!F10*Dashboard!$D$11</f>
        <v>2047546.1410162325</v>
      </c>
      <c r="C24" s="2">
        <f>conversion_to_TJ!F10*Dashboard!$D$12</f>
        <v>512468.35673081881</v>
      </c>
      <c r="D24" s="2">
        <f>conversion_to_TJ!F12</f>
        <v>165251.405216666</v>
      </c>
      <c r="E24" s="2">
        <f>conversion_to_TJ!F11</f>
        <v>64424.273042530018</v>
      </c>
      <c r="F24" s="2">
        <f>conversion_to_TJ!F13</f>
        <v>0</v>
      </c>
      <c r="G24" s="2">
        <f>conversion_to_TJ!F16*Dashboard!$D$14</f>
        <v>340168.4576342621</v>
      </c>
    </row>
    <row r="25" spans="1:7" x14ac:dyDescent="0.2">
      <c r="A25" s="1">
        <v>2016</v>
      </c>
      <c r="B25" s="1">
        <f>B$24+(B$29-B$24)/($A$29-$A$24)*($A25-$A$24)</f>
        <v>2019787.4296122012</v>
      </c>
      <c r="C25" s="1">
        <f t="shared" ref="C25:G25" si="7">C$24+(C$29-C$24)/($A$29-$A$24)*($A25-$A$24)</f>
        <v>505520.79108957341</v>
      </c>
      <c r="D25" s="1">
        <f t="shared" si="7"/>
        <v>170643.07707272211</v>
      </c>
      <c r="E25" s="1">
        <f t="shared" si="7"/>
        <v>64794.880880047451</v>
      </c>
      <c r="F25" s="1">
        <f t="shared" si="7"/>
        <v>0</v>
      </c>
      <c r="G25" s="1">
        <f t="shared" si="7"/>
        <v>356028.63783601089</v>
      </c>
    </row>
    <row r="26" spans="1:7" x14ac:dyDescent="0.2">
      <c r="A26" s="1">
        <v>2017</v>
      </c>
      <c r="B26" s="1">
        <f t="shared" ref="B26:G28" si="8">B$24+(B$29-B$24)/($A$29-$A$24)*($A26-$A$24)</f>
        <v>1992028.7182081698</v>
      </c>
      <c r="C26" s="1">
        <f t="shared" si="8"/>
        <v>498573.22544832801</v>
      </c>
      <c r="D26" s="1">
        <f t="shared" si="8"/>
        <v>176034.74892877822</v>
      </c>
      <c r="E26" s="1">
        <f t="shared" si="8"/>
        <v>65165.488717564876</v>
      </c>
      <c r="F26" s="1">
        <f t="shared" si="8"/>
        <v>0</v>
      </c>
      <c r="G26" s="1">
        <f t="shared" si="8"/>
        <v>371888.81803775969</v>
      </c>
    </row>
    <row r="27" spans="1:7" x14ac:dyDescent="0.2">
      <c r="A27" s="1">
        <v>2018</v>
      </c>
      <c r="B27" s="1">
        <f t="shared" si="8"/>
        <v>1964270.0068041382</v>
      </c>
      <c r="C27" s="1">
        <f t="shared" si="8"/>
        <v>491625.65980708256</v>
      </c>
      <c r="D27" s="1">
        <f t="shared" si="8"/>
        <v>181426.42078483436</v>
      </c>
      <c r="E27" s="1">
        <f t="shared" si="8"/>
        <v>65536.096555082302</v>
      </c>
      <c r="F27" s="1">
        <f t="shared" si="8"/>
        <v>0</v>
      </c>
      <c r="G27" s="1">
        <f t="shared" si="8"/>
        <v>387748.99823950848</v>
      </c>
    </row>
    <row r="28" spans="1:7" x14ac:dyDescent="0.2">
      <c r="A28" s="1">
        <v>2019</v>
      </c>
      <c r="B28" s="1">
        <f t="shared" si="8"/>
        <v>1936511.2954001068</v>
      </c>
      <c r="C28" s="1">
        <f t="shared" si="8"/>
        <v>484678.09416583716</v>
      </c>
      <c r="D28" s="1">
        <f t="shared" si="8"/>
        <v>186818.09264089048</v>
      </c>
      <c r="E28" s="1">
        <f t="shared" si="8"/>
        <v>65906.704392599742</v>
      </c>
      <c r="F28" s="1">
        <f t="shared" si="8"/>
        <v>0</v>
      </c>
      <c r="G28" s="1">
        <f t="shared" si="8"/>
        <v>403609.17844125722</v>
      </c>
    </row>
    <row r="29" spans="1:7" x14ac:dyDescent="0.2">
      <c r="A29" s="2">
        <v>2020</v>
      </c>
      <c r="B29" s="2">
        <f>conversion_to_TJ!G10*Dashboard!$D$11</f>
        <v>1908752.5839960754</v>
      </c>
      <c r="C29" s="2">
        <f>conversion_to_TJ!G10*Dashboard!$D$12</f>
        <v>477730.52852459176</v>
      </c>
      <c r="D29" s="2">
        <f>conversion_to_TJ!G12</f>
        <v>192209.76449694659</v>
      </c>
      <c r="E29" s="2">
        <f>conversion_to_TJ!G11</f>
        <v>66277.312230117168</v>
      </c>
      <c r="F29" s="2">
        <f>conversion_to_TJ!G13</f>
        <v>0</v>
      </c>
      <c r="G29" s="2">
        <f>conversion_to_TJ!G16*Dashboard!$D$14</f>
        <v>419469.35864300601</v>
      </c>
    </row>
    <row r="30" spans="1:7" x14ac:dyDescent="0.2">
      <c r="A30" s="1">
        <v>2021</v>
      </c>
      <c r="B30" s="1">
        <f>B$29+(B$34-B$29)/($A$34-$A$29)*($A30-$A$29)</f>
        <v>1860712.3810238875</v>
      </c>
      <c r="C30" s="1">
        <f t="shared" ref="C30:G30" si="9">C$29+(C$34-C$29)/($A$34-$A$29)*($A30-$A$29)</f>
        <v>465706.8268941351</v>
      </c>
      <c r="D30" s="1">
        <f t="shared" si="9"/>
        <v>196168.39671887524</v>
      </c>
      <c r="E30" s="1">
        <f t="shared" si="9"/>
        <v>66130.275543754324</v>
      </c>
      <c r="F30" s="1">
        <f t="shared" si="9"/>
        <v>0</v>
      </c>
      <c r="G30" s="1">
        <f t="shared" si="9"/>
        <v>427583.86362189759</v>
      </c>
    </row>
    <row r="31" spans="1:7" x14ac:dyDescent="0.2">
      <c r="A31" s="1">
        <v>2022</v>
      </c>
      <c r="B31" s="1">
        <f t="shared" ref="B31:G33" si="10">B$29+(B$34-B$29)/($A$34-$A$29)*($A31-$A$29)</f>
        <v>1812672.1780516997</v>
      </c>
      <c r="C31" s="1">
        <f t="shared" si="10"/>
        <v>453683.12526367843</v>
      </c>
      <c r="D31" s="1">
        <f t="shared" si="10"/>
        <v>200127.02894080387</v>
      </c>
      <c r="E31" s="1">
        <f t="shared" si="10"/>
        <v>65983.23885739148</v>
      </c>
      <c r="F31" s="1">
        <f t="shared" si="10"/>
        <v>0</v>
      </c>
      <c r="G31" s="1">
        <f t="shared" si="10"/>
        <v>435698.36860078922</v>
      </c>
    </row>
    <row r="32" spans="1:7" x14ac:dyDescent="0.2">
      <c r="A32" s="1">
        <v>2023</v>
      </c>
      <c r="B32" s="1">
        <f t="shared" si="10"/>
        <v>1764631.9750795118</v>
      </c>
      <c r="C32" s="1">
        <f t="shared" si="10"/>
        <v>441659.42363322177</v>
      </c>
      <c r="D32" s="1">
        <f t="shared" si="10"/>
        <v>204085.66116273252</v>
      </c>
      <c r="E32" s="1">
        <f t="shared" si="10"/>
        <v>65836.20217102865</v>
      </c>
      <c r="F32" s="1">
        <f t="shared" si="10"/>
        <v>0</v>
      </c>
      <c r="G32" s="1">
        <f t="shared" si="10"/>
        <v>443812.8735796808</v>
      </c>
    </row>
    <row r="33" spans="1:7" x14ac:dyDescent="0.2">
      <c r="A33" s="1">
        <v>2024</v>
      </c>
      <c r="B33" s="1">
        <f t="shared" si="10"/>
        <v>1716591.7721073236</v>
      </c>
      <c r="C33" s="1">
        <f t="shared" si="10"/>
        <v>429635.72200276505</v>
      </c>
      <c r="D33" s="1">
        <f t="shared" si="10"/>
        <v>208044.29338466114</v>
      </c>
      <c r="E33" s="1">
        <f t="shared" si="10"/>
        <v>65689.165484665806</v>
      </c>
      <c r="F33" s="1">
        <f t="shared" si="10"/>
        <v>0</v>
      </c>
      <c r="G33" s="1">
        <f t="shared" si="10"/>
        <v>451927.37855857244</v>
      </c>
    </row>
    <row r="34" spans="1:7" x14ac:dyDescent="0.2">
      <c r="A34" s="2">
        <v>2025</v>
      </c>
      <c r="B34" s="2">
        <f>conversion_to_TJ!H10*Dashboard!$D$11</f>
        <v>1668551.5691351357</v>
      </c>
      <c r="C34" s="2">
        <f>conversion_to_TJ!H10*Dashboard!$D$12</f>
        <v>417612.02037230838</v>
      </c>
      <c r="D34" s="2">
        <f>conversion_to_TJ!H12</f>
        <v>212002.92560658979</v>
      </c>
      <c r="E34" s="2">
        <f>conversion_to_TJ!H11</f>
        <v>65542.128798302962</v>
      </c>
      <c r="F34" s="2">
        <f>conversion_to_TJ!H13</f>
        <v>0</v>
      </c>
      <c r="G34" s="2">
        <f>conversion_to_TJ!H16*Dashboard!$D$14</f>
        <v>460041.88353746402</v>
      </c>
    </row>
    <row r="35" spans="1:7" x14ac:dyDescent="0.2">
      <c r="A35" s="1">
        <v>2026</v>
      </c>
      <c r="B35" s="1">
        <f>B$34+(B$39-B$34)/($A$39-$A$34)*($A35-$A$34)</f>
        <v>1625375.9712096872</v>
      </c>
      <c r="C35" s="1">
        <f t="shared" ref="C35:G35" si="11">C$34+(C$39-C$34)/($A$39-$A$34)*($A35-$A$34)</f>
        <v>406805.85230776673</v>
      </c>
      <c r="D35" s="1">
        <f t="shared" si="11"/>
        <v>235809.71603122121</v>
      </c>
      <c r="E35" s="1">
        <f t="shared" si="11"/>
        <v>65355.027438625344</v>
      </c>
      <c r="F35" s="1">
        <f t="shared" si="11"/>
        <v>0</v>
      </c>
      <c r="G35" s="1">
        <f t="shared" si="11"/>
        <v>467170.05907525623</v>
      </c>
    </row>
    <row r="36" spans="1:7" x14ac:dyDescent="0.2">
      <c r="A36" s="1">
        <v>2027</v>
      </c>
      <c r="B36" s="1">
        <f t="shared" ref="B36:G38" si="12">B$34+(B$39-B$34)/($A$39-$A$34)*($A36-$A$34)</f>
        <v>1582200.3732842389</v>
      </c>
      <c r="C36" s="1">
        <f t="shared" si="12"/>
        <v>395999.68424322509</v>
      </c>
      <c r="D36" s="1">
        <f t="shared" si="12"/>
        <v>259616.50645585262</v>
      </c>
      <c r="E36" s="1">
        <f t="shared" si="12"/>
        <v>65167.926078947727</v>
      </c>
      <c r="F36" s="1">
        <f t="shared" si="12"/>
        <v>0</v>
      </c>
      <c r="G36" s="1">
        <f t="shared" si="12"/>
        <v>474298.23461304844</v>
      </c>
    </row>
    <row r="37" spans="1:7" x14ac:dyDescent="0.2">
      <c r="A37" s="1">
        <v>2028</v>
      </c>
      <c r="B37" s="1">
        <f t="shared" si="12"/>
        <v>1539024.7753587903</v>
      </c>
      <c r="C37" s="1">
        <f t="shared" si="12"/>
        <v>385193.51617868338</v>
      </c>
      <c r="D37" s="1">
        <f t="shared" si="12"/>
        <v>283423.29688048403</v>
      </c>
      <c r="E37" s="1">
        <f t="shared" si="12"/>
        <v>64980.824719270116</v>
      </c>
      <c r="F37" s="1">
        <f t="shared" si="12"/>
        <v>0</v>
      </c>
      <c r="G37" s="1">
        <f t="shared" si="12"/>
        <v>481426.41015084065</v>
      </c>
    </row>
    <row r="38" spans="1:7" x14ac:dyDescent="0.2">
      <c r="A38" s="1">
        <v>2029</v>
      </c>
      <c r="B38" s="1">
        <f t="shared" si="12"/>
        <v>1495849.177433342</v>
      </c>
      <c r="C38" s="1">
        <f t="shared" si="12"/>
        <v>374387.34811414173</v>
      </c>
      <c r="D38" s="1">
        <f t="shared" si="12"/>
        <v>307230.08730511542</v>
      </c>
      <c r="E38" s="1">
        <f t="shared" si="12"/>
        <v>64793.723359592499</v>
      </c>
      <c r="F38" s="1">
        <f t="shared" si="12"/>
        <v>0</v>
      </c>
      <c r="G38" s="1">
        <f t="shared" si="12"/>
        <v>488554.58568863285</v>
      </c>
    </row>
    <row r="39" spans="1:7" x14ac:dyDescent="0.2">
      <c r="A39" s="2">
        <v>2030</v>
      </c>
      <c r="B39" s="2">
        <f>conversion_to_TJ!I10*Dashboard!$D$11</f>
        <v>1452673.5795078934</v>
      </c>
      <c r="C39" s="2">
        <f>conversion_to_TJ!I10*Dashboard!$D$12</f>
        <v>363581.18004960008</v>
      </c>
      <c r="D39" s="2">
        <f>conversion_to_TJ!I12</f>
        <v>331036.87772974686</v>
      </c>
      <c r="E39" s="2">
        <f>conversion_to_TJ!I11</f>
        <v>64606.621999914882</v>
      </c>
      <c r="F39" s="2">
        <f>conversion_to_TJ!I13</f>
        <v>0</v>
      </c>
      <c r="G39" s="2">
        <f>conversion_to_TJ!I16*Dashboard!$D$14</f>
        <v>495682.76122642506</v>
      </c>
    </row>
    <row r="40" spans="1:7" x14ac:dyDescent="0.2">
      <c r="A40" s="1">
        <v>2031</v>
      </c>
      <c r="B40" s="1">
        <f>B$39+(B$44-B$39)/($A$44-$A$39)*($A40-$A$39)</f>
        <v>1389718.5116718775</v>
      </c>
      <c r="C40" s="1">
        <f t="shared" ref="C40:G40" si="13">C$39+(C$44-C$39)/($A$44-$A$39)*($A40-$A$39)</f>
        <v>347824.52406245447</v>
      </c>
      <c r="D40" s="1">
        <f t="shared" si="13"/>
        <v>348338.33420173213</v>
      </c>
      <c r="E40" s="1">
        <f t="shared" si="13"/>
        <v>64158.19108139872</v>
      </c>
      <c r="F40" s="1">
        <f t="shared" si="13"/>
        <v>49717.368568421065</v>
      </c>
      <c r="G40" s="1">
        <f t="shared" si="13"/>
        <v>499323.73068989406</v>
      </c>
    </row>
    <row r="41" spans="1:7" x14ac:dyDescent="0.2">
      <c r="A41" s="1">
        <v>2032</v>
      </c>
      <c r="B41" s="1">
        <f t="shared" ref="B41:G43" si="14">B$39+(B$44-B$39)/($A$44-$A$39)*($A41-$A$39)</f>
        <v>1326763.4438358617</v>
      </c>
      <c r="C41" s="1">
        <f t="shared" si="14"/>
        <v>332067.86807530886</v>
      </c>
      <c r="D41" s="1">
        <f t="shared" si="14"/>
        <v>365639.79067371739</v>
      </c>
      <c r="E41" s="1">
        <f t="shared" si="14"/>
        <v>63709.760162882565</v>
      </c>
      <c r="F41" s="1">
        <f t="shared" si="14"/>
        <v>99434.73713684213</v>
      </c>
      <c r="G41" s="1">
        <f t="shared" si="14"/>
        <v>502964.70015336305</v>
      </c>
    </row>
    <row r="42" spans="1:7" x14ac:dyDescent="0.2">
      <c r="A42" s="1">
        <v>2033</v>
      </c>
      <c r="B42" s="1">
        <f t="shared" si="14"/>
        <v>1263808.3759998458</v>
      </c>
      <c r="C42" s="1">
        <f t="shared" si="14"/>
        <v>316311.21208816324</v>
      </c>
      <c r="D42" s="1">
        <f t="shared" si="14"/>
        <v>382941.24714570265</v>
      </c>
      <c r="E42" s="1">
        <f t="shared" si="14"/>
        <v>63261.329244366403</v>
      </c>
      <c r="F42" s="1">
        <f t="shared" si="14"/>
        <v>149152.10570526321</v>
      </c>
      <c r="G42" s="1">
        <f t="shared" si="14"/>
        <v>506605.66961683199</v>
      </c>
    </row>
    <row r="43" spans="1:7" x14ac:dyDescent="0.2">
      <c r="A43" s="1">
        <v>2034</v>
      </c>
      <c r="B43" s="1">
        <f t="shared" si="14"/>
        <v>1200853.3081638301</v>
      </c>
      <c r="C43" s="1">
        <f t="shared" si="14"/>
        <v>300554.55610101769</v>
      </c>
      <c r="D43" s="1">
        <f t="shared" si="14"/>
        <v>400242.70361768792</v>
      </c>
      <c r="E43" s="1">
        <f t="shared" si="14"/>
        <v>62812.898325850249</v>
      </c>
      <c r="F43" s="1">
        <f t="shared" si="14"/>
        <v>198869.47427368426</v>
      </c>
      <c r="G43" s="1">
        <f t="shared" si="14"/>
        <v>510246.63908030099</v>
      </c>
    </row>
    <row r="44" spans="1:7" x14ac:dyDescent="0.2">
      <c r="A44" s="2">
        <v>2035</v>
      </c>
      <c r="B44" s="2">
        <f>conversion_to_TJ!J10*Dashboard!$D$11</f>
        <v>1137898.2403278141</v>
      </c>
      <c r="C44" s="2">
        <f>conversion_to_TJ!J10*Dashboard!$D$12</f>
        <v>284797.90011387208</v>
      </c>
      <c r="D44" s="2">
        <f>conversion_to_TJ!J12</f>
        <v>417544.16008967318</v>
      </c>
      <c r="E44" s="2">
        <f>conversion_to_TJ!J11</f>
        <v>62364.467407334087</v>
      </c>
      <c r="F44" s="2">
        <f>conversion_to_TJ!J13</f>
        <v>248586.84284210534</v>
      </c>
      <c r="G44" s="2">
        <f>conversion_to_TJ!J16*Dashboard!$D$14</f>
        <v>513887.60854376998</v>
      </c>
    </row>
    <row r="45" spans="1:7" x14ac:dyDescent="0.2">
      <c r="A45" s="1">
        <v>2036</v>
      </c>
      <c r="B45" s="1">
        <f>B$44+(B$49-B$44)/($A$49-$A$44)*($A45-$A$44)</f>
        <v>1077505.1560433123</v>
      </c>
      <c r="C45" s="1">
        <f t="shared" ref="C45:G45" si="15">C$44+(C$49-C$44)/($A$49-$A$44)*($A45-$A$44)</f>
        <v>269682.46801629616</v>
      </c>
      <c r="D45" s="1">
        <f t="shared" si="15"/>
        <v>431286.51737893146</v>
      </c>
      <c r="E45" s="1">
        <f t="shared" si="15"/>
        <v>61216.590573208683</v>
      </c>
      <c r="F45" s="1">
        <f t="shared" si="15"/>
        <v>273445.52712631586</v>
      </c>
      <c r="G45" s="1">
        <f t="shared" si="15"/>
        <v>518256.94540546957</v>
      </c>
    </row>
    <row r="46" spans="1:7" x14ac:dyDescent="0.2">
      <c r="A46" s="1">
        <v>2037</v>
      </c>
      <c r="B46" s="1">
        <f t="shared" ref="B46:G48" si="16">B$44+(B$49-B$44)/($A$49-$A$44)*($A46-$A$44)</f>
        <v>1017112.0717588104</v>
      </c>
      <c r="C46" s="1">
        <f t="shared" si="16"/>
        <v>254567.03591872021</v>
      </c>
      <c r="D46" s="1">
        <f t="shared" si="16"/>
        <v>445028.87466818979</v>
      </c>
      <c r="E46" s="1">
        <f t="shared" si="16"/>
        <v>60068.71373908328</v>
      </c>
      <c r="F46" s="1">
        <f t="shared" si="16"/>
        <v>298304.21141052642</v>
      </c>
      <c r="G46" s="1">
        <f t="shared" si="16"/>
        <v>522626.28226716915</v>
      </c>
    </row>
    <row r="47" spans="1:7" x14ac:dyDescent="0.2">
      <c r="A47" s="1">
        <v>2038</v>
      </c>
      <c r="B47" s="1">
        <f t="shared" si="16"/>
        <v>956718.98747430858</v>
      </c>
      <c r="C47" s="1">
        <f t="shared" si="16"/>
        <v>239451.60382114429</v>
      </c>
      <c r="D47" s="1">
        <f t="shared" si="16"/>
        <v>458771.23195744806</v>
      </c>
      <c r="E47" s="1">
        <f t="shared" si="16"/>
        <v>58920.836904957883</v>
      </c>
      <c r="F47" s="1">
        <f t="shared" si="16"/>
        <v>323162.89569473697</v>
      </c>
      <c r="G47" s="1">
        <f t="shared" si="16"/>
        <v>526995.61912886868</v>
      </c>
    </row>
    <row r="48" spans="1:7" x14ac:dyDescent="0.2">
      <c r="A48" s="1">
        <v>2039</v>
      </c>
      <c r="B48" s="1">
        <f t="shared" si="16"/>
        <v>896325.90318980673</v>
      </c>
      <c r="C48" s="1">
        <f t="shared" si="16"/>
        <v>224336.17172356835</v>
      </c>
      <c r="D48" s="1">
        <f t="shared" si="16"/>
        <v>472513.5892467064</v>
      </c>
      <c r="E48" s="1">
        <f t="shared" si="16"/>
        <v>57772.96007083248</v>
      </c>
      <c r="F48" s="1">
        <f t="shared" si="16"/>
        <v>348021.57997894747</v>
      </c>
      <c r="G48" s="1">
        <f t="shared" si="16"/>
        <v>531364.95599056827</v>
      </c>
    </row>
    <row r="49" spans="1:7" x14ac:dyDescent="0.2">
      <c r="A49" s="2">
        <v>2040</v>
      </c>
      <c r="B49" s="2">
        <f>conversion_to_TJ!K10*Dashboard!$D$11</f>
        <v>835932.81890530488</v>
      </c>
      <c r="C49" s="2">
        <f>conversion_to_TJ!K10*Dashboard!$D$12</f>
        <v>209220.73962599243</v>
      </c>
      <c r="D49" s="2">
        <f>conversion_to_TJ!K12</f>
        <v>486255.94653596467</v>
      </c>
      <c r="E49" s="2">
        <f>conversion_to_TJ!K11</f>
        <v>56625.083236707076</v>
      </c>
      <c r="F49" s="2">
        <f>conversion_to_TJ!K13</f>
        <v>372880.26426315802</v>
      </c>
      <c r="G49" s="2">
        <f>conversion_to_TJ!K16*Dashboard!$D$14</f>
        <v>535734.29285226786</v>
      </c>
    </row>
    <row r="50" spans="1:7" x14ac:dyDescent="0.2">
      <c r="A50" s="1">
        <v>2041</v>
      </c>
      <c r="B50" s="1">
        <f>B$49+(B$54-B$49)/($A$54-$A$49)*($A50-$A$49)</f>
        <v>812075.11019326712</v>
      </c>
      <c r="C50" s="1">
        <f t="shared" ref="C50:G50" si="17">C$49+(C$54-C$49)/($A$54-$A$49)*($A50-$A$49)</f>
        <v>203249.53314907639</v>
      </c>
      <c r="D50" s="1">
        <f t="shared" si="17"/>
        <v>498350.5464908001</v>
      </c>
      <c r="E50" s="1">
        <f t="shared" si="17"/>
        <v>55530.980382370835</v>
      </c>
      <c r="F50" s="1">
        <f t="shared" si="17"/>
        <v>397738.94854736858</v>
      </c>
      <c r="G50" s="1">
        <f t="shared" si="17"/>
        <v>539719.07107901073</v>
      </c>
    </row>
    <row r="51" spans="1:7" x14ac:dyDescent="0.2">
      <c r="A51" s="1">
        <v>2042</v>
      </c>
      <c r="B51" s="1">
        <f t="shared" ref="B51:G53" si="18">B$49+(B$54-B$49)/($A$54-$A$49)*($A51-$A$49)</f>
        <v>788217.40148122935</v>
      </c>
      <c r="C51" s="1">
        <f t="shared" si="18"/>
        <v>197278.32667216039</v>
      </c>
      <c r="D51" s="1">
        <f t="shared" si="18"/>
        <v>510445.14644563559</v>
      </c>
      <c r="E51" s="1">
        <f t="shared" si="18"/>
        <v>54436.877528034594</v>
      </c>
      <c r="F51" s="1">
        <f t="shared" si="18"/>
        <v>422597.63283157907</v>
      </c>
      <c r="G51" s="1">
        <f t="shared" si="18"/>
        <v>543703.84930575371</v>
      </c>
    </row>
    <row r="52" spans="1:7" x14ac:dyDescent="0.2">
      <c r="A52" s="1">
        <v>2043</v>
      </c>
      <c r="B52" s="1">
        <f t="shared" si="18"/>
        <v>764359.69276919158</v>
      </c>
      <c r="C52" s="1">
        <f t="shared" si="18"/>
        <v>191307.12019524435</v>
      </c>
      <c r="D52" s="1">
        <f t="shared" si="18"/>
        <v>522539.74640047102</v>
      </c>
      <c r="E52" s="1">
        <f t="shared" si="18"/>
        <v>53342.774673698346</v>
      </c>
      <c r="F52" s="1">
        <f t="shared" si="18"/>
        <v>447456.31711578963</v>
      </c>
      <c r="G52" s="1">
        <f t="shared" si="18"/>
        <v>547688.62753249658</v>
      </c>
    </row>
    <row r="53" spans="1:7" x14ac:dyDescent="0.2">
      <c r="A53" s="1">
        <v>2044</v>
      </c>
      <c r="B53" s="1">
        <f t="shared" si="18"/>
        <v>740501.98405715381</v>
      </c>
      <c r="C53" s="1">
        <f t="shared" si="18"/>
        <v>185335.91371832835</v>
      </c>
      <c r="D53" s="1">
        <f t="shared" si="18"/>
        <v>534634.34635530645</v>
      </c>
      <c r="E53" s="1">
        <f t="shared" si="18"/>
        <v>52248.671819362105</v>
      </c>
      <c r="F53" s="1">
        <f t="shared" si="18"/>
        <v>472315.00140000018</v>
      </c>
      <c r="G53" s="1">
        <f t="shared" si="18"/>
        <v>551673.40575923957</v>
      </c>
    </row>
    <row r="54" spans="1:7" x14ac:dyDescent="0.2">
      <c r="A54" s="2">
        <v>2045</v>
      </c>
      <c r="B54" s="2">
        <f>conversion_to_TJ!L10*Dashboard!$D$11</f>
        <v>716644.27534511604</v>
      </c>
      <c r="C54" s="2">
        <f>conversion_to_TJ!L10*Dashboard!$D$12</f>
        <v>179364.70724141231</v>
      </c>
      <c r="D54" s="2">
        <f>conversion_to_TJ!L12</f>
        <v>546728.94631014194</v>
      </c>
      <c r="E54" s="2">
        <f>conversion_to_TJ!L11</f>
        <v>51154.568965025865</v>
      </c>
      <c r="F54" s="2">
        <f>conversion_to_TJ!L13</f>
        <v>497173.68568421068</v>
      </c>
      <c r="G54" s="2">
        <f>conversion_to_TJ!L16*Dashboard!$D$14</f>
        <v>555658.18398598244</v>
      </c>
    </row>
    <row r="55" spans="1:7" x14ac:dyDescent="0.2">
      <c r="A55" s="1">
        <v>2046</v>
      </c>
      <c r="B55" s="1">
        <f>B$54+(B$59-B$54)/($A$59-$A$54)*($A55-$A$54)</f>
        <v>708989.40136610612</v>
      </c>
      <c r="C55" s="1">
        <f t="shared" ref="C55:G55" si="19">C$54+(C$59-C$54)/($A$59-$A$54)*($A55-$A$54)</f>
        <v>177448.81357219431</v>
      </c>
      <c r="D55" s="1">
        <f t="shared" si="19"/>
        <v>557224.23856621573</v>
      </c>
      <c r="E55" s="1">
        <f t="shared" si="19"/>
        <v>50186.879741227742</v>
      </c>
      <c r="F55" s="1">
        <f t="shared" si="19"/>
        <v>522032.36996842123</v>
      </c>
      <c r="G55" s="1">
        <f t="shared" si="19"/>
        <v>556935.22147900506</v>
      </c>
    </row>
    <row r="56" spans="1:7" x14ac:dyDescent="0.2">
      <c r="A56" s="1">
        <v>2047</v>
      </c>
      <c r="B56" s="1">
        <f t="shared" ref="B56:G58" si="20">B$54+(B$59-B$54)/($A$59-$A$54)*($A56-$A$54)</f>
        <v>701334.5273870962</v>
      </c>
      <c r="C56" s="1">
        <f t="shared" si="20"/>
        <v>175532.91990297631</v>
      </c>
      <c r="D56" s="1">
        <f t="shared" si="20"/>
        <v>567719.53082228953</v>
      </c>
      <c r="E56" s="1">
        <f t="shared" si="20"/>
        <v>49219.190517429612</v>
      </c>
      <c r="F56" s="1">
        <f t="shared" si="20"/>
        <v>546891.05425263173</v>
      </c>
      <c r="G56" s="1">
        <f t="shared" si="20"/>
        <v>558212.25897202757</v>
      </c>
    </row>
    <row r="57" spans="1:7" x14ac:dyDescent="0.2">
      <c r="A57" s="1">
        <v>2048</v>
      </c>
      <c r="B57" s="1">
        <f t="shared" si="20"/>
        <v>693679.65340808616</v>
      </c>
      <c r="C57" s="1">
        <f t="shared" si="20"/>
        <v>173617.02623375834</v>
      </c>
      <c r="D57" s="1">
        <f t="shared" si="20"/>
        <v>578214.82307836332</v>
      </c>
      <c r="E57" s="1">
        <f t="shared" si="20"/>
        <v>48251.501293631489</v>
      </c>
      <c r="F57" s="1">
        <f t="shared" si="20"/>
        <v>571749.73853684228</v>
      </c>
      <c r="G57" s="1">
        <f t="shared" si="20"/>
        <v>559489.2964650502</v>
      </c>
    </row>
    <row r="58" spans="1:7" x14ac:dyDescent="0.2">
      <c r="A58" s="1">
        <v>2049</v>
      </c>
      <c r="B58" s="1">
        <f t="shared" si="20"/>
        <v>686024.77942907624</v>
      </c>
      <c r="C58" s="1">
        <f t="shared" si="20"/>
        <v>171701.13256454034</v>
      </c>
      <c r="D58" s="1">
        <f t="shared" si="20"/>
        <v>588710.11533443711</v>
      </c>
      <c r="E58" s="1">
        <f t="shared" si="20"/>
        <v>47283.812069833359</v>
      </c>
      <c r="F58" s="1">
        <f t="shared" si="20"/>
        <v>596608.42282105284</v>
      </c>
      <c r="G58" s="1">
        <f t="shared" si="20"/>
        <v>560766.3339580727</v>
      </c>
    </row>
    <row r="59" spans="1:7" x14ac:dyDescent="0.2">
      <c r="A59" s="2">
        <v>2050</v>
      </c>
      <c r="B59" s="2">
        <f>conversion_to_TJ!M10*Dashboard!$D$11</f>
        <v>678369.90545006632</v>
      </c>
      <c r="C59" s="2">
        <f>conversion_to_TJ!M10*Dashboard!$D$12</f>
        <v>169785.23889532234</v>
      </c>
      <c r="D59" s="2">
        <f>conversion_to_TJ!M12</f>
        <v>599205.40759051091</v>
      </c>
      <c r="E59" s="2">
        <f>conversion_to_TJ!M11</f>
        <v>46316.122846035236</v>
      </c>
      <c r="F59" s="2">
        <f>conversion_to_TJ!M13</f>
        <v>621467.10710526339</v>
      </c>
      <c r="G59" s="2">
        <f>conversion_to_TJ!M16*Dashboard!$D$14</f>
        <v>562043.37145109533</v>
      </c>
    </row>
  </sheetData>
  <mergeCells count="1">
    <mergeCell ref="B3:G6"/>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x14ac:dyDescent="0.2"/>
  <sheetData>
    <row r="1" spans="1:7" x14ac:dyDescent="0.2">
      <c r="A1" t="s">
        <v>0</v>
      </c>
      <c r="B1" t="s">
        <v>1</v>
      </c>
      <c r="C1" t="s">
        <v>2</v>
      </c>
      <c r="D1" t="s">
        <v>3</v>
      </c>
      <c r="E1" t="s">
        <v>4</v>
      </c>
      <c r="F1" t="s">
        <v>5</v>
      </c>
      <c r="G1" t="s">
        <v>6</v>
      </c>
    </row>
    <row r="2" spans="1:7" x14ac:dyDescent="0.2">
      <c r="A2">
        <v>2010</v>
      </c>
      <c r="B2">
        <f>interpolation!B19</f>
        <v>2039988.6482450399</v>
      </c>
      <c r="C2">
        <f>interpolation!C19</f>
        <v>510576.83603496</v>
      </c>
      <c r="D2">
        <f>interpolation!D19</f>
        <v>154723.19400000002</v>
      </c>
      <c r="E2">
        <f>interpolation!E19</f>
        <v>44518.244399999974</v>
      </c>
      <c r="F2">
        <f>interpolation!F19</f>
        <v>0</v>
      </c>
      <c r="G2">
        <f>interpolation!G19</f>
        <v>265880.70453646214</v>
      </c>
    </row>
    <row r="3" spans="1:7" x14ac:dyDescent="0.2">
      <c r="A3">
        <v>2011</v>
      </c>
      <c r="B3">
        <f>interpolation!B20</f>
        <v>1963817.5541225199</v>
      </c>
      <c r="C3">
        <f>interpolation!C20</f>
        <v>521857.57801747997</v>
      </c>
      <c r="D3">
        <f>interpolation!D20</f>
        <v>157463.93700000001</v>
      </c>
      <c r="E3">
        <f>interpolation!E20</f>
        <v>36919.977199999987</v>
      </c>
      <c r="F3">
        <f>interpolation!F20</f>
        <v>0</v>
      </c>
      <c r="G3">
        <f>interpolation!G20</f>
        <v>280738.25515602215</v>
      </c>
    </row>
    <row r="4" spans="1:7" x14ac:dyDescent="0.2">
      <c r="A4">
        <v>2012</v>
      </c>
      <c r="B4">
        <f>interpolation!B21</f>
        <v>1887646.46</v>
      </c>
      <c r="C4">
        <f>interpolation!C21</f>
        <v>533138.31999999995</v>
      </c>
      <c r="D4">
        <f>interpolation!D21</f>
        <v>160204.68</v>
      </c>
      <c r="E4">
        <f>interpolation!E21</f>
        <v>29321.71</v>
      </c>
      <c r="F4">
        <f>interpolation!F21</f>
        <v>0</v>
      </c>
      <c r="G4">
        <f>interpolation!G21</f>
        <v>295595.80577558215</v>
      </c>
    </row>
    <row r="5" spans="1:7" x14ac:dyDescent="0.2">
      <c r="A5">
        <v>2013</v>
      </c>
      <c r="B5">
        <f>interpolation!B22</f>
        <v>1940946.3536720774</v>
      </c>
      <c r="C5">
        <f>interpolation!C22</f>
        <v>526248.33224360622</v>
      </c>
      <c r="D5">
        <f>interpolation!D22</f>
        <v>161886.92173888866</v>
      </c>
      <c r="E5">
        <f>interpolation!E22</f>
        <v>41022.564347510008</v>
      </c>
      <c r="F5">
        <f>interpolation!F22</f>
        <v>0</v>
      </c>
      <c r="G5">
        <f>interpolation!G22</f>
        <v>310453.35639514215</v>
      </c>
    </row>
    <row r="6" spans="1:7" x14ac:dyDescent="0.2">
      <c r="A6">
        <v>2014</v>
      </c>
      <c r="B6">
        <f>interpolation!B23</f>
        <v>1994246.2473441551</v>
      </c>
      <c r="C6">
        <f>interpolation!C23</f>
        <v>519358.34448721254</v>
      </c>
      <c r="D6">
        <f>interpolation!D23</f>
        <v>163569.16347777733</v>
      </c>
      <c r="E6">
        <f>interpolation!E23</f>
        <v>52723.418695020009</v>
      </c>
      <c r="F6">
        <f>interpolation!F23</f>
        <v>0</v>
      </c>
      <c r="G6">
        <f>interpolation!G23</f>
        <v>325310.9070147021</v>
      </c>
    </row>
    <row r="7" spans="1:7" x14ac:dyDescent="0.2">
      <c r="A7">
        <v>2015</v>
      </c>
      <c r="B7">
        <f>interpolation!B24</f>
        <v>2047546.1410162325</v>
      </c>
      <c r="C7">
        <f>interpolation!C24</f>
        <v>512468.35673081881</v>
      </c>
      <c r="D7">
        <f>interpolation!D24</f>
        <v>165251.405216666</v>
      </c>
      <c r="E7">
        <f>interpolation!E24</f>
        <v>64424.273042530018</v>
      </c>
      <c r="F7">
        <f>interpolation!F24</f>
        <v>0</v>
      </c>
      <c r="G7">
        <f>interpolation!G24</f>
        <v>340168.4576342621</v>
      </c>
    </row>
    <row r="8" spans="1:7" x14ac:dyDescent="0.2">
      <c r="A8">
        <v>2016</v>
      </c>
      <c r="B8">
        <f>interpolation!B25</f>
        <v>2019787.4296122012</v>
      </c>
      <c r="C8">
        <f>interpolation!C25</f>
        <v>505520.79108957341</v>
      </c>
      <c r="D8">
        <f>interpolation!D25</f>
        <v>170643.07707272211</v>
      </c>
      <c r="E8">
        <f>interpolation!E25</f>
        <v>64794.880880047451</v>
      </c>
      <c r="F8">
        <f>interpolation!F25</f>
        <v>0</v>
      </c>
      <c r="G8">
        <f>interpolation!G25</f>
        <v>356028.63783601089</v>
      </c>
    </row>
    <row r="9" spans="1:7" x14ac:dyDescent="0.2">
      <c r="A9">
        <v>2017</v>
      </c>
      <c r="B9">
        <f>interpolation!B26</f>
        <v>1992028.7182081698</v>
      </c>
      <c r="C9">
        <f>interpolation!C26</f>
        <v>498573.22544832801</v>
      </c>
      <c r="D9">
        <f>interpolation!D26</f>
        <v>176034.74892877822</v>
      </c>
      <c r="E9">
        <f>interpolation!E26</f>
        <v>65165.488717564876</v>
      </c>
      <c r="F9">
        <f>interpolation!F26</f>
        <v>0</v>
      </c>
      <c r="G9">
        <f>interpolation!G26</f>
        <v>371888.81803775969</v>
      </c>
    </row>
    <row r="10" spans="1:7" x14ac:dyDescent="0.2">
      <c r="A10">
        <v>2018</v>
      </c>
      <c r="B10">
        <f>interpolation!B27</f>
        <v>1964270.0068041382</v>
      </c>
      <c r="C10">
        <f>interpolation!C27</f>
        <v>491625.65980708256</v>
      </c>
      <c r="D10">
        <f>interpolation!D27</f>
        <v>181426.42078483436</v>
      </c>
      <c r="E10">
        <f>interpolation!E27</f>
        <v>65536.096555082302</v>
      </c>
      <c r="F10">
        <f>interpolation!F27</f>
        <v>0</v>
      </c>
      <c r="G10">
        <f>interpolation!G27</f>
        <v>387748.99823950848</v>
      </c>
    </row>
    <row r="11" spans="1:7" x14ac:dyDescent="0.2">
      <c r="A11">
        <v>2019</v>
      </c>
      <c r="B11">
        <f>interpolation!B28</f>
        <v>1936511.2954001068</v>
      </c>
      <c r="C11">
        <f>interpolation!C28</f>
        <v>484678.09416583716</v>
      </c>
      <c r="D11">
        <f>interpolation!D28</f>
        <v>186818.09264089048</v>
      </c>
      <c r="E11">
        <f>interpolation!E28</f>
        <v>65906.704392599742</v>
      </c>
      <c r="F11">
        <f>interpolation!F28</f>
        <v>0</v>
      </c>
      <c r="G11">
        <f>interpolation!G28</f>
        <v>403609.17844125722</v>
      </c>
    </row>
    <row r="12" spans="1:7" x14ac:dyDescent="0.2">
      <c r="A12">
        <v>2020</v>
      </c>
      <c r="B12">
        <f>interpolation!B29</f>
        <v>1908752.5839960754</v>
      </c>
      <c r="C12">
        <f>interpolation!C29</f>
        <v>477730.52852459176</v>
      </c>
      <c r="D12">
        <f>interpolation!D29</f>
        <v>192209.76449694659</v>
      </c>
      <c r="E12">
        <f>interpolation!E29</f>
        <v>66277.312230117168</v>
      </c>
      <c r="F12">
        <f>interpolation!F29</f>
        <v>0</v>
      </c>
      <c r="G12">
        <f>interpolation!G29</f>
        <v>419469.35864300601</v>
      </c>
    </row>
    <row r="13" spans="1:7" x14ac:dyDescent="0.2">
      <c r="A13">
        <v>2021</v>
      </c>
      <c r="B13">
        <f>interpolation!B30</f>
        <v>1860712.3810238875</v>
      </c>
      <c r="C13">
        <f>interpolation!C30</f>
        <v>465706.8268941351</v>
      </c>
      <c r="D13">
        <f>interpolation!D30</f>
        <v>196168.39671887524</v>
      </c>
      <c r="E13">
        <f>interpolation!E30</f>
        <v>66130.275543754324</v>
      </c>
      <c r="F13">
        <f>interpolation!F30</f>
        <v>0</v>
      </c>
      <c r="G13">
        <f>interpolation!G30</f>
        <v>427583.86362189759</v>
      </c>
    </row>
    <row r="14" spans="1:7" x14ac:dyDescent="0.2">
      <c r="A14">
        <v>2022</v>
      </c>
      <c r="B14">
        <f>interpolation!B31</f>
        <v>1812672.1780516997</v>
      </c>
      <c r="C14">
        <f>interpolation!C31</f>
        <v>453683.12526367843</v>
      </c>
      <c r="D14">
        <f>interpolation!D31</f>
        <v>200127.02894080387</v>
      </c>
      <c r="E14">
        <f>interpolation!E31</f>
        <v>65983.23885739148</v>
      </c>
      <c r="F14">
        <f>interpolation!F31</f>
        <v>0</v>
      </c>
      <c r="G14">
        <f>interpolation!G31</f>
        <v>435698.36860078922</v>
      </c>
    </row>
    <row r="15" spans="1:7" x14ac:dyDescent="0.2">
      <c r="A15">
        <v>2023</v>
      </c>
      <c r="B15">
        <f>interpolation!B32</f>
        <v>1764631.9750795118</v>
      </c>
      <c r="C15">
        <f>interpolation!C32</f>
        <v>441659.42363322177</v>
      </c>
      <c r="D15">
        <f>interpolation!D32</f>
        <v>204085.66116273252</v>
      </c>
      <c r="E15">
        <f>interpolation!E32</f>
        <v>65836.20217102865</v>
      </c>
      <c r="F15">
        <f>interpolation!F32</f>
        <v>0</v>
      </c>
      <c r="G15">
        <f>interpolation!G32</f>
        <v>443812.8735796808</v>
      </c>
    </row>
    <row r="16" spans="1:7" x14ac:dyDescent="0.2">
      <c r="A16">
        <v>2024</v>
      </c>
      <c r="B16">
        <f>interpolation!B33</f>
        <v>1716591.7721073236</v>
      </c>
      <c r="C16">
        <f>interpolation!C33</f>
        <v>429635.72200276505</v>
      </c>
      <c r="D16">
        <f>interpolation!D33</f>
        <v>208044.29338466114</v>
      </c>
      <c r="E16">
        <f>interpolation!E33</f>
        <v>65689.165484665806</v>
      </c>
      <c r="F16">
        <f>interpolation!F33</f>
        <v>0</v>
      </c>
      <c r="G16">
        <f>interpolation!G33</f>
        <v>451927.37855857244</v>
      </c>
    </row>
    <row r="17" spans="1:7" x14ac:dyDescent="0.2">
      <c r="A17">
        <v>2025</v>
      </c>
      <c r="B17">
        <f>interpolation!B34</f>
        <v>1668551.5691351357</v>
      </c>
      <c r="C17">
        <f>interpolation!C34</f>
        <v>417612.02037230838</v>
      </c>
      <c r="D17">
        <f>interpolation!D34</f>
        <v>212002.92560658979</v>
      </c>
      <c r="E17">
        <f>interpolation!E34</f>
        <v>65542.128798302962</v>
      </c>
      <c r="F17">
        <f>interpolation!F34</f>
        <v>0</v>
      </c>
      <c r="G17">
        <f>interpolation!G34</f>
        <v>460041.88353746402</v>
      </c>
    </row>
    <row r="18" spans="1:7" x14ac:dyDescent="0.2">
      <c r="A18">
        <v>2026</v>
      </c>
      <c r="B18">
        <f>interpolation!B35</f>
        <v>1625375.9712096872</v>
      </c>
      <c r="C18">
        <f>interpolation!C35</f>
        <v>406805.85230776673</v>
      </c>
      <c r="D18">
        <f>interpolation!D35</f>
        <v>235809.71603122121</v>
      </c>
      <c r="E18">
        <f>interpolation!E35</f>
        <v>65355.027438625344</v>
      </c>
      <c r="F18">
        <f>interpolation!F35</f>
        <v>0</v>
      </c>
      <c r="G18">
        <f>interpolation!G35</f>
        <v>467170.05907525623</v>
      </c>
    </row>
    <row r="19" spans="1:7" x14ac:dyDescent="0.2">
      <c r="A19">
        <v>2027</v>
      </c>
      <c r="B19">
        <f>interpolation!B36</f>
        <v>1582200.3732842389</v>
      </c>
      <c r="C19">
        <f>interpolation!C36</f>
        <v>395999.68424322509</v>
      </c>
      <c r="D19">
        <f>interpolation!D36</f>
        <v>259616.50645585262</v>
      </c>
      <c r="E19">
        <f>interpolation!E36</f>
        <v>65167.926078947727</v>
      </c>
      <c r="F19">
        <f>interpolation!F36</f>
        <v>0</v>
      </c>
      <c r="G19">
        <f>interpolation!G36</f>
        <v>474298.23461304844</v>
      </c>
    </row>
    <row r="20" spans="1:7" x14ac:dyDescent="0.2">
      <c r="A20">
        <v>2028</v>
      </c>
      <c r="B20">
        <f>interpolation!B37</f>
        <v>1539024.7753587903</v>
      </c>
      <c r="C20">
        <f>interpolation!C37</f>
        <v>385193.51617868338</v>
      </c>
      <c r="D20">
        <f>interpolation!D37</f>
        <v>283423.29688048403</v>
      </c>
      <c r="E20">
        <f>interpolation!E37</f>
        <v>64980.824719270116</v>
      </c>
      <c r="F20">
        <f>interpolation!F37</f>
        <v>0</v>
      </c>
      <c r="G20">
        <f>interpolation!G37</f>
        <v>481426.41015084065</v>
      </c>
    </row>
    <row r="21" spans="1:7" x14ac:dyDescent="0.2">
      <c r="A21">
        <v>2029</v>
      </c>
      <c r="B21">
        <f>interpolation!B38</f>
        <v>1495849.177433342</v>
      </c>
      <c r="C21">
        <f>interpolation!C38</f>
        <v>374387.34811414173</v>
      </c>
      <c r="D21">
        <f>interpolation!D38</f>
        <v>307230.08730511542</v>
      </c>
      <c r="E21">
        <f>interpolation!E38</f>
        <v>64793.723359592499</v>
      </c>
      <c r="F21">
        <f>interpolation!F38</f>
        <v>0</v>
      </c>
      <c r="G21">
        <f>interpolation!G38</f>
        <v>488554.58568863285</v>
      </c>
    </row>
    <row r="22" spans="1:7" x14ac:dyDescent="0.2">
      <c r="A22">
        <v>2030</v>
      </c>
      <c r="B22">
        <f>interpolation!B39</f>
        <v>1452673.5795078934</v>
      </c>
      <c r="C22">
        <f>interpolation!C39</f>
        <v>363581.18004960008</v>
      </c>
      <c r="D22">
        <f>interpolation!D39</f>
        <v>331036.87772974686</v>
      </c>
      <c r="E22">
        <f>interpolation!E39</f>
        <v>64606.621999914882</v>
      </c>
      <c r="F22">
        <f>interpolation!F39</f>
        <v>0</v>
      </c>
      <c r="G22">
        <f>interpolation!G39</f>
        <v>495682.76122642506</v>
      </c>
    </row>
    <row r="23" spans="1:7" x14ac:dyDescent="0.2">
      <c r="A23">
        <v>2031</v>
      </c>
      <c r="B23">
        <f>interpolation!B40</f>
        <v>1389718.5116718775</v>
      </c>
      <c r="C23">
        <f>interpolation!C40</f>
        <v>347824.52406245447</v>
      </c>
      <c r="D23">
        <f>interpolation!D40</f>
        <v>348338.33420173213</v>
      </c>
      <c r="E23">
        <f>interpolation!E40</f>
        <v>64158.19108139872</v>
      </c>
      <c r="F23">
        <f>interpolation!F40</f>
        <v>49717.368568421065</v>
      </c>
      <c r="G23">
        <f>interpolation!G40</f>
        <v>499323.73068989406</v>
      </c>
    </row>
    <row r="24" spans="1:7" x14ac:dyDescent="0.2">
      <c r="A24">
        <v>2032</v>
      </c>
      <c r="B24">
        <f>interpolation!B41</f>
        <v>1326763.4438358617</v>
      </c>
      <c r="C24">
        <f>interpolation!C41</f>
        <v>332067.86807530886</v>
      </c>
      <c r="D24">
        <f>interpolation!D41</f>
        <v>365639.79067371739</v>
      </c>
      <c r="E24">
        <f>interpolation!E41</f>
        <v>63709.760162882565</v>
      </c>
      <c r="F24">
        <f>interpolation!F41</f>
        <v>99434.73713684213</v>
      </c>
      <c r="G24">
        <f>interpolation!G41</f>
        <v>502964.70015336305</v>
      </c>
    </row>
    <row r="25" spans="1:7" x14ac:dyDescent="0.2">
      <c r="A25">
        <v>2033</v>
      </c>
      <c r="B25">
        <f>interpolation!B42</f>
        <v>1263808.3759998458</v>
      </c>
      <c r="C25">
        <f>interpolation!C42</f>
        <v>316311.21208816324</v>
      </c>
      <c r="D25">
        <f>interpolation!D42</f>
        <v>382941.24714570265</v>
      </c>
      <c r="E25">
        <f>interpolation!E42</f>
        <v>63261.329244366403</v>
      </c>
      <c r="F25">
        <f>interpolation!F42</f>
        <v>149152.10570526321</v>
      </c>
      <c r="G25">
        <f>interpolation!G42</f>
        <v>506605.66961683199</v>
      </c>
    </row>
    <row r="26" spans="1:7" x14ac:dyDescent="0.2">
      <c r="A26">
        <v>2034</v>
      </c>
      <c r="B26">
        <f>interpolation!B43</f>
        <v>1200853.3081638301</v>
      </c>
      <c r="C26">
        <f>interpolation!C43</f>
        <v>300554.55610101769</v>
      </c>
      <c r="D26">
        <f>interpolation!D43</f>
        <v>400242.70361768792</v>
      </c>
      <c r="E26">
        <f>interpolation!E43</f>
        <v>62812.898325850249</v>
      </c>
      <c r="F26">
        <f>interpolation!F43</f>
        <v>198869.47427368426</v>
      </c>
      <c r="G26">
        <f>interpolation!G43</f>
        <v>510246.63908030099</v>
      </c>
    </row>
    <row r="27" spans="1:7" x14ac:dyDescent="0.2">
      <c r="A27">
        <v>2035</v>
      </c>
      <c r="B27">
        <f>interpolation!B44</f>
        <v>1137898.2403278141</v>
      </c>
      <c r="C27">
        <f>interpolation!C44</f>
        <v>284797.90011387208</v>
      </c>
      <c r="D27">
        <f>interpolation!D44</f>
        <v>417544.16008967318</v>
      </c>
      <c r="E27">
        <f>interpolation!E44</f>
        <v>62364.467407334087</v>
      </c>
      <c r="F27">
        <f>interpolation!F44</f>
        <v>248586.84284210534</v>
      </c>
      <c r="G27">
        <f>interpolation!G44</f>
        <v>513887.60854376998</v>
      </c>
    </row>
    <row r="28" spans="1:7" x14ac:dyDescent="0.2">
      <c r="A28">
        <v>2036</v>
      </c>
      <c r="B28">
        <f>interpolation!B45</f>
        <v>1077505.1560433123</v>
      </c>
      <c r="C28">
        <f>interpolation!C45</f>
        <v>269682.46801629616</v>
      </c>
      <c r="D28">
        <f>interpolation!D45</f>
        <v>431286.51737893146</v>
      </c>
      <c r="E28">
        <f>interpolation!E45</f>
        <v>61216.590573208683</v>
      </c>
      <c r="F28">
        <f>interpolation!F45</f>
        <v>273445.52712631586</v>
      </c>
      <c r="G28">
        <f>interpolation!G45</f>
        <v>518256.94540546957</v>
      </c>
    </row>
    <row r="29" spans="1:7" x14ac:dyDescent="0.2">
      <c r="A29">
        <v>2037</v>
      </c>
      <c r="B29">
        <f>interpolation!B46</f>
        <v>1017112.0717588104</v>
      </c>
      <c r="C29">
        <f>interpolation!C46</f>
        <v>254567.03591872021</v>
      </c>
      <c r="D29">
        <f>interpolation!D46</f>
        <v>445028.87466818979</v>
      </c>
      <c r="E29">
        <f>interpolation!E46</f>
        <v>60068.71373908328</v>
      </c>
      <c r="F29">
        <f>interpolation!F46</f>
        <v>298304.21141052642</v>
      </c>
      <c r="G29">
        <f>interpolation!G46</f>
        <v>522626.28226716915</v>
      </c>
    </row>
    <row r="30" spans="1:7" x14ac:dyDescent="0.2">
      <c r="A30">
        <v>2038</v>
      </c>
      <c r="B30">
        <f>interpolation!B47</f>
        <v>956718.98747430858</v>
      </c>
      <c r="C30">
        <f>interpolation!C47</f>
        <v>239451.60382114429</v>
      </c>
      <c r="D30">
        <f>interpolation!D47</f>
        <v>458771.23195744806</v>
      </c>
      <c r="E30">
        <f>interpolation!E47</f>
        <v>58920.836904957883</v>
      </c>
      <c r="F30">
        <f>interpolation!F47</f>
        <v>323162.89569473697</v>
      </c>
      <c r="G30">
        <f>interpolation!G47</f>
        <v>526995.61912886868</v>
      </c>
    </row>
    <row r="31" spans="1:7" x14ac:dyDescent="0.2">
      <c r="A31">
        <v>2039</v>
      </c>
      <c r="B31">
        <f>interpolation!B48</f>
        <v>896325.90318980673</v>
      </c>
      <c r="C31">
        <f>interpolation!C48</f>
        <v>224336.17172356835</v>
      </c>
      <c r="D31">
        <f>interpolation!D48</f>
        <v>472513.5892467064</v>
      </c>
      <c r="E31">
        <f>interpolation!E48</f>
        <v>57772.96007083248</v>
      </c>
      <c r="F31">
        <f>interpolation!F48</f>
        <v>348021.57997894747</v>
      </c>
      <c r="G31">
        <f>interpolation!G48</f>
        <v>531364.95599056827</v>
      </c>
    </row>
    <row r="32" spans="1:7" x14ac:dyDescent="0.2">
      <c r="A32">
        <v>2040</v>
      </c>
      <c r="B32">
        <f>interpolation!B49</f>
        <v>835932.81890530488</v>
      </c>
      <c r="C32">
        <f>interpolation!C49</f>
        <v>209220.73962599243</v>
      </c>
      <c r="D32">
        <f>interpolation!D49</f>
        <v>486255.94653596467</v>
      </c>
      <c r="E32">
        <f>interpolation!E49</f>
        <v>56625.083236707076</v>
      </c>
      <c r="F32">
        <f>interpolation!F49</f>
        <v>372880.26426315802</v>
      </c>
      <c r="G32">
        <f>interpolation!G49</f>
        <v>535734.29285226786</v>
      </c>
    </row>
    <row r="33" spans="1:7" x14ac:dyDescent="0.2">
      <c r="A33">
        <v>2041</v>
      </c>
      <c r="B33">
        <f>interpolation!B50</f>
        <v>812075.11019326712</v>
      </c>
      <c r="C33">
        <f>interpolation!C50</f>
        <v>203249.53314907639</v>
      </c>
      <c r="D33">
        <f>interpolation!D50</f>
        <v>498350.5464908001</v>
      </c>
      <c r="E33">
        <f>interpolation!E50</f>
        <v>55530.980382370835</v>
      </c>
      <c r="F33">
        <f>interpolation!F50</f>
        <v>397738.94854736858</v>
      </c>
      <c r="G33">
        <f>interpolation!G50</f>
        <v>539719.07107901073</v>
      </c>
    </row>
    <row r="34" spans="1:7" x14ac:dyDescent="0.2">
      <c r="A34">
        <v>2042</v>
      </c>
      <c r="B34">
        <f>interpolation!B51</f>
        <v>788217.40148122935</v>
      </c>
      <c r="C34">
        <f>interpolation!C51</f>
        <v>197278.32667216039</v>
      </c>
      <c r="D34">
        <f>interpolation!D51</f>
        <v>510445.14644563559</v>
      </c>
      <c r="E34">
        <f>interpolation!E51</f>
        <v>54436.877528034594</v>
      </c>
      <c r="F34">
        <f>interpolation!F51</f>
        <v>422597.63283157907</v>
      </c>
      <c r="G34">
        <f>interpolation!G51</f>
        <v>543703.84930575371</v>
      </c>
    </row>
    <row r="35" spans="1:7" x14ac:dyDescent="0.2">
      <c r="A35">
        <v>2043</v>
      </c>
      <c r="B35">
        <f>interpolation!B52</f>
        <v>764359.69276919158</v>
      </c>
      <c r="C35">
        <f>interpolation!C52</f>
        <v>191307.12019524435</v>
      </c>
      <c r="D35">
        <f>interpolation!D52</f>
        <v>522539.74640047102</v>
      </c>
      <c r="E35">
        <f>interpolation!E52</f>
        <v>53342.774673698346</v>
      </c>
      <c r="F35">
        <f>interpolation!F52</f>
        <v>447456.31711578963</v>
      </c>
      <c r="G35">
        <f>interpolation!G52</f>
        <v>547688.62753249658</v>
      </c>
    </row>
    <row r="36" spans="1:7" x14ac:dyDescent="0.2">
      <c r="A36">
        <v>2044</v>
      </c>
      <c r="B36">
        <f>interpolation!B53</f>
        <v>740501.98405715381</v>
      </c>
      <c r="C36">
        <f>interpolation!C53</f>
        <v>185335.91371832835</v>
      </c>
      <c r="D36">
        <f>interpolation!D53</f>
        <v>534634.34635530645</v>
      </c>
      <c r="E36">
        <f>interpolation!E53</f>
        <v>52248.671819362105</v>
      </c>
      <c r="F36">
        <f>interpolation!F53</f>
        <v>472315.00140000018</v>
      </c>
      <c r="G36">
        <f>interpolation!G53</f>
        <v>551673.40575923957</v>
      </c>
    </row>
    <row r="37" spans="1:7" x14ac:dyDescent="0.2">
      <c r="A37">
        <v>2045</v>
      </c>
      <c r="B37">
        <f>interpolation!B54</f>
        <v>716644.27534511604</v>
      </c>
      <c r="C37">
        <f>interpolation!C54</f>
        <v>179364.70724141231</v>
      </c>
      <c r="D37">
        <f>interpolation!D54</f>
        <v>546728.94631014194</v>
      </c>
      <c r="E37">
        <f>interpolation!E54</f>
        <v>51154.568965025865</v>
      </c>
      <c r="F37">
        <f>interpolation!F54</f>
        <v>497173.68568421068</v>
      </c>
      <c r="G37">
        <f>interpolation!G54</f>
        <v>555658.18398598244</v>
      </c>
    </row>
    <row r="38" spans="1:7" x14ac:dyDescent="0.2">
      <c r="A38">
        <v>2046</v>
      </c>
      <c r="B38">
        <f>interpolation!B55</f>
        <v>708989.40136610612</v>
      </c>
      <c r="C38">
        <f>interpolation!C55</f>
        <v>177448.81357219431</v>
      </c>
      <c r="D38">
        <f>interpolation!D55</f>
        <v>557224.23856621573</v>
      </c>
      <c r="E38">
        <f>interpolation!E55</f>
        <v>50186.879741227742</v>
      </c>
      <c r="F38">
        <f>interpolation!F55</f>
        <v>522032.36996842123</v>
      </c>
      <c r="G38">
        <f>interpolation!G55</f>
        <v>556935.22147900506</v>
      </c>
    </row>
    <row r="39" spans="1:7" x14ac:dyDescent="0.2">
      <c r="A39">
        <v>2047</v>
      </c>
      <c r="B39">
        <f>interpolation!B56</f>
        <v>701334.5273870962</v>
      </c>
      <c r="C39">
        <f>interpolation!C56</f>
        <v>175532.91990297631</v>
      </c>
      <c r="D39">
        <f>interpolation!D56</f>
        <v>567719.53082228953</v>
      </c>
      <c r="E39">
        <f>interpolation!E56</f>
        <v>49219.190517429612</v>
      </c>
      <c r="F39">
        <f>interpolation!F56</f>
        <v>546891.05425263173</v>
      </c>
      <c r="G39">
        <f>interpolation!G56</f>
        <v>558212.25897202757</v>
      </c>
    </row>
    <row r="40" spans="1:7" x14ac:dyDescent="0.2">
      <c r="A40">
        <v>2048</v>
      </c>
      <c r="B40">
        <f>interpolation!B57</f>
        <v>693679.65340808616</v>
      </c>
      <c r="C40">
        <f>interpolation!C57</f>
        <v>173617.02623375834</v>
      </c>
      <c r="D40">
        <f>interpolation!D57</f>
        <v>578214.82307836332</v>
      </c>
      <c r="E40">
        <f>interpolation!E57</f>
        <v>48251.501293631489</v>
      </c>
      <c r="F40">
        <f>interpolation!F57</f>
        <v>571749.73853684228</v>
      </c>
      <c r="G40">
        <f>interpolation!G57</f>
        <v>559489.2964650502</v>
      </c>
    </row>
    <row r="41" spans="1:7" x14ac:dyDescent="0.2">
      <c r="A41">
        <v>2049</v>
      </c>
      <c r="B41">
        <f>interpolation!B58</f>
        <v>686024.77942907624</v>
      </c>
      <c r="C41">
        <f>interpolation!C58</f>
        <v>171701.13256454034</v>
      </c>
      <c r="D41">
        <f>interpolation!D58</f>
        <v>588710.11533443711</v>
      </c>
      <c r="E41">
        <f>interpolation!E58</f>
        <v>47283.812069833359</v>
      </c>
      <c r="F41">
        <f>interpolation!F58</f>
        <v>596608.42282105284</v>
      </c>
      <c r="G41">
        <f>interpolation!G58</f>
        <v>560766.3339580727</v>
      </c>
    </row>
    <row r="42" spans="1:7" x14ac:dyDescent="0.2">
      <c r="A42">
        <v>2050</v>
      </c>
      <c r="B42">
        <f>interpolation!B59</f>
        <v>678369.90545006632</v>
      </c>
      <c r="C42">
        <f>interpolation!C59</f>
        <v>169785.23889532234</v>
      </c>
      <c r="D42">
        <f>interpolation!D59</f>
        <v>599205.40759051091</v>
      </c>
      <c r="E42">
        <f>interpolation!E59</f>
        <v>46316.122846035236</v>
      </c>
      <c r="F42">
        <f>interpolation!F59</f>
        <v>621467.10710526339</v>
      </c>
      <c r="G42">
        <f>interpolation!G59</f>
        <v>562043.37145109533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2019-05-07T12:21:36Z</dcterms:modified>
</cp:coreProperties>
</file>