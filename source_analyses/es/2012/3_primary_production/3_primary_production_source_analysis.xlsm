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709" codeName="{00000000-0000-0000-0000-000000000000}"/>
  <workbookPr showInkAnnotation="0" codeName="ThisWorkbook" autoCompressPictures="0"/>
  <bookViews>
    <workbookView xWindow="0" yWindow="0" windowWidth="25600" windowHeight="15960" tabRatio="500" firstSheet="5" activeTab="5"/>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B3" i="3" l="1"/>
  <c r="C3" i="3"/>
  <c r="D3" i="3"/>
  <c r="E3" i="3"/>
  <c r="F3" i="3"/>
  <c r="G3" i="3"/>
  <c r="B4" i="3"/>
  <c r="C4" i="3"/>
  <c r="D4" i="3"/>
  <c r="E4" i="3"/>
  <c r="F4" i="3"/>
  <c r="G4" i="3"/>
  <c r="B5" i="3"/>
  <c r="C5" i="3"/>
  <c r="D5" i="3"/>
  <c r="E5" i="3"/>
  <c r="F5" i="3"/>
  <c r="G5" i="3"/>
  <c r="B6" i="3"/>
  <c r="C6" i="3"/>
  <c r="D6" i="3"/>
  <c r="E6" i="3"/>
  <c r="F6" i="3"/>
  <c r="G6" i="3"/>
  <c r="B7" i="3"/>
  <c r="C7" i="3"/>
  <c r="D7" i="3"/>
  <c r="E7" i="3"/>
  <c r="F7" i="3"/>
  <c r="G7" i="3"/>
  <c r="B8" i="3"/>
  <c r="C8" i="3"/>
  <c r="D8" i="3"/>
  <c r="E8" i="3"/>
  <c r="F8" i="3"/>
  <c r="G8" i="3"/>
  <c r="B9" i="3"/>
  <c r="C9" i="3"/>
  <c r="D9" i="3"/>
  <c r="E9" i="3"/>
  <c r="F9" i="3"/>
  <c r="G9" i="3"/>
  <c r="B10" i="3"/>
  <c r="C10" i="3"/>
  <c r="D10" i="3"/>
  <c r="E10" i="3"/>
  <c r="F10" i="3"/>
  <c r="G10" i="3"/>
  <c r="B11" i="3"/>
  <c r="C11" i="3"/>
  <c r="D11" i="3"/>
  <c r="E11" i="3"/>
  <c r="F11" i="3"/>
  <c r="G11" i="3"/>
  <c r="B12" i="3"/>
  <c r="C12" i="3"/>
  <c r="D12" i="3"/>
  <c r="E12" i="3"/>
  <c r="F12" i="3"/>
  <c r="G12" i="3"/>
  <c r="B13" i="3"/>
  <c r="C13" i="3"/>
  <c r="D13" i="3"/>
  <c r="E13" i="3"/>
  <c r="F13" i="3"/>
  <c r="G13" i="3"/>
  <c r="B14" i="3"/>
  <c r="C14" i="3"/>
  <c r="D14" i="3"/>
  <c r="E14" i="3"/>
  <c r="F14" i="3"/>
  <c r="G14" i="3"/>
  <c r="B15" i="3"/>
  <c r="C15" i="3"/>
  <c r="D15" i="3"/>
  <c r="E15" i="3"/>
  <c r="F15" i="3"/>
  <c r="G15" i="3"/>
  <c r="B16" i="3"/>
  <c r="C16" i="3"/>
  <c r="D16" i="3"/>
  <c r="E16" i="3"/>
  <c r="F16" i="3"/>
  <c r="G16" i="3"/>
  <c r="B17" i="3"/>
  <c r="C17" i="3"/>
  <c r="D17" i="3"/>
  <c r="E17" i="3"/>
  <c r="F17" i="3"/>
  <c r="G17" i="3"/>
  <c r="B18" i="3"/>
  <c r="C18" i="3"/>
  <c r="D18" i="3"/>
  <c r="E18" i="3"/>
  <c r="F18" i="3"/>
  <c r="G18" i="3"/>
  <c r="B19" i="3"/>
  <c r="C19" i="3"/>
  <c r="D19" i="3"/>
  <c r="E19" i="3"/>
  <c r="F19" i="3"/>
  <c r="G19" i="3"/>
  <c r="B20" i="3"/>
  <c r="C20" i="3"/>
  <c r="D20" i="3"/>
  <c r="E20" i="3"/>
  <c r="F20" i="3"/>
  <c r="G20" i="3"/>
  <c r="B21" i="3"/>
  <c r="C21" i="3"/>
  <c r="D21" i="3"/>
  <c r="E21" i="3"/>
  <c r="F21" i="3"/>
  <c r="G21" i="3"/>
  <c r="B22" i="3"/>
  <c r="C22" i="3"/>
  <c r="D22" i="3"/>
  <c r="E22" i="3"/>
  <c r="F22" i="3"/>
  <c r="G22" i="3"/>
  <c r="B23" i="3"/>
  <c r="C23" i="3"/>
  <c r="D23" i="3"/>
  <c r="E23" i="3"/>
  <c r="F23" i="3"/>
  <c r="G23" i="3"/>
  <c r="B24" i="3"/>
  <c r="C24" i="3"/>
  <c r="D24" i="3"/>
  <c r="E24" i="3"/>
  <c r="F24" i="3"/>
  <c r="G24" i="3"/>
  <c r="B25" i="3"/>
  <c r="C25" i="3"/>
  <c r="D25" i="3"/>
  <c r="E25" i="3"/>
  <c r="F25" i="3"/>
  <c r="G25" i="3"/>
  <c r="B26" i="3"/>
  <c r="C26" i="3"/>
  <c r="D26" i="3"/>
  <c r="E26" i="3"/>
  <c r="F26" i="3"/>
  <c r="G26" i="3"/>
  <c r="B27" i="3"/>
  <c r="C27" i="3"/>
  <c r="D27" i="3"/>
  <c r="E27" i="3"/>
  <c r="F27" i="3"/>
  <c r="G27" i="3"/>
  <c r="B28" i="3"/>
  <c r="C28" i="3"/>
  <c r="D28" i="3"/>
  <c r="E28" i="3"/>
  <c r="F28" i="3"/>
  <c r="G28" i="3"/>
  <c r="B29" i="3"/>
  <c r="C29" i="3"/>
  <c r="D29" i="3"/>
  <c r="E29" i="3"/>
  <c r="F29" i="3"/>
  <c r="G29" i="3"/>
  <c r="B30" i="3"/>
  <c r="C30" i="3"/>
  <c r="D30" i="3"/>
  <c r="E30" i="3"/>
  <c r="F30" i="3"/>
  <c r="G30" i="3"/>
  <c r="B31" i="3"/>
  <c r="C31" i="3"/>
  <c r="D31" i="3"/>
  <c r="E31" i="3"/>
  <c r="F31" i="3"/>
  <c r="G31" i="3"/>
  <c r="B32" i="3"/>
  <c r="C32" i="3"/>
  <c r="D32" i="3"/>
  <c r="E32" i="3"/>
  <c r="F32" i="3"/>
  <c r="G32" i="3"/>
  <c r="B33" i="3"/>
  <c r="C33" i="3"/>
  <c r="D33" i="3"/>
  <c r="E33" i="3"/>
  <c r="F33" i="3"/>
  <c r="G33" i="3"/>
  <c r="B34" i="3"/>
  <c r="C34" i="3"/>
  <c r="D34" i="3"/>
  <c r="E34" i="3"/>
  <c r="F34" i="3"/>
  <c r="G34" i="3"/>
  <c r="B35" i="3"/>
  <c r="C35" i="3"/>
  <c r="D35" i="3"/>
  <c r="E35" i="3"/>
  <c r="F35" i="3"/>
  <c r="G35" i="3"/>
  <c r="B36" i="3"/>
  <c r="C36" i="3"/>
  <c r="D36" i="3"/>
  <c r="E36" i="3"/>
  <c r="F36" i="3"/>
  <c r="G36" i="3"/>
  <c r="B37" i="3"/>
  <c r="C37" i="3"/>
  <c r="D37" i="3"/>
  <c r="E37" i="3"/>
  <c r="F37" i="3"/>
  <c r="G37" i="3"/>
  <c r="B38" i="3"/>
  <c r="C38" i="3"/>
  <c r="D38" i="3"/>
  <c r="E38" i="3"/>
  <c r="F38" i="3"/>
  <c r="G38" i="3"/>
  <c r="B39" i="3"/>
  <c r="C39" i="3"/>
  <c r="D39" i="3"/>
  <c r="E39" i="3"/>
  <c r="F39" i="3"/>
  <c r="G39" i="3"/>
  <c r="B40" i="3"/>
  <c r="C40" i="3"/>
  <c r="D40" i="3"/>
  <c r="E40" i="3"/>
  <c r="F40" i="3"/>
  <c r="G40" i="3"/>
  <c r="B41" i="3"/>
  <c r="C41" i="3"/>
  <c r="D41" i="3"/>
  <c r="E41" i="3"/>
  <c r="F41" i="3"/>
  <c r="G41" i="3"/>
  <c r="B42" i="3"/>
  <c r="C42" i="3"/>
  <c r="D42" i="3"/>
  <c r="E42" i="3"/>
  <c r="F42" i="3"/>
  <c r="G42" i="3"/>
  <c r="C2" i="3"/>
  <c r="D2" i="3"/>
  <c r="E2" i="3"/>
  <c r="F2" i="3"/>
  <c r="G2" i="3"/>
  <c r="B2" i="3"/>
  <c r="C10" i="6"/>
  <c r="B9" i="5"/>
  <c r="C9" i="5"/>
  <c r="C12" i="6"/>
  <c r="D9" i="5"/>
  <c r="C11" i="6"/>
  <c r="E9" i="5"/>
  <c r="C13" i="6"/>
  <c r="F9" i="5"/>
  <c r="C16" i="6"/>
  <c r="G9" i="5"/>
  <c r="C8" i="7"/>
  <c r="C5" i="7"/>
  <c r="D10" i="6"/>
  <c r="B14" i="5"/>
  <c r="B10" i="5"/>
  <c r="C14" i="5"/>
  <c r="C10" i="5"/>
  <c r="D12" i="6"/>
  <c r="D14" i="5"/>
  <c r="D10" i="5"/>
  <c r="D11" i="6"/>
  <c r="E14" i="5"/>
  <c r="E10" i="5"/>
  <c r="D13" i="6"/>
  <c r="F14" i="5"/>
  <c r="F10" i="5"/>
  <c r="D16" i="6"/>
  <c r="G14" i="5"/>
  <c r="G10" i="5"/>
  <c r="B11" i="5"/>
  <c r="C11" i="5"/>
  <c r="D11" i="5"/>
  <c r="E11" i="5"/>
  <c r="F11" i="5"/>
  <c r="G11" i="5"/>
  <c r="B12" i="5"/>
  <c r="C12" i="5"/>
  <c r="D12" i="5"/>
  <c r="E12" i="5"/>
  <c r="F12" i="5"/>
  <c r="G12" i="5"/>
  <c r="B13" i="5"/>
  <c r="C13" i="5"/>
  <c r="D13" i="5"/>
  <c r="E13" i="5"/>
  <c r="F13" i="5"/>
  <c r="G13" i="5"/>
  <c r="E10" i="6"/>
  <c r="B19" i="5"/>
  <c r="B15" i="5"/>
  <c r="C19" i="5"/>
  <c r="C15" i="5"/>
  <c r="E12" i="6"/>
  <c r="D19" i="5"/>
  <c r="D15" i="5"/>
  <c r="E11" i="6"/>
  <c r="E19" i="5"/>
  <c r="E15" i="5"/>
  <c r="E13" i="6"/>
  <c r="F19" i="5"/>
  <c r="F15" i="5"/>
  <c r="E16" i="6"/>
  <c r="G19" i="5"/>
  <c r="G15" i="5"/>
  <c r="B16" i="5"/>
  <c r="C16" i="5"/>
  <c r="D16" i="5"/>
  <c r="E16" i="5"/>
  <c r="F16" i="5"/>
  <c r="G16" i="5"/>
  <c r="B17" i="5"/>
  <c r="C17" i="5"/>
  <c r="D17" i="5"/>
  <c r="E17" i="5"/>
  <c r="F17" i="5"/>
  <c r="G17" i="5"/>
  <c r="B18" i="5"/>
  <c r="C18" i="5"/>
  <c r="D18" i="5"/>
  <c r="E18" i="5"/>
  <c r="F18" i="5"/>
  <c r="G18" i="5"/>
  <c r="F10" i="6"/>
  <c r="B24" i="5"/>
  <c r="B20" i="5"/>
  <c r="C24" i="5"/>
  <c r="C20" i="5"/>
  <c r="F12" i="6"/>
  <c r="D24" i="5"/>
  <c r="D20" i="5"/>
  <c r="F11" i="6"/>
  <c r="E24" i="5"/>
  <c r="E20" i="5"/>
  <c r="F13" i="6"/>
  <c r="F24" i="5"/>
  <c r="F20" i="5"/>
  <c r="F16" i="6"/>
  <c r="G24" i="5"/>
  <c r="G20" i="5"/>
  <c r="B21" i="5"/>
  <c r="C21" i="5"/>
  <c r="D21" i="5"/>
  <c r="E21" i="5"/>
  <c r="F21" i="5"/>
  <c r="G21" i="5"/>
  <c r="B22" i="5"/>
  <c r="C22" i="5"/>
  <c r="D22" i="5"/>
  <c r="E22" i="5"/>
  <c r="F22" i="5"/>
  <c r="G22" i="5"/>
  <c r="B23" i="5"/>
  <c r="C23" i="5"/>
  <c r="D23" i="5"/>
  <c r="E23" i="5"/>
  <c r="F23" i="5"/>
  <c r="G23" i="5"/>
  <c r="G10" i="6"/>
  <c r="B29" i="5"/>
  <c r="B25" i="5"/>
  <c r="C29" i="5"/>
  <c r="C25" i="5"/>
  <c r="G12" i="6"/>
  <c r="D29" i="5"/>
  <c r="D25" i="5"/>
  <c r="G11" i="6"/>
  <c r="E29" i="5"/>
  <c r="E25" i="5"/>
  <c r="G13" i="6"/>
  <c r="F29" i="5"/>
  <c r="F25" i="5"/>
  <c r="G16" i="6"/>
  <c r="G29" i="5"/>
  <c r="G25" i="5"/>
  <c r="B26" i="5"/>
  <c r="C26" i="5"/>
  <c r="D26" i="5"/>
  <c r="E26" i="5"/>
  <c r="F26" i="5"/>
  <c r="G26" i="5"/>
  <c r="B27" i="5"/>
  <c r="C27" i="5"/>
  <c r="D27" i="5"/>
  <c r="E27" i="5"/>
  <c r="F27" i="5"/>
  <c r="G27" i="5"/>
  <c r="B28" i="5"/>
  <c r="C28" i="5"/>
  <c r="D28" i="5"/>
  <c r="E28" i="5"/>
  <c r="F28" i="5"/>
  <c r="G28" i="5"/>
  <c r="H10" i="6"/>
  <c r="B34" i="5"/>
  <c r="B30" i="5"/>
  <c r="C34" i="5"/>
  <c r="C30" i="5"/>
  <c r="H12" i="6"/>
  <c r="D34" i="5"/>
  <c r="D30" i="5"/>
  <c r="H11" i="6"/>
  <c r="E34" i="5"/>
  <c r="E30" i="5"/>
  <c r="H13" i="6"/>
  <c r="F34" i="5"/>
  <c r="F30" i="5"/>
  <c r="H16" i="6"/>
  <c r="G34" i="5"/>
  <c r="G30" i="5"/>
  <c r="B31" i="5"/>
  <c r="C31" i="5"/>
  <c r="D31" i="5"/>
  <c r="E31" i="5"/>
  <c r="F31" i="5"/>
  <c r="G31" i="5"/>
  <c r="B32" i="5"/>
  <c r="C32" i="5"/>
  <c r="D32" i="5"/>
  <c r="E32" i="5"/>
  <c r="F32" i="5"/>
  <c r="G32" i="5"/>
  <c r="B33" i="5"/>
  <c r="C33" i="5"/>
  <c r="D33" i="5"/>
  <c r="E33" i="5"/>
  <c r="F33" i="5"/>
  <c r="G33" i="5"/>
  <c r="I10" i="6"/>
  <c r="B39" i="5"/>
  <c r="B35" i="5"/>
  <c r="C39" i="5"/>
  <c r="C35" i="5"/>
  <c r="I12" i="6"/>
  <c r="D39" i="5"/>
  <c r="D35" i="5"/>
  <c r="I11" i="6"/>
  <c r="E39" i="5"/>
  <c r="E35" i="5"/>
  <c r="I13" i="6"/>
  <c r="F39" i="5"/>
  <c r="F35" i="5"/>
  <c r="I16" i="6"/>
  <c r="G39" i="5"/>
  <c r="G35" i="5"/>
  <c r="B36" i="5"/>
  <c r="C36" i="5"/>
  <c r="D36" i="5"/>
  <c r="E36" i="5"/>
  <c r="F36" i="5"/>
  <c r="G36" i="5"/>
  <c r="B37" i="5"/>
  <c r="C37" i="5"/>
  <c r="D37" i="5"/>
  <c r="E37" i="5"/>
  <c r="F37" i="5"/>
  <c r="G37" i="5"/>
  <c r="B38" i="5"/>
  <c r="C38" i="5"/>
  <c r="D38" i="5"/>
  <c r="E38" i="5"/>
  <c r="F38" i="5"/>
  <c r="G38" i="5"/>
  <c r="J10" i="6"/>
  <c r="B44" i="5"/>
  <c r="B40" i="5"/>
  <c r="C44" i="5"/>
  <c r="C40" i="5"/>
  <c r="J12" i="6"/>
  <c r="D44" i="5"/>
  <c r="D40" i="5"/>
  <c r="J11" i="6"/>
  <c r="E44" i="5"/>
  <c r="E40" i="5"/>
  <c r="J13" i="6"/>
  <c r="F44" i="5"/>
  <c r="F40" i="5"/>
  <c r="J16" i="6"/>
  <c r="G44" i="5"/>
  <c r="G40" i="5"/>
  <c r="B41" i="5"/>
  <c r="C41" i="5"/>
  <c r="D41" i="5"/>
  <c r="E41" i="5"/>
  <c r="F41" i="5"/>
  <c r="G41" i="5"/>
  <c r="B42" i="5"/>
  <c r="C42" i="5"/>
  <c r="D42" i="5"/>
  <c r="E42" i="5"/>
  <c r="F42" i="5"/>
  <c r="G42" i="5"/>
  <c r="B43" i="5"/>
  <c r="C43" i="5"/>
  <c r="D43" i="5"/>
  <c r="E43" i="5"/>
  <c r="F43" i="5"/>
  <c r="G43" i="5"/>
  <c r="K10" i="6"/>
  <c r="B49" i="5"/>
  <c r="B45" i="5"/>
  <c r="C49" i="5"/>
  <c r="C45" i="5"/>
  <c r="K12" i="6"/>
  <c r="D49" i="5"/>
  <c r="D45" i="5"/>
  <c r="K11" i="6"/>
  <c r="E49" i="5"/>
  <c r="E45" i="5"/>
  <c r="K13" i="6"/>
  <c r="F49" i="5"/>
  <c r="F45" i="5"/>
  <c r="K16" i="6"/>
  <c r="G49" i="5"/>
  <c r="G45" i="5"/>
  <c r="B46" i="5"/>
  <c r="C46" i="5"/>
  <c r="D46" i="5"/>
  <c r="E46" i="5"/>
  <c r="F46" i="5"/>
  <c r="G46" i="5"/>
  <c r="B47" i="5"/>
  <c r="C47" i="5"/>
  <c r="D47" i="5"/>
  <c r="E47" i="5"/>
  <c r="F47" i="5"/>
  <c r="G47" i="5"/>
  <c r="B48" i="5"/>
  <c r="C48" i="5"/>
  <c r="D48" i="5"/>
  <c r="E48" i="5"/>
  <c r="F48" i="5"/>
  <c r="G48" i="5"/>
  <c r="L10" i="6"/>
  <c r="C54" i="5"/>
  <c r="M10" i="6"/>
  <c r="C59" i="5"/>
  <c r="C55" i="5"/>
  <c r="L12" i="6"/>
  <c r="D54" i="5"/>
  <c r="M12" i="6"/>
  <c r="D59" i="5"/>
  <c r="D55" i="5"/>
  <c r="L11" i="6"/>
  <c r="E54" i="5"/>
  <c r="M11" i="6"/>
  <c r="E59" i="5"/>
  <c r="E55" i="5"/>
  <c r="L13" i="6"/>
  <c r="F54" i="5"/>
  <c r="M13" i="6"/>
  <c r="F59" i="5"/>
  <c r="F55" i="5"/>
  <c r="L16" i="6"/>
  <c r="G54" i="5"/>
  <c r="M16" i="6"/>
  <c r="G59" i="5"/>
  <c r="G55" i="5"/>
  <c r="C56" i="5"/>
  <c r="D56" i="5"/>
  <c r="E56" i="5"/>
  <c r="F56" i="5"/>
  <c r="G56" i="5"/>
  <c r="C57" i="5"/>
  <c r="D57" i="5"/>
  <c r="E57" i="5"/>
  <c r="F57" i="5"/>
  <c r="G57" i="5"/>
  <c r="C58" i="5"/>
  <c r="D58" i="5"/>
  <c r="E58" i="5"/>
  <c r="F58" i="5"/>
  <c r="G58" i="5"/>
  <c r="B54" i="5"/>
  <c r="B59" i="5"/>
  <c r="B56" i="5"/>
  <c r="B57" i="5"/>
  <c r="B58" i="5"/>
  <c r="B55" i="5"/>
  <c r="C50" i="5"/>
  <c r="D50" i="5"/>
  <c r="E50" i="5"/>
  <c r="F50" i="5"/>
  <c r="G50" i="5"/>
  <c r="C51" i="5"/>
  <c r="D51" i="5"/>
  <c r="E51" i="5"/>
  <c r="F51" i="5"/>
  <c r="G51" i="5"/>
  <c r="C52" i="5"/>
  <c r="D52" i="5"/>
  <c r="E52" i="5"/>
  <c r="F52" i="5"/>
  <c r="G52" i="5"/>
  <c r="C53" i="5"/>
  <c r="D53" i="5"/>
  <c r="E53" i="5"/>
  <c r="F53" i="5"/>
  <c r="G53" i="5"/>
  <c r="B51" i="5"/>
  <c r="B52" i="5"/>
  <c r="B53" i="5"/>
  <c r="B50"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alcChain>
</file>

<file path=xl/sharedStrings.xml><?xml version="1.0" encoding="utf-8"?>
<sst xmlns="http://schemas.openxmlformats.org/spreadsheetml/2006/main" count="131" uniqueCount="96">
  <si>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</si>
  <si>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</si>
  <si>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</si>
  <si>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</si>
  <si>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</si>
  <si>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</si>
  <si>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</si>
  <si>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</si>
  <si>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</si>
  <si>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</si>
  <si>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</si>
  <si>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</si>
  <si>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</si>
  <si>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</si>
  <si>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</si>
  <si>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</si>
  <si>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</si>
  <si>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</si>
  <si>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</si>
  <si>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</si>
  <si>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</si>
  <si>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</si>
  <si>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</si>
  <si>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</si>
  <si>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</si>
  <si>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</si>
  <si>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</si>
  <si>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</si>
  <si>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</si>
  <si>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</si>
  <si>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</si>
  <si>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</si>
  <si>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</si>
  <si>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</si>
  <si>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</si>
  <si>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</si>
  <si>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</si>
  <si>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</si>
  <si>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</si>
  <si>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</si>
  <si>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</si>
  <si>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</si>
  <si>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</si>
  <si>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</si>
  <si>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</si>
  <si>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</si>
  <si>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</si>
  <si>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</si>
  <si>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</si>
  <si>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</si>
  <si>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</si>
  <si>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</si>
  <si>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</si>
  <si>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</si>
  <si>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</si>
  <si>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</si>
  <si>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</si>
  <si>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</si>
  <si>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</si>
  <si>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</si>
  <si>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</si>
  <si>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</si>
  <si>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</si>
  <si>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</si>
  <si>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</si>
  <si>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</si>
  <si>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</si>
  <si>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</si>
  <si>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</si>
  <si>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</si>
  <si>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</si>
  <si>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</si>
  <si>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</si>
  <si>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</si>
  <si>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</si>
  <si>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</si>
  <si>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</si>
  <si>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</si>
  <si>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</si>
  <si>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</si>
  <si>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</si>
  <si>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</si>
  <si>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</si>
  <si>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</si>
  <si>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es</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</si>
  <si>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</si>
  <si>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</si>
  <si>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</si>
  <si>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</si>
  <si>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</si>
  <si>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</si>
  <si>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</si>
  <si>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</si>
  <si>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</si>
  <si>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</si>
  <si>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Based on the 2012 IEA Energy Balances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</si>
</sst>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General_)"/>
    <numFmt numFmtId="165" formatCode="0_)"/>
    <numFmt numFmtId="166" formatCode="[$-409]mmmm\ d\,\ yyyy;@"/>
    <numFmt numFmtId="167" formatCode="0.000000"/>
  </numFmts>
  <fonts count="24"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b/>
      <sz val="16"/>
      <color theme="3"/>
      <name val="Calibri"/>
      <scheme val="minor"/>
    </font>
    <font>
      <b/>
      <sz val="12"/>
      <color rgb="FF000000"/>
      <name val="Calibri"/>
      <scheme val="minor"/>
    </font>
    <font>
      <i/>
      <sz val="12"/>
      <color theme="1"/>
      <name val="Calibri"/>
      <scheme val="minor"/>
    </font>
    <font>
      <b/>
      <sz val="11"/>
      <color rgb="FF000000"/>
      <name val="Calibri"/>
      <family val="2"/>
      <scheme val="minor"/>
    </font>
    <font>
      <sz val="12"/>
      <color rgb="FF000000"/>
      <name val="Calibri"/>
      <family val="2"/>
      <scheme val="minor"/>
    </font>
    <font>
      <sz val="12"/>
      <name val="Calibri"/>
      <scheme val="minor"/>
    </font>
    <font>
      <b/>
      <sz val="12"/>
      <name val="Calibri"/>
      <scheme val="minor"/>
    </font>
    <font>
      <b/>
      <sz val="12"/>
      <color rgb="FFFF0000"/>
      <name val="Calibri"/>
      <scheme val="minor"/>
    </font>
    <font>
      <u/>
      <sz val="12"/>
      <name val="Calibri"/>
      <scheme val="minor"/>
    </font>
    <font>
      <i/>
      <sz val="12"/>
      <name val="Calibri"/>
      <scheme val="minor"/>
    </font>
    <font>
      <b/>
      <sz val="16"/>
      <name val="Calibri"/>
      <scheme val="minor"/>
    </font>
    <font>
      <sz val="12"/>
      <color theme="0" tint="-0.499984740745262"/>
      <name val="Calibri"/>
      <scheme val="minor"/>
    </font>
    <font>
      <b/>
      <sz val="12"/>
      <name val="Arial"/>
      <family val="2"/>
      <charset val="161"/>
    </font>
    <font>
      <sz val="12"/>
      <name val="Arial"/>
      <family val="2"/>
      <charset val="161"/>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5">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1">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cellXfs>
  <cellStyles count="175">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Normal" xfId="0" builtinId="0"/>
    <cellStyle name="Normal_AppendixAU" xfId="1"/>
    <cellStyle name="Percent 2" xfId="162"/>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pt idx="31">
                  <c:v>2031.0</c:v>
                </c:pt>
                <c:pt idx="32">
                  <c:v>2032.0</c:v>
                </c:pt>
                <c:pt idx="33">
                  <c:v>2033.0</c:v>
                </c:pt>
                <c:pt idx="34">
                  <c:v>2034.0</c:v>
                </c:pt>
                <c:pt idx="35">
                  <c:v>2035.0</c:v>
                </c:pt>
                <c:pt idx="36">
                  <c:v>2036.0</c:v>
                </c:pt>
                <c:pt idx="37">
                  <c:v>2037.0</c:v>
                </c:pt>
                <c:pt idx="38">
                  <c:v>2038.0</c:v>
                </c:pt>
                <c:pt idx="39">
                  <c:v>2039.0</c:v>
                </c:pt>
                <c:pt idx="40">
                  <c:v>2040.0</c:v>
                </c:pt>
                <c:pt idx="41">
                  <c:v>2041.0</c:v>
                </c:pt>
                <c:pt idx="42">
                  <c:v>2042.0</c:v>
                </c:pt>
                <c:pt idx="43">
                  <c:v>2043.0</c:v>
                </c:pt>
                <c:pt idx="44">
                  <c:v>2044.0</c:v>
                </c:pt>
                <c:pt idx="45">
                  <c:v>2045.0</c:v>
                </c:pt>
                <c:pt idx="46">
                  <c:v>2046.0</c:v>
                </c:pt>
                <c:pt idx="47">
                  <c:v>2047.0</c:v>
                </c:pt>
                <c:pt idx="48">
                  <c:v>2048.0</c:v>
                </c:pt>
                <c:pt idx="49">
                  <c:v>2049.0</c:v>
                </c:pt>
                <c:pt idx="50">
                  <c:v>2050.0</c:v>
                </c:pt>
              </c:numCache>
            </c:numRef>
          </c:val>
          <c:smooth val="0"/>
        </c:ser>
        <c:ser>
          <c:idx val="1"/>
          <c:order val="1"/>
          <c:tx>
            <c:strRef>
              <c:f>interpolation!$B$8</c:f>
              <c:strCache>
                <c:ptCount val="1"/>
                <c:pt idx="0">
                  <c:v>Coal</c:v>
                </c:pt>
              </c:strCache>
            </c:strRef>
          </c:tx>
          <c:val>
            <c:numRef>
              <c:f>interpolation!$B$9:$B$59</c:f>
              <c:numCache>
                <c:formatCode>General</c:formatCode>
                <c:ptCount val="51"/>
                <c:pt idx="0">
                  <c:v>333520.488</c:v>
                </c:pt>
                <c:pt idx="1">
                  <c:v>319276.9944</c:v>
                </c:pt>
                <c:pt idx="2">
                  <c:v>305033.5008</c:v>
                </c:pt>
                <c:pt idx="3">
                  <c:v>290790.0072</c:v>
                </c:pt>
                <c:pt idx="4">
                  <c:v>276546.5136</c:v>
                </c:pt>
                <c:pt idx="5">
                  <c:v>262303.02</c:v>
                </c:pt>
                <c:pt idx="6">
                  <c:v>235247.9184</c:v>
                </c:pt>
                <c:pt idx="7">
                  <c:v>208192.8168</c:v>
                </c:pt>
                <c:pt idx="8">
                  <c:v>181137.7152</c:v>
                </c:pt>
                <c:pt idx="9">
                  <c:v>154082.6136</c:v>
                </c:pt>
                <c:pt idx="10">
                  <c:v>127027.512</c:v>
                </c:pt>
                <c:pt idx="11">
                  <c:v>123862.2912</c:v>
                </c:pt>
                <c:pt idx="12">
                  <c:v>120697.0704</c:v>
                </c:pt>
                <c:pt idx="13">
                  <c:v>117531.8496</c:v>
                </c:pt>
                <c:pt idx="14">
                  <c:v>114366.6288</c:v>
                </c:pt>
                <c:pt idx="15">
                  <c:v>111201.408</c:v>
                </c:pt>
                <c:pt idx="16">
                  <c:v>110590.1352</c:v>
                </c:pt>
                <c:pt idx="17">
                  <c:v>109978.8624</c:v>
                </c:pt>
                <c:pt idx="18">
                  <c:v>109367.5896</c:v>
                </c:pt>
                <c:pt idx="19">
                  <c:v>108756.3168</c:v>
                </c:pt>
                <c:pt idx="20">
                  <c:v>108145.044</c:v>
                </c:pt>
                <c:pt idx="21">
                  <c:v>99595.5984</c:v>
                </c:pt>
                <c:pt idx="22">
                  <c:v>91046.15280000001</c:v>
                </c:pt>
                <c:pt idx="23">
                  <c:v>82496.7072</c:v>
                </c:pt>
                <c:pt idx="24">
                  <c:v>73947.2616</c:v>
                </c:pt>
                <c:pt idx="25">
                  <c:v>65397.816</c:v>
                </c:pt>
                <c:pt idx="26">
                  <c:v>62868.9888</c:v>
                </c:pt>
                <c:pt idx="27">
                  <c:v>60340.16160000001</c:v>
                </c:pt>
                <c:pt idx="28">
                  <c:v>57811.33440000001</c:v>
                </c:pt>
                <c:pt idx="29">
                  <c:v>55282.5072</c:v>
                </c:pt>
                <c:pt idx="30">
                  <c:v>52753.68</c:v>
                </c:pt>
                <c:pt idx="31">
                  <c:v>49630.3272</c:v>
                </c:pt>
                <c:pt idx="32">
                  <c:v>46506.9744</c:v>
                </c:pt>
                <c:pt idx="33">
                  <c:v>43383.6216</c:v>
                </c:pt>
                <c:pt idx="34">
                  <c:v>40260.26880000001</c:v>
                </c:pt>
                <c:pt idx="35">
                  <c:v>37136.916</c:v>
                </c:pt>
                <c:pt idx="36">
                  <c:v>39933.6984</c:v>
                </c:pt>
                <c:pt idx="37">
                  <c:v>42730.4808</c:v>
                </c:pt>
                <c:pt idx="38">
                  <c:v>45527.2632</c:v>
                </c:pt>
                <c:pt idx="39">
                  <c:v>48324.0456</c:v>
                </c:pt>
                <c:pt idx="40">
                  <c:v>51120.828</c:v>
                </c:pt>
                <c:pt idx="41">
                  <c:v>49169.7792</c:v>
                </c:pt>
                <c:pt idx="42">
                  <c:v>47218.7304</c:v>
                </c:pt>
                <c:pt idx="43">
                  <c:v>45267.6816</c:v>
                </c:pt>
                <c:pt idx="44">
                  <c:v>43316.6328</c:v>
                </c:pt>
                <c:pt idx="45">
                  <c:v>41365.584</c:v>
                </c:pt>
                <c:pt idx="46">
                  <c:v>39900.20400000001</c:v>
                </c:pt>
                <c:pt idx="47">
                  <c:v>38434.824</c:v>
                </c:pt>
                <c:pt idx="48">
                  <c:v>36969.444</c:v>
                </c:pt>
                <c:pt idx="49">
                  <c:v>35504.064</c:v>
                </c:pt>
                <c:pt idx="50">
                  <c:v>34038.684</c:v>
                </c:pt>
              </c:numCache>
            </c:numRef>
          </c:val>
          <c:smooth val="0"/>
        </c:ser>
        <c:ser>
          <c:idx val="2"/>
          <c:order val="2"/>
          <c:tx>
            <c:strRef>
              <c:f>interpolation!$C$8</c:f>
              <c:strCache>
                <c:ptCount val="1"/>
                <c:pt idx="0">
                  <c:v>Lignite</c:v>
                </c:pt>
              </c:strCache>
            </c:strRef>
          </c:tx>
          <c:val>
            <c:numRef>
              <c:f>interpolation!$C$9:$C$59</c:f>
              <c:numCache>
                <c:formatCode>General</c:formatCode>
                <c:ptCount val="5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3"/>
          <c:order val="3"/>
          <c:tx>
            <c:strRef>
              <c:f>interpolation!$D$8</c:f>
              <c:strCache>
                <c:ptCount val="1"/>
                <c:pt idx="0">
                  <c:v>Natural gas</c:v>
                </c:pt>
              </c:strCache>
            </c:strRef>
          </c:tx>
          <c:val>
            <c:numRef>
              <c:f>interpolation!$D$9:$D$59</c:f>
              <c:numCache>
                <c:formatCode>General</c:formatCode>
                <c:ptCount val="51"/>
                <c:pt idx="0">
                  <c:v>9797.112</c:v>
                </c:pt>
                <c:pt idx="1">
                  <c:v>9386.805600000002</c:v>
                </c:pt>
                <c:pt idx="2">
                  <c:v>8976.4992</c:v>
                </c:pt>
                <c:pt idx="3">
                  <c:v>8566.1928</c:v>
                </c:pt>
                <c:pt idx="4">
                  <c:v>8155.886400000001</c:v>
                </c:pt>
                <c:pt idx="5">
                  <c:v>7745.580000000001</c:v>
                </c:pt>
                <c:pt idx="6">
                  <c:v>6908.22</c:v>
                </c:pt>
                <c:pt idx="7">
                  <c:v>6070.86</c:v>
                </c:pt>
                <c:pt idx="8">
                  <c:v>5233.5</c:v>
                </c:pt>
                <c:pt idx="9">
                  <c:v>4396.14</c:v>
                </c:pt>
                <c:pt idx="10">
                  <c:v>3558.78</c:v>
                </c:pt>
                <c:pt idx="11">
                  <c:v>3123.3528</c:v>
                </c:pt>
                <c:pt idx="12">
                  <c:v>2687.9256</c:v>
                </c:pt>
                <c:pt idx="13">
                  <c:v>2252.4984</c:v>
                </c:pt>
                <c:pt idx="14">
                  <c:v>1817.0712</c:v>
                </c:pt>
                <c:pt idx="15">
                  <c:v>1381.644</c:v>
                </c:pt>
                <c:pt idx="16">
                  <c:v>1105.3152</c:v>
                </c:pt>
                <c:pt idx="17">
                  <c:v>828.9864</c:v>
                </c:pt>
                <c:pt idx="18">
                  <c:v>552.6576</c:v>
                </c:pt>
                <c:pt idx="19">
                  <c:v>276.3288</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4"/>
          <c:order val="4"/>
          <c:tx>
            <c:strRef>
              <c:f>interpolation!$E$8</c:f>
              <c:strCache>
                <c:ptCount val="1"/>
                <c:pt idx="0">
                  <c:v>Crude oil</c:v>
                </c:pt>
              </c:strCache>
            </c:strRef>
          </c:tx>
          <c:val>
            <c:numRef>
              <c:f>interpolation!$E$9:$E$59</c:f>
              <c:numCache>
                <c:formatCode>General</c:formatCode>
                <c:ptCount val="51"/>
                <c:pt idx="0">
                  <c:v>9587.772</c:v>
                </c:pt>
                <c:pt idx="1">
                  <c:v>9076.9824</c:v>
                </c:pt>
                <c:pt idx="2">
                  <c:v>8566.1928</c:v>
                </c:pt>
                <c:pt idx="3">
                  <c:v>8055.403200000001</c:v>
                </c:pt>
                <c:pt idx="4">
                  <c:v>7544.6136</c:v>
                </c:pt>
                <c:pt idx="5">
                  <c:v>7033.824</c:v>
                </c:pt>
                <c:pt idx="6">
                  <c:v>6665.3856</c:v>
                </c:pt>
                <c:pt idx="7">
                  <c:v>6296.947200000001</c:v>
                </c:pt>
                <c:pt idx="8">
                  <c:v>5928.508800000001</c:v>
                </c:pt>
                <c:pt idx="9">
                  <c:v>5560.070400000001</c:v>
                </c:pt>
                <c:pt idx="10">
                  <c:v>5191.632</c:v>
                </c:pt>
                <c:pt idx="11">
                  <c:v>4932.0504</c:v>
                </c:pt>
                <c:pt idx="12">
                  <c:v>4672.468800000001</c:v>
                </c:pt>
                <c:pt idx="13">
                  <c:v>4412.8872</c:v>
                </c:pt>
                <c:pt idx="14">
                  <c:v>4153.3056</c:v>
                </c:pt>
                <c:pt idx="15">
                  <c:v>3893.724</c:v>
                </c:pt>
                <c:pt idx="16">
                  <c:v>3676.0104</c:v>
                </c:pt>
                <c:pt idx="17">
                  <c:v>3458.2968</c:v>
                </c:pt>
                <c:pt idx="18">
                  <c:v>3240.5832</c:v>
                </c:pt>
                <c:pt idx="19">
                  <c:v>3022.8696</c:v>
                </c:pt>
                <c:pt idx="20">
                  <c:v>2805.156</c:v>
                </c:pt>
                <c:pt idx="21">
                  <c:v>2244.1248</c:v>
                </c:pt>
                <c:pt idx="22">
                  <c:v>1683.0936</c:v>
                </c:pt>
                <c:pt idx="23">
                  <c:v>1122.0624</c:v>
                </c:pt>
                <c:pt idx="24">
                  <c:v>561.0311999999999</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5"/>
          <c:order val="5"/>
          <c:tx>
            <c:strRef>
              <c:f>interpolation!$F$8</c:f>
              <c:strCache>
                <c:ptCount val="1"/>
                <c:pt idx="0">
                  <c:v>Uranium oxide</c:v>
                </c:pt>
              </c:strCache>
            </c:strRef>
          </c:tx>
          <c:val>
            <c:numRef>
              <c:f>interpolation!$F$9:$F$59</c:f>
              <c:numCache>
                <c:formatCode>General</c:formatCode>
                <c:ptCount val="51"/>
                <c:pt idx="0">
                  <c:v>671813.928</c:v>
                </c:pt>
                <c:pt idx="1">
                  <c:v>661732.1136</c:v>
                </c:pt>
                <c:pt idx="2">
                  <c:v>651650.2992</c:v>
                </c:pt>
                <c:pt idx="3">
                  <c:v>641568.4848000001</c:v>
                </c:pt>
                <c:pt idx="4">
                  <c:v>631486.6704000001</c:v>
                </c:pt>
                <c:pt idx="5">
                  <c:v>621404.856</c:v>
                </c:pt>
                <c:pt idx="6">
                  <c:v>631026.1224</c:v>
                </c:pt>
                <c:pt idx="7">
                  <c:v>640647.3888</c:v>
                </c:pt>
                <c:pt idx="8">
                  <c:v>650268.6552</c:v>
                </c:pt>
                <c:pt idx="9">
                  <c:v>659889.9216</c:v>
                </c:pt>
                <c:pt idx="10">
                  <c:v>669511.1880000001</c:v>
                </c:pt>
                <c:pt idx="11">
                  <c:v>661506.0264</c:v>
                </c:pt>
                <c:pt idx="12">
                  <c:v>653500.8648</c:v>
                </c:pt>
                <c:pt idx="13">
                  <c:v>645495.7032</c:v>
                </c:pt>
                <c:pt idx="14">
                  <c:v>637490.5416</c:v>
                </c:pt>
                <c:pt idx="15">
                  <c:v>629485.38</c:v>
                </c:pt>
                <c:pt idx="16">
                  <c:v>629485.38</c:v>
                </c:pt>
                <c:pt idx="17">
                  <c:v>629485.38</c:v>
                </c:pt>
                <c:pt idx="18">
                  <c:v>629485.38</c:v>
                </c:pt>
                <c:pt idx="19">
                  <c:v>629485.38</c:v>
                </c:pt>
                <c:pt idx="20">
                  <c:v>629485.38</c:v>
                </c:pt>
                <c:pt idx="21">
                  <c:v>628237.7136</c:v>
                </c:pt>
                <c:pt idx="22">
                  <c:v>626990.0472</c:v>
                </c:pt>
                <c:pt idx="23">
                  <c:v>625742.3808</c:v>
                </c:pt>
                <c:pt idx="24">
                  <c:v>624494.7144000001</c:v>
                </c:pt>
                <c:pt idx="25">
                  <c:v>623247.048</c:v>
                </c:pt>
                <c:pt idx="26">
                  <c:v>623247.048</c:v>
                </c:pt>
                <c:pt idx="27">
                  <c:v>623247.048</c:v>
                </c:pt>
                <c:pt idx="28">
                  <c:v>623247.048</c:v>
                </c:pt>
                <c:pt idx="29">
                  <c:v>623247.048</c:v>
                </c:pt>
                <c:pt idx="30">
                  <c:v>623247.048</c:v>
                </c:pt>
                <c:pt idx="31">
                  <c:v>649364.3064</c:v>
                </c:pt>
                <c:pt idx="32">
                  <c:v>675481.5648</c:v>
                </c:pt>
                <c:pt idx="33">
                  <c:v>701598.8232</c:v>
                </c:pt>
                <c:pt idx="34">
                  <c:v>727716.0816</c:v>
                </c:pt>
                <c:pt idx="35">
                  <c:v>753833.34</c:v>
                </c:pt>
                <c:pt idx="36">
                  <c:v>726845.2272000001</c:v>
                </c:pt>
                <c:pt idx="37">
                  <c:v>699857.1144000001</c:v>
                </c:pt>
                <c:pt idx="38">
                  <c:v>672869.0016</c:v>
                </c:pt>
                <c:pt idx="39">
                  <c:v>645880.8888</c:v>
                </c:pt>
                <c:pt idx="40">
                  <c:v>618892.7760000001</c:v>
                </c:pt>
                <c:pt idx="41">
                  <c:v>611833.8312</c:v>
                </c:pt>
                <c:pt idx="42">
                  <c:v>604774.8864</c:v>
                </c:pt>
                <c:pt idx="43">
                  <c:v>597715.9416</c:v>
                </c:pt>
                <c:pt idx="44">
                  <c:v>590656.9968</c:v>
                </c:pt>
                <c:pt idx="45">
                  <c:v>583598.052</c:v>
                </c:pt>
                <c:pt idx="46">
                  <c:v>583598.052</c:v>
                </c:pt>
                <c:pt idx="47">
                  <c:v>583598.052</c:v>
                </c:pt>
                <c:pt idx="48">
                  <c:v>583598.052</c:v>
                </c:pt>
                <c:pt idx="49">
                  <c:v>583598.052</c:v>
                </c:pt>
                <c:pt idx="50">
                  <c:v>583598.052</c:v>
                </c:pt>
              </c:numCache>
            </c:numRef>
          </c:val>
          <c:smooth val="0"/>
        </c:ser>
        <c:ser>
          <c:idx val="6"/>
          <c:order val="6"/>
          <c:tx>
            <c:strRef>
              <c:f>interpolation!$G$8</c:f>
              <c:strCache>
                <c:ptCount val="1"/>
                <c:pt idx="0">
                  <c:v>Woody biomass</c:v>
                </c:pt>
              </c:strCache>
            </c:strRef>
          </c:tx>
          <c:val>
            <c:numRef>
              <c:f>interpolation!$G$9:$G$59</c:f>
              <c:numCache>
                <c:formatCode>General</c:formatCode>
                <c:ptCount val="51"/>
                <c:pt idx="0">
                  <c:v>167006.9972448</c:v>
                </c:pt>
                <c:pt idx="1">
                  <c:v>174938.91998976</c:v>
                </c:pt>
                <c:pt idx="2">
                  <c:v>182870.84273472</c:v>
                </c:pt>
                <c:pt idx="3">
                  <c:v>190802.76547968</c:v>
                </c:pt>
                <c:pt idx="4">
                  <c:v>198734.68822464</c:v>
                </c:pt>
                <c:pt idx="5">
                  <c:v>206666.6109696</c:v>
                </c:pt>
                <c:pt idx="6">
                  <c:v>217113.13919232</c:v>
                </c:pt>
                <c:pt idx="7">
                  <c:v>227559.66741504</c:v>
                </c:pt>
                <c:pt idx="8">
                  <c:v>238006.19563776</c:v>
                </c:pt>
                <c:pt idx="9">
                  <c:v>248452.72386048</c:v>
                </c:pt>
                <c:pt idx="10">
                  <c:v>258899.2520832</c:v>
                </c:pt>
                <c:pt idx="11">
                  <c:v>267858.03944448</c:v>
                </c:pt>
                <c:pt idx="12">
                  <c:v>276816.82680576</c:v>
                </c:pt>
                <c:pt idx="13">
                  <c:v>285775.61416704</c:v>
                </c:pt>
                <c:pt idx="14">
                  <c:v>294734.40152832</c:v>
                </c:pt>
                <c:pt idx="15">
                  <c:v>303693.1888896</c:v>
                </c:pt>
                <c:pt idx="16">
                  <c:v>316072.16312256</c:v>
                </c:pt>
                <c:pt idx="17">
                  <c:v>328451.13735552</c:v>
                </c:pt>
                <c:pt idx="18">
                  <c:v>340830.11158848</c:v>
                </c:pt>
                <c:pt idx="19">
                  <c:v>353209.08582144</c:v>
                </c:pt>
                <c:pt idx="20">
                  <c:v>365588.0600544</c:v>
                </c:pt>
                <c:pt idx="21">
                  <c:v>364957.38729792</c:v>
                </c:pt>
                <c:pt idx="22">
                  <c:v>364326.71454144</c:v>
                </c:pt>
                <c:pt idx="23">
                  <c:v>363696.04178496</c:v>
                </c:pt>
                <c:pt idx="24">
                  <c:v>363065.36902848</c:v>
                </c:pt>
                <c:pt idx="25">
                  <c:v>362434.696272</c:v>
                </c:pt>
                <c:pt idx="26">
                  <c:v>366776.63563392</c:v>
                </c:pt>
                <c:pt idx="27">
                  <c:v>371118.57499584</c:v>
                </c:pt>
                <c:pt idx="28">
                  <c:v>375460.51435776</c:v>
                </c:pt>
                <c:pt idx="29">
                  <c:v>379802.45371968</c:v>
                </c:pt>
                <c:pt idx="30">
                  <c:v>384144.3930816</c:v>
                </c:pt>
                <c:pt idx="31">
                  <c:v>383748.20122176</c:v>
                </c:pt>
                <c:pt idx="32">
                  <c:v>383352.00936192</c:v>
                </c:pt>
                <c:pt idx="33">
                  <c:v>382955.8175020801</c:v>
                </c:pt>
                <c:pt idx="34">
                  <c:v>382559.62564224</c:v>
                </c:pt>
                <c:pt idx="35">
                  <c:v>382163.4337824</c:v>
                </c:pt>
                <c:pt idx="36">
                  <c:v>394413.0392448</c:v>
                </c:pt>
                <c:pt idx="37">
                  <c:v>406662.6447072001</c:v>
                </c:pt>
                <c:pt idx="38">
                  <c:v>418912.2501696</c:v>
                </c:pt>
                <c:pt idx="39">
                  <c:v>431161.855632</c:v>
                </c:pt>
                <c:pt idx="40">
                  <c:v>443411.4610944</c:v>
                </c:pt>
                <c:pt idx="41">
                  <c:v>444034.04830272</c:v>
                </c:pt>
                <c:pt idx="42">
                  <c:v>444656.63551104</c:v>
                </c:pt>
                <c:pt idx="43">
                  <c:v>445279.22271936</c:v>
                </c:pt>
                <c:pt idx="44">
                  <c:v>445901.80992768</c:v>
                </c:pt>
                <c:pt idx="45">
                  <c:v>446524.397136</c:v>
                </c:pt>
                <c:pt idx="46">
                  <c:v>446936.76009216</c:v>
                </c:pt>
                <c:pt idx="47">
                  <c:v>447349.12304832</c:v>
                </c:pt>
                <c:pt idx="48">
                  <c:v>447761.48600448</c:v>
                </c:pt>
                <c:pt idx="49">
                  <c:v>448173.84896064</c:v>
                </c:pt>
                <c:pt idx="50">
                  <c:v>448586.2119168001</c:v>
                </c:pt>
              </c:numCache>
            </c:numRef>
          </c:val>
          <c:smooth val="0"/>
        </c:ser>
        <c:dLbls>
          <c:showLegendKey val="0"/>
          <c:showVal val="0"/>
          <c:showCatName val="0"/>
          <c:showSerName val="0"/>
          <c:showPercent val="0"/>
          <c:showBubbleSize val="0"/>
        </c:dLbls>
        <c:marker val="1"/>
        <c:smooth val="0"/>
        <c:axId val="-2111705368"/>
        <c:axId val="-2111179496"/>
      </c:lineChart>
      <c:catAx>
        <c:axId val="-2111705368"/>
        <c:scaling>
          <c:orientation val="minMax"/>
        </c:scaling>
        <c:delete val="0"/>
        <c:axPos val="b"/>
        <c:majorTickMark val="out"/>
        <c:minorTickMark val="none"/>
        <c:tickLblPos val="nextTo"/>
        <c:crossAx val="-2111179496"/>
        <c:crosses val="autoZero"/>
        <c:auto val="1"/>
        <c:lblAlgn val="ctr"/>
        <c:lblOffset val="100"/>
        <c:noMultiLvlLbl val="0"/>
      </c:catAx>
      <c:valAx>
        <c:axId val="-2111179496"/>
        <c:scaling>
          <c:orientation val="minMax"/>
        </c:scaling>
        <c:delete val="0"/>
        <c:axPos val="l"/>
        <c:majorGridlines/>
        <c:numFmt formatCode="General" sourceLinked="1"/>
        <c:majorTickMark val="out"/>
        <c:minorTickMark val="none"/>
        <c:tickLblPos val="nextTo"/>
        <c:crossAx val="-2111705368"/>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example</v>
          </cell>
        </row>
        <row r="14">
          <cell r="E14">
            <v>2011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H39"/>
  <sheetViews>
    <sheetView workbookViewId="0"/>
  </sheetViews>
  <sheetFormatPr baseColWidth="10" defaultRowHeight="15" x14ac:dyDescent="0"/>
  <cols>
    <col min="1" max="1" width="10.83203125" style="16"/>
    <col min="2" max="2" width="13.33203125" style="16" customWidth="1"/>
    <col min="3" max="3" width="44" style="16" customWidth="1"/>
    <col min="4" max="13" width="10.83203125" style="16" customWidth="1"/>
    <col min="14" max="16384" width="10.83203125" style="16"/>
  </cols>
  <sheetData>
    <row r="2" spans="2:8" ht="20">
      <c r="B2" s="15" t="s">
        <v>24</v>
      </c>
    </row>
    <row r="4" spans="2:8">
      <c r="B4" s="17" t="s">
        <v>25</v>
      </c>
      <c r="C4" s="18" t="s">
        <v>49</v>
      </c>
      <c r="D4" s="19"/>
      <c r="F4" s="20"/>
      <c r="G4" s="21"/>
      <c r="H4" s="20"/>
    </row>
    <row r="5" spans="2:8">
      <c r="B5" s="22" t="s">
        <v>26</v>
      </c>
      <c r="C5" s="140">
        <f>MAX(Changelog!D:D)</f>
        <v>1</v>
      </c>
      <c r="D5" s="24"/>
      <c r="F5" s="21"/>
      <c r="G5" s="21"/>
      <c r="H5" s="21"/>
    </row>
    <row r="6" spans="2:8">
      <c r="B6" s="22" t="s">
        <v>27</v>
      </c>
      <c r="C6" s="23" t="s">
        <v>84</v>
      </c>
      <c r="D6" s="24"/>
      <c r="F6" s="21"/>
      <c r="G6" s="21"/>
      <c r="H6" s="21"/>
    </row>
    <row r="7" spans="2:8">
      <c r="B7" s="22" t="s">
        <v>28</v>
      </c>
      <c r="C7" s="23">
        <v>2012</v>
      </c>
      <c r="D7" s="24"/>
      <c r="F7" s="21"/>
      <c r="G7" s="21"/>
      <c r="H7" s="21"/>
    </row>
    <row r="8" spans="2:8">
      <c r="B8" s="22" t="s">
        <v>29</v>
      </c>
      <c r="C8" s="25">
        <f>MAX(Changelog!B:B)</f>
        <v>41794</v>
      </c>
      <c r="D8" s="24"/>
      <c r="F8" s="21"/>
      <c r="G8" s="21"/>
      <c r="H8" s="21"/>
    </row>
    <row r="9" spans="2:8">
      <c r="B9" s="22" t="s">
        <v>30</v>
      </c>
      <c r="C9" s="21" t="s">
        <v>76</v>
      </c>
      <c r="D9" s="24"/>
      <c r="F9" s="21"/>
      <c r="G9" s="21"/>
      <c r="H9" s="21"/>
    </row>
    <row r="10" spans="2:8">
      <c r="B10" s="26" t="s">
        <v>31</v>
      </c>
      <c r="C10" s="27" t="s">
        <v>32</v>
      </c>
      <c r="D10" s="28"/>
      <c r="F10" s="21"/>
      <c r="G10" s="21"/>
      <c r="H10" s="21"/>
    </row>
    <row r="12" spans="2:8">
      <c r="B12" s="17" t="s">
        <v>33</v>
      </c>
      <c r="C12" s="18"/>
      <c r="D12" s="19"/>
    </row>
    <row r="13" spans="2:8">
      <c r="B13" s="29"/>
      <c r="C13" s="21"/>
      <c r="D13" s="24"/>
    </row>
    <row r="14" spans="2:8">
      <c r="B14" s="29" t="s">
        <v>34</v>
      </c>
      <c r="C14" s="30" t="s">
        <v>35</v>
      </c>
      <c r="D14" s="24"/>
    </row>
    <row r="15" spans="2:8" ht="16" thickBot="1">
      <c r="B15" s="29"/>
      <c r="C15" s="20" t="s">
        <v>36</v>
      </c>
      <c r="D15" s="24"/>
    </row>
    <row r="16" spans="2:8" ht="16" thickBot="1">
      <c r="B16" s="29"/>
      <c r="C16" s="31" t="s">
        <v>37</v>
      </c>
      <c r="D16" s="24"/>
    </row>
    <row r="17" spans="2:4">
      <c r="B17" s="29"/>
      <c r="C17" s="21" t="s">
        <v>38</v>
      </c>
      <c r="D17" s="24"/>
    </row>
    <row r="18" spans="2:4">
      <c r="B18" s="29"/>
      <c r="C18" s="21"/>
      <c r="D18" s="24"/>
    </row>
    <row r="19" spans="2:4">
      <c r="B19" s="29" t="s">
        <v>39</v>
      </c>
      <c r="C19" s="32" t="s">
        <v>40</v>
      </c>
      <c r="D19" s="24"/>
    </row>
    <row r="20" spans="2:4">
      <c r="B20" s="29"/>
      <c r="C20" s="33" t="s">
        <v>41</v>
      </c>
      <c r="D20" s="24"/>
    </row>
    <row r="21" spans="2:4">
      <c r="B21" s="29"/>
      <c r="C21" s="34" t="s">
        <v>42</v>
      </c>
      <c r="D21" s="24"/>
    </row>
    <row r="22" spans="2:4">
      <c r="B22" s="29"/>
      <c r="C22" s="35" t="s">
        <v>43</v>
      </c>
      <c r="D22" s="24"/>
    </row>
    <row r="23" spans="2:4">
      <c r="B23" s="36"/>
      <c r="C23" s="37" t="s">
        <v>44</v>
      </c>
      <c r="D23" s="24"/>
    </row>
    <row r="24" spans="2:4">
      <c r="B24" s="36"/>
      <c r="C24" s="38" t="s">
        <v>45</v>
      </c>
      <c r="D24" s="24"/>
    </row>
    <row r="25" spans="2:4">
      <c r="B25" s="36"/>
      <c r="C25" s="39" t="s">
        <v>46</v>
      </c>
      <c r="D25" s="24"/>
    </row>
    <row r="26" spans="2:4">
      <c r="B26" s="36"/>
      <c r="C26" s="40" t="s">
        <v>47</v>
      </c>
      <c r="D26" s="24"/>
    </row>
    <row r="27" spans="2:4">
      <c r="B27" s="41"/>
      <c r="C27" s="27"/>
      <c r="D27" s="28"/>
    </row>
    <row r="29" spans="2:4">
      <c r="B29" s="17" t="s">
        <v>48</v>
      </c>
      <c r="C29" s="18"/>
      <c r="D29" s="19"/>
    </row>
    <row r="30" spans="2:4">
      <c r="B30" s="36"/>
      <c r="C30" s="21"/>
      <c r="D30" s="24"/>
    </row>
    <row r="31" spans="2:4">
      <c r="B31" s="36"/>
      <c r="C31" s="21"/>
      <c r="D31" s="24"/>
    </row>
    <row r="32" spans="2:4">
      <c r="B32" s="36"/>
      <c r="C32" s="21"/>
      <c r="D32" s="24"/>
    </row>
    <row r="33" spans="2:4">
      <c r="B33" s="36"/>
      <c r="C33" s="21"/>
      <c r="D33" s="24"/>
    </row>
    <row r="34" spans="2:4">
      <c r="B34" s="36"/>
      <c r="C34" s="21"/>
      <c r="D34" s="24"/>
    </row>
    <row r="35" spans="2:4">
      <c r="B35" s="36"/>
      <c r="C35" s="21"/>
      <c r="D35" s="24"/>
    </row>
    <row r="36" spans="2:4">
      <c r="B36" s="36"/>
      <c r="C36" s="21"/>
      <c r="D36" s="24"/>
    </row>
    <row r="37" spans="2:4">
      <c r="B37" s="36"/>
      <c r="C37" s="21"/>
      <c r="D37" s="24"/>
    </row>
    <row r="38" spans="2:4">
      <c r="B38" s="36"/>
      <c r="C38" s="21"/>
      <c r="D38" s="24"/>
    </row>
    <row r="39" spans="2:4">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D45"/>
  <sheetViews>
    <sheetView workbookViewId="0"/>
  </sheetViews>
  <sheetFormatPr baseColWidth="10" defaultRowHeight="15" x14ac:dyDescent="0"/>
  <cols>
    <col min="1" max="1" width="10.83203125" style="16"/>
    <col min="2" max="2" width="17.6640625" style="16" bestFit="1" customWidth="1"/>
    <col min="3" max="3" width="59.5" style="16" customWidth="1"/>
    <col min="4" max="16384" width="10.83203125" style="16"/>
  </cols>
  <sheetData>
    <row r="2" spans="2:4" ht="20">
      <c r="B2" s="15" t="s">
        <v>50</v>
      </c>
    </row>
    <row r="4" spans="2:4">
      <c r="B4" s="42" t="s">
        <v>29</v>
      </c>
      <c r="C4" s="43" t="s">
        <v>51</v>
      </c>
      <c r="D4" s="44" t="s">
        <v>52</v>
      </c>
    </row>
    <row r="5" spans="2:4">
      <c r="B5" s="45"/>
      <c r="C5" s="20"/>
      <c r="D5" s="46"/>
    </row>
    <row r="6" spans="2:4">
      <c r="B6" s="47">
        <v>41794</v>
      </c>
      <c r="C6" s="48" t="s">
        <v>75</v>
      </c>
      <c r="D6" s="49">
        <v>1</v>
      </c>
    </row>
    <row r="7" spans="2:4">
      <c r="B7" s="50"/>
      <c r="C7" s="48"/>
      <c r="D7" s="49"/>
    </row>
    <row r="8" spans="2:4">
      <c r="B8" s="50"/>
      <c r="C8" s="48"/>
      <c r="D8" s="49"/>
    </row>
    <row r="9" spans="2:4">
      <c r="B9" s="50"/>
      <c r="C9" s="48"/>
      <c r="D9" s="49"/>
    </row>
    <row r="10" spans="2:4">
      <c r="B10" s="50"/>
      <c r="C10" s="48"/>
      <c r="D10" s="49"/>
    </row>
    <row r="11" spans="2:4">
      <c r="B11" s="50"/>
      <c r="C11" s="48"/>
      <c r="D11" s="49"/>
    </row>
    <row r="12" spans="2:4">
      <c r="B12" s="50"/>
      <c r="C12" s="48"/>
      <c r="D12" s="49"/>
    </row>
    <row r="13" spans="2:4">
      <c r="B13" s="50"/>
      <c r="C13" s="48"/>
      <c r="D13" s="49"/>
    </row>
    <row r="14" spans="2:4">
      <c r="B14" s="50"/>
      <c r="C14" s="51"/>
      <c r="D14" s="49"/>
    </row>
    <row r="15" spans="2:4">
      <c r="B15" s="50"/>
      <c r="C15" s="48"/>
      <c r="D15" s="49"/>
    </row>
    <row r="16" spans="2:4">
      <c r="B16" s="52"/>
      <c r="C16" s="53"/>
      <c r="D16" s="49"/>
    </row>
    <row r="17" spans="2:4">
      <c r="B17" s="50"/>
      <c r="C17" s="48"/>
      <c r="D17" s="49"/>
    </row>
    <row r="18" spans="2:4">
      <c r="B18" s="50"/>
      <c r="C18" s="51"/>
      <c r="D18" s="49"/>
    </row>
    <row r="19" spans="2:4">
      <c r="B19" s="50"/>
      <c r="C19" s="48"/>
      <c r="D19" s="49"/>
    </row>
    <row r="20" spans="2:4">
      <c r="B20" s="50"/>
      <c r="C20" s="48"/>
      <c r="D20" s="49"/>
    </row>
    <row r="21" spans="2:4">
      <c r="B21" s="50"/>
      <c r="C21" s="51"/>
      <c r="D21" s="49"/>
    </row>
    <row r="22" spans="2:4">
      <c r="B22" s="54"/>
      <c r="C22" s="53"/>
      <c r="D22" s="55"/>
    </row>
    <row r="23" spans="2:4">
      <c r="B23" s="54"/>
      <c r="C23" s="53"/>
      <c r="D23" s="55"/>
    </row>
    <row r="24" spans="2:4">
      <c r="B24" s="54"/>
      <c r="C24" s="53"/>
      <c r="D24" s="55"/>
    </row>
    <row r="25" spans="2:4">
      <c r="B25" s="54"/>
      <c r="C25" s="53"/>
      <c r="D25" s="55"/>
    </row>
    <row r="26" spans="2:4">
      <c r="B26" s="54"/>
      <c r="C26" s="53"/>
      <c r="D26" s="55"/>
    </row>
    <row r="27" spans="2:4">
      <c r="B27" s="54"/>
      <c r="C27" s="53"/>
      <c r="D27" s="55"/>
    </row>
    <row r="28" spans="2:4">
      <c r="B28" s="54"/>
      <c r="C28" s="53"/>
      <c r="D28" s="55"/>
    </row>
    <row r="29" spans="2:4">
      <c r="B29" s="54"/>
      <c r="C29" s="53"/>
      <c r="D29" s="55"/>
    </row>
    <row r="30" spans="2:4">
      <c r="B30" s="54"/>
      <c r="C30" s="53"/>
      <c r="D30" s="55"/>
    </row>
    <row r="31" spans="2:4">
      <c r="B31" s="56"/>
      <c r="C31" s="57"/>
      <c r="D31" s="58"/>
    </row>
    <row r="32" spans="2:4">
      <c r="B32" s="54"/>
      <c r="C32" s="53"/>
      <c r="D32" s="55"/>
    </row>
    <row r="33" spans="2:4">
      <c r="B33" s="54"/>
      <c r="C33" s="53"/>
      <c r="D33" s="55"/>
    </row>
    <row r="34" spans="2:4">
      <c r="B34" s="54"/>
      <c r="C34" s="53"/>
      <c r="D34" s="55"/>
    </row>
    <row r="35" spans="2:4">
      <c r="B35" s="54"/>
      <c r="C35" s="53"/>
      <c r="D35" s="55"/>
    </row>
    <row r="36" spans="2:4">
      <c r="B36" s="50"/>
      <c r="C36" s="48"/>
      <c r="D36" s="49"/>
    </row>
    <row r="37" spans="2:4">
      <c r="B37" s="59"/>
      <c r="C37" s="60"/>
      <c r="D37" s="61"/>
    </row>
    <row r="38" spans="2:4">
      <c r="D38" s="62"/>
    </row>
    <row r="39" spans="2:4">
      <c r="D39" s="62"/>
    </row>
    <row r="40" spans="2:4">
      <c r="D40" s="62"/>
    </row>
    <row r="41" spans="2:4">
      <c r="D41" s="62"/>
    </row>
    <row r="42" spans="2:4">
      <c r="D42" s="62"/>
    </row>
    <row r="43" spans="2:4">
      <c r="D43" s="62"/>
    </row>
    <row r="44" spans="2:4">
      <c r="D44" s="62"/>
    </row>
    <row r="45" spans="2:4">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13"/>
  <sheetViews>
    <sheetView workbookViewId="0"/>
  </sheetViews>
  <sheetFormatPr baseColWidth="10" defaultRowHeight="15" x14ac:dyDescent="0"/>
  <cols>
    <col min="1" max="1" width="8.6640625" style="16" customWidth="1"/>
    <col min="2" max="2" width="35.83203125" style="16" customWidth="1"/>
    <col min="3" max="3" width="100.83203125" style="16" customWidth="1"/>
    <col min="4" max="16384" width="10.83203125" style="16"/>
  </cols>
  <sheetData>
    <row r="2" spans="2:3" ht="20">
      <c r="B2" s="15" t="s">
        <v>53</v>
      </c>
    </row>
    <row r="4" spans="2:3" ht="30" customHeight="1">
      <c r="B4" s="63" t="s">
        <v>54</v>
      </c>
      <c r="C4" s="64" t="s">
        <v>55</v>
      </c>
    </row>
    <row r="5" spans="2:3" s="67" customFormat="1" ht="30" customHeight="1">
      <c r="B5" s="65" t="s">
        <v>24</v>
      </c>
      <c r="C5" s="66" t="s">
        <v>56</v>
      </c>
    </row>
    <row r="6" spans="2:3" s="67" customFormat="1" ht="30" customHeight="1">
      <c r="B6" s="68" t="s">
        <v>50</v>
      </c>
      <c r="C6" s="69" t="s">
        <v>57</v>
      </c>
    </row>
    <row r="7" spans="2:3" s="67" customFormat="1" ht="30" customHeight="1">
      <c r="B7" s="68" t="s">
        <v>53</v>
      </c>
      <c r="C7" s="66" t="s">
        <v>58</v>
      </c>
    </row>
    <row r="8" spans="2:3" s="67" customFormat="1" ht="30" customHeight="1">
      <c r="B8" s="68" t="s">
        <v>59</v>
      </c>
      <c r="C8" s="66" t="s">
        <v>60</v>
      </c>
    </row>
    <row r="9" spans="2:3" s="67" customFormat="1" ht="30" customHeight="1">
      <c r="B9" s="68" t="s">
        <v>18</v>
      </c>
      <c r="C9" s="66" t="s">
        <v>61</v>
      </c>
    </row>
    <row r="10" spans="2:3" s="67" customFormat="1" ht="30" customHeight="1">
      <c r="B10" s="70" t="s">
        <v>41</v>
      </c>
      <c r="C10" s="66" t="s">
        <v>62</v>
      </c>
    </row>
    <row r="11" spans="2:3" s="67" customFormat="1" ht="30" customHeight="1">
      <c r="B11" s="72" t="s">
        <v>80</v>
      </c>
      <c r="C11" s="66" t="s">
        <v>85</v>
      </c>
    </row>
    <row r="12" spans="2:3" s="67" customFormat="1" ht="30" customHeight="1">
      <c r="B12" s="72" t="s">
        <v>79</v>
      </c>
      <c r="C12" s="71" t="s">
        <v>86</v>
      </c>
    </row>
    <row r="13" spans="2:3" s="67" customFormat="1" ht="30" customHeight="1">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30"/>
  <sheetViews>
    <sheetView workbookViewId="0"/>
  </sheetViews>
  <sheetFormatPr baseColWidth="10" defaultRowHeight="15" x14ac:dyDescent="0"/>
  <cols>
    <col min="1" max="1" width="10.83203125" style="16" customWidth="1"/>
    <col min="2" max="2" width="140.83203125" style="16" customWidth="1"/>
    <col min="3" max="3" width="20.33203125" style="16" customWidth="1"/>
    <col min="4" max="16384" width="10.83203125" style="16"/>
  </cols>
  <sheetData>
    <row r="2" spans="2:3" ht="20">
      <c r="B2" s="15" t="s">
        <v>59</v>
      </c>
    </row>
    <row r="4" spans="2:3">
      <c r="B4" s="74" t="s">
        <v>63</v>
      </c>
      <c r="C4" s="21"/>
    </row>
    <row r="5" spans="2:3">
      <c r="B5" s="75"/>
      <c r="C5" s="21"/>
    </row>
    <row r="6" spans="2:3">
      <c r="B6" s="76" t="s">
        <v>87</v>
      </c>
      <c r="C6" s="21"/>
    </row>
    <row r="7" spans="2:3">
      <c r="B7" s="77"/>
      <c r="C7" s="21"/>
    </row>
    <row r="8" spans="2:3" ht="15" customHeight="1">
      <c r="B8" s="78"/>
      <c r="C8" s="21"/>
    </row>
    <row r="9" spans="2:3" ht="15" customHeight="1">
      <c r="B9" s="74" t="s">
        <v>64</v>
      </c>
      <c r="C9" s="21"/>
    </row>
    <row r="10" spans="2:3" ht="15" customHeight="1">
      <c r="B10" s="75"/>
      <c r="C10" s="21"/>
    </row>
    <row r="11" spans="2:3" ht="15" customHeight="1">
      <c r="B11" s="79" t="s">
        <v>88</v>
      </c>
      <c r="C11" s="21"/>
    </row>
    <row r="12" spans="2:3" ht="15" customHeight="1">
      <c r="B12" s="79" t="s">
        <v>89</v>
      </c>
      <c r="C12" s="21"/>
    </row>
    <row r="13" spans="2:3" ht="15" customHeight="1">
      <c r="B13" s="79" t="s">
        <v>90</v>
      </c>
      <c r="C13" s="21"/>
    </row>
    <row r="14" spans="2:3" ht="15" customHeight="1">
      <c r="B14" s="79" t="s">
        <v>81</v>
      </c>
      <c r="C14" s="21"/>
    </row>
    <row r="15" spans="2:3" ht="15" customHeight="1">
      <c r="B15" s="79" t="s">
        <v>82</v>
      </c>
      <c r="C15" s="21"/>
    </row>
    <row r="16" spans="2:3" ht="15" customHeight="1">
      <c r="B16" s="80"/>
      <c r="C16" s="21"/>
    </row>
    <row r="17" spans="2:2">
      <c r="B17" s="81"/>
    </row>
    <row r="18" spans="2:2">
      <c r="B18" s="82" t="s">
        <v>65</v>
      </c>
    </row>
    <row r="19" spans="2:2">
      <c r="B19" s="83"/>
    </row>
    <row r="20" spans="2:2" ht="90">
      <c r="B20" s="84" t="s">
        <v>66</v>
      </c>
    </row>
    <row r="21" spans="2:2">
      <c r="B21" s="85"/>
    </row>
    <row r="24" spans="2:2" ht="15" customHeight="1"/>
    <row r="30" spans="2:2"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A2:F22"/>
  <sheetViews>
    <sheetView workbookViewId="0"/>
  </sheetViews>
  <sheetFormatPr baseColWidth="10" defaultRowHeight="15" x14ac:dyDescent="0"/>
  <cols>
    <col min="1" max="1" width="10.83203125" style="16"/>
    <col min="2" max="2" width="25.83203125" style="16" customWidth="1"/>
    <col min="3" max="4" width="75.83203125" style="16" customWidth="1"/>
    <col min="5" max="16384" width="10.83203125" style="16"/>
  </cols>
  <sheetData>
    <row r="2" spans="1:6" ht="20">
      <c r="B2" s="15" t="s">
        <v>18</v>
      </c>
      <c r="C2" s="15"/>
    </row>
    <row r="3" spans="1:6">
      <c r="A3" s="86"/>
      <c r="B3" s="86"/>
      <c r="C3" s="86"/>
      <c r="D3" s="86"/>
    </row>
    <row r="4" spans="1:6">
      <c r="A4" s="86"/>
      <c r="B4" s="87" t="s">
        <v>67</v>
      </c>
      <c r="C4" s="88"/>
      <c r="D4" s="86"/>
    </row>
    <row r="5" spans="1:6" ht="79" customHeight="1">
      <c r="A5" s="86"/>
      <c r="B5" s="155" t="s">
        <v>68</v>
      </c>
      <c r="C5" s="156"/>
      <c r="D5" s="86"/>
    </row>
    <row r="6" spans="1:6" ht="16" thickBot="1">
      <c r="A6" s="86"/>
      <c r="B6" s="86"/>
      <c r="C6" s="86"/>
      <c r="D6" s="86"/>
    </row>
    <row r="7" spans="1:6">
      <c r="A7" s="86"/>
      <c r="B7" s="89" t="s">
        <v>69</v>
      </c>
      <c r="C7" s="90"/>
      <c r="D7" s="91"/>
    </row>
    <row r="8" spans="1:6">
      <c r="A8" s="86"/>
      <c r="B8" s="92"/>
      <c r="C8" s="93"/>
      <c r="D8" s="94"/>
      <c r="F8" s="95"/>
    </row>
    <row r="9" spans="1:6">
      <c r="A9" s="86"/>
      <c r="B9" s="96" t="s">
        <v>70</v>
      </c>
      <c r="C9" s="97" t="s">
        <v>71</v>
      </c>
      <c r="D9" s="98" t="s">
        <v>72</v>
      </c>
    </row>
    <row r="10" spans="1:6">
      <c r="A10" s="86"/>
      <c r="B10" s="99"/>
      <c r="C10" s="100"/>
      <c r="D10" s="101"/>
    </row>
    <row r="11" spans="1:6" ht="30">
      <c r="B11" s="104"/>
      <c r="C11" s="103" t="s">
        <v>91</v>
      </c>
      <c r="D11" s="105"/>
      <c r="F11" s="106"/>
    </row>
    <row r="12" spans="1:6">
      <c r="B12" s="104"/>
      <c r="C12" s="103"/>
      <c r="D12" s="105"/>
      <c r="F12" s="106"/>
    </row>
    <row r="13" spans="1:6" ht="16" thickBot="1">
      <c r="B13" s="107"/>
      <c r="C13" s="108"/>
      <c r="D13" s="109"/>
    </row>
    <row r="14" spans="1:6" ht="16" thickBot="1">
      <c r="B14" s="86"/>
      <c r="C14" s="86"/>
      <c r="D14" s="86"/>
    </row>
    <row r="15" spans="1:6">
      <c r="B15" s="89" t="s">
        <v>73</v>
      </c>
      <c r="C15" s="90"/>
      <c r="D15" s="91"/>
    </row>
    <row r="16" spans="1:6">
      <c r="B16" s="92"/>
      <c r="C16" s="93"/>
      <c r="D16" s="94"/>
    </row>
    <row r="17" spans="2:4">
      <c r="B17" s="96" t="s">
        <v>70</v>
      </c>
      <c r="C17" s="97" t="s">
        <v>71</v>
      </c>
      <c r="D17" s="98" t="s">
        <v>74</v>
      </c>
    </row>
    <row r="18" spans="2:4">
      <c r="B18" s="99"/>
      <c r="C18" s="110"/>
      <c r="D18" s="101"/>
    </row>
    <row r="19" spans="2:4">
      <c r="B19" s="102"/>
      <c r="C19" s="103"/>
      <c r="D19" s="105"/>
    </row>
    <row r="20" spans="2:4">
      <c r="B20" s="102"/>
      <c r="C20" s="111"/>
      <c r="D20" s="112"/>
    </row>
    <row r="21" spans="2:4" ht="16" thickBot="1">
      <c r="B21" s="113"/>
      <c r="C21" s="114"/>
      <c r="D21" s="115"/>
    </row>
    <row r="22" spans="2:4">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B1:N33"/>
  <sheetViews>
    <sheetView tabSelected="1" workbookViewId="0">
      <selection activeCell="D16" sqref="D16"/>
    </sheetView>
  </sheetViews>
  <sheetFormatPr baseColWidth="10" defaultRowHeight="15" x14ac:dyDescent="0"/>
  <cols>
    <col min="2" max="2" width="28.6640625" customWidth="1"/>
  </cols>
  <sheetData>
    <row r="1" spans="2:14" s="16" customFormat="1">
      <c r="D1" s="116"/>
      <c r="E1" s="86"/>
      <c r="F1" s="86"/>
      <c r="G1" s="86"/>
      <c r="H1" s="86"/>
      <c r="I1" s="86"/>
    </row>
    <row r="2" spans="2:14" s="16" customFormat="1" ht="20">
      <c r="B2" s="15" t="s">
        <v>41</v>
      </c>
      <c r="D2" s="116"/>
      <c r="E2" s="86"/>
      <c r="F2" s="86"/>
      <c r="G2" s="86"/>
      <c r="H2" s="86"/>
      <c r="I2" s="86"/>
      <c r="K2" s="123"/>
      <c r="L2" s="20"/>
      <c r="M2" s="21"/>
    </row>
    <row r="3" spans="2:14" s="16" customFormat="1" ht="15" customHeight="1">
      <c r="B3" s="117"/>
      <c r="C3" s="86"/>
      <c r="D3" s="118"/>
      <c r="E3" s="86"/>
      <c r="F3" s="86"/>
      <c r="G3" s="86"/>
      <c r="H3" s="86"/>
      <c r="I3" s="86"/>
      <c r="J3" s="86"/>
      <c r="K3" s="124"/>
      <c r="L3" s="21"/>
      <c r="M3" s="21"/>
    </row>
    <row r="4" spans="2:14" s="16" customFormat="1" ht="15" customHeight="1">
      <c r="B4" s="119" t="s">
        <v>67</v>
      </c>
      <c r="C4" s="120"/>
      <c r="D4" s="120"/>
      <c r="E4" s="120"/>
      <c r="F4" s="120"/>
      <c r="G4" s="121"/>
      <c r="H4" s="93"/>
      <c r="I4" s="93"/>
      <c r="J4" s="86"/>
      <c r="K4" s="125"/>
      <c r="L4" s="21"/>
      <c r="M4" s="21"/>
    </row>
    <row r="5" spans="2:14" s="16" customFormat="1" ht="15" customHeight="1">
      <c r="B5" s="157" t="s">
        <v>92</v>
      </c>
      <c r="C5" s="158"/>
      <c r="D5" s="158"/>
      <c r="E5" s="158"/>
      <c r="F5" s="158"/>
      <c r="G5" s="159"/>
      <c r="H5" s="122"/>
      <c r="I5" s="122"/>
      <c r="J5" s="86"/>
      <c r="K5" s="126"/>
      <c r="L5" s="21"/>
      <c r="M5" s="21"/>
    </row>
    <row r="6" spans="2:14" s="16" customFormat="1">
      <c r="B6" s="157"/>
      <c r="C6" s="158"/>
      <c r="D6" s="158"/>
      <c r="E6" s="158"/>
      <c r="F6" s="158"/>
      <c r="G6" s="159"/>
      <c r="H6" s="122"/>
      <c r="I6" s="122"/>
      <c r="J6" s="86"/>
      <c r="K6" s="126"/>
      <c r="L6" s="21"/>
      <c r="M6" s="21"/>
    </row>
    <row r="7" spans="2:14" s="16" customFormat="1">
      <c r="B7" s="155"/>
      <c r="C7" s="160"/>
      <c r="D7" s="160"/>
      <c r="E7" s="160"/>
      <c r="F7" s="160"/>
      <c r="G7" s="156"/>
      <c r="H7" s="122"/>
      <c r="I7" s="122"/>
      <c r="J7" s="86"/>
      <c r="K7" s="126"/>
      <c r="L7" s="21"/>
      <c r="M7" s="21"/>
    </row>
    <row r="8" spans="2:14" s="16" customFormat="1" ht="15" customHeight="1" thickBot="1">
      <c r="D8" s="116"/>
      <c r="E8" s="86"/>
      <c r="F8" s="86"/>
      <c r="G8" s="86"/>
      <c r="H8" s="86"/>
      <c r="I8" s="86"/>
    </row>
    <row r="9" spans="2:14">
      <c r="B9" s="143" t="s">
        <v>18</v>
      </c>
      <c r="C9" s="127"/>
      <c r="D9" s="127"/>
      <c r="E9" s="127"/>
      <c r="F9" s="144" t="s">
        <v>83</v>
      </c>
      <c r="G9" s="127"/>
      <c r="H9" s="127"/>
      <c r="I9" s="127"/>
      <c r="J9" s="127"/>
      <c r="K9" s="127"/>
      <c r="L9" s="127"/>
      <c r="M9" s="127"/>
      <c r="N9" s="128"/>
    </row>
    <row r="10" spans="2:14" ht="16" thickBot="1">
      <c r="B10" s="129"/>
      <c r="C10" s="130"/>
      <c r="D10" s="130"/>
      <c r="E10" s="130"/>
      <c r="F10" s="130"/>
      <c r="G10" s="130"/>
      <c r="H10" s="130"/>
      <c r="I10" s="130"/>
      <c r="J10" s="130"/>
      <c r="K10" s="130"/>
      <c r="L10" s="130"/>
      <c r="M10" s="130"/>
      <c r="N10" s="131"/>
    </row>
    <row r="11" spans="2:14" ht="15" customHeight="1" thickBot="1">
      <c r="B11" s="129" t="s">
        <v>21</v>
      </c>
      <c r="D11" s="13">
        <v>1</v>
      </c>
      <c r="E11" s="130"/>
      <c r="F11" s="141" t="s">
        <v>95</v>
      </c>
      <c r="G11" s="130"/>
      <c r="H11" s="130"/>
      <c r="I11" s="130"/>
      <c r="J11" s="130"/>
      <c r="K11" s="130"/>
      <c r="L11" s="130"/>
      <c r="M11" s="130"/>
      <c r="N11" s="131"/>
    </row>
    <row r="12" spans="2:14" ht="15" customHeight="1" thickBot="1">
      <c r="B12" s="129" t="s">
        <v>22</v>
      </c>
      <c r="D12" s="13">
        <v>0</v>
      </c>
      <c r="E12" s="130"/>
      <c r="F12" s="142" t="s">
        <v>95</v>
      </c>
      <c r="G12" s="130"/>
      <c r="H12" s="130"/>
      <c r="I12" s="130"/>
      <c r="J12" s="130"/>
      <c r="K12" s="130"/>
      <c r="L12" s="130"/>
      <c r="M12" s="130"/>
      <c r="N12" s="131"/>
    </row>
    <row r="13" spans="2:14" ht="16" thickBot="1">
      <c r="B13" s="129"/>
      <c r="D13" s="14"/>
      <c r="E13" s="130"/>
      <c r="F13" s="130"/>
      <c r="G13" s="130"/>
      <c r="H13" s="130"/>
      <c r="I13" s="130"/>
      <c r="J13" s="130"/>
      <c r="K13" s="130"/>
      <c r="L13" s="130"/>
      <c r="M13" s="130"/>
      <c r="N13" s="131"/>
    </row>
    <row r="14" spans="2:14" ht="16" thickBot="1">
      <c r="B14" s="129" t="s">
        <v>23</v>
      </c>
      <c r="D14" s="13">
        <v>0.96560000000000001</v>
      </c>
      <c r="E14" s="130"/>
      <c r="F14" s="142" t="s">
        <v>95</v>
      </c>
      <c r="G14" s="130"/>
      <c r="H14" s="130"/>
      <c r="I14" s="130"/>
      <c r="J14" s="130"/>
      <c r="K14" s="130"/>
      <c r="L14" s="130"/>
      <c r="M14" s="130"/>
      <c r="N14" s="131"/>
    </row>
    <row r="15" spans="2:14">
      <c r="B15" s="129"/>
      <c r="D15" s="130"/>
      <c r="E15" s="130"/>
      <c r="F15" s="130"/>
      <c r="G15" s="130"/>
      <c r="H15" s="130"/>
      <c r="I15" s="130"/>
      <c r="J15" s="130"/>
      <c r="K15" s="130"/>
      <c r="L15" s="130"/>
      <c r="M15" s="130"/>
      <c r="N15" s="131"/>
    </row>
    <row r="16" spans="2:14">
      <c r="B16" s="129" t="s">
        <v>20</v>
      </c>
      <c r="D16" s="130">
        <v>41.868000000000002</v>
      </c>
      <c r="E16" s="130"/>
      <c r="F16" s="130"/>
      <c r="G16" s="130"/>
      <c r="H16" s="130"/>
      <c r="I16" s="130"/>
      <c r="J16" s="130"/>
      <c r="K16" s="130"/>
      <c r="L16" s="130"/>
      <c r="M16" s="130"/>
      <c r="N16" s="131"/>
    </row>
    <row r="17" spans="2:14">
      <c r="B17" s="129"/>
      <c r="C17" s="130"/>
      <c r="D17" s="130"/>
      <c r="E17" s="130"/>
      <c r="F17" s="130"/>
      <c r="G17" s="130"/>
      <c r="H17" s="130"/>
      <c r="I17" s="130"/>
      <c r="J17" s="130"/>
      <c r="K17" s="130"/>
      <c r="L17" s="130"/>
      <c r="M17" s="130"/>
      <c r="N17" s="131"/>
    </row>
    <row r="18" spans="2:14">
      <c r="B18" s="129"/>
      <c r="C18" s="130"/>
      <c r="D18" s="130"/>
      <c r="E18" s="130"/>
      <c r="F18" s="130"/>
      <c r="G18" s="130"/>
      <c r="H18" s="130"/>
      <c r="I18" s="130"/>
      <c r="J18" s="130"/>
      <c r="K18" s="130"/>
      <c r="L18" s="130"/>
      <c r="M18" s="130"/>
      <c r="N18" s="131"/>
    </row>
    <row r="19" spans="2:14">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6" thickBot="1">
      <c r="B20" s="134"/>
      <c r="C20" s="3"/>
      <c r="D20" s="3"/>
      <c r="E20" s="3"/>
      <c r="F20" s="3"/>
      <c r="G20" s="3"/>
      <c r="H20" s="3"/>
      <c r="I20" s="3"/>
      <c r="J20" s="3"/>
      <c r="K20" s="3"/>
      <c r="L20" s="3"/>
      <c r="M20" s="3"/>
      <c r="N20" s="131"/>
    </row>
    <row r="21" spans="2:14">
      <c r="B21" s="132" t="s">
        <v>8</v>
      </c>
      <c r="C21" s="4">
        <v>31592</v>
      </c>
      <c r="D21" s="5">
        <v>30002</v>
      </c>
      <c r="E21" s="5">
        <v>34105</v>
      </c>
      <c r="F21" s="5">
        <v>34644</v>
      </c>
      <c r="G21" s="5">
        <v>37342</v>
      </c>
      <c r="H21" s="5">
        <v>37070</v>
      </c>
      <c r="I21" s="5">
        <v>40903</v>
      </c>
      <c r="J21" s="5">
        <v>45907</v>
      </c>
      <c r="K21" s="5">
        <v>46611</v>
      </c>
      <c r="L21" s="5">
        <v>47686</v>
      </c>
      <c r="M21" s="6">
        <v>48246</v>
      </c>
      <c r="N21" s="131"/>
    </row>
    <row r="22" spans="2:14">
      <c r="B22" s="135" t="s">
        <v>9</v>
      </c>
      <c r="C22" s="7">
        <v>7966</v>
      </c>
      <c r="D22" s="8">
        <v>6265</v>
      </c>
      <c r="E22" s="8">
        <v>3034</v>
      </c>
      <c r="F22" s="8">
        <v>2656</v>
      </c>
      <c r="G22" s="8">
        <v>2583</v>
      </c>
      <c r="H22" s="8">
        <v>1562</v>
      </c>
      <c r="I22" s="8">
        <v>1260</v>
      </c>
      <c r="J22" s="8">
        <v>887</v>
      </c>
      <c r="K22" s="8">
        <v>1221</v>
      </c>
      <c r="L22" s="8">
        <v>988</v>
      </c>
      <c r="M22" s="9">
        <v>813</v>
      </c>
      <c r="N22" s="131"/>
    </row>
    <row r="23" spans="2:14">
      <c r="B23" s="135" t="s">
        <v>10</v>
      </c>
      <c r="C23" s="7">
        <v>229</v>
      </c>
      <c r="D23" s="8">
        <v>168</v>
      </c>
      <c r="E23" s="8">
        <v>124</v>
      </c>
      <c r="F23" s="8">
        <v>93</v>
      </c>
      <c r="G23" s="8">
        <v>67</v>
      </c>
      <c r="H23" s="8">
        <v>0</v>
      </c>
      <c r="I23" s="8">
        <v>0</v>
      </c>
      <c r="J23" s="8">
        <v>0</v>
      </c>
      <c r="K23" s="8">
        <v>0</v>
      </c>
      <c r="L23" s="8">
        <v>0</v>
      </c>
      <c r="M23" s="9">
        <v>0</v>
      </c>
      <c r="N23" s="131"/>
    </row>
    <row r="24" spans="2:14">
      <c r="B24" s="135" t="s">
        <v>3</v>
      </c>
      <c r="C24" s="7">
        <v>234</v>
      </c>
      <c r="D24" s="8">
        <v>185</v>
      </c>
      <c r="E24" s="8">
        <v>85</v>
      </c>
      <c r="F24" s="8">
        <v>33</v>
      </c>
      <c r="G24" s="8">
        <v>0</v>
      </c>
      <c r="H24" s="8">
        <v>0</v>
      </c>
      <c r="I24" s="8">
        <v>0</v>
      </c>
      <c r="J24" s="8">
        <v>0</v>
      </c>
      <c r="K24" s="8">
        <v>0</v>
      </c>
      <c r="L24" s="8">
        <v>0</v>
      </c>
      <c r="M24" s="9">
        <v>0</v>
      </c>
      <c r="N24" s="131"/>
    </row>
    <row r="25" spans="2:14">
      <c r="B25" s="135" t="s">
        <v>11</v>
      </c>
      <c r="C25" s="7">
        <v>16046</v>
      </c>
      <c r="D25" s="8">
        <v>14842</v>
      </c>
      <c r="E25" s="8">
        <v>15991</v>
      </c>
      <c r="F25" s="8">
        <v>15035</v>
      </c>
      <c r="G25" s="8">
        <v>15035</v>
      </c>
      <c r="H25" s="8">
        <v>14886</v>
      </c>
      <c r="I25" s="8">
        <v>14886</v>
      </c>
      <c r="J25" s="8">
        <v>18005</v>
      </c>
      <c r="K25" s="8">
        <v>14782</v>
      </c>
      <c r="L25" s="8">
        <v>13939</v>
      </c>
      <c r="M25" s="9">
        <v>13939</v>
      </c>
      <c r="N25" s="131"/>
    </row>
    <row r="26" spans="2:14">
      <c r="B26" s="135" t="s">
        <v>12</v>
      </c>
      <c r="C26" s="7">
        <v>7118</v>
      </c>
      <c r="D26" s="8">
        <v>8542</v>
      </c>
      <c r="E26" s="8">
        <v>14872</v>
      </c>
      <c r="F26" s="8">
        <v>16829</v>
      </c>
      <c r="G26" s="8">
        <v>19657</v>
      </c>
      <c r="H26" s="8">
        <v>20622</v>
      </c>
      <c r="I26" s="8">
        <v>24757</v>
      </c>
      <c r="J26" s="8">
        <v>27015</v>
      </c>
      <c r="K26" s="8">
        <v>30608</v>
      </c>
      <c r="L26" s="8">
        <v>32760</v>
      </c>
      <c r="M26" s="9">
        <v>33494</v>
      </c>
      <c r="N26" s="131"/>
    </row>
    <row r="27" spans="2:14">
      <c r="B27" s="136" t="s">
        <v>13</v>
      </c>
      <c r="C27" s="7">
        <v>2543</v>
      </c>
      <c r="D27" s="8">
        <v>1537</v>
      </c>
      <c r="E27" s="8">
        <v>3635</v>
      </c>
      <c r="F27" s="8">
        <v>2630</v>
      </c>
      <c r="G27" s="8">
        <v>2739</v>
      </c>
      <c r="H27" s="8">
        <v>2921</v>
      </c>
      <c r="I27" s="8">
        <v>3093</v>
      </c>
      <c r="J27" s="8">
        <v>3038</v>
      </c>
      <c r="K27" s="8">
        <v>3108</v>
      </c>
      <c r="L27" s="8">
        <v>3126</v>
      </c>
      <c r="M27" s="9">
        <v>3185</v>
      </c>
      <c r="N27" s="131"/>
    </row>
    <row r="28" spans="2:14">
      <c r="B28" s="136" t="s">
        <v>14</v>
      </c>
      <c r="C28" s="7">
        <v>4131</v>
      </c>
      <c r="D28" s="8">
        <v>5112</v>
      </c>
      <c r="E28" s="8">
        <v>6404</v>
      </c>
      <c r="F28" s="8">
        <v>7512</v>
      </c>
      <c r="G28" s="8">
        <v>9043</v>
      </c>
      <c r="H28" s="8">
        <v>8965</v>
      </c>
      <c r="I28" s="8">
        <v>9502</v>
      </c>
      <c r="J28" s="8">
        <v>9453</v>
      </c>
      <c r="K28" s="8">
        <v>10968</v>
      </c>
      <c r="L28" s="8">
        <v>11045</v>
      </c>
      <c r="M28" s="9">
        <v>11096</v>
      </c>
      <c r="N28" s="131"/>
    </row>
    <row r="29" spans="2:14">
      <c r="B29" s="136" t="s">
        <v>15</v>
      </c>
      <c r="C29" s="7">
        <v>406</v>
      </c>
      <c r="D29" s="8">
        <v>1821</v>
      </c>
      <c r="E29" s="8">
        <v>3798</v>
      </c>
      <c r="F29" s="8">
        <v>4852</v>
      </c>
      <c r="G29" s="8">
        <v>4891</v>
      </c>
      <c r="H29" s="8">
        <v>5011</v>
      </c>
      <c r="I29" s="8">
        <v>7793</v>
      </c>
      <c r="J29" s="8">
        <v>9094</v>
      </c>
      <c r="K29" s="8">
        <v>9606</v>
      </c>
      <c r="L29" s="8">
        <v>10940</v>
      </c>
      <c r="M29" s="9">
        <v>11414</v>
      </c>
      <c r="N29" s="131"/>
    </row>
    <row r="30" spans="2:14">
      <c r="B30" s="136" t="s">
        <v>16</v>
      </c>
      <c r="C30" s="7">
        <v>33</v>
      </c>
      <c r="D30" s="8">
        <v>65</v>
      </c>
      <c r="E30" s="8">
        <v>1019</v>
      </c>
      <c r="F30" s="8">
        <v>1775</v>
      </c>
      <c r="G30" s="8">
        <v>2820</v>
      </c>
      <c r="H30" s="8">
        <v>3547</v>
      </c>
      <c r="I30" s="8">
        <v>4172</v>
      </c>
      <c r="J30" s="8">
        <v>5219</v>
      </c>
      <c r="K30" s="8">
        <v>5803</v>
      </c>
      <c r="L30" s="8">
        <v>6289</v>
      </c>
      <c r="M30" s="9">
        <v>6434</v>
      </c>
      <c r="N30" s="131"/>
    </row>
    <row r="31" spans="2:14" ht="16" thickBot="1">
      <c r="B31" s="136" t="s">
        <v>17</v>
      </c>
      <c r="C31" s="10">
        <v>5</v>
      </c>
      <c r="D31" s="11">
        <v>7</v>
      </c>
      <c r="E31" s="11">
        <v>16</v>
      </c>
      <c r="F31" s="11">
        <v>60</v>
      </c>
      <c r="G31" s="11">
        <v>163</v>
      </c>
      <c r="H31" s="11">
        <v>177</v>
      </c>
      <c r="I31" s="11">
        <v>196</v>
      </c>
      <c r="J31" s="11">
        <v>210</v>
      </c>
      <c r="K31" s="11">
        <v>1123</v>
      </c>
      <c r="L31" s="11">
        <v>1361</v>
      </c>
      <c r="M31" s="12">
        <v>1365</v>
      </c>
      <c r="N31" s="131"/>
    </row>
    <row r="32" spans="2:14">
      <c r="B32" s="129"/>
      <c r="C32" s="130"/>
      <c r="D32" s="130"/>
      <c r="E32" s="130"/>
      <c r="F32" s="130"/>
      <c r="G32" s="130"/>
      <c r="H32" s="130"/>
      <c r="I32" s="130"/>
      <c r="J32" s="130"/>
      <c r="K32" s="130"/>
      <c r="L32" s="130"/>
      <c r="M32" s="130"/>
      <c r="N32" s="131"/>
    </row>
    <row r="33" spans="2:14" ht="16" thickBot="1">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8" tint="0.39997558519241921"/>
  </sheetPr>
  <dimension ref="B2:M20"/>
  <sheetViews>
    <sheetView workbookViewId="0">
      <selection activeCell="B18" sqref="B18"/>
    </sheetView>
  </sheetViews>
  <sheetFormatPr baseColWidth="10" defaultRowHeight="15" x14ac:dyDescent="0"/>
  <cols>
    <col min="2" max="2" width="37.83203125" customWidth="1"/>
  </cols>
  <sheetData>
    <row r="2" spans="2:13" s="16" customFormat="1" ht="15" customHeight="1">
      <c r="B2" s="119" t="s">
        <v>67</v>
      </c>
      <c r="C2" s="120"/>
      <c r="D2" s="120"/>
      <c r="E2" s="120"/>
      <c r="F2" s="120"/>
      <c r="G2" s="121"/>
      <c r="H2" s="93"/>
      <c r="I2" s="93"/>
      <c r="J2" s="86"/>
      <c r="K2" s="125"/>
      <c r="L2" s="21"/>
      <c r="M2" s="21"/>
    </row>
    <row r="3" spans="2:13" s="16" customFormat="1" ht="15" customHeight="1">
      <c r="B3" s="157" t="s">
        <v>93</v>
      </c>
      <c r="C3" s="158"/>
      <c r="D3" s="158"/>
      <c r="E3" s="158"/>
      <c r="F3" s="158"/>
      <c r="G3" s="159"/>
      <c r="H3" s="122"/>
      <c r="I3" s="122"/>
      <c r="J3" s="86"/>
      <c r="K3" s="126"/>
      <c r="L3" s="21"/>
      <c r="M3" s="21"/>
    </row>
    <row r="4" spans="2:13" s="16" customFormat="1">
      <c r="B4" s="157"/>
      <c r="C4" s="158"/>
      <c r="D4" s="158"/>
      <c r="E4" s="158"/>
      <c r="F4" s="158"/>
      <c r="G4" s="159"/>
      <c r="H4" s="122"/>
      <c r="I4" s="122"/>
      <c r="J4" s="86"/>
      <c r="K4" s="126"/>
      <c r="L4" s="21"/>
      <c r="M4" s="21"/>
    </row>
    <row r="5" spans="2:13" s="16" customFormat="1">
      <c r="B5" s="155"/>
      <c r="C5" s="160"/>
      <c r="D5" s="160"/>
      <c r="E5" s="160"/>
      <c r="F5" s="160"/>
      <c r="G5" s="156"/>
      <c r="H5" s="122"/>
      <c r="I5" s="122"/>
      <c r="J5" s="86"/>
      <c r="K5" s="126"/>
      <c r="L5" s="21"/>
      <c r="M5" s="21"/>
    </row>
    <row r="6" spans="2:13">
      <c r="B6" s="145"/>
      <c r="C6" s="145"/>
      <c r="D6" s="145"/>
      <c r="E6" s="145"/>
      <c r="F6" s="145"/>
      <c r="G6" s="145"/>
      <c r="H6" s="145"/>
      <c r="I6" s="145"/>
      <c r="J6" s="145"/>
      <c r="K6" s="145"/>
      <c r="L6" s="145"/>
      <c r="M6" s="145"/>
    </row>
    <row r="7" spans="2:13">
      <c r="B7" s="146" t="s">
        <v>19</v>
      </c>
      <c r="C7" s="150">
        <v>2000</v>
      </c>
      <c r="D7" s="150">
        <v>2005</v>
      </c>
      <c r="E7" s="150">
        <v>2010</v>
      </c>
      <c r="F7" s="150">
        <v>2015</v>
      </c>
      <c r="G7" s="150">
        <v>2020</v>
      </c>
      <c r="H7" s="150">
        <v>2025</v>
      </c>
      <c r="I7" s="150">
        <v>2030</v>
      </c>
      <c r="J7" s="150">
        <v>2035</v>
      </c>
      <c r="K7" s="150">
        <v>2040</v>
      </c>
      <c r="L7" s="150">
        <v>2045</v>
      </c>
      <c r="M7" s="150">
        <v>2050</v>
      </c>
    </row>
    <row r="8" spans="2:13">
      <c r="B8" s="147"/>
      <c r="C8" s="151"/>
      <c r="D8" s="151"/>
      <c r="E8" s="151"/>
      <c r="F8" s="151"/>
      <c r="G8" s="151"/>
      <c r="H8" s="151"/>
      <c r="I8" s="151"/>
      <c r="J8" s="151"/>
      <c r="K8" s="151"/>
      <c r="L8" s="151"/>
      <c r="M8" s="151"/>
    </row>
    <row r="9" spans="2:13">
      <c r="B9" s="147" t="s">
        <v>8</v>
      </c>
      <c r="C9" s="152">
        <f>Dashboard!C21*ktoe_TJ</f>
        <v>1322693.8560000001</v>
      </c>
      <c r="D9" s="152">
        <f>Dashboard!D21*ktoe_TJ</f>
        <v>1256123.736</v>
      </c>
      <c r="E9" s="152">
        <f>Dashboard!E21*ktoe_TJ</f>
        <v>1427908.1400000001</v>
      </c>
      <c r="F9" s="152">
        <f>Dashboard!F21*ktoe_TJ</f>
        <v>1450474.9920000001</v>
      </c>
      <c r="G9" s="152">
        <f>Dashboard!G21*ktoe_TJ</f>
        <v>1563434.8560000001</v>
      </c>
      <c r="H9" s="152">
        <f>Dashboard!H21*ktoe_TJ</f>
        <v>1552046.76</v>
      </c>
      <c r="I9" s="152">
        <f>Dashboard!I21*ktoe_TJ</f>
        <v>1712526.804</v>
      </c>
      <c r="J9" s="152">
        <f>Dashboard!J21*ktoe_TJ</f>
        <v>1922034.2760000001</v>
      </c>
      <c r="K9" s="152">
        <f>Dashboard!K21*ktoe_TJ</f>
        <v>1951509.348</v>
      </c>
      <c r="L9" s="152">
        <f>Dashboard!L21*ktoe_TJ</f>
        <v>1996517.4480000001</v>
      </c>
      <c r="M9" s="152">
        <f>Dashboard!M21*ktoe_TJ</f>
        <v>2019963.5280000002</v>
      </c>
    </row>
    <row r="10" spans="2:13">
      <c r="B10" s="149" t="s">
        <v>9</v>
      </c>
      <c r="C10" s="153">
        <f>Dashboard!C22*ktoe_TJ</f>
        <v>333520.48800000001</v>
      </c>
      <c r="D10" s="153">
        <f>Dashboard!D22*ktoe_TJ</f>
        <v>262303.02</v>
      </c>
      <c r="E10" s="153">
        <f>Dashboard!E22*ktoe_TJ</f>
        <v>127027.512</v>
      </c>
      <c r="F10" s="153">
        <f>Dashboard!F22*ktoe_TJ</f>
        <v>111201.40800000001</v>
      </c>
      <c r="G10" s="153">
        <f>Dashboard!G22*ktoe_TJ</f>
        <v>108145.04400000001</v>
      </c>
      <c r="H10" s="153">
        <f>Dashboard!H22*ktoe_TJ</f>
        <v>65397.816000000006</v>
      </c>
      <c r="I10" s="153">
        <f>Dashboard!I22*ktoe_TJ</f>
        <v>52753.68</v>
      </c>
      <c r="J10" s="153">
        <f>Dashboard!J22*ktoe_TJ</f>
        <v>37136.916000000005</v>
      </c>
      <c r="K10" s="153">
        <f>Dashboard!K22*ktoe_TJ</f>
        <v>51120.828000000001</v>
      </c>
      <c r="L10" s="153">
        <f>Dashboard!L22*ktoe_TJ</f>
        <v>41365.584000000003</v>
      </c>
      <c r="M10" s="153">
        <f>Dashboard!M22*ktoe_TJ</f>
        <v>34038.684000000001</v>
      </c>
    </row>
    <row r="11" spans="2:13">
      <c r="B11" s="149" t="s">
        <v>10</v>
      </c>
      <c r="C11" s="153">
        <f>Dashboard!C23*ktoe_TJ</f>
        <v>9587.7720000000008</v>
      </c>
      <c r="D11" s="153">
        <f>Dashboard!D23*ktoe_TJ</f>
        <v>7033.8240000000005</v>
      </c>
      <c r="E11" s="153">
        <f>Dashboard!E23*ktoe_TJ</f>
        <v>5191.6320000000005</v>
      </c>
      <c r="F11" s="153">
        <f>Dashboard!F23*ktoe_TJ</f>
        <v>3893.7240000000002</v>
      </c>
      <c r="G11" s="153">
        <f>Dashboard!G23*ktoe_TJ</f>
        <v>2805.1559999999999</v>
      </c>
      <c r="H11" s="153">
        <f>Dashboard!H23*ktoe_TJ</f>
        <v>0</v>
      </c>
      <c r="I11" s="153">
        <f>Dashboard!I23*ktoe_TJ</f>
        <v>0</v>
      </c>
      <c r="J11" s="153">
        <f>Dashboard!J23*ktoe_TJ</f>
        <v>0</v>
      </c>
      <c r="K11" s="153">
        <f>Dashboard!K23*ktoe_TJ</f>
        <v>0</v>
      </c>
      <c r="L11" s="153">
        <f>Dashboard!L23*ktoe_TJ</f>
        <v>0</v>
      </c>
      <c r="M11" s="153">
        <f>Dashboard!M23*ktoe_TJ</f>
        <v>0</v>
      </c>
    </row>
    <row r="12" spans="2:13">
      <c r="B12" s="149" t="s">
        <v>3</v>
      </c>
      <c r="C12" s="153">
        <f>Dashboard!C24*ktoe_TJ</f>
        <v>9797.112000000001</v>
      </c>
      <c r="D12" s="153">
        <f>Dashboard!D24*ktoe_TJ</f>
        <v>7745.5800000000008</v>
      </c>
      <c r="E12" s="153">
        <f>Dashboard!E24*ktoe_TJ</f>
        <v>3558.78</v>
      </c>
      <c r="F12" s="153">
        <f>Dashboard!F24*ktoe_TJ</f>
        <v>1381.644</v>
      </c>
      <c r="G12" s="153">
        <f>Dashboard!G24*ktoe_TJ</f>
        <v>0</v>
      </c>
      <c r="H12" s="153">
        <f>Dashboard!H24*ktoe_TJ</f>
        <v>0</v>
      </c>
      <c r="I12" s="153">
        <f>Dashboard!I24*ktoe_TJ</f>
        <v>0</v>
      </c>
      <c r="J12" s="153">
        <f>Dashboard!J24*ktoe_TJ</f>
        <v>0</v>
      </c>
      <c r="K12" s="153">
        <f>Dashboard!K24*ktoe_TJ</f>
        <v>0</v>
      </c>
      <c r="L12" s="153">
        <f>Dashboard!L24*ktoe_TJ</f>
        <v>0</v>
      </c>
      <c r="M12" s="153">
        <f>Dashboard!M24*ktoe_TJ</f>
        <v>0</v>
      </c>
    </row>
    <row r="13" spans="2:13">
      <c r="B13" s="149" t="s">
        <v>11</v>
      </c>
      <c r="C13" s="153">
        <f>Dashboard!C25*ktoe_TJ</f>
        <v>671813.92800000007</v>
      </c>
      <c r="D13" s="153">
        <f>Dashboard!D25*ktoe_TJ</f>
        <v>621404.85600000003</v>
      </c>
      <c r="E13" s="153">
        <f>Dashboard!E25*ktoe_TJ</f>
        <v>669511.18800000008</v>
      </c>
      <c r="F13" s="153">
        <f>Dashboard!F25*ktoe_TJ</f>
        <v>629485.38</v>
      </c>
      <c r="G13" s="153">
        <f>Dashboard!G25*ktoe_TJ</f>
        <v>629485.38</v>
      </c>
      <c r="H13" s="153">
        <f>Dashboard!H25*ktoe_TJ</f>
        <v>623247.04800000007</v>
      </c>
      <c r="I13" s="153">
        <f>Dashboard!I25*ktoe_TJ</f>
        <v>623247.04800000007</v>
      </c>
      <c r="J13" s="153">
        <f>Dashboard!J25*ktoe_TJ</f>
        <v>753833.34000000008</v>
      </c>
      <c r="K13" s="153">
        <f>Dashboard!K25*ktoe_TJ</f>
        <v>618892.77600000007</v>
      </c>
      <c r="L13" s="153">
        <f>Dashboard!L25*ktoe_TJ</f>
        <v>583598.05200000003</v>
      </c>
      <c r="M13" s="153">
        <f>Dashboard!M25*ktoe_TJ</f>
        <v>583598.05200000003</v>
      </c>
    </row>
    <row r="14" spans="2:13">
      <c r="B14" s="149" t="s">
        <v>12</v>
      </c>
      <c r="C14" s="153">
        <f>Dashboard!C26*ktoe_TJ</f>
        <v>298016.424</v>
      </c>
      <c r="D14" s="153">
        <f>Dashboard!D26*ktoe_TJ</f>
        <v>357636.45600000001</v>
      </c>
      <c r="E14" s="153">
        <f>Dashboard!E26*ktoe_TJ</f>
        <v>622660.89600000007</v>
      </c>
      <c r="F14" s="153">
        <f>Dashboard!F26*ktoe_TJ</f>
        <v>704596.57200000004</v>
      </c>
      <c r="G14" s="153">
        <f>Dashboard!G26*ktoe_TJ</f>
        <v>822999.27600000007</v>
      </c>
      <c r="H14" s="153">
        <f>Dashboard!H26*ktoe_TJ</f>
        <v>863401.89600000007</v>
      </c>
      <c r="I14" s="153">
        <f>Dashboard!I26*ktoe_TJ</f>
        <v>1036526.076</v>
      </c>
      <c r="J14" s="153">
        <f>Dashboard!J26*ktoe_TJ</f>
        <v>1131064.02</v>
      </c>
      <c r="K14" s="153">
        <f>Dashboard!K26*ktoe_TJ</f>
        <v>1281495.7440000002</v>
      </c>
      <c r="L14" s="153">
        <f>Dashboard!L26*ktoe_TJ</f>
        <v>1371595.6800000002</v>
      </c>
      <c r="M14" s="153">
        <f>Dashboard!M26*ktoe_TJ</f>
        <v>1402326.7920000001</v>
      </c>
    </row>
    <row r="15" spans="2:13">
      <c r="B15" s="149" t="s">
        <v>13</v>
      </c>
      <c r="C15" s="153">
        <f>Dashboard!C27*ktoe_TJ</f>
        <v>106470.32400000001</v>
      </c>
      <c r="D15" s="153">
        <f>Dashboard!D27*ktoe_TJ</f>
        <v>64351.116000000002</v>
      </c>
      <c r="E15" s="153">
        <f>Dashboard!E27*ktoe_TJ</f>
        <v>152190.18000000002</v>
      </c>
      <c r="F15" s="153">
        <f>Dashboard!F27*ktoe_TJ</f>
        <v>110112.84000000001</v>
      </c>
      <c r="G15" s="153">
        <f>Dashboard!G27*ktoe_TJ</f>
        <v>114676.452</v>
      </c>
      <c r="H15" s="153">
        <f>Dashboard!H27*ktoe_TJ</f>
        <v>122296.428</v>
      </c>
      <c r="I15" s="153">
        <f>Dashboard!I27*ktoe_TJ</f>
        <v>129497.724</v>
      </c>
      <c r="J15" s="153">
        <f>Dashboard!J27*ktoe_TJ</f>
        <v>127194.98400000001</v>
      </c>
      <c r="K15" s="153">
        <f>Dashboard!K27*ktoe_TJ</f>
        <v>130125.74400000001</v>
      </c>
      <c r="L15" s="153">
        <f>Dashboard!L27*ktoe_TJ</f>
        <v>130879.368</v>
      </c>
      <c r="M15" s="153">
        <f>Dashboard!M27*ktoe_TJ</f>
        <v>133349.58000000002</v>
      </c>
    </row>
    <row r="16" spans="2:13">
      <c r="B16" s="149" t="s">
        <v>14</v>
      </c>
      <c r="C16" s="153">
        <f>Dashboard!C28*ktoe_TJ</f>
        <v>172956.70800000001</v>
      </c>
      <c r="D16" s="153">
        <f>Dashboard!D28*ktoe_TJ</f>
        <v>214029.21600000001</v>
      </c>
      <c r="E16" s="153">
        <f>Dashboard!E28*ktoe_TJ</f>
        <v>268122.67200000002</v>
      </c>
      <c r="F16" s="153">
        <f>Dashboard!F28*ktoe_TJ</f>
        <v>314512.41600000003</v>
      </c>
      <c r="G16" s="153">
        <f>Dashboard!G28*ktoe_TJ</f>
        <v>378612.32400000002</v>
      </c>
      <c r="H16" s="153">
        <f>Dashboard!H28*ktoe_TJ</f>
        <v>375346.62</v>
      </c>
      <c r="I16" s="153">
        <f>Dashboard!I28*ktoe_TJ</f>
        <v>397829.73600000003</v>
      </c>
      <c r="J16" s="153">
        <f>Dashboard!J28*ktoe_TJ</f>
        <v>395778.20400000003</v>
      </c>
      <c r="K16" s="153">
        <f>Dashboard!K28*ktoe_TJ</f>
        <v>459208.22400000005</v>
      </c>
      <c r="L16" s="153">
        <f>Dashboard!L28*ktoe_TJ</f>
        <v>462432.06</v>
      </c>
      <c r="M16" s="153">
        <f>Dashboard!M28*ktoe_TJ</f>
        <v>464567.32800000004</v>
      </c>
    </row>
    <row r="17" spans="2:13">
      <c r="B17" s="148" t="s">
        <v>15</v>
      </c>
      <c r="C17" s="153">
        <f>Dashboard!C29*ktoe_TJ</f>
        <v>16998.407999999999</v>
      </c>
      <c r="D17" s="153">
        <f>Dashboard!D29*ktoe_TJ</f>
        <v>76241.627999999997</v>
      </c>
      <c r="E17" s="153">
        <f>Dashboard!E29*ktoe_TJ</f>
        <v>159014.66400000002</v>
      </c>
      <c r="F17" s="153">
        <f>Dashboard!F29*ktoe_TJ</f>
        <v>203143.53600000002</v>
      </c>
      <c r="G17" s="153">
        <f>Dashboard!G29*ktoe_TJ</f>
        <v>204776.38800000001</v>
      </c>
      <c r="H17" s="153">
        <f>Dashboard!H29*ktoe_TJ</f>
        <v>209800.54800000001</v>
      </c>
      <c r="I17" s="153">
        <f>Dashboard!I29*ktoe_TJ</f>
        <v>326277.32400000002</v>
      </c>
      <c r="J17" s="153">
        <f>Dashboard!J29*ktoe_TJ</f>
        <v>380747.592</v>
      </c>
      <c r="K17" s="153">
        <f>Dashboard!K29*ktoe_TJ</f>
        <v>402184.00800000003</v>
      </c>
      <c r="L17" s="153">
        <f>Dashboard!L29*ktoe_TJ</f>
        <v>458035.92000000004</v>
      </c>
      <c r="M17" s="153">
        <f>Dashboard!M29*ktoe_TJ</f>
        <v>477881.35200000001</v>
      </c>
    </row>
    <row r="18" spans="2:13">
      <c r="B18" s="148" t="s">
        <v>16</v>
      </c>
      <c r="C18" s="153">
        <f>Dashboard!C30*ktoe_TJ</f>
        <v>1381.644</v>
      </c>
      <c r="D18" s="153">
        <f>Dashboard!D30*ktoe_TJ</f>
        <v>2721.42</v>
      </c>
      <c r="E18" s="153">
        <f>Dashboard!E30*ktoe_TJ</f>
        <v>42663.492000000006</v>
      </c>
      <c r="F18" s="153">
        <f>Dashboard!F30*ktoe_TJ</f>
        <v>74315.7</v>
      </c>
      <c r="G18" s="153">
        <f>Dashboard!G30*ktoe_TJ</f>
        <v>118067.76000000001</v>
      </c>
      <c r="H18" s="153">
        <f>Dashboard!H30*ktoe_TJ</f>
        <v>148505.796</v>
      </c>
      <c r="I18" s="153">
        <f>Dashboard!I30*ktoe_TJ</f>
        <v>174673.296</v>
      </c>
      <c r="J18" s="153">
        <f>Dashboard!J30*ktoe_TJ</f>
        <v>218509.092</v>
      </c>
      <c r="K18" s="153">
        <f>Dashboard!K30*ktoe_TJ</f>
        <v>242960.00400000002</v>
      </c>
      <c r="L18" s="153">
        <f>Dashboard!L30*ktoe_TJ</f>
        <v>263307.85200000001</v>
      </c>
      <c r="M18" s="153">
        <f>Dashboard!M30*ktoe_TJ</f>
        <v>269378.712</v>
      </c>
    </row>
    <row r="19" spans="2:13">
      <c r="B19" s="148" t="s">
        <v>17</v>
      </c>
      <c r="C19" s="153">
        <f>Dashboard!C31*ktoe_TJ</f>
        <v>209.34</v>
      </c>
      <c r="D19" s="153">
        <f>Dashboard!D31*ktoe_TJ</f>
        <v>293.07600000000002</v>
      </c>
      <c r="E19" s="153">
        <f>Dashboard!E31*ktoe_TJ</f>
        <v>669.88800000000003</v>
      </c>
      <c r="F19" s="153">
        <f>Dashboard!F31*ktoe_TJ</f>
        <v>2512.08</v>
      </c>
      <c r="G19" s="153">
        <f>Dashboard!G31*ktoe_TJ</f>
        <v>6824.4840000000004</v>
      </c>
      <c r="H19" s="153">
        <f>Dashboard!H31*ktoe_TJ</f>
        <v>7410.6360000000004</v>
      </c>
      <c r="I19" s="153">
        <f>Dashboard!I31*ktoe_TJ</f>
        <v>8206.1280000000006</v>
      </c>
      <c r="J19" s="153">
        <f>Dashboard!J31*ktoe_TJ</f>
        <v>8792.2800000000007</v>
      </c>
      <c r="K19" s="153">
        <f>Dashboard!K31*ktoe_TJ</f>
        <v>47017.764000000003</v>
      </c>
      <c r="L19" s="153">
        <f>Dashboard!L31*ktoe_TJ</f>
        <v>56982.348000000005</v>
      </c>
      <c r="M19" s="153">
        <f>Dashboard!M31*ktoe_TJ</f>
        <v>57149.82</v>
      </c>
    </row>
    <row r="20" spans="2:13">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8" tint="0.39997558519241921"/>
  </sheetPr>
  <dimension ref="A2:M59"/>
  <sheetViews>
    <sheetView workbookViewId="0">
      <selection activeCell="A6" sqref="A6"/>
    </sheetView>
  </sheetViews>
  <sheetFormatPr baseColWidth="10" defaultRowHeight="15" x14ac:dyDescent="0"/>
  <cols>
    <col min="1" max="6" width="10.83203125" style="1"/>
    <col min="7" max="7" width="12.5" style="1" customWidth="1"/>
    <col min="8" max="16384" width="10.83203125" style="1"/>
  </cols>
  <sheetData>
    <row r="2" spans="1:13" s="16" customFormat="1" ht="15" customHeight="1">
      <c r="B2" s="119" t="s">
        <v>67</v>
      </c>
      <c r="C2" s="120"/>
      <c r="D2" s="120"/>
      <c r="E2" s="120"/>
      <c r="F2" s="120"/>
      <c r="G2" s="121"/>
      <c r="H2" s="93"/>
      <c r="I2" s="93"/>
      <c r="J2" s="86"/>
      <c r="K2" s="125"/>
      <c r="L2" s="21"/>
      <c r="M2" s="21"/>
    </row>
    <row r="3" spans="1:13" s="16" customFormat="1" ht="15" customHeight="1">
      <c r="B3" s="157" t="s">
        <v>94</v>
      </c>
      <c r="C3" s="158"/>
      <c r="D3" s="158"/>
      <c r="E3" s="158"/>
      <c r="F3" s="158"/>
      <c r="G3" s="159"/>
      <c r="H3" s="122"/>
      <c r="I3" s="122"/>
      <c r="J3" s="86"/>
      <c r="K3" s="126"/>
      <c r="L3" s="21"/>
      <c r="M3" s="21"/>
    </row>
    <row r="4" spans="1:13" s="16" customFormat="1">
      <c r="B4" s="157"/>
      <c r="C4" s="158"/>
      <c r="D4" s="158"/>
      <c r="E4" s="158"/>
      <c r="F4" s="158"/>
      <c r="G4" s="159"/>
      <c r="H4" s="122"/>
      <c r="I4" s="122"/>
      <c r="J4" s="86"/>
      <c r="K4" s="126"/>
      <c r="L4" s="21"/>
      <c r="M4" s="21"/>
    </row>
    <row r="5" spans="1:13" s="16" customFormat="1">
      <c r="B5" s="155"/>
      <c r="C5" s="160"/>
      <c r="D5" s="160"/>
      <c r="E5" s="160"/>
      <c r="F5" s="160"/>
      <c r="G5" s="156"/>
      <c r="H5" s="122"/>
      <c r="I5" s="122"/>
      <c r="J5" s="86"/>
      <c r="K5" s="126"/>
      <c r="L5" s="21"/>
      <c r="M5" s="21"/>
    </row>
    <row r="8" spans="1:13">
      <c r="A8" s="154" t="s">
        <v>0</v>
      </c>
      <c r="B8" s="154" t="s">
        <v>1</v>
      </c>
      <c r="C8" s="154" t="s">
        <v>2</v>
      </c>
      <c r="D8" s="154" t="s">
        <v>3</v>
      </c>
      <c r="E8" s="154" t="s">
        <v>4</v>
      </c>
      <c r="F8" s="154" t="s">
        <v>5</v>
      </c>
      <c r="G8" s="154" t="s">
        <v>6</v>
      </c>
    </row>
    <row r="9" spans="1:13">
      <c r="A9" s="2">
        <v>2000</v>
      </c>
      <c r="B9" s="2">
        <f>conversion_to_TJ!C10*Dashboard!$D$11</f>
        <v>333520.48800000001</v>
      </c>
      <c r="C9" s="2">
        <f>conversion_to_TJ!C10*Dashboard!$D$12</f>
        <v>0</v>
      </c>
      <c r="D9" s="2">
        <f>conversion_to_TJ!C12</f>
        <v>9797.112000000001</v>
      </c>
      <c r="E9" s="2">
        <f>conversion_to_TJ!C11</f>
        <v>9587.7720000000008</v>
      </c>
      <c r="F9" s="2">
        <f>conversion_to_TJ!C13</f>
        <v>671813.92800000007</v>
      </c>
      <c r="G9" s="2">
        <f>conversion_to_TJ!C16*Dashboard!$D$14</f>
        <v>167006.9972448</v>
      </c>
    </row>
    <row r="10" spans="1:13">
      <c r="A10" s="1">
        <v>2001</v>
      </c>
      <c r="B10" s="1">
        <f>B$9+(B$14-B$9)/($A$14-$A$9)*($A10-$A$9)</f>
        <v>319276.99440000003</v>
      </c>
      <c r="C10" s="1">
        <f t="shared" ref="C10:G10" si="0">C$9+(C$14-C$9)/($A$14-$A$9)*($A10-$A$9)</f>
        <v>0</v>
      </c>
      <c r="D10" s="1">
        <f t="shared" si="0"/>
        <v>9386.8056000000015</v>
      </c>
      <c r="E10" s="1">
        <f t="shared" si="0"/>
        <v>9076.9824000000008</v>
      </c>
      <c r="F10" s="1">
        <f t="shared" si="0"/>
        <v>661732.11360000004</v>
      </c>
      <c r="G10" s="1">
        <f t="shared" si="0"/>
        <v>174938.91998976</v>
      </c>
    </row>
    <row r="11" spans="1:13">
      <c r="A11" s="1">
        <v>2002</v>
      </c>
      <c r="B11" s="1">
        <f t="shared" ref="B11:G13" si="1">B$9+(B$14-B$9)/($A$14-$A$9)*($A11-$A$9)</f>
        <v>305033.50080000004</v>
      </c>
      <c r="C11" s="1">
        <f t="shared" si="1"/>
        <v>0</v>
      </c>
      <c r="D11" s="1">
        <f t="shared" si="1"/>
        <v>8976.4992000000002</v>
      </c>
      <c r="E11" s="1">
        <f t="shared" si="1"/>
        <v>8566.1928000000007</v>
      </c>
      <c r="F11" s="1">
        <f t="shared" si="1"/>
        <v>651650.29920000001</v>
      </c>
      <c r="G11" s="1">
        <f t="shared" si="1"/>
        <v>182870.84273472</v>
      </c>
    </row>
    <row r="12" spans="1:13">
      <c r="A12" s="1">
        <v>2003</v>
      </c>
      <c r="B12" s="1">
        <f t="shared" si="1"/>
        <v>290790.00719999999</v>
      </c>
      <c r="C12" s="1">
        <f t="shared" si="1"/>
        <v>0</v>
      </c>
      <c r="D12" s="1">
        <f t="shared" si="1"/>
        <v>8566.1928000000007</v>
      </c>
      <c r="E12" s="1">
        <f t="shared" si="1"/>
        <v>8055.4032000000007</v>
      </c>
      <c r="F12" s="1">
        <f t="shared" si="1"/>
        <v>641568.48480000009</v>
      </c>
      <c r="G12" s="1">
        <f t="shared" si="1"/>
        <v>190802.76547968001</v>
      </c>
    </row>
    <row r="13" spans="1:13">
      <c r="A13" s="1">
        <v>2004</v>
      </c>
      <c r="B13" s="1">
        <f t="shared" si="1"/>
        <v>276546.51360000001</v>
      </c>
      <c r="C13" s="1">
        <f t="shared" si="1"/>
        <v>0</v>
      </c>
      <c r="D13" s="1">
        <f t="shared" si="1"/>
        <v>8155.8864000000012</v>
      </c>
      <c r="E13" s="1">
        <f t="shared" si="1"/>
        <v>7544.6136000000006</v>
      </c>
      <c r="F13" s="1">
        <f t="shared" si="1"/>
        <v>631486.67040000006</v>
      </c>
      <c r="G13" s="1">
        <f t="shared" si="1"/>
        <v>198734.68822464001</v>
      </c>
    </row>
    <row r="14" spans="1:13">
      <c r="A14" s="2">
        <v>2005</v>
      </c>
      <c r="B14" s="2">
        <f>conversion_to_TJ!D10*Dashboard!$D$11</f>
        <v>262303.02</v>
      </c>
      <c r="C14" s="2">
        <f>conversion_to_TJ!D10*Dashboard!$D$12</f>
        <v>0</v>
      </c>
      <c r="D14" s="2">
        <f>conversion_to_TJ!D12</f>
        <v>7745.5800000000008</v>
      </c>
      <c r="E14" s="2">
        <f>conversion_to_TJ!D11</f>
        <v>7033.8240000000005</v>
      </c>
      <c r="F14" s="2">
        <f>conversion_to_TJ!D13</f>
        <v>621404.85600000003</v>
      </c>
      <c r="G14" s="2">
        <f>conversion_to_TJ!D16*Dashboard!$D$14</f>
        <v>206666.61096960001</v>
      </c>
    </row>
    <row r="15" spans="1:13">
      <c r="A15" s="1">
        <v>2006</v>
      </c>
      <c r="B15" s="1">
        <f>B$14+(B$19-B$14)/($A$19-$A$14)*($A15-$A$14)</f>
        <v>235247.91840000002</v>
      </c>
      <c r="C15" s="1">
        <f t="shared" ref="C15:G15" si="2">C$14+(C$19-C$14)/($A$19-$A$14)*($A15-$A$14)</f>
        <v>0</v>
      </c>
      <c r="D15" s="1">
        <f t="shared" si="2"/>
        <v>6908.22</v>
      </c>
      <c r="E15" s="1">
        <f t="shared" si="2"/>
        <v>6665.3856000000005</v>
      </c>
      <c r="F15" s="1">
        <f t="shared" si="2"/>
        <v>631026.12239999999</v>
      </c>
      <c r="G15" s="1">
        <f t="shared" si="2"/>
        <v>217113.13919232</v>
      </c>
    </row>
    <row r="16" spans="1:13">
      <c r="A16" s="1">
        <v>2007</v>
      </c>
      <c r="B16" s="1">
        <f t="shared" ref="B16:G18" si="3">B$14+(B$19-B$14)/($A$19-$A$14)*($A16-$A$14)</f>
        <v>208192.8168</v>
      </c>
      <c r="C16" s="1">
        <f t="shared" si="3"/>
        <v>0</v>
      </c>
      <c r="D16" s="1">
        <f t="shared" si="3"/>
        <v>6070.8600000000006</v>
      </c>
      <c r="E16" s="1">
        <f t="shared" si="3"/>
        <v>6296.9472000000005</v>
      </c>
      <c r="F16" s="1">
        <f t="shared" si="3"/>
        <v>640647.38880000007</v>
      </c>
      <c r="G16" s="1">
        <f t="shared" si="3"/>
        <v>227559.66741504002</v>
      </c>
    </row>
    <row r="17" spans="1:7">
      <c r="A17" s="1">
        <v>2008</v>
      </c>
      <c r="B17" s="1">
        <f t="shared" si="3"/>
        <v>181137.71520000001</v>
      </c>
      <c r="C17" s="1">
        <f t="shared" si="3"/>
        <v>0</v>
      </c>
      <c r="D17" s="1">
        <f t="shared" si="3"/>
        <v>5233.5</v>
      </c>
      <c r="E17" s="1">
        <f t="shared" si="3"/>
        <v>5928.5088000000005</v>
      </c>
      <c r="F17" s="1">
        <f t="shared" si="3"/>
        <v>650268.65520000004</v>
      </c>
      <c r="G17" s="1">
        <f t="shared" si="3"/>
        <v>238006.19563776001</v>
      </c>
    </row>
    <row r="18" spans="1:7">
      <c r="A18" s="1">
        <v>2009</v>
      </c>
      <c r="B18" s="1">
        <f t="shared" si="3"/>
        <v>154082.61359999998</v>
      </c>
      <c r="C18" s="1">
        <f t="shared" si="3"/>
        <v>0</v>
      </c>
      <c r="D18" s="1">
        <f t="shared" si="3"/>
        <v>4396.1399999999994</v>
      </c>
      <c r="E18" s="1">
        <f t="shared" si="3"/>
        <v>5560.0704000000005</v>
      </c>
      <c r="F18" s="1">
        <f t="shared" si="3"/>
        <v>659889.92160000012</v>
      </c>
      <c r="G18" s="1">
        <f t="shared" si="3"/>
        <v>248452.72386048001</v>
      </c>
    </row>
    <row r="19" spans="1:7">
      <c r="A19" s="2">
        <v>2010</v>
      </c>
      <c r="B19" s="2">
        <f>conversion_to_TJ!E10*Dashboard!$D$11</f>
        <v>127027.512</v>
      </c>
      <c r="C19" s="2">
        <f>conversion_to_TJ!E10*Dashboard!$D$12</f>
        <v>0</v>
      </c>
      <c r="D19" s="2">
        <f>conversion_to_TJ!E12</f>
        <v>3558.78</v>
      </c>
      <c r="E19" s="2">
        <f>conversion_to_TJ!E11</f>
        <v>5191.6320000000005</v>
      </c>
      <c r="F19" s="2">
        <f>conversion_to_TJ!E13</f>
        <v>669511.18800000008</v>
      </c>
      <c r="G19" s="2">
        <f>conversion_to_TJ!E16*Dashboard!$D$14</f>
        <v>258899.25208320003</v>
      </c>
    </row>
    <row r="20" spans="1:7">
      <c r="A20" s="1">
        <v>2011</v>
      </c>
      <c r="B20" s="1">
        <f>B$19+(B$24-B$19)/($A$24-$A$19)*($A20-$A$19)</f>
        <v>123862.29120000001</v>
      </c>
      <c r="C20" s="1">
        <f t="shared" ref="C20:G20" si="4">C$19+(C$24-C$19)/($A$24-$A$19)*($A20-$A$19)</f>
        <v>0</v>
      </c>
      <c r="D20" s="1">
        <f t="shared" si="4"/>
        <v>3123.3528000000001</v>
      </c>
      <c r="E20" s="1">
        <f t="shared" si="4"/>
        <v>4932.0504000000001</v>
      </c>
      <c r="F20" s="1">
        <f t="shared" si="4"/>
        <v>661506.02640000009</v>
      </c>
      <c r="G20" s="1">
        <f t="shared" si="4"/>
        <v>267858.03944448003</v>
      </c>
    </row>
    <row r="21" spans="1:7">
      <c r="A21" s="1">
        <v>2012</v>
      </c>
      <c r="B21" s="1">
        <f t="shared" ref="B21:G23" si="5">B$19+(B$24-B$19)/($A$24-$A$19)*($A21-$A$19)</f>
        <v>120697.07040000001</v>
      </c>
      <c r="C21" s="1">
        <f t="shared" si="5"/>
        <v>0</v>
      </c>
      <c r="D21" s="1">
        <f t="shared" si="5"/>
        <v>2687.9256</v>
      </c>
      <c r="E21" s="1">
        <f t="shared" si="5"/>
        <v>4672.4688000000006</v>
      </c>
      <c r="F21" s="1">
        <f t="shared" si="5"/>
        <v>653500.8648000001</v>
      </c>
      <c r="G21" s="1">
        <f t="shared" si="5"/>
        <v>276816.82680576004</v>
      </c>
    </row>
    <row r="22" spans="1:7">
      <c r="A22" s="1">
        <v>2013</v>
      </c>
      <c r="B22" s="1">
        <f t="shared" si="5"/>
        <v>117531.84960000002</v>
      </c>
      <c r="C22" s="1">
        <f t="shared" si="5"/>
        <v>0</v>
      </c>
      <c r="D22" s="1">
        <f t="shared" si="5"/>
        <v>2252.4983999999999</v>
      </c>
      <c r="E22" s="1">
        <f t="shared" si="5"/>
        <v>4412.8872000000001</v>
      </c>
      <c r="F22" s="1">
        <f t="shared" si="5"/>
        <v>645495.70319999999</v>
      </c>
      <c r="G22" s="1">
        <f t="shared" si="5"/>
        <v>285775.61416704004</v>
      </c>
    </row>
    <row r="23" spans="1:7">
      <c r="A23" s="1">
        <v>2014</v>
      </c>
      <c r="B23" s="1">
        <f t="shared" si="5"/>
        <v>114366.62880000001</v>
      </c>
      <c r="C23" s="1">
        <f t="shared" si="5"/>
        <v>0</v>
      </c>
      <c r="D23" s="1">
        <f t="shared" si="5"/>
        <v>1817.0711999999999</v>
      </c>
      <c r="E23" s="1">
        <f t="shared" si="5"/>
        <v>4153.3055999999997</v>
      </c>
      <c r="F23" s="1">
        <f t="shared" si="5"/>
        <v>637490.5416</v>
      </c>
      <c r="G23" s="1">
        <f t="shared" si="5"/>
        <v>294734.40152832004</v>
      </c>
    </row>
    <row r="24" spans="1:7">
      <c r="A24" s="2">
        <v>2015</v>
      </c>
      <c r="B24" s="2">
        <f>conversion_to_TJ!F10*Dashboard!$D$11</f>
        <v>111201.40800000001</v>
      </c>
      <c r="C24" s="2">
        <f>conversion_to_TJ!F10*Dashboard!$D$12</f>
        <v>0</v>
      </c>
      <c r="D24" s="2">
        <f>conversion_to_TJ!F12</f>
        <v>1381.644</v>
      </c>
      <c r="E24" s="2">
        <f>conversion_to_TJ!F11</f>
        <v>3893.7240000000002</v>
      </c>
      <c r="F24" s="2">
        <f>conversion_to_TJ!F13</f>
        <v>629485.38</v>
      </c>
      <c r="G24" s="2">
        <f>conversion_to_TJ!F16*Dashboard!$D$14</f>
        <v>303693.18888960005</v>
      </c>
    </row>
    <row r="25" spans="1:7">
      <c r="A25" s="1">
        <v>2016</v>
      </c>
      <c r="B25" s="1">
        <f>B$24+(B$29-B$24)/($A$29-$A$24)*($A25-$A$24)</f>
        <v>110590.1352</v>
      </c>
      <c r="C25" s="1">
        <f t="shared" ref="C25:G25" si="6">C$24+(C$29-C$24)/($A$29-$A$24)*($A25-$A$24)</f>
        <v>0</v>
      </c>
      <c r="D25" s="1">
        <f t="shared" si="6"/>
        <v>1105.3152</v>
      </c>
      <c r="E25" s="1">
        <f t="shared" si="6"/>
        <v>3676.0104000000001</v>
      </c>
      <c r="F25" s="1">
        <f t="shared" si="6"/>
        <v>629485.38</v>
      </c>
      <c r="G25" s="1">
        <f t="shared" si="6"/>
        <v>316072.16312256001</v>
      </c>
    </row>
    <row r="26" spans="1:7">
      <c r="A26" s="1">
        <v>2017</v>
      </c>
      <c r="B26" s="1">
        <f t="shared" ref="B26:G28" si="7">B$24+(B$29-B$24)/($A$29-$A$24)*($A26-$A$24)</f>
        <v>109978.86240000001</v>
      </c>
      <c r="C26" s="1">
        <f t="shared" si="7"/>
        <v>0</v>
      </c>
      <c r="D26" s="1">
        <f t="shared" si="7"/>
        <v>828.9864</v>
      </c>
      <c r="E26" s="1">
        <f t="shared" si="7"/>
        <v>3458.2968000000001</v>
      </c>
      <c r="F26" s="1">
        <f t="shared" si="7"/>
        <v>629485.38</v>
      </c>
      <c r="G26" s="1">
        <f t="shared" si="7"/>
        <v>328451.13735552004</v>
      </c>
    </row>
    <row r="27" spans="1:7">
      <c r="A27" s="1">
        <v>2018</v>
      </c>
      <c r="B27" s="1">
        <f t="shared" si="7"/>
        <v>109367.58960000001</v>
      </c>
      <c r="C27" s="1">
        <f t="shared" si="7"/>
        <v>0</v>
      </c>
      <c r="D27" s="1">
        <f t="shared" si="7"/>
        <v>552.6576</v>
      </c>
      <c r="E27" s="1">
        <f t="shared" si="7"/>
        <v>3240.5832</v>
      </c>
      <c r="F27" s="1">
        <f t="shared" si="7"/>
        <v>629485.38</v>
      </c>
      <c r="G27" s="1">
        <f t="shared" si="7"/>
        <v>340830.11158848001</v>
      </c>
    </row>
    <row r="28" spans="1:7">
      <c r="A28" s="1">
        <v>2019</v>
      </c>
      <c r="B28" s="1">
        <f t="shared" si="7"/>
        <v>108756.31680000002</v>
      </c>
      <c r="C28" s="1">
        <f t="shared" si="7"/>
        <v>0</v>
      </c>
      <c r="D28" s="1">
        <f t="shared" si="7"/>
        <v>276.3288</v>
      </c>
      <c r="E28" s="1">
        <f t="shared" si="7"/>
        <v>3022.8696</v>
      </c>
      <c r="F28" s="1">
        <f t="shared" si="7"/>
        <v>629485.38</v>
      </c>
      <c r="G28" s="1">
        <f t="shared" si="7"/>
        <v>353209.08582144004</v>
      </c>
    </row>
    <row r="29" spans="1:7">
      <c r="A29" s="2">
        <v>2020</v>
      </c>
      <c r="B29" s="2">
        <f>conversion_to_TJ!G10*Dashboard!$D$11</f>
        <v>108145.04400000001</v>
      </c>
      <c r="C29" s="2">
        <f>conversion_to_TJ!G10*Dashboard!$D$12</f>
        <v>0</v>
      </c>
      <c r="D29" s="2">
        <f>conversion_to_TJ!G12</f>
        <v>0</v>
      </c>
      <c r="E29" s="2">
        <f>conversion_to_TJ!G11</f>
        <v>2805.1559999999999</v>
      </c>
      <c r="F29" s="2">
        <f>conversion_to_TJ!G13</f>
        <v>629485.38</v>
      </c>
      <c r="G29" s="2">
        <f>conversion_to_TJ!G16*Dashboard!$D$14</f>
        <v>365588.0600544</v>
      </c>
    </row>
    <row r="30" spans="1:7">
      <c r="A30" s="1">
        <v>2021</v>
      </c>
      <c r="B30" s="1">
        <f>B$29+(B$34-B$29)/($A$34-$A$29)*($A30-$A$29)</f>
        <v>99595.598400000003</v>
      </c>
      <c r="C30" s="1">
        <f t="shared" ref="C30:G30" si="8">C$29+(C$34-C$29)/($A$34-$A$29)*($A30-$A$29)</f>
        <v>0</v>
      </c>
      <c r="D30" s="1">
        <f t="shared" si="8"/>
        <v>0</v>
      </c>
      <c r="E30" s="1">
        <f t="shared" si="8"/>
        <v>2244.1248000000001</v>
      </c>
      <c r="F30" s="1">
        <f t="shared" si="8"/>
        <v>628237.71360000002</v>
      </c>
      <c r="G30" s="1">
        <f t="shared" si="8"/>
        <v>364957.38729792001</v>
      </c>
    </row>
    <row r="31" spans="1:7">
      <c r="A31" s="1">
        <v>2022</v>
      </c>
      <c r="B31" s="1">
        <f t="shared" ref="B31:G33" si="9">B$29+(B$34-B$29)/($A$34-$A$29)*($A31-$A$29)</f>
        <v>91046.152800000011</v>
      </c>
      <c r="C31" s="1">
        <f t="shared" si="9"/>
        <v>0</v>
      </c>
      <c r="D31" s="1">
        <f t="shared" si="9"/>
        <v>0</v>
      </c>
      <c r="E31" s="1">
        <f t="shared" si="9"/>
        <v>1683.0935999999999</v>
      </c>
      <c r="F31" s="1">
        <f t="shared" si="9"/>
        <v>626990.04720000003</v>
      </c>
      <c r="G31" s="1">
        <f t="shared" si="9"/>
        <v>364326.71454144001</v>
      </c>
    </row>
    <row r="32" spans="1:7">
      <c r="A32" s="1">
        <v>2023</v>
      </c>
      <c r="B32" s="1">
        <f t="shared" si="9"/>
        <v>82496.707200000004</v>
      </c>
      <c r="C32" s="1">
        <f t="shared" si="9"/>
        <v>0</v>
      </c>
      <c r="D32" s="1">
        <f t="shared" si="9"/>
        <v>0</v>
      </c>
      <c r="E32" s="1">
        <f t="shared" si="9"/>
        <v>1122.0623999999998</v>
      </c>
      <c r="F32" s="1">
        <f t="shared" si="9"/>
        <v>625742.38080000004</v>
      </c>
      <c r="G32" s="1">
        <f t="shared" si="9"/>
        <v>363696.04178495996</v>
      </c>
    </row>
    <row r="33" spans="1:7">
      <c r="A33" s="1">
        <v>2024</v>
      </c>
      <c r="B33" s="1">
        <f t="shared" si="9"/>
        <v>73947.261599999998</v>
      </c>
      <c r="C33" s="1">
        <f t="shared" si="9"/>
        <v>0</v>
      </c>
      <c r="D33" s="1">
        <f t="shared" si="9"/>
        <v>0</v>
      </c>
      <c r="E33" s="1">
        <f t="shared" si="9"/>
        <v>561.0311999999999</v>
      </c>
      <c r="F33" s="1">
        <f t="shared" si="9"/>
        <v>624494.71440000006</v>
      </c>
      <c r="G33" s="1">
        <f t="shared" si="9"/>
        <v>363065.36902847997</v>
      </c>
    </row>
    <row r="34" spans="1:7">
      <c r="A34" s="2">
        <v>2025</v>
      </c>
      <c r="B34" s="2">
        <f>conversion_to_TJ!H10*Dashboard!$D$11</f>
        <v>65397.816000000006</v>
      </c>
      <c r="C34" s="2">
        <f>conversion_to_TJ!H10*Dashboard!$D$12</f>
        <v>0</v>
      </c>
      <c r="D34" s="2">
        <f>conversion_to_TJ!H12</f>
        <v>0</v>
      </c>
      <c r="E34" s="2">
        <f>conversion_to_TJ!H11</f>
        <v>0</v>
      </c>
      <c r="F34" s="2">
        <f>conversion_to_TJ!H13</f>
        <v>623247.04800000007</v>
      </c>
      <c r="G34" s="2">
        <f>conversion_to_TJ!H16*Dashboard!$D$14</f>
        <v>362434.69627199997</v>
      </c>
    </row>
    <row r="35" spans="1:7">
      <c r="A35" s="1">
        <v>2026</v>
      </c>
      <c r="B35" s="1">
        <f>B$34+(B$39-B$34)/($A$39-$A$34)*($A35-$A$34)</f>
        <v>62868.988800000006</v>
      </c>
      <c r="C35" s="1">
        <f t="shared" ref="C35:G35" si="10">C$34+(C$39-C$34)/($A$39-$A$34)*($A35-$A$34)</f>
        <v>0</v>
      </c>
      <c r="D35" s="1">
        <f t="shared" si="10"/>
        <v>0</v>
      </c>
      <c r="E35" s="1">
        <f t="shared" si="10"/>
        <v>0</v>
      </c>
      <c r="F35" s="1">
        <f t="shared" si="10"/>
        <v>623247.04800000007</v>
      </c>
      <c r="G35" s="1">
        <f t="shared" si="10"/>
        <v>366776.63563391997</v>
      </c>
    </row>
    <row r="36" spans="1:7">
      <c r="A36" s="1">
        <v>2027</v>
      </c>
      <c r="B36" s="1">
        <f t="shared" ref="B36:G38" si="11">B$34+(B$39-B$34)/($A$39-$A$34)*($A36-$A$34)</f>
        <v>60340.161600000007</v>
      </c>
      <c r="C36" s="1">
        <f t="shared" si="11"/>
        <v>0</v>
      </c>
      <c r="D36" s="1">
        <f t="shared" si="11"/>
        <v>0</v>
      </c>
      <c r="E36" s="1">
        <f t="shared" si="11"/>
        <v>0</v>
      </c>
      <c r="F36" s="1">
        <f t="shared" si="11"/>
        <v>623247.04800000007</v>
      </c>
      <c r="G36" s="1">
        <f t="shared" si="11"/>
        <v>371118.57499583997</v>
      </c>
    </row>
    <row r="37" spans="1:7">
      <c r="A37" s="1">
        <v>2028</v>
      </c>
      <c r="B37" s="1">
        <f t="shared" si="11"/>
        <v>57811.334400000007</v>
      </c>
      <c r="C37" s="1">
        <f t="shared" si="11"/>
        <v>0</v>
      </c>
      <c r="D37" s="1">
        <f t="shared" si="11"/>
        <v>0</v>
      </c>
      <c r="E37" s="1">
        <f t="shared" si="11"/>
        <v>0</v>
      </c>
      <c r="F37" s="1">
        <f t="shared" si="11"/>
        <v>623247.04800000007</v>
      </c>
      <c r="G37" s="1">
        <f t="shared" si="11"/>
        <v>375460.51435776002</v>
      </c>
    </row>
    <row r="38" spans="1:7">
      <c r="A38" s="1">
        <v>2029</v>
      </c>
      <c r="B38" s="1">
        <f t="shared" si="11"/>
        <v>55282.5072</v>
      </c>
      <c r="C38" s="1">
        <f t="shared" si="11"/>
        <v>0</v>
      </c>
      <c r="D38" s="1">
        <f t="shared" si="11"/>
        <v>0</v>
      </c>
      <c r="E38" s="1">
        <f t="shared" si="11"/>
        <v>0</v>
      </c>
      <c r="F38" s="1">
        <f t="shared" si="11"/>
        <v>623247.04800000007</v>
      </c>
      <c r="G38" s="1">
        <f t="shared" si="11"/>
        <v>379802.45371968002</v>
      </c>
    </row>
    <row r="39" spans="1:7">
      <c r="A39" s="2">
        <v>2030</v>
      </c>
      <c r="B39" s="2">
        <f>conversion_to_TJ!I10*Dashboard!$D$11</f>
        <v>52753.68</v>
      </c>
      <c r="C39" s="2">
        <f>conversion_to_TJ!I10*Dashboard!$D$12</f>
        <v>0</v>
      </c>
      <c r="D39" s="2">
        <f>conversion_to_TJ!I12</f>
        <v>0</v>
      </c>
      <c r="E39" s="2">
        <f>conversion_to_TJ!I11</f>
        <v>0</v>
      </c>
      <c r="F39" s="2">
        <f>conversion_to_TJ!I13</f>
        <v>623247.04800000007</v>
      </c>
      <c r="G39" s="2">
        <f>conversion_to_TJ!I16*Dashboard!$D$14</f>
        <v>384144.39308160002</v>
      </c>
    </row>
    <row r="40" spans="1:7">
      <c r="A40" s="1">
        <v>2031</v>
      </c>
      <c r="B40" s="1">
        <f>B$39+(B$44-B$39)/($A$44-$A$39)*($A40-$A$39)</f>
        <v>49630.3272</v>
      </c>
      <c r="C40" s="1">
        <f t="shared" ref="C40:G40" si="12">C$39+(C$44-C$39)/($A$44-$A$39)*($A40-$A$39)</f>
        <v>0</v>
      </c>
      <c r="D40" s="1">
        <f t="shared" si="12"/>
        <v>0</v>
      </c>
      <c r="E40" s="1">
        <f t="shared" si="12"/>
        <v>0</v>
      </c>
      <c r="F40" s="1">
        <f t="shared" si="12"/>
        <v>649364.30640000012</v>
      </c>
      <c r="G40" s="1">
        <f t="shared" si="12"/>
        <v>383748.20122176001</v>
      </c>
    </row>
    <row r="41" spans="1:7">
      <c r="A41" s="1">
        <v>2032</v>
      </c>
      <c r="B41" s="1">
        <f t="shared" ref="B41:G43" si="13">B$39+(B$44-B$39)/($A$44-$A$39)*($A41-$A$39)</f>
        <v>46506.974399999999</v>
      </c>
      <c r="C41" s="1">
        <f t="shared" si="13"/>
        <v>0</v>
      </c>
      <c r="D41" s="1">
        <f t="shared" si="13"/>
        <v>0</v>
      </c>
      <c r="E41" s="1">
        <f t="shared" si="13"/>
        <v>0</v>
      </c>
      <c r="F41" s="1">
        <f t="shared" si="13"/>
        <v>675481.56480000005</v>
      </c>
      <c r="G41" s="1">
        <f t="shared" si="13"/>
        <v>383352.00936192001</v>
      </c>
    </row>
    <row r="42" spans="1:7">
      <c r="A42" s="1">
        <v>2033</v>
      </c>
      <c r="B42" s="1">
        <f t="shared" si="13"/>
        <v>43383.621599999999</v>
      </c>
      <c r="C42" s="1">
        <f t="shared" si="13"/>
        <v>0</v>
      </c>
      <c r="D42" s="1">
        <f t="shared" si="13"/>
        <v>0</v>
      </c>
      <c r="E42" s="1">
        <f t="shared" si="13"/>
        <v>0</v>
      </c>
      <c r="F42" s="1">
        <f t="shared" si="13"/>
        <v>701598.8232000001</v>
      </c>
      <c r="G42" s="1">
        <f t="shared" si="13"/>
        <v>382955.81750208006</v>
      </c>
    </row>
    <row r="43" spans="1:7">
      <c r="A43" s="1">
        <v>2034</v>
      </c>
      <c r="B43" s="1">
        <f t="shared" si="13"/>
        <v>40260.268800000005</v>
      </c>
      <c r="C43" s="1">
        <f t="shared" si="13"/>
        <v>0</v>
      </c>
      <c r="D43" s="1">
        <f t="shared" si="13"/>
        <v>0</v>
      </c>
      <c r="E43" s="1">
        <f t="shared" si="13"/>
        <v>0</v>
      </c>
      <c r="F43" s="1">
        <f t="shared" si="13"/>
        <v>727716.08160000003</v>
      </c>
      <c r="G43" s="1">
        <f t="shared" si="13"/>
        <v>382559.62564224005</v>
      </c>
    </row>
    <row r="44" spans="1:7">
      <c r="A44" s="2">
        <v>2035</v>
      </c>
      <c r="B44" s="2">
        <f>conversion_to_TJ!J10*Dashboard!$D$11</f>
        <v>37136.916000000005</v>
      </c>
      <c r="C44" s="2">
        <f>conversion_to_TJ!J10*Dashboard!$D$12</f>
        <v>0</v>
      </c>
      <c r="D44" s="2">
        <f>conversion_to_TJ!J12</f>
        <v>0</v>
      </c>
      <c r="E44" s="2">
        <f>conversion_to_TJ!J11</f>
        <v>0</v>
      </c>
      <c r="F44" s="2">
        <f>conversion_to_TJ!J13</f>
        <v>753833.34000000008</v>
      </c>
      <c r="G44" s="2">
        <f>conversion_to_TJ!J16*Dashboard!$D$14</f>
        <v>382163.43378240004</v>
      </c>
    </row>
    <row r="45" spans="1:7">
      <c r="A45" s="1">
        <v>2036</v>
      </c>
      <c r="B45" s="1">
        <f>B$44+(B$49-B$44)/($A$49-$A$44)*($A45-$A$44)</f>
        <v>39933.698400000001</v>
      </c>
      <c r="C45" s="1">
        <f t="shared" ref="C45:G45" si="14">C$44+(C$49-C$44)/($A$49-$A$44)*($A45-$A$44)</f>
        <v>0</v>
      </c>
      <c r="D45" s="1">
        <f t="shared" si="14"/>
        <v>0</v>
      </c>
      <c r="E45" s="1">
        <f t="shared" si="14"/>
        <v>0</v>
      </c>
      <c r="F45" s="1">
        <f t="shared" si="14"/>
        <v>726845.22720000008</v>
      </c>
      <c r="G45" s="1">
        <f t="shared" si="14"/>
        <v>394413.03924480005</v>
      </c>
    </row>
    <row r="46" spans="1:7">
      <c r="A46" s="1">
        <v>2037</v>
      </c>
      <c r="B46" s="1">
        <f t="shared" ref="B46:G48" si="15">B$44+(B$49-B$44)/($A$49-$A$44)*($A46-$A$44)</f>
        <v>42730.480800000005</v>
      </c>
      <c r="C46" s="1">
        <f t="shared" si="15"/>
        <v>0</v>
      </c>
      <c r="D46" s="1">
        <f t="shared" si="15"/>
        <v>0</v>
      </c>
      <c r="E46" s="1">
        <f t="shared" si="15"/>
        <v>0</v>
      </c>
      <c r="F46" s="1">
        <f t="shared" si="15"/>
        <v>699857.11440000008</v>
      </c>
      <c r="G46" s="1">
        <f t="shared" si="15"/>
        <v>406662.64470720006</v>
      </c>
    </row>
    <row r="47" spans="1:7">
      <c r="A47" s="1">
        <v>2038</v>
      </c>
      <c r="B47" s="1">
        <f t="shared" si="15"/>
        <v>45527.263200000001</v>
      </c>
      <c r="C47" s="1">
        <f t="shared" si="15"/>
        <v>0</v>
      </c>
      <c r="D47" s="1">
        <f t="shared" si="15"/>
        <v>0</v>
      </c>
      <c r="E47" s="1">
        <f t="shared" si="15"/>
        <v>0</v>
      </c>
      <c r="F47" s="1">
        <f t="shared" si="15"/>
        <v>672869.00160000008</v>
      </c>
      <c r="G47" s="1">
        <f t="shared" si="15"/>
        <v>418912.25016960001</v>
      </c>
    </row>
    <row r="48" spans="1:7">
      <c r="A48" s="1">
        <v>2039</v>
      </c>
      <c r="B48" s="1">
        <f t="shared" si="15"/>
        <v>48324.045599999998</v>
      </c>
      <c r="C48" s="1">
        <f t="shared" si="15"/>
        <v>0</v>
      </c>
      <c r="D48" s="1">
        <f t="shared" si="15"/>
        <v>0</v>
      </c>
      <c r="E48" s="1">
        <f t="shared" si="15"/>
        <v>0</v>
      </c>
      <c r="F48" s="1">
        <f t="shared" si="15"/>
        <v>645880.88880000007</v>
      </c>
      <c r="G48" s="1">
        <f t="shared" si="15"/>
        <v>431161.85563200002</v>
      </c>
    </row>
    <row r="49" spans="1:7">
      <c r="A49" s="2">
        <v>2040</v>
      </c>
      <c r="B49" s="2">
        <f>conversion_to_TJ!K10*Dashboard!$D$11</f>
        <v>51120.828000000001</v>
      </c>
      <c r="C49" s="2">
        <f>conversion_to_TJ!K10*Dashboard!$D$12</f>
        <v>0</v>
      </c>
      <c r="D49" s="2">
        <f>conversion_to_TJ!K12</f>
        <v>0</v>
      </c>
      <c r="E49" s="2">
        <f>conversion_to_TJ!K11</f>
        <v>0</v>
      </c>
      <c r="F49" s="2">
        <f>conversion_to_TJ!K13</f>
        <v>618892.77600000007</v>
      </c>
      <c r="G49" s="2">
        <f>conversion_to_TJ!K16*Dashboard!$D$14</f>
        <v>443411.46109440003</v>
      </c>
    </row>
    <row r="50" spans="1:7">
      <c r="A50" s="1">
        <v>2041</v>
      </c>
      <c r="B50" s="1">
        <f>B$49+(B$54-B$49)/($A$54-$A$49)*($A50-$A$49)</f>
        <v>49169.779200000004</v>
      </c>
      <c r="C50" s="1">
        <f t="shared" ref="C50:G50" si="16">C$49+(C$54-C$49)/($A$54-$A$49)*($A50-$A$49)</f>
        <v>0</v>
      </c>
      <c r="D50" s="1">
        <f t="shared" si="16"/>
        <v>0</v>
      </c>
      <c r="E50" s="1">
        <f t="shared" si="16"/>
        <v>0</v>
      </c>
      <c r="F50" s="1">
        <f t="shared" si="16"/>
        <v>611833.83120000002</v>
      </c>
      <c r="G50" s="1">
        <f t="shared" si="16"/>
        <v>444034.04830272001</v>
      </c>
    </row>
    <row r="51" spans="1:7">
      <c r="A51" s="1">
        <v>2042</v>
      </c>
      <c r="B51" s="1">
        <f t="shared" ref="B51:G53" si="17">B$49+(B$54-B$49)/($A$54-$A$49)*($A51-$A$49)</f>
        <v>47218.7304</v>
      </c>
      <c r="C51" s="1">
        <f t="shared" si="17"/>
        <v>0</v>
      </c>
      <c r="D51" s="1">
        <f t="shared" si="17"/>
        <v>0</v>
      </c>
      <c r="E51" s="1">
        <f t="shared" si="17"/>
        <v>0</v>
      </c>
      <c r="F51" s="1">
        <f t="shared" si="17"/>
        <v>604774.88640000008</v>
      </c>
      <c r="G51" s="1">
        <f t="shared" si="17"/>
        <v>444656.63551103999</v>
      </c>
    </row>
    <row r="52" spans="1:7">
      <c r="A52" s="1">
        <v>2043</v>
      </c>
      <c r="B52" s="1">
        <f t="shared" si="17"/>
        <v>45267.681600000004</v>
      </c>
      <c r="C52" s="1">
        <f t="shared" si="17"/>
        <v>0</v>
      </c>
      <c r="D52" s="1">
        <f t="shared" si="17"/>
        <v>0</v>
      </c>
      <c r="E52" s="1">
        <f t="shared" si="17"/>
        <v>0</v>
      </c>
      <c r="F52" s="1">
        <f t="shared" si="17"/>
        <v>597715.94160000002</v>
      </c>
      <c r="G52" s="1">
        <f t="shared" si="17"/>
        <v>445279.22271936003</v>
      </c>
    </row>
    <row r="53" spans="1:7">
      <c r="A53" s="1">
        <v>2044</v>
      </c>
      <c r="B53" s="1">
        <f t="shared" si="17"/>
        <v>43316.632799999999</v>
      </c>
      <c r="C53" s="1">
        <f t="shared" si="17"/>
        <v>0</v>
      </c>
      <c r="D53" s="1">
        <f t="shared" si="17"/>
        <v>0</v>
      </c>
      <c r="E53" s="1">
        <f t="shared" si="17"/>
        <v>0</v>
      </c>
      <c r="F53" s="1">
        <f t="shared" si="17"/>
        <v>590656.99680000008</v>
      </c>
      <c r="G53" s="1">
        <f t="shared" si="17"/>
        <v>445901.80992768001</v>
      </c>
    </row>
    <row r="54" spans="1:7">
      <c r="A54" s="2">
        <v>2045</v>
      </c>
      <c r="B54" s="2">
        <f>conversion_to_TJ!L10*Dashboard!$D$11</f>
        <v>41365.584000000003</v>
      </c>
      <c r="C54" s="2">
        <f>conversion_to_TJ!L10*Dashboard!$D$12</f>
        <v>0</v>
      </c>
      <c r="D54" s="2">
        <f>conversion_to_TJ!L12</f>
        <v>0</v>
      </c>
      <c r="E54" s="2">
        <f>conversion_to_TJ!L11</f>
        <v>0</v>
      </c>
      <c r="F54" s="2">
        <f>conversion_to_TJ!L13</f>
        <v>583598.05200000003</v>
      </c>
      <c r="G54" s="2">
        <f>conversion_to_TJ!L16*Dashboard!$D$14</f>
        <v>446524.39713599999</v>
      </c>
    </row>
    <row r="55" spans="1:7">
      <c r="A55" s="1">
        <v>2046</v>
      </c>
      <c r="B55" s="1">
        <f>B$54+(B$59-B$54)/($A$59-$A$54)*($A55-$A$54)</f>
        <v>39900.204000000005</v>
      </c>
      <c r="C55" s="1">
        <f t="shared" ref="C55:G55" si="18">C$54+(C$59-C$54)/($A$59-$A$54)*($A55-$A$54)</f>
        <v>0</v>
      </c>
      <c r="D55" s="1">
        <f t="shared" si="18"/>
        <v>0</v>
      </c>
      <c r="E55" s="1">
        <f t="shared" si="18"/>
        <v>0</v>
      </c>
      <c r="F55" s="1">
        <f t="shared" si="18"/>
        <v>583598.05200000003</v>
      </c>
      <c r="G55" s="1">
        <f t="shared" si="18"/>
        <v>446936.76009216002</v>
      </c>
    </row>
    <row r="56" spans="1:7">
      <c r="A56" s="1">
        <v>2047</v>
      </c>
      <c r="B56" s="1">
        <f t="shared" ref="B56:G58" si="19">B$54+(B$59-B$54)/($A$59-$A$54)*($A56-$A$54)</f>
        <v>38434.824000000001</v>
      </c>
      <c r="C56" s="1">
        <f t="shared" si="19"/>
        <v>0</v>
      </c>
      <c r="D56" s="1">
        <f t="shared" si="19"/>
        <v>0</v>
      </c>
      <c r="E56" s="1">
        <f t="shared" si="19"/>
        <v>0</v>
      </c>
      <c r="F56" s="1">
        <f t="shared" si="19"/>
        <v>583598.05200000003</v>
      </c>
      <c r="G56" s="1">
        <f t="shared" si="19"/>
        <v>447349.12304832001</v>
      </c>
    </row>
    <row r="57" spans="1:7">
      <c r="A57" s="1">
        <v>2048</v>
      </c>
      <c r="B57" s="1">
        <f t="shared" si="19"/>
        <v>36969.444000000003</v>
      </c>
      <c r="C57" s="1">
        <f t="shared" si="19"/>
        <v>0</v>
      </c>
      <c r="D57" s="1">
        <f t="shared" si="19"/>
        <v>0</v>
      </c>
      <c r="E57" s="1">
        <f t="shared" si="19"/>
        <v>0</v>
      </c>
      <c r="F57" s="1">
        <f t="shared" si="19"/>
        <v>583598.05200000003</v>
      </c>
      <c r="G57" s="1">
        <f t="shared" si="19"/>
        <v>447761.48600448004</v>
      </c>
    </row>
    <row r="58" spans="1:7">
      <c r="A58" s="1">
        <v>2049</v>
      </c>
      <c r="B58" s="1">
        <f t="shared" si="19"/>
        <v>35504.063999999998</v>
      </c>
      <c r="C58" s="1">
        <f t="shared" si="19"/>
        <v>0</v>
      </c>
      <c r="D58" s="1">
        <f t="shared" si="19"/>
        <v>0</v>
      </c>
      <c r="E58" s="1">
        <f t="shared" si="19"/>
        <v>0</v>
      </c>
      <c r="F58" s="1">
        <f t="shared" si="19"/>
        <v>583598.05200000003</v>
      </c>
      <c r="G58" s="1">
        <f t="shared" si="19"/>
        <v>448173.84896064003</v>
      </c>
    </row>
    <row r="59" spans="1:7">
      <c r="A59" s="2">
        <v>2050</v>
      </c>
      <c r="B59" s="2">
        <f>conversion_to_TJ!M10*Dashboard!$D$11</f>
        <v>34038.684000000001</v>
      </c>
      <c r="C59" s="2">
        <f>conversion_to_TJ!M10*Dashboard!$D$12</f>
        <v>0</v>
      </c>
      <c r="D59" s="2">
        <f>conversion_to_TJ!M12</f>
        <v>0</v>
      </c>
      <c r="E59" s="2">
        <f>conversion_to_TJ!M11</f>
        <v>0</v>
      </c>
      <c r="F59" s="2">
        <f>conversion_to_TJ!M13</f>
        <v>583598.05200000003</v>
      </c>
      <c r="G59" s="2">
        <f>conversion_to_TJ!M16*Dashboard!$D$14</f>
        <v>448586.21191680006</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7" tint="0.39997558519241921"/>
  </sheetPr>
  <dimension ref="A1:G42"/>
  <sheetViews>
    <sheetView workbookViewId="0"/>
  </sheetViews>
  <sheetFormatPr baseColWidth="10" defaultRowHeight="15" x14ac:dyDescent="0"/>
  <sheetData>
    <row r="1" spans="1:7">
      <c r="A1" t="s">
        <v>0</v>
      </c>
      <c r="B1" t="s">
        <v>1</v>
      </c>
      <c r="C1" t="s">
        <v>2</v>
      </c>
      <c r="D1" t="s">
        <v>3</v>
      </c>
      <c r="E1" t="s">
        <v>4</v>
      </c>
      <c r="F1" t="s">
        <v>5</v>
      </c>
      <c r="G1" t="s">
        <v>6</v>
      </c>
    </row>
    <row r="2" spans="1:7">
      <c r="A2">
        <v>2010</v>
      </c>
      <c r="B2">
        <f>interpolation!B19</f>
        <v>127027.512</v>
      </c>
      <c r="C2">
        <f>interpolation!C19</f>
        <v>0</v>
      </c>
      <c r="D2">
        <f>interpolation!D19</f>
        <v>3558.78</v>
      </c>
      <c r="E2">
        <f>interpolation!E19</f>
        <v>5191.6320000000005</v>
      </c>
      <c r="F2">
        <f>interpolation!F19</f>
        <v>669511.18800000008</v>
      </c>
      <c r="G2">
        <f>interpolation!G19</f>
        <v>258899.25208320003</v>
      </c>
    </row>
    <row r="3" spans="1:7">
      <c r="A3">
        <v>2011</v>
      </c>
      <c r="B3">
        <f>interpolation!B20</f>
        <v>123862.29120000001</v>
      </c>
      <c r="C3">
        <f>interpolation!C20</f>
        <v>0</v>
      </c>
      <c r="D3">
        <f>interpolation!D20</f>
        <v>3123.3528000000001</v>
      </c>
      <c r="E3">
        <f>interpolation!E20</f>
        <v>4932.0504000000001</v>
      </c>
      <c r="F3">
        <f>interpolation!F20</f>
        <v>661506.02640000009</v>
      </c>
      <c r="G3">
        <f>interpolation!G20</f>
        <v>267858.03944448003</v>
      </c>
    </row>
    <row r="4" spans="1:7">
      <c r="A4">
        <v>2012</v>
      </c>
      <c r="B4">
        <f>interpolation!B21</f>
        <v>120697.07040000001</v>
      </c>
      <c r="C4">
        <f>interpolation!C21</f>
        <v>0</v>
      </c>
      <c r="D4">
        <f>interpolation!D21</f>
        <v>2687.9256</v>
      </c>
      <c r="E4">
        <f>interpolation!E21</f>
        <v>4672.4688000000006</v>
      </c>
      <c r="F4">
        <f>interpolation!F21</f>
        <v>653500.8648000001</v>
      </c>
      <c r="G4">
        <f>interpolation!G21</f>
        <v>276816.82680576004</v>
      </c>
    </row>
    <row r="5" spans="1:7">
      <c r="A5">
        <v>2013</v>
      </c>
      <c r="B5">
        <f>interpolation!B22</f>
        <v>117531.84960000002</v>
      </c>
      <c r="C5">
        <f>interpolation!C22</f>
        <v>0</v>
      </c>
      <c r="D5">
        <f>interpolation!D22</f>
        <v>2252.4983999999999</v>
      </c>
      <c r="E5">
        <f>interpolation!E22</f>
        <v>4412.8872000000001</v>
      </c>
      <c r="F5">
        <f>interpolation!F22</f>
        <v>645495.70319999999</v>
      </c>
      <c r="G5">
        <f>interpolation!G22</f>
        <v>285775.61416704004</v>
      </c>
    </row>
    <row r="6" spans="1:7">
      <c r="A6">
        <v>2014</v>
      </c>
      <c r="B6">
        <f>interpolation!B23</f>
        <v>114366.62880000001</v>
      </c>
      <c r="C6">
        <f>interpolation!C23</f>
        <v>0</v>
      </c>
      <c r="D6">
        <f>interpolation!D23</f>
        <v>1817.0711999999999</v>
      </c>
      <c r="E6">
        <f>interpolation!E23</f>
        <v>4153.3055999999997</v>
      </c>
      <c r="F6">
        <f>interpolation!F23</f>
        <v>637490.5416</v>
      </c>
      <c r="G6">
        <f>interpolation!G23</f>
        <v>294734.40152832004</v>
      </c>
    </row>
    <row r="7" spans="1:7">
      <c r="A7">
        <v>2015</v>
      </c>
      <c r="B7">
        <f>interpolation!B24</f>
        <v>111201.40800000001</v>
      </c>
      <c r="C7">
        <f>interpolation!C24</f>
        <v>0</v>
      </c>
      <c r="D7">
        <f>interpolation!D24</f>
        <v>1381.644</v>
      </c>
      <c r="E7">
        <f>interpolation!E24</f>
        <v>3893.7240000000002</v>
      </c>
      <c r="F7">
        <f>interpolation!F24</f>
        <v>629485.38</v>
      </c>
      <c r="G7">
        <f>interpolation!G24</f>
        <v>303693.18888960005</v>
      </c>
    </row>
    <row r="8" spans="1:7">
      <c r="A8">
        <v>2016</v>
      </c>
      <c r="B8">
        <f>interpolation!B25</f>
        <v>110590.1352</v>
      </c>
      <c r="C8">
        <f>interpolation!C25</f>
        <v>0</v>
      </c>
      <c r="D8">
        <f>interpolation!D25</f>
        <v>1105.3152</v>
      </c>
      <c r="E8">
        <f>interpolation!E25</f>
        <v>3676.0104000000001</v>
      </c>
      <c r="F8">
        <f>interpolation!F25</f>
        <v>629485.38</v>
      </c>
      <c r="G8">
        <f>interpolation!G25</f>
        <v>316072.16312256001</v>
      </c>
    </row>
    <row r="9" spans="1:7">
      <c r="A9">
        <v>2017</v>
      </c>
      <c r="B9">
        <f>interpolation!B26</f>
        <v>109978.86240000001</v>
      </c>
      <c r="C9">
        <f>interpolation!C26</f>
        <v>0</v>
      </c>
      <c r="D9">
        <f>interpolation!D26</f>
        <v>828.9864</v>
      </c>
      <c r="E9">
        <f>interpolation!E26</f>
        <v>3458.2968000000001</v>
      </c>
      <c r="F9">
        <f>interpolation!F26</f>
        <v>629485.38</v>
      </c>
      <c r="G9">
        <f>interpolation!G26</f>
        <v>328451.13735552004</v>
      </c>
    </row>
    <row r="10" spans="1:7">
      <c r="A10">
        <v>2018</v>
      </c>
      <c r="B10">
        <f>interpolation!B27</f>
        <v>109367.58960000001</v>
      </c>
      <c r="C10">
        <f>interpolation!C27</f>
        <v>0</v>
      </c>
      <c r="D10">
        <f>interpolation!D27</f>
        <v>552.6576</v>
      </c>
      <c r="E10">
        <f>interpolation!E27</f>
        <v>3240.5832</v>
      </c>
      <c r="F10">
        <f>interpolation!F27</f>
        <v>629485.38</v>
      </c>
      <c r="G10">
        <f>interpolation!G27</f>
        <v>340830.11158848001</v>
      </c>
    </row>
    <row r="11" spans="1:7">
      <c r="A11">
        <v>2019</v>
      </c>
      <c r="B11">
        <f>interpolation!B28</f>
        <v>108756.31680000002</v>
      </c>
      <c r="C11">
        <f>interpolation!C28</f>
        <v>0</v>
      </c>
      <c r="D11">
        <f>interpolation!D28</f>
        <v>276.3288</v>
      </c>
      <c r="E11">
        <f>interpolation!E28</f>
        <v>3022.8696</v>
      </c>
      <c r="F11">
        <f>interpolation!F28</f>
        <v>629485.38</v>
      </c>
      <c r="G11">
        <f>interpolation!G28</f>
        <v>353209.08582144004</v>
      </c>
    </row>
    <row r="12" spans="1:7">
      <c r="A12">
        <v>2020</v>
      </c>
      <c r="B12">
        <f>interpolation!B29</f>
        <v>108145.04400000001</v>
      </c>
      <c r="C12">
        <f>interpolation!C29</f>
        <v>0</v>
      </c>
      <c r="D12">
        <f>interpolation!D29</f>
        <v>0</v>
      </c>
      <c r="E12">
        <f>interpolation!E29</f>
        <v>2805.1559999999999</v>
      </c>
      <c r="F12">
        <f>interpolation!F29</f>
        <v>629485.38</v>
      </c>
      <c r="G12">
        <f>interpolation!G29</f>
        <v>365588.0600544</v>
      </c>
    </row>
    <row r="13" spans="1:7">
      <c r="A13">
        <v>2021</v>
      </c>
      <c r="B13">
        <f>interpolation!B30</f>
        <v>99595.598400000003</v>
      </c>
      <c r="C13">
        <f>interpolation!C30</f>
        <v>0</v>
      </c>
      <c r="D13">
        <f>interpolation!D30</f>
        <v>0</v>
      </c>
      <c r="E13">
        <f>interpolation!E30</f>
        <v>2244.1248000000001</v>
      </c>
      <c r="F13">
        <f>interpolation!F30</f>
        <v>628237.71360000002</v>
      </c>
      <c r="G13">
        <f>interpolation!G30</f>
        <v>364957.38729792001</v>
      </c>
    </row>
    <row r="14" spans="1:7">
      <c r="A14">
        <v>2022</v>
      </c>
      <c r="B14">
        <f>interpolation!B31</f>
        <v>91046.152800000011</v>
      </c>
      <c r="C14">
        <f>interpolation!C31</f>
        <v>0</v>
      </c>
      <c r="D14">
        <f>interpolation!D31</f>
        <v>0</v>
      </c>
      <c r="E14">
        <f>interpolation!E31</f>
        <v>1683.0935999999999</v>
      </c>
      <c r="F14">
        <f>interpolation!F31</f>
        <v>626990.04720000003</v>
      </c>
      <c r="G14">
        <f>interpolation!G31</f>
        <v>364326.71454144001</v>
      </c>
    </row>
    <row r="15" spans="1:7">
      <c r="A15">
        <v>2023</v>
      </c>
      <c r="B15">
        <f>interpolation!B32</f>
        <v>82496.707200000004</v>
      </c>
      <c r="C15">
        <f>interpolation!C32</f>
        <v>0</v>
      </c>
      <c r="D15">
        <f>interpolation!D32</f>
        <v>0</v>
      </c>
      <c r="E15">
        <f>interpolation!E32</f>
        <v>1122.0623999999998</v>
      </c>
      <c r="F15">
        <f>interpolation!F32</f>
        <v>625742.38080000004</v>
      </c>
      <c r="G15">
        <f>interpolation!G32</f>
        <v>363696.04178495996</v>
      </c>
    </row>
    <row r="16" spans="1:7">
      <c r="A16">
        <v>2024</v>
      </c>
      <c r="B16">
        <f>interpolation!B33</f>
        <v>73947.261599999998</v>
      </c>
      <c r="C16">
        <f>interpolation!C33</f>
        <v>0</v>
      </c>
      <c r="D16">
        <f>interpolation!D33</f>
        <v>0</v>
      </c>
      <c r="E16">
        <f>interpolation!E33</f>
        <v>561.0311999999999</v>
      </c>
      <c r="F16">
        <f>interpolation!F33</f>
        <v>624494.71440000006</v>
      </c>
      <c r="G16">
        <f>interpolation!G33</f>
        <v>363065.36902847997</v>
      </c>
    </row>
    <row r="17" spans="1:7">
      <c r="A17">
        <v>2025</v>
      </c>
      <c r="B17">
        <f>interpolation!B34</f>
        <v>65397.816000000006</v>
      </c>
      <c r="C17">
        <f>interpolation!C34</f>
        <v>0</v>
      </c>
      <c r="D17">
        <f>interpolation!D34</f>
        <v>0</v>
      </c>
      <c r="E17">
        <f>interpolation!E34</f>
        <v>0</v>
      </c>
      <c r="F17">
        <f>interpolation!F34</f>
        <v>623247.04800000007</v>
      </c>
      <c r="G17">
        <f>interpolation!G34</f>
        <v>362434.69627199997</v>
      </c>
    </row>
    <row r="18" spans="1:7">
      <c r="A18">
        <v>2026</v>
      </c>
      <c r="B18">
        <f>interpolation!B35</f>
        <v>62868.988800000006</v>
      </c>
      <c r="C18">
        <f>interpolation!C35</f>
        <v>0</v>
      </c>
      <c r="D18">
        <f>interpolation!D35</f>
        <v>0</v>
      </c>
      <c r="E18">
        <f>interpolation!E35</f>
        <v>0</v>
      </c>
      <c r="F18">
        <f>interpolation!F35</f>
        <v>623247.04800000007</v>
      </c>
      <c r="G18">
        <f>interpolation!G35</f>
        <v>366776.63563391997</v>
      </c>
    </row>
    <row r="19" spans="1:7">
      <c r="A19">
        <v>2027</v>
      </c>
      <c r="B19">
        <f>interpolation!B36</f>
        <v>60340.161600000007</v>
      </c>
      <c r="C19">
        <f>interpolation!C36</f>
        <v>0</v>
      </c>
      <c r="D19">
        <f>interpolation!D36</f>
        <v>0</v>
      </c>
      <c r="E19">
        <f>interpolation!E36</f>
        <v>0</v>
      </c>
      <c r="F19">
        <f>interpolation!F36</f>
        <v>623247.04800000007</v>
      </c>
      <c r="G19">
        <f>interpolation!G36</f>
        <v>371118.57499583997</v>
      </c>
    </row>
    <row r="20" spans="1:7">
      <c r="A20">
        <v>2028</v>
      </c>
      <c r="B20">
        <f>interpolation!B37</f>
        <v>57811.334400000007</v>
      </c>
      <c r="C20">
        <f>interpolation!C37</f>
        <v>0</v>
      </c>
      <c r="D20">
        <f>interpolation!D37</f>
        <v>0</v>
      </c>
      <c r="E20">
        <f>interpolation!E37</f>
        <v>0</v>
      </c>
      <c r="F20">
        <f>interpolation!F37</f>
        <v>623247.04800000007</v>
      </c>
      <c r="G20">
        <f>interpolation!G37</f>
        <v>375460.51435776002</v>
      </c>
    </row>
    <row r="21" spans="1:7">
      <c r="A21">
        <v>2029</v>
      </c>
      <c r="B21">
        <f>interpolation!B38</f>
        <v>55282.5072</v>
      </c>
      <c r="C21">
        <f>interpolation!C38</f>
        <v>0</v>
      </c>
      <c r="D21">
        <f>interpolation!D38</f>
        <v>0</v>
      </c>
      <c r="E21">
        <f>interpolation!E38</f>
        <v>0</v>
      </c>
      <c r="F21">
        <f>interpolation!F38</f>
        <v>623247.04800000007</v>
      </c>
      <c r="G21">
        <f>interpolation!G38</f>
        <v>379802.45371968002</v>
      </c>
    </row>
    <row r="22" spans="1:7">
      <c r="A22">
        <v>2030</v>
      </c>
      <c r="B22">
        <f>interpolation!B39</f>
        <v>52753.68</v>
      </c>
      <c r="C22">
        <f>interpolation!C39</f>
        <v>0</v>
      </c>
      <c r="D22">
        <f>interpolation!D39</f>
        <v>0</v>
      </c>
      <c r="E22">
        <f>interpolation!E39</f>
        <v>0</v>
      </c>
      <c r="F22">
        <f>interpolation!F39</f>
        <v>623247.04800000007</v>
      </c>
      <c r="G22">
        <f>interpolation!G39</f>
        <v>384144.39308160002</v>
      </c>
    </row>
    <row r="23" spans="1:7">
      <c r="A23">
        <v>2031</v>
      </c>
      <c r="B23">
        <f>interpolation!B40</f>
        <v>49630.3272</v>
      </c>
      <c r="C23">
        <f>interpolation!C40</f>
        <v>0</v>
      </c>
      <c r="D23">
        <f>interpolation!D40</f>
        <v>0</v>
      </c>
      <c r="E23">
        <f>interpolation!E40</f>
        <v>0</v>
      </c>
      <c r="F23">
        <f>interpolation!F40</f>
        <v>649364.30640000012</v>
      </c>
      <c r="G23">
        <f>interpolation!G40</f>
        <v>383748.20122176001</v>
      </c>
    </row>
    <row r="24" spans="1:7">
      <c r="A24">
        <v>2032</v>
      </c>
      <c r="B24">
        <f>interpolation!B41</f>
        <v>46506.974399999999</v>
      </c>
      <c r="C24">
        <f>interpolation!C41</f>
        <v>0</v>
      </c>
      <c r="D24">
        <f>interpolation!D41</f>
        <v>0</v>
      </c>
      <c r="E24">
        <f>interpolation!E41</f>
        <v>0</v>
      </c>
      <c r="F24">
        <f>interpolation!F41</f>
        <v>675481.56480000005</v>
      </c>
      <c r="G24">
        <f>interpolation!G41</f>
        <v>383352.00936192001</v>
      </c>
    </row>
    <row r="25" spans="1:7">
      <c r="A25">
        <v>2033</v>
      </c>
      <c r="B25">
        <f>interpolation!B42</f>
        <v>43383.621599999999</v>
      </c>
      <c r="C25">
        <f>interpolation!C42</f>
        <v>0</v>
      </c>
      <c r="D25">
        <f>interpolation!D42</f>
        <v>0</v>
      </c>
      <c r="E25">
        <f>interpolation!E42</f>
        <v>0</v>
      </c>
      <c r="F25">
        <f>interpolation!F42</f>
        <v>701598.8232000001</v>
      </c>
      <c r="G25">
        <f>interpolation!G42</f>
        <v>382955.81750208006</v>
      </c>
    </row>
    <row r="26" spans="1:7">
      <c r="A26">
        <v>2034</v>
      </c>
      <c r="B26">
        <f>interpolation!B43</f>
        <v>40260.268800000005</v>
      </c>
      <c r="C26">
        <f>interpolation!C43</f>
        <v>0</v>
      </c>
      <c r="D26">
        <f>interpolation!D43</f>
        <v>0</v>
      </c>
      <c r="E26">
        <f>interpolation!E43</f>
        <v>0</v>
      </c>
      <c r="F26">
        <f>interpolation!F43</f>
        <v>727716.08160000003</v>
      </c>
      <c r="G26">
        <f>interpolation!G43</f>
        <v>382559.62564224005</v>
      </c>
    </row>
    <row r="27" spans="1:7">
      <c r="A27">
        <v>2035</v>
      </c>
      <c r="B27">
        <f>interpolation!B44</f>
        <v>37136.916000000005</v>
      </c>
      <c r="C27">
        <f>interpolation!C44</f>
        <v>0</v>
      </c>
      <c r="D27">
        <f>interpolation!D44</f>
        <v>0</v>
      </c>
      <c r="E27">
        <f>interpolation!E44</f>
        <v>0</v>
      </c>
      <c r="F27">
        <f>interpolation!F44</f>
        <v>753833.34000000008</v>
      </c>
      <c r="G27">
        <f>interpolation!G44</f>
        <v>382163.43378240004</v>
      </c>
    </row>
    <row r="28" spans="1:7">
      <c r="A28">
        <v>2036</v>
      </c>
      <c r="B28">
        <f>interpolation!B45</f>
        <v>39933.698400000001</v>
      </c>
      <c r="C28">
        <f>interpolation!C45</f>
        <v>0</v>
      </c>
      <c r="D28">
        <f>interpolation!D45</f>
        <v>0</v>
      </c>
      <c r="E28">
        <f>interpolation!E45</f>
        <v>0</v>
      </c>
      <c r="F28">
        <f>interpolation!F45</f>
        <v>726845.22720000008</v>
      </c>
      <c r="G28">
        <f>interpolation!G45</f>
        <v>394413.03924480005</v>
      </c>
    </row>
    <row r="29" spans="1:7">
      <c r="A29">
        <v>2037</v>
      </c>
      <c r="B29">
        <f>interpolation!B46</f>
        <v>42730.480800000005</v>
      </c>
      <c r="C29">
        <f>interpolation!C46</f>
        <v>0</v>
      </c>
      <c r="D29">
        <f>interpolation!D46</f>
        <v>0</v>
      </c>
      <c r="E29">
        <f>interpolation!E46</f>
        <v>0</v>
      </c>
      <c r="F29">
        <f>interpolation!F46</f>
        <v>699857.11440000008</v>
      </c>
      <c r="G29">
        <f>interpolation!G46</f>
        <v>406662.64470720006</v>
      </c>
    </row>
    <row r="30" spans="1:7">
      <c r="A30">
        <v>2038</v>
      </c>
      <c r="B30">
        <f>interpolation!B47</f>
        <v>45527.263200000001</v>
      </c>
      <c r="C30">
        <f>interpolation!C47</f>
        <v>0</v>
      </c>
      <c r="D30">
        <f>interpolation!D47</f>
        <v>0</v>
      </c>
      <c r="E30">
        <f>interpolation!E47</f>
        <v>0</v>
      </c>
      <c r="F30">
        <f>interpolation!F47</f>
        <v>672869.00160000008</v>
      </c>
      <c r="G30">
        <f>interpolation!G47</f>
        <v>418912.25016960001</v>
      </c>
    </row>
    <row r="31" spans="1:7">
      <c r="A31">
        <v>2039</v>
      </c>
      <c r="B31">
        <f>interpolation!B48</f>
        <v>48324.045599999998</v>
      </c>
      <c r="C31">
        <f>interpolation!C48</f>
        <v>0</v>
      </c>
      <c r="D31">
        <f>interpolation!D48</f>
        <v>0</v>
      </c>
      <c r="E31">
        <f>interpolation!E48</f>
        <v>0</v>
      </c>
      <c r="F31">
        <f>interpolation!F48</f>
        <v>645880.88880000007</v>
      </c>
      <c r="G31">
        <f>interpolation!G48</f>
        <v>431161.85563200002</v>
      </c>
    </row>
    <row r="32" spans="1:7">
      <c r="A32">
        <v>2040</v>
      </c>
      <c r="B32">
        <f>interpolation!B49</f>
        <v>51120.828000000001</v>
      </c>
      <c r="C32">
        <f>interpolation!C49</f>
        <v>0</v>
      </c>
      <c r="D32">
        <f>interpolation!D49</f>
        <v>0</v>
      </c>
      <c r="E32">
        <f>interpolation!E49</f>
        <v>0</v>
      </c>
      <c r="F32">
        <f>interpolation!F49</f>
        <v>618892.77600000007</v>
      </c>
      <c r="G32">
        <f>interpolation!G49</f>
        <v>443411.46109440003</v>
      </c>
    </row>
    <row r="33" spans="1:7">
      <c r="A33">
        <v>2041</v>
      </c>
      <c r="B33">
        <f>interpolation!B50</f>
        <v>49169.779200000004</v>
      </c>
      <c r="C33">
        <f>interpolation!C50</f>
        <v>0</v>
      </c>
      <c r="D33">
        <f>interpolation!D50</f>
        <v>0</v>
      </c>
      <c r="E33">
        <f>interpolation!E50</f>
        <v>0</v>
      </c>
      <c r="F33">
        <f>interpolation!F50</f>
        <v>611833.83120000002</v>
      </c>
      <c r="G33">
        <f>interpolation!G50</f>
        <v>444034.04830272001</v>
      </c>
    </row>
    <row r="34" spans="1:7">
      <c r="A34">
        <v>2042</v>
      </c>
      <c r="B34">
        <f>interpolation!B51</f>
        <v>47218.7304</v>
      </c>
      <c r="C34">
        <f>interpolation!C51</f>
        <v>0</v>
      </c>
      <c r="D34">
        <f>interpolation!D51</f>
        <v>0</v>
      </c>
      <c r="E34">
        <f>interpolation!E51</f>
        <v>0</v>
      </c>
      <c r="F34">
        <f>interpolation!F51</f>
        <v>604774.88640000008</v>
      </c>
      <c r="G34">
        <f>interpolation!G51</f>
        <v>444656.63551103999</v>
      </c>
    </row>
    <row r="35" spans="1:7">
      <c r="A35">
        <v>2043</v>
      </c>
      <c r="B35">
        <f>interpolation!B52</f>
        <v>45267.681600000004</v>
      </c>
      <c r="C35">
        <f>interpolation!C52</f>
        <v>0</v>
      </c>
      <c r="D35">
        <f>interpolation!D52</f>
        <v>0</v>
      </c>
      <c r="E35">
        <f>interpolation!E52</f>
        <v>0</v>
      </c>
      <c r="F35">
        <f>interpolation!F52</f>
        <v>597715.94160000002</v>
      </c>
      <c r="G35">
        <f>interpolation!G52</f>
        <v>445279.22271936003</v>
      </c>
    </row>
    <row r="36" spans="1:7">
      <c r="A36">
        <v>2044</v>
      </c>
      <c r="B36">
        <f>interpolation!B53</f>
        <v>43316.632799999999</v>
      </c>
      <c r="C36">
        <f>interpolation!C53</f>
        <v>0</v>
      </c>
      <c r="D36">
        <f>interpolation!D53</f>
        <v>0</v>
      </c>
      <c r="E36">
        <f>interpolation!E53</f>
        <v>0</v>
      </c>
      <c r="F36">
        <f>interpolation!F53</f>
        <v>590656.99680000008</v>
      </c>
      <c r="G36">
        <f>interpolation!G53</f>
        <v>445901.80992768001</v>
      </c>
    </row>
    <row r="37" spans="1:7">
      <c r="A37">
        <v>2045</v>
      </c>
      <c r="B37">
        <f>interpolation!B54</f>
        <v>41365.584000000003</v>
      </c>
      <c r="C37">
        <f>interpolation!C54</f>
        <v>0</v>
      </c>
      <c r="D37">
        <f>interpolation!D54</f>
        <v>0</v>
      </c>
      <c r="E37">
        <f>interpolation!E54</f>
        <v>0</v>
      </c>
      <c r="F37">
        <f>interpolation!F54</f>
        <v>583598.05200000003</v>
      </c>
      <c r="G37">
        <f>interpolation!G54</f>
        <v>446524.39713599999</v>
      </c>
    </row>
    <row r="38" spans="1:7">
      <c r="A38">
        <v>2046</v>
      </c>
      <c r="B38">
        <f>interpolation!B55</f>
        <v>39900.204000000005</v>
      </c>
      <c r="C38">
        <f>interpolation!C55</f>
        <v>0</v>
      </c>
      <c r="D38">
        <f>interpolation!D55</f>
        <v>0</v>
      </c>
      <c r="E38">
        <f>interpolation!E55</f>
        <v>0</v>
      </c>
      <c r="F38">
        <f>interpolation!F55</f>
        <v>583598.05200000003</v>
      </c>
      <c r="G38">
        <f>interpolation!G55</f>
        <v>446936.76009216002</v>
      </c>
    </row>
    <row r="39" spans="1:7">
      <c r="A39">
        <v>2047</v>
      </c>
      <c r="B39">
        <f>interpolation!B56</f>
        <v>38434.824000000001</v>
      </c>
      <c r="C39">
        <f>interpolation!C56</f>
        <v>0</v>
      </c>
      <c r="D39">
        <f>interpolation!D56</f>
        <v>0</v>
      </c>
      <c r="E39">
        <f>interpolation!E56</f>
        <v>0</v>
      </c>
      <c r="F39">
        <f>interpolation!F56</f>
        <v>583598.05200000003</v>
      </c>
      <c r="G39">
        <f>interpolation!G56</f>
        <v>447349.12304832001</v>
      </c>
    </row>
    <row r="40" spans="1:7">
      <c r="A40">
        <v>2048</v>
      </c>
      <c r="B40">
        <f>interpolation!B57</f>
        <v>36969.444000000003</v>
      </c>
      <c r="C40">
        <f>interpolation!C57</f>
        <v>0</v>
      </c>
      <c r="D40">
        <f>interpolation!D57</f>
        <v>0</v>
      </c>
      <c r="E40">
        <f>interpolation!E57</f>
        <v>0</v>
      </c>
      <c r="F40">
        <f>interpolation!F57</f>
        <v>583598.05200000003</v>
      </c>
      <c r="G40">
        <f>interpolation!G57</f>
        <v>447761.48600448004</v>
      </c>
    </row>
    <row r="41" spans="1:7">
      <c r="A41">
        <v>2049</v>
      </c>
      <c r="B41">
        <f>interpolation!B58</f>
        <v>35504.063999999998</v>
      </c>
      <c r="C41">
        <f>interpolation!C58</f>
        <v>0</v>
      </c>
      <c r="D41">
        <f>interpolation!D58</f>
        <v>0</v>
      </c>
      <c r="E41">
        <f>interpolation!E58</f>
        <v>0</v>
      </c>
      <c r="F41">
        <f>interpolation!F58</f>
        <v>583598.05200000003</v>
      </c>
      <c r="G41">
        <f>interpolation!G58</f>
        <v>448173.84896064003</v>
      </c>
    </row>
    <row r="42" spans="1:7">
      <c r="A42">
        <v>2050</v>
      </c>
      <c r="B42">
        <f>interpolation!B59</f>
        <v>34038.684000000001</v>
      </c>
      <c r="C42">
        <f>interpolation!C59</f>
        <v>0</v>
      </c>
      <c r="D42">
        <f>interpolation!D59</f>
        <v>0</v>
      </c>
      <c r="E42">
        <f>interpolation!E59</f>
        <v>0</v>
      </c>
      <c r="F42">
        <f>interpolation!F59</f>
        <v>583598.05200000003</v>
      </c>
      <c r="G42">
        <f>interpolation!G59</f>
        <v>448586.21191680006</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Changelog</vt:lpstr>
      <vt:lpstr>Contents</vt:lpstr>
      <vt:lpstr>Introduction</vt:lpstr>
      <vt:lpstr>Assumptions</vt:lpstr>
      <vt:lpstr>Dashboard</vt:lpstr>
      <vt:lpstr>conversion_to_TJ</vt:lpstr>
      <vt:lpstr>interpolation</vt:lpstr>
      <vt:lpstr>timecurves</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Joris Berkhout</cp:lastModifiedBy>
  <dcterms:created xsi:type="dcterms:W3CDTF">2014-06-04T09:13:49Z</dcterms:created>
  <dcterms:modified xsi:type="dcterms:W3CDTF">2014-06-04T13:58:14Z</dcterms:modified>
</cp:coreProperties>
</file>