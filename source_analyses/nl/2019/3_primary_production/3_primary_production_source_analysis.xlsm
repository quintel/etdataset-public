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414"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marliekeverweij/Projects/etdataset/source_analyses/nl/2015/3_primary_production/"/>
    </mc:Choice>
  </mc:AlternateContent>
  <xr:revisionPtr revIDLastSave="0" documentId="13_ncr:1_{29257979-B674-434D-A51C-683C2C75FB2F}" xr6:coauthVersionLast="43" xr6:coauthVersionMax="43" xr10:uidLastSave="{00000000-0000-0000-0000-000000000000}"/>
  <bookViews>
    <workbookView xWindow="0" yWindow="460" windowWidth="25600" windowHeight="26940" tabRatio="500" firstSheet="4" activeTab="10" xr2:uid="{00000000-000D-0000-FFFF-FFFF00000000}"/>
  </bookViews>
  <sheets>
    <sheet name="Cover sheet" sheetId="7" r:id="rId1"/>
    <sheet name="Changelog" sheetId="8" r:id="rId2"/>
    <sheet name="Contents" sheetId="9" r:id="rId3"/>
    <sheet name="Introduction" sheetId="10" r:id="rId4"/>
    <sheet name="Assumptions" sheetId="11" r:id="rId5"/>
    <sheet name="Dashboard" sheetId="2" r:id="rId6"/>
    <sheet name="GTS_gas" sheetId="13" r:id="rId7"/>
    <sheet name="NLOG_oil" sheetId="12" r:id="rId8"/>
    <sheet name="conversion_to_TJ" sheetId="6" r:id="rId9"/>
    <sheet name="interpolation" sheetId="5" r:id="rId10"/>
    <sheet name="timecurves" sheetId="3" r:id="rId11"/>
  </sheets>
  <functionGroups builtInGroupCount="19"/>
  <externalReferences>
    <externalReference r:id="rId12"/>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F20" i="12" l="1"/>
  <c r="D37" i="12"/>
  <c r="F37" i="12" s="1"/>
  <c r="D38" i="12"/>
  <c r="F38" i="12" s="1"/>
  <c r="D39" i="12"/>
  <c r="F39" i="12" s="1"/>
  <c r="D40" i="12"/>
  <c r="F40" i="12" s="1"/>
  <c r="D41" i="12"/>
  <c r="F41" i="12" s="1"/>
  <c r="D42" i="12"/>
  <c r="F42" i="12" s="1"/>
  <c r="D43" i="12"/>
  <c r="F43" i="12" s="1"/>
  <c r="D44" i="12"/>
  <c r="F44" i="12" s="1"/>
  <c r="D45" i="12"/>
  <c r="F45" i="12" s="1"/>
  <c r="D46" i="12"/>
  <c r="F46" i="12" s="1"/>
  <c r="D47" i="12"/>
  <c r="F47" i="12" s="1"/>
  <c r="D48" i="12"/>
  <c r="F48" i="12" s="1"/>
  <c r="D49" i="12"/>
  <c r="F49" i="12" s="1"/>
  <c r="D50" i="12"/>
  <c r="F50" i="12" s="1"/>
  <c r="D51" i="12"/>
  <c r="F51" i="12" s="1"/>
  <c r="D52" i="12"/>
  <c r="F52" i="12" s="1"/>
  <c r="D53" i="12"/>
  <c r="F53" i="12" s="1"/>
  <c r="D54" i="12"/>
  <c r="F54" i="12" s="1"/>
  <c r="D55" i="12"/>
  <c r="F55" i="12" s="1"/>
  <c r="D56" i="12"/>
  <c r="F56" i="12" s="1"/>
  <c r="D24" i="12"/>
  <c r="D25" i="12"/>
  <c r="D26" i="12"/>
  <c r="D27" i="12"/>
  <c r="D28" i="12"/>
  <c r="D29" i="12"/>
  <c r="D30" i="12"/>
  <c r="D31" i="12"/>
  <c r="D32" i="12"/>
  <c r="D33" i="12"/>
  <c r="D34" i="12"/>
  <c r="D35" i="12"/>
  <c r="D36" i="12"/>
  <c r="F36" i="12" s="1"/>
  <c r="E5" i="3" l="1"/>
  <c r="E7" i="3"/>
  <c r="E6" i="3"/>
  <c r="D22" i="12"/>
  <c r="F22" i="12" s="1"/>
  <c r="E8" i="3" s="1"/>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2" i="3"/>
  <c r="D38" i="13"/>
  <c r="D41" i="13"/>
  <c r="D40" i="13"/>
  <c r="D42" i="13"/>
  <c r="D43" i="13"/>
  <c r="E22" i="5"/>
  <c r="E24" i="5"/>
  <c r="B9" i="5"/>
  <c r="C9" i="5"/>
  <c r="D9" i="5"/>
  <c r="E9" i="5"/>
  <c r="F9" i="5"/>
  <c r="G9" i="5"/>
  <c r="B10" i="5"/>
  <c r="C10" i="5"/>
  <c r="D10" i="5"/>
  <c r="E10" i="5"/>
  <c r="F10" i="5"/>
  <c r="G10" i="5"/>
  <c r="D55" i="13"/>
  <c r="D56" i="13"/>
  <c r="D57" i="13"/>
  <c r="D58" i="13"/>
  <c r="D59" i="13"/>
  <c r="D60" i="13"/>
  <c r="D61" i="13"/>
  <c r="D62" i="13"/>
  <c r="D63" i="13"/>
  <c r="D64" i="13"/>
  <c r="D65" i="13"/>
  <c r="D66" i="13"/>
  <c r="D67" i="13"/>
  <c r="D68" i="13"/>
  <c r="D69" i="13"/>
  <c r="D70" i="13"/>
  <c r="D71" i="13"/>
  <c r="D72" i="13"/>
  <c r="D73" i="13"/>
  <c r="D74" i="13"/>
  <c r="D45" i="13"/>
  <c r="D46" i="13"/>
  <c r="D47" i="13"/>
  <c r="D48" i="13"/>
  <c r="D49" i="13"/>
  <c r="D50" i="13"/>
  <c r="D51" i="13"/>
  <c r="D52" i="13"/>
  <c r="D53" i="13"/>
  <c r="D54" i="13"/>
  <c r="D44" i="13"/>
  <c r="C45" i="13"/>
  <c r="C46" i="13"/>
  <c r="C47" i="13"/>
  <c r="C48" i="13"/>
  <c r="C49" i="13"/>
  <c r="C50" i="13"/>
  <c r="C51" i="13"/>
  <c r="C52" i="13"/>
  <c r="C53" i="13"/>
  <c r="C54" i="13"/>
  <c r="C44" i="13"/>
  <c r="D14" i="2"/>
  <c r="D17" i="12"/>
  <c r="E3" i="3"/>
  <c r="D18" i="12"/>
  <c r="E4" i="3"/>
  <c r="D19" i="12"/>
  <c r="D20" i="12"/>
  <c r="D21" i="12"/>
  <c r="D23" i="12"/>
  <c r="F23" i="12" s="1"/>
  <c r="E9" i="3" s="1"/>
  <c r="F24" i="12"/>
  <c r="E10" i="3" s="1"/>
  <c r="F25" i="12"/>
  <c r="E11" i="3" s="1"/>
  <c r="F26" i="12"/>
  <c r="E12" i="3" s="1"/>
  <c r="F27" i="12"/>
  <c r="E13" i="3" s="1"/>
  <c r="F28" i="12"/>
  <c r="E14" i="3" s="1"/>
  <c r="F29" i="12"/>
  <c r="E15" i="3" s="1"/>
  <c r="F30" i="12"/>
  <c r="E16" i="3" s="1"/>
  <c r="F31" i="12"/>
  <c r="E17" i="3" s="1"/>
  <c r="F32" i="12"/>
  <c r="E18" i="3" s="1"/>
  <c r="F33" i="12"/>
  <c r="E19" i="3" s="1"/>
  <c r="F34" i="12"/>
  <c r="E20" i="3" s="1"/>
  <c r="F35" i="12"/>
  <c r="E21" i="3" s="1"/>
  <c r="E22" i="3"/>
  <c r="D16" i="12"/>
  <c r="E2" i="3"/>
  <c r="E10" i="6"/>
  <c r="F10" i="6"/>
  <c r="C24" i="5"/>
  <c r="B3" i="3"/>
  <c r="C3" i="3"/>
  <c r="E12" i="6"/>
  <c r="F12" i="6"/>
  <c r="E11" i="6"/>
  <c r="F11" i="6"/>
  <c r="E13" i="6"/>
  <c r="F19" i="5"/>
  <c r="F13" i="6"/>
  <c r="F24" i="5"/>
  <c r="E16" i="6"/>
  <c r="G19" i="5"/>
  <c r="F16" i="6"/>
  <c r="G24" i="5"/>
  <c r="B4" i="3"/>
  <c r="C4" i="3"/>
  <c r="G10" i="6"/>
  <c r="B29" i="5"/>
  <c r="C29" i="5"/>
  <c r="C12" i="3"/>
  <c r="G12" i="6"/>
  <c r="D29" i="5"/>
  <c r="G11" i="6"/>
  <c r="E29" i="5"/>
  <c r="G13" i="6"/>
  <c r="F29" i="5"/>
  <c r="G16" i="6"/>
  <c r="G29" i="5"/>
  <c r="H10" i="6"/>
  <c r="B34" i="5"/>
  <c r="H12" i="6"/>
  <c r="D34" i="5"/>
  <c r="H11" i="6"/>
  <c r="E34" i="5"/>
  <c r="E35" i="5"/>
  <c r="H13" i="6"/>
  <c r="F34" i="5"/>
  <c r="H16" i="6"/>
  <c r="G34" i="5"/>
  <c r="G17" i="3"/>
  <c r="I10" i="6"/>
  <c r="C39" i="5"/>
  <c r="B39" i="5"/>
  <c r="I12" i="6"/>
  <c r="D39" i="5"/>
  <c r="I11" i="6"/>
  <c r="E39" i="5"/>
  <c r="I13" i="6"/>
  <c r="F39" i="5"/>
  <c r="I16" i="6"/>
  <c r="G39" i="5"/>
  <c r="J10" i="6"/>
  <c r="B44" i="5"/>
  <c r="J12" i="6"/>
  <c r="D44" i="5"/>
  <c r="J11" i="6"/>
  <c r="E44" i="5"/>
  <c r="J13" i="6"/>
  <c r="F44" i="5"/>
  <c r="J16" i="6"/>
  <c r="G44" i="5"/>
  <c r="K10" i="6"/>
  <c r="C49" i="5"/>
  <c r="C32" i="3"/>
  <c r="K12" i="6"/>
  <c r="D49" i="5"/>
  <c r="K11" i="6"/>
  <c r="E49" i="5"/>
  <c r="K13" i="6"/>
  <c r="F49" i="5"/>
  <c r="K16" i="6"/>
  <c r="G49" i="5"/>
  <c r="L10" i="6"/>
  <c r="B54" i="5"/>
  <c r="L12" i="6"/>
  <c r="D54" i="5"/>
  <c r="L11" i="6"/>
  <c r="E54" i="5"/>
  <c r="L13" i="6"/>
  <c r="F54" i="5"/>
  <c r="L16" i="6"/>
  <c r="G54" i="5"/>
  <c r="M10" i="6"/>
  <c r="B59" i="5"/>
  <c r="B42" i="3"/>
  <c r="M12" i="6"/>
  <c r="D59" i="5"/>
  <c r="M11" i="6"/>
  <c r="E59" i="5"/>
  <c r="M13" i="6"/>
  <c r="F59" i="5"/>
  <c r="M16" i="6"/>
  <c r="G59" i="5"/>
  <c r="G42" i="3"/>
  <c r="C2" i="3"/>
  <c r="G2" i="3"/>
  <c r="B2" i="3"/>
  <c r="C10" i="6"/>
  <c r="C12" i="6"/>
  <c r="C11" i="6"/>
  <c r="C13" i="6"/>
  <c r="C16" i="6"/>
  <c r="C8" i="7"/>
  <c r="C5" i="7"/>
  <c r="D10" i="6"/>
  <c r="B14" i="5"/>
  <c r="D12" i="6"/>
  <c r="D14" i="5"/>
  <c r="D11" i="6"/>
  <c r="E14" i="5"/>
  <c r="D13" i="6"/>
  <c r="F14" i="5"/>
  <c r="D16" i="6"/>
  <c r="G14"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 r="G18" i="5"/>
  <c r="D46" i="5"/>
  <c r="E58" i="5"/>
  <c r="B35" i="5"/>
  <c r="B18" i="3"/>
  <c r="B17" i="3"/>
  <c r="G53" i="5"/>
  <c r="G36" i="3"/>
  <c r="B49" i="5"/>
  <c r="B32" i="3"/>
  <c r="B36" i="5"/>
  <c r="B19" i="3"/>
  <c r="F20" i="5"/>
  <c r="F56" i="5"/>
  <c r="G22" i="5"/>
  <c r="G5" i="3"/>
  <c r="G17" i="5"/>
  <c r="C34" i="5"/>
  <c r="C31" i="5"/>
  <c r="C14" i="3"/>
  <c r="G36" i="5"/>
  <c r="G19" i="3"/>
  <c r="G38" i="5"/>
  <c r="G21" i="3"/>
  <c r="G35" i="5"/>
  <c r="G18" i="3"/>
  <c r="G22" i="3"/>
  <c r="D33" i="5"/>
  <c r="D27" i="5"/>
  <c r="G12" i="3"/>
  <c r="G31" i="5"/>
  <c r="G14" i="3"/>
  <c r="G32" i="5"/>
  <c r="G15" i="3"/>
  <c r="G28" i="5"/>
  <c r="G11" i="3"/>
  <c r="B33" i="5"/>
  <c r="B16" i="3"/>
  <c r="D15" i="5"/>
  <c r="D18" i="5"/>
  <c r="D16" i="5"/>
  <c r="D11" i="5"/>
  <c r="D56" i="5"/>
  <c r="D58" i="5"/>
  <c r="F51" i="5"/>
  <c r="F53" i="5"/>
  <c r="F16" i="5"/>
  <c r="F18" i="5"/>
  <c r="C37" i="5"/>
  <c r="C20" i="3"/>
  <c r="C22" i="3"/>
  <c r="C36" i="5"/>
  <c r="C19" i="3"/>
  <c r="F36" i="5"/>
  <c r="F33" i="5"/>
  <c r="D12" i="5"/>
  <c r="F55" i="5"/>
  <c r="C35" i="5"/>
  <c r="C18" i="3"/>
  <c r="C32" i="5"/>
  <c r="C15" i="3"/>
  <c r="F30" i="5"/>
  <c r="F35" i="5"/>
  <c r="G15" i="5"/>
  <c r="B11" i="5"/>
  <c r="C59" i="5"/>
  <c r="C42" i="3"/>
  <c r="G32" i="3"/>
  <c r="C44" i="5"/>
  <c r="C43" i="5"/>
  <c r="C26" i="3"/>
  <c r="B22" i="3"/>
  <c r="C38" i="5"/>
  <c r="C21" i="3"/>
  <c r="B37" i="5"/>
  <c r="B20" i="3"/>
  <c r="E33" i="5"/>
  <c r="G33" i="5"/>
  <c r="G16" i="3"/>
  <c r="D13" i="5"/>
  <c r="B38" i="5"/>
  <c r="B21" i="3"/>
  <c r="C17" i="3"/>
  <c r="E32" i="5"/>
  <c r="F31" i="5"/>
  <c r="B24" i="5"/>
  <c r="B25" i="5"/>
  <c r="B8" i="3"/>
  <c r="G13" i="5"/>
  <c r="G11" i="5"/>
  <c r="G12" i="5"/>
  <c r="B18" i="5"/>
  <c r="B16" i="5"/>
  <c r="B15" i="5"/>
  <c r="B17" i="5"/>
  <c r="G43" i="5"/>
  <c r="G26" i="3"/>
  <c r="G27" i="3"/>
  <c r="G46" i="5"/>
  <c r="G29" i="3"/>
  <c r="G42" i="5"/>
  <c r="G25" i="3"/>
  <c r="G47" i="5"/>
  <c r="G30" i="3"/>
  <c r="G41" i="5"/>
  <c r="G24" i="3"/>
  <c r="G48" i="5"/>
  <c r="G31" i="3"/>
  <c r="G45" i="5"/>
  <c r="G28" i="3"/>
  <c r="B51" i="5"/>
  <c r="B34" i="3"/>
  <c r="B58" i="5"/>
  <c r="B41" i="3"/>
  <c r="B53" i="5"/>
  <c r="B36" i="3"/>
  <c r="B56" i="5"/>
  <c r="B39" i="3"/>
  <c r="B55" i="5"/>
  <c r="B38" i="3"/>
  <c r="B37" i="3"/>
  <c r="B57" i="5"/>
  <c r="B40" i="3"/>
  <c r="E51" i="5"/>
  <c r="E52" i="5"/>
  <c r="E47" i="5"/>
  <c r="E50" i="5"/>
  <c r="E46" i="5"/>
  <c r="E53" i="5"/>
  <c r="G37" i="3"/>
  <c r="G56" i="5"/>
  <c r="G39" i="3"/>
  <c r="G55" i="5"/>
  <c r="G38" i="3"/>
  <c r="G57" i="5"/>
  <c r="G40" i="3"/>
  <c r="G52" i="5"/>
  <c r="G35" i="3"/>
  <c r="G51" i="5"/>
  <c r="G34" i="3"/>
  <c r="G58" i="5"/>
  <c r="G41" i="3"/>
  <c r="D50" i="5"/>
  <c r="D52" i="5"/>
  <c r="D48" i="5"/>
  <c r="D53" i="5"/>
  <c r="D51" i="5"/>
  <c r="E48" i="5"/>
  <c r="E38" i="5"/>
  <c r="E41" i="5"/>
  <c r="E37" i="5"/>
  <c r="E40" i="5"/>
  <c r="E42" i="5"/>
  <c r="E36" i="5"/>
  <c r="E43" i="5"/>
  <c r="E17" i="5"/>
  <c r="E16" i="5"/>
  <c r="E15" i="5"/>
  <c r="E18" i="5"/>
  <c r="F45" i="5"/>
  <c r="F47" i="5"/>
  <c r="F43" i="5"/>
  <c r="F48" i="5"/>
  <c r="F46" i="5"/>
  <c r="E12" i="5"/>
  <c r="E11" i="5"/>
  <c r="E13" i="5"/>
  <c r="E56" i="5"/>
  <c r="E57" i="5"/>
  <c r="B42" i="5"/>
  <c r="B25" i="3"/>
  <c r="B41" i="5"/>
  <c r="B24" i="3"/>
  <c r="B45" i="5"/>
  <c r="B28" i="3"/>
  <c r="B48" i="5"/>
  <c r="B31" i="3"/>
  <c r="B43" i="5"/>
  <c r="B26" i="3"/>
  <c r="B46" i="5"/>
  <c r="B29" i="3"/>
  <c r="B27" i="3"/>
  <c r="B47" i="5"/>
  <c r="B30" i="3"/>
  <c r="D40" i="5"/>
  <c r="D42" i="5"/>
  <c r="D38" i="5"/>
  <c r="D43" i="5"/>
  <c r="D41" i="5"/>
  <c r="D35" i="5"/>
  <c r="D37" i="5"/>
  <c r="D36" i="5"/>
  <c r="C22" i="5"/>
  <c r="C5" i="3"/>
  <c r="C7" i="3"/>
  <c r="C26" i="5"/>
  <c r="C9" i="3"/>
  <c r="C27" i="5"/>
  <c r="C10" i="3"/>
  <c r="C28" i="5"/>
  <c r="C11" i="3"/>
  <c r="C23" i="5"/>
  <c r="C6" i="3"/>
  <c r="C25" i="5"/>
  <c r="C8" i="3"/>
  <c r="F12" i="5"/>
  <c r="C14" i="5"/>
  <c r="C11" i="5"/>
  <c r="D57" i="5"/>
  <c r="D55" i="5"/>
  <c r="F52" i="5"/>
  <c r="F50" i="5"/>
  <c r="D47" i="5"/>
  <c r="D45" i="5"/>
  <c r="C45" i="5"/>
  <c r="C28" i="3"/>
  <c r="F42" i="5"/>
  <c r="C42" i="5"/>
  <c r="C25" i="3"/>
  <c r="F40" i="5"/>
  <c r="E27" i="5"/>
  <c r="E23" i="5"/>
  <c r="E28" i="5"/>
  <c r="E25" i="5"/>
  <c r="C54" i="5"/>
  <c r="F15" i="5"/>
  <c r="F58" i="5"/>
  <c r="E55" i="5"/>
  <c r="G50" i="5"/>
  <c r="G33" i="3"/>
  <c r="B50" i="5"/>
  <c r="B33" i="3"/>
  <c r="C48" i="5"/>
  <c r="C31" i="3"/>
  <c r="E45" i="5"/>
  <c r="F41" i="5"/>
  <c r="C41" i="5"/>
  <c r="C24" i="3"/>
  <c r="G40" i="5"/>
  <c r="G23" i="3"/>
  <c r="B40" i="5"/>
  <c r="B23" i="3"/>
  <c r="F38" i="5"/>
  <c r="G37" i="5"/>
  <c r="G20" i="3"/>
  <c r="F32" i="5"/>
  <c r="B31" i="5"/>
  <c r="B14" i="3"/>
  <c r="B32" i="5"/>
  <c r="B15" i="3"/>
  <c r="E26" i="5"/>
  <c r="E30" i="5"/>
  <c r="E31" i="5"/>
  <c r="F23" i="5"/>
  <c r="F26" i="5"/>
  <c r="F25" i="5"/>
  <c r="F27" i="5"/>
  <c r="F21" i="5"/>
  <c r="F28" i="5"/>
  <c r="F22" i="5"/>
  <c r="F17" i="5"/>
  <c r="G16" i="5"/>
  <c r="D17" i="5"/>
  <c r="F13" i="5"/>
  <c r="B13" i="5"/>
  <c r="F11" i="5"/>
  <c r="F57" i="5"/>
  <c r="B52" i="5"/>
  <c r="B35" i="3"/>
  <c r="C47" i="5"/>
  <c r="C30" i="3"/>
  <c r="F37" i="5"/>
  <c r="D31" i="5"/>
  <c r="D30" i="5"/>
  <c r="D32" i="5"/>
  <c r="G30" i="5"/>
  <c r="G13" i="3"/>
  <c r="G25" i="5"/>
  <c r="G8" i="3"/>
  <c r="G7" i="3"/>
  <c r="G26" i="5"/>
  <c r="G9" i="3"/>
  <c r="G27" i="5"/>
  <c r="G10" i="3"/>
  <c r="G21" i="5"/>
  <c r="G4" i="3"/>
  <c r="D28" i="5"/>
  <c r="D26" i="5"/>
  <c r="D23" i="5"/>
  <c r="D25" i="5"/>
  <c r="B30" i="5"/>
  <c r="B13" i="3"/>
  <c r="B26" i="5"/>
  <c r="B9" i="3"/>
  <c r="G20" i="5"/>
  <c r="G3" i="3"/>
  <c r="B22" i="5"/>
  <c r="B5" i="3"/>
  <c r="B12" i="3"/>
  <c r="G23" i="5"/>
  <c r="G6" i="3"/>
  <c r="B28" i="5"/>
  <c r="B11" i="3"/>
  <c r="B12" i="5"/>
  <c r="C30" i="5"/>
  <c r="C13" i="3"/>
  <c r="C33" i="5"/>
  <c r="C16" i="3"/>
  <c r="B23" i="5"/>
  <c r="B6" i="3"/>
  <c r="B27" i="5"/>
  <c r="B10" i="3"/>
  <c r="B7" i="3"/>
  <c r="C40" i="5"/>
  <c r="C23" i="3"/>
  <c r="C27" i="3"/>
  <c r="C46" i="5"/>
  <c r="C29" i="3"/>
  <c r="C18" i="5"/>
  <c r="C16" i="5"/>
  <c r="C15" i="5"/>
  <c r="C17" i="5"/>
  <c r="C13" i="5"/>
  <c r="C50" i="5"/>
  <c r="C33" i="3"/>
  <c r="C57" i="5"/>
  <c r="C40" i="3"/>
  <c r="C51" i="5"/>
  <c r="C34" i="3"/>
  <c r="C58" i="5"/>
  <c r="C41" i="3"/>
  <c r="C56" i="5"/>
  <c r="C39" i="3"/>
  <c r="C52" i="5"/>
  <c r="C35" i="3"/>
  <c r="C55" i="5"/>
  <c r="C38" i="3"/>
  <c r="C53" i="5"/>
  <c r="C36" i="3"/>
  <c r="C37" i="3"/>
  <c r="C12" i="5"/>
  <c r="E24" i="3" l="1"/>
  <c r="E23" i="3"/>
  <c r="E25" i="3" l="1"/>
  <c r="E26" i="3" l="1"/>
  <c r="E27" i="3" l="1"/>
  <c r="E28" i="3" l="1"/>
  <c r="E29" i="3" l="1"/>
  <c r="E30" i="3" l="1"/>
  <c r="E31" i="3" l="1"/>
  <c r="E32" i="3" l="1"/>
  <c r="E33" i="3" l="1"/>
  <c r="E34" i="3" l="1"/>
  <c r="E35" i="3" l="1"/>
  <c r="E36" i="3" l="1"/>
  <c r="E37" i="3" l="1"/>
  <c r="E38" i="3" l="1"/>
  <c r="E39" i="3" l="1"/>
  <c r="E40" i="3" l="1"/>
  <c r="E42" i="3" l="1"/>
  <c r="E41" i="3"/>
</calcChain>
</file>

<file path=xl/sharedStrings.xml><?xml version="1.0" encoding="utf-8"?>
<sst xmlns="http://schemas.openxmlformats.org/spreadsheetml/2006/main" count="170" uniqueCount="130">
  <si>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</si>
  <si>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</si>
  <si>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</si>
  <si>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</si>
  <si>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</si>
  <si>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</si>
  <si>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</si>
  <si>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</si>
  <si>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</si>
  <si>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</si>
  <si>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</si>
  <si>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</si>
  <si>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</si>
  <si>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</si>
  <si>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</si>
  <si>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</si>
  <si>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</si>
  <si>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</si>
  <si>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</si>
  <si>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</si>
  <si>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</si>
  <si>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</si>
  <si>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</si>
  <si>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</si>
  <si>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</si>
  <si>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</si>
  <si>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</si>
  <si>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</si>
  <si>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</si>
  <si>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</si>
  <si>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</si>
  <si>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</si>
  <si>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</si>
  <si>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</si>
  <si>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</si>
  <si>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</si>
  <si>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</si>
  <si>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</si>
  <si>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</si>
  <si>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</si>
  <si>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</si>
  <si>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</si>
  <si>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</si>
  <si>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</si>
  <si>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</si>
  <si>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</si>
  <si>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</si>
  <si>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</si>
  <si>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</si>
  <si>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</si>
  <si>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</si>
  <si>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</si>
  <si>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</si>
  <si>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</si>
  <si>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</si>
  <si>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</si>
  <si>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</si>
  <si>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</si>
  <si>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</si>
  <si>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</si>
  <si>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</si>
  <si>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</si>
  <si>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</si>
  <si>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</si>
  <si>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</si>
  <si>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</si>
  <si>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</si>
  <si>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</si>
  <si>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</si>
  <si>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</si>
  <si>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</si>
  <si>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</si>
  <si>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</si>
  <si>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</si>
  <si>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</si>
  <si>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</si>
  <si>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</si>
  <si>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</si>
  <si>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</si>
  <si>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</si>
  <si>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</si>
  <si>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</si>
  <si>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Source</t>
  </si>
  <si>
    <t>Conversion of the original PRIMES data from ktoe to TJ</t>
  </si>
  <si>
    <t>Interpolation of the PRIMES data for years not reported in PRIMES</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</si>
  <si>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</si>
  <si>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</si>
  <si>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</si>
  <si>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</si>
  <si>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The table on this page displays the PRIMES data converted from ktoe to TJ.</t>
  </si>
  <si>
    <t>Conversions</t>
  </si>
  <si>
    <t>Geq to MJ</t>
  </si>
  <si>
    <t>MJ/Geq</t>
  </si>
  <si>
    <t>Interpolation</t>
  </si>
  <si>
    <t>Timecurve</t>
  </si>
  <si>
    <t>Sm3 to MJ</t>
  </si>
  <si>
    <t>MJ/Sm3</t>
  </si>
  <si>
    <t>Calculation of crude oil time curve</t>
  </si>
  <si>
    <t>Oil production according to NLOG (TJ)</t>
  </si>
  <si>
    <t>Oil production according to NLOG (million Sm3)</t>
  </si>
  <si>
    <t>This analysis is used to transform the PRIMES forecast for Production of carriers into timecurves that can be used by the ETM. The timecurves for the Netherlands are partly based on Primes data and partly based on NLOG data.</t>
  </si>
  <si>
    <t>5. Fill the NLOG data ion the NLOG sheet</t>
  </si>
  <si>
    <t>6. Use the export timecurves button in the Dashboard to export the timecurves in the ETM format.</t>
  </si>
  <si>
    <t>NLOG</t>
  </si>
  <si>
    <t>For the Netherlands NLOG provides information about the production of natural gas and crude oil. Please provide the data on the NLOG sheet.</t>
  </si>
  <si>
    <t>On this page PRIMES data and the country specific assumptions must be entered, with the source of the data when applicable. Please provide country specific data for NL on the NLOG sheet. Furthermore, it is assumed that the uranium production in NL is 0.</t>
  </si>
  <si>
    <t>PRIMES</t>
  </si>
  <si>
    <t>nl</t>
  </si>
  <si>
    <t>Improved analysis by adding values from energy balance</t>
  </si>
  <si>
    <t>Production (incl.recovery of products) (ktoe)</t>
  </si>
  <si>
    <t>Based on the 2015 IEA Energy Balances ( Primary solid biofuels / (Industrial waste + Municipal waste (renewable) + Primary solid biofuels) )</t>
  </si>
  <si>
    <t>Based on the 2015 IEA Energy Balances</t>
  </si>
  <si>
    <t>GTS Raming 2019/2020</t>
  </si>
  <si>
    <t>https://www.rijksoverheid.nl/ministeries/ministerie-van-economische-zaken-en-klimaat/documenten/brieven/2019/01/31/brief-gasunie-over-raming-benodigd-groningenvolume</t>
  </si>
  <si>
    <t>Gemiddeld</t>
  </si>
  <si>
    <t>Koud</t>
  </si>
  <si>
    <t>Warm</t>
  </si>
  <si>
    <t>BCM/yr</t>
  </si>
  <si>
    <t>Gas production according to GTS (BCM/yr)</t>
  </si>
  <si>
    <t>BCM to TJ</t>
  </si>
  <si>
    <t>TJ/BCM</t>
  </si>
  <si>
    <t>Gas production according to GTS  (TJ)</t>
  </si>
  <si>
    <t>For 2010, 2011 and 2012, 2013 and 2015 the production values from the IEA energy balance are used.</t>
  </si>
  <si>
    <t>This page presents the values from PRIMES (in red) and the energy balance (in blue, crude_oil=SUM(Crude oil, Natural Gas Liquids and Additives/blends). The values from PRIMES are scaled by the corresponding dashboard items. PRIMES only reports data for 5 year intervals. We have linearly interpolated the data between these data points.</t>
  </si>
  <si>
    <t>EBN: Getallen zijn afgeleid van de figuur uit de brief GasUnie  dd 31 jan '19 met kenmerk L 19.0003</t>
  </si>
  <si>
    <r>
      <rPr>
        <sz val="12"/>
        <color rgb="FFFF0000"/>
        <rFont val="Calibri (Body)"/>
      </rPr>
      <t>ONLY GAS TIME CURVES ARE DERIVED FROM THIS PAGE</t>
    </r>
    <r>
      <rPr>
        <sz val="12"/>
        <rFont val="Calibri"/>
        <family val="2"/>
        <scheme val="minor"/>
      </rPr>
      <t xml:space="preserve"> This page presents the values from GTS (in black) and the energy balance (in blue)</t>
    </r>
  </si>
  <si>
    <r>
      <rPr>
        <sz val="12"/>
        <color rgb="FFFF0000"/>
        <rFont val="Calibri (Body)"/>
      </rPr>
      <t>ONLY OIL TIME CURVES ARE DERIVED FROM THIS PAGE</t>
    </r>
    <r>
      <rPr>
        <sz val="12"/>
        <rFont val="Calibri"/>
        <family val="2"/>
        <scheme val="minor"/>
      </rPr>
      <t xml:space="preserve"> This page presents the values from NLOG (in black) and the energy balance (in blue, crude_oil=SUM(Crude oil, Natural Gas Liquids and Additives/blends).</t>
    </r>
  </si>
  <si>
    <t>https://www.nlog.nl/sites/default/files/jaarverslag%20delfstoffen%20en%20aardwarmt%20in%20nederland%20-%202017.pdf</t>
  </si>
  <si>
    <t>Jaarverslag Delftstoffen en Aardwarmte in Nederland 2017</t>
  </si>
  <si>
    <r>
      <t xml:space="preserve">Verwacht </t>
    </r>
    <r>
      <rPr>
        <sz val="12"/>
        <color theme="1"/>
        <rFont val="Calibri"/>
        <family val="2"/>
        <scheme val="minor"/>
      </rPr>
      <t>aanbod uit reserves (PMRS)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</si>
</sst>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General_)"/>
    <numFmt numFmtId="165" formatCode="0_)"/>
    <numFmt numFmtId="166" formatCode="[$-409]mmmm\ d\,\ yyyy;@"/>
    <numFmt numFmtId="167" formatCode="0.000000"/>
    <numFmt numFmtId="173" formatCode="###0.0"/>
  </numFmts>
  <fonts count="26">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b/>
      <sz val="16"/>
      <color theme="3"/>
      <name val="Calibri"/>
      <family val="2"/>
      <scheme val="minor"/>
    </font>
    <font>
      <b/>
      <sz val="12"/>
      <color rgb="FF000000"/>
      <name val="Calibri"/>
      <family val="2"/>
      <scheme val="minor"/>
    </font>
    <font>
      <i/>
      <sz val="12"/>
      <color theme="1"/>
      <name val="Calibri"/>
      <family val="2"/>
      <scheme val="minor"/>
    </font>
    <font>
      <b/>
      <sz val="11"/>
      <color rgb="FF000000"/>
      <name val="Calibri"/>
      <family val="2"/>
      <scheme val="minor"/>
    </font>
    <font>
      <sz val="12"/>
      <color rgb="FF000000"/>
      <name val="Calibri"/>
      <family val="2"/>
      <scheme val="minor"/>
    </font>
    <font>
      <sz val="12"/>
      <name val="Calibri"/>
      <family val="2"/>
      <scheme val="minor"/>
    </font>
    <font>
      <b/>
      <sz val="12"/>
      <name val="Calibri"/>
      <family val="2"/>
      <scheme val="minor"/>
    </font>
    <font>
      <b/>
      <sz val="12"/>
      <color rgb="FFFF0000"/>
      <name val="Calibri"/>
      <family val="2"/>
      <scheme val="minor"/>
    </font>
    <font>
      <u/>
      <sz val="12"/>
      <name val="Calibri"/>
      <family val="2"/>
      <scheme val="minor"/>
    </font>
    <font>
      <i/>
      <sz val="12"/>
      <name val="Calibri"/>
      <family val="2"/>
      <scheme val="minor"/>
    </font>
    <font>
      <b/>
      <sz val="16"/>
      <name val="Calibri"/>
      <family val="2"/>
      <scheme val="minor"/>
    </font>
    <font>
      <sz val="12"/>
      <color theme="0" tint="-0.499984740745262"/>
      <name val="Calibri"/>
      <family val="2"/>
      <scheme val="minor"/>
    </font>
    <font>
      <b/>
      <sz val="12"/>
      <name val="Arial"/>
      <family val="2"/>
      <charset val="161"/>
    </font>
    <font>
      <sz val="12"/>
      <name val="Arial"/>
      <family val="2"/>
      <charset val="161"/>
    </font>
    <font>
      <sz val="12"/>
      <color rgb="FF3366FF"/>
      <name val="Calibri"/>
      <family val="2"/>
      <scheme val="minor"/>
    </font>
    <font>
      <sz val="12"/>
      <color rgb="FFFF0000"/>
      <name val="Calibri (Body)"/>
    </font>
  </fonts>
  <fills count="14">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
      <patternFill patternType="solid">
        <fgColor theme="7" tint="0.79998168889431442"/>
        <bgColor indexed="64"/>
      </patternFill>
    </fill>
  </fills>
  <borders count="35">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rgb="FF000000"/>
      </right>
      <top/>
      <bottom/>
      <diagonal/>
    </border>
    <border>
      <left style="thin">
        <color indexed="64"/>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indexed="64"/>
      </left>
      <right/>
      <top style="thin">
        <color indexed="64"/>
      </top>
      <bottom style="thin">
        <color auto="1"/>
      </bottom>
      <diagonal/>
    </border>
    <border>
      <left/>
      <right style="thin">
        <color indexed="64"/>
      </right>
      <top style="thin">
        <color indexed="64"/>
      </top>
      <bottom style="thin">
        <color auto="1"/>
      </bottom>
      <diagonal/>
    </border>
  </borders>
  <cellStyleXfs count="212">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cellStyleXfs>
  <cellXfs count="213">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2" fontId="0" fillId="3" borderId="0" xfId="0" applyNumberFormat="1" applyFill="1" applyBorder="1" applyAlignment="1">
      <alignment horizontal="left"/>
    </xf>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0" fillId="0" borderId="0" xfId="0" applyNumberFormat="1"/>
    <xf numFmtId="0" fontId="9" fillId="3" borderId="4" xfId="0" applyFont="1" applyFill="1" applyBorder="1"/>
    <xf numFmtId="0" fontId="0" fillId="3" borderId="5" xfId="0" applyFill="1" applyBorder="1"/>
    <xf numFmtId="0" fontId="9" fillId="3" borderId="5" xfId="0" applyFont="1" applyFill="1" applyBorder="1"/>
    <xf numFmtId="0" fontId="0" fillId="3" borderId="6" xfId="0" applyFill="1" applyBorder="1"/>
    <xf numFmtId="0" fontId="0" fillId="3" borderId="1" xfId="0" applyFill="1" applyBorder="1"/>
    <xf numFmtId="0" fontId="0" fillId="3" borderId="2" xfId="0" applyFill="1" applyBorder="1"/>
    <xf numFmtId="10" fontId="0" fillId="3" borderId="3" xfId="0" applyNumberFormat="1" applyFill="1" applyBorder="1"/>
    <xf numFmtId="10" fontId="0" fillId="3" borderId="0" xfId="0" applyNumberFormat="1" applyFill="1" applyBorder="1"/>
    <xf numFmtId="0" fontId="9" fillId="3" borderId="1" xfId="0" applyFont="1" applyFill="1" applyBorder="1"/>
    <xf numFmtId="0" fontId="0" fillId="3" borderId="7" xfId="0" applyFill="1" applyBorder="1"/>
    <xf numFmtId="0" fontId="0" fillId="3" borderId="8" xfId="0" applyFill="1" applyBorder="1"/>
    <xf numFmtId="0" fontId="0" fillId="3" borderId="9" xfId="0" applyFill="1" applyBorder="1"/>
    <xf numFmtId="0" fontId="0" fillId="3" borderId="26" xfId="0" applyFill="1" applyBorder="1"/>
    <xf numFmtId="0" fontId="0" fillId="3" borderId="27" xfId="0" applyFill="1" applyBorder="1"/>
    <xf numFmtId="10" fontId="0" fillId="3" borderId="3" xfId="0" applyNumberFormat="1" applyFill="1" applyBorder="1" applyAlignment="1">
      <alignment vertical="center"/>
    </xf>
    <xf numFmtId="3" fontId="24" fillId="0" borderId="0" xfId="0" applyNumberFormat="1" applyFont="1"/>
    <xf numFmtId="0" fontId="24" fillId="0" borderId="0" xfId="0" applyFont="1" applyFill="1"/>
    <xf numFmtId="3" fontId="0" fillId="0" borderId="0" xfId="0" applyNumberFormat="1" applyFill="1"/>
    <xf numFmtId="0" fontId="16" fillId="0" borderId="10" xfId="0" applyFont="1" applyFill="1" applyBorder="1" applyAlignment="1">
      <alignment horizontal="left"/>
    </xf>
    <xf numFmtId="0" fontId="15" fillId="0" borderId="11" xfId="0" applyFont="1" applyFill="1" applyBorder="1" applyAlignment="1">
      <alignment horizontal="left"/>
    </xf>
    <xf numFmtId="0" fontId="15" fillId="0" borderId="12" xfId="0" applyFont="1" applyFill="1" applyBorder="1" applyAlignment="1">
      <alignment horizontal="left"/>
    </xf>
    <xf numFmtId="0" fontId="15" fillId="0" borderId="0" xfId="0" applyFont="1" applyFill="1"/>
    <xf numFmtId="0" fontId="21" fillId="0" borderId="0" xfId="0" applyFont="1" applyFill="1" applyBorder="1"/>
    <xf numFmtId="0" fontId="0" fillId="0" borderId="0" xfId="0" applyFill="1" applyBorder="1"/>
    <xf numFmtId="0" fontId="21" fillId="0" borderId="0" xfId="0" applyFont="1" applyFill="1" applyBorder="1" applyAlignment="1">
      <alignment vertical="top"/>
    </xf>
    <xf numFmtId="0" fontId="15" fillId="0" borderId="0" xfId="0" applyFont="1" applyFill="1" applyBorder="1" applyAlignment="1">
      <alignment horizontal="left" vertical="top" wrapText="1"/>
    </xf>
    <xf numFmtId="0" fontId="9" fillId="0" borderId="25" xfId="0" applyFont="1" applyFill="1" applyBorder="1"/>
    <xf numFmtId="3" fontId="9" fillId="0" borderId="25" xfId="0" applyNumberFormat="1" applyFont="1" applyFill="1" applyBorder="1"/>
    <xf numFmtId="3" fontId="0" fillId="0" borderId="0" xfId="0" applyNumberFormat="1" applyFill="1" applyBorder="1"/>
    <xf numFmtId="0" fontId="0" fillId="0" borderId="16" xfId="0" applyFill="1" applyBorder="1"/>
    <xf numFmtId="3" fontId="0" fillId="0" borderId="16" xfId="0" applyNumberFormat="1" applyFill="1" applyBorder="1"/>
    <xf numFmtId="0" fontId="6" fillId="0" borderId="0" xfId="211"/>
    <xf numFmtId="0" fontId="0" fillId="13" borderId="0" xfId="0" applyFill="1"/>
    <xf numFmtId="1" fontId="0" fillId="0" borderId="0" xfId="0" applyNumberFormat="1"/>
    <xf numFmtId="0" fontId="16" fillId="0" borderId="10" xfId="0" applyFont="1" applyBorder="1" applyAlignment="1">
      <alignment horizontal="left"/>
    </xf>
    <xf numFmtId="0" fontId="15" fillId="0" borderId="11" xfId="0" applyFont="1" applyBorder="1" applyAlignment="1">
      <alignment horizontal="left"/>
    </xf>
    <xf numFmtId="0" fontId="15" fillId="0" borderId="12" xfId="0" applyFont="1" applyBorder="1" applyAlignment="1">
      <alignment horizontal="left"/>
    </xf>
    <xf numFmtId="0" fontId="9" fillId="0" borderId="0" xfId="0" applyFont="1" applyFill="1" applyBorder="1"/>
    <xf numFmtId="0" fontId="9" fillId="0" borderId="0" xfId="0" applyFont="1"/>
    <xf numFmtId="3" fontId="24" fillId="0" borderId="0" xfId="0" applyNumberFormat="1" applyFont="1" applyAlignment="1">
      <alignment vertical="top" wrapText="1"/>
    </xf>
    <xf numFmtId="3" fontId="0" fillId="0" borderId="0" xfId="0" applyNumberFormat="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xf numFmtId="0" fontId="0" fillId="3" borderId="28" xfId="0" applyFill="1" applyBorder="1" applyAlignment="1">
      <alignment horizontal="left" wrapText="1"/>
    </xf>
    <xf numFmtId="0" fontId="0" fillId="3" borderId="26" xfId="0" applyFill="1" applyBorder="1" applyAlignment="1">
      <alignment horizontal="left" wrapText="1"/>
    </xf>
    <xf numFmtId="0" fontId="0" fillId="3" borderId="27" xfId="0" applyFill="1" applyBorder="1" applyAlignment="1">
      <alignment horizontal="left" wrapText="1"/>
    </xf>
    <xf numFmtId="0" fontId="15" fillId="0" borderId="13" xfId="0" applyFont="1" applyBorder="1" applyAlignment="1">
      <alignment horizontal="left" vertical="top" wrapText="1"/>
    </xf>
    <xf numFmtId="0" fontId="15" fillId="0" borderId="0" xfId="0" applyFont="1" applyBorder="1" applyAlignment="1">
      <alignment horizontal="left" vertical="top" wrapText="1"/>
    </xf>
    <xf numFmtId="0" fontId="15" fillId="0" borderId="29" xfId="0" applyFont="1" applyBorder="1" applyAlignment="1">
      <alignment horizontal="left" vertical="top" wrapText="1"/>
    </xf>
    <xf numFmtId="0" fontId="15" fillId="0" borderId="30" xfId="0" applyFont="1" applyBorder="1" applyAlignment="1">
      <alignment horizontal="left" vertical="top" wrapText="1"/>
    </xf>
    <xf numFmtId="0" fontId="15" fillId="0" borderId="31" xfId="0" applyFont="1" applyBorder="1" applyAlignment="1">
      <alignment horizontal="left" vertical="top" wrapText="1"/>
    </xf>
    <xf numFmtId="0" fontId="15" fillId="0" borderId="32" xfId="0" applyFont="1" applyBorder="1" applyAlignment="1">
      <alignment horizontal="left" vertical="top" wrapText="1"/>
    </xf>
    <xf numFmtId="0" fontId="15" fillId="0" borderId="13" xfId="0" applyFont="1" applyFill="1" applyBorder="1" applyAlignment="1">
      <alignment horizontal="left" vertical="top" wrapText="1"/>
    </xf>
    <xf numFmtId="0" fontId="15" fillId="0" borderId="0" xfId="0" applyFont="1" applyFill="1" applyBorder="1" applyAlignment="1">
      <alignment horizontal="left" vertical="top" wrapText="1"/>
    </xf>
    <xf numFmtId="0" fontId="15" fillId="0" borderId="14" xfId="0" applyFont="1" applyFill="1" applyBorder="1" applyAlignment="1">
      <alignment horizontal="left" vertical="top" wrapText="1"/>
    </xf>
    <xf numFmtId="0" fontId="15" fillId="0" borderId="15" xfId="0" applyFont="1" applyFill="1" applyBorder="1" applyAlignment="1">
      <alignment horizontal="left" vertical="top" wrapText="1"/>
    </xf>
    <xf numFmtId="0" fontId="15" fillId="0" borderId="16" xfId="0" applyFont="1" applyFill="1" applyBorder="1" applyAlignment="1">
      <alignment horizontal="left" vertical="top" wrapText="1"/>
    </xf>
    <xf numFmtId="0" fontId="15" fillId="0" borderId="17" xfId="0" applyFont="1" applyFill="1" applyBorder="1" applyAlignment="1">
      <alignment horizontal="left" vertical="top" wrapText="1"/>
    </xf>
    <xf numFmtId="0" fontId="9" fillId="0" borderId="33" xfId="0" applyFont="1" applyFill="1" applyBorder="1"/>
    <xf numFmtId="0" fontId="9" fillId="0" borderId="34" xfId="0" applyFont="1" applyFill="1" applyBorder="1"/>
    <xf numFmtId="0" fontId="0" fillId="0" borderId="13" xfId="0" applyFill="1" applyBorder="1"/>
    <xf numFmtId="3" fontId="24" fillId="0" borderId="14" xfId="0" applyNumberFormat="1" applyFont="1" applyFill="1" applyBorder="1"/>
    <xf numFmtId="0" fontId="24" fillId="0" borderId="14" xfId="0" applyFont="1" applyFill="1" applyBorder="1"/>
    <xf numFmtId="3" fontId="0" fillId="0" borderId="14" xfId="0" applyNumberFormat="1" applyFill="1" applyBorder="1"/>
    <xf numFmtId="173" fontId="0" fillId="0" borderId="0" xfId="0" applyNumberFormat="1" applyFill="1" applyBorder="1"/>
    <xf numFmtId="0" fontId="0" fillId="0" borderId="15" xfId="0" applyFill="1" applyBorder="1"/>
    <xf numFmtId="3" fontId="0" fillId="0" borderId="17" xfId="0" applyNumberFormat="1" applyFill="1" applyBorder="1"/>
  </cellXfs>
  <cellStyles count="21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cellStyle name="Normal" xfId="0" builtinId="0"/>
    <cellStyle name="Normal_AppendixAU" xfId="1" xr:uid="{00000000-0005-0000-0000-0000D1000000}"/>
    <cellStyle name="Percent 2" xfId="162" xr:uid="{00000000-0005-0000-0000-0000D2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637807407903348E-2"/>
          <c:y val="4.5434681384824871E-2"/>
          <c:w val="0.87607275283640151"/>
          <c:h val="0.80052991533903461"/>
        </c:manualLayout>
      </c:layout>
      <c:lineChart>
        <c:grouping val="standard"/>
        <c:varyColors val="0"/>
        <c:ser>
          <c:idx val="0"/>
          <c:order val="0"/>
          <c:spPr>
            <a:ln w="28575" cap="rnd">
              <a:solidFill>
                <a:schemeClr val="accent3"/>
              </a:solidFill>
              <a:round/>
            </a:ln>
            <a:effectLst/>
          </c:spPr>
          <c:marker>
            <c:symbol val="circle"/>
            <c:size val="5"/>
            <c:spPr>
              <a:solidFill>
                <a:schemeClr val="accent1"/>
              </a:solidFill>
              <a:ln w="9525">
                <a:solidFill>
                  <a:schemeClr val="accent3"/>
                </a:solidFill>
              </a:ln>
              <a:effectLst/>
            </c:spPr>
          </c:marker>
          <c:cat>
            <c:numRef>
              <c:f>GTS_gas!$B$13:$B$23</c:f>
              <c:numCache>
                <c:formatCode>0</c:formatCode>
                <c:ptCount val="11"/>
                <c:pt idx="0">
                  <c:v>2020</c:v>
                </c:pt>
                <c:pt idx="1">
                  <c:v>2021</c:v>
                </c:pt>
                <c:pt idx="2">
                  <c:v>2022</c:v>
                </c:pt>
                <c:pt idx="3">
                  <c:v>2023</c:v>
                </c:pt>
                <c:pt idx="4">
                  <c:v>2024</c:v>
                </c:pt>
                <c:pt idx="5">
                  <c:v>2025</c:v>
                </c:pt>
                <c:pt idx="6">
                  <c:v>2026</c:v>
                </c:pt>
                <c:pt idx="7">
                  <c:v>2027</c:v>
                </c:pt>
                <c:pt idx="8">
                  <c:v>2028</c:v>
                </c:pt>
                <c:pt idx="9">
                  <c:v>2029</c:v>
                </c:pt>
                <c:pt idx="10">
                  <c:v>2030</c:v>
                </c:pt>
              </c:numCache>
            </c:numRef>
          </c:cat>
          <c:val>
            <c:numRef>
              <c:f>GTS_gas!$C$13:$C$23</c:f>
              <c:numCache>
                <c:formatCode>General</c:formatCode>
                <c:ptCount val="11"/>
                <c:pt idx="0">
                  <c:v>15.7</c:v>
                </c:pt>
                <c:pt idx="1">
                  <c:v>12.2</c:v>
                </c:pt>
                <c:pt idx="2">
                  <c:v>8.6</c:v>
                </c:pt>
                <c:pt idx="3">
                  <c:v>3.8</c:v>
                </c:pt>
                <c:pt idx="4">
                  <c:v>3.3</c:v>
                </c:pt>
                <c:pt idx="5">
                  <c:v>2.6</c:v>
                </c:pt>
                <c:pt idx="6">
                  <c:v>1.5</c:v>
                </c:pt>
                <c:pt idx="7">
                  <c:v>0.8</c:v>
                </c:pt>
                <c:pt idx="8">
                  <c:v>0.7</c:v>
                </c:pt>
                <c:pt idx="9">
                  <c:v>0.7</c:v>
                </c:pt>
                <c:pt idx="10">
                  <c:v>0</c:v>
                </c:pt>
              </c:numCache>
            </c:numRef>
          </c:val>
          <c:smooth val="0"/>
          <c:extLst>
            <c:ext xmlns:c16="http://schemas.microsoft.com/office/drawing/2014/chart" uri="{C3380CC4-5D6E-409C-BE32-E72D297353CC}">
              <c16:uniqueId val="{00000000-3A67-8849-B1B5-C1F5620C4F70}"/>
            </c:ext>
          </c:extLst>
        </c:ser>
        <c:ser>
          <c:idx val="1"/>
          <c:order val="1"/>
          <c:spPr>
            <a:ln w="28575" cap="rnd">
              <a:solidFill>
                <a:schemeClr val="accent1"/>
              </a:solidFill>
              <a:round/>
            </a:ln>
            <a:effectLst/>
          </c:spPr>
          <c:marker>
            <c:symbol val="circle"/>
            <c:size val="5"/>
            <c:spPr>
              <a:solidFill>
                <a:schemeClr val="accent1"/>
              </a:solidFill>
              <a:ln w="9525">
                <a:solidFill>
                  <a:schemeClr val="accent2"/>
                </a:solidFill>
              </a:ln>
              <a:effectLst/>
            </c:spPr>
          </c:marker>
          <c:cat>
            <c:numRef>
              <c:f>GTS_gas!$B$13:$B$23</c:f>
              <c:numCache>
                <c:formatCode>0</c:formatCode>
                <c:ptCount val="11"/>
                <c:pt idx="0">
                  <c:v>2020</c:v>
                </c:pt>
                <c:pt idx="1">
                  <c:v>2021</c:v>
                </c:pt>
                <c:pt idx="2">
                  <c:v>2022</c:v>
                </c:pt>
                <c:pt idx="3">
                  <c:v>2023</c:v>
                </c:pt>
                <c:pt idx="4">
                  <c:v>2024</c:v>
                </c:pt>
                <c:pt idx="5">
                  <c:v>2025</c:v>
                </c:pt>
                <c:pt idx="6">
                  <c:v>2026</c:v>
                </c:pt>
                <c:pt idx="7">
                  <c:v>2027</c:v>
                </c:pt>
                <c:pt idx="8">
                  <c:v>2028</c:v>
                </c:pt>
                <c:pt idx="9">
                  <c:v>2029</c:v>
                </c:pt>
                <c:pt idx="10">
                  <c:v>2030</c:v>
                </c:pt>
              </c:numCache>
            </c:numRef>
          </c:cat>
          <c:val>
            <c:numRef>
              <c:f>GTS_gas!$D$13:$D$23</c:f>
              <c:numCache>
                <c:formatCode>General</c:formatCode>
                <c:ptCount val="11"/>
                <c:pt idx="0">
                  <c:v>21</c:v>
                </c:pt>
                <c:pt idx="1">
                  <c:v>17</c:v>
                </c:pt>
                <c:pt idx="2">
                  <c:v>12.5</c:v>
                </c:pt>
                <c:pt idx="3">
                  <c:v>6</c:v>
                </c:pt>
                <c:pt idx="4">
                  <c:v>5</c:v>
                </c:pt>
                <c:pt idx="5">
                  <c:v>4</c:v>
                </c:pt>
                <c:pt idx="6">
                  <c:v>2.5</c:v>
                </c:pt>
                <c:pt idx="7">
                  <c:v>1.7</c:v>
                </c:pt>
                <c:pt idx="8">
                  <c:v>1</c:v>
                </c:pt>
                <c:pt idx="9">
                  <c:v>1</c:v>
                </c:pt>
                <c:pt idx="10">
                  <c:v>0</c:v>
                </c:pt>
              </c:numCache>
            </c:numRef>
          </c:val>
          <c:smooth val="0"/>
          <c:extLst>
            <c:ext xmlns:c16="http://schemas.microsoft.com/office/drawing/2014/chart" uri="{C3380CC4-5D6E-409C-BE32-E72D297353CC}">
              <c16:uniqueId val="{00000001-3A67-8849-B1B5-C1F5620C4F70}"/>
            </c:ext>
          </c:extLst>
        </c:ser>
        <c:ser>
          <c:idx val="2"/>
          <c:order val="2"/>
          <c:spPr>
            <a:ln w="28575" cap="rnd">
              <a:solidFill>
                <a:schemeClr val="accent2"/>
              </a:solidFill>
              <a:round/>
            </a:ln>
            <a:effectLst/>
          </c:spPr>
          <c:marker>
            <c:symbol val="circle"/>
            <c:size val="5"/>
            <c:spPr>
              <a:solidFill>
                <a:schemeClr val="accent2"/>
              </a:solidFill>
              <a:ln w="9525">
                <a:solidFill>
                  <a:schemeClr val="accent3"/>
                </a:solidFill>
              </a:ln>
              <a:effectLst/>
            </c:spPr>
          </c:marker>
          <c:cat>
            <c:numRef>
              <c:f>GTS_gas!$B$13:$B$23</c:f>
              <c:numCache>
                <c:formatCode>0</c:formatCode>
                <c:ptCount val="11"/>
                <c:pt idx="0">
                  <c:v>2020</c:v>
                </c:pt>
                <c:pt idx="1">
                  <c:v>2021</c:v>
                </c:pt>
                <c:pt idx="2">
                  <c:v>2022</c:v>
                </c:pt>
                <c:pt idx="3">
                  <c:v>2023</c:v>
                </c:pt>
                <c:pt idx="4">
                  <c:v>2024</c:v>
                </c:pt>
                <c:pt idx="5">
                  <c:v>2025</c:v>
                </c:pt>
                <c:pt idx="6">
                  <c:v>2026</c:v>
                </c:pt>
                <c:pt idx="7">
                  <c:v>2027</c:v>
                </c:pt>
                <c:pt idx="8">
                  <c:v>2028</c:v>
                </c:pt>
                <c:pt idx="9">
                  <c:v>2029</c:v>
                </c:pt>
                <c:pt idx="10">
                  <c:v>2030</c:v>
                </c:pt>
              </c:numCache>
            </c:numRef>
          </c:cat>
          <c:val>
            <c:numRef>
              <c:f>GTS_gas!$E$13:$E$23</c:f>
              <c:numCache>
                <c:formatCode>General</c:formatCode>
                <c:ptCount val="11"/>
                <c:pt idx="0">
                  <c:v>11.9</c:v>
                </c:pt>
                <c:pt idx="1">
                  <c:v>8.6999999999999993</c:v>
                </c:pt>
                <c:pt idx="2">
                  <c:v>6.2</c:v>
                </c:pt>
                <c:pt idx="3">
                  <c:v>2.6</c:v>
                </c:pt>
                <c:pt idx="4">
                  <c:v>2.4</c:v>
                </c:pt>
                <c:pt idx="5">
                  <c:v>2.2000000000000002</c:v>
                </c:pt>
                <c:pt idx="6">
                  <c:v>1.1000000000000001</c:v>
                </c:pt>
                <c:pt idx="7">
                  <c:v>0.5</c:v>
                </c:pt>
                <c:pt idx="8">
                  <c:v>0.5</c:v>
                </c:pt>
                <c:pt idx="9">
                  <c:v>0.3</c:v>
                </c:pt>
                <c:pt idx="10">
                  <c:v>0</c:v>
                </c:pt>
              </c:numCache>
            </c:numRef>
          </c:val>
          <c:smooth val="0"/>
          <c:extLst>
            <c:ext xmlns:c16="http://schemas.microsoft.com/office/drawing/2014/chart" uri="{C3380CC4-5D6E-409C-BE32-E72D297353CC}">
              <c16:uniqueId val="{00000002-3A67-8849-B1B5-C1F5620C4F70}"/>
            </c:ext>
          </c:extLst>
        </c:ser>
        <c:dLbls>
          <c:showLegendKey val="0"/>
          <c:showVal val="0"/>
          <c:showCatName val="0"/>
          <c:showSerName val="0"/>
          <c:showPercent val="0"/>
          <c:showBubbleSize val="0"/>
        </c:dLbls>
        <c:marker val="1"/>
        <c:smooth val="0"/>
        <c:axId val="635383520"/>
        <c:axId val="635380568"/>
      </c:lineChart>
      <c:catAx>
        <c:axId val="635383520"/>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5380568"/>
        <c:crosses val="autoZero"/>
        <c:auto val="1"/>
        <c:lblAlgn val="ctr"/>
        <c:lblOffset val="100"/>
        <c:noMultiLvlLbl val="0"/>
      </c:catAx>
      <c:valAx>
        <c:axId val="635380568"/>
        <c:scaling>
          <c:orientation val="minMax"/>
          <c:max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nl-NL"/>
                  <a:t>Groningen Volume (BCM)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5383520"/>
        <c:crosses val="autoZero"/>
        <c:crossBetween val="midCat"/>
        <c:majorUnit val="5"/>
      </c:valAx>
      <c:spPr>
        <a:blipFill>
          <a:blip xmlns:r="http://schemas.openxmlformats.org/officeDocument/2006/relationships" r:embed="rId3"/>
          <a:stretch>
            <a:fillRect/>
          </a:stretch>
        </a:blip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numCache>
            </c:numRef>
          </c:val>
          <c:smooth val="0"/>
          <c:extLst>
            <c:ext xmlns:c16="http://schemas.microsoft.com/office/drawing/2014/chart" uri="{C3380CC4-5D6E-409C-BE32-E72D297353CC}">
              <c16:uniqueId val="{00000000-DB93-BB46-93D9-13AEBF651999}"/>
            </c:ext>
          </c:extLst>
        </c:ser>
        <c:ser>
          <c:idx val="1"/>
          <c:order val="1"/>
          <c:tx>
            <c:strRef>
              <c:f>interpolation!$B$8</c:f>
              <c:strCache>
                <c:ptCount val="1"/>
                <c:pt idx="0">
                  <c:v>Coal</c:v>
                </c:pt>
              </c:strCache>
            </c:strRef>
          </c:tx>
          <c:val>
            <c:numRef>
              <c:f>interpolation!$B$9:$B$59</c:f>
              <c:numCache>
                <c:formatCode>General</c:formatCode>
                <c:ptCount val="51"/>
                <c:pt idx="0">
                  <c:v>314.00999999996196</c:v>
                </c:pt>
                <c:pt idx="1">
                  <c:v>319.87151999997877</c:v>
                </c:pt>
                <c:pt idx="2">
                  <c:v>325.73303999999558</c:v>
                </c:pt>
                <c:pt idx="3">
                  <c:v>331.59456000001234</c:v>
                </c:pt>
                <c:pt idx="4">
                  <c:v>337.45608000002915</c:v>
                </c:pt>
                <c:pt idx="5">
                  <c:v>343.31760000004596</c:v>
                </c:pt>
                <c:pt idx="6">
                  <c:v>274.65408000003674</c:v>
                </c:pt>
                <c:pt idx="7">
                  <c:v>205.99056000002759</c:v>
                </c:pt>
                <c:pt idx="8">
                  <c:v>137.3270400000184</c:v>
                </c:pt>
                <c:pt idx="9">
                  <c:v>68.663520000009214</c:v>
                </c:pt>
                <c:pt idx="10" formatCode="#,##0">
                  <c:v>0</c:v>
                </c:pt>
                <c:pt idx="11" formatCode="#,##0">
                  <c:v>0</c:v>
                </c:pt>
                <c:pt idx="12" formatCode="#,##0">
                  <c:v>0</c:v>
                </c:pt>
                <c:pt idx="13" formatCode="#,##0">
                  <c:v>0</c:v>
                </c:pt>
                <c:pt idx="14">
                  <c:v>0</c:v>
                </c:pt>
                <c:pt idx="15" formatCode="#,##0">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1-DB93-BB46-93D9-13AEBF651999}"/>
            </c:ext>
          </c:extLst>
        </c:ser>
        <c:ser>
          <c:idx val="2"/>
          <c:order val="2"/>
          <c:tx>
            <c:strRef>
              <c:f>interpolation!$C$8</c:f>
              <c:strCache>
                <c:ptCount val="1"/>
                <c:pt idx="0">
                  <c:v>Lignite</c:v>
                </c:pt>
              </c:strCache>
            </c:strRef>
          </c:tx>
          <c:val>
            <c:numRef>
              <c:f>interpolation!$C$9:$C$59</c:f>
              <c:numCache>
                <c:formatCode>General</c:formatCode>
                <c:ptCount val="51"/>
                <c:pt idx="0">
                  <c:v>0</c:v>
                </c:pt>
                <c:pt idx="1">
                  <c:v>0</c:v>
                </c:pt>
                <c:pt idx="2">
                  <c:v>0</c:v>
                </c:pt>
                <c:pt idx="3">
                  <c:v>0</c:v>
                </c:pt>
                <c:pt idx="4">
                  <c:v>0</c:v>
                </c:pt>
                <c:pt idx="5">
                  <c:v>0</c:v>
                </c:pt>
                <c:pt idx="6">
                  <c:v>0</c:v>
                </c:pt>
                <c:pt idx="7">
                  <c:v>0</c:v>
                </c:pt>
                <c:pt idx="8">
                  <c:v>0</c:v>
                </c:pt>
                <c:pt idx="9">
                  <c:v>0</c:v>
                </c:pt>
                <c:pt idx="10" formatCode="#,##0">
                  <c:v>0</c:v>
                </c:pt>
                <c:pt idx="11" formatCode="#,##0">
                  <c:v>0</c:v>
                </c:pt>
                <c:pt idx="12" formatCode="#,##0">
                  <c:v>0</c:v>
                </c:pt>
                <c:pt idx="13" formatCode="#,##0">
                  <c:v>0</c:v>
                </c:pt>
                <c:pt idx="14">
                  <c:v>0</c:v>
                </c:pt>
                <c:pt idx="15" formatCode="#,##0">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2-DB93-BB46-93D9-13AEBF651999}"/>
            </c:ext>
          </c:extLst>
        </c:ser>
        <c:ser>
          <c:idx val="3"/>
          <c:order val="3"/>
          <c:tx>
            <c:strRef>
              <c:f>interpolation!$D$8</c:f>
              <c:strCache>
                <c:ptCount val="1"/>
                <c:pt idx="0">
                  <c:v>Natural gas</c:v>
                </c:pt>
              </c:strCache>
            </c:strRef>
          </c:tx>
          <c:val>
            <c:numRef>
              <c:f>interpolation!$D$9:$D$59</c:f>
              <c:numCache>
                <c:formatCode>General</c:formatCode>
                <c:ptCount val="51"/>
                <c:pt idx="0">
                  <c:v>2185626.8303999994</c:v>
                </c:pt>
                <c:pt idx="1">
                  <c:v>2219733.3405599995</c:v>
                </c:pt>
                <c:pt idx="2">
                  <c:v>2253839.8507199995</c:v>
                </c:pt>
                <c:pt idx="3">
                  <c:v>2287946.3608799996</c:v>
                </c:pt>
                <c:pt idx="4">
                  <c:v>2322052.8710399996</c:v>
                </c:pt>
                <c:pt idx="5">
                  <c:v>2356159.3811999997</c:v>
                </c:pt>
                <c:pt idx="6">
                  <c:v>2415929.1049599997</c:v>
                </c:pt>
                <c:pt idx="7">
                  <c:v>2475698.8287199996</c:v>
                </c:pt>
                <c:pt idx="8">
                  <c:v>2535468.5524800001</c:v>
                </c:pt>
                <c:pt idx="9">
                  <c:v>2595238.27624</c:v>
                </c:pt>
                <c:pt idx="10">
                  <c:v>2655008</c:v>
                </c:pt>
                <c:pt idx="11">
                  <c:v>2416832</c:v>
                </c:pt>
                <c:pt idx="12">
                  <c:v>2405569</c:v>
                </c:pt>
                <c:pt idx="13">
                  <c:v>2585337.7400000002</c:v>
                </c:pt>
                <c:pt idx="14">
                  <c:v>1890201.4533333334</c:v>
                </c:pt>
                <c:pt idx="15">
                  <c:v>1632517.68</c:v>
                </c:pt>
                <c:pt idx="16">
                  <c:v>1646066.7551641865</c:v>
                </c:pt>
                <c:pt idx="17">
                  <c:v>1659615.830328373</c:v>
                </c:pt>
                <c:pt idx="18">
                  <c:v>1673164.9054925598</c:v>
                </c:pt>
                <c:pt idx="19">
                  <c:v>1686713.9806567463</c:v>
                </c:pt>
                <c:pt idx="20">
                  <c:v>1700263.0558209328</c:v>
                </c:pt>
                <c:pt idx="21">
                  <c:v>1643835.1665456081</c:v>
                </c:pt>
                <c:pt idx="22">
                  <c:v>1587407.2772702833</c:v>
                </c:pt>
                <c:pt idx="23">
                  <c:v>1530979.3879949586</c:v>
                </c:pt>
                <c:pt idx="24">
                  <c:v>1474551.498719634</c:v>
                </c:pt>
                <c:pt idx="25">
                  <c:v>1418123.6094443093</c:v>
                </c:pt>
                <c:pt idx="26">
                  <c:v>1353133.1550219499</c:v>
                </c:pt>
                <c:pt idx="27">
                  <c:v>1288142.7005995905</c:v>
                </c:pt>
                <c:pt idx="28">
                  <c:v>1223152.2461772314</c:v>
                </c:pt>
                <c:pt idx="29">
                  <c:v>1158161.7917548721</c:v>
                </c:pt>
                <c:pt idx="30">
                  <c:v>1093171.3373325127</c:v>
                </c:pt>
                <c:pt idx="31">
                  <c:v>1004269.8459899969</c:v>
                </c:pt>
                <c:pt idx="32">
                  <c:v>915368.35464748123</c:v>
                </c:pt>
                <c:pt idx="33">
                  <c:v>826466.86330496543</c:v>
                </c:pt>
                <c:pt idx="34">
                  <c:v>737565.37196244975</c:v>
                </c:pt>
                <c:pt idx="35">
                  <c:v>648663.88061993395</c:v>
                </c:pt>
                <c:pt idx="36">
                  <c:v>644053.32671063906</c:v>
                </c:pt>
                <c:pt idx="37">
                  <c:v>639442.77280134428</c:v>
                </c:pt>
                <c:pt idx="38">
                  <c:v>634832.21889204939</c:v>
                </c:pt>
                <c:pt idx="39">
                  <c:v>630221.66498275462</c:v>
                </c:pt>
                <c:pt idx="40">
                  <c:v>625611.11107345973</c:v>
                </c:pt>
                <c:pt idx="41">
                  <c:v>630411.99753837474</c:v>
                </c:pt>
                <c:pt idx="42">
                  <c:v>635212.88400328963</c:v>
                </c:pt>
                <c:pt idx="43">
                  <c:v>640013.77046820463</c:v>
                </c:pt>
                <c:pt idx="44">
                  <c:v>644814.65693311952</c:v>
                </c:pt>
                <c:pt idx="45">
                  <c:v>649615.54339803453</c:v>
                </c:pt>
                <c:pt idx="46">
                  <c:v>646655.92945124151</c:v>
                </c:pt>
                <c:pt idx="47">
                  <c:v>643696.31550444849</c:v>
                </c:pt>
                <c:pt idx="48">
                  <c:v>640736.70155765559</c:v>
                </c:pt>
                <c:pt idx="49">
                  <c:v>637777.08761086257</c:v>
                </c:pt>
                <c:pt idx="50">
                  <c:v>634817.47366406955</c:v>
                </c:pt>
              </c:numCache>
            </c:numRef>
          </c:val>
          <c:smooth val="0"/>
          <c:extLst>
            <c:ext xmlns:c16="http://schemas.microsoft.com/office/drawing/2014/chart" uri="{C3380CC4-5D6E-409C-BE32-E72D297353CC}">
              <c16:uniqueId val="{00000003-DB93-BB46-93D9-13AEBF651999}"/>
            </c:ext>
          </c:extLst>
        </c:ser>
        <c:ser>
          <c:idx val="4"/>
          <c:order val="4"/>
          <c:tx>
            <c:strRef>
              <c:f>interpolation!$E$8</c:f>
              <c:strCache>
                <c:ptCount val="1"/>
                <c:pt idx="0">
                  <c:v>Crude oil</c:v>
                </c:pt>
              </c:strCache>
            </c:strRef>
          </c:tx>
          <c:val>
            <c:numRef>
              <c:f>interpolation!$E$9:$E$59</c:f>
              <c:numCache>
                <c:formatCode>General</c:formatCode>
                <c:ptCount val="51"/>
                <c:pt idx="0">
                  <c:v>100713.4739999997</c:v>
                </c:pt>
                <c:pt idx="1">
                  <c:v>100062.00791999974</c:v>
                </c:pt>
                <c:pt idx="2">
                  <c:v>99410.541839999787</c:v>
                </c:pt>
                <c:pt idx="3">
                  <c:v>98759.075759999818</c:v>
                </c:pt>
                <c:pt idx="4">
                  <c:v>98107.609679999863</c:v>
                </c:pt>
                <c:pt idx="5">
                  <c:v>97456.143599999908</c:v>
                </c:pt>
                <c:pt idx="6">
                  <c:v>92062.114879999921</c:v>
                </c:pt>
                <c:pt idx="7">
                  <c:v>86668.086159999948</c:v>
                </c:pt>
                <c:pt idx="8">
                  <c:v>81274.05743999996</c:v>
                </c:pt>
                <c:pt idx="9">
                  <c:v>75880.028719999973</c:v>
                </c:pt>
                <c:pt idx="10">
                  <c:v>70486</c:v>
                </c:pt>
                <c:pt idx="11">
                  <c:v>71225</c:v>
                </c:pt>
                <c:pt idx="12">
                  <c:v>74785</c:v>
                </c:pt>
                <c:pt idx="13">
                  <c:v>81052.88</c:v>
                </c:pt>
                <c:pt idx="14">
                  <c:v>82267.820000000007</c:v>
                </c:pt>
                <c:pt idx="15">
                  <c:v>86009.23000000001</c:v>
                </c:pt>
                <c:pt idx="16">
                  <c:v>80647.144996508898</c:v>
                </c:pt>
                <c:pt idx="17">
                  <c:v>75285.0599930178</c:v>
                </c:pt>
                <c:pt idx="18">
                  <c:v>69922.974989526701</c:v>
                </c:pt>
                <c:pt idx="19">
                  <c:v>64560.889986035589</c:v>
                </c:pt>
                <c:pt idx="20">
                  <c:v>59198.804982544483</c:v>
                </c:pt>
                <c:pt idx="21">
                  <c:v>55407.671707186644</c:v>
                </c:pt>
                <c:pt idx="22">
                  <c:v>51616.538431828805</c:v>
                </c:pt>
                <c:pt idx="23">
                  <c:v>47825.405156470966</c:v>
                </c:pt>
                <c:pt idx="24">
                  <c:v>44034.271881113127</c:v>
                </c:pt>
                <c:pt idx="25">
                  <c:v>40243.138605755288</c:v>
                </c:pt>
                <c:pt idx="26">
                  <c:v>38494.310313657894</c:v>
                </c:pt>
                <c:pt idx="27">
                  <c:v>36745.482021560492</c:v>
                </c:pt>
                <c:pt idx="28">
                  <c:v>34996.653729463098</c:v>
                </c:pt>
                <c:pt idx="29">
                  <c:v>33247.825437365704</c:v>
                </c:pt>
                <c:pt idx="30">
                  <c:v>31498.997145268306</c:v>
                </c:pt>
                <c:pt idx="31">
                  <c:v>30616.189774689905</c:v>
                </c:pt>
                <c:pt idx="32">
                  <c:v>29733.382404111508</c:v>
                </c:pt>
                <c:pt idx="33">
                  <c:v>28850.575033533107</c:v>
                </c:pt>
                <c:pt idx="34">
                  <c:v>27967.76766295471</c:v>
                </c:pt>
                <c:pt idx="35">
                  <c:v>27084.960292376309</c:v>
                </c:pt>
                <c:pt idx="36">
                  <c:v>27015.243724136952</c:v>
                </c:pt>
                <c:pt idx="37">
                  <c:v>26945.527155897598</c:v>
                </c:pt>
                <c:pt idx="38">
                  <c:v>26875.810587658241</c:v>
                </c:pt>
                <c:pt idx="39">
                  <c:v>26806.094019418888</c:v>
                </c:pt>
                <c:pt idx="40">
                  <c:v>26736.377451179531</c:v>
                </c:pt>
                <c:pt idx="41">
                  <c:v>26543.995233120586</c:v>
                </c:pt>
                <c:pt idx="42">
                  <c:v>26351.613015061641</c:v>
                </c:pt>
                <c:pt idx="43">
                  <c:v>26159.230797002696</c:v>
                </c:pt>
                <c:pt idx="44">
                  <c:v>25966.848578943751</c:v>
                </c:pt>
                <c:pt idx="45">
                  <c:v>25774.466360884806</c:v>
                </c:pt>
                <c:pt idx="46">
                  <c:v>25572.603495285184</c:v>
                </c:pt>
                <c:pt idx="47">
                  <c:v>25370.740629685562</c:v>
                </c:pt>
                <c:pt idx="48">
                  <c:v>25168.877764085937</c:v>
                </c:pt>
                <c:pt idx="49">
                  <c:v>24967.014898486315</c:v>
                </c:pt>
                <c:pt idx="50">
                  <c:v>24765.152032886694</c:v>
                </c:pt>
              </c:numCache>
            </c:numRef>
          </c:val>
          <c:smooth val="0"/>
          <c:extLst>
            <c:ext xmlns:c16="http://schemas.microsoft.com/office/drawing/2014/chart" uri="{C3380CC4-5D6E-409C-BE32-E72D297353CC}">
              <c16:uniqueId val="{00000004-DB93-BB46-93D9-13AEBF651999}"/>
            </c:ext>
          </c:extLst>
        </c:ser>
        <c:ser>
          <c:idx val="5"/>
          <c:order val="5"/>
          <c:tx>
            <c:strRef>
              <c:f>interpolation!$F$8</c:f>
              <c:strCache>
                <c:ptCount val="1"/>
                <c:pt idx="0">
                  <c:v>Uranium oxide</c:v>
                </c:pt>
              </c:strCache>
            </c:strRef>
          </c:tx>
          <c:val>
            <c:numRef>
              <c:f>interpolation!$F$9:$F$59</c:f>
              <c:numCache>
                <c:formatCode>General</c:formatCode>
                <c:ptCount val="51"/>
                <c:pt idx="0">
                  <c:v>42399.723600000012</c:v>
                </c:pt>
                <c:pt idx="1">
                  <c:v>42552.960480000009</c:v>
                </c:pt>
                <c:pt idx="2">
                  <c:v>42706.197360000006</c:v>
                </c:pt>
                <c:pt idx="3">
                  <c:v>42859.43424000001</c:v>
                </c:pt>
                <c:pt idx="4">
                  <c:v>43012.671120000006</c:v>
                </c:pt>
                <c:pt idx="5">
                  <c:v>43165.908000000003</c:v>
                </c:pt>
                <c:pt idx="6">
                  <c:v>43105.61808</c:v>
                </c:pt>
                <c:pt idx="7">
                  <c:v>43045.328160000005</c:v>
                </c:pt>
                <c:pt idx="8">
                  <c:v>42985.038240000002</c:v>
                </c:pt>
                <c:pt idx="9">
                  <c:v>42924.748320000006</c:v>
                </c:pt>
                <c:pt idx="10">
                  <c:v>42864.458400000003</c:v>
                </c:pt>
                <c:pt idx="11">
                  <c:v>42293.843703894956</c:v>
                </c:pt>
                <c:pt idx="12">
                  <c:v>41723.229007789909</c:v>
                </c:pt>
                <c:pt idx="13">
                  <c:v>41152.614311684862</c:v>
                </c:pt>
                <c:pt idx="14">
                  <c:v>40581.999615579814</c:v>
                </c:pt>
                <c:pt idx="15">
                  <c:v>40011.384919474767</c:v>
                </c:pt>
                <c:pt idx="16">
                  <c:v>40012.658422849614</c:v>
                </c:pt>
                <c:pt idx="17">
                  <c:v>40013.931926224461</c:v>
                </c:pt>
                <c:pt idx="18">
                  <c:v>40015.205429599308</c:v>
                </c:pt>
                <c:pt idx="19">
                  <c:v>40016.478932974154</c:v>
                </c:pt>
                <c:pt idx="20">
                  <c:v>40017.752436349001</c:v>
                </c:pt>
                <c:pt idx="21">
                  <c:v>40302.860233565785</c:v>
                </c:pt>
                <c:pt idx="22">
                  <c:v>40587.968030782569</c:v>
                </c:pt>
                <c:pt idx="23">
                  <c:v>40873.075827999346</c:v>
                </c:pt>
                <c:pt idx="24">
                  <c:v>41158.18362521613</c:v>
                </c:pt>
                <c:pt idx="25">
                  <c:v>41443.291422432914</c:v>
                </c:pt>
                <c:pt idx="26">
                  <c:v>41443.291422432914</c:v>
                </c:pt>
                <c:pt idx="27">
                  <c:v>41443.291422432914</c:v>
                </c:pt>
                <c:pt idx="28">
                  <c:v>41443.291422432914</c:v>
                </c:pt>
                <c:pt idx="29">
                  <c:v>41443.291422432914</c:v>
                </c:pt>
                <c:pt idx="30">
                  <c:v>41443.291422432914</c:v>
                </c:pt>
                <c:pt idx="31">
                  <c:v>33154.63313794633</c:v>
                </c:pt>
                <c:pt idx="32">
                  <c:v>24865.974853459749</c:v>
                </c:pt>
                <c:pt idx="33">
                  <c:v>16577.316568973169</c:v>
                </c:pt>
                <c:pt idx="34">
                  <c:v>8288.6582844865843</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5-DB93-BB46-93D9-13AEBF651999}"/>
            </c:ext>
          </c:extLst>
        </c:ser>
        <c:ser>
          <c:idx val="6"/>
          <c:order val="6"/>
          <c:tx>
            <c:strRef>
              <c:f>interpolation!$G$8</c:f>
              <c:strCache>
                <c:ptCount val="1"/>
                <c:pt idx="0">
                  <c:v>Woody biomass</c:v>
                </c:pt>
              </c:strCache>
            </c:strRef>
          </c:tx>
          <c:val>
            <c:numRef>
              <c:f>interpolation!$G$9:$G$59</c:f>
              <c:numCache>
                <c:formatCode>General</c:formatCode>
                <c:ptCount val="51"/>
                <c:pt idx="0">
                  <c:v>47425.86821482754</c:v>
                </c:pt>
                <c:pt idx="1">
                  <c:v>50219.67734660038</c:v>
                </c:pt>
                <c:pt idx="2">
                  <c:v>53013.486478373219</c:v>
                </c:pt>
                <c:pt idx="3">
                  <c:v>55807.295610146059</c:v>
                </c:pt>
                <c:pt idx="4">
                  <c:v>58601.104741918891</c:v>
                </c:pt>
                <c:pt idx="5">
                  <c:v>61394.91387369173</c:v>
                </c:pt>
                <c:pt idx="6">
                  <c:v>66112.380238576225</c:v>
                </c:pt>
                <c:pt idx="7">
                  <c:v>70829.846603460726</c:v>
                </c:pt>
                <c:pt idx="8">
                  <c:v>75547.312968345213</c:v>
                </c:pt>
                <c:pt idx="9">
                  <c:v>80264.779333229715</c:v>
                </c:pt>
                <c:pt idx="10">
                  <c:v>84982.245698114217</c:v>
                </c:pt>
                <c:pt idx="11">
                  <c:v>89923.837425989899</c:v>
                </c:pt>
                <c:pt idx="12">
                  <c:v>94865.429153865567</c:v>
                </c:pt>
                <c:pt idx="13">
                  <c:v>99807.020881741249</c:v>
                </c:pt>
                <c:pt idx="14">
                  <c:v>104748.61260961692</c:v>
                </c:pt>
                <c:pt idx="15">
                  <c:v>109690.2043374926</c:v>
                </c:pt>
                <c:pt idx="16">
                  <c:v>123861.1140523752</c:v>
                </c:pt>
                <c:pt idx="17">
                  <c:v>138032.02376725781</c:v>
                </c:pt>
                <c:pt idx="18">
                  <c:v>152202.93348214039</c:v>
                </c:pt>
                <c:pt idx="19">
                  <c:v>166373.84319702297</c:v>
                </c:pt>
                <c:pt idx="20">
                  <c:v>180544.75291190558</c:v>
                </c:pt>
                <c:pt idx="21">
                  <c:v>182232.75200146166</c:v>
                </c:pt>
                <c:pt idx="22">
                  <c:v>183920.75109101774</c:v>
                </c:pt>
                <c:pt idx="23">
                  <c:v>185608.75018057384</c:v>
                </c:pt>
                <c:pt idx="24">
                  <c:v>187296.74927012992</c:v>
                </c:pt>
                <c:pt idx="25">
                  <c:v>188984.748359686</c:v>
                </c:pt>
                <c:pt idx="26">
                  <c:v>193405.5983505004</c:v>
                </c:pt>
                <c:pt idx="27">
                  <c:v>197826.4483413148</c:v>
                </c:pt>
                <c:pt idx="28">
                  <c:v>202247.29833212917</c:v>
                </c:pt>
                <c:pt idx="29">
                  <c:v>206668.14832294357</c:v>
                </c:pt>
                <c:pt idx="30">
                  <c:v>211088.99831375797</c:v>
                </c:pt>
                <c:pt idx="31">
                  <c:v>212844.39900205447</c:v>
                </c:pt>
                <c:pt idx="32">
                  <c:v>214599.79969035098</c:v>
                </c:pt>
                <c:pt idx="33">
                  <c:v>216355.20037864745</c:v>
                </c:pt>
                <c:pt idx="34">
                  <c:v>218110.60106694396</c:v>
                </c:pt>
                <c:pt idx="35">
                  <c:v>219866.00175524046</c:v>
                </c:pt>
                <c:pt idx="36">
                  <c:v>222685.0155371468</c:v>
                </c:pt>
                <c:pt idx="37">
                  <c:v>225504.02931905314</c:v>
                </c:pt>
                <c:pt idx="38">
                  <c:v>228323.04310095948</c:v>
                </c:pt>
                <c:pt idx="39">
                  <c:v>231142.05688286581</c:v>
                </c:pt>
                <c:pt idx="40">
                  <c:v>233961.07066477215</c:v>
                </c:pt>
                <c:pt idx="41">
                  <c:v>236183.51827081907</c:v>
                </c:pt>
                <c:pt idx="42">
                  <c:v>238405.96587686599</c:v>
                </c:pt>
                <c:pt idx="43">
                  <c:v>240628.41348291287</c:v>
                </c:pt>
                <c:pt idx="44">
                  <c:v>242850.86108895979</c:v>
                </c:pt>
                <c:pt idx="45">
                  <c:v>245073.30869500671</c:v>
                </c:pt>
                <c:pt idx="46">
                  <c:v>247418.48798592397</c:v>
                </c:pt>
                <c:pt idx="47">
                  <c:v>249763.66727684124</c:v>
                </c:pt>
                <c:pt idx="48">
                  <c:v>252108.84656775848</c:v>
                </c:pt>
                <c:pt idx="49">
                  <c:v>254454.02585867574</c:v>
                </c:pt>
                <c:pt idx="50">
                  <c:v>256799.20514959301</c:v>
                </c:pt>
              </c:numCache>
            </c:numRef>
          </c:val>
          <c:smooth val="0"/>
          <c:extLst>
            <c:ext xmlns:c16="http://schemas.microsoft.com/office/drawing/2014/chart" uri="{C3380CC4-5D6E-409C-BE32-E72D297353CC}">
              <c16:uniqueId val="{00000006-DB93-BB46-93D9-13AEBF651999}"/>
            </c:ext>
          </c:extLst>
        </c:ser>
        <c:dLbls>
          <c:showLegendKey val="0"/>
          <c:showVal val="0"/>
          <c:showCatName val="0"/>
          <c:showSerName val="0"/>
          <c:showPercent val="0"/>
          <c:showBubbleSize val="0"/>
        </c:dLbls>
        <c:marker val="1"/>
        <c:smooth val="0"/>
        <c:axId val="2081365240"/>
        <c:axId val="2081398328"/>
      </c:lineChart>
      <c:catAx>
        <c:axId val="2081365240"/>
        <c:scaling>
          <c:orientation val="minMax"/>
        </c:scaling>
        <c:delete val="0"/>
        <c:axPos val="b"/>
        <c:majorTickMark val="out"/>
        <c:minorTickMark val="none"/>
        <c:tickLblPos val="nextTo"/>
        <c:crossAx val="2081398328"/>
        <c:crosses val="autoZero"/>
        <c:auto val="1"/>
        <c:lblAlgn val="ctr"/>
        <c:lblOffset val="100"/>
        <c:noMultiLvlLbl val="0"/>
      </c:catAx>
      <c:valAx>
        <c:axId val="2081398328"/>
        <c:scaling>
          <c:orientation val="minMax"/>
        </c:scaling>
        <c:delete val="0"/>
        <c:axPos val="l"/>
        <c:majorGridlines/>
        <c:numFmt formatCode="General" sourceLinked="1"/>
        <c:majorTickMark val="out"/>
        <c:minorTickMark val="none"/>
        <c:tickLblPos val="nextTo"/>
        <c:crossAx val="2081365240"/>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50800</xdr:colOff>
      <xdr:row>8</xdr:row>
      <xdr:rowOff>90487</xdr:rowOff>
    </xdr:from>
    <xdr:to>
      <xdr:col>17</xdr:col>
      <xdr:colOff>457199</xdr:colOff>
      <xdr:row>28</xdr:row>
      <xdr:rowOff>165100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101600</xdr:colOff>
      <xdr:row>14</xdr:row>
      <xdr:rowOff>0</xdr:rowOff>
    </xdr:from>
    <xdr:to>
      <xdr:col>16</xdr:col>
      <xdr:colOff>774700</xdr:colOff>
      <xdr:row>34</xdr:row>
      <xdr:rowOff>50800</xdr:rowOff>
    </xdr:to>
    <xdr:pic>
      <xdr:nvPicPr>
        <xdr:cNvPr id="2" name="Picture 1">
          <a:extLst>
            <a:ext uri="{FF2B5EF4-FFF2-40B4-BE49-F238E27FC236}">
              <a16:creationId xmlns:a16="http://schemas.microsoft.com/office/drawing/2014/main" id="{D3430825-CF4C-D547-849C-8849FAF28CED}"/>
            </a:ext>
          </a:extLst>
        </xdr:cNvPr>
        <xdr:cNvPicPr>
          <a:picLocks noChangeAspect="1"/>
        </xdr:cNvPicPr>
      </xdr:nvPicPr>
      <xdr:blipFill>
        <a:blip xmlns:r="http://schemas.openxmlformats.org/officeDocument/2006/relationships" r:embed="rId1"/>
        <a:stretch>
          <a:fillRect/>
        </a:stretch>
      </xdr:blipFill>
      <xdr:spPr>
        <a:xfrm>
          <a:off x="5346700" y="2819400"/>
          <a:ext cx="8102600" cy="41148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example</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rijksoverheid.nl/ministeries/ministerie-van-economische-zaken-en-klimaat/documenten/brieven/2019/01/31/brief-gasunie-over-raming-benodigd-groningenvolume"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nlog.nl/sites/default/files/jaarverslag%20delfstoffen%20en%20aardwarmt%20in%20nederland%20-%202017.pdf"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2"/>
  </sheetPr>
  <dimension ref="B2:H39"/>
  <sheetViews>
    <sheetView workbookViewId="0">
      <selection activeCell="C7" sqref="C7"/>
    </sheetView>
  </sheetViews>
  <sheetFormatPr baseColWidth="10" defaultRowHeight="16"/>
  <cols>
    <col min="1" max="1" width="10.83203125" style="14"/>
    <col min="2" max="2" width="13.33203125" style="14" customWidth="1"/>
    <col min="3" max="3" width="44" style="14" customWidth="1"/>
    <col min="4" max="13" width="10.83203125" style="14" customWidth="1"/>
    <col min="14" max="16384" width="10.83203125" style="14"/>
  </cols>
  <sheetData>
    <row r="2" spans="2:8" ht="21">
      <c r="B2" s="13" t="s">
        <v>24</v>
      </c>
    </row>
    <row r="4" spans="2:8">
      <c r="B4" s="15" t="s">
        <v>25</v>
      </c>
      <c r="C4" s="16" t="s">
        <v>49</v>
      </c>
      <c r="D4" s="17"/>
      <c r="F4" s="18"/>
      <c r="G4" s="19"/>
      <c r="H4" s="18"/>
    </row>
    <row r="5" spans="2:8">
      <c r="B5" s="20" t="s">
        <v>26</v>
      </c>
      <c r="C5" s="130">
        <f>MAX(Changelog!D:D)</f>
        <v>1.01</v>
      </c>
      <c r="D5" s="22"/>
      <c r="F5" s="19"/>
      <c r="G5" s="19"/>
      <c r="H5" s="19"/>
    </row>
    <row r="6" spans="2:8">
      <c r="B6" s="20" t="s">
        <v>27</v>
      </c>
      <c r="C6" s="21" t="s">
        <v>107</v>
      </c>
      <c r="D6" s="22"/>
      <c r="F6" s="19"/>
      <c r="G6" s="19"/>
      <c r="H6" s="19"/>
    </row>
    <row r="7" spans="2:8">
      <c r="B7" s="20" t="s">
        <v>28</v>
      </c>
      <c r="C7" s="21">
        <v>2012</v>
      </c>
      <c r="D7" s="22"/>
      <c r="F7" s="19"/>
      <c r="G7" s="19"/>
      <c r="H7" s="19"/>
    </row>
    <row r="8" spans="2:8">
      <c r="B8" s="20" t="s">
        <v>29</v>
      </c>
      <c r="C8" s="23">
        <f>MAX(Changelog!B:B)</f>
        <v>41828</v>
      </c>
      <c r="D8" s="22"/>
      <c r="F8" s="19"/>
      <c r="G8" s="19"/>
      <c r="H8" s="19"/>
    </row>
    <row r="9" spans="2:8">
      <c r="B9" s="20" t="s">
        <v>30</v>
      </c>
      <c r="C9" s="19" t="s">
        <v>76</v>
      </c>
      <c r="D9" s="22"/>
      <c r="F9" s="19"/>
      <c r="G9" s="19"/>
      <c r="H9" s="19"/>
    </row>
    <row r="10" spans="2:8">
      <c r="B10" s="24" t="s">
        <v>31</v>
      </c>
      <c r="C10" s="25" t="s">
        <v>32</v>
      </c>
      <c r="D10" s="26"/>
      <c r="F10" s="19"/>
      <c r="G10" s="19"/>
      <c r="H10" s="19"/>
    </row>
    <row r="12" spans="2:8">
      <c r="B12" s="15" t="s">
        <v>33</v>
      </c>
      <c r="C12" s="16"/>
      <c r="D12" s="17"/>
    </row>
    <row r="13" spans="2:8">
      <c r="B13" s="27"/>
      <c r="C13" s="19"/>
      <c r="D13" s="22"/>
    </row>
    <row r="14" spans="2:8">
      <c r="B14" s="27" t="s">
        <v>34</v>
      </c>
      <c r="C14" s="28" t="s">
        <v>35</v>
      </c>
      <c r="D14" s="22"/>
    </row>
    <row r="15" spans="2:8" ht="17" thickBot="1">
      <c r="B15" s="27"/>
      <c r="C15" s="18" t="s">
        <v>36</v>
      </c>
      <c r="D15" s="22"/>
    </row>
    <row r="16" spans="2:8" ht="17" thickBot="1">
      <c r="B16" s="27"/>
      <c r="C16" s="29" t="s">
        <v>37</v>
      </c>
      <c r="D16" s="22"/>
    </row>
    <row r="17" spans="2:4">
      <c r="B17" s="27"/>
      <c r="C17" s="19" t="s">
        <v>38</v>
      </c>
      <c r="D17" s="22"/>
    </row>
    <row r="18" spans="2:4">
      <c r="B18" s="27"/>
      <c r="C18" s="19"/>
      <c r="D18" s="22"/>
    </row>
    <row r="19" spans="2:4">
      <c r="B19" s="27" t="s">
        <v>39</v>
      </c>
      <c r="C19" s="30" t="s">
        <v>40</v>
      </c>
      <c r="D19" s="22"/>
    </row>
    <row r="20" spans="2:4">
      <c r="B20" s="27"/>
      <c r="C20" s="31" t="s">
        <v>41</v>
      </c>
      <c r="D20" s="22"/>
    </row>
    <row r="21" spans="2:4">
      <c r="B21" s="27"/>
      <c r="C21" s="32" t="s">
        <v>42</v>
      </c>
      <c r="D21" s="22"/>
    </row>
    <row r="22" spans="2:4">
      <c r="B22" s="27"/>
      <c r="C22" s="33" t="s">
        <v>43</v>
      </c>
      <c r="D22" s="22"/>
    </row>
    <row r="23" spans="2:4">
      <c r="B23" s="34"/>
      <c r="C23" s="35" t="s">
        <v>44</v>
      </c>
      <c r="D23" s="22"/>
    </row>
    <row r="24" spans="2:4">
      <c r="B24" s="34"/>
      <c r="C24" s="36" t="s">
        <v>45</v>
      </c>
      <c r="D24" s="22"/>
    </row>
    <row r="25" spans="2:4">
      <c r="B25" s="34"/>
      <c r="C25" s="37" t="s">
        <v>46</v>
      </c>
      <c r="D25" s="22"/>
    </row>
    <row r="26" spans="2:4">
      <c r="B26" s="34"/>
      <c r="C26" s="38" t="s">
        <v>47</v>
      </c>
      <c r="D26" s="22"/>
    </row>
    <row r="27" spans="2:4">
      <c r="B27" s="39"/>
      <c r="C27" s="25"/>
      <c r="D27" s="26"/>
    </row>
    <row r="29" spans="2:4">
      <c r="B29" s="15" t="s">
        <v>48</v>
      </c>
      <c r="C29" s="16"/>
      <c r="D29" s="17"/>
    </row>
    <row r="30" spans="2:4">
      <c r="B30" s="34"/>
      <c r="C30" s="19"/>
      <c r="D30" s="22"/>
    </row>
    <row r="31" spans="2:4">
      <c r="B31" s="34"/>
      <c r="C31" s="19"/>
      <c r="D31" s="22"/>
    </row>
    <row r="32" spans="2:4">
      <c r="B32" s="34"/>
      <c r="C32" s="19"/>
      <c r="D32" s="22"/>
    </row>
    <row r="33" spans="2:4">
      <c r="B33" s="34"/>
      <c r="C33" s="19"/>
      <c r="D33" s="22"/>
    </row>
    <row r="34" spans="2:4">
      <c r="B34" s="34"/>
      <c r="C34" s="19"/>
      <c r="D34" s="22"/>
    </row>
    <row r="35" spans="2:4">
      <c r="B35" s="34"/>
      <c r="C35" s="19"/>
      <c r="D35" s="22"/>
    </row>
    <row r="36" spans="2:4">
      <c r="B36" s="34"/>
      <c r="C36" s="19"/>
      <c r="D36" s="22"/>
    </row>
    <row r="37" spans="2:4">
      <c r="B37" s="34"/>
      <c r="C37" s="19"/>
      <c r="D37" s="22"/>
    </row>
    <row r="38" spans="2:4">
      <c r="B38" s="34"/>
      <c r="C38" s="19"/>
      <c r="D38" s="22"/>
    </row>
    <row r="39" spans="2:4">
      <c r="B39" s="39"/>
      <c r="C39" s="25"/>
      <c r="D39" s="26"/>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2"/>
  </sheetPr>
  <dimension ref="B2:D45"/>
  <sheetViews>
    <sheetView workbookViewId="0">
      <selection activeCell="D8" sqref="D8"/>
    </sheetView>
  </sheetViews>
  <sheetFormatPr baseColWidth="10" defaultRowHeight="16"/>
  <cols>
    <col min="1" max="1" width="10.83203125" style="14"/>
    <col min="2" max="2" width="17.6640625" style="14" bestFit="1" customWidth="1"/>
    <col min="3" max="3" width="59.5" style="14" customWidth="1"/>
    <col min="4" max="16384" width="10.83203125" style="14"/>
  </cols>
  <sheetData>
    <row r="2" spans="2:4" ht="21">
      <c r="B2" s="13" t="s">
        <v>50</v>
      </c>
    </row>
    <row r="4" spans="2:4">
      <c r="B4" s="40" t="s">
        <v>29</v>
      </c>
      <c r="C4" s="41" t="s">
        <v>51</v>
      </c>
      <c r="D4" s="42" t="s">
        <v>52</v>
      </c>
    </row>
    <row r="5" spans="2:4">
      <c r="B5" s="43"/>
      <c r="C5" s="18"/>
      <c r="D5" s="44"/>
    </row>
    <row r="6" spans="2:4">
      <c r="B6" s="45">
        <v>41794</v>
      </c>
      <c r="C6" s="46" t="s">
        <v>75</v>
      </c>
      <c r="D6" s="47">
        <v>1</v>
      </c>
    </row>
    <row r="7" spans="2:4">
      <c r="B7" s="48">
        <v>41828</v>
      </c>
      <c r="C7" s="46" t="s">
        <v>108</v>
      </c>
      <c r="D7" s="47">
        <v>1.01</v>
      </c>
    </row>
    <row r="8" spans="2:4">
      <c r="B8" s="48"/>
      <c r="C8" s="46"/>
      <c r="D8" s="47"/>
    </row>
    <row r="9" spans="2:4">
      <c r="B9" s="48"/>
      <c r="C9" s="46"/>
      <c r="D9" s="47"/>
    </row>
    <row r="10" spans="2:4">
      <c r="B10" s="48"/>
      <c r="C10" s="46"/>
      <c r="D10" s="47"/>
    </row>
    <row r="11" spans="2:4">
      <c r="B11" s="48"/>
      <c r="C11" s="46"/>
      <c r="D11" s="47"/>
    </row>
    <row r="12" spans="2:4">
      <c r="B12" s="48"/>
      <c r="C12" s="46"/>
      <c r="D12" s="47"/>
    </row>
    <row r="13" spans="2:4">
      <c r="B13" s="48"/>
      <c r="C13" s="46"/>
      <c r="D13" s="47"/>
    </row>
    <row r="14" spans="2:4">
      <c r="B14" s="48"/>
      <c r="C14" s="49"/>
      <c r="D14" s="47"/>
    </row>
    <row r="15" spans="2:4">
      <c r="B15" s="48"/>
      <c r="C15" s="46"/>
      <c r="D15" s="47"/>
    </row>
    <row r="16" spans="2:4">
      <c r="B16" s="50"/>
      <c r="C16" s="51"/>
      <c r="D16" s="47"/>
    </row>
    <row r="17" spans="2:4">
      <c r="B17" s="48"/>
      <c r="C17" s="46"/>
      <c r="D17" s="47"/>
    </row>
    <row r="18" spans="2:4">
      <c r="B18" s="48"/>
      <c r="C18" s="49"/>
      <c r="D18" s="47"/>
    </row>
    <row r="19" spans="2:4">
      <c r="B19" s="48"/>
      <c r="C19" s="46"/>
      <c r="D19" s="47"/>
    </row>
    <row r="20" spans="2:4">
      <c r="B20" s="48"/>
      <c r="C20" s="46"/>
      <c r="D20" s="47"/>
    </row>
    <row r="21" spans="2:4">
      <c r="B21" s="48"/>
      <c r="C21" s="49"/>
      <c r="D21" s="47"/>
    </row>
    <row r="22" spans="2:4">
      <c r="B22" s="52"/>
      <c r="C22" s="51"/>
      <c r="D22" s="53"/>
    </row>
    <row r="23" spans="2:4">
      <c r="B23" s="52"/>
      <c r="C23" s="51"/>
      <c r="D23" s="53"/>
    </row>
    <row r="24" spans="2:4">
      <c r="B24" s="52"/>
      <c r="C24" s="51"/>
      <c r="D24" s="53"/>
    </row>
    <row r="25" spans="2:4">
      <c r="B25" s="52"/>
      <c r="C25" s="51"/>
      <c r="D25" s="53"/>
    </row>
    <row r="26" spans="2:4">
      <c r="B26" s="52"/>
      <c r="C26" s="51"/>
      <c r="D26" s="53"/>
    </row>
    <row r="27" spans="2:4">
      <c r="B27" s="52"/>
      <c r="C27" s="51"/>
      <c r="D27" s="53"/>
    </row>
    <row r="28" spans="2:4">
      <c r="B28" s="52"/>
      <c r="C28" s="51"/>
      <c r="D28" s="53"/>
    </row>
    <row r="29" spans="2:4">
      <c r="B29" s="52"/>
      <c r="C29" s="51"/>
      <c r="D29" s="53"/>
    </row>
    <row r="30" spans="2:4">
      <c r="B30" s="52"/>
      <c r="C30" s="51"/>
      <c r="D30" s="53"/>
    </row>
    <row r="31" spans="2:4">
      <c r="B31" s="54"/>
      <c r="C31" s="55"/>
      <c r="D31" s="56"/>
    </row>
    <row r="32" spans="2:4">
      <c r="B32" s="52"/>
      <c r="C32" s="51"/>
      <c r="D32" s="53"/>
    </row>
    <row r="33" spans="2:4">
      <c r="B33" s="52"/>
      <c r="C33" s="51"/>
      <c r="D33" s="53"/>
    </row>
    <row r="34" spans="2:4">
      <c r="B34" s="52"/>
      <c r="C34" s="51"/>
      <c r="D34" s="53"/>
    </row>
    <row r="35" spans="2:4">
      <c r="B35" s="52"/>
      <c r="C35" s="51"/>
      <c r="D35" s="53"/>
    </row>
    <row r="36" spans="2:4">
      <c r="B36" s="48"/>
      <c r="C36" s="46"/>
      <c r="D36" s="47"/>
    </row>
    <row r="37" spans="2:4">
      <c r="B37" s="57"/>
      <c r="C37" s="58"/>
      <c r="D37" s="59"/>
    </row>
    <row r="38" spans="2:4">
      <c r="D38" s="60"/>
    </row>
    <row r="39" spans="2:4">
      <c r="D39" s="60"/>
    </row>
    <row r="40" spans="2:4">
      <c r="D40" s="60"/>
    </row>
    <row r="41" spans="2:4">
      <c r="D41" s="60"/>
    </row>
    <row r="42" spans="2:4">
      <c r="D42" s="60"/>
    </row>
    <row r="43" spans="2:4">
      <c r="D43" s="60"/>
    </row>
    <row r="44" spans="2:4">
      <c r="D44" s="60"/>
    </row>
    <row r="45" spans="2:4">
      <c r="D45" s="60"/>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sheetPr>
  <dimension ref="B2:C14"/>
  <sheetViews>
    <sheetView workbookViewId="0">
      <selection activeCell="C12" sqref="C12"/>
    </sheetView>
  </sheetViews>
  <sheetFormatPr baseColWidth="10" defaultRowHeight="16"/>
  <cols>
    <col min="1" max="1" width="8.6640625" style="14" customWidth="1"/>
    <col min="2" max="2" width="35.83203125" style="14" customWidth="1"/>
    <col min="3" max="3" width="100.83203125" style="14" customWidth="1"/>
    <col min="4" max="16384" width="10.83203125" style="14"/>
  </cols>
  <sheetData>
    <row r="2" spans="2:3" ht="21">
      <c r="B2" s="13" t="s">
        <v>53</v>
      </c>
    </row>
    <row r="4" spans="2:3" ht="30" customHeight="1">
      <c r="B4" s="61" t="s">
        <v>54</v>
      </c>
      <c r="C4" s="62" t="s">
        <v>55</v>
      </c>
    </row>
    <row r="5" spans="2:3" s="65" customFormat="1" ht="30" customHeight="1">
      <c r="B5" s="63" t="s">
        <v>24</v>
      </c>
      <c r="C5" s="64" t="s">
        <v>56</v>
      </c>
    </row>
    <row r="6" spans="2:3" s="65" customFormat="1" ht="30" customHeight="1">
      <c r="B6" s="66" t="s">
        <v>50</v>
      </c>
      <c r="C6" s="67" t="s">
        <v>57</v>
      </c>
    </row>
    <row r="7" spans="2:3" s="65" customFormat="1" ht="30" customHeight="1">
      <c r="B7" s="66" t="s">
        <v>53</v>
      </c>
      <c r="C7" s="64" t="s">
        <v>58</v>
      </c>
    </row>
    <row r="8" spans="2:3" s="65" customFormat="1" ht="30" customHeight="1">
      <c r="B8" s="66" t="s">
        <v>59</v>
      </c>
      <c r="C8" s="64" t="s">
        <v>60</v>
      </c>
    </row>
    <row r="9" spans="2:3" s="65" customFormat="1" ht="30" customHeight="1">
      <c r="B9" s="66" t="s">
        <v>18</v>
      </c>
      <c r="C9" s="64" t="s">
        <v>61</v>
      </c>
    </row>
    <row r="10" spans="2:3" s="65" customFormat="1" ht="30" customHeight="1">
      <c r="B10" s="68" t="s">
        <v>41</v>
      </c>
      <c r="C10" s="64" t="s">
        <v>62</v>
      </c>
    </row>
    <row r="11" spans="2:3" s="65" customFormat="1" ht="30" customHeight="1">
      <c r="B11" s="70" t="s">
        <v>103</v>
      </c>
      <c r="C11" s="64" t="s">
        <v>104</v>
      </c>
    </row>
    <row r="12" spans="2:3" s="65" customFormat="1" ht="30" customHeight="1">
      <c r="B12" s="70" t="s">
        <v>80</v>
      </c>
      <c r="C12" s="64" t="s">
        <v>83</v>
      </c>
    </row>
    <row r="13" spans="2:3" s="65" customFormat="1" ht="30" customHeight="1">
      <c r="B13" s="70" t="s">
        <v>79</v>
      </c>
      <c r="C13" s="69" t="s">
        <v>84</v>
      </c>
    </row>
    <row r="14" spans="2:3" s="65" customFormat="1" ht="30" customHeight="1">
      <c r="B14" s="71" t="s">
        <v>77</v>
      </c>
      <c r="C14" s="64"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2"/>
  </sheetPr>
  <dimension ref="B2:C31"/>
  <sheetViews>
    <sheetView workbookViewId="0">
      <selection activeCell="B17" sqref="B17"/>
    </sheetView>
  </sheetViews>
  <sheetFormatPr baseColWidth="10" defaultRowHeight="16"/>
  <cols>
    <col min="1" max="1" width="10.83203125" style="14" customWidth="1"/>
    <col min="2" max="2" width="140.83203125" style="14" customWidth="1"/>
    <col min="3" max="3" width="20.33203125" style="14" customWidth="1"/>
    <col min="4" max="16384" width="10.83203125" style="14"/>
  </cols>
  <sheetData>
    <row r="2" spans="2:3" ht="21">
      <c r="B2" s="13" t="s">
        <v>59</v>
      </c>
    </row>
    <row r="4" spans="2:3">
      <c r="B4" s="72" t="s">
        <v>63</v>
      </c>
      <c r="C4" s="19"/>
    </row>
    <row r="5" spans="2:3">
      <c r="B5" s="73"/>
      <c r="C5" s="19"/>
    </row>
    <row r="6" spans="2:3" ht="34">
      <c r="B6" s="74" t="s">
        <v>100</v>
      </c>
      <c r="C6" s="19"/>
    </row>
    <row r="7" spans="2:3">
      <c r="B7" s="75"/>
      <c r="C7" s="19"/>
    </row>
    <row r="8" spans="2:3" ht="15" customHeight="1">
      <c r="B8" s="76"/>
      <c r="C8" s="19"/>
    </row>
    <row r="9" spans="2:3" ht="15" customHeight="1">
      <c r="B9" s="72" t="s">
        <v>64</v>
      </c>
      <c r="C9" s="19"/>
    </row>
    <row r="10" spans="2:3" ht="15" customHeight="1">
      <c r="B10" s="73"/>
      <c r="C10" s="19"/>
    </row>
    <row r="11" spans="2:3" ht="15" customHeight="1">
      <c r="B11" s="77" t="s">
        <v>85</v>
      </c>
      <c r="C11" s="19"/>
    </row>
    <row r="12" spans="2:3" ht="15" customHeight="1">
      <c r="B12" s="77" t="s">
        <v>86</v>
      </c>
      <c r="C12" s="19"/>
    </row>
    <row r="13" spans="2:3" ht="15" customHeight="1">
      <c r="B13" s="77" t="s">
        <v>87</v>
      </c>
      <c r="C13" s="19"/>
    </row>
    <row r="14" spans="2:3" ht="15" customHeight="1">
      <c r="B14" s="77" t="s">
        <v>81</v>
      </c>
      <c r="C14" s="19"/>
    </row>
    <row r="15" spans="2:3" ht="15" customHeight="1">
      <c r="B15" s="77" t="s">
        <v>101</v>
      </c>
      <c r="C15" s="19"/>
    </row>
    <row r="16" spans="2:3" ht="15" customHeight="1">
      <c r="B16" s="77" t="s">
        <v>102</v>
      </c>
      <c r="C16" s="19"/>
    </row>
    <row r="17" spans="2:3" ht="15" customHeight="1">
      <c r="B17" s="78"/>
      <c r="C17" s="19"/>
    </row>
    <row r="18" spans="2:3">
      <c r="B18" s="79"/>
    </row>
    <row r="19" spans="2:3">
      <c r="B19" s="80" t="s">
        <v>65</v>
      </c>
    </row>
    <row r="20" spans="2:3">
      <c r="B20" s="81"/>
    </row>
    <row r="21" spans="2:3" ht="102">
      <c r="B21" s="82" t="s">
        <v>66</v>
      </c>
    </row>
    <row r="22" spans="2:3">
      <c r="B22" s="83"/>
    </row>
    <row r="25" spans="2:3" ht="15" customHeight="1"/>
    <row r="31" spans="2:3"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2"/>
  </sheetPr>
  <dimension ref="A2:F22"/>
  <sheetViews>
    <sheetView workbookViewId="0">
      <selection activeCell="C20" sqref="C20"/>
    </sheetView>
  </sheetViews>
  <sheetFormatPr baseColWidth="10" defaultRowHeight="16"/>
  <cols>
    <col min="1" max="1" width="10.83203125" style="14"/>
    <col min="2" max="2" width="25.83203125" style="14" customWidth="1"/>
    <col min="3" max="4" width="75.83203125" style="14" customWidth="1"/>
    <col min="5" max="16384" width="10.83203125" style="14"/>
  </cols>
  <sheetData>
    <row r="2" spans="1:6" ht="21">
      <c r="B2" s="13" t="s">
        <v>18</v>
      </c>
      <c r="C2" s="13"/>
    </row>
    <row r="3" spans="1:6">
      <c r="A3" s="84"/>
      <c r="B3" s="84"/>
      <c r="C3" s="84"/>
      <c r="D3" s="84"/>
    </row>
    <row r="4" spans="1:6">
      <c r="A4" s="84"/>
      <c r="B4" s="85" t="s">
        <v>67</v>
      </c>
      <c r="C4" s="86"/>
      <c r="D4" s="84"/>
    </row>
    <row r="5" spans="1:6" ht="79" customHeight="1">
      <c r="A5" s="84"/>
      <c r="B5" s="183" t="s">
        <v>68</v>
      </c>
      <c r="C5" s="184"/>
      <c r="D5" s="84"/>
    </row>
    <row r="6" spans="1:6" ht="17" thickBot="1">
      <c r="A6" s="84"/>
      <c r="B6" s="84"/>
      <c r="C6" s="84"/>
      <c r="D6" s="84"/>
    </row>
    <row r="7" spans="1:6">
      <c r="A7" s="84"/>
      <c r="B7" s="87" t="s">
        <v>69</v>
      </c>
      <c r="C7" s="88"/>
      <c r="D7" s="89"/>
    </row>
    <row r="8" spans="1:6">
      <c r="A8" s="84"/>
      <c r="B8" s="90"/>
      <c r="C8" s="91"/>
      <c r="D8" s="92"/>
      <c r="F8" s="93"/>
    </row>
    <row r="9" spans="1:6">
      <c r="A9" s="84"/>
      <c r="B9" s="94" t="s">
        <v>70</v>
      </c>
      <c r="C9" s="95" t="s">
        <v>71</v>
      </c>
      <c r="D9" s="96" t="s">
        <v>72</v>
      </c>
    </row>
    <row r="10" spans="1:6">
      <c r="A10" s="84"/>
      <c r="B10" s="97"/>
      <c r="C10" s="98"/>
      <c r="D10" s="99"/>
    </row>
    <row r="11" spans="1:6" ht="34">
      <c r="B11" s="102"/>
      <c r="C11" s="101" t="s">
        <v>88</v>
      </c>
      <c r="D11" s="103"/>
      <c r="F11" s="104"/>
    </row>
    <row r="12" spans="1:6">
      <c r="B12" s="102"/>
      <c r="C12" s="101"/>
      <c r="D12" s="103"/>
      <c r="F12" s="104"/>
    </row>
    <row r="13" spans="1:6" ht="17" thickBot="1">
      <c r="B13" s="105"/>
      <c r="C13" s="106"/>
      <c r="D13" s="107"/>
    </row>
    <row r="14" spans="1:6" ht="17" thickBot="1">
      <c r="B14" s="84"/>
      <c r="C14" s="84"/>
      <c r="D14" s="84"/>
    </row>
    <row r="15" spans="1:6">
      <c r="B15" s="87" t="s">
        <v>73</v>
      </c>
      <c r="C15" s="88"/>
      <c r="D15" s="89"/>
    </row>
    <row r="16" spans="1:6">
      <c r="B16" s="90"/>
      <c r="C16" s="91"/>
      <c r="D16" s="92"/>
    </row>
    <row r="17" spans="2:4">
      <c r="B17" s="94" t="s">
        <v>70</v>
      </c>
      <c r="C17" s="95" t="s">
        <v>71</v>
      </c>
      <c r="D17" s="96" t="s">
        <v>74</v>
      </c>
    </row>
    <row r="18" spans="2:4">
      <c r="B18" s="97"/>
      <c r="C18" s="108"/>
      <c r="D18" s="99"/>
    </row>
    <row r="19" spans="2:4" ht="34">
      <c r="B19" s="100"/>
      <c r="C19" s="101" t="s">
        <v>122</v>
      </c>
      <c r="D19" s="103"/>
    </row>
    <row r="20" spans="2:4">
      <c r="B20" s="100"/>
      <c r="C20" s="109"/>
      <c r="D20" s="110"/>
    </row>
    <row r="21" spans="2:4" ht="17" thickBot="1">
      <c r="B21" s="111"/>
      <c r="C21" s="112"/>
      <c r="D21" s="113"/>
    </row>
    <row r="22" spans="2:4">
      <c r="B22" s="84"/>
      <c r="C22" s="84"/>
      <c r="D22" s="84"/>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P35"/>
  <sheetViews>
    <sheetView workbookViewId="0">
      <selection activeCell="H34" sqref="H34"/>
    </sheetView>
  </sheetViews>
  <sheetFormatPr baseColWidth="10" defaultRowHeight="16"/>
  <cols>
    <col min="1" max="1" width="10.83203125" style="1"/>
    <col min="2" max="2" width="28.6640625" style="1" customWidth="1"/>
    <col min="3" max="16384" width="10.83203125" style="1"/>
  </cols>
  <sheetData>
    <row r="1" spans="1:16">
      <c r="A1" s="14"/>
      <c r="B1" s="14"/>
      <c r="C1" s="14"/>
      <c r="D1" s="114"/>
      <c r="E1" s="84"/>
      <c r="F1" s="84"/>
      <c r="G1" s="84"/>
      <c r="H1" s="84"/>
      <c r="I1" s="84"/>
      <c r="J1" s="14"/>
      <c r="K1" s="14"/>
      <c r="L1" s="14"/>
      <c r="M1" s="14"/>
      <c r="N1" s="14"/>
      <c r="O1" s="14"/>
      <c r="P1" s="14"/>
    </row>
    <row r="2" spans="1:16" ht="21">
      <c r="A2" s="14"/>
      <c r="B2" s="13" t="s">
        <v>41</v>
      </c>
      <c r="C2" s="14"/>
      <c r="D2" s="114"/>
      <c r="E2" s="84"/>
      <c r="F2" s="84"/>
      <c r="G2" s="84"/>
      <c r="H2" s="84"/>
      <c r="I2" s="84"/>
      <c r="J2" s="14"/>
      <c r="K2" s="121"/>
      <c r="L2" s="18"/>
      <c r="M2" s="19"/>
      <c r="N2" s="14"/>
      <c r="O2" s="14"/>
      <c r="P2" s="14"/>
    </row>
    <row r="3" spans="1:16" ht="15" customHeight="1">
      <c r="A3" s="14"/>
      <c r="B3" s="115"/>
      <c r="C3" s="84"/>
      <c r="D3" s="116"/>
      <c r="E3" s="84"/>
      <c r="F3" s="84"/>
      <c r="G3" s="84"/>
      <c r="H3" s="84"/>
      <c r="I3" s="84"/>
      <c r="J3" s="84"/>
      <c r="K3" s="122"/>
      <c r="L3" s="19"/>
      <c r="M3" s="19"/>
      <c r="N3" s="14"/>
      <c r="O3" s="14"/>
      <c r="P3" s="14"/>
    </row>
    <row r="4" spans="1:16" ht="15" customHeight="1">
      <c r="A4" s="14"/>
      <c r="B4" s="117" t="s">
        <v>67</v>
      </c>
      <c r="C4" s="118"/>
      <c r="D4" s="118"/>
      <c r="E4" s="118"/>
      <c r="F4" s="118"/>
      <c r="G4" s="119"/>
      <c r="H4" s="91"/>
      <c r="I4" s="91"/>
      <c r="J4" s="84"/>
      <c r="K4" s="123"/>
      <c r="L4" s="19"/>
      <c r="M4" s="19"/>
      <c r="N4" s="14"/>
      <c r="O4" s="14"/>
      <c r="P4" s="14"/>
    </row>
    <row r="5" spans="1:16" ht="15" customHeight="1">
      <c r="A5" s="14"/>
      <c r="B5" s="185" t="s">
        <v>105</v>
      </c>
      <c r="C5" s="186"/>
      <c r="D5" s="186"/>
      <c r="E5" s="186"/>
      <c r="F5" s="186"/>
      <c r="G5" s="187"/>
      <c r="H5" s="120"/>
      <c r="I5" s="120"/>
      <c r="J5" s="84"/>
      <c r="K5" s="124"/>
      <c r="L5" s="19"/>
      <c r="M5" s="19"/>
      <c r="N5" s="14"/>
      <c r="O5" s="14"/>
      <c r="P5" s="14"/>
    </row>
    <row r="6" spans="1:16">
      <c r="A6" s="14"/>
      <c r="B6" s="185"/>
      <c r="C6" s="186"/>
      <c r="D6" s="186"/>
      <c r="E6" s="186"/>
      <c r="F6" s="186"/>
      <c r="G6" s="187"/>
      <c r="H6" s="120"/>
      <c r="I6" s="120"/>
      <c r="J6" s="84"/>
      <c r="K6" s="124"/>
      <c r="L6" s="19"/>
      <c r="M6" s="19"/>
      <c r="N6" s="14"/>
      <c r="O6" s="14"/>
      <c r="P6" s="14"/>
    </row>
    <row r="7" spans="1:16">
      <c r="A7" s="14"/>
      <c r="B7" s="183"/>
      <c r="C7" s="188"/>
      <c r="D7" s="188"/>
      <c r="E7" s="188"/>
      <c r="F7" s="188"/>
      <c r="G7" s="184"/>
      <c r="H7" s="120"/>
      <c r="I7" s="120"/>
      <c r="J7" s="84"/>
      <c r="K7" s="124"/>
      <c r="L7" s="19"/>
      <c r="M7" s="19"/>
      <c r="N7" s="14"/>
      <c r="O7" s="14"/>
      <c r="P7" s="14"/>
    </row>
    <row r="8" spans="1:16" ht="15" customHeight="1" thickBot="1">
      <c r="A8" s="14"/>
      <c r="B8" s="14"/>
      <c r="C8" s="14"/>
      <c r="D8" s="114"/>
      <c r="E8" s="84"/>
      <c r="F8" s="84"/>
      <c r="G8" s="84"/>
      <c r="H8" s="84"/>
      <c r="I8" s="84"/>
      <c r="J8" s="14"/>
      <c r="K8" s="14"/>
      <c r="L8" s="14"/>
      <c r="M8" s="14"/>
      <c r="N8" s="14"/>
      <c r="O8" s="14"/>
      <c r="P8" s="14"/>
    </row>
    <row r="9" spans="1:16">
      <c r="A9" s="14"/>
      <c r="B9" s="142" t="s">
        <v>18</v>
      </c>
      <c r="C9" s="143"/>
      <c r="D9" s="143"/>
      <c r="E9" s="143"/>
      <c r="F9" s="144" t="s">
        <v>82</v>
      </c>
      <c r="G9" s="143"/>
      <c r="H9" s="143"/>
      <c r="I9" s="143"/>
      <c r="J9" s="143"/>
      <c r="K9" s="143"/>
      <c r="L9" s="143"/>
      <c r="M9" s="143"/>
      <c r="N9" s="145"/>
      <c r="O9" s="14"/>
      <c r="P9" s="14"/>
    </row>
    <row r="10" spans="1:16" ht="17" thickBot="1">
      <c r="A10" s="14"/>
      <c r="B10" s="146"/>
      <c r="C10" s="19"/>
      <c r="D10" s="19"/>
      <c r="E10" s="19"/>
      <c r="F10" s="19"/>
      <c r="G10" s="19"/>
      <c r="H10" s="19"/>
      <c r="I10" s="19"/>
      <c r="J10" s="19"/>
      <c r="K10" s="19"/>
      <c r="L10" s="19"/>
      <c r="M10" s="19"/>
      <c r="N10" s="147"/>
      <c r="O10" s="14"/>
      <c r="P10" s="14"/>
    </row>
    <row r="11" spans="1:16" ht="15" customHeight="1" thickBot="1">
      <c r="A11" s="14"/>
      <c r="B11" s="146" t="s">
        <v>21</v>
      </c>
      <c r="C11" s="14"/>
      <c r="D11" s="148">
        <v>1</v>
      </c>
      <c r="E11" s="19"/>
      <c r="F11" s="29" t="s">
        <v>111</v>
      </c>
      <c r="G11" s="154"/>
      <c r="H11" s="154"/>
      <c r="I11" s="154"/>
      <c r="J11" s="154"/>
      <c r="K11" s="154"/>
      <c r="L11" s="154"/>
      <c r="M11" s="155"/>
      <c r="N11" s="147"/>
      <c r="O11" s="14"/>
      <c r="P11" s="14"/>
    </row>
    <row r="12" spans="1:16" ht="15" customHeight="1" thickBot="1">
      <c r="A12" s="14"/>
      <c r="B12" s="146" t="s">
        <v>22</v>
      </c>
      <c r="C12" s="14"/>
      <c r="D12" s="148">
        <v>0</v>
      </c>
      <c r="E12" s="19"/>
      <c r="F12" s="29" t="s">
        <v>111</v>
      </c>
      <c r="G12" s="154"/>
      <c r="H12" s="154"/>
      <c r="I12" s="154"/>
      <c r="J12" s="154"/>
      <c r="K12" s="154"/>
      <c r="L12" s="154"/>
      <c r="M12" s="155"/>
      <c r="N12" s="147"/>
      <c r="O12" s="14"/>
      <c r="P12" s="14"/>
    </row>
    <row r="13" spans="1:16" ht="17" thickBot="1">
      <c r="A13" s="14"/>
      <c r="B13" s="146"/>
      <c r="C13" s="14"/>
      <c r="D13" s="149"/>
      <c r="E13" s="19"/>
      <c r="F13" s="19"/>
      <c r="G13" s="19"/>
      <c r="H13" s="19"/>
      <c r="I13" s="19"/>
      <c r="J13" s="19"/>
      <c r="K13" s="19"/>
      <c r="L13" s="19"/>
      <c r="M13" s="19"/>
      <c r="N13" s="147"/>
      <c r="O13" s="14"/>
      <c r="P13" s="14"/>
    </row>
    <row r="14" spans="1:16" ht="30" customHeight="1" thickBot="1">
      <c r="A14" s="14"/>
      <c r="B14" s="146" t="s">
        <v>23</v>
      </c>
      <c r="C14" s="14"/>
      <c r="D14" s="156">
        <f>57081.03/(57081.03+35201.23)</f>
        <v>0.6185482453507315</v>
      </c>
      <c r="E14" s="19"/>
      <c r="F14" s="189" t="s">
        <v>110</v>
      </c>
      <c r="G14" s="190"/>
      <c r="H14" s="190"/>
      <c r="I14" s="190"/>
      <c r="J14" s="190"/>
      <c r="K14" s="190"/>
      <c r="L14" s="190"/>
      <c r="M14" s="191"/>
      <c r="N14" s="147"/>
      <c r="O14" s="14"/>
      <c r="P14" s="14"/>
    </row>
    <row r="15" spans="1:16">
      <c r="A15" s="14"/>
      <c r="B15" s="146"/>
      <c r="C15" s="14"/>
      <c r="D15" s="19"/>
      <c r="E15" s="19"/>
      <c r="F15" s="19"/>
      <c r="G15" s="19"/>
      <c r="H15" s="19"/>
      <c r="I15" s="19"/>
      <c r="J15" s="19"/>
      <c r="K15" s="19"/>
      <c r="L15" s="19"/>
      <c r="M15" s="19"/>
      <c r="N15" s="147"/>
      <c r="O15" s="14"/>
      <c r="P15" s="14"/>
    </row>
    <row r="16" spans="1:16">
      <c r="A16" s="14"/>
      <c r="B16" s="146" t="s">
        <v>20</v>
      </c>
      <c r="C16" s="14"/>
      <c r="D16" s="19">
        <v>41.868000000000002</v>
      </c>
      <c r="E16" s="19"/>
      <c r="F16" s="19"/>
      <c r="G16" s="19"/>
      <c r="H16" s="19"/>
      <c r="I16" s="19"/>
      <c r="J16" s="19"/>
      <c r="K16" s="19"/>
      <c r="L16" s="19"/>
      <c r="M16" s="19"/>
      <c r="N16" s="147"/>
      <c r="O16" s="14"/>
      <c r="P16" s="14"/>
    </row>
    <row r="17" spans="1:16">
      <c r="A17" s="14"/>
      <c r="B17" s="146"/>
      <c r="C17" s="19"/>
      <c r="D17" s="19"/>
      <c r="E17" s="19"/>
      <c r="F17" s="19"/>
      <c r="G17" s="19"/>
      <c r="H17" s="19"/>
      <c r="I17" s="19"/>
      <c r="J17" s="19"/>
      <c r="K17" s="19"/>
      <c r="L17" s="19"/>
      <c r="M17" s="19"/>
      <c r="N17" s="147"/>
      <c r="O17" s="14"/>
      <c r="P17" s="14"/>
    </row>
    <row r="18" spans="1:16">
      <c r="A18" s="14"/>
      <c r="B18" s="150" t="s">
        <v>106</v>
      </c>
      <c r="C18" s="19"/>
      <c r="D18" s="19"/>
      <c r="E18" s="19"/>
      <c r="F18" s="19"/>
      <c r="G18" s="19"/>
      <c r="H18" s="19"/>
      <c r="I18" s="19"/>
      <c r="J18" s="19"/>
      <c r="K18" s="19"/>
      <c r="L18" s="19"/>
      <c r="M18" s="19"/>
      <c r="N18" s="147"/>
      <c r="O18" s="14"/>
      <c r="P18" s="14"/>
    </row>
    <row r="19" spans="1:16">
      <c r="A19" s="14"/>
      <c r="B19" s="125" t="s">
        <v>7</v>
      </c>
      <c r="C19" s="126">
        <v>2000</v>
      </c>
      <c r="D19" s="126">
        <v>2005</v>
      </c>
      <c r="E19" s="126">
        <v>2010</v>
      </c>
      <c r="F19" s="126">
        <v>2015</v>
      </c>
      <c r="G19" s="126">
        <v>2020</v>
      </c>
      <c r="H19" s="126">
        <v>2025</v>
      </c>
      <c r="I19" s="126">
        <v>2030</v>
      </c>
      <c r="J19" s="126">
        <v>2035</v>
      </c>
      <c r="K19" s="126">
        <v>2040</v>
      </c>
      <c r="L19" s="126">
        <v>2045</v>
      </c>
      <c r="M19" s="126">
        <v>2050</v>
      </c>
      <c r="N19" s="147"/>
      <c r="O19" s="14"/>
      <c r="P19" s="14"/>
    </row>
    <row r="20" spans="1:16" ht="17" thickBot="1">
      <c r="A20" s="14"/>
      <c r="B20" s="127"/>
      <c r="C20" s="3"/>
      <c r="D20" s="3"/>
      <c r="E20" s="3"/>
      <c r="F20" s="3"/>
      <c r="G20" s="3"/>
      <c r="H20" s="3"/>
      <c r="I20" s="3"/>
      <c r="J20" s="3"/>
      <c r="K20" s="3"/>
      <c r="L20" s="3"/>
      <c r="M20" s="3"/>
      <c r="N20" s="147"/>
      <c r="O20" s="14"/>
      <c r="P20" s="14"/>
    </row>
    <row r="21" spans="1:16">
      <c r="A21" s="14"/>
      <c r="B21" s="125" t="s">
        <v>109</v>
      </c>
      <c r="C21" s="4">
        <v>57554.69999999999</v>
      </c>
      <c r="D21" s="5">
        <v>62219.899999999994</v>
      </c>
      <c r="E21" s="5">
        <v>70219.200000000026</v>
      </c>
      <c r="F21" s="5">
        <v>51471.45211527685</v>
      </c>
      <c r="G21" s="5">
        <v>52921.244865073015</v>
      </c>
      <c r="H21" s="5">
        <v>46185.07386632319</v>
      </c>
      <c r="I21" s="5">
        <v>39257.865000629579</v>
      </c>
      <c r="J21" s="5">
        <v>28018.51639238112</v>
      </c>
      <c r="K21" s="5">
        <v>28075.408084053561</v>
      </c>
      <c r="L21" s="5">
        <v>29201.769648124868</v>
      </c>
      <c r="M21" s="6">
        <v>30227.249707520798</v>
      </c>
      <c r="N21" s="147"/>
      <c r="O21" s="14"/>
      <c r="P21" s="14"/>
    </row>
    <row r="22" spans="1:16">
      <c r="A22" s="14"/>
      <c r="B22" s="128" t="s">
        <v>9</v>
      </c>
      <c r="C22" s="7">
        <v>7.4999999999990905</v>
      </c>
      <c r="D22" s="8">
        <v>8.2000000000010971</v>
      </c>
      <c r="E22" s="8">
        <v>6.0999999999987722</v>
      </c>
      <c r="F22" s="8">
        <v>0</v>
      </c>
      <c r="G22" s="8">
        <v>0</v>
      </c>
      <c r="H22" s="8">
        <v>0</v>
      </c>
      <c r="I22" s="8">
        <v>0</v>
      </c>
      <c r="J22" s="8">
        <v>0</v>
      </c>
      <c r="K22" s="8">
        <v>0</v>
      </c>
      <c r="L22" s="8">
        <v>0</v>
      </c>
      <c r="M22" s="9">
        <v>0</v>
      </c>
      <c r="N22" s="147"/>
      <c r="O22" s="14"/>
      <c r="P22" s="14"/>
    </row>
    <row r="23" spans="1:16">
      <c r="A23" s="14"/>
      <c r="B23" s="128" t="s">
        <v>10</v>
      </c>
      <c r="C23" s="7">
        <v>2405.4999999999927</v>
      </c>
      <c r="D23" s="8">
        <v>2327.6999999999975</v>
      </c>
      <c r="E23" s="8">
        <v>1984.7000000000185</v>
      </c>
      <c r="F23" s="8">
        <v>1380.8902264757103</v>
      </c>
      <c r="G23" s="8">
        <v>1413.9391655332111</v>
      </c>
      <c r="H23" s="8">
        <v>961.19085233962187</v>
      </c>
      <c r="I23" s="8">
        <v>752.3406216028543</v>
      </c>
      <c r="J23" s="8">
        <v>646.91316261527436</v>
      </c>
      <c r="K23" s="8">
        <v>638.58740448981393</v>
      </c>
      <c r="L23" s="8">
        <v>615.61255280607634</v>
      </c>
      <c r="M23" s="9">
        <v>591.50549424110761</v>
      </c>
      <c r="N23" s="147"/>
      <c r="O23" s="14"/>
      <c r="P23" s="14"/>
    </row>
    <row r="24" spans="1:16">
      <c r="A24" s="14"/>
      <c r="B24" s="128" t="s">
        <v>3</v>
      </c>
      <c r="C24" s="7">
        <v>52202.799999999988</v>
      </c>
      <c r="D24" s="8">
        <v>56275.899999999994</v>
      </c>
      <c r="E24" s="8">
        <v>63534.100000000006</v>
      </c>
      <c r="F24" s="8">
        <v>44125.662156203427</v>
      </c>
      <c r="G24" s="8">
        <v>40610.085407015686</v>
      </c>
      <c r="H24" s="8">
        <v>33871.300502634687</v>
      </c>
      <c r="I24" s="8">
        <v>26109.948823266281</v>
      </c>
      <c r="J24" s="8">
        <v>15493.070617653912</v>
      </c>
      <c r="K24" s="8">
        <v>14942.464676446443</v>
      </c>
      <c r="L24" s="8">
        <v>15515.800692606155</v>
      </c>
      <c r="M24" s="9">
        <v>15162.354869209646</v>
      </c>
      <c r="N24" s="147"/>
      <c r="O24" s="14"/>
      <c r="P24" s="14"/>
    </row>
    <row r="25" spans="1:16">
      <c r="A25" s="14"/>
      <c r="B25" s="128" t="s">
        <v>11</v>
      </c>
      <c r="C25" s="7">
        <v>1012.7000000000002</v>
      </c>
      <c r="D25" s="8">
        <v>1031</v>
      </c>
      <c r="E25" s="8">
        <v>1023.8</v>
      </c>
      <c r="F25" s="8">
        <v>955.65551063998203</v>
      </c>
      <c r="G25" s="8">
        <v>955.80759616769376</v>
      </c>
      <c r="H25" s="8">
        <v>989.85600989856005</v>
      </c>
      <c r="I25" s="8">
        <v>989.85600989856005</v>
      </c>
      <c r="J25" s="8">
        <v>0</v>
      </c>
      <c r="K25" s="8">
        <v>0</v>
      </c>
      <c r="L25" s="8">
        <v>0</v>
      </c>
      <c r="M25" s="9">
        <v>0</v>
      </c>
      <c r="N25" s="147"/>
      <c r="O25" s="14"/>
      <c r="P25" s="14"/>
    </row>
    <row r="26" spans="1:16">
      <c r="A26" s="14"/>
      <c r="B26" s="128" t="s">
        <v>12</v>
      </c>
      <c r="C26" s="7">
        <v>1926.1999999999998</v>
      </c>
      <c r="D26" s="8">
        <v>2577.0999999999995</v>
      </c>
      <c r="E26" s="8">
        <v>3670.4999999999995</v>
      </c>
      <c r="F26" s="8">
        <v>5009.2442219577269</v>
      </c>
      <c r="G26" s="8">
        <v>9941.4126963564213</v>
      </c>
      <c r="H26" s="8">
        <v>10362.726501450319</v>
      </c>
      <c r="I26" s="8">
        <v>11405.719545861879</v>
      </c>
      <c r="J26" s="8">
        <v>11878.53261211194</v>
      </c>
      <c r="K26" s="8">
        <v>12494.356003117306</v>
      </c>
      <c r="L26" s="8">
        <v>13070.356402712632</v>
      </c>
      <c r="M26" s="9">
        <v>14473.389344070039</v>
      </c>
      <c r="N26" s="147"/>
      <c r="O26" s="14"/>
      <c r="P26" s="14"/>
    </row>
    <row r="27" spans="1:16">
      <c r="A27" s="14"/>
      <c r="B27" s="129" t="s">
        <v>13</v>
      </c>
      <c r="C27" s="7">
        <v>12.2</v>
      </c>
      <c r="D27" s="8">
        <v>7.6</v>
      </c>
      <c r="E27" s="8">
        <v>9</v>
      </c>
      <c r="F27" s="8">
        <v>8.6098852000000008</v>
      </c>
      <c r="G27" s="8">
        <v>8.919782399999999</v>
      </c>
      <c r="H27" s="8">
        <v>9.0366557069291495</v>
      </c>
      <c r="I27" s="8">
        <v>9.0343589308662047</v>
      </c>
      <c r="J27" s="8">
        <v>9.0332293628575062</v>
      </c>
      <c r="K27" s="8">
        <v>9.0324031996510783</v>
      </c>
      <c r="L27" s="8">
        <v>9.0310557042596766</v>
      </c>
      <c r="M27" s="9">
        <v>9.0325694678924364</v>
      </c>
      <c r="N27" s="147"/>
      <c r="O27" s="14"/>
      <c r="P27" s="14"/>
    </row>
    <row r="28" spans="1:16">
      <c r="A28" s="14"/>
      <c r="B28" s="129" t="s">
        <v>14</v>
      </c>
      <c r="C28" s="7">
        <v>1831.2999999999997</v>
      </c>
      <c r="D28" s="8">
        <v>2370.6999999999998</v>
      </c>
      <c r="E28" s="8">
        <v>3281.4999999999995</v>
      </c>
      <c r="F28" s="8">
        <v>4235.571825345035</v>
      </c>
      <c r="G28" s="8">
        <v>6971.5456659621404</v>
      </c>
      <c r="H28" s="8">
        <v>7297.4472096831269</v>
      </c>
      <c r="I28" s="8">
        <v>8150.9795637463076</v>
      </c>
      <c r="J28" s="8">
        <v>8489.8943165470082</v>
      </c>
      <c r="K28" s="8">
        <v>9034.1605717708881</v>
      </c>
      <c r="L28" s="8">
        <v>9463.2479511012734</v>
      </c>
      <c r="M28" s="9">
        <v>9916.031104801561</v>
      </c>
      <c r="N28" s="147"/>
      <c r="O28" s="14"/>
      <c r="P28" s="14"/>
    </row>
    <row r="29" spans="1:16">
      <c r="A29" s="14"/>
      <c r="B29" s="129" t="s">
        <v>15</v>
      </c>
      <c r="C29" s="7">
        <v>71.3</v>
      </c>
      <c r="D29" s="8">
        <v>177.7</v>
      </c>
      <c r="E29" s="8">
        <v>343.3</v>
      </c>
      <c r="F29" s="8">
        <v>617.88742260309346</v>
      </c>
      <c r="G29" s="8">
        <v>2373.4590591799802</v>
      </c>
      <c r="H29" s="8">
        <v>2373.4590591799802</v>
      </c>
      <c r="I29" s="8">
        <v>2373.4590591799802</v>
      </c>
      <c r="J29" s="8">
        <v>2388.5102705360127</v>
      </c>
      <c r="K29" s="8">
        <v>2410.6250408380915</v>
      </c>
      <c r="L29" s="8">
        <v>2486.012498228557</v>
      </c>
      <c r="M29" s="9">
        <v>3384.3553810669114</v>
      </c>
      <c r="N29" s="147"/>
      <c r="O29" s="14"/>
      <c r="P29" s="14"/>
    </row>
    <row r="30" spans="1:16">
      <c r="A30" s="14"/>
      <c r="B30" s="129" t="s">
        <v>16</v>
      </c>
      <c r="C30" s="7">
        <v>11.399999999999999</v>
      </c>
      <c r="D30" s="8">
        <v>21.099999999999998</v>
      </c>
      <c r="E30" s="8">
        <v>29.1</v>
      </c>
      <c r="F30" s="8">
        <v>123.29281883192678</v>
      </c>
      <c r="G30" s="8">
        <v>546.88746216223626</v>
      </c>
      <c r="H30" s="8">
        <v>626.58874189459721</v>
      </c>
      <c r="I30" s="8">
        <v>800.2620663881778</v>
      </c>
      <c r="J30" s="8">
        <v>910.82732423259631</v>
      </c>
      <c r="K30" s="8">
        <v>954.41936218755154</v>
      </c>
      <c r="L30" s="8">
        <v>1019.46820366503</v>
      </c>
      <c r="M30" s="9">
        <v>1067.416497664474</v>
      </c>
      <c r="N30" s="147"/>
      <c r="O30" s="14"/>
      <c r="P30" s="14"/>
    </row>
    <row r="31" spans="1:16" ht="17" thickBot="1">
      <c r="A31" s="14"/>
      <c r="B31" s="129" t="s">
        <v>17</v>
      </c>
      <c r="C31" s="10">
        <v>0</v>
      </c>
      <c r="D31" s="11">
        <v>0</v>
      </c>
      <c r="E31" s="11">
        <v>7.6</v>
      </c>
      <c r="F31" s="11">
        <v>23.882269977671697</v>
      </c>
      <c r="G31" s="11">
        <v>40.600726652065177</v>
      </c>
      <c r="H31" s="11">
        <v>56.194834985687372</v>
      </c>
      <c r="I31" s="11">
        <v>71.984497616547358</v>
      </c>
      <c r="J31" s="11">
        <v>80.267471433463783</v>
      </c>
      <c r="K31" s="11">
        <v>86.118625121123586</v>
      </c>
      <c r="L31" s="11">
        <v>92.596694013513314</v>
      </c>
      <c r="M31" s="12">
        <v>96.553791069202489</v>
      </c>
      <c r="N31" s="147"/>
      <c r="O31" s="14"/>
      <c r="P31" s="14"/>
    </row>
    <row r="32" spans="1:16">
      <c r="A32" s="14"/>
      <c r="B32" s="146"/>
      <c r="C32" s="19"/>
      <c r="D32" s="19"/>
      <c r="E32" s="19"/>
      <c r="F32" s="19"/>
      <c r="G32" s="19"/>
      <c r="H32" s="19"/>
      <c r="I32" s="19"/>
      <c r="J32" s="19"/>
      <c r="K32" s="19"/>
      <c r="L32" s="19"/>
      <c r="M32" s="19"/>
      <c r="N32" s="147"/>
      <c r="O32" s="14"/>
      <c r="P32" s="14"/>
    </row>
    <row r="33" spans="1:16" ht="17" thickBot="1">
      <c r="A33" s="14"/>
      <c r="B33" s="151"/>
      <c r="C33" s="152"/>
      <c r="D33" s="152"/>
      <c r="E33" s="152"/>
      <c r="F33" s="152"/>
      <c r="G33" s="152"/>
      <c r="H33" s="152"/>
      <c r="I33" s="152"/>
      <c r="J33" s="152"/>
      <c r="K33" s="152"/>
      <c r="L33" s="152"/>
      <c r="M33" s="152"/>
      <c r="N33" s="153"/>
      <c r="O33" s="14"/>
      <c r="P33" s="14"/>
    </row>
    <row r="34" spans="1:16">
      <c r="A34" s="14"/>
      <c r="B34" s="14"/>
      <c r="C34" s="14"/>
      <c r="D34" s="14"/>
      <c r="E34" s="14"/>
      <c r="F34" s="14"/>
      <c r="G34" s="14"/>
      <c r="H34" s="14"/>
      <c r="I34" s="14"/>
      <c r="J34" s="14"/>
      <c r="K34" s="14"/>
      <c r="L34" s="14"/>
      <c r="M34" s="14"/>
      <c r="N34" s="14"/>
      <c r="O34" s="14"/>
      <c r="P34" s="14"/>
    </row>
    <row r="35" spans="1:16">
      <c r="A35" s="14"/>
      <c r="B35" s="14"/>
      <c r="C35" s="14"/>
      <c r="D35" s="14"/>
      <c r="E35" s="14"/>
      <c r="F35" s="14"/>
      <c r="G35" s="14"/>
      <c r="H35" s="14"/>
      <c r="I35" s="14"/>
      <c r="J35" s="14"/>
      <c r="K35" s="14"/>
      <c r="L35" s="14"/>
      <c r="M35" s="14"/>
      <c r="N35" s="14"/>
      <c r="O35" s="14"/>
      <c r="P35" s="14"/>
    </row>
  </sheetData>
  <mergeCells count="2">
    <mergeCell ref="B5:G7"/>
    <mergeCell ref="F14:M14"/>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AA691-059C-8E43-A0FB-AF899F12F9CC}">
  <sheetPr>
    <tabColor theme="8" tint="0.39997558519241921"/>
  </sheetPr>
  <dimension ref="B2:G74"/>
  <sheetViews>
    <sheetView topLeftCell="A4" workbookViewId="0">
      <selection activeCell="F43" sqref="F43"/>
    </sheetView>
  </sheetViews>
  <sheetFormatPr baseColWidth="10" defaultRowHeight="16"/>
  <cols>
    <col min="3" max="3" width="10.83203125" customWidth="1"/>
  </cols>
  <sheetData>
    <row r="2" spans="2:7">
      <c r="B2" s="176" t="s">
        <v>67</v>
      </c>
      <c r="C2" s="177"/>
      <c r="D2" s="177"/>
      <c r="E2" s="177"/>
      <c r="F2" s="177"/>
      <c r="G2" s="178"/>
    </row>
    <row r="3" spans="2:7" ht="16" customHeight="1">
      <c r="B3" s="192" t="s">
        <v>125</v>
      </c>
      <c r="C3" s="193"/>
      <c r="D3" s="193"/>
      <c r="E3" s="193"/>
      <c r="F3" s="193"/>
      <c r="G3" s="194"/>
    </row>
    <row r="4" spans="2:7">
      <c r="B4" s="195"/>
      <c r="C4" s="196"/>
      <c r="D4" s="196"/>
      <c r="E4" s="196"/>
      <c r="F4" s="196"/>
      <c r="G4" s="197"/>
    </row>
    <row r="5" spans="2:7">
      <c r="B5" t="s">
        <v>112</v>
      </c>
    </row>
    <row r="7" spans="2:7">
      <c r="B7" t="s">
        <v>124</v>
      </c>
    </row>
    <row r="8" spans="2:7">
      <c r="B8" s="173" t="s">
        <v>113</v>
      </c>
    </row>
    <row r="11" spans="2:7">
      <c r="C11" s="174" t="s">
        <v>114</v>
      </c>
      <c r="D11" t="s">
        <v>115</v>
      </c>
      <c r="E11" t="s">
        <v>116</v>
      </c>
    </row>
    <row r="12" spans="2:7">
      <c r="C12" s="174" t="s">
        <v>117</v>
      </c>
      <c r="D12" t="s">
        <v>117</v>
      </c>
      <c r="E12" t="s">
        <v>117</v>
      </c>
    </row>
    <row r="13" spans="2:7">
      <c r="B13" s="175">
        <v>2020</v>
      </c>
      <c r="C13" s="174">
        <v>15.7</v>
      </c>
      <c r="D13">
        <v>21</v>
      </c>
      <c r="E13">
        <v>11.9</v>
      </c>
    </row>
    <row r="14" spans="2:7">
      <c r="B14" s="175">
        <v>2021</v>
      </c>
      <c r="C14" s="174">
        <v>12.2</v>
      </c>
      <c r="D14">
        <v>17</v>
      </c>
      <c r="E14">
        <v>8.6999999999999993</v>
      </c>
    </row>
    <row r="15" spans="2:7">
      <c r="B15" s="175">
        <v>2022</v>
      </c>
      <c r="C15" s="174">
        <v>8.6</v>
      </c>
      <c r="D15">
        <v>12.5</v>
      </c>
      <c r="E15">
        <v>6.2</v>
      </c>
    </row>
    <row r="16" spans="2:7">
      <c r="B16" s="175">
        <v>2023</v>
      </c>
      <c r="C16" s="174">
        <v>3.8</v>
      </c>
      <c r="D16">
        <v>6</v>
      </c>
      <c r="E16">
        <v>2.6</v>
      </c>
    </row>
    <row r="17" spans="2:5">
      <c r="B17" s="175">
        <v>2024</v>
      </c>
      <c r="C17" s="174">
        <v>3.3</v>
      </c>
      <c r="D17">
        <v>5</v>
      </c>
      <c r="E17">
        <v>2.4</v>
      </c>
    </row>
    <row r="18" spans="2:5">
      <c r="B18" s="175">
        <v>2025</v>
      </c>
      <c r="C18" s="174">
        <v>2.6</v>
      </c>
      <c r="D18">
        <v>4</v>
      </c>
      <c r="E18">
        <v>2.2000000000000002</v>
      </c>
    </row>
    <row r="19" spans="2:5">
      <c r="B19" s="175">
        <v>2026</v>
      </c>
      <c r="C19" s="174">
        <v>1.5</v>
      </c>
      <c r="D19">
        <v>2.5</v>
      </c>
      <c r="E19">
        <v>1.1000000000000001</v>
      </c>
    </row>
    <row r="20" spans="2:5">
      <c r="B20" s="175">
        <v>2027</v>
      </c>
      <c r="C20" s="174">
        <v>0.8</v>
      </c>
      <c r="D20">
        <v>1.7</v>
      </c>
      <c r="E20">
        <v>0.5</v>
      </c>
    </row>
    <row r="21" spans="2:5">
      <c r="B21" s="175">
        <v>2028</v>
      </c>
      <c r="C21" s="174">
        <v>0.7</v>
      </c>
      <c r="D21">
        <v>1</v>
      </c>
      <c r="E21">
        <v>0.5</v>
      </c>
    </row>
    <row r="22" spans="2:5">
      <c r="B22" s="175">
        <v>2029</v>
      </c>
      <c r="C22" s="174">
        <v>0.7</v>
      </c>
      <c r="D22">
        <v>1</v>
      </c>
      <c r="E22">
        <v>0.3</v>
      </c>
    </row>
    <row r="23" spans="2:5">
      <c r="B23" s="175">
        <v>2030</v>
      </c>
      <c r="C23" s="174">
        <v>0</v>
      </c>
      <c r="D23">
        <v>0</v>
      </c>
      <c r="E23">
        <v>0</v>
      </c>
    </row>
    <row r="26" spans="2:5">
      <c r="B26" s="140" t="s">
        <v>90</v>
      </c>
      <c r="C26" s="1"/>
      <c r="D26" s="159"/>
    </row>
    <row r="27" spans="2:5">
      <c r="B27" s="1" t="s">
        <v>119</v>
      </c>
      <c r="C27" s="1">
        <v>35170</v>
      </c>
      <c r="D27" s="159" t="s">
        <v>120</v>
      </c>
    </row>
    <row r="28" spans="2:5">
      <c r="B28" s="1"/>
      <c r="C28" s="159"/>
      <c r="D28" s="159"/>
    </row>
    <row r="33" spans="2:4">
      <c r="C33" s="179" t="s">
        <v>118</v>
      </c>
      <c r="D33" s="180" t="s">
        <v>121</v>
      </c>
    </row>
    <row r="34" spans="2:4">
      <c r="B34" s="141">
        <v>2010</v>
      </c>
      <c r="D34" s="181">
        <v>2655008</v>
      </c>
    </row>
    <row r="35" spans="2:4">
      <c r="B35" s="141">
        <v>2011</v>
      </c>
      <c r="D35" s="181">
        <v>2416832</v>
      </c>
    </row>
    <row r="36" spans="2:4">
      <c r="B36" s="141">
        <v>2012</v>
      </c>
      <c r="D36" s="157">
        <v>2405569</v>
      </c>
    </row>
    <row r="37" spans="2:4">
      <c r="B37" s="141">
        <v>2013</v>
      </c>
      <c r="D37" s="158">
        <v>2585337.7400000002</v>
      </c>
    </row>
    <row r="38" spans="2:4">
      <c r="B38" s="141">
        <v>2014</v>
      </c>
      <c r="D38">
        <f>D$37+(D$39-D$37)/2</f>
        <v>2108927.71</v>
      </c>
    </row>
    <row r="39" spans="2:4">
      <c r="B39" s="141">
        <v>2015</v>
      </c>
      <c r="D39" s="158">
        <v>1632517.68</v>
      </c>
    </row>
    <row r="40" spans="2:4">
      <c r="B40" s="141">
        <v>2016</v>
      </c>
      <c r="D40">
        <f>D$39+(D$44-D$39)/($B$44-$B$39)*($B40-$B$39)</f>
        <v>1416447.9439999999</v>
      </c>
    </row>
    <row r="41" spans="2:4">
      <c r="B41" s="141">
        <v>2017</v>
      </c>
      <c r="D41">
        <f>D$39+(D$44-D$39)/($B$44-$B$39)*($B41-$B$39)</f>
        <v>1200378.2080000001</v>
      </c>
    </row>
    <row r="42" spans="2:4">
      <c r="B42" s="141">
        <v>2018</v>
      </c>
      <c r="D42">
        <f t="shared" ref="D42:D43" si="0">D$39+(D$44-D$39)/($B$44-$B$39)*($B42-$B$39)</f>
        <v>984308.47200000007</v>
      </c>
    </row>
    <row r="43" spans="2:4">
      <c r="B43" s="141">
        <v>2019</v>
      </c>
      <c r="D43">
        <f t="shared" si="0"/>
        <v>768238.73600000003</v>
      </c>
    </row>
    <row r="44" spans="2:4">
      <c r="B44" s="141">
        <v>2020</v>
      </c>
      <c r="C44">
        <f>C13</f>
        <v>15.7</v>
      </c>
      <c r="D44">
        <f>C44*$C$27</f>
        <v>552169</v>
      </c>
    </row>
    <row r="45" spans="2:4">
      <c r="B45" s="141">
        <v>2021</v>
      </c>
      <c r="C45">
        <f t="shared" ref="C45:C54" si="1">C14</f>
        <v>12.2</v>
      </c>
      <c r="D45">
        <f t="shared" ref="D45:D74" si="2">C45*$C$27</f>
        <v>429074</v>
      </c>
    </row>
    <row r="46" spans="2:4">
      <c r="B46" s="141">
        <v>2022</v>
      </c>
      <c r="C46">
        <f t="shared" si="1"/>
        <v>8.6</v>
      </c>
      <c r="D46">
        <f t="shared" si="2"/>
        <v>302462</v>
      </c>
    </row>
    <row r="47" spans="2:4">
      <c r="B47" s="141">
        <v>2023</v>
      </c>
      <c r="C47">
        <f t="shared" si="1"/>
        <v>3.8</v>
      </c>
      <c r="D47">
        <f t="shared" si="2"/>
        <v>133646</v>
      </c>
    </row>
    <row r="48" spans="2:4">
      <c r="B48" s="141">
        <v>2024</v>
      </c>
      <c r="C48">
        <f t="shared" si="1"/>
        <v>3.3</v>
      </c>
      <c r="D48">
        <f t="shared" si="2"/>
        <v>116061</v>
      </c>
    </row>
    <row r="49" spans="2:4">
      <c r="B49" s="141">
        <v>2025</v>
      </c>
      <c r="C49">
        <f t="shared" si="1"/>
        <v>2.6</v>
      </c>
      <c r="D49">
        <f t="shared" si="2"/>
        <v>91442</v>
      </c>
    </row>
    <row r="50" spans="2:4">
      <c r="B50" s="141">
        <v>2026</v>
      </c>
      <c r="C50">
        <f t="shared" si="1"/>
        <v>1.5</v>
      </c>
      <c r="D50">
        <f t="shared" si="2"/>
        <v>52755</v>
      </c>
    </row>
    <row r="51" spans="2:4">
      <c r="B51" s="141">
        <v>2027</v>
      </c>
      <c r="C51">
        <f t="shared" si="1"/>
        <v>0.8</v>
      </c>
      <c r="D51">
        <f t="shared" si="2"/>
        <v>28136</v>
      </c>
    </row>
    <row r="52" spans="2:4">
      <c r="B52" s="141">
        <v>2028</v>
      </c>
      <c r="C52">
        <f t="shared" si="1"/>
        <v>0.7</v>
      </c>
      <c r="D52">
        <f t="shared" si="2"/>
        <v>24619</v>
      </c>
    </row>
    <row r="53" spans="2:4">
      <c r="B53" s="141">
        <v>2029</v>
      </c>
      <c r="C53">
        <f t="shared" si="1"/>
        <v>0.7</v>
      </c>
      <c r="D53">
        <f t="shared" si="2"/>
        <v>24619</v>
      </c>
    </row>
    <row r="54" spans="2:4">
      <c r="B54" s="141">
        <v>2030</v>
      </c>
      <c r="C54">
        <f t="shared" si="1"/>
        <v>0</v>
      </c>
      <c r="D54">
        <f t="shared" si="2"/>
        <v>0</v>
      </c>
    </row>
    <row r="55" spans="2:4">
      <c r="B55" s="141">
        <v>2031</v>
      </c>
      <c r="C55">
        <v>0</v>
      </c>
      <c r="D55">
        <f t="shared" si="2"/>
        <v>0</v>
      </c>
    </row>
    <row r="56" spans="2:4">
      <c r="B56" s="141">
        <v>2032</v>
      </c>
      <c r="C56">
        <v>0</v>
      </c>
      <c r="D56">
        <f t="shared" si="2"/>
        <v>0</v>
      </c>
    </row>
    <row r="57" spans="2:4">
      <c r="B57" s="141">
        <v>2033</v>
      </c>
      <c r="C57">
        <v>0</v>
      </c>
      <c r="D57">
        <f t="shared" si="2"/>
        <v>0</v>
      </c>
    </row>
    <row r="58" spans="2:4">
      <c r="B58" s="141">
        <v>2034</v>
      </c>
      <c r="C58">
        <v>0</v>
      </c>
      <c r="D58">
        <f t="shared" si="2"/>
        <v>0</v>
      </c>
    </row>
    <row r="59" spans="2:4">
      <c r="B59" s="141">
        <v>2035</v>
      </c>
      <c r="C59">
        <v>0</v>
      </c>
      <c r="D59">
        <f t="shared" si="2"/>
        <v>0</v>
      </c>
    </row>
    <row r="60" spans="2:4">
      <c r="B60" s="141">
        <v>2036</v>
      </c>
      <c r="C60">
        <v>0</v>
      </c>
      <c r="D60">
        <f t="shared" si="2"/>
        <v>0</v>
      </c>
    </row>
    <row r="61" spans="2:4">
      <c r="B61" s="141">
        <v>2037</v>
      </c>
      <c r="C61">
        <v>0</v>
      </c>
      <c r="D61">
        <f t="shared" si="2"/>
        <v>0</v>
      </c>
    </row>
    <row r="62" spans="2:4">
      <c r="B62" s="141">
        <v>2038</v>
      </c>
      <c r="C62">
        <v>0</v>
      </c>
      <c r="D62">
        <f t="shared" si="2"/>
        <v>0</v>
      </c>
    </row>
    <row r="63" spans="2:4">
      <c r="B63" s="141">
        <v>2039</v>
      </c>
      <c r="C63">
        <v>0</v>
      </c>
      <c r="D63">
        <f t="shared" si="2"/>
        <v>0</v>
      </c>
    </row>
    <row r="64" spans="2:4">
      <c r="B64" s="141">
        <v>2040</v>
      </c>
      <c r="C64">
        <v>0</v>
      </c>
      <c r="D64">
        <f t="shared" si="2"/>
        <v>0</v>
      </c>
    </row>
    <row r="65" spans="2:4">
      <c r="B65" s="141">
        <v>2041</v>
      </c>
      <c r="C65">
        <v>0</v>
      </c>
      <c r="D65">
        <f t="shared" si="2"/>
        <v>0</v>
      </c>
    </row>
    <row r="66" spans="2:4">
      <c r="B66" s="141">
        <v>2042</v>
      </c>
      <c r="C66">
        <v>0</v>
      </c>
      <c r="D66">
        <f t="shared" si="2"/>
        <v>0</v>
      </c>
    </row>
    <row r="67" spans="2:4">
      <c r="B67" s="141">
        <v>2043</v>
      </c>
      <c r="C67">
        <v>0</v>
      </c>
      <c r="D67">
        <f t="shared" si="2"/>
        <v>0</v>
      </c>
    </row>
    <row r="68" spans="2:4">
      <c r="B68" s="141">
        <v>2044</v>
      </c>
      <c r="C68">
        <v>0</v>
      </c>
      <c r="D68">
        <f t="shared" si="2"/>
        <v>0</v>
      </c>
    </row>
    <row r="69" spans="2:4">
      <c r="B69" s="141">
        <v>2045</v>
      </c>
      <c r="C69">
        <v>0</v>
      </c>
      <c r="D69">
        <f t="shared" si="2"/>
        <v>0</v>
      </c>
    </row>
    <row r="70" spans="2:4">
      <c r="B70" s="141">
        <v>2046</v>
      </c>
      <c r="C70">
        <v>0</v>
      </c>
      <c r="D70">
        <f t="shared" si="2"/>
        <v>0</v>
      </c>
    </row>
    <row r="71" spans="2:4">
      <c r="B71" s="141">
        <v>2047</v>
      </c>
      <c r="C71">
        <v>0</v>
      </c>
      <c r="D71">
        <f t="shared" si="2"/>
        <v>0</v>
      </c>
    </row>
    <row r="72" spans="2:4">
      <c r="B72" s="141">
        <v>2048</v>
      </c>
      <c r="C72">
        <v>0</v>
      </c>
      <c r="D72">
        <f t="shared" si="2"/>
        <v>0</v>
      </c>
    </row>
    <row r="73" spans="2:4">
      <c r="B73" s="141">
        <v>2049</v>
      </c>
      <c r="C73">
        <v>0</v>
      </c>
      <c r="D73">
        <f t="shared" si="2"/>
        <v>0</v>
      </c>
    </row>
    <row r="74" spans="2:4">
      <c r="B74" s="141">
        <v>2050</v>
      </c>
      <c r="C74">
        <v>0</v>
      </c>
      <c r="D74">
        <f t="shared" si="2"/>
        <v>0</v>
      </c>
    </row>
  </sheetData>
  <mergeCells count="1">
    <mergeCell ref="B3:G4"/>
  </mergeCells>
  <hyperlinks>
    <hyperlink ref="B8" r:id="rId1" xr:uid="{345D4DCC-F54F-8448-973C-B0BDED8FE542}"/>
  </hyperlink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3" tint="0.59999389629810485"/>
  </sheetPr>
  <dimension ref="B2:M57"/>
  <sheetViews>
    <sheetView workbookViewId="0">
      <selection activeCell="E24" sqref="E24"/>
    </sheetView>
  </sheetViews>
  <sheetFormatPr baseColWidth="10" defaultRowHeight="16"/>
  <cols>
    <col min="1" max="1" width="3.83203125" style="1" customWidth="1"/>
    <col min="2" max="3" width="10.83203125" style="1"/>
    <col min="4" max="4" width="10.83203125" style="159"/>
    <col min="5" max="16384" width="10.83203125" style="1"/>
  </cols>
  <sheetData>
    <row r="2" spans="2:13" ht="15" customHeight="1">
      <c r="B2" s="160" t="s">
        <v>67</v>
      </c>
      <c r="C2" s="161"/>
      <c r="D2" s="161"/>
      <c r="E2" s="161"/>
      <c r="F2" s="161"/>
      <c r="G2" s="162"/>
      <c r="H2" s="109"/>
      <c r="I2" s="109"/>
      <c r="J2" s="163"/>
      <c r="K2" s="164"/>
      <c r="L2" s="165"/>
      <c r="M2" s="165"/>
    </row>
    <row r="3" spans="2:13" ht="15" customHeight="1">
      <c r="B3" s="198" t="s">
        <v>126</v>
      </c>
      <c r="C3" s="199"/>
      <c r="D3" s="199"/>
      <c r="E3" s="199"/>
      <c r="F3" s="199"/>
      <c r="G3" s="200"/>
      <c r="H3" s="101"/>
      <c r="I3" s="101"/>
      <c r="J3" s="163"/>
      <c r="K3" s="166"/>
      <c r="L3" s="165"/>
      <c r="M3" s="165"/>
    </row>
    <row r="4" spans="2:13">
      <c r="B4" s="201"/>
      <c r="C4" s="202"/>
      <c r="D4" s="202"/>
      <c r="E4" s="202"/>
      <c r="F4" s="202"/>
      <c r="G4" s="203"/>
      <c r="H4" s="101"/>
      <c r="I4" s="101"/>
      <c r="J4" s="163"/>
      <c r="K4" s="166"/>
      <c r="L4" s="165"/>
      <c r="M4" s="165"/>
    </row>
    <row r="5" spans="2:13">
      <c r="B5" s="167"/>
      <c r="C5" s="167"/>
      <c r="D5" s="167"/>
      <c r="E5" s="167"/>
      <c r="F5" s="167"/>
      <c r="G5" s="167"/>
    </row>
    <row r="6" spans="2:13">
      <c r="B6" s="140" t="s">
        <v>82</v>
      </c>
      <c r="C6" s="131" t="s">
        <v>128</v>
      </c>
    </row>
    <row r="7" spans="2:13">
      <c r="B7" s="140"/>
      <c r="C7" s="173" t="s">
        <v>127</v>
      </c>
    </row>
    <row r="8" spans="2:13">
      <c r="B8" s="140"/>
      <c r="C8" s="180" t="s">
        <v>129</v>
      </c>
    </row>
    <row r="10" spans="2:13">
      <c r="B10" s="140" t="s">
        <v>90</v>
      </c>
    </row>
    <row r="11" spans="2:13">
      <c r="B11" s="1" t="s">
        <v>91</v>
      </c>
      <c r="C11" s="1">
        <v>31.669</v>
      </c>
      <c r="D11" s="159" t="s">
        <v>92</v>
      </c>
    </row>
    <row r="12" spans="2:13">
      <c r="B12" s="1" t="s">
        <v>95</v>
      </c>
      <c r="C12" s="159">
        <v>35500</v>
      </c>
      <c r="D12" s="159" t="s">
        <v>96</v>
      </c>
    </row>
    <row r="14" spans="2:13">
      <c r="B14" s="140" t="s">
        <v>97</v>
      </c>
    </row>
    <row r="15" spans="2:13">
      <c r="B15" s="204" t="s">
        <v>0</v>
      </c>
      <c r="C15" s="168" t="s">
        <v>99</v>
      </c>
      <c r="D15" s="169" t="s">
        <v>98</v>
      </c>
      <c r="E15" s="168" t="s">
        <v>93</v>
      </c>
      <c r="F15" s="205" t="s">
        <v>94</v>
      </c>
    </row>
    <row r="16" spans="2:13">
      <c r="B16" s="206">
        <v>2010</v>
      </c>
      <c r="C16" s="165">
        <v>2.1</v>
      </c>
      <c r="D16" s="170">
        <f t="shared" ref="D16:D56" si="0">C16*1000000*$C$12/1000000</f>
        <v>74550</v>
      </c>
      <c r="E16" s="165"/>
      <c r="F16" s="207">
        <v>70486</v>
      </c>
    </row>
    <row r="17" spans="2:13">
      <c r="B17" s="206">
        <v>2011</v>
      </c>
      <c r="C17" s="165">
        <v>1.6</v>
      </c>
      <c r="D17" s="170">
        <f t="shared" si="0"/>
        <v>56800</v>
      </c>
      <c r="E17" s="165"/>
      <c r="F17" s="207">
        <v>71225</v>
      </c>
    </row>
    <row r="18" spans="2:13">
      <c r="B18" s="206">
        <v>2012</v>
      </c>
      <c r="C18" s="165">
        <v>1.2</v>
      </c>
      <c r="D18" s="170">
        <f t="shared" si="0"/>
        <v>42600</v>
      </c>
      <c r="E18" s="165"/>
      <c r="F18" s="207">
        <v>74785</v>
      </c>
    </row>
    <row r="19" spans="2:13">
      <c r="B19" s="206">
        <v>2013</v>
      </c>
      <c r="C19" s="165">
        <v>1.3</v>
      </c>
      <c r="D19" s="170">
        <f t="shared" si="0"/>
        <v>46150</v>
      </c>
      <c r="E19" s="165"/>
      <c r="F19" s="208">
        <v>81052.88</v>
      </c>
      <c r="M19" s="2"/>
    </row>
    <row r="20" spans="2:13">
      <c r="B20" s="206">
        <v>2014</v>
      </c>
      <c r="C20" s="165">
        <v>1.3</v>
      </c>
      <c r="D20" s="170">
        <f t="shared" si="0"/>
        <v>46150</v>
      </c>
      <c r="E20" s="165"/>
      <c r="F20" s="209">
        <f>F19+(F21-F19)/2</f>
        <v>83531.055000000008</v>
      </c>
    </row>
    <row r="21" spans="2:13">
      <c r="B21" s="206">
        <v>2015</v>
      </c>
      <c r="C21" s="165">
        <v>1.3</v>
      </c>
      <c r="D21" s="170">
        <f t="shared" si="0"/>
        <v>46150</v>
      </c>
      <c r="E21" s="165"/>
      <c r="F21" s="208">
        <v>86009.23000000001</v>
      </c>
    </row>
    <row r="22" spans="2:13">
      <c r="B22" s="206">
        <v>2016</v>
      </c>
      <c r="C22" s="165">
        <v>1.8</v>
      </c>
      <c r="D22" s="170">
        <f>C22*1000000*$C$12/1000000</f>
        <v>63900</v>
      </c>
      <c r="E22" s="165"/>
      <c r="F22" s="209">
        <f t="shared" ref="F22:F56" si="1">D22</f>
        <v>63900</v>
      </c>
    </row>
    <row r="23" spans="2:13">
      <c r="B23" s="206">
        <v>2017</v>
      </c>
      <c r="C23" s="165">
        <v>1.7</v>
      </c>
      <c r="D23" s="170">
        <f t="shared" si="0"/>
        <v>60350</v>
      </c>
      <c r="E23" s="165"/>
      <c r="F23" s="209">
        <f t="shared" si="1"/>
        <v>60350</v>
      </c>
    </row>
    <row r="24" spans="2:13">
      <c r="B24" s="206">
        <v>2018</v>
      </c>
      <c r="C24" s="210">
        <v>1.1000000000000001</v>
      </c>
      <c r="D24" s="170">
        <f t="shared" si="0"/>
        <v>39050</v>
      </c>
      <c r="E24" s="165"/>
      <c r="F24" s="209">
        <f t="shared" si="1"/>
        <v>39050</v>
      </c>
    </row>
    <row r="25" spans="2:13">
      <c r="B25" s="206">
        <v>2019</v>
      </c>
      <c r="C25" s="210">
        <v>1</v>
      </c>
      <c r="D25" s="170">
        <f t="shared" si="0"/>
        <v>35500</v>
      </c>
      <c r="E25" s="165"/>
      <c r="F25" s="209">
        <f t="shared" si="1"/>
        <v>35500</v>
      </c>
    </row>
    <row r="26" spans="2:13">
      <c r="B26" s="206">
        <v>2020</v>
      </c>
      <c r="C26" s="210">
        <v>0.8</v>
      </c>
      <c r="D26" s="170">
        <f t="shared" si="0"/>
        <v>28400</v>
      </c>
      <c r="E26" s="165"/>
      <c r="F26" s="209">
        <f t="shared" si="1"/>
        <v>28400</v>
      </c>
    </row>
    <row r="27" spans="2:13">
      <c r="B27" s="206">
        <v>2021</v>
      </c>
      <c r="C27" s="210">
        <v>0.8</v>
      </c>
      <c r="D27" s="170">
        <f t="shared" si="0"/>
        <v>28400</v>
      </c>
      <c r="E27" s="165"/>
      <c r="F27" s="209">
        <f t="shared" si="1"/>
        <v>28400</v>
      </c>
    </row>
    <row r="28" spans="2:13">
      <c r="B28" s="206">
        <v>2022</v>
      </c>
      <c r="C28" s="210">
        <v>0.7</v>
      </c>
      <c r="D28" s="170">
        <f t="shared" si="0"/>
        <v>24850</v>
      </c>
      <c r="E28" s="165"/>
      <c r="F28" s="209">
        <f t="shared" si="1"/>
        <v>24850</v>
      </c>
    </row>
    <row r="29" spans="2:13">
      <c r="B29" s="206">
        <v>2023</v>
      </c>
      <c r="C29" s="210">
        <v>0.7</v>
      </c>
      <c r="D29" s="170">
        <f t="shared" si="0"/>
        <v>24850</v>
      </c>
      <c r="E29" s="165"/>
      <c r="F29" s="209">
        <f t="shared" si="1"/>
        <v>24850</v>
      </c>
    </row>
    <row r="30" spans="2:13">
      <c r="B30" s="206">
        <v>2024</v>
      </c>
      <c r="C30" s="210">
        <v>0.6</v>
      </c>
      <c r="D30" s="170">
        <f t="shared" si="0"/>
        <v>21300</v>
      </c>
      <c r="E30" s="165"/>
      <c r="F30" s="209">
        <f t="shared" si="1"/>
        <v>21300</v>
      </c>
    </row>
    <row r="31" spans="2:13">
      <c r="B31" s="206">
        <v>2025</v>
      </c>
      <c r="C31" s="210">
        <v>0.5</v>
      </c>
      <c r="D31" s="170">
        <f t="shared" si="0"/>
        <v>17750</v>
      </c>
      <c r="E31" s="165"/>
      <c r="F31" s="209">
        <f t="shared" si="1"/>
        <v>17750</v>
      </c>
    </row>
    <row r="32" spans="2:13">
      <c r="B32" s="206">
        <v>2026</v>
      </c>
      <c r="C32" s="210">
        <v>0.5</v>
      </c>
      <c r="D32" s="170">
        <f t="shared" si="0"/>
        <v>17750</v>
      </c>
      <c r="E32" s="165"/>
      <c r="F32" s="209">
        <f t="shared" si="1"/>
        <v>17750</v>
      </c>
    </row>
    <row r="33" spans="2:6">
      <c r="B33" s="206">
        <v>2027</v>
      </c>
      <c r="C33" s="210">
        <v>0.5</v>
      </c>
      <c r="D33" s="170">
        <f t="shared" si="0"/>
        <v>17750</v>
      </c>
      <c r="E33" s="165"/>
      <c r="F33" s="209">
        <f t="shared" si="1"/>
        <v>17750</v>
      </c>
    </row>
    <row r="34" spans="2:6">
      <c r="B34" s="206">
        <v>2028</v>
      </c>
      <c r="C34" s="210">
        <v>0.4</v>
      </c>
      <c r="D34" s="170">
        <f t="shared" si="0"/>
        <v>14200</v>
      </c>
      <c r="E34" s="165"/>
      <c r="F34" s="209">
        <f t="shared" si="1"/>
        <v>14200</v>
      </c>
    </row>
    <row r="35" spans="2:6">
      <c r="B35" s="206">
        <v>2029</v>
      </c>
      <c r="C35" s="210">
        <v>0.4</v>
      </c>
      <c r="D35" s="170">
        <f t="shared" si="0"/>
        <v>14200</v>
      </c>
      <c r="E35" s="165"/>
      <c r="F35" s="209">
        <f t="shared" si="1"/>
        <v>14200</v>
      </c>
    </row>
    <row r="36" spans="2:6">
      <c r="B36" s="206">
        <v>2030</v>
      </c>
      <c r="C36" s="210">
        <v>0.4</v>
      </c>
      <c r="D36" s="170">
        <f t="shared" si="0"/>
        <v>14200</v>
      </c>
      <c r="E36" s="170"/>
      <c r="F36" s="209">
        <f t="shared" si="1"/>
        <v>14200</v>
      </c>
    </row>
    <row r="37" spans="2:6">
      <c r="B37" s="206">
        <v>2031</v>
      </c>
      <c r="C37" s="210">
        <v>0.4</v>
      </c>
      <c r="D37" s="170">
        <f t="shared" si="0"/>
        <v>14200</v>
      </c>
      <c r="E37" s="170"/>
      <c r="F37" s="209">
        <f t="shared" si="1"/>
        <v>14200</v>
      </c>
    </row>
    <row r="38" spans="2:6">
      <c r="B38" s="206">
        <v>2032</v>
      </c>
      <c r="C38" s="210">
        <v>0.4</v>
      </c>
      <c r="D38" s="170">
        <f t="shared" si="0"/>
        <v>14200</v>
      </c>
      <c r="E38" s="170"/>
      <c r="F38" s="209">
        <f t="shared" si="1"/>
        <v>14200</v>
      </c>
    </row>
    <row r="39" spans="2:6">
      <c r="B39" s="206">
        <v>2033</v>
      </c>
      <c r="C39" s="210">
        <v>0.3</v>
      </c>
      <c r="D39" s="170">
        <f t="shared" si="0"/>
        <v>10650</v>
      </c>
      <c r="E39" s="170"/>
      <c r="F39" s="209">
        <f t="shared" si="1"/>
        <v>10650</v>
      </c>
    </row>
    <row r="40" spans="2:6">
      <c r="B40" s="206">
        <v>2034</v>
      </c>
      <c r="C40" s="210">
        <v>0.3</v>
      </c>
      <c r="D40" s="170">
        <f t="shared" si="0"/>
        <v>10650</v>
      </c>
      <c r="E40" s="170"/>
      <c r="F40" s="209">
        <f t="shared" si="1"/>
        <v>10650</v>
      </c>
    </row>
    <row r="41" spans="2:6">
      <c r="B41" s="206">
        <v>2035</v>
      </c>
      <c r="C41" s="210">
        <v>0.3</v>
      </c>
      <c r="D41" s="170">
        <f t="shared" si="0"/>
        <v>10650</v>
      </c>
      <c r="E41" s="170"/>
      <c r="F41" s="209">
        <f t="shared" si="1"/>
        <v>10650</v>
      </c>
    </row>
    <row r="42" spans="2:6">
      <c r="B42" s="206">
        <v>2036</v>
      </c>
      <c r="C42" s="210">
        <v>0.3</v>
      </c>
      <c r="D42" s="170">
        <f t="shared" si="0"/>
        <v>10650</v>
      </c>
      <c r="E42" s="170"/>
      <c r="F42" s="209">
        <f t="shared" si="1"/>
        <v>10650</v>
      </c>
    </row>
    <row r="43" spans="2:6">
      <c r="B43" s="206">
        <v>2037</v>
      </c>
      <c r="C43" s="210">
        <v>0.3</v>
      </c>
      <c r="D43" s="170">
        <f t="shared" si="0"/>
        <v>10650</v>
      </c>
      <c r="E43" s="170"/>
      <c r="F43" s="209">
        <f t="shared" si="1"/>
        <v>10650</v>
      </c>
    </row>
    <row r="44" spans="2:6">
      <c r="B44" s="206">
        <v>2038</v>
      </c>
      <c r="C44" s="210">
        <v>0.3</v>
      </c>
      <c r="D44" s="170">
        <f t="shared" si="0"/>
        <v>10650</v>
      </c>
      <c r="E44" s="170"/>
      <c r="F44" s="209">
        <f t="shared" si="1"/>
        <v>10650</v>
      </c>
    </row>
    <row r="45" spans="2:6">
      <c r="B45" s="206">
        <v>2039</v>
      </c>
      <c r="C45" s="210">
        <v>0.2</v>
      </c>
      <c r="D45" s="170">
        <f t="shared" si="0"/>
        <v>7100</v>
      </c>
      <c r="E45" s="170"/>
      <c r="F45" s="209">
        <f t="shared" si="1"/>
        <v>7100</v>
      </c>
    </row>
    <row r="46" spans="2:6">
      <c r="B46" s="206">
        <v>2040</v>
      </c>
      <c r="C46" s="210">
        <v>0.2</v>
      </c>
      <c r="D46" s="170">
        <f t="shared" si="0"/>
        <v>7100</v>
      </c>
      <c r="E46" s="170"/>
      <c r="F46" s="209">
        <f t="shared" si="1"/>
        <v>7100</v>
      </c>
    </row>
    <row r="47" spans="2:6">
      <c r="B47" s="206">
        <v>2041</v>
      </c>
      <c r="C47" s="210">
        <v>0.1</v>
      </c>
      <c r="D47" s="170">
        <f t="shared" si="0"/>
        <v>3550</v>
      </c>
      <c r="E47" s="170"/>
      <c r="F47" s="209">
        <f t="shared" si="1"/>
        <v>3550</v>
      </c>
    </row>
    <row r="48" spans="2:6">
      <c r="B48" s="206">
        <v>2042</v>
      </c>
      <c r="C48" s="210">
        <v>0.1</v>
      </c>
      <c r="D48" s="170">
        <f t="shared" si="0"/>
        <v>3550</v>
      </c>
      <c r="E48" s="170"/>
      <c r="F48" s="209">
        <f t="shared" si="1"/>
        <v>3550</v>
      </c>
    </row>
    <row r="49" spans="2:6">
      <c r="B49" s="206">
        <v>2043</v>
      </c>
      <c r="C49" s="165"/>
      <c r="D49" s="170">
        <f t="shared" si="0"/>
        <v>0</v>
      </c>
      <c r="E49" s="170"/>
      <c r="F49" s="209">
        <f t="shared" si="1"/>
        <v>0</v>
      </c>
    </row>
    <row r="50" spans="2:6">
      <c r="B50" s="206">
        <v>2044</v>
      </c>
      <c r="C50" s="165"/>
      <c r="D50" s="170">
        <f t="shared" si="0"/>
        <v>0</v>
      </c>
      <c r="E50" s="170"/>
      <c r="F50" s="209">
        <f t="shared" si="1"/>
        <v>0</v>
      </c>
    </row>
    <row r="51" spans="2:6">
      <c r="B51" s="206">
        <v>2045</v>
      </c>
      <c r="C51" s="165"/>
      <c r="D51" s="170">
        <f t="shared" si="0"/>
        <v>0</v>
      </c>
      <c r="E51" s="170"/>
      <c r="F51" s="209">
        <f t="shared" si="1"/>
        <v>0</v>
      </c>
    </row>
    <row r="52" spans="2:6">
      <c r="B52" s="206">
        <v>2046</v>
      </c>
      <c r="C52" s="165"/>
      <c r="D52" s="170">
        <f t="shared" si="0"/>
        <v>0</v>
      </c>
      <c r="E52" s="170"/>
      <c r="F52" s="209">
        <f t="shared" si="1"/>
        <v>0</v>
      </c>
    </row>
    <row r="53" spans="2:6">
      <c r="B53" s="206">
        <v>2047</v>
      </c>
      <c r="C53" s="165"/>
      <c r="D53" s="170">
        <f t="shared" si="0"/>
        <v>0</v>
      </c>
      <c r="E53" s="170"/>
      <c r="F53" s="209">
        <f t="shared" si="1"/>
        <v>0</v>
      </c>
    </row>
    <row r="54" spans="2:6">
      <c r="B54" s="206">
        <v>2048</v>
      </c>
      <c r="C54" s="165"/>
      <c r="D54" s="170">
        <f t="shared" si="0"/>
        <v>0</v>
      </c>
      <c r="E54" s="170"/>
      <c r="F54" s="209">
        <f t="shared" si="1"/>
        <v>0</v>
      </c>
    </row>
    <row r="55" spans="2:6">
      <c r="B55" s="206">
        <v>2049</v>
      </c>
      <c r="C55" s="165"/>
      <c r="D55" s="170">
        <f t="shared" si="0"/>
        <v>0</v>
      </c>
      <c r="E55" s="170"/>
      <c r="F55" s="209">
        <f t="shared" si="1"/>
        <v>0</v>
      </c>
    </row>
    <row r="56" spans="2:6">
      <c r="B56" s="211">
        <v>2050</v>
      </c>
      <c r="C56" s="171"/>
      <c r="D56" s="172">
        <f t="shared" si="0"/>
        <v>0</v>
      </c>
      <c r="E56" s="172"/>
      <c r="F56" s="212">
        <f t="shared" si="1"/>
        <v>0</v>
      </c>
    </row>
    <row r="57" spans="2:6">
      <c r="D57" s="1"/>
    </row>
  </sheetData>
  <mergeCells count="1">
    <mergeCell ref="B3:G4"/>
  </mergeCells>
  <hyperlinks>
    <hyperlink ref="C7" r:id="rId1" display="https://www.nlog.nl/sites/default/files/jaarverslag delfstoffen en aardwarmt in nederland - 2017.pdf" xr:uid="{6EDA838B-D717-D54E-B0F0-629C478ADEBE}"/>
  </hyperlinks>
  <pageMargins left="0.75" right="0.75" top="1" bottom="1" header="0.5" footer="0.5"/>
  <pageSetup paperSize="9" orientation="portrait" horizontalDpi="4294967292" verticalDpi="4294967292"/>
  <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theme="8" tint="0.39997558519241921"/>
  </sheetPr>
  <dimension ref="B2:M20"/>
  <sheetViews>
    <sheetView workbookViewId="0">
      <selection activeCell="J11" sqref="J11"/>
    </sheetView>
  </sheetViews>
  <sheetFormatPr baseColWidth="10" defaultRowHeight="16"/>
  <cols>
    <col min="2" max="2" width="37.83203125" customWidth="1"/>
  </cols>
  <sheetData>
    <row r="2" spans="2:13" s="14" customFormat="1" ht="15" customHeight="1">
      <c r="B2" s="117" t="s">
        <v>67</v>
      </c>
      <c r="C2" s="118"/>
      <c r="D2" s="118"/>
      <c r="E2" s="118"/>
      <c r="F2" s="118"/>
      <c r="G2" s="119"/>
      <c r="H2" s="91"/>
      <c r="I2" s="91"/>
      <c r="J2" s="84"/>
      <c r="K2" s="123"/>
      <c r="L2" s="19"/>
      <c r="M2" s="19"/>
    </row>
    <row r="3" spans="2:13" s="14" customFormat="1" ht="15" customHeight="1">
      <c r="B3" s="185" t="s">
        <v>89</v>
      </c>
      <c r="C3" s="186"/>
      <c r="D3" s="186"/>
      <c r="E3" s="186"/>
      <c r="F3" s="186"/>
      <c r="G3" s="187"/>
      <c r="H3" s="120"/>
      <c r="I3" s="120"/>
      <c r="J3" s="84"/>
      <c r="K3" s="124"/>
      <c r="L3" s="19"/>
      <c r="M3" s="19"/>
    </row>
    <row r="4" spans="2:13" s="14" customFormat="1">
      <c r="B4" s="185"/>
      <c r="C4" s="186"/>
      <c r="D4" s="186"/>
      <c r="E4" s="186"/>
      <c r="F4" s="186"/>
      <c r="G4" s="187"/>
      <c r="H4" s="120"/>
      <c r="I4" s="120"/>
      <c r="J4" s="84"/>
      <c r="K4" s="124"/>
      <c r="L4" s="19"/>
      <c r="M4" s="19"/>
    </row>
    <row r="5" spans="2:13" s="14" customFormat="1">
      <c r="B5" s="183"/>
      <c r="C5" s="188"/>
      <c r="D5" s="188"/>
      <c r="E5" s="188"/>
      <c r="F5" s="188"/>
      <c r="G5" s="184"/>
      <c r="H5" s="120"/>
      <c r="I5" s="120"/>
      <c r="J5" s="84"/>
      <c r="K5" s="124"/>
      <c r="L5" s="19"/>
      <c r="M5" s="19"/>
    </row>
    <row r="6" spans="2:13">
      <c r="B6" s="131"/>
      <c r="C6" s="131"/>
      <c r="D6" s="131"/>
      <c r="E6" s="131"/>
      <c r="F6" s="131"/>
      <c r="G6" s="131"/>
      <c r="H6" s="131"/>
      <c r="I6" s="131"/>
      <c r="J6" s="131"/>
      <c r="K6" s="131"/>
      <c r="L6" s="131"/>
      <c r="M6" s="131"/>
    </row>
    <row r="7" spans="2:13">
      <c r="B7" s="132" t="s">
        <v>19</v>
      </c>
      <c r="C7" s="136">
        <v>2000</v>
      </c>
      <c r="D7" s="136">
        <v>2005</v>
      </c>
      <c r="E7" s="136">
        <v>2010</v>
      </c>
      <c r="F7" s="136">
        <v>2015</v>
      </c>
      <c r="G7" s="136">
        <v>2020</v>
      </c>
      <c r="H7" s="136">
        <v>2025</v>
      </c>
      <c r="I7" s="136">
        <v>2030</v>
      </c>
      <c r="J7" s="136">
        <v>2035</v>
      </c>
      <c r="K7" s="136">
        <v>2040</v>
      </c>
      <c r="L7" s="136">
        <v>2045</v>
      </c>
      <c r="M7" s="136">
        <v>2050</v>
      </c>
    </row>
    <row r="8" spans="2:13">
      <c r="B8" s="133"/>
      <c r="C8" s="137"/>
      <c r="D8" s="137"/>
      <c r="E8" s="137"/>
      <c r="F8" s="137"/>
      <c r="G8" s="137"/>
      <c r="H8" s="137"/>
      <c r="I8" s="137"/>
      <c r="J8" s="137"/>
      <c r="K8" s="137"/>
      <c r="L8" s="137"/>
      <c r="M8" s="137"/>
    </row>
    <row r="9" spans="2:13">
      <c r="B9" s="133" t="s">
        <v>8</v>
      </c>
      <c r="C9" s="138">
        <f>Dashboard!C21*ktoe_TJ</f>
        <v>2409700.1795999999</v>
      </c>
      <c r="D9" s="138">
        <f>Dashboard!D21*ktoe_TJ</f>
        <v>2605022.7731999997</v>
      </c>
      <c r="E9" s="138">
        <f>Dashboard!E21*ktoe_TJ</f>
        <v>2939937.4656000012</v>
      </c>
      <c r="F9" s="138">
        <f>Dashboard!F21*ktoe_TJ</f>
        <v>2155006.7571624112</v>
      </c>
      <c r="G9" s="138">
        <f>Dashboard!G21*ktoe_TJ</f>
        <v>2215706.6800108771</v>
      </c>
      <c r="H9" s="138">
        <f>Dashboard!H21*ktoe_TJ</f>
        <v>1933676.6726352193</v>
      </c>
      <c r="I9" s="138">
        <f>Dashboard!I21*ktoe_TJ</f>
        <v>1643648.2918463594</v>
      </c>
      <c r="J9" s="138">
        <f>Dashboard!J21*ktoe_TJ</f>
        <v>1173079.2443162128</v>
      </c>
      <c r="K9" s="138">
        <f>Dashboard!K21*ktoe_TJ</f>
        <v>1175461.1856631546</v>
      </c>
      <c r="L9" s="138">
        <f>Dashboard!L21*ktoe_TJ</f>
        <v>1222619.691627692</v>
      </c>
      <c r="M9" s="138">
        <f>Dashboard!M21*ktoe_TJ</f>
        <v>1265554.4907544807</v>
      </c>
    </row>
    <row r="10" spans="2:13">
      <c r="B10" s="135" t="s">
        <v>9</v>
      </c>
      <c r="C10" s="139">
        <f>Dashboard!C22*ktoe_TJ</f>
        <v>314.00999999996196</v>
      </c>
      <c r="D10" s="139">
        <f>Dashboard!D22*ktoe_TJ</f>
        <v>343.31760000004596</v>
      </c>
      <c r="E10" s="139">
        <f>Dashboard!E22*ktoe_TJ</f>
        <v>255.39479999994862</v>
      </c>
      <c r="F10" s="139">
        <f>Dashboard!F22*ktoe_TJ</f>
        <v>0</v>
      </c>
      <c r="G10" s="139">
        <f>Dashboard!G22*ktoe_TJ</f>
        <v>0</v>
      </c>
      <c r="H10" s="139">
        <f>Dashboard!H22*ktoe_TJ</f>
        <v>0</v>
      </c>
      <c r="I10" s="139">
        <f>Dashboard!I22*ktoe_TJ</f>
        <v>0</v>
      </c>
      <c r="J10" s="139">
        <f>Dashboard!J22*ktoe_TJ</f>
        <v>0</v>
      </c>
      <c r="K10" s="139">
        <f>Dashboard!K22*ktoe_TJ</f>
        <v>0</v>
      </c>
      <c r="L10" s="139">
        <f>Dashboard!L22*ktoe_TJ</f>
        <v>0</v>
      </c>
      <c r="M10" s="139">
        <f>Dashboard!M22*ktoe_TJ</f>
        <v>0</v>
      </c>
    </row>
    <row r="11" spans="2:13">
      <c r="B11" s="135" t="s">
        <v>10</v>
      </c>
      <c r="C11" s="139">
        <f>Dashboard!C23*ktoe_TJ</f>
        <v>100713.4739999997</v>
      </c>
      <c r="D11" s="139">
        <f>Dashboard!D23*ktoe_TJ</f>
        <v>97456.143599999908</v>
      </c>
      <c r="E11" s="139">
        <f>Dashboard!E23*ktoe_TJ</f>
        <v>83095.41960000078</v>
      </c>
      <c r="F11" s="139">
        <f>Dashboard!F23*ktoe_TJ</f>
        <v>57815.112002085043</v>
      </c>
      <c r="G11" s="139">
        <f>Dashboard!G23*ktoe_TJ</f>
        <v>59198.804982544483</v>
      </c>
      <c r="H11" s="139">
        <f>Dashboard!H23*ktoe_TJ</f>
        <v>40243.138605755288</v>
      </c>
      <c r="I11" s="139">
        <f>Dashboard!I23*ktoe_TJ</f>
        <v>31498.997145268306</v>
      </c>
      <c r="J11" s="139">
        <f>Dashboard!J23*ktoe_TJ</f>
        <v>27084.960292376309</v>
      </c>
      <c r="K11" s="139">
        <f>Dashboard!K23*ktoe_TJ</f>
        <v>26736.377451179531</v>
      </c>
      <c r="L11" s="139">
        <f>Dashboard!L23*ktoe_TJ</f>
        <v>25774.466360884806</v>
      </c>
      <c r="M11" s="139">
        <f>Dashboard!M23*ktoe_TJ</f>
        <v>24765.152032886694</v>
      </c>
    </row>
    <row r="12" spans="2:13">
      <c r="B12" s="135" t="s">
        <v>3</v>
      </c>
      <c r="C12" s="139">
        <f>Dashboard!C24*ktoe_TJ</f>
        <v>2185626.8303999994</v>
      </c>
      <c r="D12" s="139">
        <f>Dashboard!D24*ktoe_TJ</f>
        <v>2356159.3811999997</v>
      </c>
      <c r="E12" s="139">
        <f>Dashboard!E24*ktoe_TJ</f>
        <v>2660045.6988000004</v>
      </c>
      <c r="F12" s="139">
        <f>Dashboard!F24*ktoe_TJ</f>
        <v>1847453.2231559253</v>
      </c>
      <c r="G12" s="139">
        <f>Dashboard!G24*ktoe_TJ</f>
        <v>1700263.0558209328</v>
      </c>
      <c r="H12" s="139">
        <f>Dashboard!H24*ktoe_TJ</f>
        <v>1418123.6094443093</v>
      </c>
      <c r="I12" s="139">
        <f>Dashboard!I24*ktoe_TJ</f>
        <v>1093171.3373325127</v>
      </c>
      <c r="J12" s="139">
        <f>Dashboard!J24*ktoe_TJ</f>
        <v>648663.88061993395</v>
      </c>
      <c r="K12" s="139">
        <f>Dashboard!K24*ktoe_TJ</f>
        <v>625611.11107345973</v>
      </c>
      <c r="L12" s="139">
        <f>Dashboard!L24*ktoe_TJ</f>
        <v>649615.54339803453</v>
      </c>
      <c r="M12" s="139">
        <f>Dashboard!M24*ktoe_TJ</f>
        <v>634817.47366406955</v>
      </c>
    </row>
    <row r="13" spans="2:13">
      <c r="B13" s="135" t="s">
        <v>11</v>
      </c>
      <c r="C13" s="139">
        <f>Dashboard!C25*ktoe_TJ</f>
        <v>42399.723600000012</v>
      </c>
      <c r="D13" s="139">
        <f>Dashboard!D25*ktoe_TJ</f>
        <v>43165.908000000003</v>
      </c>
      <c r="E13" s="139">
        <f>Dashboard!E25*ktoe_TJ</f>
        <v>42864.458400000003</v>
      </c>
      <c r="F13" s="139">
        <f>Dashboard!F25*ktoe_TJ</f>
        <v>40011.384919474767</v>
      </c>
      <c r="G13" s="139">
        <f>Dashboard!G25*ktoe_TJ</f>
        <v>40017.752436349001</v>
      </c>
      <c r="H13" s="139">
        <f>Dashboard!H25*ktoe_TJ</f>
        <v>41443.291422432914</v>
      </c>
      <c r="I13" s="139">
        <f>Dashboard!I25*ktoe_TJ</f>
        <v>41443.291422432914</v>
      </c>
      <c r="J13" s="139">
        <f>Dashboard!J25*ktoe_TJ</f>
        <v>0</v>
      </c>
      <c r="K13" s="139">
        <f>Dashboard!K25*ktoe_TJ</f>
        <v>0</v>
      </c>
      <c r="L13" s="139">
        <f>Dashboard!L25*ktoe_TJ</f>
        <v>0</v>
      </c>
      <c r="M13" s="139">
        <f>Dashboard!M25*ktoe_TJ</f>
        <v>0</v>
      </c>
    </row>
    <row r="14" spans="2:13">
      <c r="B14" s="135" t="s">
        <v>12</v>
      </c>
      <c r="C14" s="139">
        <f>Dashboard!C26*ktoe_TJ</f>
        <v>80646.141600000003</v>
      </c>
      <c r="D14" s="139">
        <f>Dashboard!D26*ktoe_TJ</f>
        <v>107898.02279999998</v>
      </c>
      <c r="E14" s="139">
        <f>Dashboard!E26*ktoe_TJ</f>
        <v>153676.49399999998</v>
      </c>
      <c r="F14" s="139">
        <f>Dashboard!F26*ktoe_TJ</f>
        <v>209727.03708492612</v>
      </c>
      <c r="G14" s="139">
        <f>Dashboard!G26*ktoe_TJ</f>
        <v>416227.06677105068</v>
      </c>
      <c r="H14" s="139">
        <f>Dashboard!H26*ktoe_TJ</f>
        <v>433866.63316272199</v>
      </c>
      <c r="I14" s="139">
        <f>Dashboard!I26*ktoe_TJ</f>
        <v>477534.66594614519</v>
      </c>
      <c r="J14" s="139">
        <f>Dashboard!J26*ktoe_TJ</f>
        <v>497330.40340390272</v>
      </c>
      <c r="K14" s="139">
        <f>Dashboard!K26*ktoe_TJ</f>
        <v>523113.69713851536</v>
      </c>
      <c r="L14" s="139">
        <f>Dashboard!L26*ktoe_TJ</f>
        <v>547229.68186877249</v>
      </c>
      <c r="M14" s="139">
        <f>Dashboard!M26*ktoe_TJ</f>
        <v>605971.86505752441</v>
      </c>
    </row>
    <row r="15" spans="2:13">
      <c r="B15" s="135" t="s">
        <v>13</v>
      </c>
      <c r="C15" s="139">
        <f>Dashboard!C27*ktoe_TJ</f>
        <v>510.78960000000001</v>
      </c>
      <c r="D15" s="139">
        <f>Dashboard!D27*ktoe_TJ</f>
        <v>318.1968</v>
      </c>
      <c r="E15" s="139">
        <f>Dashboard!E27*ktoe_TJ</f>
        <v>376.81200000000001</v>
      </c>
      <c r="F15" s="139">
        <f>Dashboard!F27*ktoe_TJ</f>
        <v>360.47867355360006</v>
      </c>
      <c r="G15" s="139">
        <f>Dashboard!G27*ktoe_TJ</f>
        <v>373.45344952319999</v>
      </c>
      <c r="H15" s="139">
        <f>Dashboard!H27*ktoe_TJ</f>
        <v>378.34670113770966</v>
      </c>
      <c r="I15" s="139">
        <f>Dashboard!I27*ktoe_TJ</f>
        <v>378.25053971750629</v>
      </c>
      <c r="J15" s="139">
        <f>Dashboard!J27*ktoe_TJ</f>
        <v>378.20324696411808</v>
      </c>
      <c r="K15" s="139">
        <f>Dashboard!K27*ktoe_TJ</f>
        <v>378.16865716299134</v>
      </c>
      <c r="L15" s="139">
        <f>Dashboard!L27*ktoe_TJ</f>
        <v>378.11224022594416</v>
      </c>
      <c r="M15" s="139">
        <f>Dashboard!M27*ktoe_TJ</f>
        <v>378.17561848172056</v>
      </c>
    </row>
    <row r="16" spans="2:13">
      <c r="B16" s="135" t="s">
        <v>14</v>
      </c>
      <c r="C16" s="139">
        <f>Dashboard!C28*ktoe_TJ</f>
        <v>76672.868399999992</v>
      </c>
      <c r="D16" s="139">
        <f>Dashboard!D28*ktoe_TJ</f>
        <v>99256.467600000004</v>
      </c>
      <c r="E16" s="139">
        <f>Dashboard!E28*ktoe_TJ</f>
        <v>137389.84199999998</v>
      </c>
      <c r="F16" s="139">
        <f>Dashboard!F28*ktoe_TJ</f>
        <v>177334.92118354593</v>
      </c>
      <c r="G16" s="139">
        <f>Dashboard!G28*ktoe_TJ</f>
        <v>291884.67394250294</v>
      </c>
      <c r="H16" s="139">
        <f>Dashboard!H28*ktoe_TJ</f>
        <v>305529.51977501315</v>
      </c>
      <c r="I16" s="139">
        <f>Dashboard!I28*ktoe_TJ</f>
        <v>341265.21237493044</v>
      </c>
      <c r="J16" s="139">
        <f>Dashboard!J28*ktoe_TJ</f>
        <v>355454.89524519019</v>
      </c>
      <c r="K16" s="139">
        <f>Dashboard!K28*ktoe_TJ</f>
        <v>378242.23481890355</v>
      </c>
      <c r="L16" s="139">
        <f>Dashboard!L28*ktoe_TJ</f>
        <v>396207.26521670813</v>
      </c>
      <c r="M16" s="139">
        <f>Dashboard!M28*ktoe_TJ</f>
        <v>415164.39029583178</v>
      </c>
    </row>
    <row r="17" spans="2:13">
      <c r="B17" s="134" t="s">
        <v>15</v>
      </c>
      <c r="C17" s="139">
        <f>Dashboard!C29*ktoe_TJ</f>
        <v>2985.1884</v>
      </c>
      <c r="D17" s="139">
        <f>Dashboard!D29*ktoe_TJ</f>
        <v>7439.9435999999996</v>
      </c>
      <c r="E17" s="139">
        <f>Dashboard!E29*ktoe_TJ</f>
        <v>14373.2844</v>
      </c>
      <c r="F17" s="139">
        <f>Dashboard!F29*ktoe_TJ</f>
        <v>25869.710609546317</v>
      </c>
      <c r="G17" s="139">
        <f>Dashboard!G29*ktoe_TJ</f>
        <v>99371.983889747411</v>
      </c>
      <c r="H17" s="139">
        <f>Dashboard!H29*ktoe_TJ</f>
        <v>99371.983889747411</v>
      </c>
      <c r="I17" s="139">
        <f>Dashboard!I29*ktoe_TJ</f>
        <v>99371.983889747411</v>
      </c>
      <c r="J17" s="139">
        <f>Dashboard!J29*ktoe_TJ</f>
        <v>100002.14800680178</v>
      </c>
      <c r="K17" s="139">
        <f>Dashboard!K29*ktoe_TJ</f>
        <v>100928.04920980922</v>
      </c>
      <c r="L17" s="139">
        <f>Dashboard!L29*ktoe_TJ</f>
        <v>104084.37127583323</v>
      </c>
      <c r="M17" s="139">
        <f>Dashboard!M29*ktoe_TJ</f>
        <v>141696.19109450944</v>
      </c>
    </row>
    <row r="18" spans="2:13">
      <c r="B18" s="134" t="s">
        <v>16</v>
      </c>
      <c r="C18" s="139">
        <f>Dashboard!C30*ktoe_TJ</f>
        <v>477.29519999999997</v>
      </c>
      <c r="D18" s="139">
        <f>Dashboard!D30*ktoe_TJ</f>
        <v>883.4147999999999</v>
      </c>
      <c r="E18" s="139">
        <f>Dashboard!E30*ktoe_TJ</f>
        <v>1218.3588000000002</v>
      </c>
      <c r="F18" s="139">
        <f>Dashboard!F30*ktoe_TJ</f>
        <v>5162.0237388551104</v>
      </c>
      <c r="G18" s="139">
        <f>Dashboard!G30*ktoe_TJ</f>
        <v>22897.084265808509</v>
      </c>
      <c r="H18" s="139">
        <f>Dashboard!H30*ktoe_TJ</f>
        <v>26234.017445642996</v>
      </c>
      <c r="I18" s="139">
        <f>Dashboard!I30*ktoe_TJ</f>
        <v>33505.372195540229</v>
      </c>
      <c r="J18" s="139">
        <f>Dashboard!J30*ktoe_TJ</f>
        <v>38134.518410970348</v>
      </c>
      <c r="K18" s="139">
        <f>Dashboard!K30*ktoe_TJ</f>
        <v>39959.629856068408</v>
      </c>
      <c r="L18" s="139">
        <f>Dashboard!L30*ktoe_TJ</f>
        <v>42683.09475104748</v>
      </c>
      <c r="M18" s="139">
        <f>Dashboard!M30*ktoe_TJ</f>
        <v>44690.593924216199</v>
      </c>
    </row>
    <row r="19" spans="2:13">
      <c r="B19" s="134" t="s">
        <v>17</v>
      </c>
      <c r="C19" s="139">
        <f>Dashboard!C31*ktoe_TJ</f>
        <v>0</v>
      </c>
      <c r="D19" s="139">
        <f>Dashboard!D31*ktoe_TJ</f>
        <v>0</v>
      </c>
      <c r="E19" s="139">
        <f>Dashboard!E31*ktoe_TJ</f>
        <v>318.1968</v>
      </c>
      <c r="F19" s="139">
        <f>Dashboard!F31*ktoe_TJ</f>
        <v>999.90287942515863</v>
      </c>
      <c r="G19" s="139">
        <f>Dashboard!G31*ktoe_TJ</f>
        <v>1699.871223468665</v>
      </c>
      <c r="H19" s="139">
        <f>Dashboard!H31*ktoe_TJ</f>
        <v>2352.7653511807589</v>
      </c>
      <c r="I19" s="139">
        <f>Dashboard!I31*ktoe_TJ</f>
        <v>3013.846946209605</v>
      </c>
      <c r="J19" s="139">
        <f>Dashboard!J31*ktoe_TJ</f>
        <v>3360.638493976262</v>
      </c>
      <c r="K19" s="139">
        <f>Dashboard!K31*ktoe_TJ</f>
        <v>3605.6145965712026</v>
      </c>
      <c r="L19" s="139">
        <f>Dashboard!L31*ktoe_TJ</f>
        <v>3876.8383849577758</v>
      </c>
      <c r="M19" s="139">
        <f>Dashboard!M31*ktoe_TJ</f>
        <v>4042.5141244853698</v>
      </c>
    </row>
    <row r="20" spans="2:13">
      <c r="B20" s="131"/>
      <c r="C20" s="131"/>
      <c r="D20" s="131"/>
      <c r="E20" s="131"/>
      <c r="F20" s="131"/>
      <c r="G20" s="131"/>
      <c r="H20" s="131"/>
      <c r="I20" s="131"/>
      <c r="J20" s="131"/>
      <c r="K20" s="131"/>
      <c r="L20" s="131"/>
      <c r="M20" s="131"/>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39997558519241921"/>
  </sheetPr>
  <dimension ref="A2:M59"/>
  <sheetViews>
    <sheetView workbookViewId="0">
      <selection activeCell="B3" sqref="B3:G6"/>
    </sheetView>
  </sheetViews>
  <sheetFormatPr baseColWidth="10" defaultRowHeight="16"/>
  <cols>
    <col min="1" max="6" width="10.83203125" style="1"/>
    <col min="7" max="7" width="12.5" style="1" customWidth="1"/>
    <col min="8" max="16384" width="10.83203125" style="1"/>
  </cols>
  <sheetData>
    <row r="2" spans="1:13" s="14" customFormat="1" ht="15" customHeight="1">
      <c r="B2" s="117" t="s">
        <v>67</v>
      </c>
      <c r="C2" s="118"/>
      <c r="D2" s="118"/>
      <c r="E2" s="118"/>
      <c r="F2" s="118"/>
      <c r="G2" s="119"/>
      <c r="H2" s="91"/>
      <c r="I2" s="91"/>
      <c r="J2" s="84"/>
      <c r="K2" s="123"/>
      <c r="L2" s="19"/>
      <c r="M2" s="19"/>
    </row>
    <row r="3" spans="1:13" s="14" customFormat="1" ht="15" customHeight="1">
      <c r="B3" s="185" t="s">
        <v>123</v>
      </c>
      <c r="C3" s="186"/>
      <c r="D3" s="186"/>
      <c r="E3" s="186"/>
      <c r="F3" s="186"/>
      <c r="G3" s="187"/>
      <c r="H3" s="120"/>
      <c r="I3" s="120"/>
      <c r="J3" s="84"/>
      <c r="K3" s="124"/>
      <c r="L3" s="19"/>
      <c r="M3" s="19"/>
    </row>
    <row r="4" spans="1:13" s="14" customFormat="1">
      <c r="B4" s="185"/>
      <c r="C4" s="186"/>
      <c r="D4" s="186"/>
      <c r="E4" s="186"/>
      <c r="F4" s="186"/>
      <c r="G4" s="187"/>
      <c r="H4" s="120"/>
      <c r="I4" s="120"/>
      <c r="J4" s="84"/>
      <c r="K4" s="124"/>
      <c r="L4" s="19"/>
      <c r="M4" s="19"/>
    </row>
    <row r="5" spans="1:13" s="14" customFormat="1">
      <c r="B5" s="185"/>
      <c r="C5" s="186"/>
      <c r="D5" s="186"/>
      <c r="E5" s="186"/>
      <c r="F5" s="186"/>
      <c r="G5" s="187"/>
      <c r="H5" s="120"/>
      <c r="I5" s="120"/>
      <c r="J5" s="84"/>
      <c r="K5" s="124"/>
      <c r="L5" s="19"/>
      <c r="M5" s="19"/>
    </row>
    <row r="6" spans="1:13">
      <c r="B6" s="183"/>
      <c r="C6" s="188"/>
      <c r="D6" s="188"/>
      <c r="E6" s="188"/>
      <c r="F6" s="188"/>
      <c r="G6" s="184"/>
    </row>
    <row r="8" spans="1:13">
      <c r="A8" s="140" t="s">
        <v>0</v>
      </c>
      <c r="B8" s="140" t="s">
        <v>1</v>
      </c>
      <c r="C8" s="140" t="s">
        <v>2</v>
      </c>
      <c r="D8" s="140" t="s">
        <v>3</v>
      </c>
      <c r="E8" s="140" t="s">
        <v>4</v>
      </c>
      <c r="F8" s="140" t="s">
        <v>5</v>
      </c>
      <c r="G8" s="140" t="s">
        <v>6</v>
      </c>
    </row>
    <row r="9" spans="1:13">
      <c r="A9" s="2">
        <v>2000</v>
      </c>
      <c r="B9" s="2">
        <f>conversion_to_TJ!C10*Dashboard!$D$11</f>
        <v>314.00999999996196</v>
      </c>
      <c r="C9" s="2">
        <f>conversion_to_TJ!C10*Dashboard!$D$12</f>
        <v>0</v>
      </c>
      <c r="D9" s="2">
        <f>conversion_to_TJ!C12</f>
        <v>2185626.8303999994</v>
      </c>
      <c r="E9" s="2">
        <f>conversion_to_TJ!C11</f>
        <v>100713.4739999997</v>
      </c>
      <c r="F9" s="2">
        <f>conversion_to_TJ!C13</f>
        <v>42399.723600000012</v>
      </c>
      <c r="G9" s="2">
        <f>conversion_to_TJ!C16*Dashboard!$D$14</f>
        <v>47425.86821482754</v>
      </c>
    </row>
    <row r="10" spans="1:13">
      <c r="A10" s="1">
        <v>2001</v>
      </c>
      <c r="B10" s="1">
        <f>B$9+(B$14-B$9)/($A$14-$A$9)*($A10-$A$9)</f>
        <v>319.87151999997877</v>
      </c>
      <c r="C10" s="1">
        <f t="shared" ref="C10:G10" si="0">C$9+(C$14-C$9)/($A$14-$A$9)*($A10-$A$9)</f>
        <v>0</v>
      </c>
      <c r="D10" s="1">
        <f t="shared" si="0"/>
        <v>2219733.3405599995</v>
      </c>
      <c r="E10" s="1">
        <f t="shared" si="0"/>
        <v>100062.00791999974</v>
      </c>
      <c r="F10" s="1">
        <f t="shared" si="0"/>
        <v>42552.960480000009</v>
      </c>
      <c r="G10" s="1">
        <f t="shared" si="0"/>
        <v>50219.67734660038</v>
      </c>
    </row>
    <row r="11" spans="1:13">
      <c r="A11" s="1">
        <v>2002</v>
      </c>
      <c r="B11" s="1">
        <f t="shared" ref="B11:G13" si="1">B$9+(B$14-B$9)/($A$14-$A$9)*($A11-$A$9)</f>
        <v>325.73303999999558</v>
      </c>
      <c r="C11" s="1">
        <f t="shared" si="1"/>
        <v>0</v>
      </c>
      <c r="D11" s="1">
        <f t="shared" si="1"/>
        <v>2253839.8507199995</v>
      </c>
      <c r="E11" s="1">
        <f t="shared" si="1"/>
        <v>99410.541839999787</v>
      </c>
      <c r="F11" s="1">
        <f t="shared" si="1"/>
        <v>42706.197360000006</v>
      </c>
      <c r="G11" s="1">
        <f t="shared" si="1"/>
        <v>53013.486478373219</v>
      </c>
    </row>
    <row r="12" spans="1:13">
      <c r="A12" s="1">
        <v>2003</v>
      </c>
      <c r="B12" s="1">
        <f t="shared" si="1"/>
        <v>331.59456000001234</v>
      </c>
      <c r="C12" s="1">
        <f t="shared" si="1"/>
        <v>0</v>
      </c>
      <c r="D12" s="1">
        <f t="shared" si="1"/>
        <v>2287946.3608799996</v>
      </c>
      <c r="E12" s="1">
        <f t="shared" si="1"/>
        <v>98759.075759999818</v>
      </c>
      <c r="F12" s="1">
        <f t="shared" si="1"/>
        <v>42859.43424000001</v>
      </c>
      <c r="G12" s="1">
        <f t="shared" si="1"/>
        <v>55807.295610146059</v>
      </c>
    </row>
    <row r="13" spans="1:13">
      <c r="A13" s="1">
        <v>2004</v>
      </c>
      <c r="B13" s="1">
        <f t="shared" si="1"/>
        <v>337.45608000002915</v>
      </c>
      <c r="C13" s="1">
        <f t="shared" si="1"/>
        <v>0</v>
      </c>
      <c r="D13" s="1">
        <f t="shared" si="1"/>
        <v>2322052.8710399996</v>
      </c>
      <c r="E13" s="1">
        <f t="shared" si="1"/>
        <v>98107.609679999863</v>
      </c>
      <c r="F13" s="1">
        <f t="shared" si="1"/>
        <v>43012.671120000006</v>
      </c>
      <c r="G13" s="1">
        <f t="shared" si="1"/>
        <v>58601.104741918891</v>
      </c>
    </row>
    <row r="14" spans="1:13">
      <c r="A14" s="2">
        <v>2005</v>
      </c>
      <c r="B14" s="2">
        <f>conversion_to_TJ!D10*Dashboard!$D$11</f>
        <v>343.31760000004596</v>
      </c>
      <c r="C14" s="2">
        <f>conversion_to_TJ!D10*Dashboard!$D$12</f>
        <v>0</v>
      </c>
      <c r="D14" s="2">
        <f>conversion_to_TJ!D12</f>
        <v>2356159.3811999997</v>
      </c>
      <c r="E14" s="2">
        <f>conversion_to_TJ!D11</f>
        <v>97456.143599999908</v>
      </c>
      <c r="F14" s="2">
        <f>conversion_to_TJ!D13</f>
        <v>43165.908000000003</v>
      </c>
      <c r="G14" s="2">
        <f>conversion_to_TJ!D16*Dashboard!$D$14</f>
        <v>61394.91387369173</v>
      </c>
    </row>
    <row r="15" spans="1:13">
      <c r="A15" s="1">
        <v>2006</v>
      </c>
      <c r="B15" s="1">
        <f>B$14+(B$19-B$14)/($A$19-$A$14)*($A15-$A$14)</f>
        <v>274.65408000003674</v>
      </c>
      <c r="C15" s="1">
        <f t="shared" ref="C15:G15" si="2">C$14+(C$19-C$14)/($A$19-$A$14)*($A15-$A$14)</f>
        <v>0</v>
      </c>
      <c r="D15" s="1">
        <f t="shared" si="2"/>
        <v>2415929.1049599997</v>
      </c>
      <c r="E15" s="1">
        <f t="shared" si="2"/>
        <v>92062.114879999921</v>
      </c>
      <c r="F15" s="1">
        <f t="shared" si="2"/>
        <v>43105.61808</v>
      </c>
      <c r="G15" s="1">
        <f t="shared" si="2"/>
        <v>66112.380238576225</v>
      </c>
    </row>
    <row r="16" spans="1:13">
      <c r="A16" s="1">
        <v>2007</v>
      </c>
      <c r="B16" s="1">
        <f t="shared" ref="B16:G18" si="3">B$14+(B$19-B$14)/($A$19-$A$14)*($A16-$A$14)</f>
        <v>205.99056000002759</v>
      </c>
      <c r="C16" s="1">
        <f t="shared" si="3"/>
        <v>0</v>
      </c>
      <c r="D16" s="1">
        <f t="shared" si="3"/>
        <v>2475698.8287199996</v>
      </c>
      <c r="E16" s="1">
        <f t="shared" si="3"/>
        <v>86668.086159999948</v>
      </c>
      <c r="F16" s="1">
        <f t="shared" si="3"/>
        <v>43045.328160000005</v>
      </c>
      <c r="G16" s="1">
        <f t="shared" si="3"/>
        <v>70829.846603460726</v>
      </c>
    </row>
    <row r="17" spans="1:7">
      <c r="A17" s="1">
        <v>2008</v>
      </c>
      <c r="B17" s="1">
        <f t="shared" si="3"/>
        <v>137.3270400000184</v>
      </c>
      <c r="C17" s="1">
        <f t="shared" si="3"/>
        <v>0</v>
      </c>
      <c r="D17" s="1">
        <f t="shared" si="3"/>
        <v>2535468.5524800001</v>
      </c>
      <c r="E17" s="1">
        <f t="shared" si="3"/>
        <v>81274.05743999996</v>
      </c>
      <c r="F17" s="1">
        <f t="shared" si="3"/>
        <v>42985.038240000002</v>
      </c>
      <c r="G17" s="1">
        <f t="shared" si="3"/>
        <v>75547.312968345213</v>
      </c>
    </row>
    <row r="18" spans="1:7">
      <c r="A18" s="1">
        <v>2009</v>
      </c>
      <c r="B18" s="1">
        <f>B$14+(B$19-B$14)/($A$19-$A$14)*($A18-$A$14)</f>
        <v>68.663520000009214</v>
      </c>
      <c r="C18" s="1">
        <f t="shared" si="3"/>
        <v>0</v>
      </c>
      <c r="D18" s="1">
        <f t="shared" si="3"/>
        <v>2595238.27624</v>
      </c>
      <c r="E18" s="1">
        <f t="shared" si="3"/>
        <v>75880.028719999973</v>
      </c>
      <c r="F18" s="1">
        <f t="shared" si="3"/>
        <v>42924.748320000006</v>
      </c>
      <c r="G18" s="1">
        <f t="shared" si="3"/>
        <v>80264.779333229715</v>
      </c>
    </row>
    <row r="19" spans="1:7">
      <c r="A19" s="2">
        <v>2010</v>
      </c>
      <c r="B19" s="157">
        <v>0</v>
      </c>
      <c r="C19" s="157">
        <v>0</v>
      </c>
      <c r="D19" s="158">
        <v>2655008</v>
      </c>
      <c r="E19" s="158">
        <v>70486</v>
      </c>
      <c r="F19" s="2">
        <f>conversion_to_TJ!E13</f>
        <v>42864.458400000003</v>
      </c>
      <c r="G19" s="2">
        <f>conversion_to_TJ!E16*Dashboard!$D$14</f>
        <v>84982.245698114217</v>
      </c>
    </row>
    <row r="20" spans="1:7">
      <c r="A20" s="1">
        <v>2011</v>
      </c>
      <c r="B20" s="157">
        <v>0</v>
      </c>
      <c r="C20" s="157">
        <v>0</v>
      </c>
      <c r="D20" s="158">
        <v>2416832</v>
      </c>
      <c r="E20" s="158">
        <v>71225</v>
      </c>
      <c r="F20" s="1">
        <f t="shared" ref="F20:G20" si="4">F$19+(F$24-F$19)/($A$24-$A$19)*($A20-$A$19)</f>
        <v>42293.843703894956</v>
      </c>
      <c r="G20" s="1">
        <f t="shared" si="4"/>
        <v>89923.837425989899</v>
      </c>
    </row>
    <row r="21" spans="1:7">
      <c r="A21" s="1">
        <v>2012</v>
      </c>
      <c r="B21" s="157">
        <v>0</v>
      </c>
      <c r="C21" s="157">
        <v>0</v>
      </c>
      <c r="D21" s="158">
        <v>2405569</v>
      </c>
      <c r="E21" s="158">
        <v>74785</v>
      </c>
      <c r="F21" s="1">
        <f t="shared" ref="F21:G23" si="5">F$19+(F$24-F$19)/($A$24-$A$19)*($A21-$A$19)</f>
        <v>41723.229007789909</v>
      </c>
      <c r="G21" s="1">
        <f t="shared" si="5"/>
        <v>94865.429153865567</v>
      </c>
    </row>
    <row r="22" spans="1:7">
      <c r="A22" s="1">
        <v>2013</v>
      </c>
      <c r="B22" s="157">
        <f>B$21+(B$24-B$21)/($A$24-$A$21)*($A22-$A$21)</f>
        <v>0</v>
      </c>
      <c r="C22" s="157">
        <f>C$21+(C$24-C$21)/($A$24-$A$21)*($A22-$A$21)</f>
        <v>0</v>
      </c>
      <c r="D22" s="158">
        <v>2585337.7400000002</v>
      </c>
      <c r="E22" s="158">
        <f>47909.38+17468+15675.5</f>
        <v>81052.88</v>
      </c>
      <c r="F22" s="1">
        <f t="shared" si="5"/>
        <v>41152.614311684862</v>
      </c>
      <c r="G22" s="1">
        <f t="shared" si="5"/>
        <v>99807.020881741249</v>
      </c>
    </row>
    <row r="23" spans="1:7">
      <c r="A23" s="1">
        <v>2014</v>
      </c>
      <c r="B23" s="1">
        <f>B$21+(B$24-B$21)/($A$24-$A$21)*($A23-$A$21)</f>
        <v>0</v>
      </c>
      <c r="C23" s="1">
        <f>C$21+(C$24-C$21)/($A$24-$A$21)*($A23-$A$21)</f>
        <v>0</v>
      </c>
      <c r="D23" s="1">
        <f>D$21+(D$24-D$21)/($A$24-$A$21)*($A23-$A$21)</f>
        <v>1890201.4533333334</v>
      </c>
      <c r="E23" s="1">
        <f>E$21+(E$24-E$21)/($A$24-$A$21)*($A23-$A$21)</f>
        <v>82267.820000000007</v>
      </c>
      <c r="F23" s="1">
        <f t="shared" si="5"/>
        <v>40581.999615579814</v>
      </c>
      <c r="G23" s="1">
        <f t="shared" si="5"/>
        <v>104748.61260961692</v>
      </c>
    </row>
    <row r="24" spans="1:7">
      <c r="A24" s="2">
        <v>2015</v>
      </c>
      <c r="B24" s="157">
        <f>conversion_to_TJ!F10*Dashboard!$D$11</f>
        <v>0</v>
      </c>
      <c r="C24" s="157">
        <f>conversion_to_TJ!F10*Dashboard!$D$12</f>
        <v>0</v>
      </c>
      <c r="D24" s="158">
        <v>1632517.68</v>
      </c>
      <c r="E24" s="158">
        <f>59609.19+17688.02+8712.02</f>
        <v>86009.23000000001</v>
      </c>
      <c r="F24" s="2">
        <f>conversion_to_TJ!F13</f>
        <v>40011.384919474767</v>
      </c>
      <c r="G24" s="2">
        <f>conversion_to_TJ!F16*Dashboard!$D$14</f>
        <v>109690.2043374926</v>
      </c>
    </row>
    <row r="25" spans="1:7">
      <c r="A25" s="1">
        <v>2016</v>
      </c>
      <c r="B25" s="1">
        <f>B$24+(B$29-B$24)/($A$29-$A$24)*($A25-$A$24)</f>
        <v>0</v>
      </c>
      <c r="C25" s="1">
        <f t="shared" ref="C25:G25" si="6">C$24+(C$29-C$24)/($A$29-$A$24)*($A25-$A$24)</f>
        <v>0</v>
      </c>
      <c r="D25" s="1">
        <f t="shared" si="6"/>
        <v>1646066.7551641865</v>
      </c>
      <c r="E25" s="1">
        <f t="shared" si="6"/>
        <v>80647.144996508898</v>
      </c>
      <c r="F25" s="1">
        <f t="shared" si="6"/>
        <v>40012.658422849614</v>
      </c>
      <c r="G25" s="1">
        <f t="shared" si="6"/>
        <v>123861.1140523752</v>
      </c>
    </row>
    <row r="26" spans="1:7">
      <c r="A26" s="1">
        <v>2017</v>
      </c>
      <c r="B26" s="1">
        <f t="shared" ref="B26:G28" si="7">B$24+(B$29-B$24)/($A$29-$A$24)*($A26-$A$24)</f>
        <v>0</v>
      </c>
      <c r="C26" s="1">
        <f t="shared" si="7"/>
        <v>0</v>
      </c>
      <c r="D26" s="1">
        <f t="shared" si="7"/>
        <v>1659615.830328373</v>
      </c>
      <c r="E26" s="1">
        <f t="shared" si="7"/>
        <v>75285.0599930178</v>
      </c>
      <c r="F26" s="1">
        <f t="shared" si="7"/>
        <v>40013.931926224461</v>
      </c>
      <c r="G26" s="1">
        <f t="shared" si="7"/>
        <v>138032.02376725781</v>
      </c>
    </row>
    <row r="27" spans="1:7">
      <c r="A27" s="1">
        <v>2018</v>
      </c>
      <c r="B27" s="1">
        <f t="shared" si="7"/>
        <v>0</v>
      </c>
      <c r="C27" s="1">
        <f t="shared" si="7"/>
        <v>0</v>
      </c>
      <c r="D27" s="1">
        <f t="shared" si="7"/>
        <v>1673164.9054925598</v>
      </c>
      <c r="E27" s="1">
        <f t="shared" si="7"/>
        <v>69922.974989526701</v>
      </c>
      <c r="F27" s="1">
        <f t="shared" si="7"/>
        <v>40015.205429599308</v>
      </c>
      <c r="G27" s="1">
        <f t="shared" si="7"/>
        <v>152202.93348214039</v>
      </c>
    </row>
    <row r="28" spans="1:7">
      <c r="A28" s="1">
        <v>2019</v>
      </c>
      <c r="B28" s="1">
        <f t="shared" si="7"/>
        <v>0</v>
      </c>
      <c r="C28" s="1">
        <f t="shared" si="7"/>
        <v>0</v>
      </c>
      <c r="D28" s="1">
        <f t="shared" si="7"/>
        <v>1686713.9806567463</v>
      </c>
      <c r="E28" s="1">
        <f t="shared" si="7"/>
        <v>64560.889986035589</v>
      </c>
      <c r="F28" s="1">
        <f t="shared" si="7"/>
        <v>40016.478932974154</v>
      </c>
      <c r="G28" s="1">
        <f t="shared" si="7"/>
        <v>166373.84319702297</v>
      </c>
    </row>
    <row r="29" spans="1:7">
      <c r="A29" s="2">
        <v>2020</v>
      </c>
      <c r="B29" s="2">
        <f>conversion_to_TJ!G10*Dashboard!$D$11</f>
        <v>0</v>
      </c>
      <c r="C29" s="2">
        <f>conversion_to_TJ!G10*Dashboard!$D$12</f>
        <v>0</v>
      </c>
      <c r="D29" s="2">
        <f>conversion_to_TJ!G12</f>
        <v>1700263.0558209328</v>
      </c>
      <c r="E29" s="2">
        <f>conversion_to_TJ!G11</f>
        <v>59198.804982544483</v>
      </c>
      <c r="F29" s="2">
        <f>conversion_to_TJ!G13</f>
        <v>40017.752436349001</v>
      </c>
      <c r="G29" s="2">
        <f>conversion_to_TJ!G16*Dashboard!$D$14</f>
        <v>180544.75291190558</v>
      </c>
    </row>
    <row r="30" spans="1:7">
      <c r="A30" s="1">
        <v>2021</v>
      </c>
      <c r="B30" s="1">
        <f>B$29+(B$34-B$29)/($A$34-$A$29)*($A30-$A$29)</f>
        <v>0</v>
      </c>
      <c r="C30" s="1">
        <f t="shared" ref="C30:G30" si="8">C$29+(C$34-C$29)/($A$34-$A$29)*($A30-$A$29)</f>
        <v>0</v>
      </c>
      <c r="D30" s="1">
        <f t="shared" si="8"/>
        <v>1643835.1665456081</v>
      </c>
      <c r="E30" s="1">
        <f t="shared" si="8"/>
        <v>55407.671707186644</v>
      </c>
      <c r="F30" s="1">
        <f t="shared" si="8"/>
        <v>40302.860233565785</v>
      </c>
      <c r="G30" s="1">
        <f t="shared" si="8"/>
        <v>182232.75200146166</v>
      </c>
    </row>
    <row r="31" spans="1:7">
      <c r="A31" s="1">
        <v>2022</v>
      </c>
      <c r="B31" s="1">
        <f t="shared" ref="B31:G33" si="9">B$29+(B$34-B$29)/($A$34-$A$29)*($A31-$A$29)</f>
        <v>0</v>
      </c>
      <c r="C31" s="1">
        <f t="shared" si="9"/>
        <v>0</v>
      </c>
      <c r="D31" s="1">
        <f t="shared" si="9"/>
        <v>1587407.2772702833</v>
      </c>
      <c r="E31" s="1">
        <f t="shared" si="9"/>
        <v>51616.538431828805</v>
      </c>
      <c r="F31" s="1">
        <f t="shared" si="9"/>
        <v>40587.968030782569</v>
      </c>
      <c r="G31" s="1">
        <f t="shared" si="9"/>
        <v>183920.75109101774</v>
      </c>
    </row>
    <row r="32" spans="1:7">
      <c r="A32" s="1">
        <v>2023</v>
      </c>
      <c r="B32" s="1">
        <f t="shared" si="9"/>
        <v>0</v>
      </c>
      <c r="C32" s="1">
        <f t="shared" si="9"/>
        <v>0</v>
      </c>
      <c r="D32" s="1">
        <f t="shared" si="9"/>
        <v>1530979.3879949586</v>
      </c>
      <c r="E32" s="1">
        <f t="shared" si="9"/>
        <v>47825.405156470966</v>
      </c>
      <c r="F32" s="1">
        <f t="shared" si="9"/>
        <v>40873.075827999346</v>
      </c>
      <c r="G32" s="1">
        <f t="shared" si="9"/>
        <v>185608.75018057384</v>
      </c>
    </row>
    <row r="33" spans="1:7">
      <c r="A33" s="1">
        <v>2024</v>
      </c>
      <c r="B33" s="1">
        <f t="shared" si="9"/>
        <v>0</v>
      </c>
      <c r="C33" s="1">
        <f t="shared" si="9"/>
        <v>0</v>
      </c>
      <c r="D33" s="1">
        <f t="shared" si="9"/>
        <v>1474551.498719634</v>
      </c>
      <c r="E33" s="1">
        <f t="shared" si="9"/>
        <v>44034.271881113127</v>
      </c>
      <c r="F33" s="1">
        <f t="shared" si="9"/>
        <v>41158.18362521613</v>
      </c>
      <c r="G33" s="1">
        <f t="shared" si="9"/>
        <v>187296.74927012992</v>
      </c>
    </row>
    <row r="34" spans="1:7">
      <c r="A34" s="2">
        <v>2025</v>
      </c>
      <c r="B34" s="2">
        <f>conversion_to_TJ!H10*Dashboard!$D$11</f>
        <v>0</v>
      </c>
      <c r="C34" s="2">
        <f>conversion_to_TJ!H10*Dashboard!$D$12</f>
        <v>0</v>
      </c>
      <c r="D34" s="2">
        <f>conversion_to_TJ!H12</f>
        <v>1418123.6094443093</v>
      </c>
      <c r="E34" s="2">
        <f>conversion_to_TJ!H11</f>
        <v>40243.138605755288</v>
      </c>
      <c r="F34" s="2">
        <f>conversion_to_TJ!H13</f>
        <v>41443.291422432914</v>
      </c>
      <c r="G34" s="2">
        <f>conversion_to_TJ!H16*Dashboard!$D$14</f>
        <v>188984.748359686</v>
      </c>
    </row>
    <row r="35" spans="1:7">
      <c r="A35" s="1">
        <v>2026</v>
      </c>
      <c r="B35" s="1">
        <f>B$34+(B$39-B$34)/($A$39-$A$34)*($A35-$A$34)</f>
        <v>0</v>
      </c>
      <c r="C35" s="1">
        <f t="shared" ref="C35:G35" si="10">C$34+(C$39-C$34)/($A$39-$A$34)*($A35-$A$34)</f>
        <v>0</v>
      </c>
      <c r="D35" s="1">
        <f t="shared" si="10"/>
        <v>1353133.1550219499</v>
      </c>
      <c r="E35" s="1">
        <f t="shared" si="10"/>
        <v>38494.310313657894</v>
      </c>
      <c r="F35" s="1">
        <f t="shared" si="10"/>
        <v>41443.291422432914</v>
      </c>
      <c r="G35" s="1">
        <f t="shared" si="10"/>
        <v>193405.5983505004</v>
      </c>
    </row>
    <row r="36" spans="1:7">
      <c r="A36" s="1">
        <v>2027</v>
      </c>
      <c r="B36" s="1">
        <f t="shared" ref="B36:G38" si="11">B$34+(B$39-B$34)/($A$39-$A$34)*($A36-$A$34)</f>
        <v>0</v>
      </c>
      <c r="C36" s="1">
        <f t="shared" si="11"/>
        <v>0</v>
      </c>
      <c r="D36" s="1">
        <f t="shared" si="11"/>
        <v>1288142.7005995905</v>
      </c>
      <c r="E36" s="1">
        <f t="shared" si="11"/>
        <v>36745.482021560492</v>
      </c>
      <c r="F36" s="1">
        <f t="shared" si="11"/>
        <v>41443.291422432914</v>
      </c>
      <c r="G36" s="1">
        <f t="shared" si="11"/>
        <v>197826.4483413148</v>
      </c>
    </row>
    <row r="37" spans="1:7">
      <c r="A37" s="1">
        <v>2028</v>
      </c>
      <c r="B37" s="1">
        <f t="shared" si="11"/>
        <v>0</v>
      </c>
      <c r="C37" s="1">
        <f t="shared" si="11"/>
        <v>0</v>
      </c>
      <c r="D37" s="1">
        <f t="shared" si="11"/>
        <v>1223152.2461772314</v>
      </c>
      <c r="E37" s="1">
        <f t="shared" si="11"/>
        <v>34996.653729463098</v>
      </c>
      <c r="F37" s="1">
        <f t="shared" si="11"/>
        <v>41443.291422432914</v>
      </c>
      <c r="G37" s="1">
        <f t="shared" si="11"/>
        <v>202247.29833212917</v>
      </c>
    </row>
    <row r="38" spans="1:7">
      <c r="A38" s="1">
        <v>2029</v>
      </c>
      <c r="B38" s="1">
        <f t="shared" si="11"/>
        <v>0</v>
      </c>
      <c r="C38" s="1">
        <f t="shared" si="11"/>
        <v>0</v>
      </c>
      <c r="D38" s="1">
        <f t="shared" si="11"/>
        <v>1158161.7917548721</v>
      </c>
      <c r="E38" s="1">
        <f t="shared" si="11"/>
        <v>33247.825437365704</v>
      </c>
      <c r="F38" s="1">
        <f t="shared" si="11"/>
        <v>41443.291422432914</v>
      </c>
      <c r="G38" s="1">
        <f t="shared" si="11"/>
        <v>206668.14832294357</v>
      </c>
    </row>
    <row r="39" spans="1:7">
      <c r="A39" s="2">
        <v>2030</v>
      </c>
      <c r="B39" s="2">
        <f>conversion_to_TJ!I10*Dashboard!$D$11</f>
        <v>0</v>
      </c>
      <c r="C39" s="2">
        <f>conversion_to_TJ!I10*Dashboard!$D$12</f>
        <v>0</v>
      </c>
      <c r="D39" s="2">
        <f>conversion_to_TJ!I12</f>
        <v>1093171.3373325127</v>
      </c>
      <c r="E39" s="2">
        <f>conversion_to_TJ!I11</f>
        <v>31498.997145268306</v>
      </c>
      <c r="F39" s="2">
        <f>conversion_to_TJ!I13</f>
        <v>41443.291422432914</v>
      </c>
      <c r="G39" s="2">
        <f>conversion_to_TJ!I16*Dashboard!$D$14</f>
        <v>211088.99831375797</v>
      </c>
    </row>
    <row r="40" spans="1:7">
      <c r="A40" s="1">
        <v>2031</v>
      </c>
      <c r="B40" s="1">
        <f>B$39+(B$44-B$39)/($A$44-$A$39)*($A40-$A$39)</f>
        <v>0</v>
      </c>
      <c r="C40" s="1">
        <f t="shared" ref="C40:G40" si="12">C$39+(C$44-C$39)/($A$44-$A$39)*($A40-$A$39)</f>
        <v>0</v>
      </c>
      <c r="D40" s="1">
        <f t="shared" si="12"/>
        <v>1004269.8459899969</v>
      </c>
      <c r="E40" s="1">
        <f t="shared" si="12"/>
        <v>30616.189774689905</v>
      </c>
      <c r="F40" s="1">
        <f t="shared" si="12"/>
        <v>33154.63313794633</v>
      </c>
      <c r="G40" s="1">
        <f t="shared" si="12"/>
        <v>212844.39900205447</v>
      </c>
    </row>
    <row r="41" spans="1:7">
      <c r="A41" s="1">
        <v>2032</v>
      </c>
      <c r="B41" s="1">
        <f t="shared" ref="B41:G43" si="13">B$39+(B$44-B$39)/($A$44-$A$39)*($A41-$A$39)</f>
        <v>0</v>
      </c>
      <c r="C41" s="1">
        <f t="shared" si="13"/>
        <v>0</v>
      </c>
      <c r="D41" s="1">
        <f t="shared" si="13"/>
        <v>915368.35464748123</v>
      </c>
      <c r="E41" s="1">
        <f t="shared" si="13"/>
        <v>29733.382404111508</v>
      </c>
      <c r="F41" s="1">
        <f t="shared" si="13"/>
        <v>24865.974853459749</v>
      </c>
      <c r="G41" s="1">
        <f t="shared" si="13"/>
        <v>214599.79969035098</v>
      </c>
    </row>
    <row r="42" spans="1:7">
      <c r="A42" s="1">
        <v>2033</v>
      </c>
      <c r="B42" s="1">
        <f t="shared" si="13"/>
        <v>0</v>
      </c>
      <c r="C42" s="1">
        <f t="shared" si="13"/>
        <v>0</v>
      </c>
      <c r="D42" s="1">
        <f t="shared" si="13"/>
        <v>826466.86330496543</v>
      </c>
      <c r="E42" s="1">
        <f t="shared" si="13"/>
        <v>28850.575033533107</v>
      </c>
      <c r="F42" s="1">
        <f t="shared" si="13"/>
        <v>16577.316568973169</v>
      </c>
      <c r="G42" s="1">
        <f t="shared" si="13"/>
        <v>216355.20037864745</v>
      </c>
    </row>
    <row r="43" spans="1:7">
      <c r="A43" s="1">
        <v>2034</v>
      </c>
      <c r="B43" s="1">
        <f t="shared" si="13"/>
        <v>0</v>
      </c>
      <c r="C43" s="1">
        <f t="shared" si="13"/>
        <v>0</v>
      </c>
      <c r="D43" s="1">
        <f t="shared" si="13"/>
        <v>737565.37196244975</v>
      </c>
      <c r="E43" s="1">
        <f t="shared" si="13"/>
        <v>27967.76766295471</v>
      </c>
      <c r="F43" s="1">
        <f t="shared" si="13"/>
        <v>8288.6582844865843</v>
      </c>
      <c r="G43" s="1">
        <f t="shared" si="13"/>
        <v>218110.60106694396</v>
      </c>
    </row>
    <row r="44" spans="1:7">
      <c r="A44" s="2">
        <v>2035</v>
      </c>
      <c r="B44" s="2">
        <f>conversion_to_TJ!J10*Dashboard!$D$11</f>
        <v>0</v>
      </c>
      <c r="C44" s="2">
        <f>conversion_to_TJ!J10*Dashboard!$D$12</f>
        <v>0</v>
      </c>
      <c r="D44" s="2">
        <f>conversion_to_TJ!J12</f>
        <v>648663.88061993395</v>
      </c>
      <c r="E44" s="2">
        <f>conversion_to_TJ!J11</f>
        <v>27084.960292376309</v>
      </c>
      <c r="F44" s="2">
        <f>conversion_to_TJ!J13</f>
        <v>0</v>
      </c>
      <c r="G44" s="2">
        <f>conversion_to_TJ!J16*Dashboard!$D$14</f>
        <v>219866.00175524046</v>
      </c>
    </row>
    <row r="45" spans="1:7">
      <c r="A45" s="1">
        <v>2036</v>
      </c>
      <c r="B45" s="1">
        <f>B$44+(B$49-B$44)/($A$49-$A$44)*($A45-$A$44)</f>
        <v>0</v>
      </c>
      <c r="C45" s="1">
        <f t="shared" ref="C45:G45" si="14">C$44+(C$49-C$44)/($A$49-$A$44)*($A45-$A$44)</f>
        <v>0</v>
      </c>
      <c r="D45" s="1">
        <f t="shared" si="14"/>
        <v>644053.32671063906</v>
      </c>
      <c r="E45" s="1">
        <f t="shared" si="14"/>
        <v>27015.243724136952</v>
      </c>
      <c r="F45" s="1">
        <f t="shared" si="14"/>
        <v>0</v>
      </c>
      <c r="G45" s="1">
        <f t="shared" si="14"/>
        <v>222685.0155371468</v>
      </c>
    </row>
    <row r="46" spans="1:7">
      <c r="A46" s="1">
        <v>2037</v>
      </c>
      <c r="B46" s="1">
        <f t="shared" ref="B46:G48" si="15">B$44+(B$49-B$44)/($A$49-$A$44)*($A46-$A$44)</f>
        <v>0</v>
      </c>
      <c r="C46" s="1">
        <f t="shared" si="15"/>
        <v>0</v>
      </c>
      <c r="D46" s="1">
        <f t="shared" si="15"/>
        <v>639442.77280134428</v>
      </c>
      <c r="E46" s="1">
        <f t="shared" si="15"/>
        <v>26945.527155897598</v>
      </c>
      <c r="F46" s="1">
        <f t="shared" si="15"/>
        <v>0</v>
      </c>
      <c r="G46" s="1">
        <f t="shared" si="15"/>
        <v>225504.02931905314</v>
      </c>
    </row>
    <row r="47" spans="1:7">
      <c r="A47" s="1">
        <v>2038</v>
      </c>
      <c r="B47" s="1">
        <f t="shared" si="15"/>
        <v>0</v>
      </c>
      <c r="C47" s="1">
        <f t="shared" si="15"/>
        <v>0</v>
      </c>
      <c r="D47" s="1">
        <f t="shared" si="15"/>
        <v>634832.21889204939</v>
      </c>
      <c r="E47" s="1">
        <f t="shared" si="15"/>
        <v>26875.810587658241</v>
      </c>
      <c r="F47" s="1">
        <f t="shared" si="15"/>
        <v>0</v>
      </c>
      <c r="G47" s="1">
        <f t="shared" si="15"/>
        <v>228323.04310095948</v>
      </c>
    </row>
    <row r="48" spans="1:7">
      <c r="A48" s="1">
        <v>2039</v>
      </c>
      <c r="B48" s="1">
        <f t="shared" si="15"/>
        <v>0</v>
      </c>
      <c r="C48" s="1">
        <f t="shared" si="15"/>
        <v>0</v>
      </c>
      <c r="D48" s="1">
        <f t="shared" si="15"/>
        <v>630221.66498275462</v>
      </c>
      <c r="E48" s="1">
        <f t="shared" si="15"/>
        <v>26806.094019418888</v>
      </c>
      <c r="F48" s="1">
        <f t="shared" si="15"/>
        <v>0</v>
      </c>
      <c r="G48" s="1">
        <f t="shared" si="15"/>
        <v>231142.05688286581</v>
      </c>
    </row>
    <row r="49" spans="1:7">
      <c r="A49" s="2">
        <v>2040</v>
      </c>
      <c r="B49" s="2">
        <f>conversion_to_TJ!K10*Dashboard!$D$11</f>
        <v>0</v>
      </c>
      <c r="C49" s="2">
        <f>conversion_to_TJ!K10*Dashboard!$D$12</f>
        <v>0</v>
      </c>
      <c r="D49" s="2">
        <f>conversion_to_TJ!K12</f>
        <v>625611.11107345973</v>
      </c>
      <c r="E49" s="2">
        <f>conversion_to_TJ!K11</f>
        <v>26736.377451179531</v>
      </c>
      <c r="F49" s="2">
        <f>conversion_to_TJ!K13</f>
        <v>0</v>
      </c>
      <c r="G49" s="2">
        <f>conversion_to_TJ!K16*Dashboard!$D$14</f>
        <v>233961.07066477215</v>
      </c>
    </row>
    <row r="50" spans="1:7">
      <c r="A50" s="1">
        <v>2041</v>
      </c>
      <c r="B50" s="1">
        <f>B$49+(B$54-B$49)/($A$54-$A$49)*($A50-$A$49)</f>
        <v>0</v>
      </c>
      <c r="C50" s="1">
        <f t="shared" ref="C50:G50" si="16">C$49+(C$54-C$49)/($A$54-$A$49)*($A50-$A$49)</f>
        <v>0</v>
      </c>
      <c r="D50" s="1">
        <f t="shared" si="16"/>
        <v>630411.99753837474</v>
      </c>
      <c r="E50" s="1">
        <f t="shared" si="16"/>
        <v>26543.995233120586</v>
      </c>
      <c r="F50" s="1">
        <f t="shared" si="16"/>
        <v>0</v>
      </c>
      <c r="G50" s="1">
        <f t="shared" si="16"/>
        <v>236183.51827081907</v>
      </c>
    </row>
    <row r="51" spans="1:7">
      <c r="A51" s="1">
        <v>2042</v>
      </c>
      <c r="B51" s="1">
        <f t="shared" ref="B51:G53" si="17">B$49+(B$54-B$49)/($A$54-$A$49)*($A51-$A$49)</f>
        <v>0</v>
      </c>
      <c r="C51" s="1">
        <f t="shared" si="17"/>
        <v>0</v>
      </c>
      <c r="D51" s="1">
        <f t="shared" si="17"/>
        <v>635212.88400328963</v>
      </c>
      <c r="E51" s="1">
        <f t="shared" si="17"/>
        <v>26351.613015061641</v>
      </c>
      <c r="F51" s="1">
        <f t="shared" si="17"/>
        <v>0</v>
      </c>
      <c r="G51" s="1">
        <f t="shared" si="17"/>
        <v>238405.96587686599</v>
      </c>
    </row>
    <row r="52" spans="1:7">
      <c r="A52" s="1">
        <v>2043</v>
      </c>
      <c r="B52" s="1">
        <f t="shared" si="17"/>
        <v>0</v>
      </c>
      <c r="C52" s="1">
        <f t="shared" si="17"/>
        <v>0</v>
      </c>
      <c r="D52" s="1">
        <f t="shared" si="17"/>
        <v>640013.77046820463</v>
      </c>
      <c r="E52" s="1">
        <f t="shared" si="17"/>
        <v>26159.230797002696</v>
      </c>
      <c r="F52" s="1">
        <f t="shared" si="17"/>
        <v>0</v>
      </c>
      <c r="G52" s="1">
        <f t="shared" si="17"/>
        <v>240628.41348291287</v>
      </c>
    </row>
    <row r="53" spans="1:7">
      <c r="A53" s="1">
        <v>2044</v>
      </c>
      <c r="B53" s="1">
        <f t="shared" si="17"/>
        <v>0</v>
      </c>
      <c r="C53" s="1">
        <f t="shared" si="17"/>
        <v>0</v>
      </c>
      <c r="D53" s="1">
        <f t="shared" si="17"/>
        <v>644814.65693311952</v>
      </c>
      <c r="E53" s="1">
        <f t="shared" si="17"/>
        <v>25966.848578943751</v>
      </c>
      <c r="F53" s="1">
        <f t="shared" si="17"/>
        <v>0</v>
      </c>
      <c r="G53" s="1">
        <f t="shared" si="17"/>
        <v>242850.86108895979</v>
      </c>
    </row>
    <row r="54" spans="1:7">
      <c r="A54" s="2">
        <v>2045</v>
      </c>
      <c r="B54" s="2">
        <f>conversion_to_TJ!L10*Dashboard!$D$11</f>
        <v>0</v>
      </c>
      <c r="C54" s="2">
        <f>conversion_to_TJ!L10*Dashboard!$D$12</f>
        <v>0</v>
      </c>
      <c r="D54" s="2">
        <f>conversion_to_TJ!L12</f>
        <v>649615.54339803453</v>
      </c>
      <c r="E54" s="2">
        <f>conversion_to_TJ!L11</f>
        <v>25774.466360884806</v>
      </c>
      <c r="F54" s="2">
        <f>conversion_to_TJ!L13</f>
        <v>0</v>
      </c>
      <c r="G54" s="2">
        <f>conversion_to_TJ!L16*Dashboard!$D$14</f>
        <v>245073.30869500671</v>
      </c>
    </row>
    <row r="55" spans="1:7">
      <c r="A55" s="1">
        <v>2046</v>
      </c>
      <c r="B55" s="1">
        <f>B$54+(B$59-B$54)/($A$59-$A$54)*($A55-$A$54)</f>
        <v>0</v>
      </c>
      <c r="C55" s="1">
        <f t="shared" ref="C55:G55" si="18">C$54+(C$59-C$54)/($A$59-$A$54)*($A55-$A$54)</f>
        <v>0</v>
      </c>
      <c r="D55" s="1">
        <f t="shared" si="18"/>
        <v>646655.92945124151</v>
      </c>
      <c r="E55" s="1">
        <f t="shared" si="18"/>
        <v>25572.603495285184</v>
      </c>
      <c r="F55" s="1">
        <f t="shared" si="18"/>
        <v>0</v>
      </c>
      <c r="G55" s="1">
        <f t="shared" si="18"/>
        <v>247418.48798592397</v>
      </c>
    </row>
    <row r="56" spans="1:7">
      <c r="A56" s="1">
        <v>2047</v>
      </c>
      <c r="B56" s="1">
        <f t="shared" ref="B56:G58" si="19">B$54+(B$59-B$54)/($A$59-$A$54)*($A56-$A$54)</f>
        <v>0</v>
      </c>
      <c r="C56" s="1">
        <f t="shared" si="19"/>
        <v>0</v>
      </c>
      <c r="D56" s="1">
        <f t="shared" si="19"/>
        <v>643696.31550444849</v>
      </c>
      <c r="E56" s="1">
        <f t="shared" si="19"/>
        <v>25370.740629685562</v>
      </c>
      <c r="F56" s="1">
        <f t="shared" si="19"/>
        <v>0</v>
      </c>
      <c r="G56" s="1">
        <f t="shared" si="19"/>
        <v>249763.66727684124</v>
      </c>
    </row>
    <row r="57" spans="1:7">
      <c r="A57" s="1">
        <v>2048</v>
      </c>
      <c r="B57" s="1">
        <f t="shared" si="19"/>
        <v>0</v>
      </c>
      <c r="C57" s="1">
        <f t="shared" si="19"/>
        <v>0</v>
      </c>
      <c r="D57" s="1">
        <f t="shared" si="19"/>
        <v>640736.70155765559</v>
      </c>
      <c r="E57" s="1">
        <f t="shared" si="19"/>
        <v>25168.877764085937</v>
      </c>
      <c r="F57" s="1">
        <f t="shared" si="19"/>
        <v>0</v>
      </c>
      <c r="G57" s="1">
        <f t="shared" si="19"/>
        <v>252108.84656775848</v>
      </c>
    </row>
    <row r="58" spans="1:7">
      <c r="A58" s="1">
        <v>2049</v>
      </c>
      <c r="B58" s="1">
        <f t="shared" si="19"/>
        <v>0</v>
      </c>
      <c r="C58" s="1">
        <f t="shared" si="19"/>
        <v>0</v>
      </c>
      <c r="D58" s="1">
        <f t="shared" si="19"/>
        <v>637777.08761086257</v>
      </c>
      <c r="E58" s="1">
        <f t="shared" si="19"/>
        <v>24967.014898486315</v>
      </c>
      <c r="F58" s="1">
        <f t="shared" si="19"/>
        <v>0</v>
      </c>
      <c r="G58" s="1">
        <f t="shared" si="19"/>
        <v>254454.02585867574</v>
      </c>
    </row>
    <row r="59" spans="1:7">
      <c r="A59" s="2">
        <v>2050</v>
      </c>
      <c r="B59" s="2">
        <f>conversion_to_TJ!M10*Dashboard!$D$11</f>
        <v>0</v>
      </c>
      <c r="C59" s="2">
        <f>conversion_to_TJ!M10*Dashboard!$D$12</f>
        <v>0</v>
      </c>
      <c r="D59" s="2">
        <f>conversion_to_TJ!M12</f>
        <v>634817.47366406955</v>
      </c>
      <c r="E59" s="2">
        <f>conversion_to_TJ!M11</f>
        <v>24765.152032886694</v>
      </c>
      <c r="F59" s="2">
        <f>conversion_to_TJ!M13</f>
        <v>0</v>
      </c>
      <c r="G59" s="2">
        <f>conversion_to_TJ!M16*Dashboard!$D$14</f>
        <v>256799.20514959301</v>
      </c>
    </row>
  </sheetData>
  <mergeCells count="1">
    <mergeCell ref="B3:G6"/>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7" tint="0.39997558519241921"/>
  </sheetPr>
  <dimension ref="A1:G42"/>
  <sheetViews>
    <sheetView tabSelected="1" workbookViewId="0">
      <selection activeCell="F7" sqref="F7"/>
    </sheetView>
  </sheetViews>
  <sheetFormatPr baseColWidth="10" defaultRowHeight="16"/>
  <cols>
    <col min="1" max="7" width="10.83203125" style="141"/>
  </cols>
  <sheetData>
    <row r="1" spans="1:7">
      <c r="A1" s="141" t="s">
        <v>0</v>
      </c>
      <c r="B1" s="141" t="s">
        <v>1</v>
      </c>
      <c r="C1" s="141" t="s">
        <v>2</v>
      </c>
      <c r="D1" s="141" t="s">
        <v>3</v>
      </c>
      <c r="E1" s="141" t="s">
        <v>4</v>
      </c>
      <c r="F1" s="141" t="s">
        <v>5</v>
      </c>
      <c r="G1" s="141" t="s">
        <v>6</v>
      </c>
    </row>
    <row r="2" spans="1:7">
      <c r="A2" s="141">
        <v>2010</v>
      </c>
      <c r="B2" s="141">
        <f>interpolation!B19</f>
        <v>0</v>
      </c>
      <c r="C2" s="141">
        <f>interpolation!C19</f>
        <v>0</v>
      </c>
      <c r="D2" s="182">
        <f>GTS_gas!D34</f>
        <v>2655008</v>
      </c>
      <c r="E2" s="141">
        <f>NLOG_oil!F16</f>
        <v>70486</v>
      </c>
      <c r="F2" s="141">
        <v>0</v>
      </c>
      <c r="G2" s="141">
        <f>interpolation!G19</f>
        <v>84982.245698114217</v>
      </c>
    </row>
    <row r="3" spans="1:7">
      <c r="A3" s="141">
        <v>2011</v>
      </c>
      <c r="B3" s="141">
        <f>interpolation!B20</f>
        <v>0</v>
      </c>
      <c r="C3" s="141">
        <f>interpolation!C20</f>
        <v>0</v>
      </c>
      <c r="D3" s="182">
        <f>GTS_gas!D35</f>
        <v>2416832</v>
      </c>
      <c r="E3" s="141">
        <f>NLOG_oil!F17</f>
        <v>71225</v>
      </c>
      <c r="F3" s="141">
        <v>0</v>
      </c>
      <c r="G3" s="141">
        <f>interpolation!G20</f>
        <v>89923.837425989899</v>
      </c>
    </row>
    <row r="4" spans="1:7">
      <c r="A4" s="141">
        <v>2012</v>
      </c>
      <c r="B4" s="141">
        <f>interpolation!B21</f>
        <v>0</v>
      </c>
      <c r="C4" s="141">
        <f>interpolation!C21</f>
        <v>0</v>
      </c>
      <c r="D4" s="182">
        <f>GTS_gas!D36</f>
        <v>2405569</v>
      </c>
      <c r="E4" s="141">
        <f>NLOG_oil!F18</f>
        <v>74785</v>
      </c>
      <c r="F4" s="141">
        <v>0</v>
      </c>
      <c r="G4" s="141">
        <f>interpolation!G21</f>
        <v>94865.429153865567</v>
      </c>
    </row>
    <row r="5" spans="1:7">
      <c r="A5" s="141">
        <v>2013</v>
      </c>
      <c r="B5" s="141">
        <f>interpolation!B22</f>
        <v>0</v>
      </c>
      <c r="C5" s="141">
        <f>interpolation!C22</f>
        <v>0</v>
      </c>
      <c r="D5" s="182">
        <f>GTS_gas!D37</f>
        <v>2585337.7400000002</v>
      </c>
      <c r="E5" s="141">
        <f>NLOG_oil!F19</f>
        <v>81052.88</v>
      </c>
      <c r="F5" s="141">
        <v>0</v>
      </c>
      <c r="G5" s="141">
        <f>interpolation!G22</f>
        <v>99807.020881741249</v>
      </c>
    </row>
    <row r="6" spans="1:7">
      <c r="A6" s="141">
        <v>2014</v>
      </c>
      <c r="B6" s="141">
        <f>interpolation!B23</f>
        <v>0</v>
      </c>
      <c r="C6" s="141">
        <f>interpolation!C23</f>
        <v>0</v>
      </c>
      <c r="D6" s="182">
        <f>GTS_gas!D38</f>
        <v>2108927.71</v>
      </c>
      <c r="E6" s="141">
        <f>NLOG_oil!F20</f>
        <v>83531.055000000008</v>
      </c>
      <c r="F6" s="141">
        <v>0</v>
      </c>
      <c r="G6" s="141">
        <f>interpolation!G23</f>
        <v>104748.61260961692</v>
      </c>
    </row>
    <row r="7" spans="1:7">
      <c r="A7" s="141">
        <v>2015</v>
      </c>
      <c r="B7" s="141">
        <f>interpolation!B24</f>
        <v>0</v>
      </c>
      <c r="C7" s="141">
        <f>interpolation!C24</f>
        <v>0</v>
      </c>
      <c r="D7" s="182">
        <f>GTS_gas!D39</f>
        <v>1632517.68</v>
      </c>
      <c r="E7" s="141">
        <f>NLOG_oil!F21</f>
        <v>86009.23000000001</v>
      </c>
      <c r="F7" s="141">
        <v>0</v>
      </c>
      <c r="G7" s="141">
        <f>interpolation!G24</f>
        <v>109690.2043374926</v>
      </c>
    </row>
    <row r="8" spans="1:7">
      <c r="A8" s="141">
        <v>2016</v>
      </c>
      <c r="B8" s="141">
        <f>interpolation!B25</f>
        <v>0</v>
      </c>
      <c r="C8" s="141">
        <f>interpolation!C25</f>
        <v>0</v>
      </c>
      <c r="D8" s="182">
        <f>GTS_gas!D40</f>
        <v>1416447.9439999999</v>
      </c>
      <c r="E8" s="141">
        <f>NLOG_oil!F22</f>
        <v>63900</v>
      </c>
      <c r="F8" s="141">
        <v>0</v>
      </c>
      <c r="G8" s="141">
        <f>interpolation!G25</f>
        <v>123861.1140523752</v>
      </c>
    </row>
    <row r="9" spans="1:7">
      <c r="A9" s="141">
        <v>2017</v>
      </c>
      <c r="B9" s="141">
        <f>interpolation!B26</f>
        <v>0</v>
      </c>
      <c r="C9" s="141">
        <f>interpolation!C26</f>
        <v>0</v>
      </c>
      <c r="D9" s="182">
        <f>GTS_gas!D41</f>
        <v>1200378.2080000001</v>
      </c>
      <c r="E9" s="141">
        <f>NLOG_oil!F23</f>
        <v>60350</v>
      </c>
      <c r="F9" s="141">
        <v>0</v>
      </c>
      <c r="G9" s="141">
        <f>interpolation!G26</f>
        <v>138032.02376725781</v>
      </c>
    </row>
    <row r="10" spans="1:7">
      <c r="A10" s="141">
        <v>2018</v>
      </c>
      <c r="B10" s="141">
        <f>interpolation!B27</f>
        <v>0</v>
      </c>
      <c r="C10" s="141">
        <f>interpolation!C27</f>
        <v>0</v>
      </c>
      <c r="D10" s="182">
        <f>GTS_gas!D42</f>
        <v>984308.47200000007</v>
      </c>
      <c r="E10" s="141">
        <f>NLOG_oil!F24</f>
        <v>39050</v>
      </c>
      <c r="F10" s="141">
        <v>0</v>
      </c>
      <c r="G10" s="141">
        <f>interpolation!G27</f>
        <v>152202.93348214039</v>
      </c>
    </row>
    <row r="11" spans="1:7">
      <c r="A11" s="141">
        <v>2019</v>
      </c>
      <c r="B11" s="141">
        <f>interpolation!B28</f>
        <v>0</v>
      </c>
      <c r="C11" s="141">
        <f>interpolation!C28</f>
        <v>0</v>
      </c>
      <c r="D11" s="182">
        <f>GTS_gas!D43</f>
        <v>768238.73600000003</v>
      </c>
      <c r="E11" s="141">
        <f>NLOG_oil!F25</f>
        <v>35500</v>
      </c>
      <c r="F11" s="141">
        <v>0</v>
      </c>
      <c r="G11" s="141">
        <f>interpolation!G28</f>
        <v>166373.84319702297</v>
      </c>
    </row>
    <row r="12" spans="1:7">
      <c r="A12" s="141">
        <v>2020</v>
      </c>
      <c r="B12" s="141">
        <f>interpolation!B29</f>
        <v>0</v>
      </c>
      <c r="C12" s="141">
        <f>interpolation!C29</f>
        <v>0</v>
      </c>
      <c r="D12" s="182">
        <f>GTS_gas!D44</f>
        <v>552169</v>
      </c>
      <c r="E12" s="141">
        <f>NLOG_oil!F26</f>
        <v>28400</v>
      </c>
      <c r="F12" s="141">
        <v>0</v>
      </c>
      <c r="G12" s="141">
        <f>interpolation!G29</f>
        <v>180544.75291190558</v>
      </c>
    </row>
    <row r="13" spans="1:7">
      <c r="A13" s="141">
        <v>2021</v>
      </c>
      <c r="B13" s="141">
        <f>interpolation!B30</f>
        <v>0</v>
      </c>
      <c r="C13" s="141">
        <f>interpolation!C30</f>
        <v>0</v>
      </c>
      <c r="D13" s="182">
        <f>GTS_gas!D45</f>
        <v>429074</v>
      </c>
      <c r="E13" s="141">
        <f>NLOG_oil!F27</f>
        <v>28400</v>
      </c>
      <c r="F13" s="141">
        <v>0</v>
      </c>
      <c r="G13" s="141">
        <f>interpolation!G30</f>
        <v>182232.75200146166</v>
      </c>
    </row>
    <row r="14" spans="1:7">
      <c r="A14" s="141">
        <v>2022</v>
      </c>
      <c r="B14" s="141">
        <f>interpolation!B31</f>
        <v>0</v>
      </c>
      <c r="C14" s="141">
        <f>interpolation!C31</f>
        <v>0</v>
      </c>
      <c r="D14" s="182">
        <f>GTS_gas!D46</f>
        <v>302462</v>
      </c>
      <c r="E14" s="141">
        <f>NLOG_oil!F28</f>
        <v>24850</v>
      </c>
      <c r="F14" s="141">
        <v>0</v>
      </c>
      <c r="G14" s="141">
        <f>interpolation!G31</f>
        <v>183920.75109101774</v>
      </c>
    </row>
    <row r="15" spans="1:7">
      <c r="A15" s="141">
        <v>2023</v>
      </c>
      <c r="B15" s="141">
        <f>interpolation!B32</f>
        <v>0</v>
      </c>
      <c r="C15" s="141">
        <f>interpolation!C32</f>
        <v>0</v>
      </c>
      <c r="D15" s="182">
        <f>GTS_gas!D47</f>
        <v>133646</v>
      </c>
      <c r="E15" s="141">
        <f>NLOG_oil!F29</f>
        <v>24850</v>
      </c>
      <c r="F15" s="141">
        <v>0</v>
      </c>
      <c r="G15" s="141">
        <f>interpolation!G32</f>
        <v>185608.75018057384</v>
      </c>
    </row>
    <row r="16" spans="1:7">
      <c r="A16" s="141">
        <v>2024</v>
      </c>
      <c r="B16" s="141">
        <f>interpolation!B33</f>
        <v>0</v>
      </c>
      <c r="C16" s="141">
        <f>interpolation!C33</f>
        <v>0</v>
      </c>
      <c r="D16" s="182">
        <f>GTS_gas!D48</f>
        <v>116061</v>
      </c>
      <c r="E16" s="141">
        <f>NLOG_oil!F30</f>
        <v>21300</v>
      </c>
      <c r="F16" s="141">
        <v>0</v>
      </c>
      <c r="G16" s="141">
        <f>interpolation!G33</f>
        <v>187296.74927012992</v>
      </c>
    </row>
    <row r="17" spans="1:7">
      <c r="A17" s="141">
        <v>2025</v>
      </c>
      <c r="B17" s="141">
        <f>interpolation!B34</f>
        <v>0</v>
      </c>
      <c r="C17" s="141">
        <f>interpolation!C34</f>
        <v>0</v>
      </c>
      <c r="D17" s="182">
        <f>GTS_gas!D49</f>
        <v>91442</v>
      </c>
      <c r="E17" s="141">
        <f>NLOG_oil!F31</f>
        <v>17750</v>
      </c>
      <c r="F17" s="141">
        <v>0</v>
      </c>
      <c r="G17" s="141">
        <f>interpolation!G34</f>
        <v>188984.748359686</v>
      </c>
    </row>
    <row r="18" spans="1:7">
      <c r="A18" s="141">
        <v>2026</v>
      </c>
      <c r="B18" s="141">
        <f>interpolation!B35</f>
        <v>0</v>
      </c>
      <c r="C18" s="141">
        <f>interpolation!C35</f>
        <v>0</v>
      </c>
      <c r="D18" s="182">
        <f>GTS_gas!D50</f>
        <v>52755</v>
      </c>
      <c r="E18" s="141">
        <f>NLOG_oil!F32</f>
        <v>17750</v>
      </c>
      <c r="F18" s="141">
        <v>0</v>
      </c>
      <c r="G18" s="141">
        <f>interpolation!G35</f>
        <v>193405.5983505004</v>
      </c>
    </row>
    <row r="19" spans="1:7">
      <c r="A19" s="141">
        <v>2027</v>
      </c>
      <c r="B19" s="141">
        <f>interpolation!B36</f>
        <v>0</v>
      </c>
      <c r="C19" s="141">
        <f>interpolation!C36</f>
        <v>0</v>
      </c>
      <c r="D19" s="182">
        <f>GTS_gas!D51</f>
        <v>28136</v>
      </c>
      <c r="E19" s="141">
        <f>NLOG_oil!F33</f>
        <v>17750</v>
      </c>
      <c r="F19" s="141">
        <v>0</v>
      </c>
      <c r="G19" s="141">
        <f>interpolation!G36</f>
        <v>197826.4483413148</v>
      </c>
    </row>
    <row r="20" spans="1:7">
      <c r="A20" s="141">
        <v>2028</v>
      </c>
      <c r="B20" s="141">
        <f>interpolation!B37</f>
        <v>0</v>
      </c>
      <c r="C20" s="141">
        <f>interpolation!C37</f>
        <v>0</v>
      </c>
      <c r="D20" s="182">
        <f>GTS_gas!D52</f>
        <v>24619</v>
      </c>
      <c r="E20" s="141">
        <f>NLOG_oil!F34</f>
        <v>14200</v>
      </c>
      <c r="F20" s="141">
        <v>0</v>
      </c>
      <c r="G20" s="141">
        <f>interpolation!G37</f>
        <v>202247.29833212917</v>
      </c>
    </row>
    <row r="21" spans="1:7">
      <c r="A21" s="141">
        <v>2029</v>
      </c>
      <c r="B21" s="141">
        <f>interpolation!B38</f>
        <v>0</v>
      </c>
      <c r="C21" s="141">
        <f>interpolation!C38</f>
        <v>0</v>
      </c>
      <c r="D21" s="182">
        <f>GTS_gas!D53</f>
        <v>24619</v>
      </c>
      <c r="E21" s="141">
        <f>NLOG_oil!F35</f>
        <v>14200</v>
      </c>
      <c r="F21" s="141">
        <v>0</v>
      </c>
      <c r="G21" s="141">
        <f>interpolation!G38</f>
        <v>206668.14832294357</v>
      </c>
    </row>
    <row r="22" spans="1:7">
      <c r="A22" s="141">
        <v>2030</v>
      </c>
      <c r="B22" s="141">
        <f>interpolation!B39</f>
        <v>0</v>
      </c>
      <c r="C22" s="141">
        <f>interpolation!C39</f>
        <v>0</v>
      </c>
      <c r="D22" s="182">
        <f>GTS_gas!D54</f>
        <v>0</v>
      </c>
      <c r="E22" s="141">
        <f>NLOG_oil!F36</f>
        <v>14200</v>
      </c>
      <c r="F22" s="141">
        <v>0</v>
      </c>
      <c r="G22" s="141">
        <f>interpolation!G39</f>
        <v>211088.99831375797</v>
      </c>
    </row>
    <row r="23" spans="1:7">
      <c r="A23" s="141">
        <v>2031</v>
      </c>
      <c r="B23" s="141">
        <f>interpolation!B40</f>
        <v>0</v>
      </c>
      <c r="C23" s="141">
        <f>interpolation!C40</f>
        <v>0</v>
      </c>
      <c r="D23" s="182">
        <f>GTS_gas!D55</f>
        <v>0</v>
      </c>
      <c r="E23" s="141">
        <f>NLOG_oil!F37</f>
        <v>14200</v>
      </c>
      <c r="F23" s="141">
        <v>0</v>
      </c>
      <c r="G23" s="141">
        <f>interpolation!G40</f>
        <v>212844.39900205447</v>
      </c>
    </row>
    <row r="24" spans="1:7">
      <c r="A24" s="141">
        <v>2032</v>
      </c>
      <c r="B24" s="141">
        <f>interpolation!B41</f>
        <v>0</v>
      </c>
      <c r="C24" s="141">
        <f>interpolation!C41</f>
        <v>0</v>
      </c>
      <c r="D24" s="182">
        <f>GTS_gas!D56</f>
        <v>0</v>
      </c>
      <c r="E24" s="141">
        <f>NLOG_oil!F38</f>
        <v>14200</v>
      </c>
      <c r="F24" s="141">
        <v>0</v>
      </c>
      <c r="G24" s="141">
        <f>interpolation!G41</f>
        <v>214599.79969035098</v>
      </c>
    </row>
    <row r="25" spans="1:7">
      <c r="A25" s="141">
        <v>2033</v>
      </c>
      <c r="B25" s="141">
        <f>interpolation!B42</f>
        <v>0</v>
      </c>
      <c r="C25" s="141">
        <f>interpolation!C42</f>
        <v>0</v>
      </c>
      <c r="D25" s="182">
        <f>GTS_gas!D57</f>
        <v>0</v>
      </c>
      <c r="E25" s="141">
        <f>NLOG_oil!F39</f>
        <v>10650</v>
      </c>
      <c r="F25" s="141">
        <v>0</v>
      </c>
      <c r="G25" s="141">
        <f>interpolation!G42</f>
        <v>216355.20037864745</v>
      </c>
    </row>
    <row r="26" spans="1:7">
      <c r="A26" s="141">
        <v>2034</v>
      </c>
      <c r="B26" s="141">
        <f>interpolation!B43</f>
        <v>0</v>
      </c>
      <c r="C26" s="141">
        <f>interpolation!C43</f>
        <v>0</v>
      </c>
      <c r="D26" s="182">
        <f>GTS_gas!D58</f>
        <v>0</v>
      </c>
      <c r="E26" s="141">
        <f>NLOG_oil!F40</f>
        <v>10650</v>
      </c>
      <c r="F26" s="141">
        <v>0</v>
      </c>
      <c r="G26" s="141">
        <f>interpolation!G43</f>
        <v>218110.60106694396</v>
      </c>
    </row>
    <row r="27" spans="1:7">
      <c r="A27" s="141">
        <v>2035</v>
      </c>
      <c r="B27" s="141">
        <f>interpolation!B44</f>
        <v>0</v>
      </c>
      <c r="C27" s="141">
        <f>interpolation!C44</f>
        <v>0</v>
      </c>
      <c r="D27" s="182">
        <f>GTS_gas!D59</f>
        <v>0</v>
      </c>
      <c r="E27" s="141">
        <f>NLOG_oil!F41</f>
        <v>10650</v>
      </c>
      <c r="F27" s="141">
        <v>0</v>
      </c>
      <c r="G27" s="141">
        <f>interpolation!G44</f>
        <v>219866.00175524046</v>
      </c>
    </row>
    <row r="28" spans="1:7">
      <c r="A28" s="141">
        <v>2036</v>
      </c>
      <c r="B28" s="141">
        <f>interpolation!B45</f>
        <v>0</v>
      </c>
      <c r="C28" s="141">
        <f>interpolation!C45</f>
        <v>0</v>
      </c>
      <c r="D28" s="182">
        <f>GTS_gas!D60</f>
        <v>0</v>
      </c>
      <c r="E28" s="141">
        <f>NLOG_oil!F42</f>
        <v>10650</v>
      </c>
      <c r="F28" s="141">
        <v>0</v>
      </c>
      <c r="G28" s="141">
        <f>interpolation!G45</f>
        <v>222685.0155371468</v>
      </c>
    </row>
    <row r="29" spans="1:7">
      <c r="A29" s="141">
        <v>2037</v>
      </c>
      <c r="B29" s="141">
        <f>interpolation!B46</f>
        <v>0</v>
      </c>
      <c r="C29" s="141">
        <f>interpolation!C46</f>
        <v>0</v>
      </c>
      <c r="D29" s="182">
        <f>GTS_gas!D61</f>
        <v>0</v>
      </c>
      <c r="E29" s="141">
        <f>NLOG_oil!F43</f>
        <v>10650</v>
      </c>
      <c r="F29" s="141">
        <v>0</v>
      </c>
      <c r="G29" s="141">
        <f>interpolation!G46</f>
        <v>225504.02931905314</v>
      </c>
    </row>
    <row r="30" spans="1:7">
      <c r="A30" s="141">
        <v>2038</v>
      </c>
      <c r="B30" s="141">
        <f>interpolation!B47</f>
        <v>0</v>
      </c>
      <c r="C30" s="141">
        <f>interpolation!C47</f>
        <v>0</v>
      </c>
      <c r="D30" s="182">
        <f>GTS_gas!D62</f>
        <v>0</v>
      </c>
      <c r="E30" s="141">
        <f>NLOG_oil!F44</f>
        <v>10650</v>
      </c>
      <c r="F30" s="141">
        <v>0</v>
      </c>
      <c r="G30" s="141">
        <f>interpolation!G47</f>
        <v>228323.04310095948</v>
      </c>
    </row>
    <row r="31" spans="1:7">
      <c r="A31" s="141">
        <v>2039</v>
      </c>
      <c r="B31" s="141">
        <f>interpolation!B48</f>
        <v>0</v>
      </c>
      <c r="C31" s="141">
        <f>interpolation!C48</f>
        <v>0</v>
      </c>
      <c r="D31" s="182">
        <f>GTS_gas!D63</f>
        <v>0</v>
      </c>
      <c r="E31" s="141">
        <f>NLOG_oil!F45</f>
        <v>7100</v>
      </c>
      <c r="F31" s="141">
        <v>0</v>
      </c>
      <c r="G31" s="141">
        <f>interpolation!G48</f>
        <v>231142.05688286581</v>
      </c>
    </row>
    <row r="32" spans="1:7">
      <c r="A32" s="141">
        <v>2040</v>
      </c>
      <c r="B32" s="141">
        <f>interpolation!B49</f>
        <v>0</v>
      </c>
      <c r="C32" s="141">
        <f>interpolation!C49</f>
        <v>0</v>
      </c>
      <c r="D32" s="182">
        <f>GTS_gas!D64</f>
        <v>0</v>
      </c>
      <c r="E32" s="141">
        <f>NLOG_oil!F46</f>
        <v>7100</v>
      </c>
      <c r="F32" s="141">
        <v>0</v>
      </c>
      <c r="G32" s="141">
        <f>interpolation!G49</f>
        <v>233961.07066477215</v>
      </c>
    </row>
    <row r="33" spans="1:7">
      <c r="A33" s="141">
        <v>2041</v>
      </c>
      <c r="B33" s="141">
        <f>interpolation!B50</f>
        <v>0</v>
      </c>
      <c r="C33" s="141">
        <f>interpolation!C50</f>
        <v>0</v>
      </c>
      <c r="D33" s="182">
        <f>GTS_gas!D65</f>
        <v>0</v>
      </c>
      <c r="E33" s="141">
        <f>NLOG_oil!F47</f>
        <v>3550</v>
      </c>
      <c r="F33" s="141">
        <v>0</v>
      </c>
      <c r="G33" s="141">
        <f>interpolation!G50</f>
        <v>236183.51827081907</v>
      </c>
    </row>
    <row r="34" spans="1:7">
      <c r="A34" s="141">
        <v>2042</v>
      </c>
      <c r="B34" s="141">
        <f>interpolation!B51</f>
        <v>0</v>
      </c>
      <c r="C34" s="141">
        <f>interpolation!C51</f>
        <v>0</v>
      </c>
      <c r="D34" s="182">
        <f>GTS_gas!D66</f>
        <v>0</v>
      </c>
      <c r="E34" s="141">
        <f>NLOG_oil!F48</f>
        <v>3550</v>
      </c>
      <c r="F34" s="141">
        <v>0</v>
      </c>
      <c r="G34" s="141">
        <f>interpolation!G51</f>
        <v>238405.96587686599</v>
      </c>
    </row>
    <row r="35" spans="1:7">
      <c r="A35" s="141">
        <v>2043</v>
      </c>
      <c r="B35" s="141">
        <f>interpolation!B52</f>
        <v>0</v>
      </c>
      <c r="C35" s="141">
        <f>interpolation!C52</f>
        <v>0</v>
      </c>
      <c r="D35" s="182">
        <f>GTS_gas!D67</f>
        <v>0</v>
      </c>
      <c r="E35" s="141">
        <f>NLOG_oil!F49</f>
        <v>0</v>
      </c>
      <c r="F35" s="141">
        <v>0</v>
      </c>
      <c r="G35" s="141">
        <f>interpolation!G52</f>
        <v>240628.41348291287</v>
      </c>
    </row>
    <row r="36" spans="1:7">
      <c r="A36" s="141">
        <v>2044</v>
      </c>
      <c r="B36" s="141">
        <f>interpolation!B53</f>
        <v>0</v>
      </c>
      <c r="C36" s="141">
        <f>interpolation!C53</f>
        <v>0</v>
      </c>
      <c r="D36" s="182">
        <f>GTS_gas!D68</f>
        <v>0</v>
      </c>
      <c r="E36" s="141">
        <f>NLOG_oil!F50</f>
        <v>0</v>
      </c>
      <c r="F36" s="141">
        <v>0</v>
      </c>
      <c r="G36" s="141">
        <f>interpolation!G53</f>
        <v>242850.86108895979</v>
      </c>
    </row>
    <row r="37" spans="1:7">
      <c r="A37" s="141">
        <v>2045</v>
      </c>
      <c r="B37" s="141">
        <f>interpolation!B54</f>
        <v>0</v>
      </c>
      <c r="C37" s="141">
        <f>interpolation!C54</f>
        <v>0</v>
      </c>
      <c r="D37" s="182">
        <f>GTS_gas!D69</f>
        <v>0</v>
      </c>
      <c r="E37" s="141">
        <f>NLOG_oil!F51</f>
        <v>0</v>
      </c>
      <c r="F37" s="141">
        <v>0</v>
      </c>
      <c r="G37" s="141">
        <f>interpolation!G54</f>
        <v>245073.30869500671</v>
      </c>
    </row>
    <row r="38" spans="1:7">
      <c r="A38" s="141">
        <v>2046</v>
      </c>
      <c r="B38" s="141">
        <f>interpolation!B55</f>
        <v>0</v>
      </c>
      <c r="C38" s="141">
        <f>interpolation!C55</f>
        <v>0</v>
      </c>
      <c r="D38" s="182">
        <f>GTS_gas!D70</f>
        <v>0</v>
      </c>
      <c r="E38" s="141">
        <f>NLOG_oil!F52</f>
        <v>0</v>
      </c>
      <c r="F38" s="141">
        <v>0</v>
      </c>
      <c r="G38" s="141">
        <f>interpolation!G55</f>
        <v>247418.48798592397</v>
      </c>
    </row>
    <row r="39" spans="1:7">
      <c r="A39" s="141">
        <v>2047</v>
      </c>
      <c r="B39" s="141">
        <f>interpolation!B56</f>
        <v>0</v>
      </c>
      <c r="C39" s="141">
        <f>interpolation!C56</f>
        <v>0</v>
      </c>
      <c r="D39" s="182">
        <f>GTS_gas!D71</f>
        <v>0</v>
      </c>
      <c r="E39" s="141">
        <f>NLOG_oil!F53</f>
        <v>0</v>
      </c>
      <c r="F39" s="141">
        <v>0</v>
      </c>
      <c r="G39" s="141">
        <f>interpolation!G56</f>
        <v>249763.66727684124</v>
      </c>
    </row>
    <row r="40" spans="1:7">
      <c r="A40" s="141">
        <v>2048</v>
      </c>
      <c r="B40" s="141">
        <f>interpolation!B57</f>
        <v>0</v>
      </c>
      <c r="C40" s="141">
        <f>interpolation!C57</f>
        <v>0</v>
      </c>
      <c r="D40" s="182">
        <f>GTS_gas!D72</f>
        <v>0</v>
      </c>
      <c r="E40" s="141">
        <f>NLOG_oil!F54</f>
        <v>0</v>
      </c>
      <c r="F40" s="141">
        <v>0</v>
      </c>
      <c r="G40" s="141">
        <f>interpolation!G57</f>
        <v>252108.84656775848</v>
      </c>
    </row>
    <row r="41" spans="1:7">
      <c r="A41" s="141">
        <v>2049</v>
      </c>
      <c r="B41" s="141">
        <f>interpolation!B58</f>
        <v>0</v>
      </c>
      <c r="C41" s="141">
        <f>interpolation!C58</f>
        <v>0</v>
      </c>
      <c r="D41" s="182">
        <f>GTS_gas!D73</f>
        <v>0</v>
      </c>
      <c r="E41" s="141">
        <f>NLOG_oil!F55</f>
        <v>0</v>
      </c>
      <c r="F41" s="141">
        <v>0</v>
      </c>
      <c r="G41" s="141">
        <f>interpolation!G58</f>
        <v>254454.02585867574</v>
      </c>
    </row>
    <row r="42" spans="1:7">
      <c r="A42" s="141">
        <v>2050</v>
      </c>
      <c r="B42" s="141">
        <f>interpolation!B59</f>
        <v>0</v>
      </c>
      <c r="C42" s="141">
        <f>interpolation!C59</f>
        <v>0</v>
      </c>
      <c r="D42" s="182">
        <f>GTS_gas!D74</f>
        <v>0</v>
      </c>
      <c r="E42" s="141">
        <f>NLOG_oil!F56</f>
        <v>0</v>
      </c>
      <c r="F42" s="141">
        <v>0</v>
      </c>
      <c r="G42" s="141">
        <f>interpolation!G59</f>
        <v>256799.20514959301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Cover sheet</vt:lpstr>
      <vt:lpstr>Changelog</vt:lpstr>
      <vt:lpstr>Contents</vt:lpstr>
      <vt:lpstr>Introduction</vt:lpstr>
      <vt:lpstr>Assumptions</vt:lpstr>
      <vt:lpstr>Dashboard</vt:lpstr>
      <vt:lpstr>GTS_gas</vt:lpstr>
      <vt:lpstr>NLOG_oil</vt:lpstr>
      <vt:lpstr>conversion_to_TJ</vt:lpstr>
      <vt:lpstr>interpolation</vt:lpstr>
      <vt:lpstr>timecurves</vt:lpstr>
      <vt:lpstr>ktoe_TJ</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Marlieke Verweij</cp:lastModifiedBy>
  <dcterms:created xsi:type="dcterms:W3CDTF">2014-06-04T09:13:49Z</dcterms:created>
  <dcterms:modified xsi:type="dcterms:W3CDTF">2019-05-09T14:10:56Z</dcterms:modified>
</cp:coreProperties>
</file>