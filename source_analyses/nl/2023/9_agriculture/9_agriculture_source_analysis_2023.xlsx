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radehaan/github/etdataset/source_analyses/nl/2023/9_agriculture/"/>
    </mc:Choice>
  </mc:AlternateContent>
  <xr:revisionPtr revIDLastSave="0" documentId="13_ncr:1_{DEE2FA1F-9B5B-BB4A-99B2-804F94379070}" xr6:coauthVersionLast="47" xr6:coauthVersionMax="47" xr10:uidLastSave="{00000000-0000-0000-0000-000000000000}"/>
  <bookViews>
    <workbookView xWindow="-12200" yWindow="-28800" windowWidth="51200" windowHeight="28800" activeTab="2" xr2:uid="{346D62BD-3C2C-584A-AC8B-145A60D2FC33}"/>
  </bookViews>
  <sheets>
    <sheet name="Coversheet" sheetId="3" r:id="rId1"/>
    <sheet name="Dashboard" sheetId="2" r:id="rId2"/>
    <sheet name="Analysis Agricultur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22" i="1" s="1"/>
  <c r="C44" i="1" s="1"/>
  <c r="C26" i="1"/>
  <c r="E43" i="1"/>
  <c r="E42" i="1"/>
  <c r="E41" i="1"/>
  <c r="E40" i="1"/>
  <c r="E39" i="1"/>
  <c r="C23" i="1" l="1"/>
  <c r="E44" i="1"/>
  <c r="F44" i="1" s="1"/>
  <c r="C30" i="1" s="1"/>
  <c r="E20" i="2" s="1"/>
  <c r="F43" i="1"/>
  <c r="C35" i="1" s="1"/>
  <c r="F39" i="1"/>
  <c r="C31" i="1" s="1"/>
  <c r="F42" i="1"/>
  <c r="C34" i="1" s="1"/>
  <c r="F41" i="1"/>
  <c r="C33" i="1" s="1"/>
  <c r="F40" i="1"/>
  <c r="C32" i="1" s="1"/>
</calcChain>
</file>

<file path=xl/sharedStrings.xml><?xml version="1.0" encoding="utf-8"?>
<sst xmlns="http://schemas.openxmlformats.org/spreadsheetml/2006/main" count="97" uniqueCount="66">
  <si>
    <t>Paste in 9_agriculture_analysis</t>
  </si>
  <si>
    <t>Electric heat pump with thermal storage</t>
  </si>
  <si>
    <t>Gas-fired heater</t>
  </si>
  <si>
    <t>Oil-fired heater</t>
  </si>
  <si>
    <t>Biomass-fired heater</t>
  </si>
  <si>
    <t>Geothermal</t>
  </si>
  <si>
    <t>CHP and heat network</t>
  </si>
  <si>
    <t>Technology</t>
  </si>
  <si>
    <t>Final demand converted per technology (TJ)</t>
  </si>
  <si>
    <t>Effiency per technology</t>
  </si>
  <si>
    <t>Useful demand created per technology (TJ)</t>
  </si>
  <si>
    <t>Percentage of heat delivered per technology (%)</t>
  </si>
  <si>
    <t>Comment</t>
  </si>
  <si>
    <t xml:space="preserve">Final demand is extracted from the energy balance. </t>
  </si>
  <si>
    <t>Final demand is extracted from the energy balance. Note that geothermal heaters have an electric final demand of (input of environment heat) / (COP - 1)</t>
  </si>
  <si>
    <t>Omgevingswarmte in landbouw 2023 (CBS)</t>
  </si>
  <si>
    <t>PJ</t>
  </si>
  <si>
    <t>TJ</t>
  </si>
  <si>
    <t>COP warmtepomp</t>
  </si>
  <si>
    <t>-</t>
  </si>
  <si>
    <t>demand converted per heatpump</t>
  </si>
  <si>
    <t>Cover sheet</t>
  </si>
  <si>
    <t>Document</t>
  </si>
  <si>
    <t>Transport source analysis</t>
  </si>
  <si>
    <t>Version #</t>
  </si>
  <si>
    <t>Country</t>
  </si>
  <si>
    <t>nl</t>
  </si>
  <si>
    <t>Year data</t>
  </si>
  <si>
    <t>Date</t>
  </si>
  <si>
    <t>Author</t>
  </si>
  <si>
    <t>Max Kerpel</t>
  </si>
  <si>
    <t>Organisation</t>
  </si>
  <si>
    <t>Quintel Intelligence</t>
  </si>
  <si>
    <t>Legend</t>
  </si>
  <si>
    <t>Cells</t>
  </si>
  <si>
    <t>Intermediate (calculation)</t>
  </si>
  <si>
    <t>Result</t>
  </si>
  <si>
    <t>Manual input</t>
  </si>
  <si>
    <t>Reference to manual input or data input</t>
  </si>
  <si>
    <t>Tabs</t>
  </si>
  <si>
    <t>Introductory</t>
  </si>
  <si>
    <t>Dashboard</t>
  </si>
  <si>
    <t>Research data</t>
  </si>
  <si>
    <t>Sources</t>
  </si>
  <si>
    <t>Results</t>
  </si>
  <si>
    <t>Main calculations</t>
  </si>
  <si>
    <t>Additional calculations</t>
  </si>
  <si>
    <t>Output to csv</t>
  </si>
  <si>
    <t>Comments</t>
  </si>
  <si>
    <t>Bron: https://opendata.cbs.nl/#/CBS/nl/dataset/83140NED/table</t>
  </si>
  <si>
    <t>Assumptions</t>
  </si>
  <si>
    <t>Sector</t>
  </si>
  <si>
    <t>Assumption</t>
  </si>
  <si>
    <t>Unit</t>
  </si>
  <si>
    <t>Value</t>
  </si>
  <si>
    <t>General</t>
  </si>
  <si>
    <t>The base year for this analysis</t>
  </si>
  <si>
    <t>Heating</t>
  </si>
  <si>
    <t>Percentage of useful heat produced by</t>
  </si>
  <si>
    <t>Share</t>
  </si>
  <si>
    <t xml:space="preserve">Electricity consumption in </t>
  </si>
  <si>
    <t xml:space="preserve">Heating: Heat pumps </t>
  </si>
  <si>
    <t>Heating: Geothermal</t>
  </si>
  <si>
    <t>Other electric appliances (lights, pumps etc)</t>
  </si>
  <si>
    <t>Agriculture analysis</t>
  </si>
  <si>
    <t>fill in the following values in the main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</si>
</sst>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[$-409]mmmm\ d\,\ yyyy;@"/>
    <numFmt numFmtId="167" formatCode="0.000%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charset val="134"/>
      <scheme val="minor"/>
    </font>
    <font>
      <i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u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B1A0C7"/>
        <bgColor rgb="FF000000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</cellStyleXfs>
  <cellXfs count="107">
    <xf numFmtId="0" fontId="0" fillId="0" borderId="0" xfId="0"/>
    <xf numFmtId="0" fontId="0" fillId="2" borderId="0" xfId="0" applyFill="1"/>
    <xf numFmtId="0" fontId="0" fillId="0" borderId="3" xfId="0" applyBorder="1" applyAlignment="1">
      <alignment horizontal="left" indent="1"/>
    </xf>
    <xf numFmtId="0" fontId="0" fillId="0" borderId="5" xfId="0" applyBorder="1" applyAlignment="1">
      <alignment horizontal="left" inden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0" fillId="2" borderId="2" xfId="0" applyFill="1" applyBorder="1"/>
    <xf numFmtId="0" fontId="0" fillId="0" borderId="3" xfId="0" applyBorder="1"/>
    <xf numFmtId="4" fontId="0" fillId="0" borderId="3" xfId="1" applyNumberFormat="1" applyFont="1" applyFill="1" applyBorder="1"/>
    <xf numFmtId="165" fontId="0" fillId="0" borderId="0" xfId="1" applyNumberFormat="1" applyFont="1" applyFill="1" applyBorder="1"/>
    <xf numFmtId="4" fontId="2" fillId="0" borderId="0" xfId="1" applyNumberFormat="1" applyFont="1" applyFill="1" applyBorder="1"/>
    <xf numFmtId="164" fontId="3" fillId="0" borderId="0" xfId="1" applyNumberFormat="1" applyFont="1" applyFill="1" applyBorder="1"/>
    <xf numFmtId="0" fontId="0" fillId="0" borderId="4" xfId="0" applyBorder="1"/>
    <xf numFmtId="0" fontId="0" fillId="0" borderId="4" xfId="0" applyBorder="1" applyAlignment="1">
      <alignment wrapText="1"/>
    </xf>
    <xf numFmtId="165" fontId="0" fillId="0" borderId="0" xfId="1" applyNumberFormat="1" applyFont="1" applyFill="1" applyBorder="1" applyAlignment="1">
      <alignment horizontal="right"/>
    </xf>
    <xf numFmtId="0" fontId="0" fillId="0" borderId="5" xfId="0" applyBorder="1"/>
    <xf numFmtId="4" fontId="3" fillId="0" borderId="5" xfId="1" applyNumberFormat="1" applyFont="1" applyFill="1" applyBorder="1"/>
    <xf numFmtId="165" fontId="0" fillId="0" borderId="8" xfId="1" applyNumberFormat="1" applyFont="1" applyFill="1" applyBorder="1"/>
    <xf numFmtId="4" fontId="2" fillId="0" borderId="8" xfId="1" applyNumberFormat="1" applyFont="1" applyFill="1" applyBorder="1"/>
    <xf numFmtId="164" fontId="4" fillId="0" borderId="8" xfId="1" applyNumberFormat="1" applyFont="1" applyFill="1" applyBorder="1"/>
    <xf numFmtId="0" fontId="0" fillId="2" borderId="6" xfId="0" applyFill="1" applyBorder="1"/>
    <xf numFmtId="164" fontId="1" fillId="0" borderId="4" xfId="1" applyNumberFormat="1" applyFont="1" applyFill="1" applyBorder="1"/>
    <xf numFmtId="164" fontId="2" fillId="0" borderId="4" xfId="1" applyNumberFormat="1" applyFont="1" applyFill="1" applyBorder="1"/>
    <xf numFmtId="164" fontId="2" fillId="0" borderId="6" xfId="1" applyNumberFormat="1" applyFont="1" applyFill="1" applyBorder="1"/>
    <xf numFmtId="0" fontId="1" fillId="0" borderId="7" xfId="0" applyFont="1" applyBorder="1" applyAlignment="1">
      <alignment horizontal="left" wrapText="1"/>
    </xf>
    <xf numFmtId="0" fontId="0" fillId="0" borderId="0" xfId="0" quotePrefix="1"/>
    <xf numFmtId="0" fontId="5" fillId="0" borderId="0" xfId="0" applyFont="1"/>
    <xf numFmtId="0" fontId="7" fillId="2" borderId="0" xfId="3" applyFont="1" applyFill="1"/>
    <xf numFmtId="0" fontId="6" fillId="2" borderId="0" xfId="3" applyFill="1"/>
    <xf numFmtId="0" fontId="1" fillId="2" borderId="9" xfId="3" applyFont="1" applyFill="1" applyBorder="1"/>
    <xf numFmtId="0" fontId="0" fillId="2" borderId="10" xfId="3" applyFont="1" applyFill="1" applyBorder="1"/>
    <xf numFmtId="0" fontId="6" fillId="2" borderId="11" xfId="3" applyFill="1" applyBorder="1"/>
    <xf numFmtId="0" fontId="1" fillId="2" borderId="0" xfId="3" applyFont="1" applyFill="1"/>
    <xf numFmtId="0" fontId="8" fillId="3" borderId="3" xfId="3" applyFont="1" applyFill="1" applyBorder="1" applyAlignment="1">
      <alignment vertical="center"/>
    </xf>
    <xf numFmtId="165" fontId="6" fillId="2" borderId="0" xfId="3" applyNumberFormat="1" applyFill="1" applyAlignment="1">
      <alignment horizontal="left"/>
    </xf>
    <xf numFmtId="0" fontId="6" fillId="2" borderId="4" xfId="3" applyFill="1" applyBorder="1"/>
    <xf numFmtId="0" fontId="6" fillId="2" borderId="0" xfId="3" applyFill="1" applyAlignment="1">
      <alignment horizontal="left"/>
    </xf>
    <xf numFmtId="166" fontId="0" fillId="2" borderId="0" xfId="3" applyNumberFormat="1" applyFont="1" applyFill="1" applyAlignment="1">
      <alignment horizontal="left"/>
    </xf>
    <xf numFmtId="0" fontId="0" fillId="2" borderId="0" xfId="3" applyFont="1" applyFill="1"/>
    <xf numFmtId="0" fontId="8" fillId="3" borderId="5" xfId="3" applyFont="1" applyFill="1" applyBorder="1" applyAlignment="1">
      <alignment vertical="center"/>
    </xf>
    <xf numFmtId="0" fontId="6" fillId="2" borderId="8" xfId="3" applyFill="1" applyBorder="1"/>
    <xf numFmtId="0" fontId="6" fillId="2" borderId="6" xfId="3" applyFill="1" applyBorder="1"/>
    <xf numFmtId="0" fontId="6" fillId="2" borderId="10" xfId="3" applyFill="1" applyBorder="1"/>
    <xf numFmtId="0" fontId="1" fillId="2" borderId="3" xfId="3" applyFont="1" applyFill="1" applyBorder="1"/>
    <xf numFmtId="0" fontId="3" fillId="2" borderId="0" xfId="3" applyFont="1" applyFill="1"/>
    <xf numFmtId="0" fontId="6" fillId="2" borderId="12" xfId="3" applyFill="1" applyBorder="1"/>
    <xf numFmtId="0" fontId="9" fillId="4" borderId="0" xfId="3" applyFont="1" applyFill="1"/>
    <xf numFmtId="0" fontId="9" fillId="5" borderId="0" xfId="3" applyFont="1" applyFill="1"/>
    <xf numFmtId="0" fontId="9" fillId="6" borderId="0" xfId="3" applyFont="1" applyFill="1"/>
    <xf numFmtId="0" fontId="9" fillId="7" borderId="0" xfId="3" applyFont="1" applyFill="1"/>
    <xf numFmtId="0" fontId="6" fillId="2" borderId="3" xfId="3" applyFill="1" applyBorder="1"/>
    <xf numFmtId="0" fontId="9" fillId="8" borderId="0" xfId="3" applyFont="1" applyFill="1"/>
    <xf numFmtId="0" fontId="9" fillId="9" borderId="0" xfId="3" applyFont="1" applyFill="1"/>
    <xf numFmtId="0" fontId="9" fillId="10" borderId="0" xfId="3" applyFont="1" applyFill="1"/>
    <xf numFmtId="0" fontId="9" fillId="11" borderId="0" xfId="3" applyFont="1" applyFill="1"/>
    <xf numFmtId="0" fontId="6" fillId="2" borderId="5" xfId="3" applyFill="1" applyBorder="1"/>
    <xf numFmtId="0" fontId="7" fillId="2" borderId="0" xfId="0" applyFont="1" applyFill="1"/>
    <xf numFmtId="0" fontId="1" fillId="0" borderId="9" xfId="0" applyFont="1" applyBorder="1"/>
    <xf numFmtId="0" fontId="0" fillId="2" borderId="10" xfId="0" applyFill="1" applyBorder="1"/>
    <xf numFmtId="0" fontId="0" fillId="2" borderId="11" xfId="0" applyFill="1" applyBorder="1"/>
    <xf numFmtId="0" fontId="0" fillId="2" borderId="0" xfId="0" applyFill="1" applyAlignment="1">
      <alignment horizontal="left" vertical="top" wrapText="1"/>
    </xf>
    <xf numFmtId="0" fontId="1" fillId="2" borderId="13" xfId="0" applyFont="1" applyFill="1" applyBorder="1"/>
    <xf numFmtId="0" fontId="0" fillId="2" borderId="14" xfId="0" applyFill="1" applyBorder="1"/>
    <xf numFmtId="0" fontId="0" fillId="2" borderId="15" xfId="0" applyFill="1" applyBorder="1"/>
    <xf numFmtId="0" fontId="1" fillId="2" borderId="16" xfId="0" applyFont="1" applyFill="1" applyBorder="1"/>
    <xf numFmtId="0" fontId="1" fillId="2" borderId="8" xfId="0" applyFont="1" applyFill="1" applyBorder="1"/>
    <xf numFmtId="0" fontId="10" fillId="2" borderId="17" xfId="0" applyFont="1" applyFill="1" applyBorder="1"/>
    <xf numFmtId="0" fontId="1" fillId="2" borderId="10" xfId="0" applyFont="1" applyFill="1" applyBorder="1"/>
    <xf numFmtId="0" fontId="11" fillId="2" borderId="15" xfId="0" applyFont="1" applyFill="1" applyBorder="1"/>
    <xf numFmtId="0" fontId="1" fillId="0" borderId="18" xfId="0" applyFont="1" applyBorder="1"/>
    <xf numFmtId="0" fontId="0" fillId="2" borderId="16" xfId="0" applyFill="1" applyBorder="1"/>
    <xf numFmtId="0" fontId="0" fillId="2" borderId="8" xfId="0" applyFill="1" applyBorder="1"/>
    <xf numFmtId="0" fontId="10" fillId="2" borderId="15" xfId="0" applyFont="1" applyFill="1" applyBorder="1"/>
    <xf numFmtId="9" fontId="0" fillId="2" borderId="0" xfId="2" applyFont="1" applyFill="1" applyBorder="1"/>
    <xf numFmtId="10" fontId="0" fillId="0" borderId="12" xfId="2" applyNumberFormat="1" applyFont="1" applyFill="1" applyBorder="1"/>
    <xf numFmtId="10" fontId="0" fillId="0" borderId="0" xfId="2" applyNumberFormat="1" applyFont="1" applyFill="1" applyBorder="1"/>
    <xf numFmtId="167" fontId="0" fillId="2" borderId="0" xfId="2" applyNumberFormat="1" applyFont="1" applyFill="1" applyBorder="1"/>
    <xf numFmtId="3" fontId="0" fillId="0" borderId="0" xfId="2" applyNumberFormat="1" applyFont="1" applyFill="1" applyBorder="1"/>
    <xf numFmtId="0" fontId="0" fillId="2" borderId="19" xfId="0" applyFill="1" applyBorder="1"/>
    <xf numFmtId="0" fontId="0" fillId="2" borderId="20" xfId="0" applyFill="1" applyBorder="1"/>
    <xf numFmtId="9" fontId="0" fillId="2" borderId="20" xfId="2" applyFont="1" applyFill="1" applyBorder="1"/>
    <xf numFmtId="0" fontId="0" fillId="2" borderId="21" xfId="0" applyFill="1" applyBorder="1"/>
    <xf numFmtId="0" fontId="0" fillId="2" borderId="22" xfId="0" applyFill="1" applyBorder="1"/>
    <xf numFmtId="0" fontId="1" fillId="2" borderId="23" xfId="0" applyFont="1" applyFill="1" applyBorder="1"/>
    <xf numFmtId="0" fontId="1" fillId="2" borderId="24" xfId="0" applyFont="1" applyFill="1" applyBorder="1"/>
    <xf numFmtId="0" fontId="0" fillId="0" borderId="22" xfId="0" applyBorder="1"/>
    <xf numFmtId="0" fontId="1" fillId="2" borderId="0" xfId="0" applyFont="1" applyFill="1"/>
    <xf numFmtId="0" fontId="1" fillId="2" borderId="22" xfId="0" applyFont="1" applyFill="1" applyBorder="1"/>
    <xf numFmtId="0" fontId="0" fillId="2" borderId="23" xfId="0" applyFill="1" applyBorder="1"/>
    <xf numFmtId="9" fontId="0" fillId="2" borderId="22" xfId="2" applyFont="1" applyFill="1" applyBorder="1"/>
    <xf numFmtId="0" fontId="0" fillId="0" borderId="0" xfId="0" applyAlignment="1">
      <alignment horizontal="left" indent="1"/>
    </xf>
    <xf numFmtId="10" fontId="0" fillId="0" borderId="22" xfId="2" applyNumberFormat="1" applyFont="1" applyFill="1" applyBorder="1"/>
    <xf numFmtId="10" fontId="0" fillId="2" borderId="22" xfId="2" applyNumberFormat="1" applyFont="1" applyFill="1" applyBorder="1"/>
    <xf numFmtId="167" fontId="0" fillId="2" borderId="22" xfId="2" applyNumberFormat="1" applyFont="1" applyFill="1" applyBorder="1"/>
    <xf numFmtId="9" fontId="0" fillId="2" borderId="25" xfId="2" applyFont="1" applyFill="1" applyBorder="1"/>
    <xf numFmtId="0" fontId="0" fillId="2" borderId="3" xfId="3" applyFont="1" applyFill="1" applyBorder="1" applyAlignment="1">
      <alignment horizontal="left" vertical="top" wrapText="1"/>
    </xf>
    <xf numFmtId="0" fontId="0" fillId="2" borderId="0" xfId="3" applyFont="1" applyFill="1" applyAlignment="1">
      <alignment horizontal="left" vertical="top" wrapText="1"/>
    </xf>
    <xf numFmtId="0" fontId="0" fillId="2" borderId="4" xfId="3" applyFont="1" applyFill="1" applyBorder="1" applyAlignment="1">
      <alignment horizontal="left" vertical="top" wrapText="1"/>
    </xf>
    <xf numFmtId="0" fontId="0" fillId="2" borderId="5" xfId="3" applyFont="1" applyFill="1" applyBorder="1" applyAlignment="1">
      <alignment horizontal="left" vertical="top" wrapText="1"/>
    </xf>
    <xf numFmtId="0" fontId="0" fillId="2" borderId="8" xfId="3" applyFont="1" applyFill="1" applyBorder="1" applyAlignment="1">
      <alignment horizontal="left" vertical="top" wrapText="1"/>
    </xf>
    <xf numFmtId="0" fontId="0" fillId="2" borderId="6" xfId="3" applyFont="1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4">
    <cellStyle name="Normal" xfId="0" builtinId="0"/>
    <cellStyle name="Normal 2 2" xfId="3" xr:uid="{2872509D-AF87-1B45-9A9F-7FCBAB311AAE}"/>
    <cellStyle name="Per cent" xfId="2" builtinId="5"/>
    <cellStyle name="Percent 2" xfId="1" xr:uid="{55BCEB96-C9CF-A345-B7D4-E94B43073090}"/>
  </cellStyles>
  <dxfs count="0"/>
  <tableStyles count="0" defaultTableStyle="TableStyleMedium2" defaultPivotStyle="PivotStyleLight16"/>
  <colors>
    <mruColors>
      <color rgb="FF92CDDC"/>
      <color rgb="FFEEEC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1104900</xdr:colOff>
      <xdr:row>0</xdr:row>
      <xdr:rowOff>0</xdr:rowOff>
    </xdr:from>
    <xdr:to>
      <xdr:col>7</xdr:col>
      <xdr:colOff>38100</xdr:colOff>
      <xdr:row>26</xdr:row>
      <xdr:rowOff>16667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0CD401-CF0A-5967-2BB8-64103DD99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3800" y="0"/>
          <a:ext cx="7772400" cy="52998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C7A7-E561-774D-BD9E-0A12BB62F1E2}">
  <sheetPr>
    <tabColor rgb="FFEEECE2"/>
  </sheetPr>
  <dimension ref="B2:H39"/>
  <sheetViews>
    <sheetView workbookViewId="0">
      <selection activeCell="F10" sqref="F10"/>
    </sheetView>
  </sheetViews>
  <sheetFormatPr baseColWidth="10" defaultRowHeight="16" x14ac:dyDescent="0.2"/>
  <cols>
    <col min="1" max="1" width="2.83203125" style="29" customWidth="1"/>
    <col min="2" max="2" width="14" style="29" customWidth="1"/>
    <col min="3" max="3" width="44" style="29" customWidth="1"/>
    <col min="4" max="4" width="9.33203125" style="29" customWidth="1"/>
    <col min="5" max="5" width="10.83203125" style="29"/>
    <col min="6" max="6" width="34.6640625" style="29" customWidth="1"/>
    <col min="7" max="7" width="4.5" style="29" customWidth="1"/>
    <col min="8" max="8" width="20.83203125" style="29" customWidth="1"/>
    <col min="9" max="16384" width="10.83203125" style="29"/>
  </cols>
  <sheetData>
    <row r="2" spans="2:8" ht="22" x14ac:dyDescent="0.3">
      <c r="B2" s="28" t="s">
        <v>21</v>
      </c>
    </row>
    <row r="4" spans="2:8" x14ac:dyDescent="0.2">
      <c r="B4" s="30" t="s">
        <v>22</v>
      </c>
      <c r="C4" s="31" t="s">
        <v>23</v>
      </c>
      <c r="D4" s="32"/>
      <c r="F4" s="33"/>
      <c r="H4" s="33"/>
    </row>
    <row r="5" spans="2:8" x14ac:dyDescent="0.2">
      <c r="B5" s="34" t="s">
        <v>24</v>
      </c>
      <c r="C5" s="35">
        <v>1</v>
      </c>
      <c r="D5" s="36"/>
    </row>
    <row r="6" spans="2:8" x14ac:dyDescent="0.2">
      <c r="B6" s="34" t="s">
        <v>25</v>
      </c>
      <c r="C6" s="37" t="s">
        <v>26</v>
      </c>
      <c r="D6" s="36"/>
    </row>
    <row r="7" spans="2:8" x14ac:dyDescent="0.2">
      <c r="B7" s="34" t="s">
        <v>27</v>
      </c>
      <c r="C7" s="37">
        <v>2023</v>
      </c>
      <c r="D7" s="36"/>
    </row>
    <row r="8" spans="2:8" x14ac:dyDescent="0.2">
      <c r="B8" s="34" t="s">
        <v>28</v>
      </c>
      <c r="C8" s="38">
        <v>45812</v>
      </c>
      <c r="D8" s="36"/>
    </row>
    <row r="9" spans="2:8" x14ac:dyDescent="0.2">
      <c r="B9" s="34" t="s">
        <v>29</v>
      </c>
      <c r="C9" s="39" t="s">
        <v>30</v>
      </c>
      <c r="D9" s="36"/>
    </row>
    <row r="10" spans="2:8" x14ac:dyDescent="0.2">
      <c r="B10" s="40" t="s">
        <v>31</v>
      </c>
      <c r="C10" s="41" t="s">
        <v>32</v>
      </c>
      <c r="D10" s="42"/>
    </row>
    <row r="12" spans="2:8" x14ac:dyDescent="0.2">
      <c r="B12" s="30" t="s">
        <v>33</v>
      </c>
      <c r="C12" s="43"/>
      <c r="D12" s="32"/>
    </row>
    <row r="13" spans="2:8" x14ac:dyDescent="0.2">
      <c r="B13" s="44"/>
      <c r="D13" s="36"/>
    </row>
    <row r="14" spans="2:8" x14ac:dyDescent="0.2">
      <c r="B14" s="44" t="s">
        <v>34</v>
      </c>
      <c r="C14" s="45" t="s">
        <v>35</v>
      </c>
      <c r="D14" s="36"/>
    </row>
    <row r="15" spans="2:8" ht="17" thickBot="1" x14ac:dyDescent="0.25">
      <c r="B15" s="44"/>
      <c r="C15" s="33" t="s">
        <v>36</v>
      </c>
      <c r="D15" s="36"/>
    </row>
    <row r="16" spans="2:8" ht="17" thickBot="1" x14ac:dyDescent="0.25">
      <c r="B16" s="44"/>
      <c r="C16" s="46" t="s">
        <v>37</v>
      </c>
      <c r="D16" s="36"/>
    </row>
    <row r="17" spans="2:4" x14ac:dyDescent="0.2">
      <c r="B17" s="44"/>
      <c r="C17" s="29" t="s">
        <v>38</v>
      </c>
      <c r="D17" s="36"/>
    </row>
    <row r="18" spans="2:4" x14ac:dyDescent="0.2">
      <c r="B18" s="44"/>
      <c r="D18" s="36"/>
    </row>
    <row r="19" spans="2:4" x14ac:dyDescent="0.2">
      <c r="B19" s="44" t="s">
        <v>39</v>
      </c>
      <c r="C19" s="47" t="s">
        <v>40</v>
      </c>
      <c r="D19" s="36"/>
    </row>
    <row r="20" spans="2:4" x14ac:dyDescent="0.2">
      <c r="B20" s="44"/>
      <c r="C20" s="48" t="s">
        <v>41</v>
      </c>
      <c r="D20" s="36"/>
    </row>
    <row r="21" spans="2:4" x14ac:dyDescent="0.2">
      <c r="B21" s="44"/>
      <c r="C21" s="49" t="s">
        <v>42</v>
      </c>
      <c r="D21" s="36"/>
    </row>
    <row r="22" spans="2:4" x14ac:dyDescent="0.2">
      <c r="B22" s="44"/>
      <c r="C22" s="50" t="s">
        <v>43</v>
      </c>
      <c r="D22" s="36"/>
    </row>
    <row r="23" spans="2:4" x14ac:dyDescent="0.2">
      <c r="B23" s="51"/>
      <c r="C23" s="52" t="s">
        <v>44</v>
      </c>
      <c r="D23" s="36"/>
    </row>
    <row r="24" spans="2:4" x14ac:dyDescent="0.2">
      <c r="B24" s="51"/>
      <c r="C24" s="53" t="s">
        <v>45</v>
      </c>
      <c r="D24" s="36"/>
    </row>
    <row r="25" spans="2:4" x14ac:dyDescent="0.2">
      <c r="B25" s="51"/>
      <c r="C25" s="54" t="s">
        <v>46</v>
      </c>
      <c r="D25" s="36"/>
    </row>
    <row r="26" spans="2:4" x14ac:dyDescent="0.2">
      <c r="B26" s="51"/>
      <c r="C26" s="55" t="s">
        <v>47</v>
      </c>
      <c r="D26" s="36"/>
    </row>
    <row r="27" spans="2:4" x14ac:dyDescent="0.2">
      <c r="B27" s="56"/>
      <c r="C27" s="41"/>
      <c r="D27" s="42"/>
    </row>
    <row r="29" spans="2:4" x14ac:dyDescent="0.2">
      <c r="B29" s="30" t="s">
        <v>48</v>
      </c>
      <c r="C29" s="43"/>
      <c r="D29" s="32"/>
    </row>
    <row r="30" spans="2:4" x14ac:dyDescent="0.2">
      <c r="B30" s="96"/>
      <c r="C30" s="97"/>
      <c r="D30" s="98"/>
    </row>
    <row r="31" spans="2:4" x14ac:dyDescent="0.2">
      <c r="B31" s="96"/>
      <c r="C31" s="97"/>
      <c r="D31" s="98"/>
    </row>
    <row r="32" spans="2:4" x14ac:dyDescent="0.2">
      <c r="B32" s="96"/>
      <c r="C32" s="97"/>
      <c r="D32" s="98"/>
    </row>
    <row r="33" spans="2:4" x14ac:dyDescent="0.2">
      <c r="B33" s="96"/>
      <c r="C33" s="97"/>
      <c r="D33" s="98"/>
    </row>
    <row r="34" spans="2:4" x14ac:dyDescent="0.2">
      <c r="B34" s="96"/>
      <c r="C34" s="97"/>
      <c r="D34" s="98"/>
    </row>
    <row r="35" spans="2:4" x14ac:dyDescent="0.2">
      <c r="B35" s="96"/>
      <c r="C35" s="97"/>
      <c r="D35" s="98"/>
    </row>
    <row r="36" spans="2:4" x14ac:dyDescent="0.2">
      <c r="B36" s="96"/>
      <c r="C36" s="97"/>
      <c r="D36" s="98"/>
    </row>
    <row r="37" spans="2:4" x14ac:dyDescent="0.2">
      <c r="B37" s="96"/>
      <c r="C37" s="97"/>
      <c r="D37" s="98"/>
    </row>
    <row r="38" spans="2:4" x14ac:dyDescent="0.2">
      <c r="B38" s="96"/>
      <c r="C38" s="97"/>
      <c r="D38" s="98"/>
    </row>
    <row r="39" spans="2:4" x14ac:dyDescent="0.2">
      <c r="B39" s="99"/>
      <c r="C39" s="100"/>
      <c r="D39" s="101"/>
    </row>
  </sheetData>
  <mergeCells count="1">
    <mergeCell ref="B30:D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B5103-0C1C-1C4A-A68E-C608B057CD10}">
  <sheetPr>
    <tabColor rgb="FFFFFF00"/>
  </sheetPr>
  <dimension ref="B3:F31"/>
  <sheetViews>
    <sheetView topLeftCell="A4" workbookViewId="0">
      <selection activeCell="C20" sqref="C20"/>
    </sheetView>
  </sheetViews>
  <sheetFormatPr baseColWidth="10" defaultRowHeight="16" x14ac:dyDescent="0.2"/>
  <sheetData>
    <row r="3" spans="2:6" ht="22" x14ac:dyDescent="0.3">
      <c r="B3" s="57" t="s">
        <v>41</v>
      </c>
      <c r="C3" s="1"/>
      <c r="D3" s="1"/>
      <c r="E3" s="1"/>
      <c r="F3" s="1"/>
    </row>
    <row r="4" spans="2:6" ht="22" x14ac:dyDescent="0.3">
      <c r="B4" s="57"/>
      <c r="C4" s="1"/>
      <c r="D4" s="1"/>
      <c r="E4" s="1"/>
      <c r="F4" s="1"/>
    </row>
    <row r="5" spans="2:6" x14ac:dyDescent="0.2">
      <c r="B5" s="58" t="s">
        <v>64</v>
      </c>
      <c r="C5" s="59"/>
      <c r="D5" s="59"/>
      <c r="E5" s="60"/>
      <c r="F5" s="1"/>
    </row>
    <row r="6" spans="2:6" x14ac:dyDescent="0.2">
      <c r="B6" s="102" t="s">
        <v>65</v>
      </c>
      <c r="C6" s="103"/>
      <c r="D6" s="103"/>
      <c r="E6" s="104"/>
      <c r="F6" s="61"/>
    </row>
    <row r="7" spans="2:6" ht="17" thickBot="1" x14ac:dyDescent="0.25">
      <c r="B7" s="1"/>
      <c r="C7" s="1"/>
      <c r="D7" s="1"/>
      <c r="E7" s="1"/>
      <c r="F7" s="1"/>
    </row>
    <row r="8" spans="2:6" x14ac:dyDescent="0.2">
      <c r="B8" s="62" t="s">
        <v>50</v>
      </c>
      <c r="C8" s="63"/>
      <c r="D8" s="63"/>
      <c r="E8" s="63"/>
      <c r="F8" s="82"/>
    </row>
    <row r="9" spans="2:6" x14ac:dyDescent="0.2">
      <c r="B9" s="64"/>
      <c r="C9" s="1"/>
      <c r="D9" s="1"/>
      <c r="E9" s="1"/>
      <c r="F9" s="83"/>
    </row>
    <row r="10" spans="2:6" x14ac:dyDescent="0.2">
      <c r="B10" s="65" t="s">
        <v>51</v>
      </c>
      <c r="C10" s="66" t="s">
        <v>52</v>
      </c>
      <c r="D10" s="66" t="s">
        <v>53</v>
      </c>
      <c r="E10" s="66" t="s">
        <v>54</v>
      </c>
      <c r="F10" s="84"/>
    </row>
    <row r="11" spans="2:6" x14ac:dyDescent="0.2">
      <c r="B11" s="67" t="s">
        <v>55</v>
      </c>
      <c r="C11" s="68"/>
      <c r="D11" s="68"/>
      <c r="E11" s="68"/>
      <c r="F11" s="85"/>
    </row>
    <row r="12" spans="2:6" x14ac:dyDescent="0.2">
      <c r="B12" s="69"/>
      <c r="C12" t="s">
        <v>25</v>
      </c>
      <c r="D12" s="70"/>
      <c r="E12" t="s">
        <v>26</v>
      </c>
      <c r="F12" s="86"/>
    </row>
    <row r="13" spans="2:6" x14ac:dyDescent="0.2">
      <c r="B13" s="69"/>
      <c r="C13" t="s">
        <v>56</v>
      </c>
      <c r="D13" s="70"/>
      <c r="E13">
        <v>2023</v>
      </c>
      <c r="F13" s="86"/>
    </row>
    <row r="14" spans="2:6" x14ac:dyDescent="0.2">
      <c r="B14" s="69"/>
      <c r="C14" s="87"/>
      <c r="D14" s="87"/>
      <c r="E14" s="87"/>
      <c r="F14" s="88"/>
    </row>
    <row r="15" spans="2:6" x14ac:dyDescent="0.2">
      <c r="B15" s="69"/>
      <c r="C15" s="87"/>
      <c r="D15" s="87"/>
      <c r="E15" s="87"/>
      <c r="F15" s="88"/>
    </row>
    <row r="16" spans="2:6" x14ac:dyDescent="0.2">
      <c r="B16" s="69"/>
      <c r="C16" s="87"/>
      <c r="D16" s="87"/>
      <c r="E16" s="87"/>
      <c r="F16" s="88"/>
    </row>
    <row r="17" spans="2:6" x14ac:dyDescent="0.2">
      <c r="B17" s="71"/>
      <c r="C17" s="72"/>
      <c r="D17" s="72"/>
      <c r="E17" s="72"/>
      <c r="F17" s="89"/>
    </row>
    <row r="18" spans="2:6" x14ac:dyDescent="0.2">
      <c r="B18" s="73" t="s">
        <v>57</v>
      </c>
      <c r="C18" s="1"/>
      <c r="D18" s="1"/>
      <c r="E18" s="74"/>
      <c r="F18" s="90"/>
    </row>
    <row r="19" spans="2:6" ht="17" thickBot="1" x14ac:dyDescent="0.25">
      <c r="B19" s="73"/>
      <c r="C19" s="1" t="s">
        <v>58</v>
      </c>
      <c r="D19" s="1"/>
      <c r="E19" s="1"/>
      <c r="F19" s="83"/>
    </row>
    <row r="20" spans="2:6" ht="17" thickBot="1" x14ac:dyDescent="0.25">
      <c r="B20" s="73"/>
      <c r="C20" s="91" t="s">
        <v>1</v>
      </c>
      <c r="D20" t="s">
        <v>59</v>
      </c>
      <c r="E20" s="75">
        <f>'Analysis Agriculture'!C30</f>
        <v>4.2032439725492267E-3</v>
      </c>
      <c r="F20" s="92"/>
    </row>
    <row r="21" spans="2:6" x14ac:dyDescent="0.2">
      <c r="B21" s="73"/>
      <c r="C21" s="91" t="s">
        <v>2</v>
      </c>
      <c r="D21" t="s">
        <v>59</v>
      </c>
      <c r="E21" s="76"/>
      <c r="F21" s="93"/>
    </row>
    <row r="22" spans="2:6" x14ac:dyDescent="0.2">
      <c r="B22" s="73"/>
      <c r="C22" s="91" t="s">
        <v>3</v>
      </c>
      <c r="D22" t="s">
        <v>59</v>
      </c>
      <c r="E22" s="76"/>
      <c r="F22" s="93"/>
    </row>
    <row r="23" spans="2:6" x14ac:dyDescent="0.2">
      <c r="B23" s="73"/>
      <c r="C23" s="91" t="s">
        <v>4</v>
      </c>
      <c r="D23" t="s">
        <v>59</v>
      </c>
      <c r="E23" s="76"/>
      <c r="F23" s="93"/>
    </row>
    <row r="24" spans="2:6" x14ac:dyDescent="0.2">
      <c r="B24" s="73"/>
      <c r="C24" s="91" t="s">
        <v>5</v>
      </c>
      <c r="D24" t="s">
        <v>59</v>
      </c>
      <c r="E24" s="76"/>
      <c r="F24" s="93"/>
    </row>
    <row r="25" spans="2:6" x14ac:dyDescent="0.2">
      <c r="B25" s="73"/>
      <c r="C25" s="91" t="s">
        <v>6</v>
      </c>
      <c r="D25" t="s">
        <v>59</v>
      </c>
      <c r="E25" s="76"/>
      <c r="F25" s="93"/>
    </row>
    <row r="26" spans="2:6" x14ac:dyDescent="0.2">
      <c r="B26" s="73"/>
      <c r="D26" s="1"/>
      <c r="E26" s="77"/>
      <c r="F26" s="94"/>
    </row>
    <row r="27" spans="2:6" x14ac:dyDescent="0.2">
      <c r="B27" s="73"/>
      <c r="C27" s="1" t="s">
        <v>60</v>
      </c>
      <c r="D27" s="1"/>
      <c r="E27" s="77"/>
      <c r="F27" s="94"/>
    </row>
    <row r="28" spans="2:6" x14ac:dyDescent="0.2">
      <c r="B28" s="73"/>
      <c r="C28" s="91" t="s">
        <v>61</v>
      </c>
      <c r="D28" t="s">
        <v>17</v>
      </c>
      <c r="E28" s="78"/>
      <c r="F28" s="94"/>
    </row>
    <row r="29" spans="2:6" x14ac:dyDescent="0.2">
      <c r="B29" s="73"/>
      <c r="C29" s="91" t="s">
        <v>62</v>
      </c>
      <c r="D29" t="s">
        <v>17</v>
      </c>
      <c r="E29" s="78"/>
      <c r="F29" s="94"/>
    </row>
    <row r="30" spans="2:6" x14ac:dyDescent="0.2">
      <c r="B30" s="73"/>
      <c r="C30" s="91" t="s">
        <v>63</v>
      </c>
      <c r="D30" t="s">
        <v>17</v>
      </c>
      <c r="E30" s="78"/>
      <c r="F30" s="94"/>
    </row>
    <row r="31" spans="2:6" ht="17" thickBot="1" x14ac:dyDescent="0.25">
      <c r="B31" s="79"/>
      <c r="C31" s="80"/>
      <c r="D31" s="80"/>
      <c r="E31" s="81"/>
      <c r="F31" s="95"/>
    </row>
  </sheetData>
  <mergeCells count="1">
    <mergeCell ref="B6:E6"/>
  </mergeCells>
  <dataValidations count="1">
    <dataValidation type="decimal" allowBlank="1" showInputMessage="1" showErrorMessage="1" sqref="E20:F25" xr:uid="{4F448C6F-3BA2-AD4B-ADD2-1E95D95BDC44}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8E77-7836-5147-BCFA-2DD3F3343BDC}">
  <sheetPr>
    <tabColor rgb="FF92CDDC"/>
  </sheetPr>
  <dimension ref="B2:G44"/>
  <sheetViews>
    <sheetView tabSelected="1" zoomScale="108" workbookViewId="0">
      <selection activeCell="G42" sqref="G42"/>
    </sheetView>
  </sheetViews>
  <sheetFormatPr baseColWidth="10" defaultRowHeight="16" x14ac:dyDescent="0.2"/>
  <cols>
    <col min="2" max="2" width="34.83203125" bestFit="1" customWidth="1"/>
    <col min="3" max="3" width="22.1640625" customWidth="1"/>
    <col min="4" max="4" width="21.33203125" customWidth="1"/>
    <col min="5" max="5" width="24.5" customWidth="1"/>
    <col min="6" max="6" width="27" customWidth="1"/>
    <col min="7" max="7" width="43.1640625" bestFit="1" customWidth="1"/>
  </cols>
  <sheetData>
    <row r="2" spans="2:2" x14ac:dyDescent="0.2">
      <c r="B2" t="s">
        <v>49</v>
      </c>
    </row>
    <row r="19" spans="2:7" x14ac:dyDescent="0.2">
      <c r="B19" t="s">
        <v>15</v>
      </c>
      <c r="C19">
        <v>0.3</v>
      </c>
      <c r="D19" t="s">
        <v>16</v>
      </c>
    </row>
    <row r="20" spans="2:7" x14ac:dyDescent="0.2">
      <c r="B20" t="s">
        <v>15</v>
      </c>
      <c r="C20">
        <f>C19*1000</f>
        <v>300</v>
      </c>
      <c r="D20" t="s">
        <v>17</v>
      </c>
    </row>
    <row r="21" spans="2:7" x14ac:dyDescent="0.2">
      <c r="B21" t="s">
        <v>18</v>
      </c>
      <c r="C21">
        <v>23</v>
      </c>
      <c r="D21" s="26" t="s">
        <v>19</v>
      </c>
    </row>
    <row r="22" spans="2:7" x14ac:dyDescent="0.2">
      <c r="B22" t="s">
        <v>20</v>
      </c>
      <c r="C22" s="27">
        <f>C20/(C21-1)</f>
        <v>13.636363636363637</v>
      </c>
    </row>
    <row r="23" spans="2:7" x14ac:dyDescent="0.2">
      <c r="C23">
        <f>C20/0.9565*0.0435</f>
        <v>13.643491897543125</v>
      </c>
    </row>
    <row r="25" spans="2:7" x14ac:dyDescent="0.2">
      <c r="B25" t="s">
        <v>15</v>
      </c>
      <c r="C25">
        <v>0.3</v>
      </c>
      <c r="D25" t="s">
        <v>16</v>
      </c>
    </row>
    <row r="26" spans="2:7" x14ac:dyDescent="0.2">
      <c r="B26" t="s">
        <v>15</v>
      </c>
      <c r="C26">
        <f>C25*1000</f>
        <v>300</v>
      </c>
      <c r="D26" t="s">
        <v>17</v>
      </c>
    </row>
    <row r="29" spans="2:7" x14ac:dyDescent="0.2">
      <c r="B29" s="105" t="s">
        <v>0</v>
      </c>
      <c r="C29" s="106"/>
      <c r="D29" s="1"/>
      <c r="E29" s="1"/>
      <c r="F29" s="1"/>
      <c r="G29" s="1"/>
    </row>
    <row r="30" spans="2:7" x14ac:dyDescent="0.2">
      <c r="B30" s="2" t="s">
        <v>1</v>
      </c>
      <c r="C30" s="22">
        <f>VLOOKUP(B30,B$39:F$44,5,FALSE)</f>
        <v>4.2032439725492267E-3</v>
      </c>
      <c r="D30" s="1"/>
      <c r="E30" s="1"/>
      <c r="F30" s="1"/>
      <c r="G30" s="1"/>
    </row>
    <row r="31" spans="2:7" x14ac:dyDescent="0.2">
      <c r="B31" s="2" t="s">
        <v>2</v>
      </c>
      <c r="C31" s="23">
        <f t="shared" ref="C31:C35" si="0">VLOOKUP(B31,B$39:F$44,5,FALSE)</f>
        <v>0.17266217535748504</v>
      </c>
      <c r="D31" s="1"/>
      <c r="E31" s="1"/>
      <c r="F31" s="1"/>
      <c r="G31" s="1"/>
    </row>
    <row r="32" spans="2:7" x14ac:dyDescent="0.2">
      <c r="B32" s="2" t="s">
        <v>3</v>
      </c>
      <c r="C32" s="23">
        <f>VLOOKUP(B32,B$39:F$44,5,FALSE)</f>
        <v>7.9798943651840523E-2</v>
      </c>
      <c r="D32" s="1"/>
      <c r="E32" s="1"/>
      <c r="F32" s="1"/>
      <c r="G32" s="1"/>
    </row>
    <row r="33" spans="2:7" x14ac:dyDescent="0.2">
      <c r="B33" s="2" t="s">
        <v>4</v>
      </c>
      <c r="C33" s="23">
        <f t="shared" si="0"/>
        <v>3.0520905544266414E-2</v>
      </c>
      <c r="D33" s="1"/>
      <c r="E33" s="1"/>
      <c r="F33" s="1"/>
      <c r="G33" s="1"/>
    </row>
    <row r="34" spans="2:7" x14ac:dyDescent="0.2">
      <c r="B34" s="2" t="s">
        <v>5</v>
      </c>
      <c r="C34" s="23">
        <f t="shared" si="0"/>
        <v>9.5057349287785559E-2</v>
      </c>
      <c r="D34" s="1"/>
      <c r="E34" s="1"/>
      <c r="F34" s="1"/>
      <c r="G34" s="1"/>
    </row>
    <row r="35" spans="2:7" x14ac:dyDescent="0.2">
      <c r="B35" s="3" t="s">
        <v>6</v>
      </c>
      <c r="C35" s="24">
        <f t="shared" si="0"/>
        <v>0.61775738218607312</v>
      </c>
      <c r="D35" s="1"/>
      <c r="E35" s="1"/>
      <c r="F35" s="1"/>
      <c r="G35" s="1"/>
    </row>
    <row r="36" spans="2:7" x14ac:dyDescent="0.2">
      <c r="B36" s="1"/>
      <c r="C36" s="1"/>
      <c r="D36" s="1"/>
      <c r="E36" s="1"/>
      <c r="F36" s="1"/>
      <c r="G36" s="1"/>
    </row>
    <row r="37" spans="2:7" x14ac:dyDescent="0.2">
      <c r="B37" s="1"/>
      <c r="C37" s="1"/>
      <c r="D37" s="1"/>
      <c r="E37" s="1"/>
      <c r="F37" s="1"/>
      <c r="G37" s="1"/>
    </row>
    <row r="38" spans="2:7" ht="34" x14ac:dyDescent="0.2">
      <c r="B38" s="4" t="s">
        <v>7</v>
      </c>
      <c r="C38" s="5" t="s">
        <v>8</v>
      </c>
      <c r="D38" s="25" t="s">
        <v>9</v>
      </c>
      <c r="E38" s="6" t="s">
        <v>10</v>
      </c>
      <c r="F38" s="6" t="s">
        <v>11</v>
      </c>
      <c r="G38" s="7" t="s">
        <v>12</v>
      </c>
    </row>
    <row r="39" spans="2:7" x14ac:dyDescent="0.2">
      <c r="B39" s="8" t="s">
        <v>2</v>
      </c>
      <c r="C39" s="9">
        <v>14315.17</v>
      </c>
      <c r="D39" s="10">
        <v>0.9</v>
      </c>
      <c r="E39" s="11">
        <f t="shared" ref="E39:E44" si="1">C39*D39</f>
        <v>12883.653</v>
      </c>
      <c r="F39" s="12">
        <f>E39/SUM(E$39:E$44)</f>
        <v>0.17266217535748504</v>
      </c>
      <c r="G39" s="13" t="s">
        <v>13</v>
      </c>
    </row>
    <row r="40" spans="2:7" x14ac:dyDescent="0.2">
      <c r="B40" s="8" t="s">
        <v>3</v>
      </c>
      <c r="C40" s="9">
        <v>7550.04</v>
      </c>
      <c r="D40" s="10">
        <v>0.78865979381443296</v>
      </c>
      <c r="E40" s="11">
        <f t="shared" si="1"/>
        <v>5954.4129896907216</v>
      </c>
      <c r="F40" s="12">
        <f t="shared" ref="F40:F43" si="2">E40/SUM(E$39:E$44)</f>
        <v>7.9798943651840523E-2</v>
      </c>
      <c r="G40" s="13" t="s">
        <v>13</v>
      </c>
    </row>
    <row r="41" spans="2:7" x14ac:dyDescent="0.2">
      <c r="B41" s="8" t="s">
        <v>4</v>
      </c>
      <c r="C41" s="9">
        <v>2993.33</v>
      </c>
      <c r="D41" s="10">
        <v>0.76082474226804098</v>
      </c>
      <c r="E41" s="11">
        <f t="shared" si="1"/>
        <v>2277.3995257731949</v>
      </c>
      <c r="F41" s="12">
        <f t="shared" si="2"/>
        <v>3.0520905544266414E-2</v>
      </c>
      <c r="G41" s="13" t="s">
        <v>13</v>
      </c>
    </row>
    <row r="42" spans="2:7" ht="51" x14ac:dyDescent="0.2">
      <c r="B42" s="8" t="s">
        <v>5</v>
      </c>
      <c r="C42" s="9">
        <v>295.54000000000002</v>
      </c>
      <c r="D42" s="10">
        <v>23.999999999999982</v>
      </c>
      <c r="E42" s="11">
        <f t="shared" si="1"/>
        <v>7092.9599999999955</v>
      </c>
      <c r="F42" s="12">
        <f t="shared" si="2"/>
        <v>9.5057349287785559E-2</v>
      </c>
      <c r="G42" s="14" t="s">
        <v>14</v>
      </c>
    </row>
    <row r="43" spans="2:7" x14ac:dyDescent="0.2">
      <c r="B43" s="8" t="s">
        <v>6</v>
      </c>
      <c r="C43" s="9">
        <v>46095.63</v>
      </c>
      <c r="D43" s="15">
        <v>1</v>
      </c>
      <c r="E43" s="11">
        <f t="shared" si="1"/>
        <v>46095.63</v>
      </c>
      <c r="F43" s="12">
        <f t="shared" si="2"/>
        <v>0.61775738218607312</v>
      </c>
      <c r="G43" s="13" t="s">
        <v>13</v>
      </c>
    </row>
    <row r="44" spans="2:7" x14ac:dyDescent="0.2">
      <c r="B44" s="16" t="s">
        <v>1</v>
      </c>
      <c r="C44" s="17">
        <f>C22</f>
        <v>13.636363636363637</v>
      </c>
      <c r="D44" s="18">
        <v>23</v>
      </c>
      <c r="E44" s="19">
        <f t="shared" si="1"/>
        <v>313.63636363636363</v>
      </c>
      <c r="F44" s="20">
        <f>E44/SUM(E$39:E$44)</f>
        <v>4.2032439725492267E-3</v>
      </c>
      <c r="G44" s="21"/>
    </row>
  </sheetData>
  <mergeCells count="1">
    <mergeCell ref="B29:C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Coversheet</vt:lpstr>
      <vt:lpstr>Dashboard</vt:lpstr>
      <vt:lpstr>Analysis Agriculture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Kerpel</dc:creator>
  <cp:lastModifiedBy>Kyra de Haan</cp:lastModifiedBy>
  <dcterms:created xsi:type="dcterms:W3CDTF">2025-05-26T08:58:45Z</dcterms:created>
  <dcterms:modified xsi:type="dcterms:W3CDTF">2025-07-14T13:29:21Z</dcterms:modified>
</cp:coreProperties>
</file>