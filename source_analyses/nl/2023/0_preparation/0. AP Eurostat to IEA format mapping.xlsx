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nl/2023/0_preparation/"/>
    </mc:Choice>
  </mc:AlternateContent>
  <xr:revisionPtr revIDLastSave="0" documentId="13_ncr:1_{F9BD435B-3CF6-414F-A3BF-3C8482F7D9DA}" xr6:coauthVersionLast="47" xr6:coauthVersionMax="47" xr10:uidLastSave="{00000000-0000-0000-0000-000000000000}"/>
  <bookViews>
    <workbookView xWindow="14480" yWindow="-33340" windowWidth="30080" windowHeight="32400" activeTab="6" xr2:uid="{E86455EC-ABBF-054B-A563-AC873FF853A8}"/>
  </bookViews>
  <sheets>
    <sheet name="Cover Sheet" sheetId="20" r:id="rId1"/>
    <sheet name="Contents" sheetId="4" r:id="rId2"/>
    <sheet name="EUROSTAT AP Electricity GWh" sheetId="31" r:id="rId3"/>
    <sheet name="EUROSTAT AP Heat TJ" sheetId="32" r:id="rId4"/>
    <sheet name="EUROSTAT AP plants and products" sheetId="34" r:id="rId5"/>
    <sheet name="EUROSTAT AP flows" sheetId="35" r:id="rId6"/>
    <sheet name="autoproducer_table" sheetId="33" r:id="rId7"/>
  </sheets>
  <externalReferences>
    <externalReference r:id="rId8"/>
    <externalReference r:id="rId9"/>
    <externalReference r:id="rId10"/>
  </externalReferences>
  <definedNames>
    <definedName name="base_year" localSheetId="0">[1]Dashboard!$E$14</definedName>
    <definedName name="base_year">[2]Dashboard!$E$13</definedName>
    <definedName name="BKB_plants">'[2]CEB allocation factors step 1'!$D$55</definedName>
    <definedName name="BKB_plants_carriers">'[2]CEB allocation factors step 1'!$F$17:$AT$17</definedName>
    <definedName name="blast_furnaces">'[2]CEB allocation factors step 1'!$D$50</definedName>
    <definedName name="blast_furnaces_carriers">'[2]CEB allocation factors step 1'!$F$12:$AT$12</definedName>
    <definedName name="charcoal_production_plants">'[2]CEB allocation factors step 1'!$D$63</definedName>
    <definedName name="charcoal_production_plants_carriers">'[2]CEB allocation factors step 1'!$F$25:$AT$25</definedName>
    <definedName name="chemical_and_petrochemical">'[2]CEB allocation factors step 1'!$D$69</definedName>
    <definedName name="chemical_and_petrochemical_carriers">'[2]CEB allocation factors step 1'!$F$31:$BC$31</definedName>
    <definedName name="coal_liquefaction_plants">'[2]CEB allocation factors step 1'!$D$57</definedName>
    <definedName name="coal_liquefaction_plants_carriers">'[2]CEB allocation factors step 1'!$F$19:$AT$19</definedName>
    <definedName name="coal_mines">'[2]CEB allocation factors step 1'!$D$48</definedName>
    <definedName name="coal_mines_carriers">'[2]CEB allocation factors step 1'!$F$10:$AT$10</definedName>
    <definedName name="coke_ovens">'[2]CEB allocation factors step 1'!$D$53</definedName>
    <definedName name="coke_ovens_carriers">'[2]CEB allocation factors step 1'!$F$15:$AT$15</definedName>
    <definedName name="construction">'[2]CEB allocation factors step 1'!$D$78</definedName>
    <definedName name="construction_carriers">'[2]CEB allocation factors step 1'!$F$40:$BC$40</definedName>
    <definedName name="country" localSheetId="0">[1]Dashboard!$E$13</definedName>
    <definedName name="country">[2]Dashboard!$E$12</definedName>
    <definedName name="ei_subsector_allo">'[2]CEB allocation factors step 2'!#REF!</definedName>
    <definedName name="food">'[2]CEB allocation factors step 1'!$D$75</definedName>
    <definedName name="food_carriers">'[2]CEB allocation factors step 1'!$F$37:$BC$37</definedName>
    <definedName name="gas_to_liquids_plants">'[2]CEB allocation factors step 1'!$D$59</definedName>
    <definedName name="gas_to_liquids_plants_carriers">'[2]CEB allocation factors step 1'!$F$21:$AT$21</definedName>
    <definedName name="gas_works">'[2]CEB allocation factors step 1'!$D$51</definedName>
    <definedName name="gas_works_carriers">'[2]CEB allocation factors step 1'!$F$13:$AT$13</definedName>
    <definedName name="gasification_plants">'[2]CEB allocation factors step 1'!$D$52</definedName>
    <definedName name="gasification_plants_carriers">'[2]CEB allocation factors step 1'!$F$14:$AT$14</definedName>
    <definedName name="i_subsector_allo">'[2]CEB allocation factors step 2'!#REF!</definedName>
    <definedName name="iron_and_steel">'[2]CEB allocation factors step 1'!$D$68</definedName>
    <definedName name="iron_and_steel_carriers">'[2]CEB allocation factors step 1'!$F$30:$BC$30</definedName>
    <definedName name="kWh_MJ_conversion">[2]Assumptions!$C$173</definedName>
    <definedName name="LangChoice">'[3]Main Menu'!$L$3</definedName>
    <definedName name="Liquefaction_regasification_plants">'[2]CEB allocation factors step 1'!$D$58</definedName>
    <definedName name="Liquefaction_regasification_plants_carriers">'[2]CEB allocation factors step 1'!$F$20:$AT$20</definedName>
    <definedName name="machinery">'[2]CEB allocation factors step 1'!$D$73</definedName>
    <definedName name="machinery_carriers">'[2]CEB allocation factors step 1'!$F$35:$BC$35</definedName>
    <definedName name="mining">'[2]CEB allocation factors step 1'!$D$74</definedName>
    <definedName name="mining_carriers">'[2]CEB allocation factors step 1'!$F$36:$BC$36</definedName>
    <definedName name="net_gross_conv">'[2]AP net-gross conversion'!$D$12</definedName>
    <definedName name="non_ferrous_metals">'[2]CEB allocation factors step 1'!$D$70</definedName>
    <definedName name="non_ferrous_metals_carriers">'[2]CEB allocation factors step 1'!$F$32:$BC$32</definedName>
    <definedName name="non_metallic_minerals">'[2]CEB allocation factors step 1'!$D$71</definedName>
    <definedName name="non_metallic_minerals_carriers">'[2]CEB allocation factors step 1'!$F$33:$BC$33</definedName>
    <definedName name="non_specified">'[2]CEB allocation factors step 1'!$D$64</definedName>
    <definedName name="non_specified_energy_carriers">'[2]CEB allocation factors step 1'!$F$26:$AT$26</definedName>
    <definedName name="non_specified_industry">'[2]CEB allocation factors step 1'!$D$80</definedName>
    <definedName name="non_specified_industry_carriers">'[2]CEB allocation factors step 1'!$F$42:$BC$42</definedName>
    <definedName name="oil_and_gas_extraction">'[2]CEB allocation factors step 1'!$D$49</definedName>
    <definedName name="oil_and_gas_extraction_carriers">'[2]CEB allocation factors step 1'!$F$11:$AT$11</definedName>
    <definedName name="oil_refineries">'[2]CEB allocation factors step 1'!$D$56</definedName>
    <definedName name="oil_refineries_carriers">'[2]CEB allocation factors step 1'!$F$18:$AT$18</definedName>
    <definedName name="paper">'[2]CEB allocation factors step 1'!$D$76</definedName>
    <definedName name="paper_carriers">'[2]CEB allocation factors step 1'!$F$38:$BC$38</definedName>
    <definedName name="patent_fuel_plants">'[2]CEB allocation factors step 1'!$D$54</definedName>
    <definedName name="patent_fuel_plants_carriers">'[2]CEB allocation factors step 1'!$F$16:$AT$16</definedName>
    <definedName name="switch_decc">'[2]Fuel allocation'!$C$130</definedName>
    <definedName name="switch_iea">'[2]Fuel allocation'!$C$89</definedName>
    <definedName name="switch_protermo">'[2]Fuel allocation'!$C$48</definedName>
    <definedName name="textile">'[2]CEB allocation factors step 1'!$D$79</definedName>
    <definedName name="textile_carriers">'[2]CEB allocation factors step 1'!$F$41:$BC$41</definedName>
    <definedName name="transport_equipment">'[2]CEB allocation factors step 1'!$D$72</definedName>
    <definedName name="transport_equipment_carriers">'[2]CEB allocation factors step 1'!$F$34:$BC$34</definedName>
    <definedName name="wood_products">'[2]CEB allocation factors step 1'!$D$77</definedName>
    <definedName name="wood_products_carriers">'[2]CEB allocation factors step 1'!$F$39:$BC$39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3" l="1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AH3" i="33"/>
  <c r="AI3" i="33"/>
  <c r="AJ3" i="33"/>
  <c r="AK3" i="33"/>
  <c r="AL3" i="33"/>
  <c r="AM3" i="33"/>
  <c r="AN3" i="33"/>
  <c r="AO3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AL4" i="33"/>
  <c r="AM4" i="33"/>
  <c r="AN4" i="33"/>
  <c r="AO4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H5" i="33"/>
  <c r="AI5" i="33"/>
  <c r="AJ5" i="33"/>
  <c r="AK5" i="33"/>
  <c r="AL5" i="33"/>
  <c r="AM5" i="33"/>
  <c r="AN5" i="33"/>
  <c r="AO5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AH6" i="33"/>
  <c r="AI6" i="33"/>
  <c r="AJ6" i="33"/>
  <c r="AK6" i="33"/>
  <c r="AL6" i="33"/>
  <c r="AM6" i="33"/>
  <c r="AN6" i="33"/>
  <c r="AO6" i="33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B4" i="33"/>
  <c r="B5" i="33"/>
  <c r="B6" i="33"/>
  <c r="B7" i="33"/>
  <c r="B8" i="33"/>
  <c r="B9" i="33"/>
  <c r="B10" i="33"/>
  <c r="B3" i="33"/>
  <c r="D4" i="35" a="1"/>
  <c r="D4" i="35" s="1"/>
  <c r="E4" i="35" a="1"/>
  <c r="E4" i="35"/>
  <c r="F4" i="35" a="1"/>
  <c r="F4" i="35"/>
  <c r="G4" i="35" a="1"/>
  <c r="G4" i="35"/>
  <c r="H4" i="35" a="1"/>
  <c r="H4" i="35" s="1"/>
  <c r="I4" i="35" a="1"/>
  <c r="I4" i="35"/>
  <c r="J4" i="35" a="1"/>
  <c r="J4" i="35"/>
  <c r="K4" i="35" a="1"/>
  <c r="K4" i="35"/>
  <c r="L4" i="35" a="1"/>
  <c r="L4" i="35" s="1"/>
  <c r="M4" i="35" a="1"/>
  <c r="M4" i="35"/>
  <c r="N4" i="35" a="1"/>
  <c r="N4" i="35"/>
  <c r="O4" i="35" a="1"/>
  <c r="O4" i="35"/>
  <c r="P4" i="35" a="1"/>
  <c r="P4" i="35" s="1"/>
  <c r="Q4" i="35" a="1"/>
  <c r="Q4" i="35"/>
  <c r="R4" i="35" a="1"/>
  <c r="R4" i="35"/>
  <c r="S4" i="35" a="1"/>
  <c r="S4" i="35"/>
  <c r="T4" i="35" a="1"/>
  <c r="T4" i="35" s="1"/>
  <c r="U4" i="35" a="1"/>
  <c r="U4" i="35"/>
  <c r="V4" i="35" a="1"/>
  <c r="V4" i="35"/>
  <c r="W4" i="35" a="1"/>
  <c r="W4" i="35"/>
  <c r="X4" i="35" a="1"/>
  <c r="X4" i="35" s="1"/>
  <c r="Y4" i="35" a="1"/>
  <c r="Y4" i="35"/>
  <c r="Z4" i="35" a="1"/>
  <c r="Z4" i="35"/>
  <c r="AA4" i="35" a="1"/>
  <c r="AA4" i="35"/>
  <c r="AB4" i="35" a="1"/>
  <c r="AB4" i="35" s="1"/>
  <c r="AC4" i="35" a="1"/>
  <c r="AC4" i="35"/>
  <c r="AD4" i="35" a="1"/>
  <c r="AD4" i="35"/>
  <c r="AE4" i="35" a="1"/>
  <c r="AE4" i="35"/>
  <c r="AF4" i="35" a="1"/>
  <c r="AF4" i="35" s="1"/>
  <c r="AG4" i="35" a="1"/>
  <c r="AG4" i="35"/>
  <c r="AH4" i="35" a="1"/>
  <c r="AH4" i="35"/>
  <c r="AI4" i="35" a="1"/>
  <c r="AI4" i="35"/>
  <c r="AJ4" i="35" a="1"/>
  <c r="AJ4" i="35" s="1"/>
  <c r="AK4" i="35" a="1"/>
  <c r="AK4" i="35"/>
  <c r="AL4" i="35" a="1"/>
  <c r="AL4" i="35"/>
  <c r="AM4" i="35" a="1"/>
  <c r="AM4" i="35"/>
  <c r="AN4" i="35" a="1"/>
  <c r="AN4" i="35" s="1"/>
  <c r="AO4" i="35" a="1"/>
  <c r="AO4" i="35"/>
  <c r="AP4" i="35" a="1"/>
  <c r="AP4" i="35"/>
  <c r="D5" i="35" a="1"/>
  <c r="D5" i="35"/>
  <c r="E5" i="35" a="1"/>
  <c r="E5" i="35" s="1"/>
  <c r="F5" i="35" a="1"/>
  <c r="F5" i="35"/>
  <c r="G5" i="35" a="1"/>
  <c r="G5" i="35"/>
  <c r="H5" i="35" a="1"/>
  <c r="H5" i="35"/>
  <c r="I5" i="35" a="1"/>
  <c r="I5" i="35" s="1"/>
  <c r="J5" i="35" a="1"/>
  <c r="J5" i="35" s="1"/>
  <c r="K5" i="35" a="1"/>
  <c r="K5" i="35"/>
  <c r="L5" i="35" a="1"/>
  <c r="L5" i="35"/>
  <c r="M5" i="35" a="1"/>
  <c r="M5" i="35" s="1"/>
  <c r="N5" i="35" a="1"/>
  <c r="N5" i="35"/>
  <c r="O5" i="35" a="1"/>
  <c r="O5" i="35"/>
  <c r="P5" i="35" a="1"/>
  <c r="P5" i="35"/>
  <c r="Q5" i="35" a="1"/>
  <c r="Q5" i="35" s="1"/>
  <c r="R5" i="35" a="1"/>
  <c r="R5" i="35" s="1"/>
  <c r="S5" i="35" a="1"/>
  <c r="S5" i="35"/>
  <c r="T5" i="35" a="1"/>
  <c r="T5" i="35"/>
  <c r="U5" i="35" a="1"/>
  <c r="U5" i="35" s="1"/>
  <c r="V5" i="35" a="1"/>
  <c r="V5" i="35" s="1"/>
  <c r="W5" i="35" a="1"/>
  <c r="W5" i="35"/>
  <c r="X5" i="35" a="1"/>
  <c r="X5" i="35"/>
  <c r="Y5" i="35" a="1"/>
  <c r="Y5" i="35" s="1"/>
  <c r="Z5" i="35" a="1"/>
  <c r="Z5" i="35" s="1"/>
  <c r="AA5" i="35" a="1"/>
  <c r="AA5" i="35"/>
  <c r="AB5" i="35" a="1"/>
  <c r="AB5" i="35"/>
  <c r="AC5" i="35" a="1"/>
  <c r="AC5" i="35" s="1"/>
  <c r="AD5" i="35" a="1"/>
  <c r="AD5" i="35" s="1"/>
  <c r="AE5" i="35" a="1"/>
  <c r="AE5" i="35"/>
  <c r="AF5" i="35" a="1"/>
  <c r="AF5" i="35"/>
  <c r="AG5" i="35" a="1"/>
  <c r="AG5" i="35" s="1"/>
  <c r="AH5" i="35" a="1"/>
  <c r="AH5" i="35" s="1"/>
  <c r="AI5" i="35" a="1"/>
  <c r="AI5" i="35"/>
  <c r="AJ5" i="35" a="1"/>
  <c r="AJ5" i="35"/>
  <c r="AK5" i="35" a="1"/>
  <c r="AK5" i="35" s="1"/>
  <c r="AL5" i="35" a="1"/>
  <c r="AL5" i="35" s="1"/>
  <c r="AM5" i="35" a="1"/>
  <c r="AM5" i="35"/>
  <c r="AN5" i="35" a="1"/>
  <c r="AN5" i="35"/>
  <c r="AO5" i="35" a="1"/>
  <c r="AO5" i="35" s="1"/>
  <c r="AP5" i="35" a="1"/>
  <c r="AP5" i="35" s="1"/>
  <c r="D6" i="35" a="1"/>
  <c r="D6" i="35"/>
  <c r="E6" i="35" a="1"/>
  <c r="E6" i="35"/>
  <c r="F6" i="35" a="1"/>
  <c r="F6" i="35" s="1"/>
  <c r="G6" i="35" a="1"/>
  <c r="G6" i="35" s="1"/>
  <c r="H6" i="35" a="1"/>
  <c r="H6" i="35"/>
  <c r="I6" i="35" a="1"/>
  <c r="I6" i="35"/>
  <c r="J6" i="35" a="1"/>
  <c r="J6" i="35" s="1"/>
  <c r="K6" i="35" a="1"/>
  <c r="K6" i="35" s="1"/>
  <c r="L6" i="35" a="1"/>
  <c r="L6" i="35"/>
  <c r="M6" i="35" a="1"/>
  <c r="M6" i="35"/>
  <c r="N6" i="35" a="1"/>
  <c r="N6" i="35" s="1"/>
  <c r="O6" i="35" a="1"/>
  <c r="O6" i="35" s="1"/>
  <c r="P6" i="35" a="1"/>
  <c r="P6" i="35"/>
  <c r="Q6" i="35" a="1"/>
  <c r="Q6" i="35"/>
  <c r="R6" i="35" a="1"/>
  <c r="R6" i="35" s="1"/>
  <c r="S6" i="35" a="1"/>
  <c r="S6" i="35" s="1"/>
  <c r="T6" i="35" a="1"/>
  <c r="T6" i="35"/>
  <c r="U6" i="35" a="1"/>
  <c r="U6" i="35"/>
  <c r="V6" i="35" a="1"/>
  <c r="V6" i="35" s="1"/>
  <c r="W6" i="35" a="1"/>
  <c r="W6" i="35" s="1"/>
  <c r="X6" i="35" a="1"/>
  <c r="X6" i="35"/>
  <c r="Y6" i="35" a="1"/>
  <c r="Y6" i="35"/>
  <c r="Z6" i="35" a="1"/>
  <c r="Z6" i="35" s="1"/>
  <c r="AA6" i="35" a="1"/>
  <c r="AA6" i="35" s="1"/>
  <c r="AB6" i="35" a="1"/>
  <c r="AB6" i="35"/>
  <c r="AC6" i="35" a="1"/>
  <c r="AC6" i="35"/>
  <c r="AD6" i="35" a="1"/>
  <c r="AD6" i="35" s="1"/>
  <c r="AE6" i="35" a="1"/>
  <c r="AE6" i="35" s="1"/>
  <c r="AF6" i="35" a="1"/>
  <c r="AF6" i="35"/>
  <c r="AG6" i="35" a="1"/>
  <c r="AG6" i="35"/>
  <c r="AH6" i="35" a="1"/>
  <c r="AH6" i="35" s="1"/>
  <c r="AI6" i="35" a="1"/>
  <c r="AI6" i="35" s="1"/>
  <c r="AJ6" i="35" a="1"/>
  <c r="AJ6" i="35"/>
  <c r="AK6" i="35" a="1"/>
  <c r="AK6" i="35"/>
  <c r="AL6" i="35" a="1"/>
  <c r="AL6" i="35" s="1"/>
  <c r="AM6" i="35" a="1"/>
  <c r="AM6" i="35" s="1"/>
  <c r="AN6" i="35" a="1"/>
  <c r="AN6" i="35"/>
  <c r="AO6" i="35" a="1"/>
  <c r="AO6" i="35"/>
  <c r="AP6" i="35" a="1"/>
  <c r="AP6" i="35" s="1"/>
  <c r="D7" i="35" a="1"/>
  <c r="D7" i="35" s="1"/>
  <c r="E7" i="35" a="1"/>
  <c r="E7" i="35"/>
  <c r="F7" i="35" a="1"/>
  <c r="F7" i="35"/>
  <c r="G7" i="35" a="1"/>
  <c r="G7" i="35" s="1"/>
  <c r="H7" i="35" a="1"/>
  <c r="H7" i="35" s="1"/>
  <c r="I7" i="35" a="1"/>
  <c r="I7" i="35"/>
  <c r="J7" i="35" a="1"/>
  <c r="J7" i="35"/>
  <c r="K7" i="35" a="1"/>
  <c r="K7" i="35" s="1"/>
  <c r="L7" i="35" a="1"/>
  <c r="L7" i="35" s="1"/>
  <c r="M7" i="35" a="1"/>
  <c r="M7" i="35"/>
  <c r="N7" i="35" a="1"/>
  <c r="N7" i="35"/>
  <c r="O7" i="35" a="1"/>
  <c r="O7" i="35" s="1"/>
  <c r="P7" i="35" a="1"/>
  <c r="P7" i="35" s="1"/>
  <c r="Q7" i="35" a="1"/>
  <c r="Q7" i="35"/>
  <c r="R7" i="35" a="1"/>
  <c r="R7" i="35"/>
  <c r="S7" i="35" a="1"/>
  <c r="S7" i="35" s="1"/>
  <c r="T7" i="35" a="1"/>
  <c r="T7" i="35" s="1"/>
  <c r="U7" i="35" a="1"/>
  <c r="U7" i="35"/>
  <c r="V7" i="35" a="1"/>
  <c r="V7" i="35"/>
  <c r="W7" i="35" a="1"/>
  <c r="W7" i="35" s="1"/>
  <c r="X7" i="35" a="1"/>
  <c r="X7" i="35" s="1"/>
  <c r="Y7" i="35" a="1"/>
  <c r="Y7" i="35"/>
  <c r="Z7" i="35" a="1"/>
  <c r="Z7" i="35"/>
  <c r="AA7" i="35" a="1"/>
  <c r="AA7" i="35" s="1"/>
  <c r="AB7" i="35" a="1"/>
  <c r="AB7" i="35" s="1"/>
  <c r="AC7" i="35" a="1"/>
  <c r="AC7" i="35"/>
  <c r="AD7" i="35" a="1"/>
  <c r="AD7" i="35"/>
  <c r="AE7" i="35" a="1"/>
  <c r="AE7" i="35" s="1"/>
  <c r="AF7" i="35" a="1"/>
  <c r="AF7" i="35" s="1"/>
  <c r="AG7" i="35" a="1"/>
  <c r="AG7" i="35"/>
  <c r="AH7" i="35" a="1"/>
  <c r="AH7" i="35"/>
  <c r="AI7" i="35" a="1"/>
  <c r="AI7" i="35" s="1"/>
  <c r="AJ7" i="35" a="1"/>
  <c r="AJ7" i="35" s="1"/>
  <c r="AK7" i="35" a="1"/>
  <c r="AK7" i="35"/>
  <c r="AL7" i="35" a="1"/>
  <c r="AL7" i="35"/>
  <c r="AM7" i="35" a="1"/>
  <c r="AM7" i="35" s="1"/>
  <c r="AN7" i="35" a="1"/>
  <c r="AN7" i="35" s="1"/>
  <c r="AO7" i="35" a="1"/>
  <c r="AO7" i="35"/>
  <c r="AP7" i="35" a="1"/>
  <c r="AP7" i="35"/>
  <c r="D8" i="35" a="1"/>
  <c r="D8" i="35" s="1"/>
  <c r="E8" i="35" a="1"/>
  <c r="E8" i="35" s="1"/>
  <c r="F8" i="35" a="1"/>
  <c r="F8" i="35"/>
  <c r="G8" i="35" a="1"/>
  <c r="G8" i="35"/>
  <c r="H8" i="35" a="1"/>
  <c r="H8" i="35" s="1"/>
  <c r="I8" i="35" a="1"/>
  <c r="I8" i="35" s="1"/>
  <c r="J8" i="35" a="1"/>
  <c r="J8" i="35"/>
  <c r="K8" i="35" a="1"/>
  <c r="K8" i="35"/>
  <c r="L8" i="35" a="1"/>
  <c r="L8" i="35" s="1"/>
  <c r="M8" i="35" a="1"/>
  <c r="M8" i="35" s="1"/>
  <c r="N8" i="35" a="1"/>
  <c r="N8" i="35"/>
  <c r="O8" i="35" a="1"/>
  <c r="O8" i="35"/>
  <c r="P8" i="35" a="1"/>
  <c r="P8" i="35" s="1"/>
  <c r="Q8" i="35" a="1"/>
  <c r="Q8" i="35" s="1"/>
  <c r="R8" i="35" a="1"/>
  <c r="R8" i="35"/>
  <c r="S8" i="35" a="1"/>
  <c r="S8" i="35"/>
  <c r="T8" i="35" a="1"/>
  <c r="T8" i="35" s="1"/>
  <c r="U8" i="35" a="1"/>
  <c r="U8" i="35" s="1"/>
  <c r="V8" i="35" a="1"/>
  <c r="V8" i="35"/>
  <c r="W8" i="35" a="1"/>
  <c r="W8" i="35"/>
  <c r="X8" i="35" a="1"/>
  <c r="X8" i="35" s="1"/>
  <c r="Y8" i="35" a="1"/>
  <c r="Y8" i="35" s="1"/>
  <c r="Z8" i="35" a="1"/>
  <c r="Z8" i="35"/>
  <c r="AA8" i="35" a="1"/>
  <c r="AA8" i="35"/>
  <c r="AB8" i="35" a="1"/>
  <c r="AB8" i="35" s="1"/>
  <c r="AC8" i="35" a="1"/>
  <c r="AC8" i="35" s="1"/>
  <c r="AD8" i="35" a="1"/>
  <c r="AD8" i="35"/>
  <c r="AE8" i="35" a="1"/>
  <c r="AE8" i="35"/>
  <c r="AF8" i="35" a="1"/>
  <c r="AF8" i="35" s="1"/>
  <c r="AG8" i="35" a="1"/>
  <c r="AG8" i="35" s="1"/>
  <c r="AH8" i="35" a="1"/>
  <c r="AH8" i="35"/>
  <c r="AI8" i="35" a="1"/>
  <c r="AI8" i="35"/>
  <c r="AJ8" i="35" a="1"/>
  <c r="AJ8" i="35" s="1"/>
  <c r="AK8" i="35" a="1"/>
  <c r="AK8" i="35" s="1"/>
  <c r="AL8" i="35" a="1"/>
  <c r="AL8" i="35"/>
  <c r="AM8" i="35" a="1"/>
  <c r="AM8" i="35"/>
  <c r="AN8" i="35" a="1"/>
  <c r="AN8" i="35" s="1"/>
  <c r="AO8" i="35" a="1"/>
  <c r="AO8" i="35" s="1"/>
  <c r="AP8" i="35" a="1"/>
  <c r="AP8" i="35"/>
  <c r="D9" i="35" a="1"/>
  <c r="D9" i="35"/>
  <c r="E9" i="35" a="1"/>
  <c r="E9" i="35" s="1"/>
  <c r="F9" i="35" a="1"/>
  <c r="F9" i="35" s="1"/>
  <c r="G9" i="35" a="1"/>
  <c r="G9" i="35"/>
  <c r="H9" i="35" a="1"/>
  <c r="H9" i="35"/>
  <c r="I9" i="35" a="1"/>
  <c r="I9" i="35" s="1"/>
  <c r="J9" i="35" a="1"/>
  <c r="J9" i="35" s="1"/>
  <c r="K9" i="35" a="1"/>
  <c r="K9" i="35"/>
  <c r="L9" i="35" a="1"/>
  <c r="L9" i="35"/>
  <c r="M9" i="35" a="1"/>
  <c r="M9" i="35" s="1"/>
  <c r="N9" i="35" a="1"/>
  <c r="N9" i="35" s="1"/>
  <c r="O9" i="35" a="1"/>
  <c r="O9" i="35" s="1"/>
  <c r="P9" i="35" a="1"/>
  <c r="P9" i="35"/>
  <c r="Q9" i="35" a="1"/>
  <c r="Q9" i="35" s="1"/>
  <c r="R9" i="35" a="1"/>
  <c r="R9" i="35" s="1"/>
  <c r="S9" i="35" a="1"/>
  <c r="S9" i="35"/>
  <c r="T9" i="35" a="1"/>
  <c r="T9" i="35"/>
  <c r="U9" i="35" a="1"/>
  <c r="U9" i="35" s="1"/>
  <c r="V9" i="35" a="1"/>
  <c r="V9" i="35" s="1"/>
  <c r="W9" i="35" a="1"/>
  <c r="W9" i="35"/>
  <c r="X9" i="35" a="1"/>
  <c r="X9" i="35"/>
  <c r="Y9" i="35" a="1"/>
  <c r="Y9" i="35" s="1"/>
  <c r="Z9" i="35" a="1"/>
  <c r="Z9" i="35" s="1"/>
  <c r="AA9" i="35" a="1"/>
  <c r="AA9" i="35"/>
  <c r="AB9" i="35" a="1"/>
  <c r="AB9" i="35"/>
  <c r="AC9" i="35" a="1"/>
  <c r="AC9" i="35" s="1"/>
  <c r="AD9" i="35" a="1"/>
  <c r="AD9" i="35" s="1"/>
  <c r="AE9" i="35" a="1"/>
  <c r="AE9" i="35"/>
  <c r="AF9" i="35" a="1"/>
  <c r="AF9" i="35"/>
  <c r="AG9" i="35" a="1"/>
  <c r="AG9" i="35" s="1"/>
  <c r="AH9" i="35" a="1"/>
  <c r="AH9" i="35" s="1"/>
  <c r="AI9" i="35" a="1"/>
  <c r="AI9" i="35"/>
  <c r="AJ9" i="35" a="1"/>
  <c r="AJ9" i="35"/>
  <c r="AK9" i="35" a="1"/>
  <c r="AK9" i="35" s="1"/>
  <c r="AL9" i="35" a="1"/>
  <c r="AL9" i="35" s="1"/>
  <c r="AM9" i="35" a="1"/>
  <c r="AM9" i="35"/>
  <c r="AN9" i="35" a="1"/>
  <c r="AN9" i="35"/>
  <c r="AO9" i="35" a="1"/>
  <c r="AO9" i="35" s="1"/>
  <c r="AP9" i="35" a="1"/>
  <c r="AP9" i="35" s="1"/>
  <c r="D10" i="35" a="1"/>
  <c r="D10" i="35"/>
  <c r="E10" i="35" a="1"/>
  <c r="E10" i="35"/>
  <c r="F10" i="35" a="1"/>
  <c r="F10" i="35" s="1"/>
  <c r="G10" i="35" a="1"/>
  <c r="G10" i="35" s="1"/>
  <c r="H10" i="35" a="1"/>
  <c r="H10" i="35"/>
  <c r="I10" i="35" a="1"/>
  <c r="I10" i="35"/>
  <c r="J10" i="35" a="1"/>
  <c r="J10" i="35" s="1"/>
  <c r="K10" i="35" a="1"/>
  <c r="K10" i="35" s="1"/>
  <c r="L10" i="35" a="1"/>
  <c r="L10" i="35"/>
  <c r="M10" i="35" a="1"/>
  <c r="M10" i="35"/>
  <c r="N10" i="35" a="1"/>
  <c r="N10" i="35" s="1"/>
  <c r="O10" i="35" a="1"/>
  <c r="O10" i="35" s="1"/>
  <c r="P10" i="35" a="1"/>
  <c r="P10" i="35"/>
  <c r="Q10" i="35" a="1"/>
  <c r="Q10" i="35"/>
  <c r="R10" i="35" a="1"/>
  <c r="R10" i="35" s="1"/>
  <c r="S10" i="35" a="1"/>
  <c r="S10" i="35" s="1"/>
  <c r="T10" i="35" a="1"/>
  <c r="T10" i="35"/>
  <c r="U10" i="35" a="1"/>
  <c r="U10" i="35"/>
  <c r="V10" i="35" a="1"/>
  <c r="V10" i="35" s="1"/>
  <c r="W10" i="35" a="1"/>
  <c r="W10" i="35" s="1"/>
  <c r="X10" i="35" a="1"/>
  <c r="X10" i="35"/>
  <c r="Y10" i="35" a="1"/>
  <c r="Y10" i="35"/>
  <c r="Z10" i="35" a="1"/>
  <c r="Z10" i="35" s="1"/>
  <c r="AA10" i="35" a="1"/>
  <c r="AA10" i="35" s="1"/>
  <c r="AB10" i="35" a="1"/>
  <c r="AB10" i="35"/>
  <c r="AC10" i="35" a="1"/>
  <c r="AC10" i="35"/>
  <c r="AD10" i="35" a="1"/>
  <c r="AD10" i="35" s="1"/>
  <c r="AE10" i="35" a="1"/>
  <c r="AE10" i="35" s="1"/>
  <c r="AF10" i="35" a="1"/>
  <c r="AF10" i="35"/>
  <c r="AG10" i="35" a="1"/>
  <c r="AG10" i="35"/>
  <c r="AH10" i="35" a="1"/>
  <c r="AH10" i="35" s="1"/>
  <c r="AI10" i="35" a="1"/>
  <c r="AI10" i="35" s="1"/>
  <c r="AJ10" i="35" a="1"/>
  <c r="AJ10" i="35"/>
  <c r="AK10" i="35" a="1"/>
  <c r="AK10" i="35"/>
  <c r="AL10" i="35" a="1"/>
  <c r="AL10" i="35" s="1"/>
  <c r="AM10" i="35" a="1"/>
  <c r="AM10" i="35" s="1"/>
  <c r="AN10" i="35" a="1"/>
  <c r="AN10" i="35"/>
  <c r="AO10" i="35" a="1"/>
  <c r="AO10" i="35"/>
  <c r="AP10" i="35" a="1"/>
  <c r="AP10" i="35" s="1"/>
  <c r="D11" i="35" a="1"/>
  <c r="D11" i="35" s="1"/>
  <c r="E11" i="35" a="1"/>
  <c r="E11" i="35"/>
  <c r="F11" i="35" a="1"/>
  <c r="F11" i="35"/>
  <c r="G11" i="35" a="1"/>
  <c r="G11" i="35" s="1"/>
  <c r="H11" i="35" a="1"/>
  <c r="H11" i="35" s="1"/>
  <c r="I11" i="35" a="1"/>
  <c r="I11" i="35"/>
  <c r="J11" i="35" a="1"/>
  <c r="J11" i="35"/>
  <c r="K11" i="35" a="1"/>
  <c r="K11" i="35" s="1"/>
  <c r="L11" i="35" a="1"/>
  <c r="L11" i="35" s="1"/>
  <c r="M11" i="35" a="1"/>
  <c r="M11" i="35"/>
  <c r="N11" i="35" a="1"/>
  <c r="N11" i="35"/>
  <c r="O11" i="35" a="1"/>
  <c r="O11" i="35" s="1"/>
  <c r="P11" i="35" a="1"/>
  <c r="P11" i="35" s="1"/>
  <c r="Q11" i="35" a="1"/>
  <c r="Q11" i="35"/>
  <c r="R11" i="35" a="1"/>
  <c r="R11" i="35"/>
  <c r="S11" i="35" a="1"/>
  <c r="S11" i="35" s="1"/>
  <c r="T11" i="35" a="1"/>
  <c r="T11" i="35" s="1"/>
  <c r="U11" i="35" a="1"/>
  <c r="U11" i="35"/>
  <c r="V11" i="35" a="1"/>
  <c r="V11" i="35"/>
  <c r="W11" i="35" a="1"/>
  <c r="W11" i="35" s="1"/>
  <c r="X11" i="35" a="1"/>
  <c r="X11" i="35" s="1"/>
  <c r="Y11" i="35" a="1"/>
  <c r="Y11" i="35"/>
  <c r="Z11" i="35" a="1"/>
  <c r="Z11" i="35"/>
  <c r="AA11" i="35" a="1"/>
  <c r="AA11" i="35" s="1"/>
  <c r="AB11" i="35" a="1"/>
  <c r="AB11" i="35" s="1"/>
  <c r="AC11" i="35" a="1"/>
  <c r="AC11" i="35"/>
  <c r="AD11" i="35" a="1"/>
  <c r="AD11" i="35"/>
  <c r="AE11" i="35" a="1"/>
  <c r="AE11" i="35" s="1"/>
  <c r="AF11" i="35" a="1"/>
  <c r="AF11" i="35" s="1"/>
  <c r="AG11" i="35" a="1"/>
  <c r="AG11" i="35"/>
  <c r="AH11" i="35" a="1"/>
  <c r="AH11" i="35"/>
  <c r="AI11" i="35" a="1"/>
  <c r="AI11" i="35" s="1"/>
  <c r="AJ11" i="35" a="1"/>
  <c r="AJ11" i="35" s="1"/>
  <c r="AK11" i="35" a="1"/>
  <c r="AK11" i="35"/>
  <c r="AL11" i="35" a="1"/>
  <c r="AL11" i="35"/>
  <c r="AM11" i="35" a="1"/>
  <c r="AM11" i="35" s="1"/>
  <c r="AN11" i="35" a="1"/>
  <c r="AN11" i="35" s="1"/>
  <c r="AO11" i="35" a="1"/>
  <c r="AO11" i="35"/>
  <c r="AP11" i="35" a="1"/>
  <c r="AP11" i="35"/>
  <c r="C5" i="35" a="1"/>
  <c r="C5" i="35" s="1"/>
  <c r="C6" i="35" a="1"/>
  <c r="C6" i="35" s="1"/>
  <c r="C7" i="35" a="1"/>
  <c r="C7" i="35"/>
  <c r="C8" i="35" a="1"/>
  <c r="C8" i="35"/>
  <c r="C9" i="35" a="1"/>
  <c r="C9" i="35" s="1"/>
  <c r="C10" i="35" a="1"/>
  <c r="C10" i="35" s="1"/>
  <c r="C11" i="35" a="1"/>
  <c r="C11" i="35"/>
  <c r="C4" i="35" a="1"/>
  <c r="C4" i="35" s="1"/>
  <c r="N7" i="34" l="1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E7" i="34"/>
  <c r="F7" i="34"/>
  <c r="G7" i="34"/>
  <c r="H7" i="34"/>
  <c r="I7" i="34"/>
  <c r="J7" i="34"/>
  <c r="K7" i="34"/>
  <c r="L7" i="34"/>
  <c r="M7" i="34"/>
  <c r="E8" i="34"/>
  <c r="F8" i="34"/>
  <c r="G8" i="34"/>
  <c r="H8" i="34"/>
  <c r="I8" i="34"/>
  <c r="J8" i="34"/>
  <c r="K8" i="34"/>
  <c r="L8" i="34"/>
  <c r="M8" i="34"/>
  <c r="E9" i="34"/>
  <c r="F9" i="34"/>
  <c r="G9" i="34"/>
  <c r="H9" i="34"/>
  <c r="I9" i="34"/>
  <c r="J9" i="34"/>
  <c r="K9" i="34"/>
  <c r="L9" i="34"/>
  <c r="M9" i="34"/>
  <c r="E10" i="34"/>
  <c r="F10" i="34"/>
  <c r="G10" i="34"/>
  <c r="H10" i="34"/>
  <c r="I10" i="34"/>
  <c r="J10" i="34"/>
  <c r="K10" i="34"/>
  <c r="L10" i="34"/>
  <c r="M10" i="34"/>
  <c r="D8" i="34"/>
  <c r="D9" i="34"/>
  <c r="D10" i="34"/>
  <c r="D7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AC3" i="34"/>
  <c r="AD3" i="34"/>
  <c r="AE3" i="34"/>
  <c r="AF3" i="34"/>
  <c r="AG3" i="34"/>
  <c r="AH3" i="34"/>
  <c r="AI3" i="34"/>
  <c r="AJ3" i="34"/>
  <c r="AK3" i="34"/>
  <c r="AL3" i="34"/>
  <c r="AM3" i="34"/>
  <c r="AN3" i="34"/>
  <c r="AO3" i="34"/>
  <c r="AP3" i="34"/>
  <c r="AQ3" i="34"/>
  <c r="AR3" i="34"/>
  <c r="AS3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AC4" i="34"/>
  <c r="AD4" i="34"/>
  <c r="AE4" i="34"/>
  <c r="AF4" i="34"/>
  <c r="AG4" i="34"/>
  <c r="AH4" i="34"/>
  <c r="AI4" i="34"/>
  <c r="AJ4" i="34"/>
  <c r="AK4" i="34"/>
  <c r="AL4" i="34"/>
  <c r="AM4" i="34"/>
  <c r="AN4" i="34"/>
  <c r="AO4" i="34"/>
  <c r="AP4" i="34"/>
  <c r="AQ4" i="34"/>
  <c r="AR4" i="34"/>
  <c r="AS4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AG5" i="34"/>
  <c r="AH5" i="34"/>
  <c r="AI5" i="34"/>
  <c r="AJ5" i="34"/>
  <c r="AK5" i="34"/>
  <c r="AL5" i="34"/>
  <c r="AM5" i="34"/>
  <c r="AN5" i="34"/>
  <c r="AO5" i="34"/>
  <c r="AP5" i="34"/>
  <c r="AQ5" i="34"/>
  <c r="AR5" i="34"/>
  <c r="AS5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D4" i="34"/>
  <c r="D5" i="34"/>
  <c r="D6" i="34"/>
  <c r="C4" i="4" l="1"/>
  <c r="C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<sst xmlns="http://schemas.openxmlformats.org/spreadsheetml/2006/main" count="874" uniqueCount="165">
  <si>
    <t>Netherlands</t>
  </si>
  <si>
    <t>Total</t>
  </si>
  <si>
    <t>Heat</t>
  </si>
  <si>
    <t>Electricity</t>
  </si>
  <si>
    <t>GJ per toe</t>
  </si>
  <si>
    <t>TJ per ktoe</t>
  </si>
  <si>
    <t>Unit conversion</t>
  </si>
  <si>
    <t>PRODUCT</t>
  </si>
  <si>
    <t>FLOW</t>
  </si>
  <si>
    <t>Production</t>
  </si>
  <si>
    <t>Autoproducer electricity plants</t>
  </si>
  <si>
    <t>Autoproducer CHP plants</t>
  </si>
  <si>
    <t>Autoproducer heat plants</t>
  </si>
  <si>
    <t>Other</t>
  </si>
  <si>
    <t>TJ per GWh</t>
  </si>
  <si>
    <t>:</t>
  </si>
  <si>
    <t>Energy sector - energy use</t>
  </si>
  <si>
    <t>Energy sector - coal mines - energy use</t>
  </si>
  <si>
    <t>Energy sector - oil and natural gas extraction plants - energy use</t>
  </si>
  <si>
    <t>Energy sector - patent fuel plants - energy use</t>
  </si>
  <si>
    <t>Energy sector - coke ovens - energy use</t>
  </si>
  <si>
    <t>Energy sector - brown coal briquettes and peat briquettes plants - energy use</t>
  </si>
  <si>
    <t>Energy sector - gas works - energy use</t>
  </si>
  <si>
    <t>Energy sector - blast furnaces - energy use</t>
  </si>
  <si>
    <t>Energy sector - petroleum refineries (oil refineries) - energy use</t>
  </si>
  <si>
    <t>Energy sector - coal liquefaction plants - energy use</t>
  </si>
  <si>
    <t>Energy sector - liquefaction and regasification plants (LNG) - energy use</t>
  </si>
  <si>
    <t>Energy sector - gasification plants for biogas - energy use</t>
  </si>
  <si>
    <t>Energy sector - gas-to-liquids plants - energy use</t>
  </si>
  <si>
    <t>Energy sector - charcoal production plants - energy use</t>
  </si>
  <si>
    <t>Energy sector - not elsewhere specified - energy use</t>
  </si>
  <si>
    <t>Final consumption - industry sector - energy use</t>
  </si>
  <si>
    <t>Final consumption - industry sector - iron and steel - energy use</t>
  </si>
  <si>
    <t>Final consumption - industry sector - chemical and petrochemical - energy use</t>
  </si>
  <si>
    <t>Final consumption - industry sector - non-ferrous metals - energy use</t>
  </si>
  <si>
    <t>Final consumption - industry sector - non-metallic minerals - energy use</t>
  </si>
  <si>
    <t>Final consumption - industry sector - transport equipment - energy use</t>
  </si>
  <si>
    <t>Final consumption - industry sector - machinery - energy use</t>
  </si>
  <si>
    <t>Final consumption - industry sector - mining and quarrying - energy use</t>
  </si>
  <si>
    <t>Final consumption - industry sector - food, beverages and tobacco - energy use</t>
  </si>
  <si>
    <t>Final consumption - industry sector - paper, pulp and printing - energy use</t>
  </si>
  <si>
    <t>Final consumption - industry sector - wood and wood products - energy use</t>
  </si>
  <si>
    <t>Final consumption - industry sector - construction - energy use</t>
  </si>
  <si>
    <t>Final consumption - industry sector - textile and leather - energy use</t>
  </si>
  <si>
    <t>Final consumption - industry sector - not elsewhere specified - energy use</t>
  </si>
  <si>
    <t>Final consumption - transport sector - energy use</t>
  </si>
  <si>
    <t>Final consumption - transport sector - rail - energy use</t>
  </si>
  <si>
    <t>Final consumption - transport sector - pipeline transport - energy use</t>
  </si>
  <si>
    <t>Final consumption - transport sector - not elsewhere specified - energy use</t>
  </si>
  <si>
    <t>Final consumption - other sectors - energy use</t>
  </si>
  <si>
    <t>Final consumption - other sectors - commercial and public services - energy use</t>
  </si>
  <si>
    <t>Final consumption - other sectors - households - energy use</t>
  </si>
  <si>
    <t>Final consumption - other sectors - agriculture and forestry - energy use</t>
  </si>
  <si>
    <t>Final consumption - other sectors - fishing - energy use</t>
  </si>
  <si>
    <t>Final consumption - other sectors - not elsewhere specified - energy use</t>
  </si>
  <si>
    <t>NRG_BAL (Labels)</t>
  </si>
  <si>
    <t>Value</t>
  </si>
  <si>
    <t>Explanation</t>
  </si>
  <si>
    <t xml:space="preserve">Dataset: </t>
  </si>
  <si>
    <t xml:space="preserve">Last updated: </t>
  </si>
  <si>
    <t>Time frequency</t>
  </si>
  <si>
    <t>Annual</t>
  </si>
  <si>
    <t>Unit of measure</t>
  </si>
  <si>
    <t>Geopolitical entity (reporting)</t>
  </si>
  <si>
    <t>Time</t>
  </si>
  <si>
    <t/>
  </si>
  <si>
    <t>Special value</t>
  </si>
  <si>
    <t>not available</t>
  </si>
  <si>
    <t>Terajoule</t>
  </si>
  <si>
    <t>Energy balance sheets</t>
  </si>
  <si>
    <t>Cover Sheet</t>
  </si>
  <si>
    <t>Document</t>
  </si>
  <si>
    <t>Version #</t>
  </si>
  <si>
    <t>Country</t>
  </si>
  <si>
    <t>Year data</t>
  </si>
  <si>
    <t>Date</t>
  </si>
  <si>
    <t>Author</t>
  </si>
  <si>
    <t>Organization</t>
  </si>
  <si>
    <t>Legend</t>
  </si>
  <si>
    <t>Cells</t>
  </si>
  <si>
    <t>Intermediate (calculation)</t>
  </si>
  <si>
    <t>Result</t>
  </si>
  <si>
    <t>Manual input</t>
  </si>
  <si>
    <t>Reference to manual input or data input</t>
  </si>
  <si>
    <t>Sheets</t>
  </si>
  <si>
    <t>Introductory</t>
  </si>
  <si>
    <t>Dashboard</t>
  </si>
  <si>
    <t>Research data</t>
  </si>
  <si>
    <t>Results</t>
  </si>
  <si>
    <t>Main calculations</t>
  </si>
  <si>
    <t>Additional calculations</t>
  </si>
  <si>
    <t>Output to csv</t>
  </si>
  <si>
    <t>Comments</t>
  </si>
  <si>
    <t>Mathijs Bijkerk</t>
  </si>
  <si>
    <t>nl</t>
  </si>
  <si>
    <t>May 21, 2025</t>
  </si>
  <si>
    <t>Quintel</t>
  </si>
  <si>
    <t>2023</t>
  </si>
  <si>
    <t>Final consumption - other sectors - agriculture - energy use</t>
  </si>
  <si>
    <t>Final consumption - other sectors - forestry - energy use</t>
  </si>
  <si>
    <t>AP Eurostat to IEA format mapping</t>
  </si>
  <si>
    <t>This file converts the autoproducer table from Eurostat to the IEA autoproducer table format, which can then be imported to use for the ETM country dataset analyses.</t>
  </si>
  <si>
    <t>Data extracted on 20/05/2025 17:24:17 from [ESTAT]</t>
  </si>
  <si>
    <t>Production of electricity and heat by autoproducers, by type of plant [nrg_ind_pehap__custom_16789878]</t>
  </si>
  <si>
    <t>24/04/2025 23:00</t>
  </si>
  <si>
    <t>Operator/Trader</t>
  </si>
  <si>
    <t>Autoproducers</t>
  </si>
  <si>
    <t>Standard international energy product classification (SIEC)</t>
  </si>
  <si>
    <t>Gigawatt-hour</t>
  </si>
  <si>
    <t>PLANTS (Labels)</t>
  </si>
  <si>
    <t>Combined heat and power (CHP)</t>
  </si>
  <si>
    <t>Data extracted on 20/05/2025 17:24:57 from [ESTAT]</t>
  </si>
  <si>
    <t>Total net production</t>
  </si>
  <si>
    <t>Total energy industry</t>
  </si>
  <si>
    <t xml:space="preserve">  Coal mines</t>
  </si>
  <si>
    <t xml:space="preserve">  Oil and gas extraction</t>
  </si>
  <si>
    <t xml:space="preserve">  Patent fuel plants</t>
  </si>
  <si>
    <t xml:space="preserve">  Coke ovens</t>
  </si>
  <si>
    <t xml:space="preserve">  BKB plants</t>
  </si>
  <si>
    <t xml:space="preserve">  Gas works</t>
  </si>
  <si>
    <t xml:space="preserve">  Blast furnaces</t>
  </si>
  <si>
    <t xml:space="preserve">  Oil refineries</t>
  </si>
  <si>
    <t xml:space="preserve">  Coal liquefaction plants</t>
  </si>
  <si>
    <t xml:space="preserve">  Liquefaction (LNG) / regasification plants</t>
  </si>
  <si>
    <t xml:space="preserve">  Gasification plants for biogases</t>
  </si>
  <si>
    <t xml:space="preserve">  Gas-to-liquids (GTL) plants</t>
  </si>
  <si>
    <t xml:space="preserve">  Charcoal production plants</t>
  </si>
  <si>
    <t xml:space="preserve">  Not elsewhere specified - energy</t>
  </si>
  <si>
    <t>Total industry</t>
  </si>
  <si>
    <t xml:space="preserve">  Iron and steel</t>
  </si>
  <si>
    <t xml:space="preserve">  Chemical and petrochemical</t>
  </si>
  <si>
    <t xml:space="preserve">  Non-ferrous metals</t>
  </si>
  <si>
    <t xml:space="preserve">  Non-metallic minerals</t>
  </si>
  <si>
    <t xml:space="preserve">  Transport equipment</t>
  </si>
  <si>
    <t xml:space="preserve">  Machinery</t>
  </si>
  <si>
    <t xml:space="preserve">  Mining and quarrying</t>
  </si>
  <si>
    <t xml:space="preserve">  Food and tobacco</t>
  </si>
  <si>
    <t xml:space="preserve">  Paper, pulp, and printing</t>
  </si>
  <si>
    <t xml:space="preserve">  Wood and wood products</t>
  </si>
  <si>
    <t xml:space="preserve">  Construction</t>
  </si>
  <si>
    <t xml:space="preserve">  Textile and leather</t>
  </si>
  <si>
    <t xml:space="preserve">  Not elsewhere specified - industry</t>
  </si>
  <si>
    <t>Total transport</t>
  </si>
  <si>
    <t xml:space="preserve">  Rail</t>
  </si>
  <si>
    <t xml:space="preserve">  Pipeline transport</t>
  </si>
  <si>
    <t xml:space="preserve">  Not elsewhere specified - transport</t>
  </si>
  <si>
    <t xml:space="preserve">  Commercial and public service</t>
  </si>
  <si>
    <t xml:space="preserve">  Residential</t>
  </si>
  <si>
    <t xml:space="preserve">  Agriculture</t>
  </si>
  <si>
    <t xml:space="preserve">  Fishing</t>
  </si>
  <si>
    <t xml:space="preserve">  Not elsewhere specified - other</t>
  </si>
  <si>
    <t>PLANT</t>
  </si>
  <si>
    <t>Total autoproducer plants</t>
  </si>
  <si>
    <t>Electricity (GWh)</t>
  </si>
  <si>
    <t>Heat (TJ)</t>
  </si>
  <si>
    <t>EUROSTAT AP Electricity GWh</t>
  </si>
  <si>
    <t>EUROSTAT AP Heat TJ</t>
  </si>
  <si>
    <t>EUROSTAT AP flows</t>
  </si>
  <si>
    <t>EUROSTAT AP plants and products</t>
  </si>
  <si>
    <t>The autoproducers table for electricity in GWh is loaded directly from Eurostat</t>
  </si>
  <si>
    <t>The autoproducers table for heat in TJ is loaded directly from Eurostat</t>
  </si>
  <si>
    <t>The EUROSTAT AP Electricity GWh and EUROSTAT AP Heat TJ are combined with and mapped to IEA plant names</t>
  </si>
  <si>
    <t>The EUROSTAT AP plants and products are mapped to IEA flow names</t>
  </si>
  <si>
    <t>The EUROSTAT AP format IEA is ready as input for the analyses in the analysis manager</t>
  </si>
  <si>
    <t>autoproducer_table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</si>
</sst>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##0.00\ _€_-;\-* ###0.00\ _€_-;_-* &quot;-&quot;??\ _€_-;_-@_-"/>
    <numFmt numFmtId="165" formatCode="??????.00"/>
    <numFmt numFmtId="166" formatCode="???,???.00"/>
    <numFmt numFmtId="167" formatCode="#,##0.##########"/>
    <numFmt numFmtId="168" formatCode="#,##0.000"/>
    <numFmt numFmtId="169" formatCode="[$-409]mmmm\ d\,\ yyyy;@"/>
  </numFmts>
  <fonts count="1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6"/>
      <color theme="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B1A0C7"/>
        <bgColor indexed="64"/>
      </patternFill>
    </fill>
    <fill>
      <patternFill patternType="solid">
        <fgColor rgb="FFF6F6F6"/>
      </patternFill>
    </fill>
    <fill>
      <patternFill patternType="solid">
        <fgColor rgb="FFDAEEF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NumberFormat="0" applyProtection="0">
      <alignment horizontal="center" vertical="center"/>
    </xf>
    <xf numFmtId="166" fontId="3" fillId="0" borderId="0" applyNumberFormat="0" applyProtection="0">
      <alignment horizontal="center" vertical="center"/>
    </xf>
    <xf numFmtId="0" fontId="5" fillId="0" borderId="0"/>
  </cellStyleXfs>
  <cellXfs count="58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2" borderId="0" xfId="0" applyFill="1"/>
    <xf numFmtId="0" fontId="3" fillId="0" borderId="0" xfId="6" applyFont="1" applyAlignment="1">
      <alignment horizontal="left" vertical="center"/>
    </xf>
    <xf numFmtId="0" fontId="5" fillId="0" borderId="0" xfId="6"/>
    <xf numFmtId="0" fontId="6" fillId="0" borderId="0" xfId="6" applyFont="1" applyAlignment="1">
      <alignment horizontal="left" vertical="center"/>
    </xf>
    <xf numFmtId="0" fontId="6" fillId="4" borderId="4" xfId="6" applyFont="1" applyFill="1" applyBorder="1" applyAlignment="1">
      <alignment horizontal="left" vertical="center"/>
    </xf>
    <xf numFmtId="0" fontId="5" fillId="5" borderId="0" xfId="6" applyFill="1"/>
    <xf numFmtId="0" fontId="6" fillId="6" borderId="4" xfId="6" applyFont="1" applyFill="1" applyBorder="1" applyAlignment="1">
      <alignment horizontal="left" vertical="center"/>
    </xf>
    <xf numFmtId="167" fontId="3" fillId="0" borderId="0" xfId="6" applyNumberFormat="1" applyFont="1" applyAlignment="1">
      <alignment horizontal="right" vertical="center" shrinkToFit="1"/>
    </xf>
    <xf numFmtId="3" fontId="3" fillId="0" borderId="0" xfId="6" applyNumberFormat="1" applyFont="1" applyAlignment="1">
      <alignment horizontal="right" vertical="center" shrinkToFit="1"/>
    </xf>
    <xf numFmtId="0" fontId="7" fillId="3" borderId="4" xfId="6" applyFont="1" applyFill="1" applyBorder="1" applyAlignment="1">
      <alignment horizontal="right" vertical="center"/>
    </xf>
    <xf numFmtId="0" fontId="0" fillId="7" borderId="3" xfId="0" applyFill="1" applyBorder="1"/>
    <xf numFmtId="168" fontId="3" fillId="0" borderId="0" xfId="6" applyNumberFormat="1" applyFont="1" applyAlignment="1">
      <alignment horizontal="right" vertical="center" shrinkToFit="1"/>
    </xf>
    <xf numFmtId="0" fontId="0" fillId="2" borderId="3" xfId="0" applyFill="1" applyBorder="1" applyAlignment="1">
      <alignment horizontal="left"/>
    </xf>
    <xf numFmtId="0" fontId="8" fillId="2" borderId="0" xfId="0" applyFont="1" applyFill="1"/>
    <xf numFmtId="0" fontId="4" fillId="2" borderId="9" xfId="0" applyFont="1" applyFill="1" applyBorder="1"/>
    <xf numFmtId="0" fontId="0" fillId="2" borderId="2" xfId="0" applyFill="1" applyBorder="1"/>
    <xf numFmtId="0" fontId="0" fillId="2" borderId="8" xfId="0" applyFill="1" applyBorder="1"/>
    <xf numFmtId="0" fontId="9" fillId="8" borderId="5" xfId="0" applyFont="1" applyFill="1" applyBorder="1" applyAlignment="1">
      <alignment vertical="center"/>
    </xf>
    <xf numFmtId="2" fontId="0" fillId="2" borderId="0" xfId="0" applyNumberFormat="1" applyFill="1" applyAlignment="1">
      <alignment horizontal="left"/>
    </xf>
    <xf numFmtId="0" fontId="0" fillId="2" borderId="6" xfId="0" applyFill="1" applyBorder="1"/>
    <xf numFmtId="1" fontId="0" fillId="2" borderId="0" xfId="0" applyNumberFormat="1" applyFill="1" applyAlignment="1">
      <alignment horizontal="left"/>
    </xf>
    <xf numFmtId="169" fontId="0" fillId="2" borderId="0" xfId="0" applyNumberFormat="1" applyFill="1" applyAlignment="1">
      <alignment horizontal="left"/>
    </xf>
    <xf numFmtId="0" fontId="9" fillId="8" borderId="10" xfId="0" applyFont="1" applyFill="1" applyBorder="1" applyAlignment="1">
      <alignment vertical="center"/>
    </xf>
    <xf numFmtId="0" fontId="0" fillId="2" borderId="1" xfId="0" applyFill="1" applyBorder="1"/>
    <xf numFmtId="0" fontId="0" fillId="2" borderId="7" xfId="0" applyFill="1" applyBorder="1"/>
    <xf numFmtId="0" fontId="4" fillId="2" borderId="5" xfId="0" applyFont="1" applyFill="1" applyBorder="1"/>
    <xf numFmtId="0" fontId="10" fillId="2" borderId="0" xfId="0" applyFont="1" applyFill="1"/>
    <xf numFmtId="0" fontId="4" fillId="2" borderId="0" xfId="0" applyFont="1" applyFill="1"/>
    <xf numFmtId="0" fontId="0" fillId="2" borderId="11" xfId="0" applyFill="1" applyBorder="1"/>
    <xf numFmtId="0" fontId="0" fillId="2" borderId="5" xfId="0" applyFill="1" applyBorder="1"/>
    <xf numFmtId="0" fontId="0" fillId="2" borderId="10" xfId="0" applyFill="1" applyBorder="1"/>
    <xf numFmtId="0" fontId="11" fillId="9" borderId="0" xfId="0" applyFont="1" applyFill="1"/>
    <xf numFmtId="0" fontId="11" fillId="10" borderId="0" xfId="0" applyFont="1" applyFill="1"/>
    <xf numFmtId="0" fontId="11" fillId="11" borderId="0" xfId="0" applyFont="1" applyFill="1"/>
    <xf numFmtId="0" fontId="11" fillId="12" borderId="0" xfId="0" applyFont="1" applyFill="1"/>
    <xf numFmtId="0" fontId="11" fillId="13" borderId="0" xfId="0" applyFont="1" applyFill="1"/>
    <xf numFmtId="0" fontId="11" fillId="14" borderId="0" xfId="0" applyFont="1" applyFill="1"/>
    <xf numFmtId="0" fontId="11" fillId="15" borderId="0" xfId="0" applyFont="1" applyFill="1"/>
    <xf numFmtId="0" fontId="0" fillId="16" borderId="3" xfId="0" applyFill="1" applyBorder="1"/>
    <xf numFmtId="0" fontId="12" fillId="2" borderId="0" xfId="0" applyFont="1" applyFill="1"/>
    <xf numFmtId="0" fontId="7" fillId="3" borderId="4" xfId="6" applyFont="1" applyFill="1" applyBorder="1" applyAlignment="1">
      <alignment horizontal="left" vertical="center"/>
    </xf>
    <xf numFmtId="167" fontId="3" fillId="17" borderId="0" xfId="6" applyNumberFormat="1" applyFont="1" applyFill="1" applyAlignment="1">
      <alignment horizontal="right" vertical="center" shrinkToFit="1"/>
    </xf>
    <xf numFmtId="3" fontId="3" fillId="17" borderId="0" xfId="6" applyNumberFormat="1" applyFont="1" applyFill="1" applyAlignment="1">
      <alignment horizontal="right" vertical="center" shrinkToFit="1"/>
    </xf>
    <xf numFmtId="168" fontId="3" fillId="17" borderId="0" xfId="6" applyNumberFormat="1" applyFont="1" applyFill="1" applyAlignment="1">
      <alignment horizontal="right" vertical="center" shrinkToFit="1"/>
    </xf>
    <xf numFmtId="0" fontId="0" fillId="18" borderId="3" xfId="0" applyFill="1" applyBorder="1"/>
    <xf numFmtId="0" fontId="6" fillId="4" borderId="4" xfId="6" applyFont="1" applyFill="1" applyBorder="1" applyAlignment="1">
      <alignment horizontal="right" vertical="center"/>
    </xf>
    <xf numFmtId="0" fontId="7" fillId="3" borderId="4" xfId="6" applyFont="1" applyFill="1" applyBorder="1" applyAlignment="1">
      <alignment vertical="center"/>
    </xf>
    <xf numFmtId="0" fontId="0" fillId="2" borderId="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7" fillId="3" borderId="4" xfId="6" applyFont="1" applyFill="1" applyBorder="1" applyAlignment="1">
      <alignment horizontal="left" vertical="center"/>
    </xf>
  </cellXfs>
  <cellStyles count="7">
    <cellStyle name="Comma 2" xfId="2" xr:uid="{1C11CA58-592F-DA41-B375-C63DAC4CC280}"/>
    <cellStyle name="Normal" xfId="0" builtinId="0"/>
    <cellStyle name="Normal 2" xfId="5" xr:uid="{8862F9F5-D0AE-0148-82CF-F7B4B87493B3}"/>
    <cellStyle name="Normal 2 2" xfId="1" xr:uid="{937A005C-CB51-DB47-815F-D71C8A407F9C}"/>
    <cellStyle name="Normal 2 3" xfId="4" xr:uid="{9B3F4915-4A19-E741-9850-C48579CF3AE7}"/>
    <cellStyle name="Normal 2 4" xfId="6" xr:uid="{9FDF4AF2-1522-5141-9BC5-4125DD985002}"/>
    <cellStyle name="Per cent 2" xfId="3" xr:uid="{DF769379-C139-AB43-8468-2508AC8C689D}"/>
  </cellStyles>
  <dxfs count="0"/>
  <tableStyles count="0" defaultTableStyle="TableStyleMedium2" defaultPivotStyle="PivotStyleLight16"/>
  <colors>
    <mruColors>
      <color rgb="FFDAEEF3"/>
      <color rgb="FF92CDDC"/>
      <color rgb="FFB1A0C7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jsbijkerk/Projects/etdataset/analyses/5_industry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liekeverweij/Projects/etdataset/analyses/1_chp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jsbijkerk/Dropbox%20(Quintel)/Quintel/Projects/Active/518%20Stroomlijnen%20van%20dataset-update%20proces/Energiebalansen/IEA%20Balance%20Builder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Import from Metal analysis"/>
      <sheetName val="Import from Chemical analysis"/>
      <sheetName val="technical_specs"/>
      <sheetName val="Shares energetic FD sectors"/>
      <sheetName val="Shares non-energ FD sectors"/>
      <sheetName val="Energetic final demand sectors"/>
      <sheetName val="Non-energetic FD sectors"/>
      <sheetName val="Transformation analysis"/>
      <sheetName val="Own use analysis"/>
      <sheetName val="Energetic cons analysis"/>
      <sheetName val="Non-energetic cons analysis"/>
      <sheetName val="Coal loss analysis"/>
      <sheetName val="Fuel aggregation"/>
      <sheetName val="Fuel aggregation subsectors"/>
      <sheetName val="Energetic FD subsectors"/>
      <sheetName val="Non-energetic FD subsectors"/>
      <sheetName val="Shares energetic FD subsectors"/>
      <sheetName val="Shares non-e FD subsectors"/>
      <sheetName val="Shares electric heaters"/>
      <sheetName val="csv_industry_coal_ps"/>
      <sheetName val="csv_industry_network_gas_ps"/>
      <sheetName val="csv_industry_crude_oil_ps"/>
      <sheetName val="csv_industry_wood_pellets_ps"/>
      <sheetName val="csv_industry_steam_hot_water_ps"/>
      <sheetName val="csv_industry_electricity_ps"/>
      <sheetName val="csv_industry_coal_non_e_ps"/>
      <sheetName val="csv_industry_netw_gas_non_e_ps"/>
      <sheetName val="csv_industry_crude_oil_non_e_ps"/>
      <sheetName val="csv_industry_wood_pel_non_e_ps"/>
      <sheetName val="csv_industry_trans_coal_ps"/>
      <sheetName val="csv_industry_trans_coal_eff"/>
      <sheetName val="csv_industry_other_coal_e "/>
      <sheetName val="csv_industry_other_gas_e"/>
      <sheetName val="csv_industry_other_crude_oil_e"/>
      <sheetName val="csv_industry_other_wood_e"/>
      <sheetName val="csv_industry_other_heat_e"/>
      <sheetName val="csv_industry_other_electri_e"/>
      <sheetName val="csv_industry_other_coal_non_e"/>
      <sheetName val="csv_industry_other_gas_non_e"/>
      <sheetName val="csv_industry_other_crude_oil_ne"/>
      <sheetName val="csv_industry_other_wood_non_e"/>
      <sheetName val="csv_industry_other_food_elec_ps"/>
      <sheetName val="csv_industry_other_paper_el_ps"/>
      <sheetName val="csv_chemicals_other_residual_he"/>
      <sheetName val="csv_refineries_residual_heat"/>
      <sheetName val="csv_fertilizers_residual_heat"/>
      <sheetName val="csv_ict_residual_heat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E13" t="str">
            <v>nl</v>
          </cell>
        </row>
        <row r="14">
          <cell r="E14">
            <v>2015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IEA energy balance"/>
      <sheetName val="IEA autoproducer prod."/>
      <sheetName val="technical_specs"/>
      <sheetName val="Results by fuel"/>
      <sheetName val="Results by machine"/>
      <sheetName val="Delta energy balance"/>
      <sheetName val="Corrected energy balance step 1"/>
      <sheetName val="AP net-gross conversion"/>
      <sheetName val="CEB allocation factors step 1"/>
      <sheetName val="CEB allocation factors step 2"/>
      <sheetName val="Co-fueling shares"/>
      <sheetName val="Fuel allocation"/>
      <sheetName val="Agriculture"/>
      <sheetName val="Households"/>
      <sheetName val="Services"/>
      <sheetName val="Energy industry"/>
      <sheetName val="Industry"/>
      <sheetName val="Main activity"/>
      <sheetName val="Waste incineration"/>
      <sheetName val="Fuel mixes"/>
      <sheetName val="Fuel aggregation"/>
      <sheetName val="match carriers IEA to ETM"/>
      <sheetName val="csv_sold_heat_deficit"/>
      <sheetName val="csv_corrected energy balance 1"/>
      <sheetName val="csv_ce_production_tabl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73">
          <cell r="C173">
            <v>3.6</v>
          </cell>
        </row>
      </sheetData>
      <sheetData sheetId="6">
        <row r="12">
          <cell r="E12" t="str">
            <v>nl</v>
          </cell>
        </row>
        <row r="13">
          <cell r="E13">
            <v>2015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2">
          <cell r="D12">
            <v>1.0623148656061439</v>
          </cell>
        </row>
      </sheetData>
      <sheetData sheetId="15"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0.41366037728531807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</v>
          </cell>
          <cell r="T15">
            <v>1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0.57991321358268522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</v>
          </cell>
          <cell r="AE18">
            <v>0</v>
          </cell>
          <cell r="AF18">
            <v>1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1</v>
          </cell>
          <cell r="AT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0.78205353126405763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5.5431868104897593E-2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9.6618850541865062E-3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0.35759049278634741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0.9142913931142429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2.4143372394792337E-3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1.3562464463506322E-2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0.65853271871417773</v>
          </cell>
          <cell r="M33">
            <v>0</v>
          </cell>
          <cell r="N33">
            <v>0.20513045434098065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8.9176760053504139E-2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1.207622229366574E-2</v>
          </cell>
          <cell r="AM33">
            <v>1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9.9002626121316977E-3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2.6569616886979196E-2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5.1378713691418471E-2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5.7130789632233746E-2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4.8309425270932531E-3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0.34146728128582227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1.0098295475462945E-2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1.9324337120406709E-2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</row>
        <row r="37"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0.28453850621965338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1.207622229366574E-2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0.70698324952545866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6.2452345306319462E-2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0.20532374260437133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2.429162218213501E-3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0.17737420048783475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1.2816014394961764E-2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2.0573533442141474E-2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0.90580115681795126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2.0806357828485018E-2</v>
          </cell>
          <cell r="AY40">
            <v>0</v>
          </cell>
          <cell r="AZ40">
            <v>0</v>
          </cell>
          <cell r="BA40">
            <v>1</v>
          </cell>
          <cell r="BB40">
            <v>0</v>
          </cell>
          <cell r="BC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1.1965878830271569E-2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3.0901716796131993E-2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2.8577817253523312E-2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7.2452797665724872E-3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0.80181944168368013</v>
          </cell>
          <cell r="AY42">
            <v>8.7693007870169939E-2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</row>
        <row r="48">
          <cell r="D48">
            <v>0</v>
          </cell>
        </row>
        <row r="49">
          <cell r="D49">
            <v>1.6087182148417228E-2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0.9839128178515828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3">
          <cell r="D63">
            <v>0</v>
          </cell>
        </row>
        <row r="64">
          <cell r="D64">
            <v>0</v>
          </cell>
        </row>
        <row r="68">
          <cell r="D68">
            <v>5.2795031055900624E-2</v>
          </cell>
        </row>
        <row r="69">
          <cell r="D69">
            <v>0.38291925465838511</v>
          </cell>
        </row>
        <row r="70">
          <cell r="D70">
            <v>0</v>
          </cell>
        </row>
        <row r="71">
          <cell r="D71">
            <v>8.6956521739130436E-3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0.36149068322981365</v>
          </cell>
        </row>
        <row r="76">
          <cell r="D76">
            <v>0.18416149068322982</v>
          </cell>
        </row>
        <row r="77">
          <cell r="D77">
            <v>5.2795031055900624E-3</v>
          </cell>
        </row>
        <row r="78">
          <cell r="D78">
            <v>4.658385093167702E-3</v>
          </cell>
        </row>
        <row r="79">
          <cell r="D79">
            <v>0</v>
          </cell>
        </row>
        <row r="80">
          <cell r="D80">
            <v>0</v>
          </cell>
        </row>
      </sheetData>
      <sheetData sheetId="16"/>
      <sheetData sheetId="17" refreshError="1"/>
      <sheetData sheetId="18">
        <row r="48">
          <cell r="C48">
            <v>0</v>
          </cell>
        </row>
        <row r="89">
          <cell r="C89">
            <v>1</v>
          </cell>
        </row>
        <row r="130">
          <cell r="C130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ReportCover"/>
      <sheetName val="TableOfContents"/>
      <sheetName val="Definitions"/>
      <sheetName val="Definitions_ProdLang"/>
      <sheetName val="Definitions_FlowLang"/>
      <sheetName val="Exceptions"/>
      <sheetName val="Data in physical units"/>
      <sheetName val="Conversion factors"/>
      <sheetName val="Disaggregated Balance"/>
      <sheetName val="Aggregated Balance"/>
      <sheetName val="CF formulas"/>
      <sheetName val="DPU formulas"/>
      <sheetName val="Published Balance"/>
      <sheetName val="BAL_Reading_Exercise"/>
      <sheetName val="BAL_Checking_Exercise"/>
      <sheetName val="BAL_Comparison"/>
      <sheetName val="Balance Summary"/>
      <sheetName val="Coal_Table_1"/>
      <sheetName val="Coal_Table_4"/>
      <sheetName val="Gas_Table_1"/>
      <sheetName val="Gas_Table_2a"/>
      <sheetName val="Gas_Table_2b"/>
      <sheetName val="Oil_Table_1"/>
      <sheetName val="Oil_Table_2a"/>
      <sheetName val="Oil_Table_3a"/>
      <sheetName val="Oil_Table_3b"/>
      <sheetName val="Ren_Table_1"/>
      <sheetName val="Ren_Table_2a"/>
      <sheetName val="Ren_Table_3a"/>
      <sheetName val="Ele_Table_1"/>
      <sheetName val="Ele_Table_3"/>
      <sheetName val="Ele_Table_4"/>
      <sheetName val="Ele_Table_6a"/>
      <sheetName val="Ele_Table_6b"/>
      <sheetName val="Ele_Table_6c"/>
      <sheetName val="Ele_Table_6d"/>
      <sheetName val="Ele_Table_7a"/>
      <sheetName val="IronSteel_CokeOven"/>
      <sheetName val="IronSteel_BlastFurnace"/>
      <sheetName val="Refinery"/>
      <sheetName val="Electricity_Heat_I"/>
      <sheetName val="Electricity_Heat_II"/>
      <sheetName val="CapacityFactor"/>
      <sheetName val="VersionHistory"/>
    </sheetNames>
    <sheetDataSet>
      <sheetData sheetId="0">
        <row r="3">
          <cell r="L3" t="str">
            <v>English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9AC-27F5-9C41-8C5A-8F54ADE14D0B}">
  <sheetPr>
    <tabColor theme="2"/>
  </sheetPr>
  <dimension ref="B2:P38"/>
  <sheetViews>
    <sheetView workbookViewId="0">
      <selection activeCell="O35" sqref="O35"/>
    </sheetView>
  </sheetViews>
  <sheetFormatPr baseColWidth="10" defaultRowHeight="16" x14ac:dyDescent="0.2"/>
  <cols>
    <col min="1" max="1" width="10.83203125" style="4"/>
    <col min="2" max="2" width="14" style="4" customWidth="1"/>
    <col min="3" max="3" width="53.6640625" style="4" customWidth="1"/>
    <col min="4" max="4" width="9.33203125" style="4" customWidth="1"/>
    <col min="5" max="16384" width="10.83203125" style="4"/>
  </cols>
  <sheetData>
    <row r="2" spans="2:4" ht="21" x14ac:dyDescent="0.25">
      <c r="B2" s="17" t="s">
        <v>70</v>
      </c>
    </row>
    <row r="4" spans="2:4" x14ac:dyDescent="0.2">
      <c r="B4" s="18" t="s">
        <v>71</v>
      </c>
      <c r="C4" s="19" t="s">
        <v>100</v>
      </c>
      <c r="D4" s="20"/>
    </row>
    <row r="5" spans="2:4" x14ac:dyDescent="0.2">
      <c r="B5" s="21" t="s">
        <v>72</v>
      </c>
      <c r="C5" s="22">
        <v>2</v>
      </c>
      <c r="D5" s="23"/>
    </row>
    <row r="6" spans="2:4" x14ac:dyDescent="0.2">
      <c r="B6" s="21" t="s">
        <v>73</v>
      </c>
      <c r="C6" s="22" t="s">
        <v>94</v>
      </c>
      <c r="D6" s="23"/>
    </row>
    <row r="7" spans="2:4" x14ac:dyDescent="0.2">
      <c r="B7" s="21" t="s">
        <v>74</v>
      </c>
      <c r="C7" s="24">
        <v>2023</v>
      </c>
      <c r="D7" s="23"/>
    </row>
    <row r="8" spans="2:4" x14ac:dyDescent="0.2">
      <c r="B8" s="21" t="s">
        <v>75</v>
      </c>
      <c r="C8" s="25" t="s">
        <v>95</v>
      </c>
      <c r="D8" s="23"/>
    </row>
    <row r="9" spans="2:4" x14ac:dyDescent="0.2">
      <c r="B9" s="21" t="s">
        <v>76</v>
      </c>
      <c r="C9" s="4" t="s">
        <v>93</v>
      </c>
      <c r="D9" s="23"/>
    </row>
    <row r="10" spans="2:4" x14ac:dyDescent="0.2">
      <c r="B10" s="26" t="s">
        <v>77</v>
      </c>
      <c r="C10" s="27" t="s">
        <v>96</v>
      </c>
      <c r="D10" s="28"/>
    </row>
    <row r="12" spans="2:4" x14ac:dyDescent="0.2">
      <c r="B12" s="18" t="s">
        <v>78</v>
      </c>
      <c r="C12" s="19"/>
      <c r="D12" s="20"/>
    </row>
    <row r="13" spans="2:4" x14ac:dyDescent="0.2">
      <c r="B13" s="29"/>
      <c r="D13" s="23"/>
    </row>
    <row r="14" spans="2:4" x14ac:dyDescent="0.2">
      <c r="B14" s="29" t="s">
        <v>79</v>
      </c>
      <c r="C14" s="30" t="s">
        <v>80</v>
      </c>
      <c r="D14" s="23"/>
    </row>
    <row r="15" spans="2:4" ht="17" thickBot="1" x14ac:dyDescent="0.25">
      <c r="B15" s="29"/>
      <c r="C15" s="31" t="s">
        <v>81</v>
      </c>
      <c r="D15" s="23"/>
    </row>
    <row r="16" spans="2:4" ht="17" thickBot="1" x14ac:dyDescent="0.25">
      <c r="B16" s="29"/>
      <c r="C16" s="32" t="s">
        <v>82</v>
      </c>
      <c r="D16" s="23"/>
    </row>
    <row r="17" spans="2:4" x14ac:dyDescent="0.2">
      <c r="B17" s="29"/>
      <c r="C17" s="4" t="s">
        <v>83</v>
      </c>
      <c r="D17" s="23"/>
    </row>
    <row r="18" spans="2:4" x14ac:dyDescent="0.2">
      <c r="B18" s="29"/>
      <c r="D18" s="23"/>
    </row>
    <row r="19" spans="2:4" x14ac:dyDescent="0.2">
      <c r="B19" s="29" t="s">
        <v>84</v>
      </c>
      <c r="C19" s="35" t="s">
        <v>85</v>
      </c>
      <c r="D19" s="23"/>
    </row>
    <row r="20" spans="2:4" x14ac:dyDescent="0.2">
      <c r="B20" s="29"/>
      <c r="C20" s="36" t="s">
        <v>86</v>
      </c>
      <c r="D20" s="23"/>
    </row>
    <row r="21" spans="2:4" x14ac:dyDescent="0.2">
      <c r="B21" s="29"/>
      <c r="C21" s="41" t="s">
        <v>87</v>
      </c>
      <c r="D21" s="23"/>
    </row>
    <row r="22" spans="2:4" x14ac:dyDescent="0.2">
      <c r="B22" s="33"/>
      <c r="C22" s="37" t="s">
        <v>88</v>
      </c>
      <c r="D22" s="23"/>
    </row>
    <row r="23" spans="2:4" x14ac:dyDescent="0.2">
      <c r="B23" s="33"/>
      <c r="C23" s="38" t="s">
        <v>89</v>
      </c>
      <c r="D23" s="23"/>
    </row>
    <row r="24" spans="2:4" x14ac:dyDescent="0.2">
      <c r="B24" s="33"/>
      <c r="C24" s="39" t="s">
        <v>90</v>
      </c>
      <c r="D24" s="23"/>
    </row>
    <row r="25" spans="2:4" x14ac:dyDescent="0.2">
      <c r="B25" s="33"/>
      <c r="C25" s="40" t="s">
        <v>91</v>
      </c>
      <c r="D25" s="23"/>
    </row>
    <row r="26" spans="2:4" x14ac:dyDescent="0.2">
      <c r="B26" s="34"/>
      <c r="C26" s="27"/>
      <c r="D26" s="28"/>
    </row>
    <row r="28" spans="2:4" x14ac:dyDescent="0.2">
      <c r="B28" s="18" t="s">
        <v>92</v>
      </c>
      <c r="C28" s="19"/>
      <c r="D28" s="20"/>
    </row>
    <row r="29" spans="2:4" x14ac:dyDescent="0.2">
      <c r="B29" s="51" t="s">
        <v>101</v>
      </c>
      <c r="C29" s="52"/>
      <c r="D29" s="53"/>
    </row>
    <row r="30" spans="2:4" x14ac:dyDescent="0.2">
      <c r="B30" s="51"/>
      <c r="C30" s="52"/>
      <c r="D30" s="53"/>
    </row>
    <row r="31" spans="2:4" x14ac:dyDescent="0.2">
      <c r="B31" s="51"/>
      <c r="C31" s="52"/>
      <c r="D31" s="53"/>
    </row>
    <row r="32" spans="2:4" x14ac:dyDescent="0.2">
      <c r="B32" s="51"/>
      <c r="C32" s="52"/>
      <c r="D32" s="53"/>
    </row>
    <row r="33" spans="2:16" x14ac:dyDescent="0.2">
      <c r="B33" s="51"/>
      <c r="C33" s="52"/>
      <c r="D33" s="53"/>
    </row>
    <row r="34" spans="2:16" x14ac:dyDescent="0.2">
      <c r="B34" s="51"/>
      <c r="C34" s="52"/>
      <c r="D34" s="53"/>
    </row>
    <row r="35" spans="2:16" x14ac:dyDescent="0.2">
      <c r="B35" s="51"/>
      <c r="C35" s="52"/>
      <c r="D35" s="53"/>
    </row>
    <row r="36" spans="2:16" x14ac:dyDescent="0.2">
      <c r="B36" s="51"/>
      <c r="C36" s="52"/>
      <c r="D36" s="53"/>
    </row>
    <row r="37" spans="2:16" x14ac:dyDescent="0.2">
      <c r="B37" s="51"/>
      <c r="C37" s="52"/>
      <c r="D37" s="53"/>
      <c r="P37" s="43"/>
    </row>
    <row r="38" spans="2:16" x14ac:dyDescent="0.2">
      <c r="B38" s="54"/>
      <c r="C38" s="55"/>
      <c r="D38" s="56"/>
    </row>
  </sheetData>
  <mergeCells count="1">
    <mergeCell ref="B29:D38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D629-21E6-4540-838E-5AC75BDB3E14}">
  <sheetPr codeName="Sheet1">
    <tabColor theme="2"/>
  </sheetPr>
  <dimension ref="B3:C13"/>
  <sheetViews>
    <sheetView workbookViewId="0">
      <selection activeCell="C50" sqref="C50"/>
    </sheetView>
  </sheetViews>
  <sheetFormatPr baseColWidth="10" defaultRowHeight="16" x14ac:dyDescent="0.2"/>
  <cols>
    <col min="1" max="1" width="10.83203125" style="4"/>
    <col min="2" max="2" width="34" style="4" customWidth="1"/>
    <col min="3" max="3" width="82.6640625" style="4" customWidth="1"/>
    <col min="4" max="16384" width="10.83203125" style="4"/>
  </cols>
  <sheetData>
    <row r="3" spans="2:3" x14ac:dyDescent="0.2">
      <c r="B3" s="3" t="s">
        <v>6</v>
      </c>
      <c r="C3" s="3" t="s">
        <v>56</v>
      </c>
    </row>
    <row r="4" spans="2:3" x14ac:dyDescent="0.2">
      <c r="B4" s="2" t="s">
        <v>4</v>
      </c>
      <c r="C4" s="16">
        <f>41.868</f>
        <v>41.868000000000002</v>
      </c>
    </row>
    <row r="5" spans="2:3" x14ac:dyDescent="0.2">
      <c r="B5" s="2" t="s">
        <v>5</v>
      </c>
      <c r="C5" s="16">
        <f>C4</f>
        <v>41.868000000000002</v>
      </c>
    </row>
    <row r="6" spans="2:3" x14ac:dyDescent="0.2">
      <c r="B6" s="2" t="s">
        <v>14</v>
      </c>
      <c r="C6" s="16">
        <v>3.6</v>
      </c>
    </row>
    <row r="7" spans="2:3" x14ac:dyDescent="0.2">
      <c r="B7"/>
    </row>
    <row r="8" spans="2:3" x14ac:dyDescent="0.2">
      <c r="B8" s="3" t="s">
        <v>69</v>
      </c>
      <c r="C8" s="3" t="s">
        <v>57</v>
      </c>
    </row>
    <row r="9" spans="2:3" ht="17" x14ac:dyDescent="0.2">
      <c r="B9" s="14" t="s">
        <v>155</v>
      </c>
      <c r="C9" s="1" t="s">
        <v>159</v>
      </c>
    </row>
    <row r="10" spans="2:3" ht="17" x14ac:dyDescent="0.2">
      <c r="B10" s="14" t="s">
        <v>156</v>
      </c>
      <c r="C10" s="1" t="s">
        <v>160</v>
      </c>
    </row>
    <row r="11" spans="2:3" ht="34" x14ac:dyDescent="0.2">
      <c r="B11" s="48" t="s">
        <v>158</v>
      </c>
      <c r="C11" s="1" t="s">
        <v>161</v>
      </c>
    </row>
    <row r="12" spans="2:3" ht="17" x14ac:dyDescent="0.2">
      <c r="B12" s="48" t="s">
        <v>157</v>
      </c>
      <c r="C12" s="1" t="s">
        <v>162</v>
      </c>
    </row>
    <row r="13" spans="2:3" ht="17" x14ac:dyDescent="0.2">
      <c r="B13" s="42" t="s">
        <v>164</v>
      </c>
      <c r="C13" s="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D187-AF97-404B-9AA5-D3EE6184EA8E}">
  <sheetPr>
    <tabColor theme="9" tint="0.59999389629810485"/>
  </sheetPr>
  <dimension ref="A1:I58"/>
  <sheetViews>
    <sheetView workbookViewId="0">
      <pane xSplit="1" ySplit="13" topLeftCell="B14" activePane="bottomRight" state="frozen"/>
      <selection pane="topRight"/>
      <selection pane="bottomLeft"/>
      <selection pane="bottomRight" activeCell="F51" sqref="F51"/>
    </sheetView>
  </sheetViews>
  <sheetFormatPr baseColWidth="10" defaultColWidth="8.83203125" defaultRowHeight="11.25" customHeight="1" x14ac:dyDescent="0.2"/>
  <cols>
    <col min="1" max="1" width="60.5" style="6" bestFit="1" customWidth="1"/>
    <col min="2" max="2" width="10" style="6" customWidth="1"/>
    <col min="3" max="3" width="5" style="6" customWidth="1"/>
    <col min="4" max="4" width="11" style="6" customWidth="1"/>
    <col min="5" max="5" width="5" style="6" customWidth="1"/>
    <col min="6" max="6" width="20" style="6" customWidth="1"/>
    <col min="7" max="7" width="5" style="6" customWidth="1"/>
    <col min="8" max="8" width="10" style="6" customWidth="1"/>
    <col min="9" max="9" width="5" style="6" customWidth="1"/>
    <col min="10" max="16384" width="8.83203125" style="6"/>
  </cols>
  <sheetData>
    <row r="1" spans="1:9" x14ac:dyDescent="0.2">
      <c r="A1" s="5" t="s">
        <v>102</v>
      </c>
    </row>
    <row r="2" spans="1:9" x14ac:dyDescent="0.2">
      <c r="A2" s="5" t="s">
        <v>58</v>
      </c>
      <c r="B2" s="7" t="s">
        <v>103</v>
      </c>
    </row>
    <row r="3" spans="1:9" x14ac:dyDescent="0.2">
      <c r="A3" s="5" t="s">
        <v>59</v>
      </c>
      <c r="B3" s="5" t="s">
        <v>104</v>
      </c>
    </row>
    <row r="4" spans="1:9" x14ac:dyDescent="0.2"/>
    <row r="5" spans="1:9" x14ac:dyDescent="0.2">
      <c r="A5" s="7" t="s">
        <v>60</v>
      </c>
      <c r="C5" s="5" t="s">
        <v>61</v>
      </c>
    </row>
    <row r="6" spans="1:9" x14ac:dyDescent="0.2">
      <c r="A6" s="7" t="s">
        <v>105</v>
      </c>
      <c r="C6" s="5" t="s">
        <v>106</v>
      </c>
    </row>
    <row r="7" spans="1:9" x14ac:dyDescent="0.2">
      <c r="A7" s="7" t="s">
        <v>107</v>
      </c>
      <c r="C7" s="5" t="s">
        <v>3</v>
      </c>
    </row>
    <row r="8" spans="1:9" x14ac:dyDescent="0.2">
      <c r="A8" s="7" t="s">
        <v>62</v>
      </c>
      <c r="C8" s="5" t="s">
        <v>108</v>
      </c>
    </row>
    <row r="9" spans="1:9" x14ac:dyDescent="0.2">
      <c r="A9" s="7" t="s">
        <v>63</v>
      </c>
      <c r="C9" s="5" t="s">
        <v>0</v>
      </c>
    </row>
    <row r="10" spans="1:9" x14ac:dyDescent="0.2">
      <c r="A10" s="7" t="s">
        <v>64</v>
      </c>
      <c r="C10" s="5" t="s">
        <v>97</v>
      </c>
    </row>
    <row r="11" spans="1:9" x14ac:dyDescent="0.2"/>
    <row r="12" spans="1:9" x14ac:dyDescent="0.2">
      <c r="A12" s="13" t="s">
        <v>109</v>
      </c>
      <c r="B12" s="50" t="s">
        <v>1</v>
      </c>
      <c r="C12" s="50" t="s">
        <v>65</v>
      </c>
      <c r="D12" s="44" t="s">
        <v>3</v>
      </c>
      <c r="E12" s="44" t="s">
        <v>65</v>
      </c>
      <c r="F12" s="44" t="s">
        <v>110</v>
      </c>
      <c r="G12" s="44" t="s">
        <v>65</v>
      </c>
      <c r="H12" s="44" t="s">
        <v>2</v>
      </c>
      <c r="I12" s="44" t="s">
        <v>65</v>
      </c>
    </row>
    <row r="13" spans="1:9" x14ac:dyDescent="0.2">
      <c r="A13" s="8" t="s">
        <v>55</v>
      </c>
      <c r="B13" s="9" t="s">
        <v>65</v>
      </c>
      <c r="C13" s="9" t="s">
        <v>65</v>
      </c>
      <c r="D13" s="9" t="s">
        <v>65</v>
      </c>
      <c r="E13" s="9" t="s">
        <v>65</v>
      </c>
      <c r="F13" s="9" t="s">
        <v>65</v>
      </c>
      <c r="G13" s="9" t="s">
        <v>65</v>
      </c>
      <c r="H13" s="9" t="s">
        <v>65</v>
      </c>
      <c r="I13" s="9" t="s">
        <v>65</v>
      </c>
    </row>
    <row r="14" spans="1:9" x14ac:dyDescent="0.2">
      <c r="A14" s="10" t="s">
        <v>9</v>
      </c>
      <c r="B14" s="45">
        <v>38870.870999999999</v>
      </c>
      <c r="C14" s="46" t="s">
        <v>65</v>
      </c>
      <c r="D14" s="45">
        <v>18341.166000000001</v>
      </c>
      <c r="E14" s="46" t="s">
        <v>65</v>
      </c>
      <c r="F14" s="45">
        <v>20529.705000000002</v>
      </c>
      <c r="G14" s="46" t="s">
        <v>65</v>
      </c>
      <c r="H14" s="46" t="s">
        <v>15</v>
      </c>
      <c r="I14" s="46" t="s">
        <v>65</v>
      </c>
    </row>
    <row r="15" spans="1:9" x14ac:dyDescent="0.2">
      <c r="A15" s="10" t="s">
        <v>16</v>
      </c>
      <c r="B15" s="11">
        <v>1772.8589999999999</v>
      </c>
      <c r="C15" s="12" t="s">
        <v>65</v>
      </c>
      <c r="D15" s="11">
        <v>106.121</v>
      </c>
      <c r="E15" s="12" t="s">
        <v>65</v>
      </c>
      <c r="F15" s="11">
        <v>1666.7380000000001</v>
      </c>
      <c r="G15" s="12" t="s">
        <v>65</v>
      </c>
      <c r="H15" s="12" t="s">
        <v>15</v>
      </c>
      <c r="I15" s="12" t="s">
        <v>65</v>
      </c>
    </row>
    <row r="16" spans="1:9" x14ac:dyDescent="0.2">
      <c r="A16" s="10" t="s">
        <v>17</v>
      </c>
      <c r="B16" s="47">
        <v>0</v>
      </c>
      <c r="C16" s="46" t="s">
        <v>65</v>
      </c>
      <c r="D16" s="47">
        <v>0</v>
      </c>
      <c r="E16" s="46" t="s">
        <v>65</v>
      </c>
      <c r="F16" s="47">
        <v>0</v>
      </c>
      <c r="G16" s="46" t="s">
        <v>65</v>
      </c>
      <c r="H16" s="46" t="s">
        <v>15</v>
      </c>
      <c r="I16" s="46" t="s">
        <v>65</v>
      </c>
    </row>
    <row r="17" spans="1:9" x14ac:dyDescent="0.2">
      <c r="A17" s="10" t="s">
        <v>18</v>
      </c>
      <c r="B17" s="15">
        <v>0</v>
      </c>
      <c r="C17" s="12" t="s">
        <v>65</v>
      </c>
      <c r="D17" s="15">
        <v>0</v>
      </c>
      <c r="E17" s="12" t="s">
        <v>65</v>
      </c>
      <c r="F17" s="15">
        <v>0</v>
      </c>
      <c r="G17" s="12" t="s">
        <v>65</v>
      </c>
      <c r="H17" s="12" t="s">
        <v>15</v>
      </c>
      <c r="I17" s="12" t="s">
        <v>65</v>
      </c>
    </row>
    <row r="18" spans="1:9" x14ac:dyDescent="0.2">
      <c r="A18" s="10" t="s">
        <v>19</v>
      </c>
      <c r="B18" s="47">
        <v>0</v>
      </c>
      <c r="C18" s="46" t="s">
        <v>65</v>
      </c>
      <c r="D18" s="47">
        <v>0</v>
      </c>
      <c r="E18" s="46" t="s">
        <v>65</v>
      </c>
      <c r="F18" s="47">
        <v>0</v>
      </c>
      <c r="G18" s="46" t="s">
        <v>65</v>
      </c>
      <c r="H18" s="46" t="s">
        <v>15</v>
      </c>
      <c r="I18" s="46" t="s">
        <v>65</v>
      </c>
    </row>
    <row r="19" spans="1:9" x14ac:dyDescent="0.2">
      <c r="A19" s="10" t="s">
        <v>20</v>
      </c>
      <c r="B19" s="15">
        <v>0</v>
      </c>
      <c r="C19" s="12" t="s">
        <v>65</v>
      </c>
      <c r="D19" s="15">
        <v>0</v>
      </c>
      <c r="E19" s="12" t="s">
        <v>65</v>
      </c>
      <c r="F19" s="15">
        <v>0</v>
      </c>
      <c r="G19" s="12" t="s">
        <v>65</v>
      </c>
      <c r="H19" s="12" t="s">
        <v>15</v>
      </c>
      <c r="I19" s="12" t="s">
        <v>65</v>
      </c>
    </row>
    <row r="20" spans="1:9" x14ac:dyDescent="0.2">
      <c r="A20" s="10" t="s">
        <v>21</v>
      </c>
      <c r="B20" s="47">
        <v>0</v>
      </c>
      <c r="C20" s="46" t="s">
        <v>65</v>
      </c>
      <c r="D20" s="47">
        <v>0</v>
      </c>
      <c r="E20" s="46" t="s">
        <v>65</v>
      </c>
      <c r="F20" s="47">
        <v>0</v>
      </c>
      <c r="G20" s="46" t="s">
        <v>65</v>
      </c>
      <c r="H20" s="46" t="s">
        <v>15</v>
      </c>
      <c r="I20" s="46" t="s">
        <v>65</v>
      </c>
    </row>
    <row r="21" spans="1:9" x14ac:dyDescent="0.2">
      <c r="A21" s="10" t="s">
        <v>22</v>
      </c>
      <c r="B21" s="15">
        <v>0</v>
      </c>
      <c r="C21" s="12" t="s">
        <v>65</v>
      </c>
      <c r="D21" s="15">
        <v>0</v>
      </c>
      <c r="E21" s="12" t="s">
        <v>65</v>
      </c>
      <c r="F21" s="15">
        <v>0</v>
      </c>
      <c r="G21" s="12" t="s">
        <v>65</v>
      </c>
      <c r="H21" s="12" t="s">
        <v>15</v>
      </c>
      <c r="I21" s="12" t="s">
        <v>65</v>
      </c>
    </row>
    <row r="22" spans="1:9" x14ac:dyDescent="0.2">
      <c r="A22" s="10" t="s">
        <v>23</v>
      </c>
      <c r="B22" s="45">
        <v>106.10899999999999</v>
      </c>
      <c r="C22" s="46" t="s">
        <v>65</v>
      </c>
      <c r="D22" s="45">
        <v>106.10899999999999</v>
      </c>
      <c r="E22" s="46" t="s">
        <v>65</v>
      </c>
      <c r="F22" s="47">
        <v>0</v>
      </c>
      <c r="G22" s="46" t="s">
        <v>65</v>
      </c>
      <c r="H22" s="46" t="s">
        <v>15</v>
      </c>
      <c r="I22" s="46" t="s">
        <v>65</v>
      </c>
    </row>
    <row r="23" spans="1:9" x14ac:dyDescent="0.2">
      <c r="A23" s="10" t="s">
        <v>24</v>
      </c>
      <c r="B23" s="15">
        <v>1666.75</v>
      </c>
      <c r="C23" s="12" t="s">
        <v>65</v>
      </c>
      <c r="D23" s="11">
        <v>1.2E-2</v>
      </c>
      <c r="E23" s="12" t="s">
        <v>65</v>
      </c>
      <c r="F23" s="11">
        <v>1666.7380000000001</v>
      </c>
      <c r="G23" s="12" t="s">
        <v>65</v>
      </c>
      <c r="H23" s="12" t="s">
        <v>15</v>
      </c>
      <c r="I23" s="12" t="s">
        <v>65</v>
      </c>
    </row>
    <row r="24" spans="1:9" x14ac:dyDescent="0.2">
      <c r="A24" s="10" t="s">
        <v>25</v>
      </c>
      <c r="B24" s="47">
        <v>0</v>
      </c>
      <c r="C24" s="46" t="s">
        <v>65</v>
      </c>
      <c r="D24" s="47">
        <v>0</v>
      </c>
      <c r="E24" s="46" t="s">
        <v>65</v>
      </c>
      <c r="F24" s="47">
        <v>0</v>
      </c>
      <c r="G24" s="46" t="s">
        <v>65</v>
      </c>
      <c r="H24" s="46" t="s">
        <v>15</v>
      </c>
      <c r="I24" s="46" t="s">
        <v>65</v>
      </c>
    </row>
    <row r="25" spans="1:9" x14ac:dyDescent="0.2">
      <c r="A25" s="10" t="s">
        <v>26</v>
      </c>
      <c r="B25" s="15">
        <v>0</v>
      </c>
      <c r="C25" s="12" t="s">
        <v>65</v>
      </c>
      <c r="D25" s="15">
        <v>0</v>
      </c>
      <c r="E25" s="12" t="s">
        <v>65</v>
      </c>
      <c r="F25" s="15">
        <v>0</v>
      </c>
      <c r="G25" s="12" t="s">
        <v>65</v>
      </c>
      <c r="H25" s="12" t="s">
        <v>15</v>
      </c>
      <c r="I25" s="12" t="s">
        <v>65</v>
      </c>
    </row>
    <row r="26" spans="1:9" x14ac:dyDescent="0.2">
      <c r="A26" s="10" t="s">
        <v>27</v>
      </c>
      <c r="B26" s="47">
        <v>0</v>
      </c>
      <c r="C26" s="46" t="s">
        <v>65</v>
      </c>
      <c r="D26" s="47">
        <v>0</v>
      </c>
      <c r="E26" s="46" t="s">
        <v>65</v>
      </c>
      <c r="F26" s="47">
        <v>0</v>
      </c>
      <c r="G26" s="46" t="s">
        <v>65</v>
      </c>
      <c r="H26" s="46" t="s">
        <v>15</v>
      </c>
      <c r="I26" s="46" t="s">
        <v>65</v>
      </c>
    </row>
    <row r="27" spans="1:9" x14ac:dyDescent="0.2">
      <c r="A27" s="10" t="s">
        <v>28</v>
      </c>
      <c r="B27" s="15">
        <v>0</v>
      </c>
      <c r="C27" s="12" t="s">
        <v>65</v>
      </c>
      <c r="D27" s="15">
        <v>0</v>
      </c>
      <c r="E27" s="12" t="s">
        <v>65</v>
      </c>
      <c r="F27" s="15">
        <v>0</v>
      </c>
      <c r="G27" s="12" t="s">
        <v>65</v>
      </c>
      <c r="H27" s="12" t="s">
        <v>15</v>
      </c>
      <c r="I27" s="12" t="s">
        <v>65</v>
      </c>
    </row>
    <row r="28" spans="1:9" x14ac:dyDescent="0.2">
      <c r="A28" s="10" t="s">
        <v>29</v>
      </c>
      <c r="B28" s="47">
        <v>0</v>
      </c>
      <c r="C28" s="46" t="s">
        <v>65</v>
      </c>
      <c r="D28" s="47">
        <v>0</v>
      </c>
      <c r="E28" s="46" t="s">
        <v>65</v>
      </c>
      <c r="F28" s="47">
        <v>0</v>
      </c>
      <c r="G28" s="46" t="s">
        <v>65</v>
      </c>
      <c r="H28" s="46" t="s">
        <v>15</v>
      </c>
      <c r="I28" s="46" t="s">
        <v>65</v>
      </c>
    </row>
    <row r="29" spans="1:9" x14ac:dyDescent="0.2">
      <c r="A29" s="10" t="s">
        <v>30</v>
      </c>
      <c r="B29" s="15">
        <v>0</v>
      </c>
      <c r="C29" s="12" t="s">
        <v>65</v>
      </c>
      <c r="D29" s="15">
        <v>0</v>
      </c>
      <c r="E29" s="12" t="s">
        <v>65</v>
      </c>
      <c r="F29" s="15">
        <v>0</v>
      </c>
      <c r="G29" s="12" t="s">
        <v>65</v>
      </c>
      <c r="H29" s="12" t="s">
        <v>15</v>
      </c>
      <c r="I29" s="12" t="s">
        <v>65</v>
      </c>
    </row>
    <row r="30" spans="1:9" x14ac:dyDescent="0.2">
      <c r="A30" s="10" t="s">
        <v>31</v>
      </c>
      <c r="B30" s="45">
        <v>7597.2139999999999</v>
      </c>
      <c r="C30" s="46" t="s">
        <v>65</v>
      </c>
      <c r="D30" s="45">
        <v>1772.8969999999999</v>
      </c>
      <c r="E30" s="46" t="s">
        <v>65</v>
      </c>
      <c r="F30" s="45">
        <v>5824.317</v>
      </c>
      <c r="G30" s="46" t="s">
        <v>65</v>
      </c>
      <c r="H30" s="46" t="s">
        <v>15</v>
      </c>
      <c r="I30" s="46" t="s">
        <v>65</v>
      </c>
    </row>
    <row r="31" spans="1:9" x14ac:dyDescent="0.2">
      <c r="A31" s="10" t="s">
        <v>32</v>
      </c>
      <c r="B31" s="11">
        <v>137.82499999999999</v>
      </c>
      <c r="C31" s="12" t="s">
        <v>65</v>
      </c>
      <c r="D31" s="11">
        <v>6.2069999999999999</v>
      </c>
      <c r="E31" s="12" t="s">
        <v>65</v>
      </c>
      <c r="F31" s="11">
        <v>131.61799999999999</v>
      </c>
      <c r="G31" s="12" t="s">
        <v>65</v>
      </c>
      <c r="H31" s="12" t="s">
        <v>15</v>
      </c>
      <c r="I31" s="12" t="s">
        <v>65</v>
      </c>
    </row>
    <row r="32" spans="1:9" x14ac:dyDescent="0.2">
      <c r="A32" s="10" t="s">
        <v>33</v>
      </c>
      <c r="B32" s="47">
        <v>4434.6099999999997</v>
      </c>
      <c r="C32" s="46" t="s">
        <v>65</v>
      </c>
      <c r="D32" s="47">
        <v>208.28</v>
      </c>
      <c r="E32" s="46" t="s">
        <v>65</v>
      </c>
      <c r="F32" s="47">
        <v>4226.33</v>
      </c>
      <c r="G32" s="46" t="s">
        <v>65</v>
      </c>
      <c r="H32" s="46" t="s">
        <v>15</v>
      </c>
      <c r="I32" s="46" t="s">
        <v>65</v>
      </c>
    </row>
    <row r="33" spans="1:9" x14ac:dyDescent="0.2">
      <c r="A33" s="10" t="s">
        <v>34</v>
      </c>
      <c r="B33" s="15">
        <v>0.69</v>
      </c>
      <c r="C33" s="12" t="s">
        <v>65</v>
      </c>
      <c r="D33" s="15">
        <v>0.69</v>
      </c>
      <c r="E33" s="12" t="s">
        <v>65</v>
      </c>
      <c r="F33" s="15">
        <v>0</v>
      </c>
      <c r="G33" s="12" t="s">
        <v>65</v>
      </c>
      <c r="H33" s="12" t="s">
        <v>15</v>
      </c>
      <c r="I33" s="12" t="s">
        <v>65</v>
      </c>
    </row>
    <row r="34" spans="1:9" x14ac:dyDescent="0.2">
      <c r="A34" s="10" t="s">
        <v>35</v>
      </c>
      <c r="B34" s="45">
        <v>66.462999999999994</v>
      </c>
      <c r="C34" s="46" t="s">
        <v>65</v>
      </c>
      <c r="D34" s="45">
        <v>54.414999999999999</v>
      </c>
      <c r="E34" s="46" t="s">
        <v>65</v>
      </c>
      <c r="F34" s="45">
        <v>12.048</v>
      </c>
      <c r="G34" s="46" t="s">
        <v>65</v>
      </c>
      <c r="H34" s="46" t="s">
        <v>15</v>
      </c>
      <c r="I34" s="46" t="s">
        <v>65</v>
      </c>
    </row>
    <row r="35" spans="1:9" x14ac:dyDescent="0.2">
      <c r="A35" s="10" t="s">
        <v>36</v>
      </c>
      <c r="B35" s="11">
        <v>38.762</v>
      </c>
      <c r="C35" s="12" t="s">
        <v>65</v>
      </c>
      <c r="D35" s="11">
        <v>38.762</v>
      </c>
      <c r="E35" s="12" t="s">
        <v>65</v>
      </c>
      <c r="F35" s="15">
        <v>0</v>
      </c>
      <c r="G35" s="12" t="s">
        <v>65</v>
      </c>
      <c r="H35" s="12" t="s">
        <v>15</v>
      </c>
      <c r="I35" s="12" t="s">
        <v>65</v>
      </c>
    </row>
    <row r="36" spans="1:9" x14ac:dyDescent="0.2">
      <c r="A36" s="10" t="s">
        <v>37</v>
      </c>
      <c r="B36" s="45">
        <v>329.36099999999999</v>
      </c>
      <c r="C36" s="46" t="s">
        <v>65</v>
      </c>
      <c r="D36" s="45">
        <v>329.36099999999999</v>
      </c>
      <c r="E36" s="46" t="s">
        <v>65</v>
      </c>
      <c r="F36" s="47">
        <v>0</v>
      </c>
      <c r="G36" s="46" t="s">
        <v>65</v>
      </c>
      <c r="H36" s="46" t="s">
        <v>15</v>
      </c>
      <c r="I36" s="46" t="s">
        <v>65</v>
      </c>
    </row>
    <row r="37" spans="1:9" x14ac:dyDescent="0.2">
      <c r="A37" s="10" t="s">
        <v>38</v>
      </c>
      <c r="B37" s="11">
        <v>8.3979999999999997</v>
      </c>
      <c r="C37" s="12" t="s">
        <v>65</v>
      </c>
      <c r="D37" s="11">
        <v>8.3979999999999997</v>
      </c>
      <c r="E37" s="12" t="s">
        <v>65</v>
      </c>
      <c r="F37" s="15">
        <v>0</v>
      </c>
      <c r="G37" s="12" t="s">
        <v>65</v>
      </c>
      <c r="H37" s="12" t="s">
        <v>15</v>
      </c>
      <c r="I37" s="12" t="s">
        <v>65</v>
      </c>
    </row>
    <row r="38" spans="1:9" x14ac:dyDescent="0.2">
      <c r="A38" s="10" t="s">
        <v>39</v>
      </c>
      <c r="B38" s="45">
        <v>1213.597</v>
      </c>
      <c r="C38" s="46" t="s">
        <v>65</v>
      </c>
      <c r="D38" s="45">
        <v>103.20099999999999</v>
      </c>
      <c r="E38" s="46" t="s">
        <v>65</v>
      </c>
      <c r="F38" s="45">
        <v>1110.396</v>
      </c>
      <c r="G38" s="46" t="s">
        <v>65</v>
      </c>
      <c r="H38" s="46" t="s">
        <v>15</v>
      </c>
      <c r="I38" s="46" t="s">
        <v>65</v>
      </c>
    </row>
    <row r="39" spans="1:9" x14ac:dyDescent="0.2">
      <c r="A39" s="10" t="s">
        <v>40</v>
      </c>
      <c r="B39" s="11">
        <v>364.69499999999999</v>
      </c>
      <c r="C39" s="12" t="s">
        <v>65</v>
      </c>
      <c r="D39" s="11">
        <v>30.591999999999999</v>
      </c>
      <c r="E39" s="12" t="s">
        <v>65</v>
      </c>
      <c r="F39" s="11">
        <v>334.10300000000001</v>
      </c>
      <c r="G39" s="12" t="s">
        <v>65</v>
      </c>
      <c r="H39" s="12" t="s">
        <v>15</v>
      </c>
      <c r="I39" s="12" t="s">
        <v>65</v>
      </c>
    </row>
    <row r="40" spans="1:9" x14ac:dyDescent="0.2">
      <c r="A40" s="10" t="s">
        <v>41</v>
      </c>
      <c r="B40" s="45">
        <v>43.936</v>
      </c>
      <c r="C40" s="46" t="s">
        <v>65</v>
      </c>
      <c r="D40" s="45">
        <v>36.442</v>
      </c>
      <c r="E40" s="46" t="s">
        <v>65</v>
      </c>
      <c r="F40" s="45">
        <v>7.4939999999999998</v>
      </c>
      <c r="G40" s="46" t="s">
        <v>65</v>
      </c>
      <c r="H40" s="46" t="s">
        <v>15</v>
      </c>
      <c r="I40" s="46" t="s">
        <v>65</v>
      </c>
    </row>
    <row r="41" spans="1:9" x14ac:dyDescent="0.2">
      <c r="A41" s="10" t="s">
        <v>42</v>
      </c>
      <c r="B41" s="15">
        <v>395.42</v>
      </c>
      <c r="C41" s="12" t="s">
        <v>65</v>
      </c>
      <c r="D41" s="15">
        <v>395.42</v>
      </c>
      <c r="E41" s="12" t="s">
        <v>65</v>
      </c>
      <c r="F41" s="15">
        <v>0</v>
      </c>
      <c r="G41" s="12" t="s">
        <v>65</v>
      </c>
      <c r="H41" s="12" t="s">
        <v>15</v>
      </c>
      <c r="I41" s="12" t="s">
        <v>65</v>
      </c>
    </row>
    <row r="42" spans="1:9" x14ac:dyDescent="0.2">
      <c r="A42" s="10" t="s">
        <v>43</v>
      </c>
      <c r="B42" s="45">
        <v>18.969000000000001</v>
      </c>
      <c r="C42" s="46" t="s">
        <v>65</v>
      </c>
      <c r="D42" s="45">
        <v>18.969000000000001</v>
      </c>
      <c r="E42" s="46" t="s">
        <v>65</v>
      </c>
      <c r="F42" s="47">
        <v>0</v>
      </c>
      <c r="G42" s="46" t="s">
        <v>65</v>
      </c>
      <c r="H42" s="46" t="s">
        <v>15</v>
      </c>
      <c r="I42" s="46" t="s">
        <v>65</v>
      </c>
    </row>
    <row r="43" spans="1:9" x14ac:dyDescent="0.2">
      <c r="A43" s="10" t="s">
        <v>44</v>
      </c>
      <c r="B43" s="11">
        <v>544.48800000000006</v>
      </c>
      <c r="C43" s="12" t="s">
        <v>65</v>
      </c>
      <c r="D43" s="15">
        <v>542.16</v>
      </c>
      <c r="E43" s="12" t="s">
        <v>65</v>
      </c>
      <c r="F43" s="11">
        <v>2.3279999999999998</v>
      </c>
      <c r="G43" s="12" t="s">
        <v>65</v>
      </c>
      <c r="H43" s="12" t="s">
        <v>15</v>
      </c>
      <c r="I43" s="12" t="s">
        <v>65</v>
      </c>
    </row>
    <row r="44" spans="1:9" x14ac:dyDescent="0.2">
      <c r="A44" s="10" t="s">
        <v>45</v>
      </c>
      <c r="B44" s="47">
        <v>0</v>
      </c>
      <c r="C44" s="46" t="s">
        <v>65</v>
      </c>
      <c r="D44" s="47">
        <v>0</v>
      </c>
      <c r="E44" s="46" t="s">
        <v>65</v>
      </c>
      <c r="F44" s="47">
        <v>0</v>
      </c>
      <c r="G44" s="46" t="s">
        <v>65</v>
      </c>
      <c r="H44" s="46" t="s">
        <v>15</v>
      </c>
      <c r="I44" s="46" t="s">
        <v>65</v>
      </c>
    </row>
    <row r="45" spans="1:9" x14ac:dyDescent="0.2">
      <c r="A45" s="10" t="s">
        <v>46</v>
      </c>
      <c r="B45" s="15">
        <v>0</v>
      </c>
      <c r="C45" s="12" t="s">
        <v>65</v>
      </c>
      <c r="D45" s="15">
        <v>0</v>
      </c>
      <c r="E45" s="12" t="s">
        <v>65</v>
      </c>
      <c r="F45" s="15">
        <v>0</v>
      </c>
      <c r="G45" s="12" t="s">
        <v>65</v>
      </c>
      <c r="H45" s="12" t="s">
        <v>15</v>
      </c>
      <c r="I45" s="12" t="s">
        <v>65</v>
      </c>
    </row>
    <row r="46" spans="1:9" x14ac:dyDescent="0.2">
      <c r="A46" s="10" t="s">
        <v>47</v>
      </c>
      <c r="B46" s="47">
        <v>0</v>
      </c>
      <c r="C46" s="46" t="s">
        <v>65</v>
      </c>
      <c r="D46" s="47">
        <v>0</v>
      </c>
      <c r="E46" s="46" t="s">
        <v>65</v>
      </c>
      <c r="F46" s="47">
        <v>0</v>
      </c>
      <c r="G46" s="46" t="s">
        <v>65</v>
      </c>
      <c r="H46" s="46" t="s">
        <v>15</v>
      </c>
      <c r="I46" s="46" t="s">
        <v>65</v>
      </c>
    </row>
    <row r="47" spans="1:9" x14ac:dyDescent="0.2">
      <c r="A47" s="10" t="s">
        <v>48</v>
      </c>
      <c r="B47" s="15">
        <v>0</v>
      </c>
      <c r="C47" s="12" t="s">
        <v>65</v>
      </c>
      <c r="D47" s="15">
        <v>0</v>
      </c>
      <c r="E47" s="12" t="s">
        <v>65</v>
      </c>
      <c r="F47" s="15">
        <v>0</v>
      </c>
      <c r="G47" s="12" t="s">
        <v>65</v>
      </c>
      <c r="H47" s="12" t="s">
        <v>15</v>
      </c>
      <c r="I47" s="12" t="s">
        <v>65</v>
      </c>
    </row>
    <row r="48" spans="1:9" x14ac:dyDescent="0.2">
      <c r="A48" s="10" t="s">
        <v>49</v>
      </c>
      <c r="B48" s="45">
        <v>29500.797999999999</v>
      </c>
      <c r="C48" s="46" t="s">
        <v>65</v>
      </c>
      <c r="D48" s="45">
        <v>16462.148000000001</v>
      </c>
      <c r="E48" s="46" t="s">
        <v>65</v>
      </c>
      <c r="F48" s="47">
        <v>13038.65</v>
      </c>
      <c r="G48" s="46" t="s">
        <v>65</v>
      </c>
      <c r="H48" s="46" t="s">
        <v>15</v>
      </c>
      <c r="I48" s="46" t="s">
        <v>65</v>
      </c>
    </row>
    <row r="49" spans="1:9" x14ac:dyDescent="0.2">
      <c r="A49" s="10" t="s">
        <v>50</v>
      </c>
      <c r="B49" s="11">
        <v>9705.7240000000002</v>
      </c>
      <c r="C49" s="12" t="s">
        <v>65</v>
      </c>
      <c r="D49" s="15">
        <v>5710.18</v>
      </c>
      <c r="E49" s="12" t="s">
        <v>65</v>
      </c>
      <c r="F49" s="11">
        <v>3995.5439999999999</v>
      </c>
      <c r="G49" s="12" t="s">
        <v>65</v>
      </c>
      <c r="H49" s="12" t="s">
        <v>15</v>
      </c>
      <c r="I49" s="12" t="s">
        <v>65</v>
      </c>
    </row>
    <row r="50" spans="1:9" x14ac:dyDescent="0.2">
      <c r="A50" s="10" t="s">
        <v>51</v>
      </c>
      <c r="B50" s="45">
        <v>8439.2260000000006</v>
      </c>
      <c r="C50" s="46" t="s">
        <v>65</v>
      </c>
      <c r="D50" s="45">
        <v>8439.2260000000006</v>
      </c>
      <c r="E50" s="46" t="s">
        <v>65</v>
      </c>
      <c r="F50" s="47">
        <v>0</v>
      </c>
      <c r="G50" s="46" t="s">
        <v>65</v>
      </c>
      <c r="H50" s="46" t="s">
        <v>15</v>
      </c>
      <c r="I50" s="46" t="s">
        <v>65</v>
      </c>
    </row>
    <row r="51" spans="1:9" x14ac:dyDescent="0.2">
      <c r="A51" s="10" t="s">
        <v>52</v>
      </c>
      <c r="B51" s="11">
        <v>11355.712</v>
      </c>
      <c r="C51" s="12" t="s">
        <v>65</v>
      </c>
      <c r="D51" s="11">
        <v>2312.7420000000002</v>
      </c>
      <c r="E51" s="12" t="s">
        <v>65</v>
      </c>
      <c r="F51" s="15">
        <v>9042.9699999999993</v>
      </c>
      <c r="G51" s="12" t="s">
        <v>65</v>
      </c>
      <c r="H51" s="12" t="s">
        <v>15</v>
      </c>
      <c r="I51" s="12" t="s">
        <v>65</v>
      </c>
    </row>
    <row r="52" spans="1:9" x14ac:dyDescent="0.2">
      <c r="A52" s="10" t="s">
        <v>98</v>
      </c>
      <c r="B52" s="45">
        <v>11355.712</v>
      </c>
      <c r="C52" s="46" t="s">
        <v>65</v>
      </c>
      <c r="D52" s="45">
        <v>2312.7420000000002</v>
      </c>
      <c r="E52" s="46" t="s">
        <v>65</v>
      </c>
      <c r="F52" s="47">
        <v>9042.9699999999993</v>
      </c>
      <c r="G52" s="46" t="s">
        <v>65</v>
      </c>
      <c r="H52" s="46" t="s">
        <v>15</v>
      </c>
      <c r="I52" s="46" t="s">
        <v>65</v>
      </c>
    </row>
    <row r="53" spans="1:9" x14ac:dyDescent="0.2">
      <c r="A53" s="10" t="s">
        <v>99</v>
      </c>
      <c r="B53" s="15">
        <v>0</v>
      </c>
      <c r="C53" s="12" t="s">
        <v>65</v>
      </c>
      <c r="D53" s="15">
        <v>0</v>
      </c>
      <c r="E53" s="12" t="s">
        <v>65</v>
      </c>
      <c r="F53" s="15">
        <v>0</v>
      </c>
      <c r="G53" s="12" t="s">
        <v>65</v>
      </c>
      <c r="H53" s="12" t="s">
        <v>15</v>
      </c>
      <c r="I53" s="12" t="s">
        <v>65</v>
      </c>
    </row>
    <row r="54" spans="1:9" x14ac:dyDescent="0.2">
      <c r="A54" s="10" t="s">
        <v>53</v>
      </c>
      <c r="B54" s="47">
        <v>0</v>
      </c>
      <c r="C54" s="46" t="s">
        <v>65</v>
      </c>
      <c r="D54" s="47">
        <v>0</v>
      </c>
      <c r="E54" s="46" t="s">
        <v>65</v>
      </c>
      <c r="F54" s="47">
        <v>0</v>
      </c>
      <c r="G54" s="46" t="s">
        <v>65</v>
      </c>
      <c r="H54" s="46" t="s">
        <v>15</v>
      </c>
      <c r="I54" s="46" t="s">
        <v>65</v>
      </c>
    </row>
    <row r="55" spans="1:9" x14ac:dyDescent="0.2">
      <c r="A55" s="10" t="s">
        <v>54</v>
      </c>
      <c r="B55" s="11">
        <v>0.13600000000000001</v>
      </c>
      <c r="C55" s="12" t="s">
        <v>65</v>
      </c>
      <c r="D55" s="15">
        <v>0</v>
      </c>
      <c r="E55" s="12" t="s">
        <v>65</v>
      </c>
      <c r="F55" s="11">
        <v>0.13600000000000001</v>
      </c>
      <c r="G55" s="12" t="s">
        <v>65</v>
      </c>
      <c r="H55" s="12" t="s">
        <v>15</v>
      </c>
      <c r="I55" s="12" t="s">
        <v>65</v>
      </c>
    </row>
    <row r="57" spans="1:9" x14ac:dyDescent="0.2">
      <c r="A57" s="7" t="s">
        <v>66</v>
      </c>
    </row>
    <row r="58" spans="1:9" x14ac:dyDescent="0.2">
      <c r="A58" s="7" t="s">
        <v>15</v>
      </c>
      <c r="B58" s="5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1960-C935-6048-9355-9940C337CA7B}">
  <sheetPr>
    <tabColor theme="9" tint="0.59999389629810485"/>
  </sheetPr>
  <dimension ref="A1:I58"/>
  <sheetViews>
    <sheetView workbookViewId="0">
      <pane xSplit="1" ySplit="13" topLeftCell="B14" activePane="bottomRight" state="frozen"/>
      <selection pane="topRight"/>
      <selection pane="bottomLeft"/>
      <selection pane="bottomRight" activeCell="B12" sqref="B12:C12"/>
    </sheetView>
  </sheetViews>
  <sheetFormatPr baseColWidth="10" defaultColWidth="8.83203125" defaultRowHeight="11.25" customHeight="1" x14ac:dyDescent="0.2"/>
  <cols>
    <col min="1" max="1" width="60.5" style="6" bestFit="1" customWidth="1"/>
    <col min="2" max="2" width="10" style="6" customWidth="1"/>
    <col min="3" max="3" width="5" style="6" customWidth="1"/>
    <col min="4" max="4" width="11" style="6" customWidth="1"/>
    <col min="5" max="5" width="5" style="6" customWidth="1"/>
    <col min="6" max="6" width="20" style="6" customWidth="1"/>
    <col min="7" max="7" width="5" style="6" customWidth="1"/>
    <col min="8" max="8" width="10" style="6" customWidth="1"/>
    <col min="9" max="9" width="5" style="6" customWidth="1"/>
    <col min="10" max="16384" width="8.83203125" style="6"/>
  </cols>
  <sheetData>
    <row r="1" spans="1:9" x14ac:dyDescent="0.2">
      <c r="A1" s="5" t="s">
        <v>111</v>
      </c>
    </row>
    <row r="2" spans="1:9" x14ac:dyDescent="0.2">
      <c r="A2" s="5" t="s">
        <v>58</v>
      </c>
      <c r="B2" s="7" t="s">
        <v>103</v>
      </c>
    </row>
    <row r="3" spans="1:9" x14ac:dyDescent="0.2">
      <c r="A3" s="5" t="s">
        <v>59</v>
      </c>
      <c r="B3" s="5" t="s">
        <v>104</v>
      </c>
    </row>
    <row r="4" spans="1:9" x14ac:dyDescent="0.2"/>
    <row r="5" spans="1:9" x14ac:dyDescent="0.2">
      <c r="A5" s="7" t="s">
        <v>60</v>
      </c>
      <c r="C5" s="5" t="s">
        <v>61</v>
      </c>
    </row>
    <row r="6" spans="1:9" x14ac:dyDescent="0.2">
      <c r="A6" s="7" t="s">
        <v>105</v>
      </c>
      <c r="C6" s="5" t="s">
        <v>106</v>
      </c>
    </row>
    <row r="7" spans="1:9" x14ac:dyDescent="0.2">
      <c r="A7" s="7" t="s">
        <v>107</v>
      </c>
      <c r="C7" s="5" t="s">
        <v>2</v>
      </c>
    </row>
    <row r="8" spans="1:9" x14ac:dyDescent="0.2">
      <c r="A8" s="7" t="s">
        <v>62</v>
      </c>
      <c r="C8" s="5" t="s">
        <v>68</v>
      </c>
    </row>
    <row r="9" spans="1:9" x14ac:dyDescent="0.2">
      <c r="A9" s="7" t="s">
        <v>63</v>
      </c>
      <c r="C9" s="5" t="s">
        <v>0</v>
      </c>
    </row>
    <row r="10" spans="1:9" x14ac:dyDescent="0.2">
      <c r="A10" s="7" t="s">
        <v>64</v>
      </c>
      <c r="C10" s="5" t="s">
        <v>97</v>
      </c>
    </row>
    <row r="11" spans="1:9" x14ac:dyDescent="0.2"/>
    <row r="12" spans="1:9" x14ac:dyDescent="0.2">
      <c r="A12" s="13" t="s">
        <v>109</v>
      </c>
      <c r="B12" s="57" t="s">
        <v>1</v>
      </c>
      <c r="C12" s="57" t="s">
        <v>65</v>
      </c>
      <c r="D12" s="57" t="s">
        <v>3</v>
      </c>
      <c r="E12" s="57" t="s">
        <v>65</v>
      </c>
      <c r="F12" s="57" t="s">
        <v>110</v>
      </c>
      <c r="G12" s="57" t="s">
        <v>65</v>
      </c>
      <c r="H12" s="57" t="s">
        <v>2</v>
      </c>
      <c r="I12" s="57" t="s">
        <v>65</v>
      </c>
    </row>
    <row r="13" spans="1:9" x14ac:dyDescent="0.2">
      <c r="A13" s="8" t="s">
        <v>55</v>
      </c>
      <c r="B13" s="9" t="s">
        <v>65</v>
      </c>
      <c r="C13" s="9" t="s">
        <v>65</v>
      </c>
      <c r="D13" s="9" t="s">
        <v>65</v>
      </c>
      <c r="E13" s="9" t="s">
        <v>65</v>
      </c>
      <c r="F13" s="9" t="s">
        <v>65</v>
      </c>
      <c r="G13" s="9" t="s">
        <v>65</v>
      </c>
      <c r="H13" s="9" t="s">
        <v>65</v>
      </c>
      <c r="I13" s="9" t="s">
        <v>65</v>
      </c>
    </row>
    <row r="14" spans="1:9" x14ac:dyDescent="0.2">
      <c r="A14" s="10" t="s">
        <v>9</v>
      </c>
      <c r="B14" s="45">
        <v>44296.631999999998</v>
      </c>
      <c r="C14" s="46" t="s">
        <v>65</v>
      </c>
      <c r="D14" s="46" t="s">
        <v>15</v>
      </c>
      <c r="E14" s="46" t="s">
        <v>65</v>
      </c>
      <c r="F14" s="47">
        <v>33365.03</v>
      </c>
      <c r="G14" s="46" t="s">
        <v>65</v>
      </c>
      <c r="H14" s="45">
        <v>10931.602000000001</v>
      </c>
      <c r="I14" s="46" t="s">
        <v>65</v>
      </c>
    </row>
    <row r="15" spans="1:9" x14ac:dyDescent="0.2">
      <c r="A15" s="10" t="s">
        <v>16</v>
      </c>
      <c r="B15" s="11">
        <v>6575.3239999999996</v>
      </c>
      <c r="C15" s="12" t="s">
        <v>65</v>
      </c>
      <c r="D15" s="12" t="s">
        <v>15</v>
      </c>
      <c r="E15" s="12" t="s">
        <v>65</v>
      </c>
      <c r="F15" s="11">
        <v>6575.3239999999996</v>
      </c>
      <c r="G15" s="12" t="s">
        <v>65</v>
      </c>
      <c r="H15" s="15">
        <v>0</v>
      </c>
      <c r="I15" s="12" t="s">
        <v>65</v>
      </c>
    </row>
    <row r="16" spans="1:9" x14ac:dyDescent="0.2">
      <c r="A16" s="10" t="s">
        <v>17</v>
      </c>
      <c r="B16" s="47">
        <v>0</v>
      </c>
      <c r="C16" s="46" t="s">
        <v>65</v>
      </c>
      <c r="D16" s="46" t="s">
        <v>15</v>
      </c>
      <c r="E16" s="46" t="s">
        <v>65</v>
      </c>
      <c r="F16" s="47">
        <v>0</v>
      </c>
      <c r="G16" s="46" t="s">
        <v>65</v>
      </c>
      <c r="H16" s="47">
        <v>0</v>
      </c>
      <c r="I16" s="46" t="s">
        <v>65</v>
      </c>
    </row>
    <row r="17" spans="1:9" x14ac:dyDescent="0.2">
      <c r="A17" s="10" t="s">
        <v>18</v>
      </c>
      <c r="B17" s="15">
        <v>0</v>
      </c>
      <c r="C17" s="12" t="s">
        <v>65</v>
      </c>
      <c r="D17" s="12" t="s">
        <v>15</v>
      </c>
      <c r="E17" s="12" t="s">
        <v>65</v>
      </c>
      <c r="F17" s="15">
        <v>0</v>
      </c>
      <c r="G17" s="12" t="s">
        <v>65</v>
      </c>
      <c r="H17" s="15">
        <v>0</v>
      </c>
      <c r="I17" s="12" t="s">
        <v>65</v>
      </c>
    </row>
    <row r="18" spans="1:9" x14ac:dyDescent="0.2">
      <c r="A18" s="10" t="s">
        <v>19</v>
      </c>
      <c r="B18" s="47">
        <v>0</v>
      </c>
      <c r="C18" s="46" t="s">
        <v>65</v>
      </c>
      <c r="D18" s="46" t="s">
        <v>15</v>
      </c>
      <c r="E18" s="46" t="s">
        <v>65</v>
      </c>
      <c r="F18" s="47">
        <v>0</v>
      </c>
      <c r="G18" s="46" t="s">
        <v>65</v>
      </c>
      <c r="H18" s="47">
        <v>0</v>
      </c>
      <c r="I18" s="46" t="s">
        <v>65</v>
      </c>
    </row>
    <row r="19" spans="1:9" x14ac:dyDescent="0.2">
      <c r="A19" s="10" t="s">
        <v>20</v>
      </c>
      <c r="B19" s="15">
        <v>0</v>
      </c>
      <c r="C19" s="12" t="s">
        <v>65</v>
      </c>
      <c r="D19" s="12" t="s">
        <v>15</v>
      </c>
      <c r="E19" s="12" t="s">
        <v>65</v>
      </c>
      <c r="F19" s="15">
        <v>0</v>
      </c>
      <c r="G19" s="12" t="s">
        <v>65</v>
      </c>
      <c r="H19" s="15">
        <v>0</v>
      </c>
      <c r="I19" s="12" t="s">
        <v>65</v>
      </c>
    </row>
    <row r="20" spans="1:9" x14ac:dyDescent="0.2">
      <c r="A20" s="10" t="s">
        <v>21</v>
      </c>
      <c r="B20" s="47">
        <v>0</v>
      </c>
      <c r="C20" s="46" t="s">
        <v>65</v>
      </c>
      <c r="D20" s="46" t="s">
        <v>15</v>
      </c>
      <c r="E20" s="46" t="s">
        <v>65</v>
      </c>
      <c r="F20" s="47">
        <v>0</v>
      </c>
      <c r="G20" s="46" t="s">
        <v>65</v>
      </c>
      <c r="H20" s="47">
        <v>0</v>
      </c>
      <c r="I20" s="46" t="s">
        <v>65</v>
      </c>
    </row>
    <row r="21" spans="1:9" x14ac:dyDescent="0.2">
      <c r="A21" s="10" t="s">
        <v>22</v>
      </c>
      <c r="B21" s="15">
        <v>0</v>
      </c>
      <c r="C21" s="12" t="s">
        <v>65</v>
      </c>
      <c r="D21" s="12" t="s">
        <v>15</v>
      </c>
      <c r="E21" s="12" t="s">
        <v>65</v>
      </c>
      <c r="F21" s="15">
        <v>0</v>
      </c>
      <c r="G21" s="12" t="s">
        <v>65</v>
      </c>
      <c r="H21" s="15">
        <v>0</v>
      </c>
      <c r="I21" s="12" t="s">
        <v>65</v>
      </c>
    </row>
    <row r="22" spans="1:9" x14ac:dyDescent="0.2">
      <c r="A22" s="10" t="s">
        <v>23</v>
      </c>
      <c r="B22" s="47">
        <v>0</v>
      </c>
      <c r="C22" s="46" t="s">
        <v>65</v>
      </c>
      <c r="D22" s="46" t="s">
        <v>15</v>
      </c>
      <c r="E22" s="46" t="s">
        <v>65</v>
      </c>
      <c r="F22" s="47">
        <v>0</v>
      </c>
      <c r="G22" s="46" t="s">
        <v>65</v>
      </c>
      <c r="H22" s="47">
        <v>0</v>
      </c>
      <c r="I22" s="46" t="s">
        <v>65</v>
      </c>
    </row>
    <row r="23" spans="1:9" x14ac:dyDescent="0.2">
      <c r="A23" s="10" t="s">
        <v>24</v>
      </c>
      <c r="B23" s="11">
        <v>6575.3239999999996</v>
      </c>
      <c r="C23" s="12" t="s">
        <v>65</v>
      </c>
      <c r="D23" s="12" t="s">
        <v>15</v>
      </c>
      <c r="E23" s="12" t="s">
        <v>65</v>
      </c>
      <c r="F23" s="11">
        <v>6575.3239999999996</v>
      </c>
      <c r="G23" s="12" t="s">
        <v>65</v>
      </c>
      <c r="H23" s="15">
        <v>0</v>
      </c>
      <c r="I23" s="12" t="s">
        <v>65</v>
      </c>
    </row>
    <row r="24" spans="1:9" x14ac:dyDescent="0.2">
      <c r="A24" s="10" t="s">
        <v>25</v>
      </c>
      <c r="B24" s="47">
        <v>0</v>
      </c>
      <c r="C24" s="46" t="s">
        <v>65</v>
      </c>
      <c r="D24" s="46" t="s">
        <v>15</v>
      </c>
      <c r="E24" s="46" t="s">
        <v>65</v>
      </c>
      <c r="F24" s="47">
        <v>0</v>
      </c>
      <c r="G24" s="46" t="s">
        <v>65</v>
      </c>
      <c r="H24" s="47">
        <v>0</v>
      </c>
      <c r="I24" s="46" t="s">
        <v>65</v>
      </c>
    </row>
    <row r="25" spans="1:9" x14ac:dyDescent="0.2">
      <c r="A25" s="10" t="s">
        <v>26</v>
      </c>
      <c r="B25" s="15">
        <v>0</v>
      </c>
      <c r="C25" s="12" t="s">
        <v>65</v>
      </c>
      <c r="D25" s="12" t="s">
        <v>15</v>
      </c>
      <c r="E25" s="12" t="s">
        <v>65</v>
      </c>
      <c r="F25" s="15">
        <v>0</v>
      </c>
      <c r="G25" s="12" t="s">
        <v>65</v>
      </c>
      <c r="H25" s="15">
        <v>0</v>
      </c>
      <c r="I25" s="12" t="s">
        <v>65</v>
      </c>
    </row>
    <row r="26" spans="1:9" x14ac:dyDescent="0.2">
      <c r="A26" s="10" t="s">
        <v>27</v>
      </c>
      <c r="B26" s="47">
        <v>0</v>
      </c>
      <c r="C26" s="46" t="s">
        <v>65</v>
      </c>
      <c r="D26" s="46" t="s">
        <v>15</v>
      </c>
      <c r="E26" s="46" t="s">
        <v>65</v>
      </c>
      <c r="F26" s="47">
        <v>0</v>
      </c>
      <c r="G26" s="46" t="s">
        <v>65</v>
      </c>
      <c r="H26" s="47">
        <v>0</v>
      </c>
      <c r="I26" s="46" t="s">
        <v>65</v>
      </c>
    </row>
    <row r="27" spans="1:9" x14ac:dyDescent="0.2">
      <c r="A27" s="10" t="s">
        <v>28</v>
      </c>
      <c r="B27" s="15">
        <v>0</v>
      </c>
      <c r="C27" s="12" t="s">
        <v>65</v>
      </c>
      <c r="D27" s="12" t="s">
        <v>15</v>
      </c>
      <c r="E27" s="12" t="s">
        <v>65</v>
      </c>
      <c r="F27" s="15">
        <v>0</v>
      </c>
      <c r="G27" s="12" t="s">
        <v>65</v>
      </c>
      <c r="H27" s="15">
        <v>0</v>
      </c>
      <c r="I27" s="12" t="s">
        <v>65</v>
      </c>
    </row>
    <row r="28" spans="1:9" x14ac:dyDescent="0.2">
      <c r="A28" s="10" t="s">
        <v>29</v>
      </c>
      <c r="B28" s="47">
        <v>0</v>
      </c>
      <c r="C28" s="46" t="s">
        <v>65</v>
      </c>
      <c r="D28" s="46" t="s">
        <v>15</v>
      </c>
      <c r="E28" s="46" t="s">
        <v>65</v>
      </c>
      <c r="F28" s="47">
        <v>0</v>
      </c>
      <c r="G28" s="46" t="s">
        <v>65</v>
      </c>
      <c r="H28" s="47">
        <v>0</v>
      </c>
      <c r="I28" s="46" t="s">
        <v>65</v>
      </c>
    </row>
    <row r="29" spans="1:9" x14ac:dyDescent="0.2">
      <c r="A29" s="10" t="s">
        <v>30</v>
      </c>
      <c r="B29" s="15">
        <v>0</v>
      </c>
      <c r="C29" s="12" t="s">
        <v>65</v>
      </c>
      <c r="D29" s="12" t="s">
        <v>15</v>
      </c>
      <c r="E29" s="12" t="s">
        <v>65</v>
      </c>
      <c r="F29" s="15">
        <v>0</v>
      </c>
      <c r="G29" s="12" t="s">
        <v>65</v>
      </c>
      <c r="H29" s="15">
        <v>0</v>
      </c>
      <c r="I29" s="12" t="s">
        <v>65</v>
      </c>
    </row>
    <row r="30" spans="1:9" x14ac:dyDescent="0.2">
      <c r="A30" s="10" t="s">
        <v>31</v>
      </c>
      <c r="B30" s="45">
        <v>19654.776999999998</v>
      </c>
      <c r="C30" s="46" t="s">
        <v>65</v>
      </c>
      <c r="D30" s="46" t="s">
        <v>15</v>
      </c>
      <c r="E30" s="46" t="s">
        <v>65</v>
      </c>
      <c r="F30" s="45">
        <v>8723.1749999999993</v>
      </c>
      <c r="G30" s="46" t="s">
        <v>65</v>
      </c>
      <c r="H30" s="45">
        <v>10931.602000000001</v>
      </c>
      <c r="I30" s="46" t="s">
        <v>65</v>
      </c>
    </row>
    <row r="31" spans="1:9" x14ac:dyDescent="0.2">
      <c r="A31" s="10" t="s">
        <v>32</v>
      </c>
      <c r="B31" s="15">
        <v>457.28</v>
      </c>
      <c r="C31" s="12" t="s">
        <v>65</v>
      </c>
      <c r="D31" s="12" t="s">
        <v>15</v>
      </c>
      <c r="E31" s="12" t="s">
        <v>65</v>
      </c>
      <c r="F31" s="15">
        <v>457.28</v>
      </c>
      <c r="G31" s="12" t="s">
        <v>65</v>
      </c>
      <c r="H31" s="15">
        <v>0</v>
      </c>
      <c r="I31" s="12" t="s">
        <v>65</v>
      </c>
    </row>
    <row r="32" spans="1:9" x14ac:dyDescent="0.2">
      <c r="A32" s="10" t="s">
        <v>33</v>
      </c>
      <c r="B32" s="45">
        <v>18790.978999999999</v>
      </c>
      <c r="C32" s="46" t="s">
        <v>65</v>
      </c>
      <c r="D32" s="46" t="s">
        <v>15</v>
      </c>
      <c r="E32" s="46" t="s">
        <v>65</v>
      </c>
      <c r="F32" s="45">
        <v>8000.4740000000002</v>
      </c>
      <c r="G32" s="46" t="s">
        <v>65</v>
      </c>
      <c r="H32" s="45">
        <v>10790.504999999999</v>
      </c>
      <c r="I32" s="46" t="s">
        <v>65</v>
      </c>
    </row>
    <row r="33" spans="1:9" x14ac:dyDescent="0.2">
      <c r="A33" s="10" t="s">
        <v>34</v>
      </c>
      <c r="B33" s="11">
        <v>4.2759999999999998</v>
      </c>
      <c r="C33" s="12" t="s">
        <v>65</v>
      </c>
      <c r="D33" s="12" t="s">
        <v>15</v>
      </c>
      <c r="E33" s="12" t="s">
        <v>65</v>
      </c>
      <c r="F33" s="15">
        <v>0</v>
      </c>
      <c r="G33" s="12" t="s">
        <v>65</v>
      </c>
      <c r="H33" s="11">
        <v>4.2759999999999998</v>
      </c>
      <c r="I33" s="12" t="s">
        <v>65</v>
      </c>
    </row>
    <row r="34" spans="1:9" x14ac:dyDescent="0.2">
      <c r="A34" s="10" t="s">
        <v>35</v>
      </c>
      <c r="B34" s="47">
        <v>0</v>
      </c>
      <c r="C34" s="46" t="s">
        <v>65</v>
      </c>
      <c r="D34" s="46" t="s">
        <v>15</v>
      </c>
      <c r="E34" s="46" t="s">
        <v>65</v>
      </c>
      <c r="F34" s="47">
        <v>0</v>
      </c>
      <c r="G34" s="46" t="s">
        <v>65</v>
      </c>
      <c r="H34" s="47">
        <v>0</v>
      </c>
      <c r="I34" s="46" t="s">
        <v>65</v>
      </c>
    </row>
    <row r="35" spans="1:9" x14ac:dyDescent="0.2">
      <c r="A35" s="10" t="s">
        <v>36</v>
      </c>
      <c r="B35" s="15">
        <v>0</v>
      </c>
      <c r="C35" s="12" t="s">
        <v>65</v>
      </c>
      <c r="D35" s="12" t="s">
        <v>15</v>
      </c>
      <c r="E35" s="12" t="s">
        <v>65</v>
      </c>
      <c r="F35" s="15">
        <v>0</v>
      </c>
      <c r="G35" s="12" t="s">
        <v>65</v>
      </c>
      <c r="H35" s="15">
        <v>0</v>
      </c>
      <c r="I35" s="12" t="s">
        <v>65</v>
      </c>
    </row>
    <row r="36" spans="1:9" x14ac:dyDescent="0.2">
      <c r="A36" s="10" t="s">
        <v>37</v>
      </c>
      <c r="B36" s="47">
        <v>0</v>
      </c>
      <c r="C36" s="46" t="s">
        <v>65</v>
      </c>
      <c r="D36" s="46" t="s">
        <v>15</v>
      </c>
      <c r="E36" s="46" t="s">
        <v>65</v>
      </c>
      <c r="F36" s="47">
        <v>0</v>
      </c>
      <c r="G36" s="46" t="s">
        <v>65</v>
      </c>
      <c r="H36" s="47">
        <v>0</v>
      </c>
      <c r="I36" s="46" t="s">
        <v>65</v>
      </c>
    </row>
    <row r="37" spans="1:9" x14ac:dyDescent="0.2">
      <c r="A37" s="10" t="s">
        <v>38</v>
      </c>
      <c r="B37" s="15">
        <v>0</v>
      </c>
      <c r="C37" s="12" t="s">
        <v>65</v>
      </c>
      <c r="D37" s="12" t="s">
        <v>15</v>
      </c>
      <c r="E37" s="12" t="s">
        <v>65</v>
      </c>
      <c r="F37" s="15">
        <v>0</v>
      </c>
      <c r="G37" s="12" t="s">
        <v>65</v>
      </c>
      <c r="H37" s="15">
        <v>0</v>
      </c>
      <c r="I37" s="12" t="s">
        <v>65</v>
      </c>
    </row>
    <row r="38" spans="1:9" x14ac:dyDescent="0.2">
      <c r="A38" s="10" t="s">
        <v>39</v>
      </c>
      <c r="B38" s="45">
        <v>189.56299999999999</v>
      </c>
      <c r="C38" s="46" t="s">
        <v>65</v>
      </c>
      <c r="D38" s="46" t="s">
        <v>15</v>
      </c>
      <c r="E38" s="46" t="s">
        <v>65</v>
      </c>
      <c r="F38" s="45">
        <v>52.741999999999997</v>
      </c>
      <c r="G38" s="46" t="s">
        <v>65</v>
      </c>
      <c r="H38" s="45">
        <v>136.821</v>
      </c>
      <c r="I38" s="46" t="s">
        <v>65</v>
      </c>
    </row>
    <row r="39" spans="1:9" x14ac:dyDescent="0.2">
      <c r="A39" s="10" t="s">
        <v>40</v>
      </c>
      <c r="B39" s="11">
        <v>120.809</v>
      </c>
      <c r="C39" s="12" t="s">
        <v>65</v>
      </c>
      <c r="D39" s="12" t="s">
        <v>15</v>
      </c>
      <c r="E39" s="12" t="s">
        <v>65</v>
      </c>
      <c r="F39" s="11">
        <v>120.809</v>
      </c>
      <c r="G39" s="12" t="s">
        <v>65</v>
      </c>
      <c r="H39" s="15">
        <v>0</v>
      </c>
      <c r="I39" s="12" t="s">
        <v>65</v>
      </c>
    </row>
    <row r="40" spans="1:9" x14ac:dyDescent="0.2">
      <c r="A40" s="10" t="s">
        <v>41</v>
      </c>
      <c r="B40" s="47">
        <v>91.87</v>
      </c>
      <c r="C40" s="46" t="s">
        <v>65</v>
      </c>
      <c r="D40" s="46" t="s">
        <v>15</v>
      </c>
      <c r="E40" s="46" t="s">
        <v>65</v>
      </c>
      <c r="F40" s="47">
        <v>91.87</v>
      </c>
      <c r="G40" s="46" t="s">
        <v>65</v>
      </c>
      <c r="H40" s="47">
        <v>0</v>
      </c>
      <c r="I40" s="46" t="s">
        <v>65</v>
      </c>
    </row>
    <row r="41" spans="1:9" x14ac:dyDescent="0.2">
      <c r="A41" s="10" t="s">
        <v>42</v>
      </c>
      <c r="B41" s="15">
        <v>0</v>
      </c>
      <c r="C41" s="12" t="s">
        <v>65</v>
      </c>
      <c r="D41" s="12" t="s">
        <v>15</v>
      </c>
      <c r="E41" s="12" t="s">
        <v>65</v>
      </c>
      <c r="F41" s="15">
        <v>0</v>
      </c>
      <c r="G41" s="12" t="s">
        <v>65</v>
      </c>
      <c r="H41" s="15">
        <v>0</v>
      </c>
      <c r="I41" s="12" t="s">
        <v>65</v>
      </c>
    </row>
    <row r="42" spans="1:9" x14ac:dyDescent="0.2">
      <c r="A42" s="10" t="s">
        <v>43</v>
      </c>
      <c r="B42" s="47">
        <v>0</v>
      </c>
      <c r="C42" s="46" t="s">
        <v>65</v>
      </c>
      <c r="D42" s="46" t="s">
        <v>15</v>
      </c>
      <c r="E42" s="46" t="s">
        <v>65</v>
      </c>
      <c r="F42" s="47">
        <v>0</v>
      </c>
      <c r="G42" s="46" t="s">
        <v>65</v>
      </c>
      <c r="H42" s="47">
        <v>0</v>
      </c>
      <c r="I42" s="46" t="s">
        <v>65</v>
      </c>
    </row>
    <row r="43" spans="1:9" x14ac:dyDescent="0.2">
      <c r="A43" s="10" t="s">
        <v>44</v>
      </c>
      <c r="B43" s="15">
        <v>0</v>
      </c>
      <c r="C43" s="12" t="s">
        <v>65</v>
      </c>
      <c r="D43" s="12" t="s">
        <v>15</v>
      </c>
      <c r="E43" s="12" t="s">
        <v>65</v>
      </c>
      <c r="F43" s="15">
        <v>0</v>
      </c>
      <c r="G43" s="12" t="s">
        <v>65</v>
      </c>
      <c r="H43" s="15">
        <v>0</v>
      </c>
      <c r="I43" s="12" t="s">
        <v>65</v>
      </c>
    </row>
    <row r="44" spans="1:9" x14ac:dyDescent="0.2">
      <c r="A44" s="10" t="s">
        <v>45</v>
      </c>
      <c r="B44" s="47">
        <v>0</v>
      </c>
      <c r="C44" s="46" t="s">
        <v>65</v>
      </c>
      <c r="D44" s="46" t="s">
        <v>15</v>
      </c>
      <c r="E44" s="46" t="s">
        <v>65</v>
      </c>
      <c r="F44" s="47">
        <v>0</v>
      </c>
      <c r="G44" s="46" t="s">
        <v>65</v>
      </c>
      <c r="H44" s="47">
        <v>0</v>
      </c>
      <c r="I44" s="46" t="s">
        <v>65</v>
      </c>
    </row>
    <row r="45" spans="1:9" x14ac:dyDescent="0.2">
      <c r="A45" s="10" t="s">
        <v>46</v>
      </c>
      <c r="B45" s="15">
        <v>0</v>
      </c>
      <c r="C45" s="12" t="s">
        <v>65</v>
      </c>
      <c r="D45" s="12" t="s">
        <v>15</v>
      </c>
      <c r="E45" s="12" t="s">
        <v>65</v>
      </c>
      <c r="F45" s="15">
        <v>0</v>
      </c>
      <c r="G45" s="12" t="s">
        <v>65</v>
      </c>
      <c r="H45" s="15">
        <v>0</v>
      </c>
      <c r="I45" s="12" t="s">
        <v>65</v>
      </c>
    </row>
    <row r="46" spans="1:9" x14ac:dyDescent="0.2">
      <c r="A46" s="10" t="s">
        <v>47</v>
      </c>
      <c r="B46" s="47">
        <v>0</v>
      </c>
      <c r="C46" s="46" t="s">
        <v>65</v>
      </c>
      <c r="D46" s="46" t="s">
        <v>15</v>
      </c>
      <c r="E46" s="46" t="s">
        <v>65</v>
      </c>
      <c r="F46" s="47">
        <v>0</v>
      </c>
      <c r="G46" s="46" t="s">
        <v>65</v>
      </c>
      <c r="H46" s="47">
        <v>0</v>
      </c>
      <c r="I46" s="46" t="s">
        <v>65</v>
      </c>
    </row>
    <row r="47" spans="1:9" x14ac:dyDescent="0.2">
      <c r="A47" s="10" t="s">
        <v>48</v>
      </c>
      <c r="B47" s="15">
        <v>0</v>
      </c>
      <c r="C47" s="12" t="s">
        <v>65</v>
      </c>
      <c r="D47" s="12" t="s">
        <v>15</v>
      </c>
      <c r="E47" s="12" t="s">
        <v>65</v>
      </c>
      <c r="F47" s="15">
        <v>0</v>
      </c>
      <c r="G47" s="12" t="s">
        <v>65</v>
      </c>
      <c r="H47" s="15">
        <v>0</v>
      </c>
      <c r="I47" s="12" t="s">
        <v>65</v>
      </c>
    </row>
    <row r="48" spans="1:9" x14ac:dyDescent="0.2">
      <c r="A48" s="10" t="s">
        <v>49</v>
      </c>
      <c r="B48" s="45">
        <v>18066.530999999999</v>
      </c>
      <c r="C48" s="46" t="s">
        <v>65</v>
      </c>
      <c r="D48" s="46" t="s">
        <v>15</v>
      </c>
      <c r="E48" s="46" t="s">
        <v>65</v>
      </c>
      <c r="F48" s="45">
        <v>18066.530999999999</v>
      </c>
      <c r="G48" s="46" t="s">
        <v>65</v>
      </c>
      <c r="H48" s="47">
        <v>0</v>
      </c>
      <c r="I48" s="46" t="s">
        <v>65</v>
      </c>
    </row>
    <row r="49" spans="1:9" x14ac:dyDescent="0.2">
      <c r="A49" s="10" t="s">
        <v>50</v>
      </c>
      <c r="B49" s="11">
        <v>17834.455000000002</v>
      </c>
      <c r="C49" s="12" t="s">
        <v>65</v>
      </c>
      <c r="D49" s="12" t="s">
        <v>15</v>
      </c>
      <c r="E49" s="12" t="s">
        <v>65</v>
      </c>
      <c r="F49" s="11">
        <v>17834.455000000002</v>
      </c>
      <c r="G49" s="12" t="s">
        <v>65</v>
      </c>
      <c r="H49" s="15">
        <v>0</v>
      </c>
      <c r="I49" s="12" t="s">
        <v>65</v>
      </c>
    </row>
    <row r="50" spans="1:9" x14ac:dyDescent="0.2">
      <c r="A50" s="10" t="s">
        <v>51</v>
      </c>
      <c r="B50" s="47">
        <v>0</v>
      </c>
      <c r="C50" s="46" t="s">
        <v>65</v>
      </c>
      <c r="D50" s="46" t="s">
        <v>15</v>
      </c>
      <c r="E50" s="46" t="s">
        <v>65</v>
      </c>
      <c r="F50" s="47">
        <v>0</v>
      </c>
      <c r="G50" s="46" t="s">
        <v>65</v>
      </c>
      <c r="H50" s="47">
        <v>0</v>
      </c>
      <c r="I50" s="46" t="s">
        <v>65</v>
      </c>
    </row>
    <row r="51" spans="1:9" x14ac:dyDescent="0.2">
      <c r="A51" s="10" t="s">
        <v>52</v>
      </c>
      <c r="B51" s="11">
        <v>232.07599999999999</v>
      </c>
      <c r="C51" s="12" t="s">
        <v>65</v>
      </c>
      <c r="D51" s="12" t="s">
        <v>15</v>
      </c>
      <c r="E51" s="12" t="s">
        <v>65</v>
      </c>
      <c r="F51" s="11">
        <v>232.07599999999999</v>
      </c>
      <c r="G51" s="12" t="s">
        <v>65</v>
      </c>
      <c r="H51" s="15">
        <v>0</v>
      </c>
      <c r="I51" s="12" t="s">
        <v>65</v>
      </c>
    </row>
    <row r="52" spans="1:9" x14ac:dyDescent="0.2">
      <c r="A52" s="10" t="s">
        <v>98</v>
      </c>
      <c r="B52" s="45">
        <v>232.07599999999999</v>
      </c>
      <c r="C52" s="46" t="s">
        <v>65</v>
      </c>
      <c r="D52" s="46" t="s">
        <v>15</v>
      </c>
      <c r="E52" s="46" t="s">
        <v>65</v>
      </c>
      <c r="F52" s="45">
        <v>232.07599999999999</v>
      </c>
      <c r="G52" s="46" t="s">
        <v>65</v>
      </c>
      <c r="H52" s="47">
        <v>0</v>
      </c>
      <c r="I52" s="46" t="s">
        <v>65</v>
      </c>
    </row>
    <row r="53" spans="1:9" x14ac:dyDescent="0.2">
      <c r="A53" s="10" t="s">
        <v>99</v>
      </c>
      <c r="B53" s="15">
        <v>0</v>
      </c>
      <c r="C53" s="12" t="s">
        <v>65</v>
      </c>
      <c r="D53" s="12" t="s">
        <v>15</v>
      </c>
      <c r="E53" s="12" t="s">
        <v>65</v>
      </c>
      <c r="F53" s="15">
        <v>0</v>
      </c>
      <c r="G53" s="12" t="s">
        <v>65</v>
      </c>
      <c r="H53" s="15">
        <v>0</v>
      </c>
      <c r="I53" s="12" t="s">
        <v>65</v>
      </c>
    </row>
    <row r="54" spans="1:9" x14ac:dyDescent="0.2">
      <c r="A54" s="10" t="s">
        <v>53</v>
      </c>
      <c r="B54" s="47">
        <v>0</v>
      </c>
      <c r="C54" s="46" t="s">
        <v>65</v>
      </c>
      <c r="D54" s="46" t="s">
        <v>15</v>
      </c>
      <c r="E54" s="46" t="s">
        <v>65</v>
      </c>
      <c r="F54" s="47">
        <v>0</v>
      </c>
      <c r="G54" s="46" t="s">
        <v>65</v>
      </c>
      <c r="H54" s="47">
        <v>0</v>
      </c>
      <c r="I54" s="46" t="s">
        <v>65</v>
      </c>
    </row>
    <row r="55" spans="1:9" x14ac:dyDescent="0.2">
      <c r="A55" s="10" t="s">
        <v>54</v>
      </c>
      <c r="B55" s="15">
        <v>0</v>
      </c>
      <c r="C55" s="12" t="s">
        <v>65</v>
      </c>
      <c r="D55" s="12" t="s">
        <v>15</v>
      </c>
      <c r="E55" s="12" t="s">
        <v>65</v>
      </c>
      <c r="F55" s="15">
        <v>0</v>
      </c>
      <c r="G55" s="12" t="s">
        <v>65</v>
      </c>
      <c r="H55" s="15">
        <v>0</v>
      </c>
      <c r="I55" s="12" t="s">
        <v>65</v>
      </c>
    </row>
    <row r="57" spans="1:9" x14ac:dyDescent="0.2">
      <c r="A57" s="7" t="s">
        <v>66</v>
      </c>
    </row>
    <row r="58" spans="1:9" x14ac:dyDescent="0.2">
      <c r="A58" s="7" t="s">
        <v>15</v>
      </c>
      <c r="B58" s="5" t="s">
        <v>67</v>
      </c>
    </row>
  </sheetData>
  <mergeCells count="4"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011F-552C-F643-8AAD-0E02E4375B66}">
  <sheetPr>
    <tabColor rgb="FFDAEEF3"/>
  </sheetPr>
  <dimension ref="A1:AS1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48" sqref="L48"/>
    </sheetView>
  </sheetViews>
  <sheetFormatPr baseColWidth="10" defaultRowHeight="16" x14ac:dyDescent="0.2"/>
  <cols>
    <col min="1" max="1" width="15.1640625" bestFit="1" customWidth="1"/>
    <col min="2" max="2" width="26.6640625" bestFit="1" customWidth="1"/>
    <col min="3" max="3" width="28.1640625" bestFit="1" customWidth="1"/>
    <col min="4" max="4" width="10.83203125" customWidth="1"/>
  </cols>
  <sheetData>
    <row r="1" spans="1:45" x14ac:dyDescent="0.2">
      <c r="A1" s="49"/>
      <c r="B1" s="49"/>
      <c r="C1" s="49" t="s">
        <v>55</v>
      </c>
      <c r="D1" s="10" t="s">
        <v>9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10" t="s">
        <v>50</v>
      </c>
      <c r="AN1" s="10" t="s">
        <v>51</v>
      </c>
      <c r="AO1" s="10" t="s">
        <v>52</v>
      </c>
      <c r="AP1" s="10" t="s">
        <v>98</v>
      </c>
      <c r="AQ1" s="10" t="s">
        <v>99</v>
      </c>
      <c r="AR1" s="10" t="s">
        <v>53</v>
      </c>
      <c r="AS1" s="10" t="s">
        <v>54</v>
      </c>
    </row>
    <row r="2" spans="1:45" x14ac:dyDescent="0.2">
      <c r="A2" t="s">
        <v>7</v>
      </c>
      <c r="B2" t="s">
        <v>151</v>
      </c>
      <c r="C2" s="13" t="s">
        <v>109</v>
      </c>
      <c r="D2" s="9" t="s">
        <v>65</v>
      </c>
      <c r="E2" s="9" t="s">
        <v>65</v>
      </c>
      <c r="F2" s="9" t="s">
        <v>65</v>
      </c>
      <c r="G2" s="9" t="s">
        <v>65</v>
      </c>
      <c r="H2" s="9" t="s">
        <v>65</v>
      </c>
      <c r="I2" s="9" t="s">
        <v>65</v>
      </c>
      <c r="J2" s="9" t="s">
        <v>65</v>
      </c>
      <c r="K2" s="9" t="s">
        <v>65</v>
      </c>
      <c r="L2" s="9" t="s">
        <v>65</v>
      </c>
      <c r="M2" s="9" t="s">
        <v>65</v>
      </c>
      <c r="N2" s="9" t="s">
        <v>65</v>
      </c>
      <c r="O2" s="9" t="s">
        <v>65</v>
      </c>
      <c r="P2" s="9" t="s">
        <v>65</v>
      </c>
      <c r="Q2" s="9" t="s">
        <v>65</v>
      </c>
      <c r="R2" s="9" t="s">
        <v>65</v>
      </c>
      <c r="S2" s="9" t="s">
        <v>65</v>
      </c>
      <c r="T2" s="9" t="s">
        <v>65</v>
      </c>
      <c r="U2" s="9" t="s">
        <v>65</v>
      </c>
      <c r="V2" s="9" t="s">
        <v>65</v>
      </c>
      <c r="W2" s="9" t="s">
        <v>65</v>
      </c>
      <c r="X2" s="9" t="s">
        <v>65</v>
      </c>
      <c r="Y2" s="9" t="s">
        <v>65</v>
      </c>
      <c r="Z2" s="9" t="s">
        <v>65</v>
      </c>
      <c r="AA2" s="9" t="s">
        <v>65</v>
      </c>
      <c r="AB2" s="9" t="s">
        <v>65</v>
      </c>
      <c r="AC2" s="9" t="s">
        <v>65</v>
      </c>
      <c r="AD2" s="9" t="s">
        <v>65</v>
      </c>
      <c r="AE2" s="9" t="s">
        <v>65</v>
      </c>
      <c r="AF2" s="9" t="s">
        <v>65</v>
      </c>
      <c r="AG2" s="9" t="s">
        <v>65</v>
      </c>
      <c r="AH2" s="9" t="s">
        <v>65</v>
      </c>
      <c r="AI2" s="9" t="s">
        <v>65</v>
      </c>
      <c r="AJ2" s="9" t="s">
        <v>65</v>
      </c>
      <c r="AK2" s="9" t="s">
        <v>65</v>
      </c>
      <c r="AL2" s="9" t="s">
        <v>65</v>
      </c>
      <c r="AM2" s="9" t="s">
        <v>65</v>
      </c>
      <c r="AN2" s="9" t="s">
        <v>65</v>
      </c>
      <c r="AO2" s="9" t="s">
        <v>65</v>
      </c>
      <c r="AP2" s="9" t="s">
        <v>65</v>
      </c>
      <c r="AQ2" s="9" t="s">
        <v>65</v>
      </c>
      <c r="AR2" s="9" t="s">
        <v>65</v>
      </c>
      <c r="AS2" s="9" t="s">
        <v>65</v>
      </c>
    </row>
    <row r="3" spans="1:45" x14ac:dyDescent="0.2">
      <c r="A3" t="s">
        <v>153</v>
      </c>
      <c r="B3" t="s">
        <v>10</v>
      </c>
      <c r="C3" s="13" t="s">
        <v>3</v>
      </c>
      <c r="D3">
        <f>INDEX('EUROSTAT AP Electricity GWh'!$A$12:$I$55,MATCH(D$1,'EUROSTAT AP Electricity GWh'!$A$12:$A$55,0),MATCH($C3,'EUROSTAT AP Electricity GWh'!$A$12:$I$12,0))</f>
        <v>18341.166000000001</v>
      </c>
      <c r="E3">
        <f>INDEX('EUROSTAT AP Electricity GWh'!$A$12:$I$55,MATCH(E$1,'EUROSTAT AP Electricity GWh'!$A$12:$A$55,0),MATCH($C3,'EUROSTAT AP Electricity GWh'!$A$12:$I$12,0))</f>
        <v>106.121</v>
      </c>
      <c r="F3">
        <f>INDEX('EUROSTAT AP Electricity GWh'!$A$12:$I$55,MATCH(F$1,'EUROSTAT AP Electricity GWh'!$A$12:$A$55,0),MATCH($C3,'EUROSTAT AP Electricity GWh'!$A$12:$I$12,0))</f>
        <v>0</v>
      </c>
      <c r="G3">
        <f>INDEX('EUROSTAT AP Electricity GWh'!$A$12:$I$55,MATCH(G$1,'EUROSTAT AP Electricity GWh'!$A$12:$A$55,0),MATCH($C3,'EUROSTAT AP Electricity GWh'!$A$12:$I$12,0))</f>
        <v>0</v>
      </c>
      <c r="H3">
        <f>INDEX('EUROSTAT AP Electricity GWh'!$A$12:$I$55,MATCH(H$1,'EUROSTAT AP Electricity GWh'!$A$12:$A$55,0),MATCH($C3,'EUROSTAT AP Electricity GWh'!$A$12:$I$12,0))</f>
        <v>0</v>
      </c>
      <c r="I3">
        <f>INDEX('EUROSTAT AP Electricity GWh'!$A$12:$I$55,MATCH(I$1,'EUROSTAT AP Electricity GWh'!$A$12:$A$55,0),MATCH($C3,'EUROSTAT AP Electricity GWh'!$A$12:$I$12,0))</f>
        <v>0</v>
      </c>
      <c r="J3">
        <f>INDEX('EUROSTAT AP Electricity GWh'!$A$12:$I$55,MATCH(J$1,'EUROSTAT AP Electricity GWh'!$A$12:$A$55,0),MATCH($C3,'EUROSTAT AP Electricity GWh'!$A$12:$I$12,0))</f>
        <v>0</v>
      </c>
      <c r="K3">
        <f>INDEX('EUROSTAT AP Electricity GWh'!$A$12:$I$55,MATCH(K$1,'EUROSTAT AP Electricity GWh'!$A$12:$A$55,0),MATCH($C3,'EUROSTAT AP Electricity GWh'!$A$12:$I$12,0))</f>
        <v>0</v>
      </c>
      <c r="L3">
        <f>INDEX('EUROSTAT AP Electricity GWh'!$A$12:$I$55,MATCH(L$1,'EUROSTAT AP Electricity GWh'!$A$12:$A$55,0),MATCH($C3,'EUROSTAT AP Electricity GWh'!$A$12:$I$12,0))</f>
        <v>106.10899999999999</v>
      </c>
      <c r="M3">
        <f>INDEX('EUROSTAT AP Electricity GWh'!$A$12:$I$55,MATCH(M$1,'EUROSTAT AP Electricity GWh'!$A$12:$A$55,0),MATCH($C3,'EUROSTAT AP Electricity GWh'!$A$12:$I$12,0))</f>
        <v>1.2E-2</v>
      </c>
      <c r="N3">
        <f>INDEX('EUROSTAT AP Electricity GWh'!$A$12:$I$55,MATCH(N$1,'EUROSTAT AP Electricity GWh'!$A$12:$A$55,0),MATCH($C3,'EUROSTAT AP Electricity GWh'!$A$12:$I$12,0))</f>
        <v>0</v>
      </c>
      <c r="O3">
        <f>INDEX('EUROSTAT AP Electricity GWh'!$A$12:$I$55,MATCH(O$1,'EUROSTAT AP Electricity GWh'!$A$12:$A$55,0),MATCH($C3,'EUROSTAT AP Electricity GWh'!$A$12:$I$12,0))</f>
        <v>0</v>
      </c>
      <c r="P3">
        <f>INDEX('EUROSTAT AP Electricity GWh'!$A$12:$I$55,MATCH(P$1,'EUROSTAT AP Electricity GWh'!$A$12:$A$55,0),MATCH($C3,'EUROSTAT AP Electricity GWh'!$A$12:$I$12,0))</f>
        <v>0</v>
      </c>
      <c r="Q3">
        <f>INDEX('EUROSTAT AP Electricity GWh'!$A$12:$I$55,MATCH(Q$1,'EUROSTAT AP Electricity GWh'!$A$12:$A$55,0),MATCH($C3,'EUROSTAT AP Electricity GWh'!$A$12:$I$12,0))</f>
        <v>0</v>
      </c>
      <c r="R3">
        <f>INDEX('EUROSTAT AP Electricity GWh'!$A$12:$I$55,MATCH(R$1,'EUROSTAT AP Electricity GWh'!$A$12:$A$55,0),MATCH($C3,'EUROSTAT AP Electricity GWh'!$A$12:$I$12,0))</f>
        <v>0</v>
      </c>
      <c r="S3">
        <f>INDEX('EUROSTAT AP Electricity GWh'!$A$12:$I$55,MATCH(S$1,'EUROSTAT AP Electricity GWh'!$A$12:$A$55,0),MATCH($C3,'EUROSTAT AP Electricity GWh'!$A$12:$I$12,0))</f>
        <v>0</v>
      </c>
      <c r="T3">
        <f>INDEX('EUROSTAT AP Electricity GWh'!$A$12:$I$55,MATCH(T$1,'EUROSTAT AP Electricity GWh'!$A$12:$A$55,0),MATCH($C3,'EUROSTAT AP Electricity GWh'!$A$12:$I$12,0))</f>
        <v>1772.8969999999999</v>
      </c>
      <c r="U3">
        <f>INDEX('EUROSTAT AP Electricity GWh'!$A$12:$I$55,MATCH(U$1,'EUROSTAT AP Electricity GWh'!$A$12:$A$55,0),MATCH($C3,'EUROSTAT AP Electricity GWh'!$A$12:$I$12,0))</f>
        <v>6.2069999999999999</v>
      </c>
      <c r="V3">
        <f>INDEX('EUROSTAT AP Electricity GWh'!$A$12:$I$55,MATCH(V$1,'EUROSTAT AP Electricity GWh'!$A$12:$A$55,0),MATCH($C3,'EUROSTAT AP Electricity GWh'!$A$12:$I$12,0))</f>
        <v>208.28</v>
      </c>
      <c r="W3">
        <f>INDEX('EUROSTAT AP Electricity GWh'!$A$12:$I$55,MATCH(W$1,'EUROSTAT AP Electricity GWh'!$A$12:$A$55,0),MATCH($C3,'EUROSTAT AP Electricity GWh'!$A$12:$I$12,0))</f>
        <v>0.69</v>
      </c>
      <c r="X3">
        <f>INDEX('EUROSTAT AP Electricity GWh'!$A$12:$I$55,MATCH(X$1,'EUROSTAT AP Electricity GWh'!$A$12:$A$55,0),MATCH($C3,'EUROSTAT AP Electricity GWh'!$A$12:$I$12,0))</f>
        <v>54.414999999999999</v>
      </c>
      <c r="Y3">
        <f>INDEX('EUROSTAT AP Electricity GWh'!$A$12:$I$55,MATCH(Y$1,'EUROSTAT AP Electricity GWh'!$A$12:$A$55,0),MATCH($C3,'EUROSTAT AP Electricity GWh'!$A$12:$I$12,0))</f>
        <v>38.762</v>
      </c>
      <c r="Z3">
        <f>INDEX('EUROSTAT AP Electricity GWh'!$A$12:$I$55,MATCH(Z$1,'EUROSTAT AP Electricity GWh'!$A$12:$A$55,0),MATCH($C3,'EUROSTAT AP Electricity GWh'!$A$12:$I$12,0))</f>
        <v>329.36099999999999</v>
      </c>
      <c r="AA3">
        <f>INDEX('EUROSTAT AP Electricity GWh'!$A$12:$I$55,MATCH(AA$1,'EUROSTAT AP Electricity GWh'!$A$12:$A$55,0),MATCH($C3,'EUROSTAT AP Electricity GWh'!$A$12:$I$12,0))</f>
        <v>8.3979999999999997</v>
      </c>
      <c r="AB3">
        <f>INDEX('EUROSTAT AP Electricity GWh'!$A$12:$I$55,MATCH(AB$1,'EUROSTAT AP Electricity GWh'!$A$12:$A$55,0),MATCH($C3,'EUROSTAT AP Electricity GWh'!$A$12:$I$12,0))</f>
        <v>103.20099999999999</v>
      </c>
      <c r="AC3">
        <f>INDEX('EUROSTAT AP Electricity GWh'!$A$12:$I$55,MATCH(AC$1,'EUROSTAT AP Electricity GWh'!$A$12:$A$55,0),MATCH($C3,'EUROSTAT AP Electricity GWh'!$A$12:$I$12,0))</f>
        <v>30.591999999999999</v>
      </c>
      <c r="AD3">
        <f>INDEX('EUROSTAT AP Electricity GWh'!$A$12:$I$55,MATCH(AD$1,'EUROSTAT AP Electricity GWh'!$A$12:$A$55,0),MATCH($C3,'EUROSTAT AP Electricity GWh'!$A$12:$I$12,0))</f>
        <v>36.442</v>
      </c>
      <c r="AE3">
        <f>INDEX('EUROSTAT AP Electricity GWh'!$A$12:$I$55,MATCH(AE$1,'EUROSTAT AP Electricity GWh'!$A$12:$A$55,0),MATCH($C3,'EUROSTAT AP Electricity GWh'!$A$12:$I$12,0))</f>
        <v>395.42</v>
      </c>
      <c r="AF3">
        <f>INDEX('EUROSTAT AP Electricity GWh'!$A$12:$I$55,MATCH(AF$1,'EUROSTAT AP Electricity GWh'!$A$12:$A$55,0),MATCH($C3,'EUROSTAT AP Electricity GWh'!$A$12:$I$12,0))</f>
        <v>18.969000000000001</v>
      </c>
      <c r="AG3">
        <f>INDEX('EUROSTAT AP Electricity GWh'!$A$12:$I$55,MATCH(AG$1,'EUROSTAT AP Electricity GWh'!$A$12:$A$55,0),MATCH($C3,'EUROSTAT AP Electricity GWh'!$A$12:$I$12,0))</f>
        <v>542.16</v>
      </c>
      <c r="AH3">
        <f>INDEX('EUROSTAT AP Electricity GWh'!$A$12:$I$55,MATCH(AH$1,'EUROSTAT AP Electricity GWh'!$A$12:$A$55,0),MATCH($C3,'EUROSTAT AP Electricity GWh'!$A$12:$I$12,0))</f>
        <v>0</v>
      </c>
      <c r="AI3">
        <f>INDEX('EUROSTAT AP Electricity GWh'!$A$12:$I$55,MATCH(AI$1,'EUROSTAT AP Electricity GWh'!$A$12:$A$55,0),MATCH($C3,'EUROSTAT AP Electricity GWh'!$A$12:$I$12,0))</f>
        <v>0</v>
      </c>
      <c r="AJ3">
        <f>INDEX('EUROSTAT AP Electricity GWh'!$A$12:$I$55,MATCH(AJ$1,'EUROSTAT AP Electricity GWh'!$A$12:$A$55,0),MATCH($C3,'EUROSTAT AP Electricity GWh'!$A$12:$I$12,0))</f>
        <v>0</v>
      </c>
      <c r="AK3">
        <f>INDEX('EUROSTAT AP Electricity GWh'!$A$12:$I$55,MATCH(AK$1,'EUROSTAT AP Electricity GWh'!$A$12:$A$55,0),MATCH($C3,'EUROSTAT AP Electricity GWh'!$A$12:$I$12,0))</f>
        <v>0</v>
      </c>
      <c r="AL3">
        <f>INDEX('EUROSTAT AP Electricity GWh'!$A$12:$I$55,MATCH(AL$1,'EUROSTAT AP Electricity GWh'!$A$12:$A$55,0),MATCH($C3,'EUROSTAT AP Electricity GWh'!$A$12:$I$12,0))</f>
        <v>16462.148000000001</v>
      </c>
      <c r="AM3">
        <f>INDEX('EUROSTAT AP Electricity GWh'!$A$12:$I$55,MATCH(AM$1,'EUROSTAT AP Electricity GWh'!$A$12:$A$55,0),MATCH($C3,'EUROSTAT AP Electricity GWh'!$A$12:$I$12,0))</f>
        <v>5710.18</v>
      </c>
      <c r="AN3">
        <f>INDEX('EUROSTAT AP Electricity GWh'!$A$12:$I$55,MATCH(AN$1,'EUROSTAT AP Electricity GWh'!$A$12:$A$55,0),MATCH($C3,'EUROSTAT AP Electricity GWh'!$A$12:$I$12,0))</f>
        <v>8439.2260000000006</v>
      </c>
      <c r="AO3">
        <f>INDEX('EUROSTAT AP Electricity GWh'!$A$12:$I$55,MATCH(AO$1,'EUROSTAT AP Electricity GWh'!$A$12:$A$55,0),MATCH($C3,'EUROSTAT AP Electricity GWh'!$A$12:$I$12,0))</f>
        <v>2312.7420000000002</v>
      </c>
      <c r="AP3">
        <f>INDEX('EUROSTAT AP Electricity GWh'!$A$12:$I$55,MATCH(AP$1,'EUROSTAT AP Electricity GWh'!$A$12:$A$55,0),MATCH($C3,'EUROSTAT AP Electricity GWh'!$A$12:$I$12,0))</f>
        <v>2312.7420000000002</v>
      </c>
      <c r="AQ3">
        <f>INDEX('EUROSTAT AP Electricity GWh'!$A$12:$I$55,MATCH(AQ$1,'EUROSTAT AP Electricity GWh'!$A$12:$A$55,0),MATCH($C3,'EUROSTAT AP Electricity GWh'!$A$12:$I$12,0))</f>
        <v>0</v>
      </c>
      <c r="AR3">
        <f>INDEX('EUROSTAT AP Electricity GWh'!$A$12:$I$55,MATCH(AR$1,'EUROSTAT AP Electricity GWh'!$A$12:$A$55,0),MATCH($C3,'EUROSTAT AP Electricity GWh'!$A$12:$I$12,0))</f>
        <v>0</v>
      </c>
      <c r="AS3">
        <f>INDEX('EUROSTAT AP Electricity GWh'!$A$12:$I$55,MATCH(AS$1,'EUROSTAT AP Electricity GWh'!$A$12:$A$55,0),MATCH($C3,'EUROSTAT AP Electricity GWh'!$A$12:$I$12,0))</f>
        <v>0</v>
      </c>
    </row>
    <row r="4" spans="1:45" x14ac:dyDescent="0.2">
      <c r="B4" t="s">
        <v>11</v>
      </c>
      <c r="C4" s="13" t="s">
        <v>110</v>
      </c>
      <c r="D4">
        <f>INDEX('EUROSTAT AP Electricity GWh'!$A$12:$I$55,MATCH(D$1,'EUROSTAT AP Electricity GWh'!$A$12:$A$55,0),MATCH($C4,'EUROSTAT AP Electricity GWh'!$A$12:$I$12,0))</f>
        <v>20529.705000000002</v>
      </c>
      <c r="E4">
        <f>INDEX('EUROSTAT AP Electricity GWh'!$A$12:$I$55,MATCH(E$1,'EUROSTAT AP Electricity GWh'!$A$12:$A$55,0),MATCH($C4,'EUROSTAT AP Electricity GWh'!$A$12:$I$12,0))</f>
        <v>1666.7380000000001</v>
      </c>
      <c r="F4">
        <f>INDEX('EUROSTAT AP Electricity GWh'!$A$12:$I$55,MATCH(F$1,'EUROSTAT AP Electricity GWh'!$A$12:$A$55,0),MATCH($C4,'EUROSTAT AP Electricity GWh'!$A$12:$I$12,0))</f>
        <v>0</v>
      </c>
      <c r="G4">
        <f>INDEX('EUROSTAT AP Electricity GWh'!$A$12:$I$55,MATCH(G$1,'EUROSTAT AP Electricity GWh'!$A$12:$A$55,0),MATCH($C4,'EUROSTAT AP Electricity GWh'!$A$12:$I$12,0))</f>
        <v>0</v>
      </c>
      <c r="H4">
        <f>INDEX('EUROSTAT AP Electricity GWh'!$A$12:$I$55,MATCH(H$1,'EUROSTAT AP Electricity GWh'!$A$12:$A$55,0),MATCH($C4,'EUROSTAT AP Electricity GWh'!$A$12:$I$12,0))</f>
        <v>0</v>
      </c>
      <c r="I4">
        <f>INDEX('EUROSTAT AP Electricity GWh'!$A$12:$I$55,MATCH(I$1,'EUROSTAT AP Electricity GWh'!$A$12:$A$55,0),MATCH($C4,'EUROSTAT AP Electricity GWh'!$A$12:$I$12,0))</f>
        <v>0</v>
      </c>
      <c r="J4">
        <f>INDEX('EUROSTAT AP Electricity GWh'!$A$12:$I$55,MATCH(J$1,'EUROSTAT AP Electricity GWh'!$A$12:$A$55,0),MATCH($C4,'EUROSTAT AP Electricity GWh'!$A$12:$I$12,0))</f>
        <v>0</v>
      </c>
      <c r="K4">
        <f>INDEX('EUROSTAT AP Electricity GWh'!$A$12:$I$55,MATCH(K$1,'EUROSTAT AP Electricity GWh'!$A$12:$A$55,0),MATCH($C4,'EUROSTAT AP Electricity GWh'!$A$12:$I$12,0))</f>
        <v>0</v>
      </c>
      <c r="L4">
        <f>INDEX('EUROSTAT AP Electricity GWh'!$A$12:$I$55,MATCH(L$1,'EUROSTAT AP Electricity GWh'!$A$12:$A$55,0),MATCH($C4,'EUROSTAT AP Electricity GWh'!$A$12:$I$12,0))</f>
        <v>0</v>
      </c>
      <c r="M4">
        <f>INDEX('EUROSTAT AP Electricity GWh'!$A$12:$I$55,MATCH(M$1,'EUROSTAT AP Electricity GWh'!$A$12:$A$55,0),MATCH($C4,'EUROSTAT AP Electricity GWh'!$A$12:$I$12,0))</f>
        <v>1666.7380000000001</v>
      </c>
      <c r="N4">
        <f>INDEX('EUROSTAT AP Electricity GWh'!$A$12:$I$55,MATCH(N$1,'EUROSTAT AP Electricity GWh'!$A$12:$A$55,0),MATCH($C4,'EUROSTAT AP Electricity GWh'!$A$12:$I$12,0))</f>
        <v>0</v>
      </c>
      <c r="O4">
        <f>INDEX('EUROSTAT AP Electricity GWh'!$A$12:$I$55,MATCH(O$1,'EUROSTAT AP Electricity GWh'!$A$12:$A$55,0),MATCH($C4,'EUROSTAT AP Electricity GWh'!$A$12:$I$12,0))</f>
        <v>0</v>
      </c>
      <c r="P4">
        <f>INDEX('EUROSTAT AP Electricity GWh'!$A$12:$I$55,MATCH(P$1,'EUROSTAT AP Electricity GWh'!$A$12:$A$55,0),MATCH($C4,'EUROSTAT AP Electricity GWh'!$A$12:$I$12,0))</f>
        <v>0</v>
      </c>
      <c r="Q4">
        <f>INDEX('EUROSTAT AP Electricity GWh'!$A$12:$I$55,MATCH(Q$1,'EUROSTAT AP Electricity GWh'!$A$12:$A$55,0),MATCH($C4,'EUROSTAT AP Electricity GWh'!$A$12:$I$12,0))</f>
        <v>0</v>
      </c>
      <c r="R4">
        <f>INDEX('EUROSTAT AP Electricity GWh'!$A$12:$I$55,MATCH(R$1,'EUROSTAT AP Electricity GWh'!$A$12:$A$55,0),MATCH($C4,'EUROSTAT AP Electricity GWh'!$A$12:$I$12,0))</f>
        <v>0</v>
      </c>
      <c r="S4">
        <f>INDEX('EUROSTAT AP Electricity GWh'!$A$12:$I$55,MATCH(S$1,'EUROSTAT AP Electricity GWh'!$A$12:$A$55,0),MATCH($C4,'EUROSTAT AP Electricity GWh'!$A$12:$I$12,0))</f>
        <v>0</v>
      </c>
      <c r="T4">
        <f>INDEX('EUROSTAT AP Electricity GWh'!$A$12:$I$55,MATCH(T$1,'EUROSTAT AP Electricity GWh'!$A$12:$A$55,0),MATCH($C4,'EUROSTAT AP Electricity GWh'!$A$12:$I$12,0))</f>
        <v>5824.317</v>
      </c>
      <c r="U4">
        <f>INDEX('EUROSTAT AP Electricity GWh'!$A$12:$I$55,MATCH(U$1,'EUROSTAT AP Electricity GWh'!$A$12:$A$55,0),MATCH($C4,'EUROSTAT AP Electricity GWh'!$A$12:$I$12,0))</f>
        <v>131.61799999999999</v>
      </c>
      <c r="V4">
        <f>INDEX('EUROSTAT AP Electricity GWh'!$A$12:$I$55,MATCH(V$1,'EUROSTAT AP Electricity GWh'!$A$12:$A$55,0),MATCH($C4,'EUROSTAT AP Electricity GWh'!$A$12:$I$12,0))</f>
        <v>4226.33</v>
      </c>
      <c r="W4">
        <f>INDEX('EUROSTAT AP Electricity GWh'!$A$12:$I$55,MATCH(W$1,'EUROSTAT AP Electricity GWh'!$A$12:$A$55,0),MATCH($C4,'EUROSTAT AP Electricity GWh'!$A$12:$I$12,0))</f>
        <v>0</v>
      </c>
      <c r="X4">
        <f>INDEX('EUROSTAT AP Electricity GWh'!$A$12:$I$55,MATCH(X$1,'EUROSTAT AP Electricity GWh'!$A$12:$A$55,0),MATCH($C4,'EUROSTAT AP Electricity GWh'!$A$12:$I$12,0))</f>
        <v>12.048</v>
      </c>
      <c r="Y4">
        <f>INDEX('EUROSTAT AP Electricity GWh'!$A$12:$I$55,MATCH(Y$1,'EUROSTAT AP Electricity GWh'!$A$12:$A$55,0),MATCH($C4,'EUROSTAT AP Electricity GWh'!$A$12:$I$12,0))</f>
        <v>0</v>
      </c>
      <c r="Z4">
        <f>INDEX('EUROSTAT AP Electricity GWh'!$A$12:$I$55,MATCH(Z$1,'EUROSTAT AP Electricity GWh'!$A$12:$A$55,0),MATCH($C4,'EUROSTAT AP Electricity GWh'!$A$12:$I$12,0))</f>
        <v>0</v>
      </c>
      <c r="AA4">
        <f>INDEX('EUROSTAT AP Electricity GWh'!$A$12:$I$55,MATCH(AA$1,'EUROSTAT AP Electricity GWh'!$A$12:$A$55,0),MATCH($C4,'EUROSTAT AP Electricity GWh'!$A$12:$I$12,0))</f>
        <v>0</v>
      </c>
      <c r="AB4">
        <f>INDEX('EUROSTAT AP Electricity GWh'!$A$12:$I$55,MATCH(AB$1,'EUROSTAT AP Electricity GWh'!$A$12:$A$55,0),MATCH($C4,'EUROSTAT AP Electricity GWh'!$A$12:$I$12,0))</f>
        <v>1110.396</v>
      </c>
      <c r="AC4">
        <f>INDEX('EUROSTAT AP Electricity GWh'!$A$12:$I$55,MATCH(AC$1,'EUROSTAT AP Electricity GWh'!$A$12:$A$55,0),MATCH($C4,'EUROSTAT AP Electricity GWh'!$A$12:$I$12,0))</f>
        <v>334.10300000000001</v>
      </c>
      <c r="AD4">
        <f>INDEX('EUROSTAT AP Electricity GWh'!$A$12:$I$55,MATCH(AD$1,'EUROSTAT AP Electricity GWh'!$A$12:$A$55,0),MATCH($C4,'EUROSTAT AP Electricity GWh'!$A$12:$I$12,0))</f>
        <v>7.4939999999999998</v>
      </c>
      <c r="AE4">
        <f>INDEX('EUROSTAT AP Electricity GWh'!$A$12:$I$55,MATCH(AE$1,'EUROSTAT AP Electricity GWh'!$A$12:$A$55,0),MATCH($C4,'EUROSTAT AP Electricity GWh'!$A$12:$I$12,0))</f>
        <v>0</v>
      </c>
      <c r="AF4">
        <f>INDEX('EUROSTAT AP Electricity GWh'!$A$12:$I$55,MATCH(AF$1,'EUROSTAT AP Electricity GWh'!$A$12:$A$55,0),MATCH($C4,'EUROSTAT AP Electricity GWh'!$A$12:$I$12,0))</f>
        <v>0</v>
      </c>
      <c r="AG4">
        <f>INDEX('EUROSTAT AP Electricity GWh'!$A$12:$I$55,MATCH(AG$1,'EUROSTAT AP Electricity GWh'!$A$12:$A$55,0),MATCH($C4,'EUROSTAT AP Electricity GWh'!$A$12:$I$12,0))</f>
        <v>2.3279999999999998</v>
      </c>
      <c r="AH4">
        <f>INDEX('EUROSTAT AP Electricity GWh'!$A$12:$I$55,MATCH(AH$1,'EUROSTAT AP Electricity GWh'!$A$12:$A$55,0),MATCH($C4,'EUROSTAT AP Electricity GWh'!$A$12:$I$12,0))</f>
        <v>0</v>
      </c>
      <c r="AI4">
        <f>INDEX('EUROSTAT AP Electricity GWh'!$A$12:$I$55,MATCH(AI$1,'EUROSTAT AP Electricity GWh'!$A$12:$A$55,0),MATCH($C4,'EUROSTAT AP Electricity GWh'!$A$12:$I$12,0))</f>
        <v>0</v>
      </c>
      <c r="AJ4">
        <f>INDEX('EUROSTAT AP Electricity GWh'!$A$12:$I$55,MATCH(AJ$1,'EUROSTAT AP Electricity GWh'!$A$12:$A$55,0),MATCH($C4,'EUROSTAT AP Electricity GWh'!$A$12:$I$12,0))</f>
        <v>0</v>
      </c>
      <c r="AK4">
        <f>INDEX('EUROSTAT AP Electricity GWh'!$A$12:$I$55,MATCH(AK$1,'EUROSTAT AP Electricity GWh'!$A$12:$A$55,0),MATCH($C4,'EUROSTAT AP Electricity GWh'!$A$12:$I$12,0))</f>
        <v>0</v>
      </c>
      <c r="AL4">
        <f>INDEX('EUROSTAT AP Electricity GWh'!$A$12:$I$55,MATCH(AL$1,'EUROSTAT AP Electricity GWh'!$A$12:$A$55,0),MATCH($C4,'EUROSTAT AP Electricity GWh'!$A$12:$I$12,0))</f>
        <v>13038.65</v>
      </c>
      <c r="AM4">
        <f>INDEX('EUROSTAT AP Electricity GWh'!$A$12:$I$55,MATCH(AM$1,'EUROSTAT AP Electricity GWh'!$A$12:$A$55,0),MATCH($C4,'EUROSTAT AP Electricity GWh'!$A$12:$I$12,0))</f>
        <v>3995.5439999999999</v>
      </c>
      <c r="AN4">
        <f>INDEX('EUROSTAT AP Electricity GWh'!$A$12:$I$55,MATCH(AN$1,'EUROSTAT AP Electricity GWh'!$A$12:$A$55,0),MATCH($C4,'EUROSTAT AP Electricity GWh'!$A$12:$I$12,0))</f>
        <v>0</v>
      </c>
      <c r="AO4">
        <f>INDEX('EUROSTAT AP Electricity GWh'!$A$12:$I$55,MATCH(AO$1,'EUROSTAT AP Electricity GWh'!$A$12:$A$55,0),MATCH($C4,'EUROSTAT AP Electricity GWh'!$A$12:$I$12,0))</f>
        <v>9042.9699999999993</v>
      </c>
      <c r="AP4">
        <f>INDEX('EUROSTAT AP Electricity GWh'!$A$12:$I$55,MATCH(AP$1,'EUROSTAT AP Electricity GWh'!$A$12:$A$55,0),MATCH($C4,'EUROSTAT AP Electricity GWh'!$A$12:$I$12,0))</f>
        <v>9042.9699999999993</v>
      </c>
      <c r="AQ4">
        <f>INDEX('EUROSTAT AP Electricity GWh'!$A$12:$I$55,MATCH(AQ$1,'EUROSTAT AP Electricity GWh'!$A$12:$A$55,0),MATCH($C4,'EUROSTAT AP Electricity GWh'!$A$12:$I$12,0))</f>
        <v>0</v>
      </c>
      <c r="AR4">
        <f>INDEX('EUROSTAT AP Electricity GWh'!$A$12:$I$55,MATCH(AR$1,'EUROSTAT AP Electricity GWh'!$A$12:$A$55,0),MATCH($C4,'EUROSTAT AP Electricity GWh'!$A$12:$I$12,0))</f>
        <v>0</v>
      </c>
      <c r="AS4">
        <f>INDEX('EUROSTAT AP Electricity GWh'!$A$12:$I$55,MATCH(AS$1,'EUROSTAT AP Electricity GWh'!$A$12:$A$55,0),MATCH($C4,'EUROSTAT AP Electricity GWh'!$A$12:$I$12,0))</f>
        <v>0.13600000000000001</v>
      </c>
    </row>
    <row r="5" spans="1:45" x14ac:dyDescent="0.2">
      <c r="B5" t="s">
        <v>12</v>
      </c>
      <c r="C5" s="13" t="s">
        <v>2</v>
      </c>
      <c r="D5" t="str">
        <f>INDEX('EUROSTAT AP Electricity GWh'!$A$12:$I$55,MATCH(D$1,'EUROSTAT AP Electricity GWh'!$A$12:$A$55,0),MATCH($C5,'EUROSTAT AP Electricity GWh'!$A$12:$I$12,0))</f>
        <v>:</v>
      </c>
      <c r="E5" t="str">
        <f>INDEX('EUROSTAT AP Electricity GWh'!$A$12:$I$55,MATCH(E$1,'EUROSTAT AP Electricity GWh'!$A$12:$A$55,0),MATCH($C5,'EUROSTAT AP Electricity GWh'!$A$12:$I$12,0))</f>
        <v>:</v>
      </c>
      <c r="F5" t="str">
        <f>INDEX('EUROSTAT AP Electricity GWh'!$A$12:$I$55,MATCH(F$1,'EUROSTAT AP Electricity GWh'!$A$12:$A$55,0),MATCH($C5,'EUROSTAT AP Electricity GWh'!$A$12:$I$12,0))</f>
        <v>:</v>
      </c>
      <c r="G5" t="str">
        <f>INDEX('EUROSTAT AP Electricity GWh'!$A$12:$I$55,MATCH(G$1,'EUROSTAT AP Electricity GWh'!$A$12:$A$55,0),MATCH($C5,'EUROSTAT AP Electricity GWh'!$A$12:$I$12,0))</f>
        <v>:</v>
      </c>
      <c r="H5" t="str">
        <f>INDEX('EUROSTAT AP Electricity GWh'!$A$12:$I$55,MATCH(H$1,'EUROSTAT AP Electricity GWh'!$A$12:$A$55,0),MATCH($C5,'EUROSTAT AP Electricity GWh'!$A$12:$I$12,0))</f>
        <v>:</v>
      </c>
      <c r="I5" t="str">
        <f>INDEX('EUROSTAT AP Electricity GWh'!$A$12:$I$55,MATCH(I$1,'EUROSTAT AP Electricity GWh'!$A$12:$A$55,0),MATCH($C5,'EUROSTAT AP Electricity GWh'!$A$12:$I$12,0))</f>
        <v>:</v>
      </c>
      <c r="J5" t="str">
        <f>INDEX('EUROSTAT AP Electricity GWh'!$A$12:$I$55,MATCH(J$1,'EUROSTAT AP Electricity GWh'!$A$12:$A$55,0),MATCH($C5,'EUROSTAT AP Electricity GWh'!$A$12:$I$12,0))</f>
        <v>:</v>
      </c>
      <c r="K5" t="str">
        <f>INDEX('EUROSTAT AP Electricity GWh'!$A$12:$I$55,MATCH(K$1,'EUROSTAT AP Electricity GWh'!$A$12:$A$55,0),MATCH($C5,'EUROSTAT AP Electricity GWh'!$A$12:$I$12,0))</f>
        <v>:</v>
      </c>
      <c r="L5" t="str">
        <f>INDEX('EUROSTAT AP Electricity GWh'!$A$12:$I$55,MATCH(L$1,'EUROSTAT AP Electricity GWh'!$A$12:$A$55,0),MATCH($C5,'EUROSTAT AP Electricity GWh'!$A$12:$I$12,0))</f>
        <v>:</v>
      </c>
      <c r="M5" t="str">
        <f>INDEX('EUROSTAT AP Electricity GWh'!$A$12:$I$55,MATCH(M$1,'EUROSTAT AP Electricity GWh'!$A$12:$A$55,0),MATCH($C5,'EUROSTAT AP Electricity GWh'!$A$12:$I$12,0))</f>
        <v>:</v>
      </c>
      <c r="N5" t="str">
        <f>INDEX('EUROSTAT AP Electricity GWh'!$A$12:$I$55,MATCH(N$1,'EUROSTAT AP Electricity GWh'!$A$12:$A$55,0),MATCH($C5,'EUROSTAT AP Electricity GWh'!$A$12:$I$12,0))</f>
        <v>:</v>
      </c>
      <c r="O5" t="str">
        <f>INDEX('EUROSTAT AP Electricity GWh'!$A$12:$I$55,MATCH(O$1,'EUROSTAT AP Electricity GWh'!$A$12:$A$55,0),MATCH($C5,'EUROSTAT AP Electricity GWh'!$A$12:$I$12,0))</f>
        <v>:</v>
      </c>
      <c r="P5" t="str">
        <f>INDEX('EUROSTAT AP Electricity GWh'!$A$12:$I$55,MATCH(P$1,'EUROSTAT AP Electricity GWh'!$A$12:$A$55,0),MATCH($C5,'EUROSTAT AP Electricity GWh'!$A$12:$I$12,0))</f>
        <v>:</v>
      </c>
      <c r="Q5" t="str">
        <f>INDEX('EUROSTAT AP Electricity GWh'!$A$12:$I$55,MATCH(Q$1,'EUROSTAT AP Electricity GWh'!$A$12:$A$55,0),MATCH($C5,'EUROSTAT AP Electricity GWh'!$A$12:$I$12,0))</f>
        <v>:</v>
      </c>
      <c r="R5" t="str">
        <f>INDEX('EUROSTAT AP Electricity GWh'!$A$12:$I$55,MATCH(R$1,'EUROSTAT AP Electricity GWh'!$A$12:$A$55,0),MATCH($C5,'EUROSTAT AP Electricity GWh'!$A$12:$I$12,0))</f>
        <v>:</v>
      </c>
      <c r="S5" t="str">
        <f>INDEX('EUROSTAT AP Electricity GWh'!$A$12:$I$55,MATCH(S$1,'EUROSTAT AP Electricity GWh'!$A$12:$A$55,0),MATCH($C5,'EUROSTAT AP Electricity GWh'!$A$12:$I$12,0))</f>
        <v>:</v>
      </c>
      <c r="T5" t="str">
        <f>INDEX('EUROSTAT AP Electricity GWh'!$A$12:$I$55,MATCH(T$1,'EUROSTAT AP Electricity GWh'!$A$12:$A$55,0),MATCH($C5,'EUROSTAT AP Electricity GWh'!$A$12:$I$12,0))</f>
        <v>:</v>
      </c>
      <c r="U5" t="str">
        <f>INDEX('EUROSTAT AP Electricity GWh'!$A$12:$I$55,MATCH(U$1,'EUROSTAT AP Electricity GWh'!$A$12:$A$55,0),MATCH($C5,'EUROSTAT AP Electricity GWh'!$A$12:$I$12,0))</f>
        <v>:</v>
      </c>
      <c r="V5" t="str">
        <f>INDEX('EUROSTAT AP Electricity GWh'!$A$12:$I$55,MATCH(V$1,'EUROSTAT AP Electricity GWh'!$A$12:$A$55,0),MATCH($C5,'EUROSTAT AP Electricity GWh'!$A$12:$I$12,0))</f>
        <v>:</v>
      </c>
      <c r="W5" t="str">
        <f>INDEX('EUROSTAT AP Electricity GWh'!$A$12:$I$55,MATCH(W$1,'EUROSTAT AP Electricity GWh'!$A$12:$A$55,0),MATCH($C5,'EUROSTAT AP Electricity GWh'!$A$12:$I$12,0))</f>
        <v>:</v>
      </c>
      <c r="X5" t="str">
        <f>INDEX('EUROSTAT AP Electricity GWh'!$A$12:$I$55,MATCH(X$1,'EUROSTAT AP Electricity GWh'!$A$12:$A$55,0),MATCH($C5,'EUROSTAT AP Electricity GWh'!$A$12:$I$12,0))</f>
        <v>:</v>
      </c>
      <c r="Y5" t="str">
        <f>INDEX('EUROSTAT AP Electricity GWh'!$A$12:$I$55,MATCH(Y$1,'EUROSTAT AP Electricity GWh'!$A$12:$A$55,0),MATCH($C5,'EUROSTAT AP Electricity GWh'!$A$12:$I$12,0))</f>
        <v>:</v>
      </c>
      <c r="Z5" t="str">
        <f>INDEX('EUROSTAT AP Electricity GWh'!$A$12:$I$55,MATCH(Z$1,'EUROSTAT AP Electricity GWh'!$A$12:$A$55,0),MATCH($C5,'EUROSTAT AP Electricity GWh'!$A$12:$I$12,0))</f>
        <v>:</v>
      </c>
      <c r="AA5" t="str">
        <f>INDEX('EUROSTAT AP Electricity GWh'!$A$12:$I$55,MATCH(AA$1,'EUROSTAT AP Electricity GWh'!$A$12:$A$55,0),MATCH($C5,'EUROSTAT AP Electricity GWh'!$A$12:$I$12,0))</f>
        <v>:</v>
      </c>
      <c r="AB5" t="str">
        <f>INDEX('EUROSTAT AP Electricity GWh'!$A$12:$I$55,MATCH(AB$1,'EUROSTAT AP Electricity GWh'!$A$12:$A$55,0),MATCH($C5,'EUROSTAT AP Electricity GWh'!$A$12:$I$12,0))</f>
        <v>:</v>
      </c>
      <c r="AC5" t="str">
        <f>INDEX('EUROSTAT AP Electricity GWh'!$A$12:$I$55,MATCH(AC$1,'EUROSTAT AP Electricity GWh'!$A$12:$A$55,0),MATCH($C5,'EUROSTAT AP Electricity GWh'!$A$12:$I$12,0))</f>
        <v>:</v>
      </c>
      <c r="AD5" t="str">
        <f>INDEX('EUROSTAT AP Electricity GWh'!$A$12:$I$55,MATCH(AD$1,'EUROSTAT AP Electricity GWh'!$A$12:$A$55,0),MATCH($C5,'EUROSTAT AP Electricity GWh'!$A$12:$I$12,0))</f>
        <v>:</v>
      </c>
      <c r="AE5" t="str">
        <f>INDEX('EUROSTAT AP Electricity GWh'!$A$12:$I$55,MATCH(AE$1,'EUROSTAT AP Electricity GWh'!$A$12:$A$55,0),MATCH($C5,'EUROSTAT AP Electricity GWh'!$A$12:$I$12,0))</f>
        <v>:</v>
      </c>
      <c r="AF5" t="str">
        <f>INDEX('EUROSTAT AP Electricity GWh'!$A$12:$I$55,MATCH(AF$1,'EUROSTAT AP Electricity GWh'!$A$12:$A$55,0),MATCH($C5,'EUROSTAT AP Electricity GWh'!$A$12:$I$12,0))</f>
        <v>:</v>
      </c>
      <c r="AG5" t="str">
        <f>INDEX('EUROSTAT AP Electricity GWh'!$A$12:$I$55,MATCH(AG$1,'EUROSTAT AP Electricity GWh'!$A$12:$A$55,0),MATCH($C5,'EUROSTAT AP Electricity GWh'!$A$12:$I$12,0))</f>
        <v>:</v>
      </c>
      <c r="AH5" t="str">
        <f>INDEX('EUROSTAT AP Electricity GWh'!$A$12:$I$55,MATCH(AH$1,'EUROSTAT AP Electricity GWh'!$A$12:$A$55,0),MATCH($C5,'EUROSTAT AP Electricity GWh'!$A$12:$I$12,0))</f>
        <v>:</v>
      </c>
      <c r="AI5" t="str">
        <f>INDEX('EUROSTAT AP Electricity GWh'!$A$12:$I$55,MATCH(AI$1,'EUROSTAT AP Electricity GWh'!$A$12:$A$55,0),MATCH($C5,'EUROSTAT AP Electricity GWh'!$A$12:$I$12,0))</f>
        <v>:</v>
      </c>
      <c r="AJ5" t="str">
        <f>INDEX('EUROSTAT AP Electricity GWh'!$A$12:$I$55,MATCH(AJ$1,'EUROSTAT AP Electricity GWh'!$A$12:$A$55,0),MATCH($C5,'EUROSTAT AP Electricity GWh'!$A$12:$I$12,0))</f>
        <v>:</v>
      </c>
      <c r="AK5" t="str">
        <f>INDEX('EUROSTAT AP Electricity GWh'!$A$12:$I$55,MATCH(AK$1,'EUROSTAT AP Electricity GWh'!$A$12:$A$55,0),MATCH($C5,'EUROSTAT AP Electricity GWh'!$A$12:$I$12,0))</f>
        <v>:</v>
      </c>
      <c r="AL5" t="str">
        <f>INDEX('EUROSTAT AP Electricity GWh'!$A$12:$I$55,MATCH(AL$1,'EUROSTAT AP Electricity GWh'!$A$12:$A$55,0),MATCH($C5,'EUROSTAT AP Electricity GWh'!$A$12:$I$12,0))</f>
        <v>:</v>
      </c>
      <c r="AM5" t="str">
        <f>INDEX('EUROSTAT AP Electricity GWh'!$A$12:$I$55,MATCH(AM$1,'EUROSTAT AP Electricity GWh'!$A$12:$A$55,0),MATCH($C5,'EUROSTAT AP Electricity GWh'!$A$12:$I$12,0))</f>
        <v>:</v>
      </c>
      <c r="AN5" t="str">
        <f>INDEX('EUROSTAT AP Electricity GWh'!$A$12:$I$55,MATCH(AN$1,'EUROSTAT AP Electricity GWh'!$A$12:$A$55,0),MATCH($C5,'EUROSTAT AP Electricity GWh'!$A$12:$I$12,0))</f>
        <v>:</v>
      </c>
      <c r="AO5" t="str">
        <f>INDEX('EUROSTAT AP Electricity GWh'!$A$12:$I$55,MATCH(AO$1,'EUROSTAT AP Electricity GWh'!$A$12:$A$55,0),MATCH($C5,'EUROSTAT AP Electricity GWh'!$A$12:$I$12,0))</f>
        <v>:</v>
      </c>
      <c r="AP5" t="str">
        <f>INDEX('EUROSTAT AP Electricity GWh'!$A$12:$I$55,MATCH(AP$1,'EUROSTAT AP Electricity GWh'!$A$12:$A$55,0),MATCH($C5,'EUROSTAT AP Electricity GWh'!$A$12:$I$12,0))</f>
        <v>:</v>
      </c>
      <c r="AQ5" t="str">
        <f>INDEX('EUROSTAT AP Electricity GWh'!$A$12:$I$55,MATCH(AQ$1,'EUROSTAT AP Electricity GWh'!$A$12:$A$55,0),MATCH($C5,'EUROSTAT AP Electricity GWh'!$A$12:$I$12,0))</f>
        <v>:</v>
      </c>
      <c r="AR5" t="str">
        <f>INDEX('EUROSTAT AP Electricity GWh'!$A$12:$I$55,MATCH(AR$1,'EUROSTAT AP Electricity GWh'!$A$12:$A$55,0),MATCH($C5,'EUROSTAT AP Electricity GWh'!$A$12:$I$12,0))</f>
        <v>:</v>
      </c>
      <c r="AS5" t="str">
        <f>INDEX('EUROSTAT AP Electricity GWh'!$A$12:$I$55,MATCH(AS$1,'EUROSTAT AP Electricity GWh'!$A$12:$A$55,0),MATCH($C5,'EUROSTAT AP Electricity GWh'!$A$12:$I$12,0))</f>
        <v>:</v>
      </c>
    </row>
    <row r="6" spans="1:45" x14ac:dyDescent="0.2">
      <c r="B6" t="s">
        <v>152</v>
      </c>
      <c r="C6" s="13" t="s">
        <v>1</v>
      </c>
      <c r="D6">
        <f>INDEX('EUROSTAT AP Electricity GWh'!$A$12:$I$55,MATCH(D$1,'EUROSTAT AP Electricity GWh'!$A$12:$A$55,0),MATCH($C6,'EUROSTAT AP Electricity GWh'!$A$12:$I$12,0))</f>
        <v>38870.870999999999</v>
      </c>
      <c r="E6">
        <f>INDEX('EUROSTAT AP Electricity GWh'!$A$12:$I$55,MATCH(E$1,'EUROSTAT AP Electricity GWh'!$A$12:$A$55,0),MATCH($C6,'EUROSTAT AP Electricity GWh'!$A$12:$I$12,0))</f>
        <v>1772.8589999999999</v>
      </c>
      <c r="F6">
        <f>INDEX('EUROSTAT AP Electricity GWh'!$A$12:$I$55,MATCH(F$1,'EUROSTAT AP Electricity GWh'!$A$12:$A$55,0),MATCH($C6,'EUROSTAT AP Electricity GWh'!$A$12:$I$12,0))</f>
        <v>0</v>
      </c>
      <c r="G6">
        <f>INDEX('EUROSTAT AP Electricity GWh'!$A$12:$I$55,MATCH(G$1,'EUROSTAT AP Electricity GWh'!$A$12:$A$55,0),MATCH($C6,'EUROSTAT AP Electricity GWh'!$A$12:$I$12,0))</f>
        <v>0</v>
      </c>
      <c r="H6">
        <f>INDEX('EUROSTAT AP Electricity GWh'!$A$12:$I$55,MATCH(H$1,'EUROSTAT AP Electricity GWh'!$A$12:$A$55,0),MATCH($C6,'EUROSTAT AP Electricity GWh'!$A$12:$I$12,0))</f>
        <v>0</v>
      </c>
      <c r="I6">
        <f>INDEX('EUROSTAT AP Electricity GWh'!$A$12:$I$55,MATCH(I$1,'EUROSTAT AP Electricity GWh'!$A$12:$A$55,0),MATCH($C6,'EUROSTAT AP Electricity GWh'!$A$12:$I$12,0))</f>
        <v>0</v>
      </c>
      <c r="J6">
        <f>INDEX('EUROSTAT AP Electricity GWh'!$A$12:$I$55,MATCH(J$1,'EUROSTAT AP Electricity GWh'!$A$12:$A$55,0),MATCH($C6,'EUROSTAT AP Electricity GWh'!$A$12:$I$12,0))</f>
        <v>0</v>
      </c>
      <c r="K6">
        <f>INDEX('EUROSTAT AP Electricity GWh'!$A$12:$I$55,MATCH(K$1,'EUROSTAT AP Electricity GWh'!$A$12:$A$55,0),MATCH($C6,'EUROSTAT AP Electricity GWh'!$A$12:$I$12,0))</f>
        <v>0</v>
      </c>
      <c r="L6">
        <f>INDEX('EUROSTAT AP Electricity GWh'!$A$12:$I$55,MATCH(L$1,'EUROSTAT AP Electricity GWh'!$A$12:$A$55,0),MATCH($C6,'EUROSTAT AP Electricity GWh'!$A$12:$I$12,0))</f>
        <v>106.10899999999999</v>
      </c>
      <c r="M6">
        <f>INDEX('EUROSTAT AP Electricity GWh'!$A$12:$I$55,MATCH(M$1,'EUROSTAT AP Electricity GWh'!$A$12:$A$55,0),MATCH($C6,'EUROSTAT AP Electricity GWh'!$A$12:$I$12,0))</f>
        <v>1666.75</v>
      </c>
      <c r="N6">
        <f>INDEX('EUROSTAT AP Electricity GWh'!$A$12:$I$55,MATCH(N$1,'EUROSTAT AP Electricity GWh'!$A$12:$A$55,0),MATCH($C6,'EUROSTAT AP Electricity GWh'!$A$12:$I$12,0))</f>
        <v>0</v>
      </c>
      <c r="O6">
        <f>INDEX('EUROSTAT AP Electricity GWh'!$A$12:$I$55,MATCH(O$1,'EUROSTAT AP Electricity GWh'!$A$12:$A$55,0),MATCH($C6,'EUROSTAT AP Electricity GWh'!$A$12:$I$12,0))</f>
        <v>0</v>
      </c>
      <c r="P6">
        <f>INDEX('EUROSTAT AP Electricity GWh'!$A$12:$I$55,MATCH(P$1,'EUROSTAT AP Electricity GWh'!$A$12:$A$55,0),MATCH($C6,'EUROSTAT AP Electricity GWh'!$A$12:$I$12,0))</f>
        <v>0</v>
      </c>
      <c r="Q6">
        <f>INDEX('EUROSTAT AP Electricity GWh'!$A$12:$I$55,MATCH(Q$1,'EUROSTAT AP Electricity GWh'!$A$12:$A$55,0),MATCH($C6,'EUROSTAT AP Electricity GWh'!$A$12:$I$12,0))</f>
        <v>0</v>
      </c>
      <c r="R6">
        <f>INDEX('EUROSTAT AP Electricity GWh'!$A$12:$I$55,MATCH(R$1,'EUROSTAT AP Electricity GWh'!$A$12:$A$55,0),MATCH($C6,'EUROSTAT AP Electricity GWh'!$A$12:$I$12,0))</f>
        <v>0</v>
      </c>
      <c r="S6">
        <f>INDEX('EUROSTAT AP Electricity GWh'!$A$12:$I$55,MATCH(S$1,'EUROSTAT AP Electricity GWh'!$A$12:$A$55,0),MATCH($C6,'EUROSTAT AP Electricity GWh'!$A$12:$I$12,0))</f>
        <v>0</v>
      </c>
      <c r="T6">
        <f>INDEX('EUROSTAT AP Electricity GWh'!$A$12:$I$55,MATCH(T$1,'EUROSTAT AP Electricity GWh'!$A$12:$A$55,0),MATCH($C6,'EUROSTAT AP Electricity GWh'!$A$12:$I$12,0))</f>
        <v>7597.2139999999999</v>
      </c>
      <c r="U6">
        <f>INDEX('EUROSTAT AP Electricity GWh'!$A$12:$I$55,MATCH(U$1,'EUROSTAT AP Electricity GWh'!$A$12:$A$55,0),MATCH($C6,'EUROSTAT AP Electricity GWh'!$A$12:$I$12,0))</f>
        <v>137.82499999999999</v>
      </c>
      <c r="V6">
        <f>INDEX('EUROSTAT AP Electricity GWh'!$A$12:$I$55,MATCH(V$1,'EUROSTAT AP Electricity GWh'!$A$12:$A$55,0),MATCH($C6,'EUROSTAT AP Electricity GWh'!$A$12:$I$12,0))</f>
        <v>4434.6099999999997</v>
      </c>
      <c r="W6">
        <f>INDEX('EUROSTAT AP Electricity GWh'!$A$12:$I$55,MATCH(W$1,'EUROSTAT AP Electricity GWh'!$A$12:$A$55,0),MATCH($C6,'EUROSTAT AP Electricity GWh'!$A$12:$I$12,0))</f>
        <v>0.69</v>
      </c>
      <c r="X6">
        <f>INDEX('EUROSTAT AP Electricity GWh'!$A$12:$I$55,MATCH(X$1,'EUROSTAT AP Electricity GWh'!$A$12:$A$55,0),MATCH($C6,'EUROSTAT AP Electricity GWh'!$A$12:$I$12,0))</f>
        <v>66.462999999999994</v>
      </c>
      <c r="Y6">
        <f>INDEX('EUROSTAT AP Electricity GWh'!$A$12:$I$55,MATCH(Y$1,'EUROSTAT AP Electricity GWh'!$A$12:$A$55,0),MATCH($C6,'EUROSTAT AP Electricity GWh'!$A$12:$I$12,0))</f>
        <v>38.762</v>
      </c>
      <c r="Z6">
        <f>INDEX('EUROSTAT AP Electricity GWh'!$A$12:$I$55,MATCH(Z$1,'EUROSTAT AP Electricity GWh'!$A$12:$A$55,0),MATCH($C6,'EUROSTAT AP Electricity GWh'!$A$12:$I$12,0))</f>
        <v>329.36099999999999</v>
      </c>
      <c r="AA6">
        <f>INDEX('EUROSTAT AP Electricity GWh'!$A$12:$I$55,MATCH(AA$1,'EUROSTAT AP Electricity GWh'!$A$12:$A$55,0),MATCH($C6,'EUROSTAT AP Electricity GWh'!$A$12:$I$12,0))</f>
        <v>8.3979999999999997</v>
      </c>
      <c r="AB6">
        <f>INDEX('EUROSTAT AP Electricity GWh'!$A$12:$I$55,MATCH(AB$1,'EUROSTAT AP Electricity GWh'!$A$12:$A$55,0),MATCH($C6,'EUROSTAT AP Electricity GWh'!$A$12:$I$12,0))</f>
        <v>1213.597</v>
      </c>
      <c r="AC6">
        <f>INDEX('EUROSTAT AP Electricity GWh'!$A$12:$I$55,MATCH(AC$1,'EUROSTAT AP Electricity GWh'!$A$12:$A$55,0),MATCH($C6,'EUROSTAT AP Electricity GWh'!$A$12:$I$12,0))</f>
        <v>364.69499999999999</v>
      </c>
      <c r="AD6">
        <f>INDEX('EUROSTAT AP Electricity GWh'!$A$12:$I$55,MATCH(AD$1,'EUROSTAT AP Electricity GWh'!$A$12:$A$55,0),MATCH($C6,'EUROSTAT AP Electricity GWh'!$A$12:$I$12,0))</f>
        <v>43.936</v>
      </c>
      <c r="AE6">
        <f>INDEX('EUROSTAT AP Electricity GWh'!$A$12:$I$55,MATCH(AE$1,'EUROSTAT AP Electricity GWh'!$A$12:$A$55,0),MATCH($C6,'EUROSTAT AP Electricity GWh'!$A$12:$I$12,0))</f>
        <v>395.42</v>
      </c>
      <c r="AF6">
        <f>INDEX('EUROSTAT AP Electricity GWh'!$A$12:$I$55,MATCH(AF$1,'EUROSTAT AP Electricity GWh'!$A$12:$A$55,0),MATCH($C6,'EUROSTAT AP Electricity GWh'!$A$12:$I$12,0))</f>
        <v>18.969000000000001</v>
      </c>
      <c r="AG6">
        <f>INDEX('EUROSTAT AP Electricity GWh'!$A$12:$I$55,MATCH(AG$1,'EUROSTAT AP Electricity GWh'!$A$12:$A$55,0),MATCH($C6,'EUROSTAT AP Electricity GWh'!$A$12:$I$12,0))</f>
        <v>544.48800000000006</v>
      </c>
      <c r="AH6">
        <f>INDEX('EUROSTAT AP Electricity GWh'!$A$12:$I$55,MATCH(AH$1,'EUROSTAT AP Electricity GWh'!$A$12:$A$55,0),MATCH($C6,'EUROSTAT AP Electricity GWh'!$A$12:$I$12,0))</f>
        <v>0</v>
      </c>
      <c r="AI6">
        <f>INDEX('EUROSTAT AP Electricity GWh'!$A$12:$I$55,MATCH(AI$1,'EUROSTAT AP Electricity GWh'!$A$12:$A$55,0),MATCH($C6,'EUROSTAT AP Electricity GWh'!$A$12:$I$12,0))</f>
        <v>0</v>
      </c>
      <c r="AJ6">
        <f>INDEX('EUROSTAT AP Electricity GWh'!$A$12:$I$55,MATCH(AJ$1,'EUROSTAT AP Electricity GWh'!$A$12:$A$55,0),MATCH($C6,'EUROSTAT AP Electricity GWh'!$A$12:$I$12,0))</f>
        <v>0</v>
      </c>
      <c r="AK6">
        <f>INDEX('EUROSTAT AP Electricity GWh'!$A$12:$I$55,MATCH(AK$1,'EUROSTAT AP Electricity GWh'!$A$12:$A$55,0),MATCH($C6,'EUROSTAT AP Electricity GWh'!$A$12:$I$12,0))</f>
        <v>0</v>
      </c>
      <c r="AL6">
        <f>INDEX('EUROSTAT AP Electricity GWh'!$A$12:$I$55,MATCH(AL$1,'EUROSTAT AP Electricity GWh'!$A$12:$A$55,0),MATCH($C6,'EUROSTAT AP Electricity GWh'!$A$12:$I$12,0))</f>
        <v>29500.797999999999</v>
      </c>
      <c r="AM6">
        <f>INDEX('EUROSTAT AP Electricity GWh'!$A$12:$I$55,MATCH(AM$1,'EUROSTAT AP Electricity GWh'!$A$12:$A$55,0),MATCH($C6,'EUROSTAT AP Electricity GWh'!$A$12:$I$12,0))</f>
        <v>9705.7240000000002</v>
      </c>
      <c r="AN6">
        <f>INDEX('EUROSTAT AP Electricity GWh'!$A$12:$I$55,MATCH(AN$1,'EUROSTAT AP Electricity GWh'!$A$12:$A$55,0),MATCH($C6,'EUROSTAT AP Electricity GWh'!$A$12:$I$12,0))</f>
        <v>8439.2260000000006</v>
      </c>
      <c r="AO6">
        <f>INDEX('EUROSTAT AP Electricity GWh'!$A$12:$I$55,MATCH(AO$1,'EUROSTAT AP Electricity GWh'!$A$12:$A$55,0),MATCH($C6,'EUROSTAT AP Electricity GWh'!$A$12:$I$12,0))</f>
        <v>11355.712</v>
      </c>
      <c r="AP6">
        <f>INDEX('EUROSTAT AP Electricity GWh'!$A$12:$I$55,MATCH(AP$1,'EUROSTAT AP Electricity GWh'!$A$12:$A$55,0),MATCH($C6,'EUROSTAT AP Electricity GWh'!$A$12:$I$12,0))</f>
        <v>11355.712</v>
      </c>
      <c r="AQ6">
        <f>INDEX('EUROSTAT AP Electricity GWh'!$A$12:$I$55,MATCH(AQ$1,'EUROSTAT AP Electricity GWh'!$A$12:$A$55,0),MATCH($C6,'EUROSTAT AP Electricity GWh'!$A$12:$I$12,0))</f>
        <v>0</v>
      </c>
      <c r="AR6">
        <f>INDEX('EUROSTAT AP Electricity GWh'!$A$12:$I$55,MATCH(AR$1,'EUROSTAT AP Electricity GWh'!$A$12:$A$55,0),MATCH($C6,'EUROSTAT AP Electricity GWh'!$A$12:$I$12,0))</f>
        <v>0</v>
      </c>
      <c r="AS6">
        <f>INDEX('EUROSTAT AP Electricity GWh'!$A$12:$I$55,MATCH(AS$1,'EUROSTAT AP Electricity GWh'!$A$12:$A$55,0),MATCH($C6,'EUROSTAT AP Electricity GWh'!$A$12:$I$12,0))</f>
        <v>0.13600000000000001</v>
      </c>
    </row>
    <row r="7" spans="1:45" x14ac:dyDescent="0.2">
      <c r="A7" t="s">
        <v>154</v>
      </c>
      <c r="B7" t="s">
        <v>10</v>
      </c>
      <c r="C7" s="13" t="s">
        <v>3</v>
      </c>
      <c r="D7" t="str">
        <f>INDEX('EUROSTAT AP Heat TJ'!$A$12:$I$55,MATCH(D$1,'EUROSTAT AP Heat TJ'!$A$12:$A$55,0),MATCH($C3,'EUROSTAT AP Heat TJ'!$A$12:$I$12,0))</f>
        <v>:</v>
      </c>
      <c r="E7" t="str">
        <f>INDEX('EUROSTAT AP Heat TJ'!$A$12:$I$55,MATCH(E$1,'EUROSTAT AP Heat TJ'!$A$12:$A$55,0),MATCH($C3,'EUROSTAT AP Heat TJ'!$A$12:$I$12,0))</f>
        <v>:</v>
      </c>
      <c r="F7" t="str">
        <f>INDEX('EUROSTAT AP Heat TJ'!$A$12:$I$55,MATCH(F$1,'EUROSTAT AP Heat TJ'!$A$12:$A$55,0),MATCH($C3,'EUROSTAT AP Heat TJ'!$A$12:$I$12,0))</f>
        <v>:</v>
      </c>
      <c r="G7" t="str">
        <f>INDEX('EUROSTAT AP Heat TJ'!$A$12:$I$55,MATCH(G$1,'EUROSTAT AP Heat TJ'!$A$12:$A$55,0),MATCH($C3,'EUROSTAT AP Heat TJ'!$A$12:$I$12,0))</f>
        <v>:</v>
      </c>
      <c r="H7" t="str">
        <f>INDEX('EUROSTAT AP Heat TJ'!$A$12:$I$55,MATCH(H$1,'EUROSTAT AP Heat TJ'!$A$12:$A$55,0),MATCH($C3,'EUROSTAT AP Heat TJ'!$A$12:$I$12,0))</f>
        <v>:</v>
      </c>
      <c r="I7" t="str">
        <f>INDEX('EUROSTAT AP Heat TJ'!$A$12:$I$55,MATCH(I$1,'EUROSTAT AP Heat TJ'!$A$12:$A$55,0),MATCH($C3,'EUROSTAT AP Heat TJ'!$A$12:$I$12,0))</f>
        <v>:</v>
      </c>
      <c r="J7" t="str">
        <f>INDEX('EUROSTAT AP Heat TJ'!$A$12:$I$55,MATCH(J$1,'EUROSTAT AP Heat TJ'!$A$12:$A$55,0),MATCH($C3,'EUROSTAT AP Heat TJ'!$A$12:$I$12,0))</f>
        <v>:</v>
      </c>
      <c r="K7" t="str">
        <f>INDEX('EUROSTAT AP Heat TJ'!$A$12:$I$55,MATCH(K$1,'EUROSTAT AP Heat TJ'!$A$12:$A$55,0),MATCH($C3,'EUROSTAT AP Heat TJ'!$A$12:$I$12,0))</f>
        <v>:</v>
      </c>
      <c r="L7" t="str">
        <f>INDEX('EUROSTAT AP Heat TJ'!$A$12:$I$55,MATCH(L$1,'EUROSTAT AP Heat TJ'!$A$12:$A$55,0),MATCH($C3,'EUROSTAT AP Heat TJ'!$A$12:$I$12,0))</f>
        <v>:</v>
      </c>
      <c r="M7" t="str">
        <f>INDEX('EUROSTAT AP Heat TJ'!$A$12:$I$55,MATCH(M$1,'EUROSTAT AP Heat TJ'!$A$12:$A$55,0),MATCH($C3,'EUROSTAT AP Heat TJ'!$A$12:$I$12,0))</f>
        <v>:</v>
      </c>
      <c r="N7" t="str">
        <f>INDEX('EUROSTAT AP Heat TJ'!$A$12:$I$55,MATCH(N$1,'EUROSTAT AP Heat TJ'!$A$12:$A$55,0),MATCH($C3,'EUROSTAT AP Heat TJ'!$A$12:$I$12,0))</f>
        <v>:</v>
      </c>
      <c r="O7" t="str">
        <f>INDEX('EUROSTAT AP Heat TJ'!$A$12:$I$55,MATCH(O$1,'EUROSTAT AP Heat TJ'!$A$12:$A$55,0),MATCH($C3,'EUROSTAT AP Heat TJ'!$A$12:$I$12,0))</f>
        <v>:</v>
      </c>
      <c r="P7" t="str">
        <f>INDEX('EUROSTAT AP Heat TJ'!$A$12:$I$55,MATCH(P$1,'EUROSTAT AP Heat TJ'!$A$12:$A$55,0),MATCH($C3,'EUROSTAT AP Heat TJ'!$A$12:$I$12,0))</f>
        <v>:</v>
      </c>
      <c r="Q7" t="str">
        <f>INDEX('EUROSTAT AP Heat TJ'!$A$12:$I$55,MATCH(Q$1,'EUROSTAT AP Heat TJ'!$A$12:$A$55,0),MATCH($C3,'EUROSTAT AP Heat TJ'!$A$12:$I$12,0))</f>
        <v>:</v>
      </c>
      <c r="R7" t="str">
        <f>INDEX('EUROSTAT AP Heat TJ'!$A$12:$I$55,MATCH(R$1,'EUROSTAT AP Heat TJ'!$A$12:$A$55,0),MATCH($C3,'EUROSTAT AP Heat TJ'!$A$12:$I$12,0))</f>
        <v>:</v>
      </c>
      <c r="S7" t="str">
        <f>INDEX('EUROSTAT AP Heat TJ'!$A$12:$I$55,MATCH(S$1,'EUROSTAT AP Heat TJ'!$A$12:$A$55,0),MATCH($C3,'EUROSTAT AP Heat TJ'!$A$12:$I$12,0))</f>
        <v>:</v>
      </c>
      <c r="T7" t="str">
        <f>INDEX('EUROSTAT AP Heat TJ'!$A$12:$I$55,MATCH(T$1,'EUROSTAT AP Heat TJ'!$A$12:$A$55,0),MATCH($C3,'EUROSTAT AP Heat TJ'!$A$12:$I$12,0))</f>
        <v>:</v>
      </c>
      <c r="U7" t="str">
        <f>INDEX('EUROSTAT AP Heat TJ'!$A$12:$I$55,MATCH(U$1,'EUROSTAT AP Heat TJ'!$A$12:$A$55,0),MATCH($C3,'EUROSTAT AP Heat TJ'!$A$12:$I$12,0))</f>
        <v>:</v>
      </c>
      <c r="V7" t="str">
        <f>INDEX('EUROSTAT AP Heat TJ'!$A$12:$I$55,MATCH(V$1,'EUROSTAT AP Heat TJ'!$A$12:$A$55,0),MATCH($C3,'EUROSTAT AP Heat TJ'!$A$12:$I$12,0))</f>
        <v>:</v>
      </c>
      <c r="W7" t="str">
        <f>INDEX('EUROSTAT AP Heat TJ'!$A$12:$I$55,MATCH(W$1,'EUROSTAT AP Heat TJ'!$A$12:$A$55,0),MATCH($C3,'EUROSTAT AP Heat TJ'!$A$12:$I$12,0))</f>
        <v>:</v>
      </c>
      <c r="X7" t="str">
        <f>INDEX('EUROSTAT AP Heat TJ'!$A$12:$I$55,MATCH(X$1,'EUROSTAT AP Heat TJ'!$A$12:$A$55,0),MATCH($C3,'EUROSTAT AP Heat TJ'!$A$12:$I$12,0))</f>
        <v>:</v>
      </c>
      <c r="Y7" t="str">
        <f>INDEX('EUROSTAT AP Heat TJ'!$A$12:$I$55,MATCH(Y$1,'EUROSTAT AP Heat TJ'!$A$12:$A$55,0),MATCH($C3,'EUROSTAT AP Heat TJ'!$A$12:$I$12,0))</f>
        <v>:</v>
      </c>
      <c r="Z7" t="str">
        <f>INDEX('EUROSTAT AP Heat TJ'!$A$12:$I$55,MATCH(Z$1,'EUROSTAT AP Heat TJ'!$A$12:$A$55,0),MATCH($C3,'EUROSTAT AP Heat TJ'!$A$12:$I$12,0))</f>
        <v>:</v>
      </c>
      <c r="AA7" t="str">
        <f>INDEX('EUROSTAT AP Heat TJ'!$A$12:$I$55,MATCH(AA$1,'EUROSTAT AP Heat TJ'!$A$12:$A$55,0),MATCH($C3,'EUROSTAT AP Heat TJ'!$A$12:$I$12,0))</f>
        <v>:</v>
      </c>
      <c r="AB7" t="str">
        <f>INDEX('EUROSTAT AP Heat TJ'!$A$12:$I$55,MATCH(AB$1,'EUROSTAT AP Heat TJ'!$A$12:$A$55,0),MATCH($C3,'EUROSTAT AP Heat TJ'!$A$12:$I$12,0))</f>
        <v>:</v>
      </c>
      <c r="AC7" t="str">
        <f>INDEX('EUROSTAT AP Heat TJ'!$A$12:$I$55,MATCH(AC$1,'EUROSTAT AP Heat TJ'!$A$12:$A$55,0),MATCH($C3,'EUROSTAT AP Heat TJ'!$A$12:$I$12,0))</f>
        <v>:</v>
      </c>
      <c r="AD7" t="str">
        <f>INDEX('EUROSTAT AP Heat TJ'!$A$12:$I$55,MATCH(AD$1,'EUROSTAT AP Heat TJ'!$A$12:$A$55,0),MATCH($C3,'EUROSTAT AP Heat TJ'!$A$12:$I$12,0))</f>
        <v>:</v>
      </c>
      <c r="AE7" t="str">
        <f>INDEX('EUROSTAT AP Heat TJ'!$A$12:$I$55,MATCH(AE$1,'EUROSTAT AP Heat TJ'!$A$12:$A$55,0),MATCH($C3,'EUROSTAT AP Heat TJ'!$A$12:$I$12,0))</f>
        <v>:</v>
      </c>
      <c r="AF7" t="str">
        <f>INDEX('EUROSTAT AP Heat TJ'!$A$12:$I$55,MATCH(AF$1,'EUROSTAT AP Heat TJ'!$A$12:$A$55,0),MATCH($C3,'EUROSTAT AP Heat TJ'!$A$12:$I$12,0))</f>
        <v>:</v>
      </c>
      <c r="AG7" t="str">
        <f>INDEX('EUROSTAT AP Heat TJ'!$A$12:$I$55,MATCH(AG$1,'EUROSTAT AP Heat TJ'!$A$12:$A$55,0),MATCH($C3,'EUROSTAT AP Heat TJ'!$A$12:$I$12,0))</f>
        <v>:</v>
      </c>
      <c r="AH7" t="str">
        <f>INDEX('EUROSTAT AP Heat TJ'!$A$12:$I$55,MATCH(AH$1,'EUROSTAT AP Heat TJ'!$A$12:$A$55,0),MATCH($C3,'EUROSTAT AP Heat TJ'!$A$12:$I$12,0))</f>
        <v>:</v>
      </c>
      <c r="AI7" t="str">
        <f>INDEX('EUROSTAT AP Heat TJ'!$A$12:$I$55,MATCH(AI$1,'EUROSTAT AP Heat TJ'!$A$12:$A$55,0),MATCH($C3,'EUROSTAT AP Heat TJ'!$A$12:$I$12,0))</f>
        <v>:</v>
      </c>
      <c r="AJ7" t="str">
        <f>INDEX('EUROSTAT AP Heat TJ'!$A$12:$I$55,MATCH(AJ$1,'EUROSTAT AP Heat TJ'!$A$12:$A$55,0),MATCH($C3,'EUROSTAT AP Heat TJ'!$A$12:$I$12,0))</f>
        <v>:</v>
      </c>
      <c r="AK7" t="str">
        <f>INDEX('EUROSTAT AP Heat TJ'!$A$12:$I$55,MATCH(AK$1,'EUROSTAT AP Heat TJ'!$A$12:$A$55,0),MATCH($C3,'EUROSTAT AP Heat TJ'!$A$12:$I$12,0))</f>
        <v>:</v>
      </c>
      <c r="AL7" t="str">
        <f>INDEX('EUROSTAT AP Heat TJ'!$A$12:$I$55,MATCH(AL$1,'EUROSTAT AP Heat TJ'!$A$12:$A$55,0),MATCH($C3,'EUROSTAT AP Heat TJ'!$A$12:$I$12,0))</f>
        <v>:</v>
      </c>
      <c r="AM7" t="str">
        <f>INDEX('EUROSTAT AP Heat TJ'!$A$12:$I$55,MATCH(AM$1,'EUROSTAT AP Heat TJ'!$A$12:$A$55,0),MATCH($C3,'EUROSTAT AP Heat TJ'!$A$12:$I$12,0))</f>
        <v>:</v>
      </c>
      <c r="AN7" t="str">
        <f>INDEX('EUROSTAT AP Heat TJ'!$A$12:$I$55,MATCH(AN$1,'EUROSTAT AP Heat TJ'!$A$12:$A$55,0),MATCH($C3,'EUROSTAT AP Heat TJ'!$A$12:$I$12,0))</f>
        <v>:</v>
      </c>
      <c r="AO7" t="str">
        <f>INDEX('EUROSTAT AP Heat TJ'!$A$12:$I$55,MATCH(AO$1,'EUROSTAT AP Heat TJ'!$A$12:$A$55,0),MATCH($C3,'EUROSTAT AP Heat TJ'!$A$12:$I$12,0))</f>
        <v>:</v>
      </c>
      <c r="AP7" t="str">
        <f>INDEX('EUROSTAT AP Heat TJ'!$A$12:$I$55,MATCH(AP$1,'EUROSTAT AP Heat TJ'!$A$12:$A$55,0),MATCH($C3,'EUROSTAT AP Heat TJ'!$A$12:$I$12,0))</f>
        <v>:</v>
      </c>
      <c r="AQ7" t="str">
        <f>INDEX('EUROSTAT AP Heat TJ'!$A$12:$I$55,MATCH(AQ$1,'EUROSTAT AP Heat TJ'!$A$12:$A$55,0),MATCH($C3,'EUROSTAT AP Heat TJ'!$A$12:$I$12,0))</f>
        <v>:</v>
      </c>
      <c r="AR7" t="str">
        <f>INDEX('EUROSTAT AP Heat TJ'!$A$12:$I$55,MATCH(AR$1,'EUROSTAT AP Heat TJ'!$A$12:$A$55,0),MATCH($C3,'EUROSTAT AP Heat TJ'!$A$12:$I$12,0))</f>
        <v>:</v>
      </c>
      <c r="AS7" t="str">
        <f>INDEX('EUROSTAT AP Heat TJ'!$A$12:$I$55,MATCH(AS$1,'EUROSTAT AP Heat TJ'!$A$12:$A$55,0),MATCH($C3,'EUROSTAT AP Heat TJ'!$A$12:$I$12,0))</f>
        <v>:</v>
      </c>
    </row>
    <row r="8" spans="1:45" x14ac:dyDescent="0.2">
      <c r="B8" t="s">
        <v>11</v>
      </c>
      <c r="C8" s="13" t="s">
        <v>110</v>
      </c>
      <c r="D8">
        <f>INDEX('EUROSTAT AP Heat TJ'!$A$12:$I$55,MATCH(D$1,'EUROSTAT AP Heat TJ'!$A$12:$A$55,0),MATCH($C4,'EUROSTAT AP Heat TJ'!$A$12:$I$12,0))</f>
        <v>33365.03</v>
      </c>
      <c r="E8">
        <f>INDEX('EUROSTAT AP Heat TJ'!$A$12:$I$55,MATCH(E$1,'EUROSTAT AP Heat TJ'!$A$12:$A$55,0),MATCH($C4,'EUROSTAT AP Heat TJ'!$A$12:$I$12,0))</f>
        <v>6575.3239999999996</v>
      </c>
      <c r="F8">
        <f>INDEX('EUROSTAT AP Heat TJ'!$A$12:$I$55,MATCH(F$1,'EUROSTAT AP Heat TJ'!$A$12:$A$55,0),MATCH($C4,'EUROSTAT AP Heat TJ'!$A$12:$I$12,0))</f>
        <v>0</v>
      </c>
      <c r="G8">
        <f>INDEX('EUROSTAT AP Heat TJ'!$A$12:$I$55,MATCH(G$1,'EUROSTAT AP Heat TJ'!$A$12:$A$55,0),MATCH($C4,'EUROSTAT AP Heat TJ'!$A$12:$I$12,0))</f>
        <v>0</v>
      </c>
      <c r="H8">
        <f>INDEX('EUROSTAT AP Heat TJ'!$A$12:$I$55,MATCH(H$1,'EUROSTAT AP Heat TJ'!$A$12:$A$55,0),MATCH($C4,'EUROSTAT AP Heat TJ'!$A$12:$I$12,0))</f>
        <v>0</v>
      </c>
      <c r="I8">
        <f>INDEX('EUROSTAT AP Heat TJ'!$A$12:$I$55,MATCH(I$1,'EUROSTAT AP Heat TJ'!$A$12:$A$55,0),MATCH($C4,'EUROSTAT AP Heat TJ'!$A$12:$I$12,0))</f>
        <v>0</v>
      </c>
      <c r="J8">
        <f>INDEX('EUROSTAT AP Heat TJ'!$A$12:$I$55,MATCH(J$1,'EUROSTAT AP Heat TJ'!$A$12:$A$55,0),MATCH($C4,'EUROSTAT AP Heat TJ'!$A$12:$I$12,0))</f>
        <v>0</v>
      </c>
      <c r="K8">
        <f>INDEX('EUROSTAT AP Heat TJ'!$A$12:$I$55,MATCH(K$1,'EUROSTAT AP Heat TJ'!$A$12:$A$55,0),MATCH($C4,'EUROSTAT AP Heat TJ'!$A$12:$I$12,0))</f>
        <v>0</v>
      </c>
      <c r="L8">
        <f>INDEX('EUROSTAT AP Heat TJ'!$A$12:$I$55,MATCH(L$1,'EUROSTAT AP Heat TJ'!$A$12:$A$55,0),MATCH($C4,'EUROSTAT AP Heat TJ'!$A$12:$I$12,0))</f>
        <v>0</v>
      </c>
      <c r="M8">
        <f>INDEX('EUROSTAT AP Heat TJ'!$A$12:$I$55,MATCH(M$1,'EUROSTAT AP Heat TJ'!$A$12:$A$55,0),MATCH($C4,'EUROSTAT AP Heat TJ'!$A$12:$I$12,0))</f>
        <v>6575.3239999999996</v>
      </c>
      <c r="N8">
        <f>INDEX('EUROSTAT AP Heat TJ'!$A$12:$I$55,MATCH(N$1,'EUROSTAT AP Heat TJ'!$A$12:$A$55,0),MATCH($C4,'EUROSTAT AP Heat TJ'!$A$12:$I$12,0))</f>
        <v>0</v>
      </c>
      <c r="O8">
        <f>INDEX('EUROSTAT AP Heat TJ'!$A$12:$I$55,MATCH(O$1,'EUROSTAT AP Heat TJ'!$A$12:$A$55,0),MATCH($C4,'EUROSTAT AP Heat TJ'!$A$12:$I$12,0))</f>
        <v>0</v>
      </c>
      <c r="P8">
        <f>INDEX('EUROSTAT AP Heat TJ'!$A$12:$I$55,MATCH(P$1,'EUROSTAT AP Heat TJ'!$A$12:$A$55,0),MATCH($C4,'EUROSTAT AP Heat TJ'!$A$12:$I$12,0))</f>
        <v>0</v>
      </c>
      <c r="Q8">
        <f>INDEX('EUROSTAT AP Heat TJ'!$A$12:$I$55,MATCH(Q$1,'EUROSTAT AP Heat TJ'!$A$12:$A$55,0),MATCH($C4,'EUROSTAT AP Heat TJ'!$A$12:$I$12,0))</f>
        <v>0</v>
      </c>
      <c r="R8">
        <f>INDEX('EUROSTAT AP Heat TJ'!$A$12:$I$55,MATCH(R$1,'EUROSTAT AP Heat TJ'!$A$12:$A$55,0),MATCH($C4,'EUROSTAT AP Heat TJ'!$A$12:$I$12,0))</f>
        <v>0</v>
      </c>
      <c r="S8">
        <f>INDEX('EUROSTAT AP Heat TJ'!$A$12:$I$55,MATCH(S$1,'EUROSTAT AP Heat TJ'!$A$12:$A$55,0),MATCH($C4,'EUROSTAT AP Heat TJ'!$A$12:$I$12,0))</f>
        <v>0</v>
      </c>
      <c r="T8">
        <f>INDEX('EUROSTAT AP Heat TJ'!$A$12:$I$55,MATCH(T$1,'EUROSTAT AP Heat TJ'!$A$12:$A$55,0),MATCH($C4,'EUROSTAT AP Heat TJ'!$A$12:$I$12,0))</f>
        <v>8723.1749999999993</v>
      </c>
      <c r="U8">
        <f>INDEX('EUROSTAT AP Heat TJ'!$A$12:$I$55,MATCH(U$1,'EUROSTAT AP Heat TJ'!$A$12:$A$55,0),MATCH($C4,'EUROSTAT AP Heat TJ'!$A$12:$I$12,0))</f>
        <v>457.28</v>
      </c>
      <c r="V8">
        <f>INDEX('EUROSTAT AP Heat TJ'!$A$12:$I$55,MATCH(V$1,'EUROSTAT AP Heat TJ'!$A$12:$A$55,0),MATCH($C4,'EUROSTAT AP Heat TJ'!$A$12:$I$12,0))</f>
        <v>8000.4740000000002</v>
      </c>
      <c r="W8">
        <f>INDEX('EUROSTAT AP Heat TJ'!$A$12:$I$55,MATCH(W$1,'EUROSTAT AP Heat TJ'!$A$12:$A$55,0),MATCH($C4,'EUROSTAT AP Heat TJ'!$A$12:$I$12,0))</f>
        <v>0</v>
      </c>
      <c r="X8">
        <f>INDEX('EUROSTAT AP Heat TJ'!$A$12:$I$55,MATCH(X$1,'EUROSTAT AP Heat TJ'!$A$12:$A$55,0),MATCH($C4,'EUROSTAT AP Heat TJ'!$A$12:$I$12,0))</f>
        <v>0</v>
      </c>
      <c r="Y8">
        <f>INDEX('EUROSTAT AP Heat TJ'!$A$12:$I$55,MATCH(Y$1,'EUROSTAT AP Heat TJ'!$A$12:$A$55,0),MATCH($C4,'EUROSTAT AP Heat TJ'!$A$12:$I$12,0))</f>
        <v>0</v>
      </c>
      <c r="Z8">
        <f>INDEX('EUROSTAT AP Heat TJ'!$A$12:$I$55,MATCH(Z$1,'EUROSTAT AP Heat TJ'!$A$12:$A$55,0),MATCH($C4,'EUROSTAT AP Heat TJ'!$A$12:$I$12,0))</f>
        <v>0</v>
      </c>
      <c r="AA8">
        <f>INDEX('EUROSTAT AP Heat TJ'!$A$12:$I$55,MATCH(AA$1,'EUROSTAT AP Heat TJ'!$A$12:$A$55,0),MATCH($C4,'EUROSTAT AP Heat TJ'!$A$12:$I$12,0))</f>
        <v>0</v>
      </c>
      <c r="AB8">
        <f>INDEX('EUROSTAT AP Heat TJ'!$A$12:$I$55,MATCH(AB$1,'EUROSTAT AP Heat TJ'!$A$12:$A$55,0),MATCH($C4,'EUROSTAT AP Heat TJ'!$A$12:$I$12,0))</f>
        <v>52.741999999999997</v>
      </c>
      <c r="AC8">
        <f>INDEX('EUROSTAT AP Heat TJ'!$A$12:$I$55,MATCH(AC$1,'EUROSTAT AP Heat TJ'!$A$12:$A$55,0),MATCH($C4,'EUROSTAT AP Heat TJ'!$A$12:$I$12,0))</f>
        <v>120.809</v>
      </c>
      <c r="AD8">
        <f>INDEX('EUROSTAT AP Heat TJ'!$A$12:$I$55,MATCH(AD$1,'EUROSTAT AP Heat TJ'!$A$12:$A$55,0),MATCH($C4,'EUROSTAT AP Heat TJ'!$A$12:$I$12,0))</f>
        <v>91.87</v>
      </c>
      <c r="AE8">
        <f>INDEX('EUROSTAT AP Heat TJ'!$A$12:$I$55,MATCH(AE$1,'EUROSTAT AP Heat TJ'!$A$12:$A$55,0),MATCH($C4,'EUROSTAT AP Heat TJ'!$A$12:$I$12,0))</f>
        <v>0</v>
      </c>
      <c r="AF8">
        <f>INDEX('EUROSTAT AP Heat TJ'!$A$12:$I$55,MATCH(AF$1,'EUROSTAT AP Heat TJ'!$A$12:$A$55,0),MATCH($C4,'EUROSTAT AP Heat TJ'!$A$12:$I$12,0))</f>
        <v>0</v>
      </c>
      <c r="AG8">
        <f>INDEX('EUROSTAT AP Heat TJ'!$A$12:$I$55,MATCH(AG$1,'EUROSTAT AP Heat TJ'!$A$12:$A$55,0),MATCH($C4,'EUROSTAT AP Heat TJ'!$A$12:$I$12,0))</f>
        <v>0</v>
      </c>
      <c r="AH8">
        <f>INDEX('EUROSTAT AP Heat TJ'!$A$12:$I$55,MATCH(AH$1,'EUROSTAT AP Heat TJ'!$A$12:$A$55,0),MATCH($C4,'EUROSTAT AP Heat TJ'!$A$12:$I$12,0))</f>
        <v>0</v>
      </c>
      <c r="AI8">
        <f>INDEX('EUROSTAT AP Heat TJ'!$A$12:$I$55,MATCH(AI$1,'EUROSTAT AP Heat TJ'!$A$12:$A$55,0),MATCH($C4,'EUROSTAT AP Heat TJ'!$A$12:$I$12,0))</f>
        <v>0</v>
      </c>
      <c r="AJ8">
        <f>INDEX('EUROSTAT AP Heat TJ'!$A$12:$I$55,MATCH(AJ$1,'EUROSTAT AP Heat TJ'!$A$12:$A$55,0),MATCH($C4,'EUROSTAT AP Heat TJ'!$A$12:$I$12,0))</f>
        <v>0</v>
      </c>
      <c r="AK8">
        <f>INDEX('EUROSTAT AP Heat TJ'!$A$12:$I$55,MATCH(AK$1,'EUROSTAT AP Heat TJ'!$A$12:$A$55,0),MATCH($C4,'EUROSTAT AP Heat TJ'!$A$12:$I$12,0))</f>
        <v>0</v>
      </c>
      <c r="AL8">
        <f>INDEX('EUROSTAT AP Heat TJ'!$A$12:$I$55,MATCH(AL$1,'EUROSTAT AP Heat TJ'!$A$12:$A$55,0),MATCH($C4,'EUROSTAT AP Heat TJ'!$A$12:$I$12,0))</f>
        <v>18066.530999999999</v>
      </c>
      <c r="AM8">
        <f>INDEX('EUROSTAT AP Heat TJ'!$A$12:$I$55,MATCH(AM$1,'EUROSTAT AP Heat TJ'!$A$12:$A$55,0),MATCH($C4,'EUROSTAT AP Heat TJ'!$A$12:$I$12,0))</f>
        <v>17834.455000000002</v>
      </c>
      <c r="AN8">
        <f>INDEX('EUROSTAT AP Heat TJ'!$A$12:$I$55,MATCH(AN$1,'EUROSTAT AP Heat TJ'!$A$12:$A$55,0),MATCH($C4,'EUROSTAT AP Heat TJ'!$A$12:$I$12,0))</f>
        <v>0</v>
      </c>
      <c r="AO8">
        <f>INDEX('EUROSTAT AP Heat TJ'!$A$12:$I$55,MATCH(AO$1,'EUROSTAT AP Heat TJ'!$A$12:$A$55,0),MATCH($C4,'EUROSTAT AP Heat TJ'!$A$12:$I$12,0))</f>
        <v>232.07599999999999</v>
      </c>
      <c r="AP8">
        <f>INDEX('EUROSTAT AP Heat TJ'!$A$12:$I$55,MATCH(AP$1,'EUROSTAT AP Heat TJ'!$A$12:$A$55,0),MATCH($C4,'EUROSTAT AP Heat TJ'!$A$12:$I$12,0))</f>
        <v>232.07599999999999</v>
      </c>
      <c r="AQ8">
        <f>INDEX('EUROSTAT AP Heat TJ'!$A$12:$I$55,MATCH(AQ$1,'EUROSTAT AP Heat TJ'!$A$12:$A$55,0),MATCH($C4,'EUROSTAT AP Heat TJ'!$A$12:$I$12,0))</f>
        <v>0</v>
      </c>
      <c r="AR8">
        <f>INDEX('EUROSTAT AP Heat TJ'!$A$12:$I$55,MATCH(AR$1,'EUROSTAT AP Heat TJ'!$A$12:$A$55,0),MATCH($C4,'EUROSTAT AP Heat TJ'!$A$12:$I$12,0))</f>
        <v>0</v>
      </c>
      <c r="AS8">
        <f>INDEX('EUROSTAT AP Heat TJ'!$A$12:$I$55,MATCH(AS$1,'EUROSTAT AP Heat TJ'!$A$12:$A$55,0),MATCH($C4,'EUROSTAT AP Heat TJ'!$A$12:$I$12,0))</f>
        <v>0</v>
      </c>
    </row>
    <row r="9" spans="1:45" x14ac:dyDescent="0.2">
      <c r="B9" t="s">
        <v>12</v>
      </c>
      <c r="C9" s="13" t="s">
        <v>2</v>
      </c>
      <c r="D9">
        <f>INDEX('EUROSTAT AP Heat TJ'!$A$12:$I$55,MATCH(D$1,'EUROSTAT AP Heat TJ'!$A$12:$A$55,0),MATCH($C5,'EUROSTAT AP Heat TJ'!$A$12:$I$12,0))</f>
        <v>10931.602000000001</v>
      </c>
      <c r="E9">
        <f>INDEX('EUROSTAT AP Heat TJ'!$A$12:$I$55,MATCH(E$1,'EUROSTAT AP Heat TJ'!$A$12:$A$55,0),MATCH($C5,'EUROSTAT AP Heat TJ'!$A$12:$I$12,0))</f>
        <v>0</v>
      </c>
      <c r="F9">
        <f>INDEX('EUROSTAT AP Heat TJ'!$A$12:$I$55,MATCH(F$1,'EUROSTAT AP Heat TJ'!$A$12:$A$55,0),MATCH($C5,'EUROSTAT AP Heat TJ'!$A$12:$I$12,0))</f>
        <v>0</v>
      </c>
      <c r="G9">
        <f>INDEX('EUROSTAT AP Heat TJ'!$A$12:$I$55,MATCH(G$1,'EUROSTAT AP Heat TJ'!$A$12:$A$55,0),MATCH($C5,'EUROSTAT AP Heat TJ'!$A$12:$I$12,0))</f>
        <v>0</v>
      </c>
      <c r="H9">
        <f>INDEX('EUROSTAT AP Heat TJ'!$A$12:$I$55,MATCH(H$1,'EUROSTAT AP Heat TJ'!$A$12:$A$55,0),MATCH($C5,'EUROSTAT AP Heat TJ'!$A$12:$I$12,0))</f>
        <v>0</v>
      </c>
      <c r="I9">
        <f>INDEX('EUROSTAT AP Heat TJ'!$A$12:$I$55,MATCH(I$1,'EUROSTAT AP Heat TJ'!$A$12:$A$55,0),MATCH($C5,'EUROSTAT AP Heat TJ'!$A$12:$I$12,0))</f>
        <v>0</v>
      </c>
      <c r="J9">
        <f>INDEX('EUROSTAT AP Heat TJ'!$A$12:$I$55,MATCH(J$1,'EUROSTAT AP Heat TJ'!$A$12:$A$55,0),MATCH($C5,'EUROSTAT AP Heat TJ'!$A$12:$I$12,0))</f>
        <v>0</v>
      </c>
      <c r="K9">
        <f>INDEX('EUROSTAT AP Heat TJ'!$A$12:$I$55,MATCH(K$1,'EUROSTAT AP Heat TJ'!$A$12:$A$55,0),MATCH($C5,'EUROSTAT AP Heat TJ'!$A$12:$I$12,0))</f>
        <v>0</v>
      </c>
      <c r="L9">
        <f>INDEX('EUROSTAT AP Heat TJ'!$A$12:$I$55,MATCH(L$1,'EUROSTAT AP Heat TJ'!$A$12:$A$55,0),MATCH($C5,'EUROSTAT AP Heat TJ'!$A$12:$I$12,0))</f>
        <v>0</v>
      </c>
      <c r="M9">
        <f>INDEX('EUROSTAT AP Heat TJ'!$A$12:$I$55,MATCH(M$1,'EUROSTAT AP Heat TJ'!$A$12:$A$55,0),MATCH($C5,'EUROSTAT AP Heat TJ'!$A$12:$I$12,0))</f>
        <v>0</v>
      </c>
      <c r="N9">
        <f>INDEX('EUROSTAT AP Heat TJ'!$A$12:$I$55,MATCH(N$1,'EUROSTAT AP Heat TJ'!$A$12:$A$55,0),MATCH($C5,'EUROSTAT AP Heat TJ'!$A$12:$I$12,0))</f>
        <v>0</v>
      </c>
      <c r="O9">
        <f>INDEX('EUROSTAT AP Heat TJ'!$A$12:$I$55,MATCH(O$1,'EUROSTAT AP Heat TJ'!$A$12:$A$55,0),MATCH($C5,'EUROSTAT AP Heat TJ'!$A$12:$I$12,0))</f>
        <v>0</v>
      </c>
      <c r="P9">
        <f>INDEX('EUROSTAT AP Heat TJ'!$A$12:$I$55,MATCH(P$1,'EUROSTAT AP Heat TJ'!$A$12:$A$55,0),MATCH($C5,'EUROSTAT AP Heat TJ'!$A$12:$I$12,0))</f>
        <v>0</v>
      </c>
      <c r="Q9">
        <f>INDEX('EUROSTAT AP Heat TJ'!$A$12:$I$55,MATCH(Q$1,'EUROSTAT AP Heat TJ'!$A$12:$A$55,0),MATCH($C5,'EUROSTAT AP Heat TJ'!$A$12:$I$12,0))</f>
        <v>0</v>
      </c>
      <c r="R9">
        <f>INDEX('EUROSTAT AP Heat TJ'!$A$12:$I$55,MATCH(R$1,'EUROSTAT AP Heat TJ'!$A$12:$A$55,0),MATCH($C5,'EUROSTAT AP Heat TJ'!$A$12:$I$12,0))</f>
        <v>0</v>
      </c>
      <c r="S9">
        <f>INDEX('EUROSTAT AP Heat TJ'!$A$12:$I$55,MATCH(S$1,'EUROSTAT AP Heat TJ'!$A$12:$A$55,0),MATCH($C5,'EUROSTAT AP Heat TJ'!$A$12:$I$12,0))</f>
        <v>0</v>
      </c>
      <c r="T9">
        <f>INDEX('EUROSTAT AP Heat TJ'!$A$12:$I$55,MATCH(T$1,'EUROSTAT AP Heat TJ'!$A$12:$A$55,0),MATCH($C5,'EUROSTAT AP Heat TJ'!$A$12:$I$12,0))</f>
        <v>10931.602000000001</v>
      </c>
      <c r="U9">
        <f>INDEX('EUROSTAT AP Heat TJ'!$A$12:$I$55,MATCH(U$1,'EUROSTAT AP Heat TJ'!$A$12:$A$55,0),MATCH($C5,'EUROSTAT AP Heat TJ'!$A$12:$I$12,0))</f>
        <v>0</v>
      </c>
      <c r="V9">
        <f>INDEX('EUROSTAT AP Heat TJ'!$A$12:$I$55,MATCH(V$1,'EUROSTAT AP Heat TJ'!$A$12:$A$55,0),MATCH($C5,'EUROSTAT AP Heat TJ'!$A$12:$I$12,0))</f>
        <v>10790.504999999999</v>
      </c>
      <c r="W9">
        <f>INDEX('EUROSTAT AP Heat TJ'!$A$12:$I$55,MATCH(W$1,'EUROSTAT AP Heat TJ'!$A$12:$A$55,0),MATCH($C5,'EUROSTAT AP Heat TJ'!$A$12:$I$12,0))</f>
        <v>4.2759999999999998</v>
      </c>
      <c r="X9">
        <f>INDEX('EUROSTAT AP Heat TJ'!$A$12:$I$55,MATCH(X$1,'EUROSTAT AP Heat TJ'!$A$12:$A$55,0),MATCH($C5,'EUROSTAT AP Heat TJ'!$A$12:$I$12,0))</f>
        <v>0</v>
      </c>
      <c r="Y9">
        <f>INDEX('EUROSTAT AP Heat TJ'!$A$12:$I$55,MATCH(Y$1,'EUROSTAT AP Heat TJ'!$A$12:$A$55,0),MATCH($C5,'EUROSTAT AP Heat TJ'!$A$12:$I$12,0))</f>
        <v>0</v>
      </c>
      <c r="Z9">
        <f>INDEX('EUROSTAT AP Heat TJ'!$A$12:$I$55,MATCH(Z$1,'EUROSTAT AP Heat TJ'!$A$12:$A$55,0),MATCH($C5,'EUROSTAT AP Heat TJ'!$A$12:$I$12,0))</f>
        <v>0</v>
      </c>
      <c r="AA9">
        <f>INDEX('EUROSTAT AP Heat TJ'!$A$12:$I$55,MATCH(AA$1,'EUROSTAT AP Heat TJ'!$A$12:$A$55,0),MATCH($C5,'EUROSTAT AP Heat TJ'!$A$12:$I$12,0))</f>
        <v>0</v>
      </c>
      <c r="AB9">
        <f>INDEX('EUROSTAT AP Heat TJ'!$A$12:$I$55,MATCH(AB$1,'EUROSTAT AP Heat TJ'!$A$12:$A$55,0),MATCH($C5,'EUROSTAT AP Heat TJ'!$A$12:$I$12,0))</f>
        <v>136.821</v>
      </c>
      <c r="AC9">
        <f>INDEX('EUROSTAT AP Heat TJ'!$A$12:$I$55,MATCH(AC$1,'EUROSTAT AP Heat TJ'!$A$12:$A$55,0),MATCH($C5,'EUROSTAT AP Heat TJ'!$A$12:$I$12,0))</f>
        <v>0</v>
      </c>
      <c r="AD9">
        <f>INDEX('EUROSTAT AP Heat TJ'!$A$12:$I$55,MATCH(AD$1,'EUROSTAT AP Heat TJ'!$A$12:$A$55,0),MATCH($C5,'EUROSTAT AP Heat TJ'!$A$12:$I$12,0))</f>
        <v>0</v>
      </c>
      <c r="AE9">
        <f>INDEX('EUROSTAT AP Heat TJ'!$A$12:$I$55,MATCH(AE$1,'EUROSTAT AP Heat TJ'!$A$12:$A$55,0),MATCH($C5,'EUROSTAT AP Heat TJ'!$A$12:$I$12,0))</f>
        <v>0</v>
      </c>
      <c r="AF9">
        <f>INDEX('EUROSTAT AP Heat TJ'!$A$12:$I$55,MATCH(AF$1,'EUROSTAT AP Heat TJ'!$A$12:$A$55,0),MATCH($C5,'EUROSTAT AP Heat TJ'!$A$12:$I$12,0))</f>
        <v>0</v>
      </c>
      <c r="AG9">
        <f>INDEX('EUROSTAT AP Heat TJ'!$A$12:$I$55,MATCH(AG$1,'EUROSTAT AP Heat TJ'!$A$12:$A$55,0),MATCH($C5,'EUROSTAT AP Heat TJ'!$A$12:$I$12,0))</f>
        <v>0</v>
      </c>
      <c r="AH9">
        <f>INDEX('EUROSTAT AP Heat TJ'!$A$12:$I$55,MATCH(AH$1,'EUROSTAT AP Heat TJ'!$A$12:$A$55,0),MATCH($C5,'EUROSTAT AP Heat TJ'!$A$12:$I$12,0))</f>
        <v>0</v>
      </c>
      <c r="AI9">
        <f>INDEX('EUROSTAT AP Heat TJ'!$A$12:$I$55,MATCH(AI$1,'EUROSTAT AP Heat TJ'!$A$12:$A$55,0),MATCH($C5,'EUROSTAT AP Heat TJ'!$A$12:$I$12,0))</f>
        <v>0</v>
      </c>
      <c r="AJ9">
        <f>INDEX('EUROSTAT AP Heat TJ'!$A$12:$I$55,MATCH(AJ$1,'EUROSTAT AP Heat TJ'!$A$12:$A$55,0),MATCH($C5,'EUROSTAT AP Heat TJ'!$A$12:$I$12,0))</f>
        <v>0</v>
      </c>
      <c r="AK9">
        <f>INDEX('EUROSTAT AP Heat TJ'!$A$12:$I$55,MATCH(AK$1,'EUROSTAT AP Heat TJ'!$A$12:$A$55,0),MATCH($C5,'EUROSTAT AP Heat TJ'!$A$12:$I$12,0))</f>
        <v>0</v>
      </c>
      <c r="AL9">
        <f>INDEX('EUROSTAT AP Heat TJ'!$A$12:$I$55,MATCH(AL$1,'EUROSTAT AP Heat TJ'!$A$12:$A$55,0),MATCH($C5,'EUROSTAT AP Heat TJ'!$A$12:$I$12,0))</f>
        <v>0</v>
      </c>
      <c r="AM9">
        <f>INDEX('EUROSTAT AP Heat TJ'!$A$12:$I$55,MATCH(AM$1,'EUROSTAT AP Heat TJ'!$A$12:$A$55,0),MATCH($C5,'EUROSTAT AP Heat TJ'!$A$12:$I$12,0))</f>
        <v>0</v>
      </c>
      <c r="AN9">
        <f>INDEX('EUROSTAT AP Heat TJ'!$A$12:$I$55,MATCH(AN$1,'EUROSTAT AP Heat TJ'!$A$12:$A$55,0),MATCH($C5,'EUROSTAT AP Heat TJ'!$A$12:$I$12,0))</f>
        <v>0</v>
      </c>
      <c r="AO9">
        <f>INDEX('EUROSTAT AP Heat TJ'!$A$12:$I$55,MATCH(AO$1,'EUROSTAT AP Heat TJ'!$A$12:$A$55,0),MATCH($C5,'EUROSTAT AP Heat TJ'!$A$12:$I$12,0))</f>
        <v>0</v>
      </c>
      <c r="AP9">
        <f>INDEX('EUROSTAT AP Heat TJ'!$A$12:$I$55,MATCH(AP$1,'EUROSTAT AP Heat TJ'!$A$12:$A$55,0),MATCH($C5,'EUROSTAT AP Heat TJ'!$A$12:$I$12,0))</f>
        <v>0</v>
      </c>
      <c r="AQ9">
        <f>INDEX('EUROSTAT AP Heat TJ'!$A$12:$I$55,MATCH(AQ$1,'EUROSTAT AP Heat TJ'!$A$12:$A$55,0),MATCH($C5,'EUROSTAT AP Heat TJ'!$A$12:$I$12,0))</f>
        <v>0</v>
      </c>
      <c r="AR9">
        <f>INDEX('EUROSTAT AP Heat TJ'!$A$12:$I$55,MATCH(AR$1,'EUROSTAT AP Heat TJ'!$A$12:$A$55,0),MATCH($C5,'EUROSTAT AP Heat TJ'!$A$12:$I$12,0))</f>
        <v>0</v>
      </c>
      <c r="AS9">
        <f>INDEX('EUROSTAT AP Heat TJ'!$A$12:$I$55,MATCH(AS$1,'EUROSTAT AP Heat TJ'!$A$12:$A$55,0),MATCH($C5,'EUROSTAT AP Heat TJ'!$A$12:$I$12,0))</f>
        <v>0</v>
      </c>
    </row>
    <row r="10" spans="1:45" x14ac:dyDescent="0.2">
      <c r="B10" t="s">
        <v>152</v>
      </c>
      <c r="C10" s="13" t="s">
        <v>1</v>
      </c>
      <c r="D10">
        <f>INDEX('EUROSTAT AP Heat TJ'!$A$12:$I$55,MATCH(D$1,'EUROSTAT AP Heat TJ'!$A$12:$A$55,0),MATCH($C6,'EUROSTAT AP Heat TJ'!$A$12:$I$12,0))</f>
        <v>44296.631999999998</v>
      </c>
      <c r="E10">
        <f>INDEX('EUROSTAT AP Heat TJ'!$A$12:$I$55,MATCH(E$1,'EUROSTAT AP Heat TJ'!$A$12:$A$55,0),MATCH($C6,'EUROSTAT AP Heat TJ'!$A$12:$I$12,0))</f>
        <v>6575.3239999999996</v>
      </c>
      <c r="F10">
        <f>INDEX('EUROSTAT AP Heat TJ'!$A$12:$I$55,MATCH(F$1,'EUROSTAT AP Heat TJ'!$A$12:$A$55,0),MATCH($C6,'EUROSTAT AP Heat TJ'!$A$12:$I$12,0))</f>
        <v>0</v>
      </c>
      <c r="G10">
        <f>INDEX('EUROSTAT AP Heat TJ'!$A$12:$I$55,MATCH(G$1,'EUROSTAT AP Heat TJ'!$A$12:$A$55,0),MATCH($C6,'EUROSTAT AP Heat TJ'!$A$12:$I$12,0))</f>
        <v>0</v>
      </c>
      <c r="H10">
        <f>INDEX('EUROSTAT AP Heat TJ'!$A$12:$I$55,MATCH(H$1,'EUROSTAT AP Heat TJ'!$A$12:$A$55,0),MATCH($C6,'EUROSTAT AP Heat TJ'!$A$12:$I$12,0))</f>
        <v>0</v>
      </c>
      <c r="I10">
        <f>INDEX('EUROSTAT AP Heat TJ'!$A$12:$I$55,MATCH(I$1,'EUROSTAT AP Heat TJ'!$A$12:$A$55,0),MATCH($C6,'EUROSTAT AP Heat TJ'!$A$12:$I$12,0))</f>
        <v>0</v>
      </c>
      <c r="J10">
        <f>INDEX('EUROSTAT AP Heat TJ'!$A$12:$I$55,MATCH(J$1,'EUROSTAT AP Heat TJ'!$A$12:$A$55,0),MATCH($C6,'EUROSTAT AP Heat TJ'!$A$12:$I$12,0))</f>
        <v>0</v>
      </c>
      <c r="K10">
        <f>INDEX('EUROSTAT AP Heat TJ'!$A$12:$I$55,MATCH(K$1,'EUROSTAT AP Heat TJ'!$A$12:$A$55,0),MATCH($C6,'EUROSTAT AP Heat TJ'!$A$12:$I$12,0))</f>
        <v>0</v>
      </c>
      <c r="L10">
        <f>INDEX('EUROSTAT AP Heat TJ'!$A$12:$I$55,MATCH(L$1,'EUROSTAT AP Heat TJ'!$A$12:$A$55,0),MATCH($C6,'EUROSTAT AP Heat TJ'!$A$12:$I$12,0))</f>
        <v>0</v>
      </c>
      <c r="M10">
        <f>INDEX('EUROSTAT AP Heat TJ'!$A$12:$I$55,MATCH(M$1,'EUROSTAT AP Heat TJ'!$A$12:$A$55,0),MATCH($C6,'EUROSTAT AP Heat TJ'!$A$12:$I$12,0))</f>
        <v>6575.3239999999996</v>
      </c>
      <c r="N10">
        <f>INDEX('EUROSTAT AP Heat TJ'!$A$12:$I$55,MATCH(N$1,'EUROSTAT AP Heat TJ'!$A$12:$A$55,0),MATCH($C6,'EUROSTAT AP Heat TJ'!$A$12:$I$12,0))</f>
        <v>0</v>
      </c>
      <c r="O10">
        <f>INDEX('EUROSTAT AP Heat TJ'!$A$12:$I$55,MATCH(O$1,'EUROSTAT AP Heat TJ'!$A$12:$A$55,0),MATCH($C6,'EUROSTAT AP Heat TJ'!$A$12:$I$12,0))</f>
        <v>0</v>
      </c>
      <c r="P10">
        <f>INDEX('EUROSTAT AP Heat TJ'!$A$12:$I$55,MATCH(P$1,'EUROSTAT AP Heat TJ'!$A$12:$A$55,0),MATCH($C6,'EUROSTAT AP Heat TJ'!$A$12:$I$12,0))</f>
        <v>0</v>
      </c>
      <c r="Q10">
        <f>INDEX('EUROSTAT AP Heat TJ'!$A$12:$I$55,MATCH(Q$1,'EUROSTAT AP Heat TJ'!$A$12:$A$55,0),MATCH($C6,'EUROSTAT AP Heat TJ'!$A$12:$I$12,0))</f>
        <v>0</v>
      </c>
      <c r="R10">
        <f>INDEX('EUROSTAT AP Heat TJ'!$A$12:$I$55,MATCH(R$1,'EUROSTAT AP Heat TJ'!$A$12:$A$55,0),MATCH($C6,'EUROSTAT AP Heat TJ'!$A$12:$I$12,0))</f>
        <v>0</v>
      </c>
      <c r="S10">
        <f>INDEX('EUROSTAT AP Heat TJ'!$A$12:$I$55,MATCH(S$1,'EUROSTAT AP Heat TJ'!$A$12:$A$55,0),MATCH($C6,'EUROSTAT AP Heat TJ'!$A$12:$I$12,0))</f>
        <v>0</v>
      </c>
      <c r="T10">
        <f>INDEX('EUROSTAT AP Heat TJ'!$A$12:$I$55,MATCH(T$1,'EUROSTAT AP Heat TJ'!$A$12:$A$55,0),MATCH($C6,'EUROSTAT AP Heat TJ'!$A$12:$I$12,0))</f>
        <v>19654.776999999998</v>
      </c>
      <c r="U10">
        <f>INDEX('EUROSTAT AP Heat TJ'!$A$12:$I$55,MATCH(U$1,'EUROSTAT AP Heat TJ'!$A$12:$A$55,0),MATCH($C6,'EUROSTAT AP Heat TJ'!$A$12:$I$12,0))</f>
        <v>457.28</v>
      </c>
      <c r="V10">
        <f>INDEX('EUROSTAT AP Heat TJ'!$A$12:$I$55,MATCH(V$1,'EUROSTAT AP Heat TJ'!$A$12:$A$55,0),MATCH($C6,'EUROSTAT AP Heat TJ'!$A$12:$I$12,0))</f>
        <v>18790.978999999999</v>
      </c>
      <c r="W10">
        <f>INDEX('EUROSTAT AP Heat TJ'!$A$12:$I$55,MATCH(W$1,'EUROSTAT AP Heat TJ'!$A$12:$A$55,0),MATCH($C6,'EUROSTAT AP Heat TJ'!$A$12:$I$12,0))</f>
        <v>4.2759999999999998</v>
      </c>
      <c r="X10">
        <f>INDEX('EUROSTAT AP Heat TJ'!$A$12:$I$55,MATCH(X$1,'EUROSTAT AP Heat TJ'!$A$12:$A$55,0),MATCH($C6,'EUROSTAT AP Heat TJ'!$A$12:$I$12,0))</f>
        <v>0</v>
      </c>
      <c r="Y10">
        <f>INDEX('EUROSTAT AP Heat TJ'!$A$12:$I$55,MATCH(Y$1,'EUROSTAT AP Heat TJ'!$A$12:$A$55,0),MATCH($C6,'EUROSTAT AP Heat TJ'!$A$12:$I$12,0))</f>
        <v>0</v>
      </c>
      <c r="Z10">
        <f>INDEX('EUROSTAT AP Heat TJ'!$A$12:$I$55,MATCH(Z$1,'EUROSTAT AP Heat TJ'!$A$12:$A$55,0),MATCH($C6,'EUROSTAT AP Heat TJ'!$A$12:$I$12,0))</f>
        <v>0</v>
      </c>
      <c r="AA10">
        <f>INDEX('EUROSTAT AP Heat TJ'!$A$12:$I$55,MATCH(AA$1,'EUROSTAT AP Heat TJ'!$A$12:$A$55,0),MATCH($C6,'EUROSTAT AP Heat TJ'!$A$12:$I$12,0))</f>
        <v>0</v>
      </c>
      <c r="AB10">
        <f>INDEX('EUROSTAT AP Heat TJ'!$A$12:$I$55,MATCH(AB$1,'EUROSTAT AP Heat TJ'!$A$12:$A$55,0),MATCH($C6,'EUROSTAT AP Heat TJ'!$A$12:$I$12,0))</f>
        <v>189.56299999999999</v>
      </c>
      <c r="AC10">
        <f>INDEX('EUROSTAT AP Heat TJ'!$A$12:$I$55,MATCH(AC$1,'EUROSTAT AP Heat TJ'!$A$12:$A$55,0),MATCH($C6,'EUROSTAT AP Heat TJ'!$A$12:$I$12,0))</f>
        <v>120.809</v>
      </c>
      <c r="AD10">
        <f>INDEX('EUROSTAT AP Heat TJ'!$A$12:$I$55,MATCH(AD$1,'EUROSTAT AP Heat TJ'!$A$12:$A$55,0),MATCH($C6,'EUROSTAT AP Heat TJ'!$A$12:$I$12,0))</f>
        <v>91.87</v>
      </c>
      <c r="AE10">
        <f>INDEX('EUROSTAT AP Heat TJ'!$A$12:$I$55,MATCH(AE$1,'EUROSTAT AP Heat TJ'!$A$12:$A$55,0),MATCH($C6,'EUROSTAT AP Heat TJ'!$A$12:$I$12,0))</f>
        <v>0</v>
      </c>
      <c r="AF10">
        <f>INDEX('EUROSTAT AP Heat TJ'!$A$12:$I$55,MATCH(AF$1,'EUROSTAT AP Heat TJ'!$A$12:$A$55,0),MATCH($C6,'EUROSTAT AP Heat TJ'!$A$12:$I$12,0))</f>
        <v>0</v>
      </c>
      <c r="AG10">
        <f>INDEX('EUROSTAT AP Heat TJ'!$A$12:$I$55,MATCH(AG$1,'EUROSTAT AP Heat TJ'!$A$12:$A$55,0),MATCH($C6,'EUROSTAT AP Heat TJ'!$A$12:$I$12,0))</f>
        <v>0</v>
      </c>
      <c r="AH10">
        <f>INDEX('EUROSTAT AP Heat TJ'!$A$12:$I$55,MATCH(AH$1,'EUROSTAT AP Heat TJ'!$A$12:$A$55,0),MATCH($C6,'EUROSTAT AP Heat TJ'!$A$12:$I$12,0))</f>
        <v>0</v>
      </c>
      <c r="AI10">
        <f>INDEX('EUROSTAT AP Heat TJ'!$A$12:$I$55,MATCH(AI$1,'EUROSTAT AP Heat TJ'!$A$12:$A$55,0),MATCH($C6,'EUROSTAT AP Heat TJ'!$A$12:$I$12,0))</f>
        <v>0</v>
      </c>
      <c r="AJ10">
        <f>INDEX('EUROSTAT AP Heat TJ'!$A$12:$I$55,MATCH(AJ$1,'EUROSTAT AP Heat TJ'!$A$12:$A$55,0),MATCH($C6,'EUROSTAT AP Heat TJ'!$A$12:$I$12,0))</f>
        <v>0</v>
      </c>
      <c r="AK10">
        <f>INDEX('EUROSTAT AP Heat TJ'!$A$12:$I$55,MATCH(AK$1,'EUROSTAT AP Heat TJ'!$A$12:$A$55,0),MATCH($C6,'EUROSTAT AP Heat TJ'!$A$12:$I$12,0))</f>
        <v>0</v>
      </c>
      <c r="AL10">
        <f>INDEX('EUROSTAT AP Heat TJ'!$A$12:$I$55,MATCH(AL$1,'EUROSTAT AP Heat TJ'!$A$12:$A$55,0),MATCH($C6,'EUROSTAT AP Heat TJ'!$A$12:$I$12,0))</f>
        <v>18066.530999999999</v>
      </c>
      <c r="AM10">
        <f>INDEX('EUROSTAT AP Heat TJ'!$A$12:$I$55,MATCH(AM$1,'EUROSTAT AP Heat TJ'!$A$12:$A$55,0),MATCH($C6,'EUROSTAT AP Heat TJ'!$A$12:$I$12,0))</f>
        <v>17834.455000000002</v>
      </c>
      <c r="AN10">
        <f>INDEX('EUROSTAT AP Heat TJ'!$A$12:$I$55,MATCH(AN$1,'EUROSTAT AP Heat TJ'!$A$12:$A$55,0),MATCH($C6,'EUROSTAT AP Heat TJ'!$A$12:$I$12,0))</f>
        <v>0</v>
      </c>
      <c r="AO10">
        <f>INDEX('EUROSTAT AP Heat TJ'!$A$12:$I$55,MATCH(AO$1,'EUROSTAT AP Heat TJ'!$A$12:$A$55,0),MATCH($C6,'EUROSTAT AP Heat TJ'!$A$12:$I$12,0))</f>
        <v>232.07599999999999</v>
      </c>
      <c r="AP10">
        <f>INDEX('EUROSTAT AP Heat TJ'!$A$12:$I$55,MATCH(AP$1,'EUROSTAT AP Heat TJ'!$A$12:$A$55,0),MATCH($C6,'EUROSTAT AP Heat TJ'!$A$12:$I$12,0))</f>
        <v>232.07599999999999</v>
      </c>
      <c r="AQ10">
        <f>INDEX('EUROSTAT AP Heat TJ'!$A$12:$I$55,MATCH(AQ$1,'EUROSTAT AP Heat TJ'!$A$12:$A$55,0),MATCH($C6,'EUROSTAT AP Heat TJ'!$A$12:$I$12,0))</f>
        <v>0</v>
      </c>
      <c r="AR10">
        <f>INDEX('EUROSTAT AP Heat TJ'!$A$12:$I$55,MATCH(AR$1,'EUROSTAT AP Heat TJ'!$A$12:$A$55,0),MATCH($C6,'EUROSTAT AP Heat TJ'!$A$12:$I$12,0))</f>
        <v>0</v>
      </c>
      <c r="AS10">
        <f>INDEX('EUROSTAT AP Heat TJ'!$A$12:$I$55,MATCH(AS$1,'EUROSTAT AP Heat TJ'!$A$12:$A$55,0),MATCH($C6,'EUROSTAT AP Heat TJ'!$A$12:$I$12,0))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79ED-2B0E-F149-AABC-86FC14259502}">
  <sheetPr>
    <tabColor rgb="FFDAEEF3"/>
  </sheetPr>
  <dimension ref="A1:AP11"/>
  <sheetViews>
    <sheetView workbookViewId="0">
      <selection activeCell="J45" sqref="J45"/>
    </sheetView>
  </sheetViews>
  <sheetFormatPr baseColWidth="10" defaultRowHeight="16" x14ac:dyDescent="0.2"/>
  <cols>
    <col min="1" max="1" width="15.1640625" bestFit="1" customWidth="1"/>
    <col min="2" max="2" width="26.6640625" bestFit="1" customWidth="1"/>
  </cols>
  <sheetData>
    <row r="1" spans="1:42" x14ac:dyDescent="0.2">
      <c r="C1" s="50" t="s">
        <v>9</v>
      </c>
      <c r="D1" s="50" t="s">
        <v>16</v>
      </c>
      <c r="E1" s="50" t="s">
        <v>17</v>
      </c>
      <c r="F1" s="50" t="s">
        <v>18</v>
      </c>
      <c r="G1" s="50" t="s">
        <v>19</v>
      </c>
      <c r="H1" s="50" t="s">
        <v>20</v>
      </c>
      <c r="I1" s="50" t="s">
        <v>21</v>
      </c>
      <c r="J1" s="50" t="s">
        <v>22</v>
      </c>
      <c r="K1" s="50" t="s">
        <v>23</v>
      </c>
      <c r="L1" s="50" t="s">
        <v>24</v>
      </c>
      <c r="M1" s="50" t="s">
        <v>25</v>
      </c>
      <c r="N1" s="50" t="s">
        <v>26</v>
      </c>
      <c r="O1" s="50" t="s">
        <v>27</v>
      </c>
      <c r="P1" s="50" t="s">
        <v>28</v>
      </c>
      <c r="Q1" s="50" t="s">
        <v>29</v>
      </c>
      <c r="R1" s="50" t="s">
        <v>30</v>
      </c>
      <c r="S1" s="50" t="s">
        <v>31</v>
      </c>
      <c r="T1" s="50" t="s">
        <v>32</v>
      </c>
      <c r="U1" s="50" t="s">
        <v>33</v>
      </c>
      <c r="V1" s="50" t="s">
        <v>34</v>
      </c>
      <c r="W1" s="50" t="s">
        <v>35</v>
      </c>
      <c r="X1" s="50" t="s">
        <v>36</v>
      </c>
      <c r="Y1" s="50" t="s">
        <v>37</v>
      </c>
      <c r="Z1" s="50" t="s">
        <v>38</v>
      </c>
      <c r="AA1" s="50" t="s">
        <v>39</v>
      </c>
      <c r="AB1" s="50" t="s">
        <v>40</v>
      </c>
      <c r="AC1" s="50" t="s">
        <v>41</v>
      </c>
      <c r="AD1" s="50" t="s">
        <v>42</v>
      </c>
      <c r="AE1" s="50" t="s">
        <v>43</v>
      </c>
      <c r="AF1" s="50" t="s">
        <v>44</v>
      </c>
      <c r="AG1" s="50" t="s">
        <v>45</v>
      </c>
      <c r="AH1" s="50" t="s">
        <v>46</v>
      </c>
      <c r="AI1" s="50" t="s">
        <v>47</v>
      </c>
      <c r="AJ1" s="50" t="s">
        <v>48</v>
      </c>
      <c r="AK1" s="50" t="s">
        <v>49</v>
      </c>
      <c r="AL1" s="50" t="s">
        <v>50</v>
      </c>
      <c r="AM1" s="50" t="s">
        <v>51</v>
      </c>
      <c r="AN1" s="50" t="s">
        <v>52</v>
      </c>
      <c r="AO1" s="50" t="s">
        <v>53</v>
      </c>
      <c r="AP1" s="50" t="s">
        <v>54</v>
      </c>
    </row>
    <row r="2" spans="1:42" x14ac:dyDescent="0.2"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126</v>
      </c>
      <c r="R2" t="s">
        <v>127</v>
      </c>
      <c r="S2" t="s">
        <v>128</v>
      </c>
      <c r="T2" t="s">
        <v>129</v>
      </c>
      <c r="U2" t="s">
        <v>130</v>
      </c>
      <c r="V2" t="s">
        <v>131</v>
      </c>
      <c r="W2" t="s">
        <v>132</v>
      </c>
      <c r="X2" t="s">
        <v>133</v>
      </c>
      <c r="Y2" t="s">
        <v>134</v>
      </c>
      <c r="Z2" t="s">
        <v>135</v>
      </c>
      <c r="AA2" t="s">
        <v>136</v>
      </c>
      <c r="AB2" t="s">
        <v>137</v>
      </c>
      <c r="AC2" t="s">
        <v>138</v>
      </c>
      <c r="AD2" t="s">
        <v>139</v>
      </c>
      <c r="AE2" t="s">
        <v>140</v>
      </c>
      <c r="AF2" t="s">
        <v>141</v>
      </c>
      <c r="AG2" t="s">
        <v>142</v>
      </c>
      <c r="AH2" t="s">
        <v>143</v>
      </c>
      <c r="AI2" t="s">
        <v>144</v>
      </c>
      <c r="AJ2" t="s">
        <v>145</v>
      </c>
      <c r="AK2" t="s">
        <v>13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</row>
    <row r="3" spans="1:42" x14ac:dyDescent="0.2">
      <c r="A3" t="s">
        <v>7</v>
      </c>
      <c r="B3" t="s">
        <v>151</v>
      </c>
    </row>
    <row r="4" spans="1:42" x14ac:dyDescent="0.2">
      <c r="A4" t="s">
        <v>153</v>
      </c>
      <c r="B4" t="s">
        <v>10</v>
      </c>
      <c r="C4" cm="1">
        <f t="array" ref="C4">INDEX('EUROSTAT AP plants and products'!$D3:$AS3,0,MATCH(C$1,'EUROSTAT AP plants and products'!$D$1:$AS$1,0))</f>
        <v>18341.166000000001</v>
      </c>
      <c r="D4" cm="1">
        <f t="array" ref="D4">INDEX('EUROSTAT AP plants and products'!$D3:$AS3,0,MATCH(D$1,'EUROSTAT AP plants and products'!$D$1:$AS$1,0))</f>
        <v>106.121</v>
      </c>
      <c r="E4" cm="1">
        <f t="array" ref="E4">INDEX('EUROSTAT AP plants and products'!$D3:$AS3,0,MATCH(E$1,'EUROSTAT AP plants and products'!$D$1:$AS$1,0))</f>
        <v>0</v>
      </c>
      <c r="F4" cm="1">
        <f t="array" ref="F4">INDEX('EUROSTAT AP plants and products'!$D3:$AS3,0,MATCH(F$1,'EUROSTAT AP plants and products'!$D$1:$AS$1,0))</f>
        <v>0</v>
      </c>
      <c r="G4" cm="1">
        <f t="array" ref="G4">INDEX('EUROSTAT AP plants and products'!$D3:$AS3,0,MATCH(G$1,'EUROSTAT AP plants and products'!$D$1:$AS$1,0))</f>
        <v>0</v>
      </c>
      <c r="H4" cm="1">
        <f t="array" ref="H4">INDEX('EUROSTAT AP plants and products'!$D3:$AS3,0,MATCH(H$1,'EUROSTAT AP plants and products'!$D$1:$AS$1,0))</f>
        <v>0</v>
      </c>
      <c r="I4" cm="1">
        <f t="array" ref="I4">INDEX('EUROSTAT AP plants and products'!$D3:$AS3,0,MATCH(I$1,'EUROSTAT AP plants and products'!$D$1:$AS$1,0))</f>
        <v>0</v>
      </c>
      <c r="J4" cm="1">
        <f t="array" ref="J4">INDEX('EUROSTAT AP plants and products'!$D3:$AS3,0,MATCH(J$1,'EUROSTAT AP plants and products'!$D$1:$AS$1,0))</f>
        <v>0</v>
      </c>
      <c r="K4" cm="1">
        <f t="array" ref="K4">INDEX('EUROSTAT AP plants and products'!$D3:$AS3,0,MATCH(K$1,'EUROSTAT AP plants and products'!$D$1:$AS$1,0))</f>
        <v>106.10899999999999</v>
      </c>
      <c r="L4" cm="1">
        <f t="array" ref="L4">INDEX('EUROSTAT AP plants and products'!$D3:$AS3,0,MATCH(L$1,'EUROSTAT AP plants and products'!$D$1:$AS$1,0))</f>
        <v>1.2E-2</v>
      </c>
      <c r="M4" cm="1">
        <f t="array" ref="M4">INDEX('EUROSTAT AP plants and products'!$D3:$AS3,0,MATCH(M$1,'EUROSTAT AP plants and products'!$D$1:$AS$1,0))</f>
        <v>0</v>
      </c>
      <c r="N4" cm="1">
        <f t="array" ref="N4">INDEX('EUROSTAT AP plants and products'!$D3:$AS3,0,MATCH(N$1,'EUROSTAT AP plants and products'!$D$1:$AS$1,0))</f>
        <v>0</v>
      </c>
      <c r="O4" cm="1">
        <f t="array" ref="O4">INDEX('EUROSTAT AP plants and products'!$D3:$AS3,0,MATCH(O$1,'EUROSTAT AP plants and products'!$D$1:$AS$1,0))</f>
        <v>0</v>
      </c>
      <c r="P4" cm="1">
        <f t="array" ref="P4">INDEX('EUROSTAT AP plants and products'!$D3:$AS3,0,MATCH(P$1,'EUROSTAT AP plants and products'!$D$1:$AS$1,0))</f>
        <v>0</v>
      </c>
      <c r="Q4" cm="1">
        <f t="array" ref="Q4">INDEX('EUROSTAT AP plants and products'!$D3:$AS3,0,MATCH(Q$1,'EUROSTAT AP plants and products'!$D$1:$AS$1,0))</f>
        <v>0</v>
      </c>
      <c r="R4" cm="1">
        <f t="array" ref="R4">INDEX('EUROSTAT AP plants and products'!$D3:$AS3,0,MATCH(R$1,'EUROSTAT AP plants and products'!$D$1:$AS$1,0))</f>
        <v>0</v>
      </c>
      <c r="S4" cm="1">
        <f t="array" ref="S4">INDEX('EUROSTAT AP plants and products'!$D3:$AS3,0,MATCH(S$1,'EUROSTAT AP plants and products'!$D$1:$AS$1,0))</f>
        <v>1772.8969999999999</v>
      </c>
      <c r="T4" cm="1">
        <f t="array" ref="T4">INDEX('EUROSTAT AP plants and products'!$D3:$AS3,0,MATCH(T$1,'EUROSTAT AP plants and products'!$D$1:$AS$1,0))</f>
        <v>6.2069999999999999</v>
      </c>
      <c r="U4" cm="1">
        <f t="array" ref="U4">INDEX('EUROSTAT AP plants and products'!$D3:$AS3,0,MATCH(U$1,'EUROSTAT AP plants and products'!$D$1:$AS$1,0))</f>
        <v>208.28</v>
      </c>
      <c r="V4" cm="1">
        <f t="array" ref="V4">INDEX('EUROSTAT AP plants and products'!$D3:$AS3,0,MATCH(V$1,'EUROSTAT AP plants and products'!$D$1:$AS$1,0))</f>
        <v>0.69</v>
      </c>
      <c r="W4" cm="1">
        <f t="array" ref="W4">INDEX('EUROSTAT AP plants and products'!$D3:$AS3,0,MATCH(W$1,'EUROSTAT AP plants and products'!$D$1:$AS$1,0))</f>
        <v>54.414999999999999</v>
      </c>
      <c r="X4" cm="1">
        <f t="array" ref="X4">INDEX('EUROSTAT AP plants and products'!$D3:$AS3,0,MATCH(X$1,'EUROSTAT AP plants and products'!$D$1:$AS$1,0))</f>
        <v>38.762</v>
      </c>
      <c r="Y4" cm="1">
        <f t="array" ref="Y4">INDEX('EUROSTAT AP plants and products'!$D3:$AS3,0,MATCH(Y$1,'EUROSTAT AP plants and products'!$D$1:$AS$1,0))</f>
        <v>329.36099999999999</v>
      </c>
      <c r="Z4" cm="1">
        <f t="array" ref="Z4">INDEX('EUROSTAT AP plants and products'!$D3:$AS3,0,MATCH(Z$1,'EUROSTAT AP plants and products'!$D$1:$AS$1,0))</f>
        <v>8.3979999999999997</v>
      </c>
      <c r="AA4" cm="1">
        <f t="array" ref="AA4">INDEX('EUROSTAT AP plants and products'!$D3:$AS3,0,MATCH(AA$1,'EUROSTAT AP plants and products'!$D$1:$AS$1,0))</f>
        <v>103.20099999999999</v>
      </c>
      <c r="AB4" cm="1">
        <f t="array" ref="AB4">INDEX('EUROSTAT AP plants and products'!$D3:$AS3,0,MATCH(AB$1,'EUROSTAT AP plants and products'!$D$1:$AS$1,0))</f>
        <v>30.591999999999999</v>
      </c>
      <c r="AC4" cm="1">
        <f t="array" ref="AC4">INDEX('EUROSTAT AP plants and products'!$D3:$AS3,0,MATCH(AC$1,'EUROSTAT AP plants and products'!$D$1:$AS$1,0))</f>
        <v>36.442</v>
      </c>
      <c r="AD4" cm="1">
        <f t="array" ref="AD4">INDEX('EUROSTAT AP plants and products'!$D3:$AS3,0,MATCH(AD$1,'EUROSTAT AP plants and products'!$D$1:$AS$1,0))</f>
        <v>395.42</v>
      </c>
      <c r="AE4" cm="1">
        <f t="array" ref="AE4">INDEX('EUROSTAT AP plants and products'!$D3:$AS3,0,MATCH(AE$1,'EUROSTAT AP plants and products'!$D$1:$AS$1,0))</f>
        <v>18.969000000000001</v>
      </c>
      <c r="AF4" cm="1">
        <f t="array" ref="AF4">INDEX('EUROSTAT AP plants and products'!$D3:$AS3,0,MATCH(AF$1,'EUROSTAT AP plants and products'!$D$1:$AS$1,0))</f>
        <v>542.16</v>
      </c>
      <c r="AG4" cm="1">
        <f t="array" ref="AG4">INDEX('EUROSTAT AP plants and products'!$D3:$AS3,0,MATCH(AG$1,'EUROSTAT AP plants and products'!$D$1:$AS$1,0))</f>
        <v>0</v>
      </c>
      <c r="AH4" cm="1">
        <f t="array" ref="AH4">INDEX('EUROSTAT AP plants and products'!$D3:$AS3,0,MATCH(AH$1,'EUROSTAT AP plants and products'!$D$1:$AS$1,0))</f>
        <v>0</v>
      </c>
      <c r="AI4" cm="1">
        <f t="array" ref="AI4">INDEX('EUROSTAT AP plants and products'!$D3:$AS3,0,MATCH(AI$1,'EUROSTAT AP plants and products'!$D$1:$AS$1,0))</f>
        <v>0</v>
      </c>
      <c r="AJ4" cm="1">
        <f t="array" ref="AJ4">INDEX('EUROSTAT AP plants and products'!$D3:$AS3,0,MATCH(AJ$1,'EUROSTAT AP plants and products'!$D$1:$AS$1,0))</f>
        <v>0</v>
      </c>
      <c r="AK4" cm="1">
        <f t="array" ref="AK4">INDEX('EUROSTAT AP plants and products'!$D3:$AS3,0,MATCH(AK$1,'EUROSTAT AP plants and products'!$D$1:$AS$1,0))</f>
        <v>16462.148000000001</v>
      </c>
      <c r="AL4" cm="1">
        <f t="array" ref="AL4">INDEX('EUROSTAT AP plants and products'!$D3:$AS3,0,MATCH(AL$1,'EUROSTAT AP plants and products'!$D$1:$AS$1,0))</f>
        <v>5710.18</v>
      </c>
      <c r="AM4" cm="1">
        <f t="array" ref="AM4">INDEX('EUROSTAT AP plants and products'!$D3:$AS3,0,MATCH(AM$1,'EUROSTAT AP plants and products'!$D$1:$AS$1,0))</f>
        <v>8439.2260000000006</v>
      </c>
      <c r="AN4" cm="1">
        <f t="array" ref="AN4">INDEX('EUROSTAT AP plants and products'!$D3:$AS3,0,MATCH(AN$1,'EUROSTAT AP plants and products'!$D$1:$AS$1,0))</f>
        <v>2312.7420000000002</v>
      </c>
      <c r="AO4" cm="1">
        <f t="array" ref="AO4">INDEX('EUROSTAT AP plants and products'!$D3:$AS3,0,MATCH(AO$1,'EUROSTAT AP plants and products'!$D$1:$AS$1,0))</f>
        <v>0</v>
      </c>
      <c r="AP4" cm="1">
        <f t="array" ref="AP4">INDEX('EUROSTAT AP plants and products'!$D3:$AS3,0,MATCH(AP$1,'EUROSTAT AP plants and products'!$D$1:$AS$1,0))</f>
        <v>0</v>
      </c>
    </row>
    <row r="5" spans="1:42" x14ac:dyDescent="0.2">
      <c r="B5" t="s">
        <v>11</v>
      </c>
      <c r="C5" cm="1">
        <f t="array" ref="C5">INDEX('EUROSTAT AP plants and products'!$D4:$AS4,0,MATCH(C$1,'EUROSTAT AP plants and products'!$D$1:$AS$1,0))</f>
        <v>20529.705000000002</v>
      </c>
      <c r="D5" cm="1">
        <f t="array" ref="D5">INDEX('EUROSTAT AP plants and products'!$D4:$AS4,0,MATCH(D$1,'EUROSTAT AP plants and products'!$D$1:$AS$1,0))</f>
        <v>1666.7380000000001</v>
      </c>
      <c r="E5" cm="1">
        <f t="array" ref="E5">INDEX('EUROSTAT AP plants and products'!$D4:$AS4,0,MATCH(E$1,'EUROSTAT AP plants and products'!$D$1:$AS$1,0))</f>
        <v>0</v>
      </c>
      <c r="F5" cm="1">
        <f t="array" ref="F5">INDEX('EUROSTAT AP plants and products'!$D4:$AS4,0,MATCH(F$1,'EUROSTAT AP plants and products'!$D$1:$AS$1,0))</f>
        <v>0</v>
      </c>
      <c r="G5" cm="1">
        <f t="array" ref="G5">INDEX('EUROSTAT AP plants and products'!$D4:$AS4,0,MATCH(G$1,'EUROSTAT AP plants and products'!$D$1:$AS$1,0))</f>
        <v>0</v>
      </c>
      <c r="H5" cm="1">
        <f t="array" ref="H5">INDEX('EUROSTAT AP plants and products'!$D4:$AS4,0,MATCH(H$1,'EUROSTAT AP plants and products'!$D$1:$AS$1,0))</f>
        <v>0</v>
      </c>
      <c r="I5" cm="1">
        <f t="array" ref="I5">INDEX('EUROSTAT AP plants and products'!$D4:$AS4,0,MATCH(I$1,'EUROSTAT AP plants and products'!$D$1:$AS$1,0))</f>
        <v>0</v>
      </c>
      <c r="J5" cm="1">
        <f t="array" ref="J5">INDEX('EUROSTAT AP plants and products'!$D4:$AS4,0,MATCH(J$1,'EUROSTAT AP plants and products'!$D$1:$AS$1,0))</f>
        <v>0</v>
      </c>
      <c r="K5" cm="1">
        <f t="array" ref="K5">INDEX('EUROSTAT AP plants and products'!$D4:$AS4,0,MATCH(K$1,'EUROSTAT AP plants and products'!$D$1:$AS$1,0))</f>
        <v>0</v>
      </c>
      <c r="L5" cm="1">
        <f t="array" ref="L5">INDEX('EUROSTAT AP plants and products'!$D4:$AS4,0,MATCH(L$1,'EUROSTAT AP plants and products'!$D$1:$AS$1,0))</f>
        <v>1666.7380000000001</v>
      </c>
      <c r="M5" cm="1">
        <f t="array" ref="M5">INDEX('EUROSTAT AP plants and products'!$D4:$AS4,0,MATCH(M$1,'EUROSTAT AP plants and products'!$D$1:$AS$1,0))</f>
        <v>0</v>
      </c>
      <c r="N5" cm="1">
        <f t="array" ref="N5">INDEX('EUROSTAT AP plants and products'!$D4:$AS4,0,MATCH(N$1,'EUROSTAT AP plants and products'!$D$1:$AS$1,0))</f>
        <v>0</v>
      </c>
      <c r="O5" cm="1">
        <f t="array" ref="O5">INDEX('EUROSTAT AP plants and products'!$D4:$AS4,0,MATCH(O$1,'EUROSTAT AP plants and products'!$D$1:$AS$1,0))</f>
        <v>0</v>
      </c>
      <c r="P5" cm="1">
        <f t="array" ref="P5">INDEX('EUROSTAT AP plants and products'!$D4:$AS4,0,MATCH(P$1,'EUROSTAT AP plants and products'!$D$1:$AS$1,0))</f>
        <v>0</v>
      </c>
      <c r="Q5" cm="1">
        <f t="array" ref="Q5">INDEX('EUROSTAT AP plants and products'!$D4:$AS4,0,MATCH(Q$1,'EUROSTAT AP plants and products'!$D$1:$AS$1,0))</f>
        <v>0</v>
      </c>
      <c r="R5" cm="1">
        <f t="array" ref="R5">INDEX('EUROSTAT AP plants and products'!$D4:$AS4,0,MATCH(R$1,'EUROSTAT AP plants and products'!$D$1:$AS$1,0))</f>
        <v>0</v>
      </c>
      <c r="S5" cm="1">
        <f t="array" ref="S5">INDEX('EUROSTAT AP plants and products'!$D4:$AS4,0,MATCH(S$1,'EUROSTAT AP plants and products'!$D$1:$AS$1,0))</f>
        <v>5824.317</v>
      </c>
      <c r="T5" cm="1">
        <f t="array" ref="T5">INDEX('EUROSTAT AP plants and products'!$D4:$AS4,0,MATCH(T$1,'EUROSTAT AP plants and products'!$D$1:$AS$1,0))</f>
        <v>131.61799999999999</v>
      </c>
      <c r="U5" cm="1">
        <f t="array" ref="U5">INDEX('EUROSTAT AP plants and products'!$D4:$AS4,0,MATCH(U$1,'EUROSTAT AP plants and products'!$D$1:$AS$1,0))</f>
        <v>4226.33</v>
      </c>
      <c r="V5" cm="1">
        <f t="array" ref="V5">INDEX('EUROSTAT AP plants and products'!$D4:$AS4,0,MATCH(V$1,'EUROSTAT AP plants and products'!$D$1:$AS$1,0))</f>
        <v>0</v>
      </c>
      <c r="W5" cm="1">
        <f t="array" ref="W5">INDEX('EUROSTAT AP plants and products'!$D4:$AS4,0,MATCH(W$1,'EUROSTAT AP plants and products'!$D$1:$AS$1,0))</f>
        <v>12.048</v>
      </c>
      <c r="X5" cm="1">
        <f t="array" ref="X5">INDEX('EUROSTAT AP plants and products'!$D4:$AS4,0,MATCH(X$1,'EUROSTAT AP plants and products'!$D$1:$AS$1,0))</f>
        <v>0</v>
      </c>
      <c r="Y5" cm="1">
        <f t="array" ref="Y5">INDEX('EUROSTAT AP plants and products'!$D4:$AS4,0,MATCH(Y$1,'EUROSTAT AP plants and products'!$D$1:$AS$1,0))</f>
        <v>0</v>
      </c>
      <c r="Z5" cm="1">
        <f t="array" ref="Z5">INDEX('EUROSTAT AP plants and products'!$D4:$AS4,0,MATCH(Z$1,'EUROSTAT AP plants and products'!$D$1:$AS$1,0))</f>
        <v>0</v>
      </c>
      <c r="AA5" cm="1">
        <f t="array" ref="AA5">INDEX('EUROSTAT AP plants and products'!$D4:$AS4,0,MATCH(AA$1,'EUROSTAT AP plants and products'!$D$1:$AS$1,0))</f>
        <v>1110.396</v>
      </c>
      <c r="AB5" cm="1">
        <f t="array" ref="AB5">INDEX('EUROSTAT AP plants and products'!$D4:$AS4,0,MATCH(AB$1,'EUROSTAT AP plants and products'!$D$1:$AS$1,0))</f>
        <v>334.10300000000001</v>
      </c>
      <c r="AC5" cm="1">
        <f t="array" ref="AC5">INDEX('EUROSTAT AP plants and products'!$D4:$AS4,0,MATCH(AC$1,'EUROSTAT AP plants and products'!$D$1:$AS$1,0))</f>
        <v>7.4939999999999998</v>
      </c>
      <c r="AD5" cm="1">
        <f t="array" ref="AD5">INDEX('EUROSTAT AP plants and products'!$D4:$AS4,0,MATCH(AD$1,'EUROSTAT AP plants and products'!$D$1:$AS$1,0))</f>
        <v>0</v>
      </c>
      <c r="AE5" cm="1">
        <f t="array" ref="AE5">INDEX('EUROSTAT AP plants and products'!$D4:$AS4,0,MATCH(AE$1,'EUROSTAT AP plants and products'!$D$1:$AS$1,0))</f>
        <v>0</v>
      </c>
      <c r="AF5" cm="1">
        <f t="array" ref="AF5">INDEX('EUROSTAT AP plants and products'!$D4:$AS4,0,MATCH(AF$1,'EUROSTAT AP plants and products'!$D$1:$AS$1,0))</f>
        <v>2.3279999999999998</v>
      </c>
      <c r="AG5" cm="1">
        <f t="array" ref="AG5">INDEX('EUROSTAT AP plants and products'!$D4:$AS4,0,MATCH(AG$1,'EUROSTAT AP plants and products'!$D$1:$AS$1,0))</f>
        <v>0</v>
      </c>
      <c r="AH5" cm="1">
        <f t="array" ref="AH5">INDEX('EUROSTAT AP plants and products'!$D4:$AS4,0,MATCH(AH$1,'EUROSTAT AP plants and products'!$D$1:$AS$1,0))</f>
        <v>0</v>
      </c>
      <c r="AI5" cm="1">
        <f t="array" ref="AI5">INDEX('EUROSTAT AP plants and products'!$D4:$AS4,0,MATCH(AI$1,'EUROSTAT AP plants and products'!$D$1:$AS$1,0))</f>
        <v>0</v>
      </c>
      <c r="AJ5" cm="1">
        <f t="array" ref="AJ5">INDEX('EUROSTAT AP plants and products'!$D4:$AS4,0,MATCH(AJ$1,'EUROSTAT AP plants and products'!$D$1:$AS$1,0))</f>
        <v>0</v>
      </c>
      <c r="AK5" cm="1">
        <f t="array" ref="AK5">INDEX('EUROSTAT AP plants and products'!$D4:$AS4,0,MATCH(AK$1,'EUROSTAT AP plants and products'!$D$1:$AS$1,0))</f>
        <v>13038.65</v>
      </c>
      <c r="AL5" cm="1">
        <f t="array" ref="AL5">INDEX('EUROSTAT AP plants and products'!$D4:$AS4,0,MATCH(AL$1,'EUROSTAT AP plants and products'!$D$1:$AS$1,0))</f>
        <v>3995.5439999999999</v>
      </c>
      <c r="AM5" cm="1">
        <f t="array" ref="AM5">INDEX('EUROSTAT AP plants and products'!$D4:$AS4,0,MATCH(AM$1,'EUROSTAT AP plants and products'!$D$1:$AS$1,0))</f>
        <v>0</v>
      </c>
      <c r="AN5" cm="1">
        <f t="array" ref="AN5">INDEX('EUROSTAT AP plants and products'!$D4:$AS4,0,MATCH(AN$1,'EUROSTAT AP plants and products'!$D$1:$AS$1,0))</f>
        <v>9042.9699999999993</v>
      </c>
      <c r="AO5" cm="1">
        <f t="array" ref="AO5">INDEX('EUROSTAT AP plants and products'!$D4:$AS4,0,MATCH(AO$1,'EUROSTAT AP plants and products'!$D$1:$AS$1,0))</f>
        <v>0</v>
      </c>
      <c r="AP5" cm="1">
        <f t="array" ref="AP5">INDEX('EUROSTAT AP plants and products'!$D4:$AS4,0,MATCH(AP$1,'EUROSTAT AP plants and products'!$D$1:$AS$1,0))</f>
        <v>0.13600000000000001</v>
      </c>
    </row>
    <row r="6" spans="1:42" x14ac:dyDescent="0.2">
      <c r="B6" t="s">
        <v>12</v>
      </c>
      <c r="C6" t="str" cm="1">
        <f t="array" ref="C6">INDEX('EUROSTAT AP plants and products'!$D5:$AS5,0,MATCH(C$1,'EUROSTAT AP plants and products'!$D$1:$AS$1,0))</f>
        <v>:</v>
      </c>
      <c r="D6" t="str" cm="1">
        <f t="array" ref="D6">INDEX('EUROSTAT AP plants and products'!$D5:$AS5,0,MATCH(D$1,'EUROSTAT AP plants and products'!$D$1:$AS$1,0))</f>
        <v>:</v>
      </c>
      <c r="E6" t="str" cm="1">
        <f t="array" ref="E6">INDEX('EUROSTAT AP plants and products'!$D5:$AS5,0,MATCH(E$1,'EUROSTAT AP plants and products'!$D$1:$AS$1,0))</f>
        <v>:</v>
      </c>
      <c r="F6" t="str" cm="1">
        <f t="array" ref="F6">INDEX('EUROSTAT AP plants and products'!$D5:$AS5,0,MATCH(F$1,'EUROSTAT AP plants and products'!$D$1:$AS$1,0))</f>
        <v>:</v>
      </c>
      <c r="G6" t="str" cm="1">
        <f t="array" ref="G6">INDEX('EUROSTAT AP plants and products'!$D5:$AS5,0,MATCH(G$1,'EUROSTAT AP plants and products'!$D$1:$AS$1,0))</f>
        <v>:</v>
      </c>
      <c r="H6" t="str" cm="1">
        <f t="array" ref="H6">INDEX('EUROSTAT AP plants and products'!$D5:$AS5,0,MATCH(H$1,'EUROSTAT AP plants and products'!$D$1:$AS$1,0))</f>
        <v>:</v>
      </c>
      <c r="I6" t="str" cm="1">
        <f t="array" ref="I6">INDEX('EUROSTAT AP plants and products'!$D5:$AS5,0,MATCH(I$1,'EUROSTAT AP plants and products'!$D$1:$AS$1,0))</f>
        <v>:</v>
      </c>
      <c r="J6" t="str" cm="1">
        <f t="array" ref="J6">INDEX('EUROSTAT AP plants and products'!$D5:$AS5,0,MATCH(J$1,'EUROSTAT AP plants and products'!$D$1:$AS$1,0))</f>
        <v>:</v>
      </c>
      <c r="K6" t="str" cm="1">
        <f t="array" ref="K6">INDEX('EUROSTAT AP plants and products'!$D5:$AS5,0,MATCH(K$1,'EUROSTAT AP plants and products'!$D$1:$AS$1,0))</f>
        <v>:</v>
      </c>
      <c r="L6" t="str" cm="1">
        <f t="array" ref="L6">INDEX('EUROSTAT AP plants and products'!$D5:$AS5,0,MATCH(L$1,'EUROSTAT AP plants and products'!$D$1:$AS$1,0))</f>
        <v>:</v>
      </c>
      <c r="M6" t="str" cm="1">
        <f t="array" ref="M6">INDEX('EUROSTAT AP plants and products'!$D5:$AS5,0,MATCH(M$1,'EUROSTAT AP plants and products'!$D$1:$AS$1,0))</f>
        <v>:</v>
      </c>
      <c r="N6" t="str" cm="1">
        <f t="array" ref="N6">INDEX('EUROSTAT AP plants and products'!$D5:$AS5,0,MATCH(N$1,'EUROSTAT AP plants and products'!$D$1:$AS$1,0))</f>
        <v>:</v>
      </c>
      <c r="O6" t="str" cm="1">
        <f t="array" ref="O6">INDEX('EUROSTAT AP plants and products'!$D5:$AS5,0,MATCH(O$1,'EUROSTAT AP plants and products'!$D$1:$AS$1,0))</f>
        <v>:</v>
      </c>
      <c r="P6" t="str" cm="1">
        <f t="array" ref="P6">INDEX('EUROSTAT AP plants and products'!$D5:$AS5,0,MATCH(P$1,'EUROSTAT AP plants and products'!$D$1:$AS$1,0))</f>
        <v>:</v>
      </c>
      <c r="Q6" t="str" cm="1">
        <f t="array" ref="Q6">INDEX('EUROSTAT AP plants and products'!$D5:$AS5,0,MATCH(Q$1,'EUROSTAT AP plants and products'!$D$1:$AS$1,0))</f>
        <v>:</v>
      </c>
      <c r="R6" t="str" cm="1">
        <f t="array" ref="R6">INDEX('EUROSTAT AP plants and products'!$D5:$AS5,0,MATCH(R$1,'EUROSTAT AP plants and products'!$D$1:$AS$1,0))</f>
        <v>:</v>
      </c>
      <c r="S6" t="str" cm="1">
        <f t="array" ref="S6">INDEX('EUROSTAT AP plants and products'!$D5:$AS5,0,MATCH(S$1,'EUROSTAT AP plants and products'!$D$1:$AS$1,0))</f>
        <v>:</v>
      </c>
      <c r="T6" t="str" cm="1">
        <f t="array" ref="T6">INDEX('EUROSTAT AP plants and products'!$D5:$AS5,0,MATCH(T$1,'EUROSTAT AP plants and products'!$D$1:$AS$1,0))</f>
        <v>:</v>
      </c>
      <c r="U6" t="str" cm="1">
        <f t="array" ref="U6">INDEX('EUROSTAT AP plants and products'!$D5:$AS5,0,MATCH(U$1,'EUROSTAT AP plants and products'!$D$1:$AS$1,0))</f>
        <v>:</v>
      </c>
      <c r="V6" t="str" cm="1">
        <f t="array" ref="V6">INDEX('EUROSTAT AP plants and products'!$D5:$AS5,0,MATCH(V$1,'EUROSTAT AP plants and products'!$D$1:$AS$1,0))</f>
        <v>:</v>
      </c>
      <c r="W6" t="str" cm="1">
        <f t="array" ref="W6">INDEX('EUROSTAT AP plants and products'!$D5:$AS5,0,MATCH(W$1,'EUROSTAT AP plants and products'!$D$1:$AS$1,0))</f>
        <v>:</v>
      </c>
      <c r="X6" t="str" cm="1">
        <f t="array" ref="X6">INDEX('EUROSTAT AP plants and products'!$D5:$AS5,0,MATCH(X$1,'EUROSTAT AP plants and products'!$D$1:$AS$1,0))</f>
        <v>:</v>
      </c>
      <c r="Y6" t="str" cm="1">
        <f t="array" ref="Y6">INDEX('EUROSTAT AP plants and products'!$D5:$AS5,0,MATCH(Y$1,'EUROSTAT AP plants and products'!$D$1:$AS$1,0))</f>
        <v>:</v>
      </c>
      <c r="Z6" t="str" cm="1">
        <f t="array" ref="Z6">INDEX('EUROSTAT AP plants and products'!$D5:$AS5,0,MATCH(Z$1,'EUROSTAT AP plants and products'!$D$1:$AS$1,0))</f>
        <v>:</v>
      </c>
      <c r="AA6" t="str" cm="1">
        <f t="array" ref="AA6">INDEX('EUROSTAT AP plants and products'!$D5:$AS5,0,MATCH(AA$1,'EUROSTAT AP plants and products'!$D$1:$AS$1,0))</f>
        <v>:</v>
      </c>
      <c r="AB6" t="str" cm="1">
        <f t="array" ref="AB6">INDEX('EUROSTAT AP plants and products'!$D5:$AS5,0,MATCH(AB$1,'EUROSTAT AP plants and products'!$D$1:$AS$1,0))</f>
        <v>:</v>
      </c>
      <c r="AC6" t="str" cm="1">
        <f t="array" ref="AC6">INDEX('EUROSTAT AP plants and products'!$D5:$AS5,0,MATCH(AC$1,'EUROSTAT AP plants and products'!$D$1:$AS$1,0))</f>
        <v>:</v>
      </c>
      <c r="AD6" t="str" cm="1">
        <f t="array" ref="AD6">INDEX('EUROSTAT AP plants and products'!$D5:$AS5,0,MATCH(AD$1,'EUROSTAT AP plants and products'!$D$1:$AS$1,0))</f>
        <v>:</v>
      </c>
      <c r="AE6" t="str" cm="1">
        <f t="array" ref="AE6">INDEX('EUROSTAT AP plants and products'!$D5:$AS5,0,MATCH(AE$1,'EUROSTAT AP plants and products'!$D$1:$AS$1,0))</f>
        <v>:</v>
      </c>
      <c r="AF6" t="str" cm="1">
        <f t="array" ref="AF6">INDEX('EUROSTAT AP plants and products'!$D5:$AS5,0,MATCH(AF$1,'EUROSTAT AP plants and products'!$D$1:$AS$1,0))</f>
        <v>:</v>
      </c>
      <c r="AG6" t="str" cm="1">
        <f t="array" ref="AG6">INDEX('EUROSTAT AP plants and products'!$D5:$AS5,0,MATCH(AG$1,'EUROSTAT AP plants and products'!$D$1:$AS$1,0))</f>
        <v>:</v>
      </c>
      <c r="AH6" t="str" cm="1">
        <f t="array" ref="AH6">INDEX('EUROSTAT AP plants and products'!$D5:$AS5,0,MATCH(AH$1,'EUROSTAT AP plants and products'!$D$1:$AS$1,0))</f>
        <v>:</v>
      </c>
      <c r="AI6" t="str" cm="1">
        <f t="array" ref="AI6">INDEX('EUROSTAT AP plants and products'!$D5:$AS5,0,MATCH(AI$1,'EUROSTAT AP plants and products'!$D$1:$AS$1,0))</f>
        <v>:</v>
      </c>
      <c r="AJ6" t="str" cm="1">
        <f t="array" ref="AJ6">INDEX('EUROSTAT AP plants and products'!$D5:$AS5,0,MATCH(AJ$1,'EUROSTAT AP plants and products'!$D$1:$AS$1,0))</f>
        <v>:</v>
      </c>
      <c r="AK6" t="str" cm="1">
        <f t="array" ref="AK6">INDEX('EUROSTAT AP plants and products'!$D5:$AS5,0,MATCH(AK$1,'EUROSTAT AP plants and products'!$D$1:$AS$1,0))</f>
        <v>:</v>
      </c>
      <c r="AL6" t="str" cm="1">
        <f t="array" ref="AL6">INDEX('EUROSTAT AP plants and products'!$D5:$AS5,0,MATCH(AL$1,'EUROSTAT AP plants and products'!$D$1:$AS$1,0))</f>
        <v>:</v>
      </c>
      <c r="AM6" t="str" cm="1">
        <f t="array" ref="AM6">INDEX('EUROSTAT AP plants and products'!$D5:$AS5,0,MATCH(AM$1,'EUROSTAT AP plants and products'!$D$1:$AS$1,0))</f>
        <v>:</v>
      </c>
      <c r="AN6" t="str" cm="1">
        <f t="array" ref="AN6">INDEX('EUROSTAT AP plants and products'!$D5:$AS5,0,MATCH(AN$1,'EUROSTAT AP plants and products'!$D$1:$AS$1,0))</f>
        <v>:</v>
      </c>
      <c r="AO6" t="str" cm="1">
        <f t="array" ref="AO6">INDEX('EUROSTAT AP plants and products'!$D5:$AS5,0,MATCH(AO$1,'EUROSTAT AP plants and products'!$D$1:$AS$1,0))</f>
        <v>:</v>
      </c>
      <c r="AP6" t="str" cm="1">
        <f t="array" ref="AP6">INDEX('EUROSTAT AP plants and products'!$D5:$AS5,0,MATCH(AP$1,'EUROSTAT AP plants and products'!$D$1:$AS$1,0))</f>
        <v>:</v>
      </c>
    </row>
    <row r="7" spans="1:42" x14ac:dyDescent="0.2">
      <c r="B7" t="s">
        <v>152</v>
      </c>
      <c r="C7" cm="1">
        <f t="array" ref="C7">INDEX('EUROSTAT AP plants and products'!$D6:$AS6,0,MATCH(C$1,'EUROSTAT AP plants and products'!$D$1:$AS$1,0))</f>
        <v>38870.870999999999</v>
      </c>
      <c r="D7" cm="1">
        <f t="array" ref="D7">INDEX('EUROSTAT AP plants and products'!$D6:$AS6,0,MATCH(D$1,'EUROSTAT AP plants and products'!$D$1:$AS$1,0))</f>
        <v>1772.8589999999999</v>
      </c>
      <c r="E7" cm="1">
        <f t="array" ref="E7">INDEX('EUROSTAT AP plants and products'!$D6:$AS6,0,MATCH(E$1,'EUROSTAT AP plants and products'!$D$1:$AS$1,0))</f>
        <v>0</v>
      </c>
      <c r="F7" cm="1">
        <f t="array" ref="F7">INDEX('EUROSTAT AP plants and products'!$D6:$AS6,0,MATCH(F$1,'EUROSTAT AP plants and products'!$D$1:$AS$1,0))</f>
        <v>0</v>
      </c>
      <c r="G7" cm="1">
        <f t="array" ref="G7">INDEX('EUROSTAT AP plants and products'!$D6:$AS6,0,MATCH(G$1,'EUROSTAT AP plants and products'!$D$1:$AS$1,0))</f>
        <v>0</v>
      </c>
      <c r="H7" cm="1">
        <f t="array" ref="H7">INDEX('EUROSTAT AP plants and products'!$D6:$AS6,0,MATCH(H$1,'EUROSTAT AP plants and products'!$D$1:$AS$1,0))</f>
        <v>0</v>
      </c>
      <c r="I7" cm="1">
        <f t="array" ref="I7">INDEX('EUROSTAT AP plants and products'!$D6:$AS6,0,MATCH(I$1,'EUROSTAT AP plants and products'!$D$1:$AS$1,0))</f>
        <v>0</v>
      </c>
      <c r="J7" cm="1">
        <f t="array" ref="J7">INDEX('EUROSTAT AP plants and products'!$D6:$AS6,0,MATCH(J$1,'EUROSTAT AP plants and products'!$D$1:$AS$1,0))</f>
        <v>0</v>
      </c>
      <c r="K7" cm="1">
        <f t="array" ref="K7">INDEX('EUROSTAT AP plants and products'!$D6:$AS6,0,MATCH(K$1,'EUROSTAT AP plants and products'!$D$1:$AS$1,0))</f>
        <v>106.10899999999999</v>
      </c>
      <c r="L7" cm="1">
        <f t="array" ref="L7">INDEX('EUROSTAT AP plants and products'!$D6:$AS6,0,MATCH(L$1,'EUROSTAT AP plants and products'!$D$1:$AS$1,0))</f>
        <v>1666.75</v>
      </c>
      <c r="M7" cm="1">
        <f t="array" ref="M7">INDEX('EUROSTAT AP plants and products'!$D6:$AS6,0,MATCH(M$1,'EUROSTAT AP plants and products'!$D$1:$AS$1,0))</f>
        <v>0</v>
      </c>
      <c r="N7" cm="1">
        <f t="array" ref="N7">INDEX('EUROSTAT AP plants and products'!$D6:$AS6,0,MATCH(N$1,'EUROSTAT AP plants and products'!$D$1:$AS$1,0))</f>
        <v>0</v>
      </c>
      <c r="O7" cm="1">
        <f t="array" ref="O7">INDEX('EUROSTAT AP plants and products'!$D6:$AS6,0,MATCH(O$1,'EUROSTAT AP plants and products'!$D$1:$AS$1,0))</f>
        <v>0</v>
      </c>
      <c r="P7" cm="1">
        <f t="array" ref="P7">INDEX('EUROSTAT AP plants and products'!$D6:$AS6,0,MATCH(P$1,'EUROSTAT AP plants and products'!$D$1:$AS$1,0))</f>
        <v>0</v>
      </c>
      <c r="Q7" cm="1">
        <f t="array" ref="Q7">INDEX('EUROSTAT AP plants and products'!$D6:$AS6,0,MATCH(Q$1,'EUROSTAT AP plants and products'!$D$1:$AS$1,0))</f>
        <v>0</v>
      </c>
      <c r="R7" cm="1">
        <f t="array" ref="R7">INDEX('EUROSTAT AP plants and products'!$D6:$AS6,0,MATCH(R$1,'EUROSTAT AP plants and products'!$D$1:$AS$1,0))</f>
        <v>0</v>
      </c>
      <c r="S7" cm="1">
        <f t="array" ref="S7">INDEX('EUROSTAT AP plants and products'!$D6:$AS6,0,MATCH(S$1,'EUROSTAT AP plants and products'!$D$1:$AS$1,0))</f>
        <v>7597.2139999999999</v>
      </c>
      <c r="T7" cm="1">
        <f t="array" ref="T7">INDEX('EUROSTAT AP plants and products'!$D6:$AS6,0,MATCH(T$1,'EUROSTAT AP plants and products'!$D$1:$AS$1,0))</f>
        <v>137.82499999999999</v>
      </c>
      <c r="U7" cm="1">
        <f t="array" ref="U7">INDEX('EUROSTAT AP plants and products'!$D6:$AS6,0,MATCH(U$1,'EUROSTAT AP plants and products'!$D$1:$AS$1,0))</f>
        <v>4434.6099999999997</v>
      </c>
      <c r="V7" cm="1">
        <f t="array" ref="V7">INDEX('EUROSTAT AP plants and products'!$D6:$AS6,0,MATCH(V$1,'EUROSTAT AP plants and products'!$D$1:$AS$1,0))</f>
        <v>0.69</v>
      </c>
      <c r="W7" cm="1">
        <f t="array" ref="W7">INDEX('EUROSTAT AP plants and products'!$D6:$AS6,0,MATCH(W$1,'EUROSTAT AP plants and products'!$D$1:$AS$1,0))</f>
        <v>66.462999999999994</v>
      </c>
      <c r="X7" cm="1">
        <f t="array" ref="X7">INDEX('EUROSTAT AP plants and products'!$D6:$AS6,0,MATCH(X$1,'EUROSTAT AP plants and products'!$D$1:$AS$1,0))</f>
        <v>38.762</v>
      </c>
      <c r="Y7" cm="1">
        <f t="array" ref="Y7">INDEX('EUROSTAT AP plants and products'!$D6:$AS6,0,MATCH(Y$1,'EUROSTAT AP plants and products'!$D$1:$AS$1,0))</f>
        <v>329.36099999999999</v>
      </c>
      <c r="Z7" cm="1">
        <f t="array" ref="Z7">INDEX('EUROSTAT AP plants and products'!$D6:$AS6,0,MATCH(Z$1,'EUROSTAT AP plants and products'!$D$1:$AS$1,0))</f>
        <v>8.3979999999999997</v>
      </c>
      <c r="AA7" cm="1">
        <f t="array" ref="AA7">INDEX('EUROSTAT AP plants and products'!$D6:$AS6,0,MATCH(AA$1,'EUROSTAT AP plants and products'!$D$1:$AS$1,0))</f>
        <v>1213.597</v>
      </c>
      <c r="AB7" cm="1">
        <f t="array" ref="AB7">INDEX('EUROSTAT AP plants and products'!$D6:$AS6,0,MATCH(AB$1,'EUROSTAT AP plants and products'!$D$1:$AS$1,0))</f>
        <v>364.69499999999999</v>
      </c>
      <c r="AC7" cm="1">
        <f t="array" ref="AC7">INDEX('EUROSTAT AP plants and products'!$D6:$AS6,0,MATCH(AC$1,'EUROSTAT AP plants and products'!$D$1:$AS$1,0))</f>
        <v>43.936</v>
      </c>
      <c r="AD7" cm="1">
        <f t="array" ref="AD7">INDEX('EUROSTAT AP plants and products'!$D6:$AS6,0,MATCH(AD$1,'EUROSTAT AP plants and products'!$D$1:$AS$1,0))</f>
        <v>395.42</v>
      </c>
      <c r="AE7" cm="1">
        <f t="array" ref="AE7">INDEX('EUROSTAT AP plants and products'!$D6:$AS6,0,MATCH(AE$1,'EUROSTAT AP plants and products'!$D$1:$AS$1,0))</f>
        <v>18.969000000000001</v>
      </c>
      <c r="AF7" cm="1">
        <f t="array" ref="AF7">INDEX('EUROSTAT AP plants and products'!$D6:$AS6,0,MATCH(AF$1,'EUROSTAT AP plants and products'!$D$1:$AS$1,0))</f>
        <v>544.48800000000006</v>
      </c>
      <c r="AG7" cm="1">
        <f t="array" ref="AG7">INDEX('EUROSTAT AP plants and products'!$D6:$AS6,0,MATCH(AG$1,'EUROSTAT AP plants and products'!$D$1:$AS$1,0))</f>
        <v>0</v>
      </c>
      <c r="AH7" cm="1">
        <f t="array" ref="AH7">INDEX('EUROSTAT AP plants and products'!$D6:$AS6,0,MATCH(AH$1,'EUROSTAT AP plants and products'!$D$1:$AS$1,0))</f>
        <v>0</v>
      </c>
      <c r="AI7" cm="1">
        <f t="array" ref="AI7">INDEX('EUROSTAT AP plants and products'!$D6:$AS6,0,MATCH(AI$1,'EUROSTAT AP plants and products'!$D$1:$AS$1,0))</f>
        <v>0</v>
      </c>
      <c r="AJ7" cm="1">
        <f t="array" ref="AJ7">INDEX('EUROSTAT AP plants and products'!$D6:$AS6,0,MATCH(AJ$1,'EUROSTAT AP plants and products'!$D$1:$AS$1,0))</f>
        <v>0</v>
      </c>
      <c r="AK7" cm="1">
        <f t="array" ref="AK7">INDEX('EUROSTAT AP plants and products'!$D6:$AS6,0,MATCH(AK$1,'EUROSTAT AP plants and products'!$D$1:$AS$1,0))</f>
        <v>29500.797999999999</v>
      </c>
      <c r="AL7" cm="1">
        <f t="array" ref="AL7">INDEX('EUROSTAT AP plants and products'!$D6:$AS6,0,MATCH(AL$1,'EUROSTAT AP plants and products'!$D$1:$AS$1,0))</f>
        <v>9705.7240000000002</v>
      </c>
      <c r="AM7" cm="1">
        <f t="array" ref="AM7">INDEX('EUROSTAT AP plants and products'!$D6:$AS6,0,MATCH(AM$1,'EUROSTAT AP plants and products'!$D$1:$AS$1,0))</f>
        <v>8439.2260000000006</v>
      </c>
      <c r="AN7" cm="1">
        <f t="array" ref="AN7">INDEX('EUROSTAT AP plants and products'!$D6:$AS6,0,MATCH(AN$1,'EUROSTAT AP plants and products'!$D$1:$AS$1,0))</f>
        <v>11355.712</v>
      </c>
      <c r="AO7" cm="1">
        <f t="array" ref="AO7">INDEX('EUROSTAT AP plants and products'!$D6:$AS6,0,MATCH(AO$1,'EUROSTAT AP plants and products'!$D$1:$AS$1,0))</f>
        <v>0</v>
      </c>
      <c r="AP7" cm="1">
        <f t="array" ref="AP7">INDEX('EUROSTAT AP plants and products'!$D6:$AS6,0,MATCH(AP$1,'EUROSTAT AP plants and products'!$D$1:$AS$1,0))</f>
        <v>0.13600000000000001</v>
      </c>
    </row>
    <row r="8" spans="1:42" x14ac:dyDescent="0.2">
      <c r="A8" t="s">
        <v>154</v>
      </c>
      <c r="B8" t="s">
        <v>10</v>
      </c>
      <c r="C8" t="str" cm="1">
        <f t="array" ref="C8">INDEX('EUROSTAT AP plants and products'!$D7:$AS7,0,MATCH(C$1,'EUROSTAT AP plants and products'!$D$1:$AS$1,0))</f>
        <v>:</v>
      </c>
      <c r="D8" t="str" cm="1">
        <f t="array" ref="D8">INDEX('EUROSTAT AP plants and products'!$D7:$AS7,0,MATCH(D$1,'EUROSTAT AP plants and products'!$D$1:$AS$1,0))</f>
        <v>:</v>
      </c>
      <c r="E8" t="str" cm="1">
        <f t="array" ref="E8">INDEX('EUROSTAT AP plants and products'!$D7:$AS7,0,MATCH(E$1,'EUROSTAT AP plants and products'!$D$1:$AS$1,0))</f>
        <v>:</v>
      </c>
      <c r="F8" t="str" cm="1">
        <f t="array" ref="F8">INDEX('EUROSTAT AP plants and products'!$D7:$AS7,0,MATCH(F$1,'EUROSTAT AP plants and products'!$D$1:$AS$1,0))</f>
        <v>:</v>
      </c>
      <c r="G8" t="str" cm="1">
        <f t="array" ref="G8">INDEX('EUROSTAT AP plants and products'!$D7:$AS7,0,MATCH(G$1,'EUROSTAT AP plants and products'!$D$1:$AS$1,0))</f>
        <v>:</v>
      </c>
      <c r="H8" t="str" cm="1">
        <f t="array" ref="H8">INDEX('EUROSTAT AP plants and products'!$D7:$AS7,0,MATCH(H$1,'EUROSTAT AP plants and products'!$D$1:$AS$1,0))</f>
        <v>:</v>
      </c>
      <c r="I8" t="str" cm="1">
        <f t="array" ref="I8">INDEX('EUROSTAT AP plants and products'!$D7:$AS7,0,MATCH(I$1,'EUROSTAT AP plants and products'!$D$1:$AS$1,0))</f>
        <v>:</v>
      </c>
      <c r="J8" t="str" cm="1">
        <f t="array" ref="J8">INDEX('EUROSTAT AP plants and products'!$D7:$AS7,0,MATCH(J$1,'EUROSTAT AP plants and products'!$D$1:$AS$1,0))</f>
        <v>:</v>
      </c>
      <c r="K8" t="str" cm="1">
        <f t="array" ref="K8">INDEX('EUROSTAT AP plants and products'!$D7:$AS7,0,MATCH(K$1,'EUROSTAT AP plants and products'!$D$1:$AS$1,0))</f>
        <v>:</v>
      </c>
      <c r="L8" t="str" cm="1">
        <f t="array" ref="L8">INDEX('EUROSTAT AP plants and products'!$D7:$AS7,0,MATCH(L$1,'EUROSTAT AP plants and products'!$D$1:$AS$1,0))</f>
        <v>:</v>
      </c>
      <c r="M8" t="str" cm="1">
        <f t="array" ref="M8">INDEX('EUROSTAT AP plants and products'!$D7:$AS7,0,MATCH(M$1,'EUROSTAT AP plants and products'!$D$1:$AS$1,0))</f>
        <v>:</v>
      </c>
      <c r="N8" t="str" cm="1">
        <f t="array" ref="N8">INDEX('EUROSTAT AP plants and products'!$D7:$AS7,0,MATCH(N$1,'EUROSTAT AP plants and products'!$D$1:$AS$1,0))</f>
        <v>:</v>
      </c>
      <c r="O8" t="str" cm="1">
        <f t="array" ref="O8">INDEX('EUROSTAT AP plants and products'!$D7:$AS7,0,MATCH(O$1,'EUROSTAT AP plants and products'!$D$1:$AS$1,0))</f>
        <v>:</v>
      </c>
      <c r="P8" t="str" cm="1">
        <f t="array" ref="P8">INDEX('EUROSTAT AP plants and products'!$D7:$AS7,0,MATCH(P$1,'EUROSTAT AP plants and products'!$D$1:$AS$1,0))</f>
        <v>:</v>
      </c>
      <c r="Q8" t="str" cm="1">
        <f t="array" ref="Q8">INDEX('EUROSTAT AP plants and products'!$D7:$AS7,0,MATCH(Q$1,'EUROSTAT AP plants and products'!$D$1:$AS$1,0))</f>
        <v>:</v>
      </c>
      <c r="R8" t="str" cm="1">
        <f t="array" ref="R8">INDEX('EUROSTAT AP plants and products'!$D7:$AS7,0,MATCH(R$1,'EUROSTAT AP plants and products'!$D$1:$AS$1,0))</f>
        <v>:</v>
      </c>
      <c r="S8" t="str" cm="1">
        <f t="array" ref="S8">INDEX('EUROSTAT AP plants and products'!$D7:$AS7,0,MATCH(S$1,'EUROSTAT AP plants and products'!$D$1:$AS$1,0))</f>
        <v>:</v>
      </c>
      <c r="T8" t="str" cm="1">
        <f t="array" ref="T8">INDEX('EUROSTAT AP plants and products'!$D7:$AS7,0,MATCH(T$1,'EUROSTAT AP plants and products'!$D$1:$AS$1,0))</f>
        <v>:</v>
      </c>
      <c r="U8" t="str" cm="1">
        <f t="array" ref="U8">INDEX('EUROSTAT AP plants and products'!$D7:$AS7,0,MATCH(U$1,'EUROSTAT AP plants and products'!$D$1:$AS$1,0))</f>
        <v>:</v>
      </c>
      <c r="V8" t="str" cm="1">
        <f t="array" ref="V8">INDEX('EUROSTAT AP plants and products'!$D7:$AS7,0,MATCH(V$1,'EUROSTAT AP plants and products'!$D$1:$AS$1,0))</f>
        <v>:</v>
      </c>
      <c r="W8" t="str" cm="1">
        <f t="array" ref="W8">INDEX('EUROSTAT AP plants and products'!$D7:$AS7,0,MATCH(W$1,'EUROSTAT AP plants and products'!$D$1:$AS$1,0))</f>
        <v>:</v>
      </c>
      <c r="X8" t="str" cm="1">
        <f t="array" ref="X8">INDEX('EUROSTAT AP plants and products'!$D7:$AS7,0,MATCH(X$1,'EUROSTAT AP plants and products'!$D$1:$AS$1,0))</f>
        <v>:</v>
      </c>
      <c r="Y8" t="str" cm="1">
        <f t="array" ref="Y8">INDEX('EUROSTAT AP plants and products'!$D7:$AS7,0,MATCH(Y$1,'EUROSTAT AP plants and products'!$D$1:$AS$1,0))</f>
        <v>:</v>
      </c>
      <c r="Z8" t="str" cm="1">
        <f t="array" ref="Z8">INDEX('EUROSTAT AP plants and products'!$D7:$AS7,0,MATCH(Z$1,'EUROSTAT AP plants and products'!$D$1:$AS$1,0))</f>
        <v>:</v>
      </c>
      <c r="AA8" t="str" cm="1">
        <f t="array" ref="AA8">INDEX('EUROSTAT AP plants and products'!$D7:$AS7,0,MATCH(AA$1,'EUROSTAT AP plants and products'!$D$1:$AS$1,0))</f>
        <v>:</v>
      </c>
      <c r="AB8" t="str" cm="1">
        <f t="array" ref="AB8">INDEX('EUROSTAT AP plants and products'!$D7:$AS7,0,MATCH(AB$1,'EUROSTAT AP plants and products'!$D$1:$AS$1,0))</f>
        <v>:</v>
      </c>
      <c r="AC8" t="str" cm="1">
        <f t="array" ref="AC8">INDEX('EUROSTAT AP plants and products'!$D7:$AS7,0,MATCH(AC$1,'EUROSTAT AP plants and products'!$D$1:$AS$1,0))</f>
        <v>:</v>
      </c>
      <c r="AD8" t="str" cm="1">
        <f t="array" ref="AD8">INDEX('EUROSTAT AP plants and products'!$D7:$AS7,0,MATCH(AD$1,'EUROSTAT AP plants and products'!$D$1:$AS$1,0))</f>
        <v>:</v>
      </c>
      <c r="AE8" t="str" cm="1">
        <f t="array" ref="AE8">INDEX('EUROSTAT AP plants and products'!$D7:$AS7,0,MATCH(AE$1,'EUROSTAT AP plants and products'!$D$1:$AS$1,0))</f>
        <v>:</v>
      </c>
      <c r="AF8" t="str" cm="1">
        <f t="array" ref="AF8">INDEX('EUROSTAT AP plants and products'!$D7:$AS7,0,MATCH(AF$1,'EUROSTAT AP plants and products'!$D$1:$AS$1,0))</f>
        <v>:</v>
      </c>
      <c r="AG8" t="str" cm="1">
        <f t="array" ref="AG8">INDEX('EUROSTAT AP plants and products'!$D7:$AS7,0,MATCH(AG$1,'EUROSTAT AP plants and products'!$D$1:$AS$1,0))</f>
        <v>:</v>
      </c>
      <c r="AH8" t="str" cm="1">
        <f t="array" ref="AH8">INDEX('EUROSTAT AP plants and products'!$D7:$AS7,0,MATCH(AH$1,'EUROSTAT AP plants and products'!$D$1:$AS$1,0))</f>
        <v>:</v>
      </c>
      <c r="AI8" t="str" cm="1">
        <f t="array" ref="AI8">INDEX('EUROSTAT AP plants and products'!$D7:$AS7,0,MATCH(AI$1,'EUROSTAT AP plants and products'!$D$1:$AS$1,0))</f>
        <v>:</v>
      </c>
      <c r="AJ8" t="str" cm="1">
        <f t="array" ref="AJ8">INDEX('EUROSTAT AP plants and products'!$D7:$AS7,0,MATCH(AJ$1,'EUROSTAT AP plants and products'!$D$1:$AS$1,0))</f>
        <v>:</v>
      </c>
      <c r="AK8" t="str" cm="1">
        <f t="array" ref="AK8">INDEX('EUROSTAT AP plants and products'!$D7:$AS7,0,MATCH(AK$1,'EUROSTAT AP plants and products'!$D$1:$AS$1,0))</f>
        <v>:</v>
      </c>
      <c r="AL8" t="str" cm="1">
        <f t="array" ref="AL8">INDEX('EUROSTAT AP plants and products'!$D7:$AS7,0,MATCH(AL$1,'EUROSTAT AP plants and products'!$D$1:$AS$1,0))</f>
        <v>:</v>
      </c>
      <c r="AM8" t="str" cm="1">
        <f t="array" ref="AM8">INDEX('EUROSTAT AP plants and products'!$D7:$AS7,0,MATCH(AM$1,'EUROSTAT AP plants and products'!$D$1:$AS$1,0))</f>
        <v>:</v>
      </c>
      <c r="AN8" t="str" cm="1">
        <f t="array" ref="AN8">INDEX('EUROSTAT AP plants and products'!$D7:$AS7,0,MATCH(AN$1,'EUROSTAT AP plants and products'!$D$1:$AS$1,0))</f>
        <v>:</v>
      </c>
      <c r="AO8" t="str" cm="1">
        <f t="array" ref="AO8">INDEX('EUROSTAT AP plants and products'!$D7:$AS7,0,MATCH(AO$1,'EUROSTAT AP plants and products'!$D$1:$AS$1,0))</f>
        <v>:</v>
      </c>
      <c r="AP8" t="str" cm="1">
        <f t="array" ref="AP8">INDEX('EUROSTAT AP plants and products'!$D7:$AS7,0,MATCH(AP$1,'EUROSTAT AP plants and products'!$D$1:$AS$1,0))</f>
        <v>:</v>
      </c>
    </row>
    <row r="9" spans="1:42" x14ac:dyDescent="0.2">
      <c r="B9" t="s">
        <v>11</v>
      </c>
      <c r="C9" cm="1">
        <f t="array" ref="C9">INDEX('EUROSTAT AP plants and products'!$D8:$AS8,0,MATCH(C$1,'EUROSTAT AP plants and products'!$D$1:$AS$1,0))</f>
        <v>33365.03</v>
      </c>
      <c r="D9" cm="1">
        <f t="array" ref="D9">INDEX('EUROSTAT AP plants and products'!$D8:$AS8,0,MATCH(D$1,'EUROSTAT AP plants and products'!$D$1:$AS$1,0))</f>
        <v>6575.3239999999996</v>
      </c>
      <c r="E9" cm="1">
        <f t="array" ref="E9">INDEX('EUROSTAT AP plants and products'!$D8:$AS8,0,MATCH(E$1,'EUROSTAT AP plants and products'!$D$1:$AS$1,0))</f>
        <v>0</v>
      </c>
      <c r="F9" cm="1">
        <f t="array" ref="F9">INDEX('EUROSTAT AP plants and products'!$D8:$AS8,0,MATCH(F$1,'EUROSTAT AP plants and products'!$D$1:$AS$1,0))</f>
        <v>0</v>
      </c>
      <c r="G9" cm="1">
        <f t="array" ref="G9">INDEX('EUROSTAT AP plants and products'!$D8:$AS8,0,MATCH(G$1,'EUROSTAT AP plants and products'!$D$1:$AS$1,0))</f>
        <v>0</v>
      </c>
      <c r="H9" cm="1">
        <f t="array" ref="H9">INDEX('EUROSTAT AP plants and products'!$D8:$AS8,0,MATCH(H$1,'EUROSTAT AP plants and products'!$D$1:$AS$1,0))</f>
        <v>0</v>
      </c>
      <c r="I9" cm="1">
        <f t="array" ref="I9">INDEX('EUROSTAT AP plants and products'!$D8:$AS8,0,MATCH(I$1,'EUROSTAT AP plants and products'!$D$1:$AS$1,0))</f>
        <v>0</v>
      </c>
      <c r="J9" cm="1">
        <f t="array" ref="J9">INDEX('EUROSTAT AP plants and products'!$D8:$AS8,0,MATCH(J$1,'EUROSTAT AP plants and products'!$D$1:$AS$1,0))</f>
        <v>0</v>
      </c>
      <c r="K9" cm="1">
        <f t="array" ref="K9">INDEX('EUROSTAT AP plants and products'!$D8:$AS8,0,MATCH(K$1,'EUROSTAT AP plants and products'!$D$1:$AS$1,0))</f>
        <v>0</v>
      </c>
      <c r="L9" cm="1">
        <f t="array" ref="L9">INDEX('EUROSTAT AP plants and products'!$D8:$AS8,0,MATCH(L$1,'EUROSTAT AP plants and products'!$D$1:$AS$1,0))</f>
        <v>6575.3239999999996</v>
      </c>
      <c r="M9" cm="1">
        <f t="array" ref="M9">INDEX('EUROSTAT AP plants and products'!$D8:$AS8,0,MATCH(M$1,'EUROSTAT AP plants and products'!$D$1:$AS$1,0))</f>
        <v>0</v>
      </c>
      <c r="N9" cm="1">
        <f t="array" ref="N9">INDEX('EUROSTAT AP plants and products'!$D8:$AS8,0,MATCH(N$1,'EUROSTAT AP plants and products'!$D$1:$AS$1,0))</f>
        <v>0</v>
      </c>
      <c r="O9" cm="1">
        <f t="array" ref="O9">INDEX('EUROSTAT AP plants and products'!$D8:$AS8,0,MATCH(O$1,'EUROSTAT AP plants and products'!$D$1:$AS$1,0))</f>
        <v>0</v>
      </c>
      <c r="P9" cm="1">
        <f t="array" ref="P9">INDEX('EUROSTAT AP plants and products'!$D8:$AS8,0,MATCH(P$1,'EUROSTAT AP plants and products'!$D$1:$AS$1,0))</f>
        <v>0</v>
      </c>
      <c r="Q9" cm="1">
        <f t="array" ref="Q9">INDEX('EUROSTAT AP plants and products'!$D8:$AS8,0,MATCH(Q$1,'EUROSTAT AP plants and products'!$D$1:$AS$1,0))</f>
        <v>0</v>
      </c>
      <c r="R9" cm="1">
        <f t="array" ref="R9">INDEX('EUROSTAT AP plants and products'!$D8:$AS8,0,MATCH(R$1,'EUROSTAT AP plants and products'!$D$1:$AS$1,0))</f>
        <v>0</v>
      </c>
      <c r="S9" cm="1">
        <f t="array" ref="S9">INDEX('EUROSTAT AP plants and products'!$D8:$AS8,0,MATCH(S$1,'EUROSTAT AP plants and products'!$D$1:$AS$1,0))</f>
        <v>8723.1749999999993</v>
      </c>
      <c r="T9" cm="1">
        <f t="array" ref="T9">INDEX('EUROSTAT AP plants and products'!$D8:$AS8,0,MATCH(T$1,'EUROSTAT AP plants and products'!$D$1:$AS$1,0))</f>
        <v>457.28</v>
      </c>
      <c r="U9" cm="1">
        <f t="array" ref="U9">INDEX('EUROSTAT AP plants and products'!$D8:$AS8,0,MATCH(U$1,'EUROSTAT AP plants and products'!$D$1:$AS$1,0))</f>
        <v>8000.4740000000002</v>
      </c>
      <c r="V9" cm="1">
        <f t="array" ref="V9">INDEX('EUROSTAT AP plants and products'!$D8:$AS8,0,MATCH(V$1,'EUROSTAT AP plants and products'!$D$1:$AS$1,0))</f>
        <v>0</v>
      </c>
      <c r="W9" cm="1">
        <f t="array" ref="W9">INDEX('EUROSTAT AP plants and products'!$D8:$AS8,0,MATCH(W$1,'EUROSTAT AP plants and products'!$D$1:$AS$1,0))</f>
        <v>0</v>
      </c>
      <c r="X9" cm="1">
        <f t="array" ref="X9">INDEX('EUROSTAT AP plants and products'!$D8:$AS8,0,MATCH(X$1,'EUROSTAT AP plants and products'!$D$1:$AS$1,0))</f>
        <v>0</v>
      </c>
      <c r="Y9" cm="1">
        <f t="array" ref="Y9">INDEX('EUROSTAT AP plants and products'!$D8:$AS8,0,MATCH(Y$1,'EUROSTAT AP plants and products'!$D$1:$AS$1,0))</f>
        <v>0</v>
      </c>
      <c r="Z9" cm="1">
        <f t="array" ref="Z9">INDEX('EUROSTAT AP plants and products'!$D8:$AS8,0,MATCH(Z$1,'EUROSTAT AP plants and products'!$D$1:$AS$1,0))</f>
        <v>0</v>
      </c>
      <c r="AA9" cm="1">
        <f t="array" ref="AA9">INDEX('EUROSTAT AP plants and products'!$D8:$AS8,0,MATCH(AA$1,'EUROSTAT AP plants and products'!$D$1:$AS$1,0))</f>
        <v>52.741999999999997</v>
      </c>
      <c r="AB9" cm="1">
        <f t="array" ref="AB9">INDEX('EUROSTAT AP plants and products'!$D8:$AS8,0,MATCH(AB$1,'EUROSTAT AP plants and products'!$D$1:$AS$1,0))</f>
        <v>120.809</v>
      </c>
      <c r="AC9" cm="1">
        <f t="array" ref="AC9">INDEX('EUROSTAT AP plants and products'!$D8:$AS8,0,MATCH(AC$1,'EUROSTAT AP plants and products'!$D$1:$AS$1,0))</f>
        <v>91.87</v>
      </c>
      <c r="AD9" cm="1">
        <f t="array" ref="AD9">INDEX('EUROSTAT AP plants and products'!$D8:$AS8,0,MATCH(AD$1,'EUROSTAT AP plants and products'!$D$1:$AS$1,0))</f>
        <v>0</v>
      </c>
      <c r="AE9" cm="1">
        <f t="array" ref="AE9">INDEX('EUROSTAT AP plants and products'!$D8:$AS8,0,MATCH(AE$1,'EUROSTAT AP plants and products'!$D$1:$AS$1,0))</f>
        <v>0</v>
      </c>
      <c r="AF9" cm="1">
        <f t="array" ref="AF9">INDEX('EUROSTAT AP plants and products'!$D8:$AS8,0,MATCH(AF$1,'EUROSTAT AP plants and products'!$D$1:$AS$1,0))</f>
        <v>0</v>
      </c>
      <c r="AG9" cm="1">
        <f t="array" ref="AG9">INDEX('EUROSTAT AP plants and products'!$D8:$AS8,0,MATCH(AG$1,'EUROSTAT AP plants and products'!$D$1:$AS$1,0))</f>
        <v>0</v>
      </c>
      <c r="AH9" cm="1">
        <f t="array" ref="AH9">INDEX('EUROSTAT AP plants and products'!$D8:$AS8,0,MATCH(AH$1,'EUROSTAT AP plants and products'!$D$1:$AS$1,0))</f>
        <v>0</v>
      </c>
      <c r="AI9" cm="1">
        <f t="array" ref="AI9">INDEX('EUROSTAT AP plants and products'!$D8:$AS8,0,MATCH(AI$1,'EUROSTAT AP plants and products'!$D$1:$AS$1,0))</f>
        <v>0</v>
      </c>
      <c r="AJ9" cm="1">
        <f t="array" ref="AJ9">INDEX('EUROSTAT AP plants and products'!$D8:$AS8,0,MATCH(AJ$1,'EUROSTAT AP plants and products'!$D$1:$AS$1,0))</f>
        <v>0</v>
      </c>
      <c r="AK9" cm="1">
        <f t="array" ref="AK9">INDEX('EUROSTAT AP plants and products'!$D8:$AS8,0,MATCH(AK$1,'EUROSTAT AP plants and products'!$D$1:$AS$1,0))</f>
        <v>18066.530999999999</v>
      </c>
      <c r="AL9" cm="1">
        <f t="array" ref="AL9">INDEX('EUROSTAT AP plants and products'!$D8:$AS8,0,MATCH(AL$1,'EUROSTAT AP plants and products'!$D$1:$AS$1,0))</f>
        <v>17834.455000000002</v>
      </c>
      <c r="AM9" cm="1">
        <f t="array" ref="AM9">INDEX('EUROSTAT AP plants and products'!$D8:$AS8,0,MATCH(AM$1,'EUROSTAT AP plants and products'!$D$1:$AS$1,0))</f>
        <v>0</v>
      </c>
      <c r="AN9" cm="1">
        <f t="array" ref="AN9">INDEX('EUROSTAT AP plants and products'!$D8:$AS8,0,MATCH(AN$1,'EUROSTAT AP plants and products'!$D$1:$AS$1,0))</f>
        <v>232.07599999999999</v>
      </c>
      <c r="AO9" cm="1">
        <f t="array" ref="AO9">INDEX('EUROSTAT AP plants and products'!$D8:$AS8,0,MATCH(AO$1,'EUROSTAT AP plants and products'!$D$1:$AS$1,0))</f>
        <v>0</v>
      </c>
      <c r="AP9" cm="1">
        <f t="array" ref="AP9">INDEX('EUROSTAT AP plants and products'!$D8:$AS8,0,MATCH(AP$1,'EUROSTAT AP plants and products'!$D$1:$AS$1,0))</f>
        <v>0</v>
      </c>
    </row>
    <row r="10" spans="1:42" x14ac:dyDescent="0.2">
      <c r="B10" t="s">
        <v>12</v>
      </c>
      <c r="C10" cm="1">
        <f t="array" ref="C10">INDEX('EUROSTAT AP plants and products'!$D9:$AS9,0,MATCH(C$1,'EUROSTAT AP plants and products'!$D$1:$AS$1,0))</f>
        <v>10931.602000000001</v>
      </c>
      <c r="D10" cm="1">
        <f t="array" ref="D10">INDEX('EUROSTAT AP plants and products'!$D9:$AS9,0,MATCH(D$1,'EUROSTAT AP plants and products'!$D$1:$AS$1,0))</f>
        <v>0</v>
      </c>
      <c r="E10" cm="1">
        <f t="array" ref="E10">INDEX('EUROSTAT AP plants and products'!$D9:$AS9,0,MATCH(E$1,'EUROSTAT AP plants and products'!$D$1:$AS$1,0))</f>
        <v>0</v>
      </c>
      <c r="F10" cm="1">
        <f t="array" ref="F10">INDEX('EUROSTAT AP plants and products'!$D9:$AS9,0,MATCH(F$1,'EUROSTAT AP plants and products'!$D$1:$AS$1,0))</f>
        <v>0</v>
      </c>
      <c r="G10" cm="1">
        <f t="array" ref="G10">INDEX('EUROSTAT AP plants and products'!$D9:$AS9,0,MATCH(G$1,'EUROSTAT AP plants and products'!$D$1:$AS$1,0))</f>
        <v>0</v>
      </c>
      <c r="H10" cm="1">
        <f t="array" ref="H10">INDEX('EUROSTAT AP plants and products'!$D9:$AS9,0,MATCH(H$1,'EUROSTAT AP plants and products'!$D$1:$AS$1,0))</f>
        <v>0</v>
      </c>
      <c r="I10" cm="1">
        <f t="array" ref="I10">INDEX('EUROSTAT AP plants and products'!$D9:$AS9,0,MATCH(I$1,'EUROSTAT AP plants and products'!$D$1:$AS$1,0))</f>
        <v>0</v>
      </c>
      <c r="J10" cm="1">
        <f t="array" ref="J10">INDEX('EUROSTAT AP plants and products'!$D9:$AS9,0,MATCH(J$1,'EUROSTAT AP plants and products'!$D$1:$AS$1,0))</f>
        <v>0</v>
      </c>
      <c r="K10" cm="1">
        <f t="array" ref="K10">INDEX('EUROSTAT AP plants and products'!$D9:$AS9,0,MATCH(K$1,'EUROSTAT AP plants and products'!$D$1:$AS$1,0))</f>
        <v>0</v>
      </c>
      <c r="L10" cm="1">
        <f t="array" ref="L10">INDEX('EUROSTAT AP plants and products'!$D9:$AS9,0,MATCH(L$1,'EUROSTAT AP plants and products'!$D$1:$AS$1,0))</f>
        <v>0</v>
      </c>
      <c r="M10" cm="1">
        <f t="array" ref="M10">INDEX('EUROSTAT AP plants and products'!$D9:$AS9,0,MATCH(M$1,'EUROSTAT AP plants and products'!$D$1:$AS$1,0))</f>
        <v>0</v>
      </c>
      <c r="N10" cm="1">
        <f t="array" ref="N10">INDEX('EUROSTAT AP plants and products'!$D9:$AS9,0,MATCH(N$1,'EUROSTAT AP plants and products'!$D$1:$AS$1,0))</f>
        <v>0</v>
      </c>
      <c r="O10" cm="1">
        <f t="array" ref="O10">INDEX('EUROSTAT AP plants and products'!$D9:$AS9,0,MATCH(O$1,'EUROSTAT AP plants and products'!$D$1:$AS$1,0))</f>
        <v>0</v>
      </c>
      <c r="P10" cm="1">
        <f t="array" ref="P10">INDEX('EUROSTAT AP plants and products'!$D9:$AS9,0,MATCH(P$1,'EUROSTAT AP plants and products'!$D$1:$AS$1,0))</f>
        <v>0</v>
      </c>
      <c r="Q10" cm="1">
        <f t="array" ref="Q10">INDEX('EUROSTAT AP plants and products'!$D9:$AS9,0,MATCH(Q$1,'EUROSTAT AP plants and products'!$D$1:$AS$1,0))</f>
        <v>0</v>
      </c>
      <c r="R10" cm="1">
        <f t="array" ref="R10">INDEX('EUROSTAT AP plants and products'!$D9:$AS9,0,MATCH(R$1,'EUROSTAT AP plants and products'!$D$1:$AS$1,0))</f>
        <v>0</v>
      </c>
      <c r="S10" cm="1">
        <f t="array" ref="S10">INDEX('EUROSTAT AP plants and products'!$D9:$AS9,0,MATCH(S$1,'EUROSTAT AP plants and products'!$D$1:$AS$1,0))</f>
        <v>10931.602000000001</v>
      </c>
      <c r="T10" cm="1">
        <f t="array" ref="T10">INDEX('EUROSTAT AP plants and products'!$D9:$AS9,0,MATCH(T$1,'EUROSTAT AP plants and products'!$D$1:$AS$1,0))</f>
        <v>0</v>
      </c>
      <c r="U10" cm="1">
        <f t="array" ref="U10">INDEX('EUROSTAT AP plants and products'!$D9:$AS9,0,MATCH(U$1,'EUROSTAT AP plants and products'!$D$1:$AS$1,0))</f>
        <v>10790.504999999999</v>
      </c>
      <c r="V10" cm="1">
        <f t="array" ref="V10">INDEX('EUROSTAT AP plants and products'!$D9:$AS9,0,MATCH(V$1,'EUROSTAT AP plants and products'!$D$1:$AS$1,0))</f>
        <v>4.2759999999999998</v>
      </c>
      <c r="W10" cm="1">
        <f t="array" ref="W10">INDEX('EUROSTAT AP plants and products'!$D9:$AS9,0,MATCH(W$1,'EUROSTAT AP plants and products'!$D$1:$AS$1,0))</f>
        <v>0</v>
      </c>
      <c r="X10" cm="1">
        <f t="array" ref="X10">INDEX('EUROSTAT AP plants and products'!$D9:$AS9,0,MATCH(X$1,'EUROSTAT AP plants and products'!$D$1:$AS$1,0))</f>
        <v>0</v>
      </c>
      <c r="Y10" cm="1">
        <f t="array" ref="Y10">INDEX('EUROSTAT AP plants and products'!$D9:$AS9,0,MATCH(Y$1,'EUROSTAT AP plants and products'!$D$1:$AS$1,0))</f>
        <v>0</v>
      </c>
      <c r="Z10" cm="1">
        <f t="array" ref="Z10">INDEX('EUROSTAT AP plants and products'!$D9:$AS9,0,MATCH(Z$1,'EUROSTAT AP plants and products'!$D$1:$AS$1,0))</f>
        <v>0</v>
      </c>
      <c r="AA10" cm="1">
        <f t="array" ref="AA10">INDEX('EUROSTAT AP plants and products'!$D9:$AS9,0,MATCH(AA$1,'EUROSTAT AP plants and products'!$D$1:$AS$1,0))</f>
        <v>136.821</v>
      </c>
      <c r="AB10" cm="1">
        <f t="array" ref="AB10">INDEX('EUROSTAT AP plants and products'!$D9:$AS9,0,MATCH(AB$1,'EUROSTAT AP plants and products'!$D$1:$AS$1,0))</f>
        <v>0</v>
      </c>
      <c r="AC10" cm="1">
        <f t="array" ref="AC10">INDEX('EUROSTAT AP plants and products'!$D9:$AS9,0,MATCH(AC$1,'EUROSTAT AP plants and products'!$D$1:$AS$1,0))</f>
        <v>0</v>
      </c>
      <c r="AD10" cm="1">
        <f t="array" ref="AD10">INDEX('EUROSTAT AP plants and products'!$D9:$AS9,0,MATCH(AD$1,'EUROSTAT AP plants and products'!$D$1:$AS$1,0))</f>
        <v>0</v>
      </c>
      <c r="AE10" cm="1">
        <f t="array" ref="AE10">INDEX('EUROSTAT AP plants and products'!$D9:$AS9,0,MATCH(AE$1,'EUROSTAT AP plants and products'!$D$1:$AS$1,0))</f>
        <v>0</v>
      </c>
      <c r="AF10" cm="1">
        <f t="array" ref="AF10">INDEX('EUROSTAT AP plants and products'!$D9:$AS9,0,MATCH(AF$1,'EUROSTAT AP plants and products'!$D$1:$AS$1,0))</f>
        <v>0</v>
      </c>
      <c r="AG10" cm="1">
        <f t="array" ref="AG10">INDEX('EUROSTAT AP plants and products'!$D9:$AS9,0,MATCH(AG$1,'EUROSTAT AP plants and products'!$D$1:$AS$1,0))</f>
        <v>0</v>
      </c>
      <c r="AH10" cm="1">
        <f t="array" ref="AH10">INDEX('EUROSTAT AP plants and products'!$D9:$AS9,0,MATCH(AH$1,'EUROSTAT AP plants and products'!$D$1:$AS$1,0))</f>
        <v>0</v>
      </c>
      <c r="AI10" cm="1">
        <f t="array" ref="AI10">INDEX('EUROSTAT AP plants and products'!$D9:$AS9,0,MATCH(AI$1,'EUROSTAT AP plants and products'!$D$1:$AS$1,0))</f>
        <v>0</v>
      </c>
      <c r="AJ10" cm="1">
        <f t="array" ref="AJ10">INDEX('EUROSTAT AP plants and products'!$D9:$AS9,0,MATCH(AJ$1,'EUROSTAT AP plants and products'!$D$1:$AS$1,0))</f>
        <v>0</v>
      </c>
      <c r="AK10" cm="1">
        <f t="array" ref="AK10">INDEX('EUROSTAT AP plants and products'!$D9:$AS9,0,MATCH(AK$1,'EUROSTAT AP plants and products'!$D$1:$AS$1,0))</f>
        <v>0</v>
      </c>
      <c r="AL10" cm="1">
        <f t="array" ref="AL10">INDEX('EUROSTAT AP plants and products'!$D9:$AS9,0,MATCH(AL$1,'EUROSTAT AP plants and products'!$D$1:$AS$1,0))</f>
        <v>0</v>
      </c>
      <c r="AM10" cm="1">
        <f t="array" ref="AM10">INDEX('EUROSTAT AP plants and products'!$D9:$AS9,0,MATCH(AM$1,'EUROSTAT AP plants and products'!$D$1:$AS$1,0))</f>
        <v>0</v>
      </c>
      <c r="AN10" cm="1">
        <f t="array" ref="AN10">INDEX('EUROSTAT AP plants and products'!$D9:$AS9,0,MATCH(AN$1,'EUROSTAT AP plants and products'!$D$1:$AS$1,0))</f>
        <v>0</v>
      </c>
      <c r="AO10" cm="1">
        <f t="array" ref="AO10">INDEX('EUROSTAT AP plants and products'!$D9:$AS9,0,MATCH(AO$1,'EUROSTAT AP plants and products'!$D$1:$AS$1,0))</f>
        <v>0</v>
      </c>
      <c r="AP10" cm="1">
        <f t="array" ref="AP10">INDEX('EUROSTAT AP plants and products'!$D9:$AS9,0,MATCH(AP$1,'EUROSTAT AP plants and products'!$D$1:$AS$1,0))</f>
        <v>0</v>
      </c>
    </row>
    <row r="11" spans="1:42" x14ac:dyDescent="0.2">
      <c r="B11" t="s">
        <v>152</v>
      </c>
      <c r="C11" cm="1">
        <f t="array" ref="C11">INDEX('EUROSTAT AP plants and products'!$D10:$AS10,0,MATCH(C$1,'EUROSTAT AP plants and products'!$D$1:$AS$1,0))</f>
        <v>44296.631999999998</v>
      </c>
      <c r="D11" cm="1">
        <f t="array" ref="D11">INDEX('EUROSTAT AP plants and products'!$D10:$AS10,0,MATCH(D$1,'EUROSTAT AP plants and products'!$D$1:$AS$1,0))</f>
        <v>6575.3239999999996</v>
      </c>
      <c r="E11" cm="1">
        <f t="array" ref="E11">INDEX('EUROSTAT AP plants and products'!$D10:$AS10,0,MATCH(E$1,'EUROSTAT AP plants and products'!$D$1:$AS$1,0))</f>
        <v>0</v>
      </c>
      <c r="F11" cm="1">
        <f t="array" ref="F11">INDEX('EUROSTAT AP plants and products'!$D10:$AS10,0,MATCH(F$1,'EUROSTAT AP plants and products'!$D$1:$AS$1,0))</f>
        <v>0</v>
      </c>
      <c r="G11" cm="1">
        <f t="array" ref="G11">INDEX('EUROSTAT AP plants and products'!$D10:$AS10,0,MATCH(G$1,'EUROSTAT AP plants and products'!$D$1:$AS$1,0))</f>
        <v>0</v>
      </c>
      <c r="H11" cm="1">
        <f t="array" ref="H11">INDEX('EUROSTAT AP plants and products'!$D10:$AS10,0,MATCH(H$1,'EUROSTAT AP plants and products'!$D$1:$AS$1,0))</f>
        <v>0</v>
      </c>
      <c r="I11" cm="1">
        <f t="array" ref="I11">INDEX('EUROSTAT AP plants and products'!$D10:$AS10,0,MATCH(I$1,'EUROSTAT AP plants and products'!$D$1:$AS$1,0))</f>
        <v>0</v>
      </c>
      <c r="J11" cm="1">
        <f t="array" ref="J11">INDEX('EUROSTAT AP plants and products'!$D10:$AS10,0,MATCH(J$1,'EUROSTAT AP plants and products'!$D$1:$AS$1,0))</f>
        <v>0</v>
      </c>
      <c r="K11" cm="1">
        <f t="array" ref="K11">INDEX('EUROSTAT AP plants and products'!$D10:$AS10,0,MATCH(K$1,'EUROSTAT AP plants and products'!$D$1:$AS$1,0))</f>
        <v>0</v>
      </c>
      <c r="L11" cm="1">
        <f t="array" ref="L11">INDEX('EUROSTAT AP plants and products'!$D10:$AS10,0,MATCH(L$1,'EUROSTAT AP plants and products'!$D$1:$AS$1,0))</f>
        <v>6575.3239999999996</v>
      </c>
      <c r="M11" cm="1">
        <f t="array" ref="M11">INDEX('EUROSTAT AP plants and products'!$D10:$AS10,0,MATCH(M$1,'EUROSTAT AP plants and products'!$D$1:$AS$1,0))</f>
        <v>0</v>
      </c>
      <c r="N11" cm="1">
        <f t="array" ref="N11">INDEX('EUROSTAT AP plants and products'!$D10:$AS10,0,MATCH(N$1,'EUROSTAT AP plants and products'!$D$1:$AS$1,0))</f>
        <v>0</v>
      </c>
      <c r="O11" cm="1">
        <f t="array" ref="O11">INDEX('EUROSTAT AP plants and products'!$D10:$AS10,0,MATCH(O$1,'EUROSTAT AP plants and products'!$D$1:$AS$1,0))</f>
        <v>0</v>
      </c>
      <c r="P11" cm="1">
        <f t="array" ref="P11">INDEX('EUROSTAT AP plants and products'!$D10:$AS10,0,MATCH(P$1,'EUROSTAT AP plants and products'!$D$1:$AS$1,0))</f>
        <v>0</v>
      </c>
      <c r="Q11" cm="1">
        <f t="array" ref="Q11">INDEX('EUROSTAT AP plants and products'!$D10:$AS10,0,MATCH(Q$1,'EUROSTAT AP plants and products'!$D$1:$AS$1,0))</f>
        <v>0</v>
      </c>
      <c r="R11" cm="1">
        <f t="array" ref="R11">INDEX('EUROSTAT AP plants and products'!$D10:$AS10,0,MATCH(R$1,'EUROSTAT AP plants and products'!$D$1:$AS$1,0))</f>
        <v>0</v>
      </c>
      <c r="S11" cm="1">
        <f t="array" ref="S11">INDEX('EUROSTAT AP plants and products'!$D10:$AS10,0,MATCH(S$1,'EUROSTAT AP plants and products'!$D$1:$AS$1,0))</f>
        <v>19654.776999999998</v>
      </c>
      <c r="T11" cm="1">
        <f t="array" ref="T11">INDEX('EUROSTAT AP plants and products'!$D10:$AS10,0,MATCH(T$1,'EUROSTAT AP plants and products'!$D$1:$AS$1,0))</f>
        <v>457.28</v>
      </c>
      <c r="U11" cm="1">
        <f t="array" ref="U11">INDEX('EUROSTAT AP plants and products'!$D10:$AS10,0,MATCH(U$1,'EUROSTAT AP plants and products'!$D$1:$AS$1,0))</f>
        <v>18790.978999999999</v>
      </c>
      <c r="V11" cm="1">
        <f t="array" ref="V11">INDEX('EUROSTAT AP plants and products'!$D10:$AS10,0,MATCH(V$1,'EUROSTAT AP plants and products'!$D$1:$AS$1,0))</f>
        <v>4.2759999999999998</v>
      </c>
      <c r="W11" cm="1">
        <f t="array" ref="W11">INDEX('EUROSTAT AP plants and products'!$D10:$AS10,0,MATCH(W$1,'EUROSTAT AP plants and products'!$D$1:$AS$1,0))</f>
        <v>0</v>
      </c>
      <c r="X11" cm="1">
        <f t="array" ref="X11">INDEX('EUROSTAT AP plants and products'!$D10:$AS10,0,MATCH(X$1,'EUROSTAT AP plants and products'!$D$1:$AS$1,0))</f>
        <v>0</v>
      </c>
      <c r="Y11" cm="1">
        <f t="array" ref="Y11">INDEX('EUROSTAT AP plants and products'!$D10:$AS10,0,MATCH(Y$1,'EUROSTAT AP plants and products'!$D$1:$AS$1,0))</f>
        <v>0</v>
      </c>
      <c r="Z11" cm="1">
        <f t="array" ref="Z11">INDEX('EUROSTAT AP plants and products'!$D10:$AS10,0,MATCH(Z$1,'EUROSTAT AP plants and products'!$D$1:$AS$1,0))</f>
        <v>0</v>
      </c>
      <c r="AA11" cm="1">
        <f t="array" ref="AA11">INDEX('EUROSTAT AP plants and products'!$D10:$AS10,0,MATCH(AA$1,'EUROSTAT AP plants and products'!$D$1:$AS$1,0))</f>
        <v>189.56299999999999</v>
      </c>
      <c r="AB11" cm="1">
        <f t="array" ref="AB11">INDEX('EUROSTAT AP plants and products'!$D10:$AS10,0,MATCH(AB$1,'EUROSTAT AP plants and products'!$D$1:$AS$1,0))</f>
        <v>120.809</v>
      </c>
      <c r="AC11" cm="1">
        <f t="array" ref="AC11">INDEX('EUROSTAT AP plants and products'!$D10:$AS10,0,MATCH(AC$1,'EUROSTAT AP plants and products'!$D$1:$AS$1,0))</f>
        <v>91.87</v>
      </c>
      <c r="AD11" cm="1">
        <f t="array" ref="AD11">INDEX('EUROSTAT AP plants and products'!$D10:$AS10,0,MATCH(AD$1,'EUROSTAT AP plants and products'!$D$1:$AS$1,0))</f>
        <v>0</v>
      </c>
      <c r="AE11" cm="1">
        <f t="array" ref="AE11">INDEX('EUROSTAT AP plants and products'!$D10:$AS10,0,MATCH(AE$1,'EUROSTAT AP plants and products'!$D$1:$AS$1,0))</f>
        <v>0</v>
      </c>
      <c r="AF11" cm="1">
        <f t="array" ref="AF11">INDEX('EUROSTAT AP plants and products'!$D10:$AS10,0,MATCH(AF$1,'EUROSTAT AP plants and products'!$D$1:$AS$1,0))</f>
        <v>0</v>
      </c>
      <c r="AG11" cm="1">
        <f t="array" ref="AG11">INDEX('EUROSTAT AP plants and products'!$D10:$AS10,0,MATCH(AG$1,'EUROSTAT AP plants and products'!$D$1:$AS$1,0))</f>
        <v>0</v>
      </c>
      <c r="AH11" cm="1">
        <f t="array" ref="AH11">INDEX('EUROSTAT AP plants and products'!$D10:$AS10,0,MATCH(AH$1,'EUROSTAT AP plants and products'!$D$1:$AS$1,0))</f>
        <v>0</v>
      </c>
      <c r="AI11" cm="1">
        <f t="array" ref="AI11">INDEX('EUROSTAT AP plants and products'!$D10:$AS10,0,MATCH(AI$1,'EUROSTAT AP plants and products'!$D$1:$AS$1,0))</f>
        <v>0</v>
      </c>
      <c r="AJ11" cm="1">
        <f t="array" ref="AJ11">INDEX('EUROSTAT AP plants and products'!$D10:$AS10,0,MATCH(AJ$1,'EUROSTAT AP plants and products'!$D$1:$AS$1,0))</f>
        <v>0</v>
      </c>
      <c r="AK11" cm="1">
        <f t="array" ref="AK11">INDEX('EUROSTAT AP plants and products'!$D10:$AS10,0,MATCH(AK$1,'EUROSTAT AP plants and products'!$D$1:$AS$1,0))</f>
        <v>18066.530999999999</v>
      </c>
      <c r="AL11" cm="1">
        <f t="array" ref="AL11">INDEX('EUROSTAT AP plants and products'!$D10:$AS10,0,MATCH(AL$1,'EUROSTAT AP plants and products'!$D$1:$AS$1,0))</f>
        <v>17834.455000000002</v>
      </c>
      <c r="AM11" cm="1">
        <f t="array" ref="AM11">INDEX('EUROSTAT AP plants and products'!$D10:$AS10,0,MATCH(AM$1,'EUROSTAT AP plants and products'!$D$1:$AS$1,0))</f>
        <v>0</v>
      </c>
      <c r="AN11" cm="1">
        <f t="array" ref="AN11">INDEX('EUROSTAT AP plants and products'!$D10:$AS10,0,MATCH(AN$1,'EUROSTAT AP plants and products'!$D$1:$AS$1,0))</f>
        <v>232.07599999999999</v>
      </c>
      <c r="AO11" cm="1">
        <f t="array" ref="AO11">INDEX('EUROSTAT AP plants and products'!$D10:$AS10,0,MATCH(AO$1,'EUROSTAT AP plants and products'!$D$1:$AS$1,0))</f>
        <v>0</v>
      </c>
      <c r="AP11" cm="1">
        <f t="array" ref="AP11">INDEX('EUROSTAT AP plants and products'!$D10:$AS10,0,MATCH(AP$1,'EUROSTAT AP plants and products'!$D$1:$AS$1,0))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6AAA-A0E2-BC42-BB33-F06A25FDE607}">
  <sheetPr>
    <tabColor rgb="FFB1A0C7"/>
  </sheetPr>
  <dimension ref="A1:AO10"/>
  <sheetViews>
    <sheetView tabSelected="1" workbookViewId="0">
      <selection activeCell="L47" sqref="L47:L48"/>
    </sheetView>
  </sheetViews>
  <sheetFormatPr baseColWidth="10" defaultRowHeight="16" x14ac:dyDescent="0.2"/>
  <sheetData>
    <row r="1" spans="1:41" x14ac:dyDescent="0.2">
      <c r="A1" t="s">
        <v>8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13</v>
      </c>
      <c r="AK1" t="s">
        <v>146</v>
      </c>
      <c r="AL1" t="s">
        <v>147</v>
      </c>
      <c r="AM1" t="s">
        <v>148</v>
      </c>
      <c r="AN1" t="s">
        <v>149</v>
      </c>
      <c r="AO1" t="s">
        <v>150</v>
      </c>
    </row>
    <row r="2" spans="1:41" x14ac:dyDescent="0.2">
      <c r="A2" t="s">
        <v>151</v>
      </c>
    </row>
    <row r="3" spans="1:41" x14ac:dyDescent="0.2">
      <c r="A3" t="s">
        <v>10</v>
      </c>
      <c r="B3">
        <f>'EUROSTAT AP flows'!C4</f>
        <v>18341.166000000001</v>
      </c>
      <c r="C3">
        <f>'EUROSTAT AP flows'!D4</f>
        <v>106.121</v>
      </c>
      <c r="D3">
        <f>'EUROSTAT AP flows'!E4</f>
        <v>0</v>
      </c>
      <c r="E3">
        <f>'EUROSTAT AP flows'!F4</f>
        <v>0</v>
      </c>
      <c r="F3">
        <f>'EUROSTAT AP flows'!G4</f>
        <v>0</v>
      </c>
      <c r="G3">
        <f>'EUROSTAT AP flows'!H4</f>
        <v>0</v>
      </c>
      <c r="H3">
        <f>'EUROSTAT AP flows'!I4</f>
        <v>0</v>
      </c>
      <c r="I3">
        <f>'EUROSTAT AP flows'!J4</f>
        <v>0</v>
      </c>
      <c r="J3">
        <f>'EUROSTAT AP flows'!K4</f>
        <v>106.10899999999999</v>
      </c>
      <c r="K3">
        <f>'EUROSTAT AP flows'!L4</f>
        <v>1.2E-2</v>
      </c>
      <c r="L3">
        <f>'EUROSTAT AP flows'!M4</f>
        <v>0</v>
      </c>
      <c r="M3">
        <f>'EUROSTAT AP flows'!N4</f>
        <v>0</v>
      </c>
      <c r="N3">
        <f>'EUROSTAT AP flows'!O4</f>
        <v>0</v>
      </c>
      <c r="O3">
        <f>'EUROSTAT AP flows'!P4</f>
        <v>0</v>
      </c>
      <c r="P3">
        <f>'EUROSTAT AP flows'!Q4</f>
        <v>0</v>
      </c>
      <c r="Q3">
        <f>'EUROSTAT AP flows'!R4</f>
        <v>0</v>
      </c>
      <c r="R3">
        <f>'EUROSTAT AP flows'!S4</f>
        <v>1772.8969999999999</v>
      </c>
      <c r="S3">
        <f>'EUROSTAT AP flows'!T4</f>
        <v>6.2069999999999999</v>
      </c>
      <c r="T3">
        <f>'EUROSTAT AP flows'!U4</f>
        <v>208.28</v>
      </c>
      <c r="U3">
        <f>'EUROSTAT AP flows'!V4</f>
        <v>0.69</v>
      </c>
      <c r="V3">
        <f>'EUROSTAT AP flows'!W4</f>
        <v>54.414999999999999</v>
      </c>
      <c r="W3">
        <f>'EUROSTAT AP flows'!X4</f>
        <v>38.762</v>
      </c>
      <c r="X3">
        <f>'EUROSTAT AP flows'!Y4</f>
        <v>329.36099999999999</v>
      </c>
      <c r="Y3">
        <f>'EUROSTAT AP flows'!Z4</f>
        <v>8.3979999999999997</v>
      </c>
      <c r="Z3">
        <f>'EUROSTAT AP flows'!AA4</f>
        <v>103.20099999999999</v>
      </c>
      <c r="AA3">
        <f>'EUROSTAT AP flows'!AB4</f>
        <v>30.591999999999999</v>
      </c>
      <c r="AB3">
        <f>'EUROSTAT AP flows'!AC4</f>
        <v>36.442</v>
      </c>
      <c r="AC3">
        <f>'EUROSTAT AP flows'!AD4</f>
        <v>395.42</v>
      </c>
      <c r="AD3">
        <f>'EUROSTAT AP flows'!AE4</f>
        <v>18.969000000000001</v>
      </c>
      <c r="AE3">
        <f>'EUROSTAT AP flows'!AF4</f>
        <v>542.16</v>
      </c>
      <c r="AF3">
        <f>'EUROSTAT AP flows'!AG4</f>
        <v>0</v>
      </c>
      <c r="AG3">
        <f>'EUROSTAT AP flows'!AH4</f>
        <v>0</v>
      </c>
      <c r="AH3">
        <f>'EUROSTAT AP flows'!AI4</f>
        <v>0</v>
      </c>
      <c r="AI3">
        <f>'EUROSTAT AP flows'!AJ4</f>
        <v>0</v>
      </c>
      <c r="AJ3">
        <f>'EUROSTAT AP flows'!AK4</f>
        <v>16462.148000000001</v>
      </c>
      <c r="AK3">
        <f>'EUROSTAT AP flows'!AL4</f>
        <v>5710.18</v>
      </c>
      <c r="AL3">
        <f>'EUROSTAT AP flows'!AM4</f>
        <v>8439.2260000000006</v>
      </c>
      <c r="AM3">
        <f>'EUROSTAT AP flows'!AN4</f>
        <v>2312.7420000000002</v>
      </c>
      <c r="AN3">
        <f>'EUROSTAT AP flows'!AO4</f>
        <v>0</v>
      </c>
      <c r="AO3">
        <f>'EUROSTAT AP flows'!AP4</f>
        <v>0</v>
      </c>
    </row>
    <row r="4" spans="1:41" x14ac:dyDescent="0.2">
      <c r="A4" t="s">
        <v>11</v>
      </c>
      <c r="B4">
        <f>'EUROSTAT AP flows'!C5</f>
        <v>20529.705000000002</v>
      </c>
      <c r="C4">
        <f>'EUROSTAT AP flows'!D5</f>
        <v>1666.7380000000001</v>
      </c>
      <c r="D4">
        <f>'EUROSTAT AP flows'!E5</f>
        <v>0</v>
      </c>
      <c r="E4">
        <f>'EUROSTAT AP flows'!F5</f>
        <v>0</v>
      </c>
      <c r="F4">
        <f>'EUROSTAT AP flows'!G5</f>
        <v>0</v>
      </c>
      <c r="G4">
        <f>'EUROSTAT AP flows'!H5</f>
        <v>0</v>
      </c>
      <c r="H4">
        <f>'EUROSTAT AP flows'!I5</f>
        <v>0</v>
      </c>
      <c r="I4">
        <f>'EUROSTAT AP flows'!J5</f>
        <v>0</v>
      </c>
      <c r="J4">
        <f>'EUROSTAT AP flows'!K5</f>
        <v>0</v>
      </c>
      <c r="K4">
        <f>'EUROSTAT AP flows'!L5</f>
        <v>1666.7380000000001</v>
      </c>
      <c r="L4">
        <f>'EUROSTAT AP flows'!M5</f>
        <v>0</v>
      </c>
      <c r="M4">
        <f>'EUROSTAT AP flows'!N5</f>
        <v>0</v>
      </c>
      <c r="N4">
        <f>'EUROSTAT AP flows'!O5</f>
        <v>0</v>
      </c>
      <c r="O4">
        <f>'EUROSTAT AP flows'!P5</f>
        <v>0</v>
      </c>
      <c r="P4">
        <f>'EUROSTAT AP flows'!Q5</f>
        <v>0</v>
      </c>
      <c r="Q4">
        <f>'EUROSTAT AP flows'!R5</f>
        <v>0</v>
      </c>
      <c r="R4">
        <f>'EUROSTAT AP flows'!S5</f>
        <v>5824.317</v>
      </c>
      <c r="S4">
        <f>'EUROSTAT AP flows'!T5</f>
        <v>131.61799999999999</v>
      </c>
      <c r="T4">
        <f>'EUROSTAT AP flows'!U5</f>
        <v>4226.33</v>
      </c>
      <c r="U4">
        <f>'EUROSTAT AP flows'!V5</f>
        <v>0</v>
      </c>
      <c r="V4">
        <f>'EUROSTAT AP flows'!W5</f>
        <v>12.048</v>
      </c>
      <c r="W4">
        <f>'EUROSTAT AP flows'!X5</f>
        <v>0</v>
      </c>
      <c r="X4">
        <f>'EUROSTAT AP flows'!Y5</f>
        <v>0</v>
      </c>
      <c r="Y4">
        <f>'EUROSTAT AP flows'!Z5</f>
        <v>0</v>
      </c>
      <c r="Z4">
        <f>'EUROSTAT AP flows'!AA5</f>
        <v>1110.396</v>
      </c>
      <c r="AA4">
        <f>'EUROSTAT AP flows'!AB5</f>
        <v>334.10300000000001</v>
      </c>
      <c r="AB4">
        <f>'EUROSTAT AP flows'!AC5</f>
        <v>7.4939999999999998</v>
      </c>
      <c r="AC4">
        <f>'EUROSTAT AP flows'!AD5</f>
        <v>0</v>
      </c>
      <c r="AD4">
        <f>'EUROSTAT AP flows'!AE5</f>
        <v>0</v>
      </c>
      <c r="AE4">
        <f>'EUROSTAT AP flows'!AF5</f>
        <v>2.3279999999999998</v>
      </c>
      <c r="AF4">
        <f>'EUROSTAT AP flows'!AG5</f>
        <v>0</v>
      </c>
      <c r="AG4">
        <f>'EUROSTAT AP flows'!AH5</f>
        <v>0</v>
      </c>
      <c r="AH4">
        <f>'EUROSTAT AP flows'!AI5</f>
        <v>0</v>
      </c>
      <c r="AI4">
        <f>'EUROSTAT AP flows'!AJ5</f>
        <v>0</v>
      </c>
      <c r="AJ4">
        <f>'EUROSTAT AP flows'!AK5</f>
        <v>13038.65</v>
      </c>
      <c r="AK4">
        <f>'EUROSTAT AP flows'!AL5</f>
        <v>3995.5439999999999</v>
      </c>
      <c r="AL4">
        <f>'EUROSTAT AP flows'!AM5</f>
        <v>0</v>
      </c>
      <c r="AM4">
        <f>'EUROSTAT AP flows'!AN5</f>
        <v>9042.9699999999993</v>
      </c>
      <c r="AN4">
        <f>'EUROSTAT AP flows'!AO5</f>
        <v>0</v>
      </c>
      <c r="AO4">
        <f>'EUROSTAT AP flows'!AP5</f>
        <v>0.13600000000000001</v>
      </c>
    </row>
    <row r="5" spans="1:41" x14ac:dyDescent="0.2">
      <c r="A5" t="s">
        <v>12</v>
      </c>
      <c r="B5" t="str">
        <f>'EUROSTAT AP flows'!C6</f>
        <v>:</v>
      </c>
      <c r="C5" t="str">
        <f>'EUROSTAT AP flows'!D6</f>
        <v>:</v>
      </c>
      <c r="D5" t="str">
        <f>'EUROSTAT AP flows'!E6</f>
        <v>:</v>
      </c>
      <c r="E5" t="str">
        <f>'EUROSTAT AP flows'!F6</f>
        <v>:</v>
      </c>
      <c r="F5" t="str">
        <f>'EUROSTAT AP flows'!G6</f>
        <v>:</v>
      </c>
      <c r="G5" t="str">
        <f>'EUROSTAT AP flows'!H6</f>
        <v>:</v>
      </c>
      <c r="H5" t="str">
        <f>'EUROSTAT AP flows'!I6</f>
        <v>:</v>
      </c>
      <c r="I5" t="str">
        <f>'EUROSTAT AP flows'!J6</f>
        <v>:</v>
      </c>
      <c r="J5" t="str">
        <f>'EUROSTAT AP flows'!K6</f>
        <v>:</v>
      </c>
      <c r="K5" t="str">
        <f>'EUROSTAT AP flows'!L6</f>
        <v>:</v>
      </c>
      <c r="L5" t="str">
        <f>'EUROSTAT AP flows'!M6</f>
        <v>:</v>
      </c>
      <c r="M5" t="str">
        <f>'EUROSTAT AP flows'!N6</f>
        <v>:</v>
      </c>
      <c r="N5" t="str">
        <f>'EUROSTAT AP flows'!O6</f>
        <v>:</v>
      </c>
      <c r="O5" t="str">
        <f>'EUROSTAT AP flows'!P6</f>
        <v>:</v>
      </c>
      <c r="P5" t="str">
        <f>'EUROSTAT AP flows'!Q6</f>
        <v>:</v>
      </c>
      <c r="Q5" t="str">
        <f>'EUROSTAT AP flows'!R6</f>
        <v>:</v>
      </c>
      <c r="R5" t="str">
        <f>'EUROSTAT AP flows'!S6</f>
        <v>:</v>
      </c>
      <c r="S5" t="str">
        <f>'EUROSTAT AP flows'!T6</f>
        <v>:</v>
      </c>
      <c r="T5" t="str">
        <f>'EUROSTAT AP flows'!U6</f>
        <v>:</v>
      </c>
      <c r="U5" t="str">
        <f>'EUROSTAT AP flows'!V6</f>
        <v>:</v>
      </c>
      <c r="V5" t="str">
        <f>'EUROSTAT AP flows'!W6</f>
        <v>:</v>
      </c>
      <c r="W5" t="str">
        <f>'EUROSTAT AP flows'!X6</f>
        <v>:</v>
      </c>
      <c r="X5" t="str">
        <f>'EUROSTAT AP flows'!Y6</f>
        <v>:</v>
      </c>
      <c r="Y5" t="str">
        <f>'EUROSTAT AP flows'!Z6</f>
        <v>:</v>
      </c>
      <c r="Z5" t="str">
        <f>'EUROSTAT AP flows'!AA6</f>
        <v>:</v>
      </c>
      <c r="AA5" t="str">
        <f>'EUROSTAT AP flows'!AB6</f>
        <v>:</v>
      </c>
      <c r="AB5" t="str">
        <f>'EUROSTAT AP flows'!AC6</f>
        <v>:</v>
      </c>
      <c r="AC5" t="str">
        <f>'EUROSTAT AP flows'!AD6</f>
        <v>:</v>
      </c>
      <c r="AD5" t="str">
        <f>'EUROSTAT AP flows'!AE6</f>
        <v>:</v>
      </c>
      <c r="AE5" t="str">
        <f>'EUROSTAT AP flows'!AF6</f>
        <v>:</v>
      </c>
      <c r="AF5" t="str">
        <f>'EUROSTAT AP flows'!AG6</f>
        <v>:</v>
      </c>
      <c r="AG5" t="str">
        <f>'EUROSTAT AP flows'!AH6</f>
        <v>:</v>
      </c>
      <c r="AH5" t="str">
        <f>'EUROSTAT AP flows'!AI6</f>
        <v>:</v>
      </c>
      <c r="AI5" t="str">
        <f>'EUROSTAT AP flows'!AJ6</f>
        <v>:</v>
      </c>
      <c r="AJ5" t="str">
        <f>'EUROSTAT AP flows'!AK6</f>
        <v>:</v>
      </c>
      <c r="AK5" t="str">
        <f>'EUROSTAT AP flows'!AL6</f>
        <v>:</v>
      </c>
      <c r="AL5" t="str">
        <f>'EUROSTAT AP flows'!AM6</f>
        <v>:</v>
      </c>
      <c r="AM5" t="str">
        <f>'EUROSTAT AP flows'!AN6</f>
        <v>:</v>
      </c>
      <c r="AN5" t="str">
        <f>'EUROSTAT AP flows'!AO6</f>
        <v>:</v>
      </c>
      <c r="AO5" t="str">
        <f>'EUROSTAT AP flows'!AP6</f>
        <v>:</v>
      </c>
    </row>
    <row r="6" spans="1:41" x14ac:dyDescent="0.2">
      <c r="A6" t="s">
        <v>152</v>
      </c>
      <c r="B6">
        <f>'EUROSTAT AP flows'!C7</f>
        <v>38870.870999999999</v>
      </c>
      <c r="C6">
        <f>'EUROSTAT AP flows'!D7</f>
        <v>1772.8589999999999</v>
      </c>
      <c r="D6">
        <f>'EUROSTAT AP flows'!E7</f>
        <v>0</v>
      </c>
      <c r="E6">
        <f>'EUROSTAT AP flows'!F7</f>
        <v>0</v>
      </c>
      <c r="F6">
        <f>'EUROSTAT AP flows'!G7</f>
        <v>0</v>
      </c>
      <c r="G6">
        <f>'EUROSTAT AP flows'!H7</f>
        <v>0</v>
      </c>
      <c r="H6">
        <f>'EUROSTAT AP flows'!I7</f>
        <v>0</v>
      </c>
      <c r="I6">
        <f>'EUROSTAT AP flows'!J7</f>
        <v>0</v>
      </c>
      <c r="J6">
        <f>'EUROSTAT AP flows'!K7</f>
        <v>106.10899999999999</v>
      </c>
      <c r="K6">
        <f>'EUROSTAT AP flows'!L7</f>
        <v>1666.75</v>
      </c>
      <c r="L6">
        <f>'EUROSTAT AP flows'!M7</f>
        <v>0</v>
      </c>
      <c r="M6">
        <f>'EUROSTAT AP flows'!N7</f>
        <v>0</v>
      </c>
      <c r="N6">
        <f>'EUROSTAT AP flows'!O7</f>
        <v>0</v>
      </c>
      <c r="O6">
        <f>'EUROSTAT AP flows'!P7</f>
        <v>0</v>
      </c>
      <c r="P6">
        <f>'EUROSTAT AP flows'!Q7</f>
        <v>0</v>
      </c>
      <c r="Q6">
        <f>'EUROSTAT AP flows'!R7</f>
        <v>0</v>
      </c>
      <c r="R6">
        <f>'EUROSTAT AP flows'!S7</f>
        <v>7597.2139999999999</v>
      </c>
      <c r="S6">
        <f>'EUROSTAT AP flows'!T7</f>
        <v>137.82499999999999</v>
      </c>
      <c r="T6">
        <f>'EUROSTAT AP flows'!U7</f>
        <v>4434.6099999999997</v>
      </c>
      <c r="U6">
        <f>'EUROSTAT AP flows'!V7</f>
        <v>0.69</v>
      </c>
      <c r="V6">
        <f>'EUROSTAT AP flows'!W7</f>
        <v>66.462999999999994</v>
      </c>
      <c r="W6">
        <f>'EUROSTAT AP flows'!X7</f>
        <v>38.762</v>
      </c>
      <c r="X6">
        <f>'EUROSTAT AP flows'!Y7</f>
        <v>329.36099999999999</v>
      </c>
      <c r="Y6">
        <f>'EUROSTAT AP flows'!Z7</f>
        <v>8.3979999999999997</v>
      </c>
      <c r="Z6">
        <f>'EUROSTAT AP flows'!AA7</f>
        <v>1213.597</v>
      </c>
      <c r="AA6">
        <f>'EUROSTAT AP flows'!AB7</f>
        <v>364.69499999999999</v>
      </c>
      <c r="AB6">
        <f>'EUROSTAT AP flows'!AC7</f>
        <v>43.936</v>
      </c>
      <c r="AC6">
        <f>'EUROSTAT AP flows'!AD7</f>
        <v>395.42</v>
      </c>
      <c r="AD6">
        <f>'EUROSTAT AP flows'!AE7</f>
        <v>18.969000000000001</v>
      </c>
      <c r="AE6">
        <f>'EUROSTAT AP flows'!AF7</f>
        <v>544.48800000000006</v>
      </c>
      <c r="AF6">
        <f>'EUROSTAT AP flows'!AG7</f>
        <v>0</v>
      </c>
      <c r="AG6">
        <f>'EUROSTAT AP flows'!AH7</f>
        <v>0</v>
      </c>
      <c r="AH6">
        <f>'EUROSTAT AP flows'!AI7</f>
        <v>0</v>
      </c>
      <c r="AI6">
        <f>'EUROSTAT AP flows'!AJ7</f>
        <v>0</v>
      </c>
      <c r="AJ6">
        <f>'EUROSTAT AP flows'!AK7</f>
        <v>29500.797999999999</v>
      </c>
      <c r="AK6">
        <f>'EUROSTAT AP flows'!AL7</f>
        <v>9705.7240000000002</v>
      </c>
      <c r="AL6">
        <f>'EUROSTAT AP flows'!AM7</f>
        <v>8439.2260000000006</v>
      </c>
      <c r="AM6">
        <f>'EUROSTAT AP flows'!AN7</f>
        <v>11355.712</v>
      </c>
      <c r="AN6">
        <f>'EUROSTAT AP flows'!AO7</f>
        <v>0</v>
      </c>
      <c r="AO6">
        <f>'EUROSTAT AP flows'!AP7</f>
        <v>0.13600000000000001</v>
      </c>
    </row>
    <row r="7" spans="1:41" x14ac:dyDescent="0.2">
      <c r="A7" t="s">
        <v>10</v>
      </c>
      <c r="B7" t="str">
        <f>'EUROSTAT AP flows'!C8</f>
        <v>:</v>
      </c>
      <c r="C7" t="str">
        <f>'EUROSTAT AP flows'!D8</f>
        <v>:</v>
      </c>
      <c r="D7" t="str">
        <f>'EUROSTAT AP flows'!E8</f>
        <v>:</v>
      </c>
      <c r="E7" t="str">
        <f>'EUROSTAT AP flows'!F8</f>
        <v>:</v>
      </c>
      <c r="F7" t="str">
        <f>'EUROSTAT AP flows'!G8</f>
        <v>:</v>
      </c>
      <c r="G7" t="str">
        <f>'EUROSTAT AP flows'!H8</f>
        <v>:</v>
      </c>
      <c r="H7" t="str">
        <f>'EUROSTAT AP flows'!I8</f>
        <v>:</v>
      </c>
      <c r="I7" t="str">
        <f>'EUROSTAT AP flows'!J8</f>
        <v>:</v>
      </c>
      <c r="J7" t="str">
        <f>'EUROSTAT AP flows'!K8</f>
        <v>:</v>
      </c>
      <c r="K7" t="str">
        <f>'EUROSTAT AP flows'!L8</f>
        <v>:</v>
      </c>
      <c r="L7" t="str">
        <f>'EUROSTAT AP flows'!M8</f>
        <v>:</v>
      </c>
      <c r="M7" t="str">
        <f>'EUROSTAT AP flows'!N8</f>
        <v>:</v>
      </c>
      <c r="N7" t="str">
        <f>'EUROSTAT AP flows'!O8</f>
        <v>:</v>
      </c>
      <c r="O7" t="str">
        <f>'EUROSTAT AP flows'!P8</f>
        <v>:</v>
      </c>
      <c r="P7" t="str">
        <f>'EUROSTAT AP flows'!Q8</f>
        <v>:</v>
      </c>
      <c r="Q7" t="str">
        <f>'EUROSTAT AP flows'!R8</f>
        <v>:</v>
      </c>
      <c r="R7" t="str">
        <f>'EUROSTAT AP flows'!S8</f>
        <v>:</v>
      </c>
      <c r="S7" t="str">
        <f>'EUROSTAT AP flows'!T8</f>
        <v>:</v>
      </c>
      <c r="T7" t="str">
        <f>'EUROSTAT AP flows'!U8</f>
        <v>:</v>
      </c>
      <c r="U7" t="str">
        <f>'EUROSTAT AP flows'!V8</f>
        <v>:</v>
      </c>
      <c r="V7" t="str">
        <f>'EUROSTAT AP flows'!W8</f>
        <v>:</v>
      </c>
      <c r="W7" t="str">
        <f>'EUROSTAT AP flows'!X8</f>
        <v>:</v>
      </c>
      <c r="X7" t="str">
        <f>'EUROSTAT AP flows'!Y8</f>
        <v>:</v>
      </c>
      <c r="Y7" t="str">
        <f>'EUROSTAT AP flows'!Z8</f>
        <v>:</v>
      </c>
      <c r="Z7" t="str">
        <f>'EUROSTAT AP flows'!AA8</f>
        <v>:</v>
      </c>
      <c r="AA7" t="str">
        <f>'EUROSTAT AP flows'!AB8</f>
        <v>:</v>
      </c>
      <c r="AB7" t="str">
        <f>'EUROSTAT AP flows'!AC8</f>
        <v>:</v>
      </c>
      <c r="AC7" t="str">
        <f>'EUROSTAT AP flows'!AD8</f>
        <v>:</v>
      </c>
      <c r="AD7" t="str">
        <f>'EUROSTAT AP flows'!AE8</f>
        <v>:</v>
      </c>
      <c r="AE7" t="str">
        <f>'EUROSTAT AP flows'!AF8</f>
        <v>:</v>
      </c>
      <c r="AF7" t="str">
        <f>'EUROSTAT AP flows'!AG8</f>
        <v>:</v>
      </c>
      <c r="AG7" t="str">
        <f>'EUROSTAT AP flows'!AH8</f>
        <v>:</v>
      </c>
      <c r="AH7" t="str">
        <f>'EUROSTAT AP flows'!AI8</f>
        <v>:</v>
      </c>
      <c r="AI7" t="str">
        <f>'EUROSTAT AP flows'!AJ8</f>
        <v>:</v>
      </c>
      <c r="AJ7" t="str">
        <f>'EUROSTAT AP flows'!AK8</f>
        <v>:</v>
      </c>
      <c r="AK7" t="str">
        <f>'EUROSTAT AP flows'!AL8</f>
        <v>:</v>
      </c>
      <c r="AL7" t="str">
        <f>'EUROSTAT AP flows'!AM8</f>
        <v>:</v>
      </c>
      <c r="AM7" t="str">
        <f>'EUROSTAT AP flows'!AN8</f>
        <v>:</v>
      </c>
      <c r="AN7" t="str">
        <f>'EUROSTAT AP flows'!AO8</f>
        <v>:</v>
      </c>
      <c r="AO7" t="str">
        <f>'EUROSTAT AP flows'!AP8</f>
        <v>:</v>
      </c>
    </row>
    <row r="8" spans="1:41" x14ac:dyDescent="0.2">
      <c r="A8" t="s">
        <v>11</v>
      </c>
      <c r="B8">
        <f>'EUROSTAT AP flows'!C9</f>
        <v>33365.03</v>
      </c>
      <c r="C8">
        <f>'EUROSTAT AP flows'!D9</f>
        <v>6575.3239999999996</v>
      </c>
      <c r="D8">
        <f>'EUROSTAT AP flows'!E9</f>
        <v>0</v>
      </c>
      <c r="E8">
        <f>'EUROSTAT AP flows'!F9</f>
        <v>0</v>
      </c>
      <c r="F8">
        <f>'EUROSTAT AP flows'!G9</f>
        <v>0</v>
      </c>
      <c r="G8">
        <f>'EUROSTAT AP flows'!H9</f>
        <v>0</v>
      </c>
      <c r="H8">
        <f>'EUROSTAT AP flows'!I9</f>
        <v>0</v>
      </c>
      <c r="I8">
        <f>'EUROSTAT AP flows'!J9</f>
        <v>0</v>
      </c>
      <c r="J8">
        <f>'EUROSTAT AP flows'!K9</f>
        <v>0</v>
      </c>
      <c r="K8">
        <f>'EUROSTAT AP flows'!L9</f>
        <v>6575.3239999999996</v>
      </c>
      <c r="L8">
        <f>'EUROSTAT AP flows'!M9</f>
        <v>0</v>
      </c>
      <c r="M8">
        <f>'EUROSTAT AP flows'!N9</f>
        <v>0</v>
      </c>
      <c r="N8">
        <f>'EUROSTAT AP flows'!O9</f>
        <v>0</v>
      </c>
      <c r="O8">
        <f>'EUROSTAT AP flows'!P9</f>
        <v>0</v>
      </c>
      <c r="P8">
        <f>'EUROSTAT AP flows'!Q9</f>
        <v>0</v>
      </c>
      <c r="Q8">
        <f>'EUROSTAT AP flows'!R9</f>
        <v>0</v>
      </c>
      <c r="R8">
        <f>'EUROSTAT AP flows'!S9</f>
        <v>8723.1749999999993</v>
      </c>
      <c r="S8">
        <f>'EUROSTAT AP flows'!T9</f>
        <v>457.28</v>
      </c>
      <c r="T8">
        <f>'EUROSTAT AP flows'!U9</f>
        <v>8000.4740000000002</v>
      </c>
      <c r="U8">
        <f>'EUROSTAT AP flows'!V9</f>
        <v>0</v>
      </c>
      <c r="V8">
        <f>'EUROSTAT AP flows'!W9</f>
        <v>0</v>
      </c>
      <c r="W8">
        <f>'EUROSTAT AP flows'!X9</f>
        <v>0</v>
      </c>
      <c r="X8">
        <f>'EUROSTAT AP flows'!Y9</f>
        <v>0</v>
      </c>
      <c r="Y8">
        <f>'EUROSTAT AP flows'!Z9</f>
        <v>0</v>
      </c>
      <c r="Z8">
        <f>'EUROSTAT AP flows'!AA9</f>
        <v>52.741999999999997</v>
      </c>
      <c r="AA8">
        <f>'EUROSTAT AP flows'!AB9</f>
        <v>120.809</v>
      </c>
      <c r="AB8">
        <f>'EUROSTAT AP flows'!AC9</f>
        <v>91.87</v>
      </c>
      <c r="AC8">
        <f>'EUROSTAT AP flows'!AD9</f>
        <v>0</v>
      </c>
      <c r="AD8">
        <f>'EUROSTAT AP flows'!AE9</f>
        <v>0</v>
      </c>
      <c r="AE8">
        <f>'EUROSTAT AP flows'!AF9</f>
        <v>0</v>
      </c>
      <c r="AF8">
        <f>'EUROSTAT AP flows'!AG9</f>
        <v>0</v>
      </c>
      <c r="AG8">
        <f>'EUROSTAT AP flows'!AH9</f>
        <v>0</v>
      </c>
      <c r="AH8">
        <f>'EUROSTAT AP flows'!AI9</f>
        <v>0</v>
      </c>
      <c r="AI8">
        <f>'EUROSTAT AP flows'!AJ9</f>
        <v>0</v>
      </c>
      <c r="AJ8">
        <f>'EUROSTAT AP flows'!AK9</f>
        <v>18066.530999999999</v>
      </c>
      <c r="AK8">
        <f>'EUROSTAT AP flows'!AL9</f>
        <v>17834.455000000002</v>
      </c>
      <c r="AL8">
        <f>'EUROSTAT AP flows'!AM9</f>
        <v>0</v>
      </c>
      <c r="AM8">
        <f>'EUROSTAT AP flows'!AN9</f>
        <v>232.07599999999999</v>
      </c>
      <c r="AN8">
        <f>'EUROSTAT AP flows'!AO9</f>
        <v>0</v>
      </c>
      <c r="AO8">
        <f>'EUROSTAT AP flows'!AP9</f>
        <v>0</v>
      </c>
    </row>
    <row r="9" spans="1:41" x14ac:dyDescent="0.2">
      <c r="A9" t="s">
        <v>12</v>
      </c>
      <c r="B9">
        <f>'EUROSTAT AP flows'!C10</f>
        <v>10931.602000000001</v>
      </c>
      <c r="C9">
        <f>'EUROSTAT AP flows'!D10</f>
        <v>0</v>
      </c>
      <c r="D9">
        <f>'EUROSTAT AP flows'!E10</f>
        <v>0</v>
      </c>
      <c r="E9">
        <f>'EUROSTAT AP flows'!F10</f>
        <v>0</v>
      </c>
      <c r="F9">
        <f>'EUROSTAT AP flows'!G10</f>
        <v>0</v>
      </c>
      <c r="G9">
        <f>'EUROSTAT AP flows'!H10</f>
        <v>0</v>
      </c>
      <c r="H9">
        <f>'EUROSTAT AP flows'!I10</f>
        <v>0</v>
      </c>
      <c r="I9">
        <f>'EUROSTAT AP flows'!J10</f>
        <v>0</v>
      </c>
      <c r="J9">
        <f>'EUROSTAT AP flows'!K10</f>
        <v>0</v>
      </c>
      <c r="K9">
        <f>'EUROSTAT AP flows'!L10</f>
        <v>0</v>
      </c>
      <c r="L9">
        <f>'EUROSTAT AP flows'!M10</f>
        <v>0</v>
      </c>
      <c r="M9">
        <f>'EUROSTAT AP flows'!N10</f>
        <v>0</v>
      </c>
      <c r="N9">
        <f>'EUROSTAT AP flows'!O10</f>
        <v>0</v>
      </c>
      <c r="O9">
        <f>'EUROSTAT AP flows'!P10</f>
        <v>0</v>
      </c>
      <c r="P9">
        <f>'EUROSTAT AP flows'!Q10</f>
        <v>0</v>
      </c>
      <c r="Q9">
        <f>'EUROSTAT AP flows'!R10</f>
        <v>0</v>
      </c>
      <c r="R9">
        <f>'EUROSTAT AP flows'!S10</f>
        <v>10931.602000000001</v>
      </c>
      <c r="S9">
        <f>'EUROSTAT AP flows'!T10</f>
        <v>0</v>
      </c>
      <c r="T9">
        <f>'EUROSTAT AP flows'!U10</f>
        <v>10790.504999999999</v>
      </c>
      <c r="U9">
        <f>'EUROSTAT AP flows'!V10</f>
        <v>4.2759999999999998</v>
      </c>
      <c r="V9">
        <f>'EUROSTAT AP flows'!W10</f>
        <v>0</v>
      </c>
      <c r="W9">
        <f>'EUROSTAT AP flows'!X10</f>
        <v>0</v>
      </c>
      <c r="X9">
        <f>'EUROSTAT AP flows'!Y10</f>
        <v>0</v>
      </c>
      <c r="Y9">
        <f>'EUROSTAT AP flows'!Z10</f>
        <v>0</v>
      </c>
      <c r="Z9">
        <f>'EUROSTAT AP flows'!AA10</f>
        <v>136.821</v>
      </c>
      <c r="AA9">
        <f>'EUROSTAT AP flows'!AB10</f>
        <v>0</v>
      </c>
      <c r="AB9">
        <f>'EUROSTAT AP flows'!AC10</f>
        <v>0</v>
      </c>
      <c r="AC9">
        <f>'EUROSTAT AP flows'!AD10</f>
        <v>0</v>
      </c>
      <c r="AD9">
        <f>'EUROSTAT AP flows'!AE10</f>
        <v>0</v>
      </c>
      <c r="AE9">
        <f>'EUROSTAT AP flows'!AF10</f>
        <v>0</v>
      </c>
      <c r="AF9">
        <f>'EUROSTAT AP flows'!AG10</f>
        <v>0</v>
      </c>
      <c r="AG9">
        <f>'EUROSTAT AP flows'!AH10</f>
        <v>0</v>
      </c>
      <c r="AH9">
        <f>'EUROSTAT AP flows'!AI10</f>
        <v>0</v>
      </c>
      <c r="AI9">
        <f>'EUROSTAT AP flows'!AJ10</f>
        <v>0</v>
      </c>
      <c r="AJ9">
        <f>'EUROSTAT AP flows'!AK10</f>
        <v>0</v>
      </c>
      <c r="AK9">
        <f>'EUROSTAT AP flows'!AL10</f>
        <v>0</v>
      </c>
      <c r="AL9">
        <f>'EUROSTAT AP flows'!AM10</f>
        <v>0</v>
      </c>
      <c r="AM9">
        <f>'EUROSTAT AP flows'!AN10</f>
        <v>0</v>
      </c>
      <c r="AN9">
        <f>'EUROSTAT AP flows'!AO10</f>
        <v>0</v>
      </c>
      <c r="AO9">
        <f>'EUROSTAT AP flows'!AP10</f>
        <v>0</v>
      </c>
    </row>
    <row r="10" spans="1:41" x14ac:dyDescent="0.2">
      <c r="A10" t="s">
        <v>152</v>
      </c>
      <c r="B10">
        <f>'EUROSTAT AP flows'!C11</f>
        <v>44296.631999999998</v>
      </c>
      <c r="C10">
        <f>'EUROSTAT AP flows'!D11</f>
        <v>6575.3239999999996</v>
      </c>
      <c r="D10">
        <f>'EUROSTAT AP flows'!E11</f>
        <v>0</v>
      </c>
      <c r="E10">
        <f>'EUROSTAT AP flows'!F11</f>
        <v>0</v>
      </c>
      <c r="F10">
        <f>'EUROSTAT AP flows'!G11</f>
        <v>0</v>
      </c>
      <c r="G10">
        <f>'EUROSTAT AP flows'!H11</f>
        <v>0</v>
      </c>
      <c r="H10">
        <f>'EUROSTAT AP flows'!I11</f>
        <v>0</v>
      </c>
      <c r="I10">
        <f>'EUROSTAT AP flows'!J11</f>
        <v>0</v>
      </c>
      <c r="J10">
        <f>'EUROSTAT AP flows'!K11</f>
        <v>0</v>
      </c>
      <c r="K10">
        <f>'EUROSTAT AP flows'!L11</f>
        <v>6575.3239999999996</v>
      </c>
      <c r="L10">
        <f>'EUROSTAT AP flows'!M11</f>
        <v>0</v>
      </c>
      <c r="M10">
        <f>'EUROSTAT AP flows'!N11</f>
        <v>0</v>
      </c>
      <c r="N10">
        <f>'EUROSTAT AP flows'!O11</f>
        <v>0</v>
      </c>
      <c r="O10">
        <f>'EUROSTAT AP flows'!P11</f>
        <v>0</v>
      </c>
      <c r="P10">
        <f>'EUROSTAT AP flows'!Q11</f>
        <v>0</v>
      </c>
      <c r="Q10">
        <f>'EUROSTAT AP flows'!R11</f>
        <v>0</v>
      </c>
      <c r="R10">
        <f>'EUROSTAT AP flows'!S11</f>
        <v>19654.776999999998</v>
      </c>
      <c r="S10">
        <f>'EUROSTAT AP flows'!T11</f>
        <v>457.28</v>
      </c>
      <c r="T10">
        <f>'EUROSTAT AP flows'!U11</f>
        <v>18790.978999999999</v>
      </c>
      <c r="U10">
        <f>'EUROSTAT AP flows'!V11</f>
        <v>4.2759999999999998</v>
      </c>
      <c r="V10">
        <f>'EUROSTAT AP flows'!W11</f>
        <v>0</v>
      </c>
      <c r="W10">
        <f>'EUROSTAT AP flows'!X11</f>
        <v>0</v>
      </c>
      <c r="X10">
        <f>'EUROSTAT AP flows'!Y11</f>
        <v>0</v>
      </c>
      <c r="Y10">
        <f>'EUROSTAT AP flows'!Z11</f>
        <v>0</v>
      </c>
      <c r="Z10">
        <f>'EUROSTAT AP flows'!AA11</f>
        <v>189.56299999999999</v>
      </c>
      <c r="AA10">
        <f>'EUROSTAT AP flows'!AB11</f>
        <v>120.809</v>
      </c>
      <c r="AB10">
        <f>'EUROSTAT AP flows'!AC11</f>
        <v>91.87</v>
      </c>
      <c r="AC10">
        <f>'EUROSTAT AP flows'!AD11</f>
        <v>0</v>
      </c>
      <c r="AD10">
        <f>'EUROSTAT AP flows'!AE11</f>
        <v>0</v>
      </c>
      <c r="AE10">
        <f>'EUROSTAT AP flows'!AF11</f>
        <v>0</v>
      </c>
      <c r="AF10">
        <f>'EUROSTAT AP flows'!AG11</f>
        <v>0</v>
      </c>
      <c r="AG10">
        <f>'EUROSTAT AP flows'!AH11</f>
        <v>0</v>
      </c>
      <c r="AH10">
        <f>'EUROSTAT AP flows'!AI11</f>
        <v>0</v>
      </c>
      <c r="AI10">
        <f>'EUROSTAT AP flows'!AJ11</f>
        <v>0</v>
      </c>
      <c r="AJ10">
        <f>'EUROSTAT AP flows'!AK11</f>
        <v>18066.530999999999</v>
      </c>
      <c r="AK10">
        <f>'EUROSTAT AP flows'!AL11</f>
        <v>17834.455000000002</v>
      </c>
      <c r="AL10">
        <f>'EUROSTAT AP flows'!AM11</f>
        <v>0</v>
      </c>
      <c r="AM10">
        <f>'EUROSTAT AP flows'!AN11</f>
        <v>232.07599999999999</v>
      </c>
      <c r="AN10">
        <f>'EUROSTAT AP flows'!AO11</f>
        <v>0</v>
      </c>
      <c r="AO10">
        <f>'EUROSTAT AP flows'!AP11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Sheet</vt:lpstr>
      <vt:lpstr>Contents</vt:lpstr>
      <vt:lpstr>EUROSTAT AP Electricity GWh</vt:lpstr>
      <vt:lpstr>EUROSTAT AP Heat TJ</vt:lpstr>
      <vt:lpstr>EUROSTAT AP plants and products</vt:lpstr>
      <vt:lpstr>EUROSTAT AP flows</vt:lpstr>
      <vt:lpstr>autoproducer_table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 Bijkerk</dc:creator>
  <cp:lastModifiedBy>Mathijs Bijkerk</cp:lastModifiedBy>
  <dcterms:created xsi:type="dcterms:W3CDTF">2021-04-08T13:12:21Z</dcterms:created>
  <dcterms:modified xsi:type="dcterms:W3CDTF">2025-05-22T07:57:27Z</dcterms:modified>
</cp:coreProperties>
</file>